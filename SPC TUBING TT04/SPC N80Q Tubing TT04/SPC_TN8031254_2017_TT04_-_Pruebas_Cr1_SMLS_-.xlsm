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UBING TT04\SPC N80Q Tubing TT04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Produccion!$A$5:$AG$84</definedName>
    <definedName name="_xlnm._FilterDatabase" localSheetId="1" hidden="1">Resultados!$A$4:$EC$4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Resultados!$N$2:$W$5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" i="5" l="1"/>
  <c r="AD7" i="5" s="1"/>
  <c r="AI6" i="40516" l="1"/>
  <c r="AJ6" i="40516"/>
  <c r="X8" i="5" l="1"/>
  <c r="AD8" i="5" s="1"/>
  <c r="X9" i="5"/>
  <c r="AD9" i="5" s="1"/>
  <c r="X10" i="5"/>
  <c r="AD10" i="5" s="1"/>
  <c r="X11" i="5"/>
  <c r="AD11" i="5" s="1"/>
  <c r="X12" i="5"/>
  <c r="AD12" i="5" s="1"/>
  <c r="X13" i="5"/>
  <c r="AD13" i="5" s="1"/>
  <c r="X14" i="5"/>
  <c r="AD14" i="5" s="1"/>
  <c r="X15" i="5"/>
  <c r="AD15" i="5" s="1"/>
  <c r="X16" i="5"/>
  <c r="AD16" i="5" s="1"/>
  <c r="X17" i="5"/>
  <c r="AD17" i="5" s="1"/>
  <c r="X18" i="5"/>
  <c r="AD18" i="5" s="1"/>
  <c r="X19" i="5"/>
  <c r="AD19" i="5" s="1"/>
  <c r="X20" i="5"/>
  <c r="AD20" i="5" s="1"/>
  <c r="X21" i="5"/>
  <c r="AD21" i="5" s="1"/>
  <c r="X22" i="5"/>
  <c r="AD22" i="5" s="1"/>
  <c r="X23" i="5"/>
  <c r="AD23" i="5" s="1"/>
  <c r="X24" i="5"/>
  <c r="AD24" i="5" s="1"/>
  <c r="X25" i="5"/>
  <c r="AD25" i="5" s="1"/>
  <c r="X26" i="5"/>
  <c r="AD26" i="5" s="1"/>
  <c r="X27" i="5"/>
  <c r="AD27" i="5" s="1"/>
  <c r="X28" i="5"/>
  <c r="AD28" i="5" s="1"/>
  <c r="X29" i="5"/>
  <c r="AD29" i="5" s="1"/>
  <c r="X30" i="5"/>
  <c r="AD30" i="5" s="1"/>
  <c r="X31" i="5"/>
  <c r="AD31" i="5" s="1"/>
  <c r="X32" i="5"/>
  <c r="AD32" i="5" s="1"/>
  <c r="X33" i="5"/>
  <c r="AD33" i="5" s="1"/>
  <c r="X34" i="5"/>
  <c r="AD34" i="5" s="1"/>
  <c r="X35" i="5"/>
  <c r="AD35" i="5" s="1"/>
  <c r="X36" i="5"/>
  <c r="AD36" i="5" s="1"/>
  <c r="X37" i="5"/>
  <c r="AD37" i="5" s="1"/>
  <c r="X38" i="5"/>
  <c r="AD38" i="5" s="1"/>
  <c r="X39" i="5"/>
  <c r="AD39" i="5" s="1"/>
  <c r="X40" i="5"/>
  <c r="AD40" i="5" s="1"/>
  <c r="X41" i="5"/>
  <c r="AD41" i="5" s="1"/>
  <c r="X42" i="5"/>
  <c r="AD42" i="5" s="1"/>
  <c r="X43" i="5"/>
  <c r="AD43" i="5" s="1"/>
  <c r="X44" i="5"/>
  <c r="AD44" i="5" s="1"/>
  <c r="X45" i="5"/>
  <c r="AD45" i="5" s="1"/>
  <c r="X46" i="5"/>
  <c r="AD46" i="5" s="1"/>
  <c r="X47" i="5"/>
  <c r="AD47" i="5" s="1"/>
  <c r="X48" i="5"/>
  <c r="AD48" i="5" s="1"/>
  <c r="X49" i="5"/>
  <c r="AD49" i="5" s="1"/>
  <c r="X50" i="5"/>
  <c r="AD50" i="5" s="1"/>
  <c r="X51" i="5"/>
  <c r="AD51" i="5" s="1"/>
  <c r="X52" i="5"/>
  <c r="AD52" i="5" s="1"/>
  <c r="X53" i="5"/>
  <c r="AD53" i="5" s="1"/>
  <c r="X54" i="5"/>
  <c r="AD54" i="5" s="1"/>
  <c r="X55" i="5"/>
  <c r="AD55" i="5" s="1"/>
  <c r="X56" i="5"/>
  <c r="AD56" i="5" s="1"/>
  <c r="X57" i="5"/>
  <c r="AD57" i="5" s="1"/>
  <c r="X58" i="5"/>
  <c r="AD58" i="5" s="1"/>
  <c r="X59" i="5"/>
  <c r="AD59" i="5" s="1"/>
  <c r="X60" i="5"/>
  <c r="AD60" i="5" s="1"/>
  <c r="X61" i="5"/>
  <c r="AD61" i="5" s="1"/>
  <c r="X62" i="5"/>
  <c r="AD62" i="5" s="1"/>
  <c r="X63" i="5"/>
  <c r="AD63" i="5" s="1"/>
  <c r="X64" i="5"/>
  <c r="AD64" i="5" s="1"/>
  <c r="X65" i="5"/>
  <c r="AD65" i="5" s="1"/>
  <c r="X66" i="5"/>
  <c r="AD66" i="5" s="1"/>
  <c r="X67" i="5"/>
  <c r="AD67" i="5" s="1"/>
  <c r="X68" i="5"/>
  <c r="AD68" i="5" s="1"/>
  <c r="X69" i="5"/>
  <c r="AD69" i="5" s="1"/>
  <c r="X70" i="5"/>
  <c r="AD70" i="5" s="1"/>
  <c r="X71" i="5"/>
  <c r="AD71" i="5" s="1"/>
  <c r="X72" i="5"/>
  <c r="AD72" i="5" s="1"/>
  <c r="X73" i="5"/>
  <c r="AD73" i="5" s="1"/>
  <c r="X74" i="5"/>
  <c r="AD74" i="5" s="1"/>
  <c r="X75" i="5"/>
  <c r="AD75" i="5" s="1"/>
  <c r="X76" i="5"/>
  <c r="AD76" i="5" s="1"/>
  <c r="X77" i="5"/>
  <c r="AD77" i="5" s="1"/>
  <c r="X78" i="5"/>
  <c r="AD78" i="5" s="1"/>
  <c r="X79" i="5"/>
  <c r="AD79" i="5" s="1"/>
  <c r="X80" i="5"/>
  <c r="AD80" i="5" s="1"/>
  <c r="X81" i="5"/>
  <c r="AD81" i="5" s="1"/>
  <c r="X82" i="5"/>
  <c r="AD82" i="5" s="1"/>
  <c r="X83" i="5"/>
  <c r="AD83" i="5" s="1"/>
  <c r="X84" i="5"/>
  <c r="AD84" i="5" s="1"/>
  <c r="AI5" i="40516" l="1"/>
  <c r="AJ5" i="40516"/>
  <c r="X6" i="5" l="1"/>
  <c r="AD6" i="5" s="1"/>
  <c r="AF4" i="5" l="1"/>
  <c r="AG4" i="5"/>
  <c r="AG3" i="5"/>
  <c r="AF3" i="5"/>
</calcChain>
</file>

<file path=xl/comments1.xml><?xml version="1.0" encoding="utf-8"?>
<comments xmlns="http://schemas.openxmlformats.org/spreadsheetml/2006/main">
  <authors>
    <author>ARRIETA C. Carlos G.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3145</t>
        </r>
      </text>
    </comment>
    <comment ref="AA6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 TUBOS SALEN EN EL MISMO POCKET POR HORNO AUSTENIZADO  Y SE ATASCAN EN LA SALIDA DEL QUENCH, SE REPROCESAN EN EL MISMO LOTE</t>
        </r>
      </text>
    </comment>
    <comment ref="Z7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queda tubo en el quench, como no hay mas tubo esta colada se rechaza como definitivo 99 pruebas</t>
        </r>
      </text>
    </comment>
  </commentList>
</comments>
</file>

<file path=xl/sharedStrings.xml><?xml version="1.0" encoding="utf-8"?>
<sst xmlns="http://schemas.openxmlformats.org/spreadsheetml/2006/main" count="156" uniqueCount="118">
  <si>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</si>
  <si>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</si>
  <si>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</si>
  <si>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</si>
  <si>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</si>
  <si>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</si>
  <si>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</si>
  <si>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</si>
  <si>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</si>
  <si>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</si>
  <si>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</si>
  <si>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</si>
  <si>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</si>
  <si>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</si>
  <si>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</si>
  <si>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</si>
  <si>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</si>
  <si>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</si>
  <si>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</si>
  <si>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</si>
  <si>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</si>
  <si>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</si>
  <si>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</si>
  <si>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</si>
  <si>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</si>
  <si>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</si>
  <si>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</si>
  <si>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</si>
  <si>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</si>
  <si>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</si>
  <si>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</si>
  <si>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</si>
  <si>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</si>
  <si>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</si>
  <si>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</si>
  <si>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</si>
  <si>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</si>
  <si>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</si>
  <si>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</si>
  <si>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</si>
  <si>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</si>
  <si>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</si>
  <si>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</si>
  <si>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</si>
  <si>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</si>
  <si>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</si>
  <si>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</si>
  <si>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</si>
  <si>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</si>
  <si>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</si>
  <si>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</si>
  <si>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</si>
  <si>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</si>
  <si>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</si>
  <si>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</si>
  <si>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</si>
  <si>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</si>
  <si>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</si>
  <si>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</si>
  <si>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</si>
  <si>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</si>
  <si>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</si>
  <si>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</si>
  <si>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</si>
  <si>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</si>
  <si>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</si>
  <si>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</si>
  <si>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</si>
  <si>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</si>
  <si>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</si>
  <si>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</si>
  <si>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</si>
  <si>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</si>
  <si>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</si>
  <si>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</si>
  <si>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</si>
  <si>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T/HRS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</si>
  <si>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</si>
  <si>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</si>
  <si>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</si>
  <si>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</si>
  <si>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</si>
  <si>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</si>
  <si>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</si>
  <si>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</si>
  <si>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</si>
  <si>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</si>
  <si>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</si>
  <si>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</si>
  <si>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</si>
  <si>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</si>
  <si>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</si>
  <si>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T. Res</t>
  </si>
  <si>
    <t>TIEMPO PERMANENCIA AUSTENIZADO</t>
  </si>
  <si>
    <t>TIEMPO PERMANENCIA REVENIDO</t>
  </si>
  <si>
    <t>Apertura lote</t>
  </si>
  <si>
    <t>P1</t>
  </si>
  <si>
    <t>Centro</t>
  </si>
  <si>
    <t>Alineacion</t>
  </si>
  <si>
    <t>Tamsa</t>
  </si>
  <si>
    <r>
      <t xml:space="preserve">3341 </t>
    </r>
    <r>
      <rPr>
        <b/>
        <sz val="12"/>
        <rFont val="Frutiger 45 Light"/>
        <family val="2"/>
      </rPr>
      <t>Pb</t>
    </r>
  </si>
  <si>
    <t>3341 Pb</t>
  </si>
  <si>
    <t>1 al 140</t>
  </si>
  <si>
    <r>
      <rPr>
        <sz val="26"/>
        <color indexed="8"/>
        <rFont val="Frutiger 45 Light"/>
        <family val="2"/>
      </rPr>
      <t xml:space="preserve">31254 </t>
    </r>
    <r>
      <rPr>
        <b/>
        <sz val="26"/>
        <color indexed="8"/>
        <rFont val="Frutiger 45 Light"/>
        <family val="2"/>
      </rPr>
      <t xml:space="preserve">N80 </t>
    </r>
    <r>
      <rPr>
        <sz val="26"/>
        <color indexed="8"/>
        <rFont val="Frutiger 45 Light"/>
        <family val="2"/>
      </rPr>
      <t>Cr1 SMLS</t>
    </r>
  </si>
  <si>
    <t>Estado AA</t>
  </si>
  <si>
    <t>Estado   99</t>
  </si>
  <si>
    <t>107,,9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</si>
  <si>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</si>
  <si>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</si>
  <si>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</si>
  <si>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</si>
  <si>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</si>
  <si>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</si>
  <si>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</si>
  <si>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N80Q</t>
  </si>
  <si>
    <t>TUBING</t>
  </si>
  <si>
    <t>3 1/2" x 0,254 N80 Cr1 SMLS</t>
  </si>
  <si>
    <t>Por favor asegurarse de no dejar vacías las celdas de N° tubo y TC.
Así mismo, diligenciar los resultados de tensión antes de exportar para no generar errores en la base consolidada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</si>
</sst>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b/>
      <sz val="11"/>
      <name val="Arial"/>
      <family val="2"/>
    </font>
    <font>
      <b/>
      <sz val="9"/>
      <name val="Arial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indexed="8"/>
      <name val="Frutiger 45 Light"/>
      <family val="2"/>
    </font>
    <font>
      <sz val="26"/>
      <color indexed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18"/>
      <name val="Arial"/>
      <family val="2"/>
    </font>
    <font>
      <sz val="20"/>
      <color indexed="8"/>
      <name val="ITC Avant Garde Gothic"/>
      <family val="2"/>
    </font>
    <font>
      <sz val="10"/>
      <color rgb="FFFF0000"/>
      <name val="ITC Avant Garde Gothic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6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/>
      <diagonal/>
    </border>
    <border>
      <left style="hair">
        <color indexed="64"/>
      </left>
      <right/>
      <top style="hair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22" fillId="0" borderId="0"/>
    <xf numFmtId="0" fontId="1" fillId="0" borderId="0"/>
  </cellStyleXfs>
  <cellXfs count="226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39" fillId="0" borderId="0" xfId="0" applyFont="1" applyAlignment="1">
      <alignment horizont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48" fillId="2" borderId="0" xfId="0" applyFont="1" applyFill="1" applyAlignment="1">
      <alignment horizontal="center"/>
    </xf>
    <xf numFmtId="0" fontId="50" fillId="2" borderId="0" xfId="0" applyFont="1" applyFill="1" applyAlignment="1">
      <alignment horizontal="center"/>
    </xf>
    <xf numFmtId="0" fontId="51" fillId="2" borderId="0" xfId="0" applyFont="1" applyFill="1" applyAlignment="1">
      <alignment horizontal="center"/>
    </xf>
    <xf numFmtId="0" fontId="52" fillId="2" borderId="0" xfId="0" applyFont="1" applyFill="1" applyAlignment="1">
      <alignment horizontal="center"/>
    </xf>
    <xf numFmtId="0" fontId="53" fillId="2" borderId="0" xfId="0" applyFont="1" applyFill="1" applyAlignment="1">
      <alignment horizontal="right"/>
    </xf>
    <xf numFmtId="165" fontId="51" fillId="2" borderId="0" xfId="0" applyNumberFormat="1" applyFont="1" applyFill="1" applyAlignment="1">
      <alignment horizontal="center"/>
    </xf>
    <xf numFmtId="0" fontId="49" fillId="0" borderId="30" xfId="0" applyFont="1" applyBorder="1"/>
    <xf numFmtId="0" fontId="54" fillId="0" borderId="0" xfId="0" applyFont="1" applyAlignment="1">
      <alignment horizontal="center"/>
    </xf>
    <xf numFmtId="3" fontId="56" fillId="0" borderId="6" xfId="0" applyNumberFormat="1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2" xfId="0" applyFont="1" applyBorder="1" applyAlignment="1" applyProtection="1">
      <alignment horizontal="center"/>
      <protection locked="0"/>
    </xf>
    <xf numFmtId="0" fontId="51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2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2" fillId="8" borderId="0" xfId="0" applyNumberFormat="1" applyFont="1" applyFill="1" applyAlignment="1" applyProtection="1">
      <alignment horizontal="center" vertical="center"/>
      <protection hidden="1"/>
    </xf>
    <xf numFmtId="0" fontId="17" fillId="8" borderId="0" xfId="0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19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0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2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5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11" xfId="0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1" fillId="7" borderId="27" xfId="0" applyFont="1" applyFill="1" applyBorder="1" applyAlignment="1" applyProtection="1">
      <alignment vertical="center"/>
      <protection hidden="1"/>
    </xf>
    <xf numFmtId="0" fontId="0" fillId="7" borderId="29" xfId="0" applyFill="1" applyBorder="1" applyAlignment="1" applyProtection="1">
      <alignment vertical="center"/>
      <protection hidden="1"/>
    </xf>
    <xf numFmtId="0" fontId="1" fillId="7" borderId="31" xfId="0" applyFont="1" applyFill="1" applyBorder="1" applyAlignment="1" applyProtection="1">
      <alignment vertical="center"/>
      <protection hidden="1"/>
    </xf>
    <xf numFmtId="21" fontId="25" fillId="7" borderId="31" xfId="0" applyNumberFormat="1" applyFont="1" applyFill="1" applyBorder="1" applyAlignment="1" applyProtection="1">
      <alignment horizontal="center" vertical="center"/>
      <protection hidden="1"/>
    </xf>
    <xf numFmtId="0" fontId="8" fillId="7" borderId="29" xfId="0" applyFont="1" applyFill="1" applyBorder="1" applyAlignment="1" applyProtection="1">
      <alignment horizontal="center" vertical="center"/>
      <protection hidden="1"/>
    </xf>
    <xf numFmtId="0" fontId="9" fillId="7" borderId="29" xfId="0" applyFont="1" applyFill="1" applyBorder="1" applyAlignment="1" applyProtection="1">
      <alignment vertical="center"/>
      <protection hidden="1"/>
    </xf>
    <xf numFmtId="0" fontId="10" fillId="7" borderId="29" xfId="0" applyFont="1" applyFill="1" applyBorder="1" applyAlignment="1" applyProtection="1">
      <alignment vertical="center"/>
      <protection hidden="1"/>
    </xf>
    <xf numFmtId="0" fontId="27" fillId="7" borderId="31" xfId="0" applyFont="1" applyFill="1" applyBorder="1" applyAlignment="1" applyProtection="1">
      <alignment vertical="center"/>
      <protection hidden="1"/>
    </xf>
    <xf numFmtId="21" fontId="30" fillId="7" borderId="31" xfId="0" applyNumberFormat="1" applyFont="1" applyFill="1" applyBorder="1" applyAlignment="1" applyProtection="1">
      <alignment horizontal="center" vertical="center"/>
      <protection hidden="1"/>
    </xf>
    <xf numFmtId="0" fontId="9" fillId="7" borderId="32" xfId="0" applyFont="1" applyFill="1" applyBorder="1" applyAlignment="1" applyProtection="1">
      <alignment vertical="center"/>
      <protection hidden="1"/>
    </xf>
    <xf numFmtId="0" fontId="9" fillId="7" borderId="30" xfId="0" applyFont="1" applyFill="1" applyBorder="1" applyAlignment="1" applyProtection="1">
      <alignment vertical="center"/>
      <protection hidden="1"/>
    </xf>
    <xf numFmtId="0" fontId="27" fillId="7" borderId="30" xfId="0" applyFont="1" applyFill="1" applyBorder="1" applyAlignment="1" applyProtection="1">
      <alignment vertical="center"/>
      <protection hidden="1"/>
    </xf>
    <xf numFmtId="0" fontId="43" fillId="7" borderId="30" xfId="0" applyFont="1" applyFill="1" applyBorder="1" applyAlignment="1" applyProtection="1">
      <alignment vertical="center"/>
      <protection hidden="1"/>
    </xf>
    <xf numFmtId="0" fontId="42" fillId="7" borderId="30" xfId="0" applyFont="1" applyFill="1" applyBorder="1" applyAlignment="1" applyProtection="1">
      <alignment vertical="center"/>
      <protection hidden="1"/>
    </xf>
    <xf numFmtId="21" fontId="42" fillId="7" borderId="30" xfId="0" applyNumberFormat="1" applyFont="1" applyFill="1" applyBorder="1" applyAlignment="1" applyProtection="1">
      <alignment horizontal="center" vertical="center"/>
      <protection hidden="1"/>
    </xf>
    <xf numFmtId="21" fontId="33" fillId="7" borderId="30" xfId="0" applyNumberFormat="1" applyFont="1" applyFill="1" applyBorder="1" applyAlignment="1" applyProtection="1">
      <alignment horizontal="center" vertical="center"/>
      <protection hidden="1"/>
    </xf>
    <xf numFmtId="21" fontId="30" fillId="7" borderId="28" xfId="0" applyNumberFormat="1" applyFont="1" applyFill="1" applyBorder="1" applyAlignment="1" applyProtection="1">
      <alignment horizontal="center" vertical="center"/>
      <protection hidden="1"/>
    </xf>
    <xf numFmtId="0" fontId="58" fillId="6" borderId="0" xfId="0" applyFont="1" applyFill="1" applyAlignment="1">
      <alignment horizontal="center"/>
    </xf>
    <xf numFmtId="0" fontId="44" fillId="6" borderId="0" xfId="0" applyFont="1" applyFill="1" applyAlignment="1">
      <alignment horizontal="center" vertical="center" wrapText="1"/>
    </xf>
    <xf numFmtId="15" fontId="55" fillId="0" borderId="6" xfId="0" applyNumberFormat="1" applyFont="1" applyBorder="1" applyAlignment="1">
      <alignment horizontal="center"/>
    </xf>
    <xf numFmtId="0" fontId="56" fillId="0" borderId="2" xfId="3" applyFont="1" applyBorder="1" applyAlignment="1">
      <alignment horizontal="center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0" fontId="56" fillId="0" borderId="3" xfId="0" applyFont="1" applyBorder="1" applyAlignment="1">
      <alignment horizontal="center"/>
    </xf>
    <xf numFmtId="3" fontId="56" fillId="0" borderId="6" xfId="2" applyNumberFormat="1" applyFont="1" applyFill="1" applyBorder="1" applyAlignment="1" applyProtection="1">
      <alignment horizontal="center"/>
      <protection locked="0"/>
    </xf>
    <xf numFmtId="3" fontId="56" fillId="0" borderId="33" xfId="2" applyNumberFormat="1" applyFont="1" applyFill="1" applyBorder="1" applyAlignment="1" applyProtection="1">
      <alignment horizontal="center"/>
      <protection locked="0"/>
    </xf>
    <xf numFmtId="3" fontId="56" fillId="0" borderId="34" xfId="2" applyNumberFormat="1" applyFont="1" applyFill="1" applyBorder="1" applyAlignment="1" applyProtection="1">
      <alignment horizontal="center"/>
      <protection locked="0"/>
    </xf>
    <xf numFmtId="3" fontId="57" fillId="0" borderId="2" xfId="0" applyNumberFormat="1" applyFont="1" applyBorder="1" applyAlignment="1">
      <alignment horizontal="center"/>
    </xf>
    <xf numFmtId="0" fontId="59" fillId="0" borderId="2" xfId="0" applyFont="1" applyBorder="1" applyAlignment="1" applyProtection="1">
      <alignment horizontal="center"/>
      <protection locked="0"/>
    </xf>
    <xf numFmtId="0" fontId="56" fillId="0" borderId="34" xfId="0" applyFont="1" applyBorder="1" applyAlignment="1">
      <alignment horizontal="center"/>
    </xf>
    <xf numFmtId="3" fontId="56" fillId="0" borderId="22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0" fontId="44" fillId="8" borderId="0" xfId="0" applyFont="1" applyFill="1" applyAlignment="1">
      <alignment horizontal="center"/>
    </xf>
    <xf numFmtId="0" fontId="44" fillId="5" borderId="0" xfId="0" applyFont="1" applyFill="1" applyAlignment="1">
      <alignment horizontal="center" vertical="center" wrapText="1"/>
    </xf>
    <xf numFmtId="0" fontId="1" fillId="0" borderId="37" xfId="0" applyFont="1" applyBorder="1" applyAlignment="1">
      <alignment horizontal="center"/>
    </xf>
    <xf numFmtId="0" fontId="22" fillId="0" borderId="0" xfId="0" applyFont="1"/>
    <xf numFmtId="0" fontId="44" fillId="5" borderId="2" xfId="0" applyFont="1" applyFill="1" applyBorder="1" applyAlignment="1">
      <alignment horizontal="center" vertical="center" wrapText="1"/>
    </xf>
    <xf numFmtId="0" fontId="61" fillId="5" borderId="2" xfId="0" applyFont="1" applyFill="1" applyBorder="1" applyAlignment="1">
      <alignment horizontal="center" vertical="center" wrapText="1"/>
    </xf>
    <xf numFmtId="15" fontId="55" fillId="8" borderId="5" xfId="0" applyNumberFormat="1" applyFont="1" applyFill="1" applyBorder="1" applyAlignment="1">
      <alignment horizontal="center"/>
    </xf>
    <xf numFmtId="0" fontId="40" fillId="0" borderId="20" xfId="0" applyFont="1" applyBorder="1" applyAlignment="1">
      <alignment horizontal="center"/>
    </xf>
    <xf numFmtId="165" fontId="62" fillId="0" borderId="0" xfId="0" applyNumberFormat="1" applyFont="1" applyAlignment="1">
      <alignment horizontal="center"/>
    </xf>
    <xf numFmtId="0" fontId="67" fillId="5" borderId="0" xfId="0" applyFont="1" applyFill="1" applyAlignment="1">
      <alignment horizontal="center" vertical="center" wrapText="1"/>
    </xf>
    <xf numFmtId="3" fontId="59" fillId="0" borderId="1" xfId="0" applyNumberFormat="1" applyFont="1" applyBorder="1" applyAlignment="1" applyProtection="1">
      <alignment horizontal="center"/>
      <protection locked="0"/>
    </xf>
    <xf numFmtId="3" fontId="64" fillId="0" borderId="8" xfId="2" applyNumberFormat="1" applyFont="1" applyFill="1" applyBorder="1" applyAlignment="1" applyProtection="1">
      <alignment horizontal="center" vertical="center"/>
      <protection locked="0"/>
    </xf>
    <xf numFmtId="0" fontId="1" fillId="0" borderId="42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66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3" fontId="64" fillId="0" borderId="33" xfId="2" applyNumberFormat="1" applyFont="1" applyFill="1" applyBorder="1" applyAlignment="1" applyProtection="1">
      <alignment horizontal="center" vertical="center"/>
      <protection locked="0"/>
    </xf>
    <xf numFmtId="0" fontId="65" fillId="0" borderId="0" xfId="0" applyFont="1" applyAlignment="1">
      <alignment horizontal="center" vertical="center"/>
    </xf>
    <xf numFmtId="165" fontId="21" fillId="0" borderId="2" xfId="2" applyNumberFormat="1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" fontId="40" fillId="0" borderId="33" xfId="0" applyNumberFormat="1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1" fillId="8" borderId="0" xfId="0" applyFont="1" applyFill="1" applyAlignment="1">
      <alignment vertical="center"/>
    </xf>
    <xf numFmtId="0" fontId="76" fillId="10" borderId="50" xfId="5" applyFont="1" applyFill="1" applyBorder="1" applyAlignment="1">
      <alignment horizontal="center"/>
    </xf>
    <xf numFmtId="0" fontId="76" fillId="13" borderId="50" xfId="5" applyFont="1" applyFill="1" applyBorder="1" applyAlignment="1">
      <alignment horizontal="center"/>
    </xf>
    <xf numFmtId="0" fontId="76" fillId="14" borderId="51" xfId="5" applyFont="1" applyFill="1" applyBorder="1" applyAlignment="1">
      <alignment horizontal="center"/>
    </xf>
    <xf numFmtId="0" fontId="77" fillId="16" borderId="52" xfId="5" applyFont="1" applyFill="1" applyBorder="1" applyAlignment="1">
      <alignment horizontal="center" vertical="center" wrapText="1"/>
    </xf>
    <xf numFmtId="0" fontId="77" fillId="16" borderId="53" xfId="5" applyFont="1" applyFill="1" applyBorder="1" applyAlignment="1">
      <alignment horizontal="center" vertical="center" wrapText="1"/>
    </xf>
    <xf numFmtId="0" fontId="77" fillId="16" borderId="54" xfId="5" applyFont="1" applyFill="1" applyBorder="1" applyAlignment="1">
      <alignment horizontal="center" vertical="center" wrapText="1"/>
    </xf>
    <xf numFmtId="0" fontId="77" fillId="16" borderId="55" xfId="5" applyFont="1" applyFill="1" applyBorder="1" applyAlignment="1">
      <alignment horizontal="center" vertical="center" wrapText="1"/>
    </xf>
    <xf numFmtId="0" fontId="77" fillId="12" borderId="53" xfId="5" applyFont="1" applyFill="1" applyBorder="1" applyAlignment="1">
      <alignment horizontal="center" vertical="center" wrapText="1"/>
    </xf>
    <xf numFmtId="0" fontId="77" fillId="12" borderId="52" xfId="5" applyFont="1" applyFill="1" applyBorder="1" applyAlignment="1">
      <alignment horizontal="center" vertical="center" wrapText="1"/>
    </xf>
    <xf numFmtId="0" fontId="77" fillId="12" borderId="56" xfId="5" applyFont="1" applyFill="1" applyBorder="1" applyAlignment="1">
      <alignment horizontal="center" vertical="center" wrapText="1"/>
    </xf>
    <xf numFmtId="0" fontId="76" fillId="10" borderId="57" xfId="5" applyFont="1" applyFill="1" applyBorder="1" applyAlignment="1">
      <alignment horizontal="center" vertical="center" wrapText="1"/>
    </xf>
    <xf numFmtId="0" fontId="76" fillId="10" borderId="58" xfId="5" applyFont="1" applyFill="1" applyBorder="1" applyAlignment="1">
      <alignment horizontal="center" vertical="center" wrapText="1"/>
    </xf>
    <xf numFmtId="0" fontId="76" fillId="10" borderId="59" xfId="5" applyFont="1" applyFill="1" applyBorder="1" applyAlignment="1">
      <alignment horizontal="center" vertical="center" wrapText="1"/>
    </xf>
    <xf numFmtId="0" fontId="76" fillId="13" borderId="58" xfId="5" applyFont="1" applyFill="1" applyBorder="1" applyAlignment="1">
      <alignment horizontal="center" vertical="center" wrapText="1"/>
    </xf>
    <xf numFmtId="0" fontId="76" fillId="13" borderId="60" xfId="5" applyFont="1" applyFill="1" applyBorder="1" applyAlignment="1">
      <alignment horizontal="center" vertical="center" wrapText="1"/>
    </xf>
    <xf numFmtId="0" fontId="76" fillId="14" borderId="58" xfId="5" applyFont="1" applyFill="1" applyBorder="1" applyAlignment="1">
      <alignment horizontal="center" vertical="center" wrapText="1"/>
    </xf>
    <xf numFmtId="0" fontId="76" fillId="14" borderId="61" xfId="5" applyFont="1" applyFill="1" applyBorder="1" applyAlignment="1">
      <alignment horizontal="center" vertical="center" wrapText="1"/>
    </xf>
    <xf numFmtId="0" fontId="63" fillId="9" borderId="59" xfId="0" applyFont="1" applyFill="1" applyBorder="1" applyAlignment="1">
      <alignment horizontal="center" wrapText="1"/>
    </xf>
    <xf numFmtId="0" fontId="63" fillId="11" borderId="59" xfId="0" applyFont="1" applyFill="1" applyBorder="1" applyAlignment="1">
      <alignment horizontal="center" wrapText="1"/>
    </xf>
    <xf numFmtId="0" fontId="1" fillId="11" borderId="53" xfId="0" applyFont="1" applyFill="1" applyBorder="1" applyAlignment="1">
      <alignment horizontal="center"/>
    </xf>
    <xf numFmtId="0" fontId="0" fillId="0" borderId="23" xfId="0" applyBorder="1"/>
    <xf numFmtId="0" fontId="1" fillId="11" borderId="4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166" fontId="13" fillId="0" borderId="0" xfId="2" applyNumberFormat="1" applyFont="1" applyBorder="1"/>
    <xf numFmtId="0" fontId="0" fillId="3" borderId="25" xfId="0" applyFill="1" applyBorder="1"/>
    <xf numFmtId="0" fontId="0" fillId="0" borderId="62" xfId="0" applyBorder="1"/>
    <xf numFmtId="0" fontId="0" fillId="0" borderId="63" xfId="0" applyBorder="1"/>
    <xf numFmtId="0" fontId="13" fillId="0" borderId="63" xfId="0" applyFont="1" applyBorder="1"/>
    <xf numFmtId="0" fontId="22" fillId="0" borderId="63" xfId="0" applyFont="1" applyBorder="1"/>
    <xf numFmtId="0" fontId="39" fillId="0" borderId="63" xfId="0" applyFont="1" applyBorder="1" applyAlignment="1">
      <alignment horizontal="center"/>
    </xf>
    <xf numFmtId="0" fontId="13" fillId="0" borderId="63" xfId="0" applyFont="1" applyBorder="1" applyAlignment="1">
      <alignment horizontal="center"/>
    </xf>
    <xf numFmtId="166" fontId="13" fillId="0" borderId="63" xfId="2" applyNumberFormat="1" applyFont="1" applyBorder="1"/>
    <xf numFmtId="0" fontId="0" fillId="3" borderId="63" xfId="0" applyFill="1" applyBorder="1"/>
    <xf numFmtId="0" fontId="0" fillId="3" borderId="64" xfId="0" applyFill="1" applyBorder="1"/>
    <xf numFmtId="0" fontId="1" fillId="0" borderId="0" xfId="0" applyFont="1"/>
    <xf numFmtId="0" fontId="14" fillId="8" borderId="30" xfId="0" applyFont="1" applyFill="1" applyBorder="1" applyAlignment="1">
      <alignment vertical="center"/>
    </xf>
    <xf numFmtId="0" fontId="78" fillId="8" borderId="40" xfId="0" applyFont="1" applyFill="1" applyBorder="1" applyAlignment="1">
      <alignment vertical="center"/>
    </xf>
    <xf numFmtId="0" fontId="79" fillId="8" borderId="0" xfId="0" applyFont="1" applyFill="1" applyAlignment="1"/>
    <xf numFmtId="0" fontId="60" fillId="7" borderId="0" xfId="0" applyFont="1" applyFill="1" applyAlignment="1" applyProtection="1">
      <alignment horizontal="center" vertical="center"/>
      <protection hidden="1"/>
    </xf>
    <xf numFmtId="0" fontId="74" fillId="14" borderId="36" xfId="5" applyFont="1" applyFill="1" applyBorder="1" applyAlignment="1">
      <alignment horizontal="center"/>
    </xf>
    <xf numFmtId="0" fontId="74" fillId="14" borderId="48" xfId="5" applyFont="1" applyFill="1" applyBorder="1" applyAlignment="1">
      <alignment horizontal="center"/>
    </xf>
    <xf numFmtId="0" fontId="76" fillId="14" borderId="50" xfId="5" applyFont="1" applyFill="1" applyBorder="1" applyAlignment="1">
      <alignment horizontal="center"/>
    </xf>
    <xf numFmtId="0" fontId="73" fillId="10" borderId="35" xfId="5" applyFont="1" applyFill="1" applyBorder="1" applyAlignment="1">
      <alignment horizontal="center"/>
    </xf>
    <xf numFmtId="0" fontId="73" fillId="10" borderId="36" xfId="5" applyFont="1" applyFill="1" applyBorder="1" applyAlignment="1">
      <alignment horizontal="center"/>
    </xf>
    <xf numFmtId="0" fontId="74" fillId="13" borderId="36" xfId="5" applyFont="1" applyFill="1" applyBorder="1" applyAlignment="1">
      <alignment horizontal="center"/>
    </xf>
    <xf numFmtId="0" fontId="76" fillId="10" borderId="49" xfId="5" applyFont="1" applyFill="1" applyBorder="1" applyAlignment="1">
      <alignment horizontal="center"/>
    </xf>
    <xf numFmtId="0" fontId="76" fillId="10" borderId="50" xfId="5" applyFont="1" applyFill="1" applyBorder="1" applyAlignment="1">
      <alignment horizontal="center"/>
    </xf>
    <xf numFmtId="0" fontId="75" fillId="12" borderId="11" xfId="5" applyFont="1" applyFill="1" applyBorder="1" applyAlignment="1">
      <alignment horizontal="center" vertical="center" shrinkToFit="1"/>
    </xf>
    <xf numFmtId="0" fontId="75" fillId="12" borderId="21" xfId="5" applyFont="1" applyFill="1" applyBorder="1" applyAlignment="1">
      <alignment horizontal="center" vertical="center" shrinkToFit="1"/>
    </xf>
    <xf numFmtId="0" fontId="75" fillId="15" borderId="14" xfId="5" applyFont="1" applyFill="1" applyBorder="1" applyAlignment="1">
      <alignment horizontal="center" vertical="center" shrinkToFit="1"/>
    </xf>
    <xf numFmtId="0" fontId="75" fillId="15" borderId="13" xfId="5" applyFont="1" applyFill="1" applyBorder="1" applyAlignment="1">
      <alignment horizontal="center" vertical="center" shrinkToFit="1"/>
    </xf>
    <xf numFmtId="0" fontId="75" fillId="15" borderId="15" xfId="5" applyFont="1" applyFill="1" applyBorder="1" applyAlignment="1">
      <alignment horizontal="center" vertical="center" shrinkToFit="1"/>
    </xf>
    <xf numFmtId="0" fontId="75" fillId="15" borderId="16" xfId="5" applyFont="1" applyFill="1" applyBorder="1" applyAlignment="1">
      <alignment horizontal="center" vertical="center" shrinkToFit="1"/>
    </xf>
    <xf numFmtId="0" fontId="72" fillId="12" borderId="11" xfId="5" applyFont="1" applyFill="1" applyBorder="1" applyAlignment="1">
      <alignment horizontal="center" vertical="center"/>
    </xf>
    <xf numFmtId="0" fontId="72" fillId="12" borderId="21" xfId="5" applyFont="1" applyFill="1" applyBorder="1" applyAlignment="1">
      <alignment horizontal="center" vertical="center"/>
    </xf>
    <xf numFmtId="0" fontId="72" fillId="12" borderId="7" xfId="5" applyFont="1" applyFill="1" applyBorder="1" applyAlignment="1">
      <alignment horizontal="center" vertical="center"/>
    </xf>
    <xf numFmtId="0" fontId="72" fillId="12" borderId="26" xfId="5" applyFont="1" applyFill="1" applyBorder="1" applyAlignment="1">
      <alignment horizontal="center" vertical="center"/>
    </xf>
    <xf numFmtId="0" fontId="75" fillId="15" borderId="21" xfId="5" applyFont="1" applyFill="1" applyBorder="1" applyAlignment="1">
      <alignment horizontal="center" vertical="center" shrinkToFit="1"/>
    </xf>
    <xf numFmtId="0" fontId="75" fillId="15" borderId="27" xfId="5" applyFont="1" applyFill="1" applyBorder="1" applyAlignment="1">
      <alignment horizontal="center" vertical="center" shrinkToFit="1"/>
    </xf>
    <xf numFmtId="0" fontId="72" fillId="12" borderId="12" xfId="5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78" fillId="8" borderId="40" xfId="0" applyFont="1" applyFill="1" applyBorder="1" applyAlignment="1">
      <alignment horizontal="center" vertical="center"/>
    </xf>
    <xf numFmtId="0" fontId="79" fillId="8" borderId="0" xfId="0" applyFont="1" applyFill="1" applyAlignment="1">
      <alignment horizontal="center"/>
    </xf>
    <xf numFmtId="0" fontId="80" fillId="8" borderId="0" xfId="0" applyFont="1" applyFill="1" applyAlignment="1">
      <alignment horizontal="center" wrapText="1"/>
    </xf>
    <xf numFmtId="0" fontId="80" fillId="8" borderId="0" xfId="0" applyFont="1" applyFill="1" applyAlignment="1">
      <alignment horizontal="center"/>
    </xf>
    <xf numFmtId="0" fontId="80" fillId="8" borderId="63" xfId="0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58" fillId="6" borderId="30" xfId="0" applyFont="1" applyFill="1" applyBorder="1" applyAlignment="1">
      <alignment horizontal="center"/>
    </xf>
    <xf numFmtId="0" fontId="58" fillId="6" borderId="0" xfId="0" applyFont="1" applyFill="1" applyAlignment="1">
      <alignment horizontal="center"/>
    </xf>
    <xf numFmtId="0" fontId="44" fillId="6" borderId="11" xfId="0" applyFont="1" applyFill="1" applyBorder="1" applyAlignment="1">
      <alignment horizontal="center" vertical="center" wrapText="1"/>
    </xf>
    <xf numFmtId="0" fontId="44" fillId="6" borderId="21" xfId="0" applyFont="1" applyFill="1" applyBorder="1" applyAlignment="1">
      <alignment horizontal="center" vertical="center" wrapText="1"/>
    </xf>
    <xf numFmtId="0" fontId="44" fillId="6" borderId="27" xfId="0" applyFont="1" applyFill="1" applyBorder="1" applyAlignment="1">
      <alignment horizontal="center" vertical="center" wrapText="1"/>
    </xf>
    <xf numFmtId="0" fontId="44" fillId="6" borderId="38" xfId="0" applyFont="1" applyFill="1" applyBorder="1" applyAlignment="1">
      <alignment horizontal="center" vertical="center" wrapText="1"/>
    </xf>
    <xf numFmtId="0" fontId="44" fillId="6" borderId="40" xfId="0" applyFont="1" applyFill="1" applyBorder="1" applyAlignment="1">
      <alignment horizontal="center" vertical="center" wrapText="1"/>
    </xf>
    <xf numFmtId="0" fontId="44" fillId="6" borderId="39" xfId="0" applyFont="1" applyFill="1" applyBorder="1" applyAlignment="1">
      <alignment horizontal="center" vertical="center" wrapText="1"/>
    </xf>
    <xf numFmtId="14" fontId="70" fillId="0" borderId="0" xfId="0" applyNumberFormat="1" applyFont="1" applyAlignment="1">
      <alignment horizontal="center" vertical="center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9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C6-4AFB-9212-5FDA85870E0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C6-4AFB-9212-5FDA85870E0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C6-4AFB-9212-5FDA85870E0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5C6-4AFB-9212-5FDA85870E0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5C6-4AFB-9212-5FDA85870E0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5C6-4AFB-9212-5FDA8587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534672"/>
        <c:axId val="449535064"/>
      </c:barChart>
      <c:catAx>
        <c:axId val="4495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535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49535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534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50-42BC-A29B-83D7FA0BEF1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50-42BC-A29B-83D7FA0BEF1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A50-42BC-A29B-83D7FA0BEF1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A50-42BC-A29B-83D7FA0BEF1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A50-42BC-A29B-83D7FA0BEF1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A50-42BC-A29B-83D7FA0BEF1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A50-42BC-A29B-83D7FA0BEF1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A50-42BC-A29B-83D7FA0BEF1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A50-42BC-A29B-83D7FA0BEF1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A50-42BC-A29B-83D7FA0BEF1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A50-42BC-A29B-83D7FA0BE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535848"/>
        <c:axId val="449535456"/>
      </c:lineChart>
      <c:catAx>
        <c:axId val="449535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53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535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535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CB-4AFC-AAE0-89FF3DD56D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CB-4AFC-AAE0-89FF3DD56D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CB-4AFC-AAE0-89FF3DD56D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CB-4AFC-AAE0-89FF3DD56D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CB-4AFC-AAE0-89FF3DD56D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CB-4AFC-AAE0-89FF3DD56D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CB-4AFC-AAE0-89FF3DD56D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CB-4AFC-AAE0-89FF3DD56D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CB-4AFC-AAE0-89FF3DD56D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CB-4AFC-AAE0-89FF3DD56D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CB-4AFC-AAE0-89FF3DD56D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CB-4AFC-AAE0-89FF3DD56D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CB-4AFC-AAE0-89FF3DD56D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CB-4AFC-AAE0-89FF3DD56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38760"/>
        <c:axId val="394939152"/>
      </c:barChart>
      <c:catAx>
        <c:axId val="394938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93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939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938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8B-47FC-828C-3589E73CD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8B-47FC-828C-3589E73CD9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8B-47FC-828C-3589E73CD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8B-47FC-828C-3589E73CD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8B-47FC-828C-3589E73CD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8B-47FC-828C-3589E73CD9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8B-47FC-828C-3589E73CD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8B-47FC-828C-3589E73CD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8B-47FC-828C-3589E73CD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8B-47FC-828C-3589E73CD9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8B-47FC-828C-3589E73CD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8B-47FC-828C-3589E73CD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8B-47FC-828C-3589E73CD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8B-47FC-828C-3589E73CD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39936"/>
        <c:axId val="377020336"/>
      </c:barChart>
      <c:catAx>
        <c:axId val="394939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0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20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939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EF-41E2-83DA-A01D51449D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EF-41E2-83DA-A01D51449D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EF-41E2-83DA-A01D51449D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EF-41E2-83DA-A01D51449D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EF-41E2-83DA-A01D51449D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EF-41E2-83DA-A01D51449D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EF-41E2-83DA-A01D51449D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EF-41E2-83DA-A01D51449D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EF-41E2-83DA-A01D51449D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EF-41E2-83DA-A01D51449D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EF-41E2-83DA-A01D51449D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EF-41E2-83DA-A01D51449D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EF-41E2-83DA-A01D51449D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EF-41E2-83DA-A01D51449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21120"/>
        <c:axId val="377021512"/>
      </c:barChart>
      <c:catAx>
        <c:axId val="37702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1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21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1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3D-4D7A-A9A5-FEFD5057F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3D-4D7A-A9A5-FEFD5057F1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3D-4D7A-A9A5-FEFD5057F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3D-4D7A-A9A5-FEFD5057F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3D-4D7A-A9A5-FEFD5057F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3D-4D7A-A9A5-FEFD5057F1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3D-4D7A-A9A5-FEFD5057F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3D-4D7A-A9A5-FEFD5057F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3D-4D7A-A9A5-FEFD5057F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3D-4D7A-A9A5-FEFD5057F1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3D-4D7A-A9A5-FEFD5057F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3D-4D7A-A9A5-FEFD5057F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3D-4D7A-A9A5-FEFD5057F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3D-4D7A-A9A5-FEFD5057F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53928"/>
        <c:axId val="516754320"/>
      </c:barChart>
      <c:catAx>
        <c:axId val="51675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54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54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53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0E-4AF9-BE4B-C8BC0A96A5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0E-4AF9-BE4B-C8BC0A96A5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0E-4AF9-BE4B-C8BC0A96A5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0E-4AF9-BE4B-C8BC0A96A5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0E-4AF9-BE4B-C8BC0A96A5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0E-4AF9-BE4B-C8BC0A96A5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0E-4AF9-BE4B-C8BC0A96A5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0E-4AF9-BE4B-C8BC0A96A5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0E-4AF9-BE4B-C8BC0A96A5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0E-4AF9-BE4B-C8BC0A96A5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0E-4AF9-BE4B-C8BC0A96A5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0E-4AF9-BE4B-C8BC0A96A5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0E-4AF9-BE4B-C8BC0A96A5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0E-4AF9-BE4B-C8BC0A96A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55104"/>
        <c:axId val="516755496"/>
      </c:barChart>
      <c:catAx>
        <c:axId val="51675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55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5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55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67-4247-B10E-44A649B04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67-4247-B10E-44A649B040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67-4247-B10E-44A649B04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67-4247-B10E-44A649B04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67-4247-B10E-44A649B04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67-4247-B10E-44A649B040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67-4247-B10E-44A649B04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67-4247-B10E-44A649B04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67-4247-B10E-44A649B04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67-4247-B10E-44A649B040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67-4247-B10E-44A649B040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67-4247-B10E-44A649B040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67-4247-B10E-44A649B040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67-4247-B10E-44A649B04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45056"/>
        <c:axId val="385345448"/>
      </c:barChart>
      <c:catAx>
        <c:axId val="38534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45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45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45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C2-4F17-9255-AD3B6D335E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C2-4F17-9255-AD3B6D335E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C2-4F17-9255-AD3B6D335E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C2-4F17-9255-AD3B6D335E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C2-4F17-9255-AD3B6D335E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C2-4F17-9255-AD3B6D335E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C2-4F17-9255-AD3B6D335E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C2-4F17-9255-AD3B6D335E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C2-4F17-9255-AD3B6D335E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C2-4F17-9255-AD3B6D335E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C2-4F17-9255-AD3B6D335E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C2-4F17-9255-AD3B6D335E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C2-4F17-9255-AD3B6D335E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C2-4F17-9255-AD3B6D335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46232"/>
        <c:axId val="502085696"/>
      </c:barChart>
      <c:catAx>
        <c:axId val="385346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08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085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46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55-451E-A4B0-D522D1583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55-451E-A4B0-D522D1583D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55-451E-A4B0-D522D1583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55-451E-A4B0-D522D1583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55-451E-A4B0-D522D1583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55-451E-A4B0-D522D1583D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55-451E-A4B0-D522D1583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55-451E-A4B0-D522D1583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55-451E-A4B0-D522D1583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55-451E-A4B0-D522D1583D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55-451E-A4B0-D522D1583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55-451E-A4B0-D522D1583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55-451E-A4B0-D522D1583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55-451E-A4B0-D522D1583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086480"/>
        <c:axId val="502086872"/>
      </c:barChart>
      <c:catAx>
        <c:axId val="50208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086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086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086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59-416A-A479-7CDE3803D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59-416A-A479-7CDE3803DC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59-416A-A479-7CDE3803D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59-416A-A479-7CDE3803D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59-416A-A479-7CDE3803D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59-416A-A479-7CDE3803DC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59-416A-A479-7CDE3803D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59-416A-A479-7CDE3803D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59-416A-A479-7CDE3803D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59-416A-A479-7CDE3803DC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59-416A-A479-7CDE3803DC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59-416A-A479-7CDE3803DC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59-416A-A479-7CDE3803DC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59-416A-A479-7CDE3803D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34672"/>
        <c:axId val="377035064"/>
      </c:barChart>
      <c:catAx>
        <c:axId val="3770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35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35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34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B2-4B29-B030-F0F4F8A1C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B2-4B29-B030-F0F4F8A1C1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B2-4B29-B030-F0F4F8A1C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B2-4B29-B030-F0F4F8A1C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B2-4B29-B030-F0F4F8A1C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B2-4B29-B030-F0F4F8A1C1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B2-4B29-B030-F0F4F8A1C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B2-4B29-B030-F0F4F8A1C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B2-4B29-B030-F0F4F8A1C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B2-4B29-B030-F0F4F8A1C1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B2-4B29-B030-F0F4F8A1C1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B2-4B29-B030-F0F4F8A1C1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B2-4B29-B030-F0F4F8A1C1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B2-4B29-B030-F0F4F8A1C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35848"/>
        <c:axId val="377036240"/>
      </c:barChart>
      <c:catAx>
        <c:axId val="377035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36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36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35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72-47EB-BE0E-AFFD0C277E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72-47EB-BE0E-AFFD0C277E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72-47EB-BE0E-AFFD0C277E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72-47EB-BE0E-AFFD0C277E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72-47EB-BE0E-AFFD0C277E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72-47EB-BE0E-AFFD0C277E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72-47EB-BE0E-AFFD0C277E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72-47EB-BE0E-AFFD0C277E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72-47EB-BE0E-AFFD0C277E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72-47EB-BE0E-AFFD0C277E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72-47EB-BE0E-AFFD0C277E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72-47EB-BE0E-AFFD0C277E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72-47EB-BE0E-AFFD0C277E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72-47EB-BE0E-AFFD0C277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26872"/>
        <c:axId val="377027264"/>
      </c:barChart>
      <c:catAx>
        <c:axId val="37702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2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3A-43FE-852B-F31027DAF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3A-43FE-852B-F31027DAFF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3A-43FE-852B-F31027DAF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3A-43FE-852B-F31027DAF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3A-43FE-852B-F31027DAF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3A-43FE-852B-F31027DAFF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3A-43FE-852B-F31027DAF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3A-43FE-852B-F31027DAF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3A-43FE-852B-F31027DAF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3A-43FE-852B-F31027DAFF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3A-43FE-852B-F31027DAFF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3A-43FE-852B-F31027DAFF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3A-43FE-852B-F31027DAFF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3A-43FE-852B-F31027DA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28048"/>
        <c:axId val="481445920"/>
      </c:barChart>
      <c:catAx>
        <c:axId val="37702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44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445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28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66-4548-A854-EC76F13C53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66-4548-A854-EC76F13C53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66-4548-A854-EC76F13C53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66-4548-A854-EC76F13C53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66-4548-A854-EC76F13C53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66-4548-A854-EC76F13C53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66-4548-A854-EC76F13C53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66-4548-A854-EC76F13C53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66-4548-A854-EC76F13C53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66-4548-A854-EC76F13C53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66-4548-A854-EC76F13C53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66-4548-A854-EC76F13C53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66-4548-A854-EC76F13C53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66-4548-A854-EC76F13C5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46704"/>
        <c:axId val="481447096"/>
      </c:barChart>
      <c:catAx>
        <c:axId val="48144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44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447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446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C4-4019-8224-53B04F83E2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C4-4019-8224-53B04F83E2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C4-4019-8224-53B04F83E2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C4-4019-8224-53B04F83E2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C4-4019-8224-53B04F83E2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C4-4019-8224-53B04F83E2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C4-4019-8224-53B04F83E2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C4-4019-8224-53B04F83E2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C4-4019-8224-53B04F83E2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C4-4019-8224-53B04F83E2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C4-4019-8224-53B04F83E2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C4-4019-8224-53B04F83E2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C4-4019-8224-53B04F83E2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C4-4019-8224-53B04F83E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29392"/>
        <c:axId val="399429784"/>
      </c:barChart>
      <c:catAx>
        <c:axId val="39942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29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429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29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F2-48E7-9B04-627ED1652B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F2-48E7-9B04-627ED1652B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F2-48E7-9B04-627ED1652B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F2-48E7-9B04-627ED1652B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F2-48E7-9B04-627ED1652B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BF2-48E7-9B04-627ED1652B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F2-48E7-9B04-627ED1652B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F2-48E7-9B04-627ED1652B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F2-48E7-9B04-627ED1652B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F2-48E7-9B04-627ED1652B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F2-48E7-9B04-627ED1652B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F2-48E7-9B04-627ED1652B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F2-48E7-9B04-627ED1652B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BF2-48E7-9B04-627ED165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30568"/>
        <c:axId val="399430960"/>
      </c:barChart>
      <c:catAx>
        <c:axId val="39943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3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430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30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81-4697-874B-1292017D37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481-4697-874B-1292017D37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81-4697-874B-1292017D37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81-4697-874B-1292017D37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81-4697-874B-1292017D37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481-4697-874B-1292017D37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81-4697-874B-1292017D37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81-4697-874B-1292017D37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81-4697-874B-1292017D37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481-4697-874B-1292017D37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81-4697-874B-1292017D37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81-4697-874B-1292017D37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81-4697-874B-1292017D37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481-4697-874B-1292017D3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238784"/>
        <c:axId val="252239176"/>
      </c:barChart>
      <c:catAx>
        <c:axId val="25223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23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23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23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97-4B6A-883C-81918D0C64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97-4B6A-883C-81918D0C64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97-4B6A-883C-81918D0C64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97-4B6A-883C-81918D0C64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97-4B6A-883C-81918D0C64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97-4B6A-883C-81918D0C64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97-4B6A-883C-81918D0C64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97-4B6A-883C-81918D0C64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97-4B6A-883C-81918D0C64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97-4B6A-883C-81918D0C64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97-4B6A-883C-81918D0C64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97-4B6A-883C-81918D0C64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97-4B6A-883C-81918D0C64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97-4B6A-883C-81918D0C6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239960"/>
        <c:axId val="396218632"/>
      </c:barChart>
      <c:catAx>
        <c:axId val="25223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18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218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23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E0-4557-AF89-02355BD974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E0-4557-AF89-02355BD974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E0-4557-AF89-02355BD974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E0-4557-AF89-02355BD974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E0-4557-AF89-02355BD974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E0-4557-AF89-02355BD974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E0-4557-AF89-02355BD974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E0-4557-AF89-02355BD974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E0-4557-AF89-02355BD974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E0-4557-AF89-02355BD974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E0-4557-AF89-02355BD974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E0-4557-AF89-02355BD974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E0-4557-AF89-02355BD974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E0-4557-AF89-02355BD97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219416"/>
        <c:axId val="396219808"/>
      </c:barChart>
      <c:catAx>
        <c:axId val="396219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1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219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19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F7-435E-8202-5483B0AC3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F7-435E-8202-5483B0AC37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F7-435E-8202-5483B0AC3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F7-435E-8202-5483B0AC3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F7-435E-8202-5483B0AC3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F7-435E-8202-5483B0AC37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F7-435E-8202-5483B0AC3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F7-435E-8202-5483B0AC3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F7-435E-8202-5483B0AC3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F7-435E-8202-5483B0AC37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F7-435E-8202-5483B0AC3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F7-435E-8202-5483B0AC3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F7-435E-8202-5483B0AC3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F7-435E-8202-5483B0AC3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365704"/>
        <c:axId val="574366096"/>
      </c:barChart>
      <c:catAx>
        <c:axId val="57436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36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436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36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BA-4A58-9798-D8C82FC9B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BA-4A58-9798-D8C82FC9B0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BA-4A58-9798-D8C82FC9B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BA-4A58-9798-D8C82FC9B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BA-4A58-9798-D8C82FC9B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BA-4A58-9798-D8C82FC9B0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BA-4A58-9798-D8C82FC9B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BA-4A58-9798-D8C82FC9B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BA-4A58-9798-D8C82FC9B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BA-4A58-9798-D8C82FC9B0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BA-4A58-9798-D8C82FC9B0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BA-4A58-9798-D8C82FC9B0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BA-4A58-9798-D8C82FC9B0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BA-4A58-9798-D8C82FC9B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366880"/>
        <c:axId val="574367272"/>
      </c:barChart>
      <c:catAx>
        <c:axId val="57436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367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4367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366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3-48D9-AB84-33FE15277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23-48D9-AB84-33FE15277E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23-48D9-AB84-33FE15277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23-48D9-AB84-33FE15277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23-48D9-AB84-33FE15277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23-48D9-AB84-33FE15277E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23-48D9-AB84-33FE15277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23-48D9-AB84-33FE15277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23-48D9-AB84-33FE15277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23-48D9-AB84-33FE15277E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23-48D9-AB84-33FE15277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23-48D9-AB84-33FE15277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23-48D9-AB84-33FE15277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23-48D9-AB84-33FE15277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674896"/>
        <c:axId val="529675288"/>
      </c:barChart>
      <c:catAx>
        <c:axId val="52967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67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67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674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E-4220-9590-90A762698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BE-4220-9590-90A7626986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E-4220-9590-90A762698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BE-4220-9590-90A762698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BE-4220-9590-90A762698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BE-4220-9590-90A7626986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BE-4220-9590-90A762698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BE-4220-9590-90A762698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BE-4220-9590-90A762698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BE-4220-9590-90A7626986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BE-4220-9590-90A762698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BE-4220-9590-90A762698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BE-4220-9590-90A762698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BE-4220-9590-90A762698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676072"/>
        <c:axId val="396220680"/>
      </c:barChart>
      <c:catAx>
        <c:axId val="52967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20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220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676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D7-4AC3-80BA-FE5E8CC87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D7-4AC3-80BA-FE5E8CC87F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D7-4AC3-80BA-FE5E8CC87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D7-4AC3-80BA-FE5E8CC87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D7-4AC3-80BA-FE5E8CC87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D7-4AC3-80BA-FE5E8CC87F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D7-4AC3-80BA-FE5E8CC87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D7-4AC3-80BA-FE5E8CC87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D7-4AC3-80BA-FE5E8CC87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D7-4AC3-80BA-FE5E8CC87F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D7-4AC3-80BA-FE5E8CC87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D7-4AC3-80BA-FE5E8CC87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D7-4AC3-80BA-FE5E8CC87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D7-4AC3-80BA-FE5E8CC87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221464"/>
        <c:axId val="396221856"/>
      </c:barChart>
      <c:catAx>
        <c:axId val="396221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2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22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221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96-43DF-AB4B-37F67A4A8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96-43DF-AB4B-37F67A4A89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96-43DF-AB4B-37F67A4A8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96-43DF-AB4B-37F67A4A8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96-43DF-AB4B-37F67A4A8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96-43DF-AB4B-37F67A4A89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96-43DF-AB4B-37F67A4A8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96-43DF-AB4B-37F67A4A8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96-43DF-AB4B-37F67A4A8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96-43DF-AB4B-37F67A4A89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96-43DF-AB4B-37F67A4A8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96-43DF-AB4B-37F67A4A8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96-43DF-AB4B-37F67A4A8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96-43DF-AB4B-37F67A4A8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92752"/>
        <c:axId val="386293144"/>
      </c:barChart>
      <c:catAx>
        <c:axId val="38629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93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93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92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117041</xdr:rowOff>
    </xdr:from>
    <xdr:to>
      <xdr:col>1</xdr:col>
      <xdr:colOff>390525</xdr:colOff>
      <xdr:row>2</xdr:row>
      <xdr:rowOff>220161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4" y="117041"/>
          <a:ext cx="838201" cy="9127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</xdr:colOff>
      <xdr:row>11</xdr:row>
      <xdr:rowOff>76200</xdr:rowOff>
    </xdr:from>
    <xdr:to>
      <xdr:col>12</xdr:col>
      <xdr:colOff>161401</xdr:colOff>
      <xdr:row>22</xdr:row>
      <xdr:rowOff>171176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48125" y="3171825"/>
          <a:ext cx="4190476" cy="2190476"/>
        </a:xfrm>
        <a:prstGeom prst="rect">
          <a:avLst/>
        </a:prstGeom>
      </xdr:spPr>
    </xdr:pic>
    <xdr:clientData/>
  </xdr:twoCellAnchor>
  <xdr:twoCellAnchor>
    <xdr:from>
      <xdr:col>1</xdr:col>
      <xdr:colOff>457200</xdr:colOff>
      <xdr:row>0</xdr:row>
      <xdr:rowOff>142874</xdr:rowOff>
    </xdr:from>
    <xdr:to>
      <xdr:col>3</xdr:col>
      <xdr:colOff>314325</xdr:colOff>
      <xdr:row>2</xdr:row>
      <xdr:rowOff>180974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952500" y="142874"/>
          <a:ext cx="819150" cy="84772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252940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5" customFormat="1" ht="17.45" customHeight="1">
      <c r="A1" s="36"/>
      <c r="B1" s="37"/>
      <c r="C1" s="37"/>
      <c r="D1" s="37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</row>
    <row r="2" spans="1:21" s="5" customFormat="1" ht="17.45" customHeight="1">
      <c r="A2" s="39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6"/>
      <c r="S2" s="36"/>
      <c r="T2" s="36"/>
      <c r="U2" s="38"/>
    </row>
    <row r="3" spans="1:21" s="5" customFormat="1" ht="17.45" customHeight="1">
      <c r="A3" s="39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6"/>
      <c r="S3" s="36"/>
      <c r="T3" s="36"/>
      <c r="U3" s="38"/>
    </row>
    <row r="4" spans="1:21" s="5" customFormat="1" ht="10.5" customHeight="1">
      <c r="A4" s="39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6"/>
      <c r="S4" s="36"/>
      <c r="T4" s="36"/>
      <c r="U4" s="38"/>
    </row>
    <row r="5" spans="1:21" s="5" customFormat="1" ht="32.25" customHeight="1">
      <c r="A5" s="37"/>
      <c r="B5" s="91"/>
      <c r="C5" s="59"/>
      <c r="D5" s="59"/>
      <c r="E5" s="188" t="s">
        <v>70</v>
      </c>
      <c r="F5" s="188"/>
      <c r="G5" s="188"/>
      <c r="H5" s="188"/>
      <c r="I5" s="188"/>
      <c r="J5" s="188"/>
      <c r="K5" s="188"/>
      <c r="L5" s="188"/>
      <c r="M5" s="188"/>
      <c r="N5" s="60"/>
      <c r="O5" s="53"/>
      <c r="P5" s="53"/>
      <c r="Q5" s="92"/>
      <c r="R5" s="36"/>
      <c r="S5" s="36"/>
      <c r="T5" s="36"/>
      <c r="U5" s="38"/>
    </row>
    <row r="6" spans="1:21" s="5" customFormat="1" ht="17.45" customHeight="1">
      <c r="A6" s="39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6"/>
      <c r="S6" s="36"/>
      <c r="T6" s="36"/>
      <c r="U6" s="38"/>
    </row>
    <row r="7" spans="1:21" s="5" customFormat="1" ht="17.45" customHeight="1">
      <c r="A7" s="39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6"/>
      <c r="S7" s="36"/>
      <c r="T7" s="36"/>
      <c r="U7" s="38"/>
    </row>
    <row r="8" spans="1:21" s="5" customFormat="1" ht="17.45" customHeight="1">
      <c r="A8" s="39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6"/>
      <c r="S8" s="36"/>
      <c r="T8" s="36"/>
      <c r="U8" s="38"/>
    </row>
    <row r="9" spans="1:21" s="5" customFormat="1" ht="17.45" customHeight="1">
      <c r="A9" s="39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6"/>
      <c r="S9" s="36"/>
      <c r="T9" s="36"/>
      <c r="U9" s="38"/>
    </row>
    <row r="10" spans="1:21" s="5" customFormat="1" ht="17.45" customHeight="1">
      <c r="A10" s="39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6"/>
      <c r="S10" s="36"/>
      <c r="T10" s="36"/>
      <c r="U10" s="38"/>
    </row>
    <row r="11" spans="1:21" s="5" customFormat="1" ht="12" customHeight="1">
      <c r="A11" s="39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6"/>
      <c r="S11" s="36"/>
      <c r="T11" s="36"/>
      <c r="U11" s="38"/>
    </row>
    <row r="12" spans="1:21" s="5" customFormat="1" ht="17.45" customHeight="1">
      <c r="A12" s="39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6"/>
      <c r="S12" s="36"/>
      <c r="T12" s="36"/>
      <c r="U12" s="38"/>
    </row>
    <row r="13" spans="1:21" s="5" customFormat="1" ht="17.25" customHeight="1">
      <c r="A13" s="39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6"/>
      <c r="S13" s="36"/>
      <c r="T13" s="36"/>
      <c r="U13" s="38"/>
    </row>
    <row r="14" spans="1:21" s="5" customFormat="1" ht="17.25" customHeight="1">
      <c r="A14" s="39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6"/>
      <c r="S14" s="36"/>
      <c r="T14" s="36"/>
      <c r="U14" s="38"/>
    </row>
    <row r="15" spans="1:21" s="5" customFormat="1" ht="17.45" customHeight="1">
      <c r="A15" s="42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6"/>
      <c r="S15" s="36"/>
      <c r="T15" s="36"/>
      <c r="U15" s="38"/>
    </row>
    <row r="16" spans="1:21" s="5" customFormat="1" ht="17.45" customHeight="1">
      <c r="A16" s="42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6"/>
      <c r="S16" s="36"/>
      <c r="T16" s="36"/>
      <c r="U16" s="38"/>
    </row>
    <row r="17" spans="1:21" s="5" customFormat="1" ht="17.45" customHeight="1">
      <c r="A17" s="42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6"/>
      <c r="S17" s="36"/>
      <c r="T17" s="36"/>
      <c r="U17" s="38"/>
    </row>
    <row r="18" spans="1:21" s="5" customFormat="1" ht="17.25" customHeight="1">
      <c r="A18" s="42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6"/>
      <c r="S18" s="36"/>
      <c r="T18" s="36"/>
      <c r="U18" s="38"/>
    </row>
    <row r="19" spans="1:21" s="5" customFormat="1" ht="17.45" customHeight="1">
      <c r="A19" s="42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6"/>
      <c r="S19" s="36"/>
      <c r="T19" s="36"/>
      <c r="U19" s="38"/>
    </row>
    <row r="20" spans="1:21" s="5" customFormat="1" ht="17.45" customHeight="1">
      <c r="A20" s="42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6"/>
      <c r="S20" s="36"/>
      <c r="T20" s="36"/>
      <c r="U20" s="38"/>
    </row>
    <row r="21" spans="1:21" s="5" customFormat="1" ht="17.45" customHeight="1">
      <c r="A21" s="42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6"/>
      <c r="S21" s="36"/>
      <c r="T21" s="36"/>
      <c r="U21" s="38"/>
    </row>
    <row r="22" spans="1:21" s="5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8"/>
    </row>
    <row r="23" spans="1:21" s="5" customFormat="1" ht="15" customHeight="1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0"/>
      <c r="S23" s="51"/>
      <c r="T23" s="51"/>
      <c r="U23" s="51"/>
    </row>
    <row r="24" spans="1:21" s="5" customFormat="1" ht="1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0"/>
      <c r="S24" s="51"/>
      <c r="T24" s="51"/>
      <c r="U24" s="51"/>
    </row>
    <row r="25" spans="1:21" s="5" customFormat="1" ht="15" customHeight="1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0"/>
      <c r="S25" s="51"/>
      <c r="T25" s="51"/>
      <c r="U25" s="51"/>
    </row>
    <row r="26" spans="1:21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0"/>
      <c r="S26" s="51"/>
      <c r="T26" s="51"/>
      <c r="U26" s="52"/>
    </row>
    <row r="27" spans="1:21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0"/>
      <c r="S27" s="51"/>
      <c r="T27" s="51"/>
      <c r="U27" s="52"/>
    </row>
    <row r="28" spans="1:21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9" t="s">
        <v>24</v>
      </c>
    </row>
    <row r="72" spans="2:2">
      <c r="B72" s="10" t="s">
        <v>26</v>
      </c>
    </row>
    <row r="73" spans="2:2">
      <c r="B73" s="11" t="s">
        <v>30</v>
      </c>
    </row>
    <row r="74" spans="2:2">
      <c r="B74" s="12"/>
    </row>
    <row r="76" spans="2:2">
      <c r="B76" s="9" t="s">
        <v>24</v>
      </c>
    </row>
    <row r="77" spans="2:2">
      <c r="B77" s="10" t="s">
        <v>27</v>
      </c>
    </row>
    <row r="78" spans="2:2">
      <c r="B78" s="11" t="s">
        <v>31</v>
      </c>
    </row>
    <row r="79" spans="2:2">
      <c r="B79" s="12"/>
    </row>
    <row r="81" spans="2:2">
      <c r="B81" s="9" t="s">
        <v>32</v>
      </c>
    </row>
    <row r="82" spans="2:2">
      <c r="B82" s="10" t="s">
        <v>20</v>
      </c>
    </row>
    <row r="83" spans="2:2">
      <c r="B83" s="11" t="s">
        <v>28</v>
      </c>
    </row>
    <row r="84" spans="2:2">
      <c r="B84" s="11" t="s">
        <v>33</v>
      </c>
    </row>
    <row r="85" spans="2:2">
      <c r="B85" s="11" t="s">
        <v>34</v>
      </c>
    </row>
    <row r="86" spans="2:2">
      <c r="B86" s="11" t="s">
        <v>35</v>
      </c>
    </row>
    <row r="87" spans="2:2">
      <c r="B87" s="12" t="s">
        <v>36</v>
      </c>
    </row>
    <row r="88" spans="2:2">
      <c r="B88" s="3"/>
    </row>
    <row r="89" spans="2:2">
      <c r="B89" s="9" t="s">
        <v>37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38</v>
      </c>
    </row>
    <row r="95" spans="2:2">
      <c r="B95" s="15" t="s">
        <v>39</v>
      </c>
    </row>
    <row r="96" spans="2:2">
      <c r="B96" s="15" t="s">
        <v>29</v>
      </c>
    </row>
    <row r="97" spans="2:2">
      <c r="B97" s="16" t="s">
        <v>40</v>
      </c>
    </row>
    <row r="98" spans="2:2">
      <c r="B98" s="3"/>
    </row>
    <row r="99" spans="2:2">
      <c r="B99" s="9" t="s">
        <v>25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41</v>
      </c>
    </row>
    <row r="111" spans="2:2">
      <c r="B111" s="10" t="s">
        <v>42</v>
      </c>
    </row>
    <row r="112" spans="2:2">
      <c r="B112" s="11" t="s">
        <v>43</v>
      </c>
    </row>
    <row r="113" spans="2:2">
      <c r="B113" s="11" t="s">
        <v>44</v>
      </c>
    </row>
    <row r="114" spans="2:2">
      <c r="B114" s="12" t="s">
        <v>14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EC148"/>
  <sheetViews>
    <sheetView tabSelected="1" zoomScaleNormal="100" workbookViewId="0">
      <pane xSplit="13" ySplit="4" topLeftCell="N5" activePane="bottomRight" state="frozen"/>
      <selection pane="topRight" activeCell="K1" sqref="K1"/>
      <selection pane="bottomLeft" activeCell="A12" sqref="A12"/>
      <selection pane="bottomRight" activeCell="AA5" sqref="AA5"/>
    </sheetView>
  </sheetViews>
  <sheetFormatPr baseColWidth="10" defaultRowHeight="15"/>
  <cols>
    <col min="1" max="1" width="6.5" customWidth="1"/>
    <col min="2" max="2" width="6.125" customWidth="1"/>
    <col min="3" max="3" width="6.5" customWidth="1"/>
    <col min="4" max="4" width="6.875" customWidth="1"/>
    <col min="5" max="5" width="12.375" style="1" customWidth="1"/>
    <col min="6" max="6" width="14.625" style="125" customWidth="1"/>
    <col min="7" max="7" width="8.75" style="1" customWidth="1"/>
    <col min="8" max="8" width="9.75" style="20" customWidth="1"/>
    <col min="9" max="9" width="9.875" style="20" customWidth="1"/>
    <col min="10" max="10" width="7.375" style="4" customWidth="1"/>
    <col min="11" max="11" width="8.625" style="20" customWidth="1"/>
    <col min="12" max="13" width="8.625" style="4" customWidth="1"/>
    <col min="14" max="14" width="7.625" style="1" customWidth="1"/>
    <col min="15" max="21" width="7.625" style="2" customWidth="1"/>
    <col min="22" max="23" width="7.625" style="1" customWidth="1"/>
    <col min="24" max="26" width="11" style="6"/>
    <col min="27" max="27" width="11.25" style="6" bestFit="1" customWidth="1"/>
    <col min="28" max="133" width="11" style="6"/>
  </cols>
  <sheetData>
    <row r="1" spans="1:133" s="52" customFormat="1" ht="30" customHeight="1" thickBot="1">
      <c r="E1" s="212" t="s">
        <v>17</v>
      </c>
      <c r="F1" s="212"/>
      <c r="G1" s="212"/>
      <c r="H1" s="212"/>
      <c r="I1" s="212"/>
      <c r="J1" s="187"/>
      <c r="K1" s="213" t="s">
        <v>117</v>
      </c>
      <c r="L1" s="214"/>
      <c r="M1" s="214"/>
      <c r="N1" s="149"/>
    </row>
    <row r="2" spans="1:133" ht="33.75" thickBot="1">
      <c r="E2" s="210" t="s">
        <v>18</v>
      </c>
      <c r="F2" s="210"/>
      <c r="G2" s="210"/>
      <c r="H2" s="210"/>
      <c r="I2" s="210"/>
      <c r="J2" s="185"/>
      <c r="K2" s="214"/>
      <c r="L2" s="214"/>
      <c r="M2" s="214"/>
      <c r="N2" s="203" t="s">
        <v>72</v>
      </c>
      <c r="O2" s="204"/>
      <c r="P2" s="206" t="s">
        <v>54</v>
      </c>
      <c r="Q2" s="206"/>
      <c r="R2" s="206"/>
      <c r="S2" s="206"/>
      <c r="T2" s="206"/>
      <c r="U2" s="209"/>
      <c r="V2" s="205" t="s">
        <v>72</v>
      </c>
      <c r="W2" s="206"/>
      <c r="X2" s="192" t="s">
        <v>77</v>
      </c>
      <c r="Y2" s="193"/>
      <c r="Z2" s="193"/>
      <c r="AA2" s="193"/>
      <c r="AB2" s="194" t="s">
        <v>78</v>
      </c>
      <c r="AC2" s="194"/>
      <c r="AD2" s="189" t="s">
        <v>79</v>
      </c>
      <c r="AE2" s="189"/>
      <c r="AF2" s="189"/>
      <c r="AG2" s="189"/>
      <c r="AH2" s="190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</row>
    <row r="3" spans="1:133" ht="25.5" customHeight="1">
      <c r="E3" s="211" t="s">
        <v>116</v>
      </c>
      <c r="F3" s="211"/>
      <c r="G3" s="211"/>
      <c r="H3" s="211"/>
      <c r="I3" s="211"/>
      <c r="J3" s="186"/>
      <c r="K3" s="215"/>
      <c r="L3" s="215"/>
      <c r="M3" s="215"/>
      <c r="N3" s="199" t="s">
        <v>107</v>
      </c>
      <c r="O3" s="200"/>
      <c r="P3" s="201" t="s">
        <v>69</v>
      </c>
      <c r="Q3" s="202"/>
      <c r="R3" s="201" t="s">
        <v>97</v>
      </c>
      <c r="S3" s="202"/>
      <c r="T3" s="207" t="s">
        <v>96</v>
      </c>
      <c r="U3" s="208"/>
      <c r="V3" s="197" t="s">
        <v>108</v>
      </c>
      <c r="W3" s="198"/>
      <c r="X3" s="195" t="s">
        <v>80</v>
      </c>
      <c r="Y3" s="196"/>
      <c r="Z3" s="150" t="s">
        <v>81</v>
      </c>
      <c r="AA3" s="150" t="s">
        <v>82</v>
      </c>
      <c r="AB3" s="151" t="s">
        <v>83</v>
      </c>
      <c r="AC3" s="151" t="s">
        <v>84</v>
      </c>
      <c r="AD3" s="191" t="s">
        <v>85</v>
      </c>
      <c r="AE3" s="191"/>
      <c r="AF3" s="191" t="s">
        <v>81</v>
      </c>
      <c r="AG3" s="191"/>
      <c r="AH3" s="152" t="s">
        <v>82</v>
      </c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</row>
    <row r="4" spans="1:133" ht="48">
      <c r="A4" s="153" t="s">
        <v>24</v>
      </c>
      <c r="B4" s="154" t="s">
        <v>109</v>
      </c>
      <c r="C4" s="154" t="s">
        <v>110</v>
      </c>
      <c r="D4" s="154" t="s">
        <v>19</v>
      </c>
      <c r="E4" s="154" t="s">
        <v>1</v>
      </c>
      <c r="F4" s="155" t="s">
        <v>111</v>
      </c>
      <c r="G4" s="155" t="s">
        <v>5</v>
      </c>
      <c r="H4" s="155" t="s">
        <v>53</v>
      </c>
      <c r="I4" s="155" t="s">
        <v>61</v>
      </c>
      <c r="J4" s="155" t="s">
        <v>112</v>
      </c>
      <c r="K4" s="155" t="s">
        <v>21</v>
      </c>
      <c r="L4" s="155" t="s">
        <v>22</v>
      </c>
      <c r="M4" s="156" t="s">
        <v>113</v>
      </c>
      <c r="N4" s="157" t="s">
        <v>16</v>
      </c>
      <c r="O4" s="158" t="s">
        <v>2</v>
      </c>
      <c r="P4" s="158" t="s">
        <v>16</v>
      </c>
      <c r="Q4" s="158" t="s">
        <v>2</v>
      </c>
      <c r="R4" s="158" t="s">
        <v>16</v>
      </c>
      <c r="S4" s="158" t="s">
        <v>2</v>
      </c>
      <c r="T4" s="158" t="s">
        <v>16</v>
      </c>
      <c r="U4" s="158" t="s">
        <v>2</v>
      </c>
      <c r="V4" s="158" t="s">
        <v>16</v>
      </c>
      <c r="W4" s="159" t="s">
        <v>2</v>
      </c>
      <c r="X4" s="160" t="s">
        <v>86</v>
      </c>
      <c r="Y4" s="161" t="s">
        <v>87</v>
      </c>
      <c r="Z4" s="161" t="s">
        <v>86</v>
      </c>
      <c r="AA4" s="162" t="s">
        <v>88</v>
      </c>
      <c r="AB4" s="163" t="s">
        <v>89</v>
      </c>
      <c r="AC4" s="164" t="s">
        <v>90</v>
      </c>
      <c r="AD4" s="165" t="s">
        <v>86</v>
      </c>
      <c r="AE4" s="165" t="s">
        <v>87</v>
      </c>
      <c r="AF4" s="165" t="s">
        <v>86</v>
      </c>
      <c r="AG4" s="165" t="s">
        <v>91</v>
      </c>
      <c r="AH4" s="166" t="s">
        <v>88</v>
      </c>
      <c r="AI4" s="167" t="s">
        <v>93</v>
      </c>
      <c r="AJ4" s="168" t="s">
        <v>94</v>
      </c>
      <c r="AK4" s="169" t="s">
        <v>98</v>
      </c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</row>
    <row r="5" spans="1:133" ht="15.75">
      <c r="A5" s="170" t="s">
        <v>115</v>
      </c>
      <c r="B5">
        <v>88.9</v>
      </c>
      <c r="C5" s="184">
        <v>6.45</v>
      </c>
      <c r="D5" t="s">
        <v>114</v>
      </c>
      <c r="E5" s="128">
        <v>42962</v>
      </c>
      <c r="F5" s="34" t="s">
        <v>99</v>
      </c>
      <c r="G5" s="34" t="s">
        <v>100</v>
      </c>
      <c r="H5" s="110">
        <v>51989</v>
      </c>
      <c r="I5" s="110">
        <v>2153902</v>
      </c>
      <c r="J5" s="146">
        <v>302</v>
      </c>
      <c r="K5" s="34">
        <v>60</v>
      </c>
      <c r="L5" s="121">
        <v>2.93</v>
      </c>
      <c r="M5" s="129">
        <v>1</v>
      </c>
      <c r="N5" s="142">
        <v>98.3</v>
      </c>
      <c r="O5" s="142">
        <v>113.7</v>
      </c>
      <c r="P5" s="142">
        <v>93.1</v>
      </c>
      <c r="Q5" s="142" t="s">
        <v>106</v>
      </c>
      <c r="R5" s="142">
        <v>95.4</v>
      </c>
      <c r="S5" s="142">
        <v>112</v>
      </c>
      <c r="T5" s="142">
        <v>93.7</v>
      </c>
      <c r="U5" s="142">
        <v>109.4</v>
      </c>
      <c r="V5" s="142">
        <v>97.2</v>
      </c>
      <c r="W5" s="142">
        <v>111.7</v>
      </c>
      <c r="X5" s="135">
        <v>870</v>
      </c>
      <c r="Y5" s="136">
        <v>800</v>
      </c>
      <c r="Z5" s="145">
        <v>930</v>
      </c>
      <c r="AA5" s="145">
        <v>90</v>
      </c>
      <c r="AB5" s="145">
        <v>0.23</v>
      </c>
      <c r="AC5" s="134">
        <v>1300</v>
      </c>
      <c r="AD5" s="124">
        <v>650</v>
      </c>
      <c r="AE5" s="148">
        <v>590</v>
      </c>
      <c r="AF5" s="124">
        <v>700</v>
      </c>
      <c r="AG5" s="124">
        <v>700</v>
      </c>
      <c r="AH5" s="124">
        <v>90</v>
      </c>
      <c r="AI5" s="130">
        <f t="shared" ref="AI5:AI6" si="0">AA5*23/60</f>
        <v>34.5</v>
      </c>
      <c r="AJ5" s="130">
        <f t="shared" ref="AJ5:AJ6" si="1">AH5*34/60</f>
        <v>51</v>
      </c>
      <c r="AK5" s="171" t="s">
        <v>88</v>
      </c>
    </row>
    <row r="6" spans="1:133" ht="15.75">
      <c r="A6" s="170" t="s">
        <v>115</v>
      </c>
      <c r="B6">
        <v>88.9</v>
      </c>
      <c r="C6" s="184">
        <v>6.45</v>
      </c>
      <c r="D6" t="s">
        <v>114</v>
      </c>
      <c r="E6" s="128">
        <v>42962</v>
      </c>
      <c r="F6" s="34" t="s">
        <v>99</v>
      </c>
      <c r="G6" s="34" t="s">
        <v>100</v>
      </c>
      <c r="H6" s="110">
        <v>51989</v>
      </c>
      <c r="I6" s="110">
        <v>2153902</v>
      </c>
      <c r="J6" s="146">
        <v>302</v>
      </c>
      <c r="K6" s="34">
        <v>60</v>
      </c>
      <c r="L6" s="121">
        <v>2.93</v>
      </c>
      <c r="M6" s="129">
        <v>125</v>
      </c>
      <c r="N6" s="142">
        <v>89.7</v>
      </c>
      <c r="O6" s="142">
        <v>103.7</v>
      </c>
      <c r="P6" s="142">
        <v>95.4</v>
      </c>
      <c r="Q6" s="142">
        <v>111.2</v>
      </c>
      <c r="R6" s="142">
        <v>91.5</v>
      </c>
      <c r="S6" s="142">
        <v>106.8</v>
      </c>
      <c r="T6" s="142">
        <v>93.8</v>
      </c>
      <c r="U6" s="142">
        <v>109.1</v>
      </c>
      <c r="V6" s="142">
        <v>92</v>
      </c>
      <c r="W6" s="142">
        <v>106.3</v>
      </c>
      <c r="X6" s="143">
        <v>870</v>
      </c>
      <c r="Y6" s="144">
        <v>800</v>
      </c>
      <c r="Z6" s="137">
        <v>930</v>
      </c>
      <c r="AA6" s="137">
        <v>90</v>
      </c>
      <c r="AB6" s="137">
        <v>0.23</v>
      </c>
      <c r="AC6" s="134">
        <v>1300</v>
      </c>
      <c r="AD6" s="124">
        <v>650</v>
      </c>
      <c r="AE6" s="124">
        <v>590</v>
      </c>
      <c r="AF6" s="124">
        <v>700</v>
      </c>
      <c r="AG6" s="147">
        <v>700</v>
      </c>
      <c r="AH6" s="124">
        <v>90</v>
      </c>
      <c r="AI6" s="130">
        <f t="shared" si="0"/>
        <v>34.5</v>
      </c>
      <c r="AJ6" s="130">
        <f t="shared" si="1"/>
        <v>51</v>
      </c>
      <c r="AK6" s="172">
        <v>9</v>
      </c>
    </row>
    <row r="7" spans="1:133">
      <c r="A7" s="170"/>
      <c r="O7" s="173"/>
      <c r="P7" s="173"/>
      <c r="Q7" s="173"/>
      <c r="R7" s="173"/>
      <c r="S7" s="173"/>
      <c r="T7" s="173"/>
      <c r="U7" s="173"/>
      <c r="AK7" s="174"/>
    </row>
    <row r="8" spans="1:133">
      <c r="A8" s="170"/>
      <c r="O8" s="173"/>
      <c r="P8" s="173"/>
      <c r="Q8" s="173"/>
      <c r="R8" s="173"/>
      <c r="S8" s="173"/>
      <c r="T8" s="173"/>
      <c r="U8" s="173"/>
      <c r="AK8" s="174"/>
    </row>
    <row r="9" spans="1:133">
      <c r="A9" s="170"/>
      <c r="O9" s="173"/>
      <c r="P9" s="173"/>
      <c r="Q9" s="173"/>
      <c r="R9" s="173"/>
      <c r="S9" s="173"/>
      <c r="T9" s="173"/>
      <c r="U9" s="173"/>
      <c r="AK9" s="174"/>
    </row>
    <row r="10" spans="1:133">
      <c r="A10" s="170"/>
      <c r="O10" s="173"/>
      <c r="P10" s="173"/>
      <c r="Q10" s="173"/>
      <c r="R10" s="173"/>
      <c r="S10" s="173"/>
      <c r="T10" s="173"/>
      <c r="U10" s="173"/>
      <c r="AK10" s="174"/>
    </row>
    <row r="11" spans="1:133">
      <c r="A11" s="170"/>
      <c r="O11" s="173"/>
      <c r="P11" s="173"/>
      <c r="Q11" s="173"/>
      <c r="R11" s="173"/>
      <c r="S11" s="173"/>
      <c r="T11" s="173"/>
      <c r="U11" s="173"/>
      <c r="AK11" s="174"/>
    </row>
    <row r="12" spans="1:133">
      <c r="A12" s="170"/>
      <c r="O12" s="173"/>
      <c r="P12" s="173"/>
      <c r="Q12" s="173"/>
      <c r="R12" s="173"/>
      <c r="S12" s="173"/>
      <c r="T12" s="173"/>
      <c r="U12" s="173"/>
      <c r="AK12" s="174"/>
    </row>
    <row r="13" spans="1:133">
      <c r="A13" s="170"/>
      <c r="O13" s="173"/>
      <c r="P13" s="173"/>
      <c r="Q13" s="173"/>
      <c r="R13" s="173"/>
      <c r="S13" s="173"/>
      <c r="T13" s="173"/>
      <c r="U13" s="173"/>
      <c r="AK13" s="174"/>
    </row>
    <row r="14" spans="1:133">
      <c r="A14" s="170"/>
      <c r="O14" s="173"/>
      <c r="P14" s="173"/>
      <c r="Q14" s="173"/>
      <c r="R14" s="173"/>
      <c r="S14" s="173"/>
      <c r="T14" s="173"/>
      <c r="U14" s="173"/>
      <c r="AK14" s="174"/>
    </row>
    <row r="15" spans="1:133">
      <c r="A15" s="170"/>
      <c r="O15" s="173"/>
      <c r="P15" s="173"/>
      <c r="Q15" s="173"/>
      <c r="R15" s="173"/>
      <c r="S15" s="173"/>
      <c r="T15" s="173"/>
      <c r="U15" s="173"/>
      <c r="AK15" s="174"/>
    </row>
    <row r="16" spans="1:133">
      <c r="A16" s="170"/>
      <c r="O16" s="173"/>
      <c r="P16" s="173"/>
      <c r="Q16" s="173"/>
      <c r="R16" s="173"/>
      <c r="S16" s="173"/>
      <c r="T16" s="173"/>
      <c r="U16" s="173"/>
      <c r="AK16" s="174"/>
    </row>
    <row r="17" spans="1:37">
      <c r="A17" s="170"/>
      <c r="O17" s="173"/>
      <c r="P17" s="173"/>
      <c r="Q17" s="173"/>
      <c r="R17" s="173"/>
      <c r="S17" s="173"/>
      <c r="T17" s="173"/>
      <c r="U17" s="173"/>
      <c r="AK17" s="174"/>
    </row>
    <row r="18" spans="1:37">
      <c r="A18" s="170"/>
      <c r="O18" s="173"/>
      <c r="P18" s="173"/>
      <c r="Q18" s="173"/>
      <c r="R18" s="173"/>
      <c r="S18" s="173"/>
      <c r="T18" s="173"/>
      <c r="U18" s="173"/>
      <c r="AK18" s="174"/>
    </row>
    <row r="19" spans="1:37">
      <c r="A19" s="170"/>
      <c r="O19" s="173"/>
      <c r="P19" s="173"/>
      <c r="Q19" s="173"/>
      <c r="R19" s="173"/>
      <c r="S19" s="173"/>
      <c r="T19" s="173"/>
      <c r="U19" s="173"/>
      <c r="AK19" s="174"/>
    </row>
    <row r="20" spans="1:37">
      <c r="A20" s="170"/>
      <c r="O20" s="173"/>
      <c r="P20" s="173"/>
      <c r="Q20" s="173"/>
      <c r="R20" s="173"/>
      <c r="S20" s="173"/>
      <c r="T20" s="173"/>
      <c r="U20" s="173"/>
      <c r="AK20" s="174"/>
    </row>
    <row r="21" spans="1:37">
      <c r="A21" s="170"/>
      <c r="O21" s="173"/>
      <c r="P21" s="173"/>
      <c r="Q21" s="173"/>
      <c r="R21" s="173"/>
      <c r="S21" s="173"/>
      <c r="T21" s="173"/>
      <c r="U21" s="173"/>
      <c r="AK21" s="174"/>
    </row>
    <row r="22" spans="1:37">
      <c r="A22" s="170"/>
      <c r="O22" s="173"/>
      <c r="P22" s="173"/>
      <c r="Q22" s="173"/>
      <c r="R22" s="173"/>
      <c r="S22" s="173"/>
      <c r="T22" s="173"/>
      <c r="U22" s="173"/>
      <c r="AK22" s="174"/>
    </row>
    <row r="23" spans="1:37">
      <c r="A23" s="170"/>
      <c r="O23" s="173"/>
      <c r="P23" s="173"/>
      <c r="Q23" s="173"/>
      <c r="R23" s="173"/>
      <c r="S23" s="173"/>
      <c r="T23" s="173"/>
      <c r="U23" s="173"/>
      <c r="AK23" s="174"/>
    </row>
    <row r="24" spans="1:37">
      <c r="A24" s="170"/>
      <c r="O24" s="173"/>
      <c r="P24" s="173"/>
      <c r="Q24" s="173"/>
      <c r="R24" s="173"/>
      <c r="S24" s="173"/>
      <c r="T24" s="173"/>
      <c r="U24" s="173"/>
      <c r="AK24" s="174"/>
    </row>
    <row r="25" spans="1:37">
      <c r="A25" s="170"/>
      <c r="O25" s="173"/>
      <c r="P25" s="173"/>
      <c r="Q25" s="173"/>
      <c r="R25" s="173"/>
      <c r="S25" s="173"/>
      <c r="T25" s="173"/>
      <c r="U25" s="173"/>
      <c r="AK25" s="174"/>
    </row>
    <row r="26" spans="1:37">
      <c r="A26" s="170"/>
      <c r="O26" s="173"/>
      <c r="P26" s="173"/>
      <c r="Q26" s="173"/>
      <c r="R26" s="173"/>
      <c r="S26" s="173"/>
      <c r="T26" s="173"/>
      <c r="U26" s="173"/>
      <c r="AK26" s="174"/>
    </row>
    <row r="27" spans="1:37">
      <c r="A27" s="170"/>
      <c r="O27" s="173"/>
      <c r="P27" s="173"/>
      <c r="Q27" s="173"/>
      <c r="R27" s="173"/>
      <c r="S27" s="173"/>
      <c r="T27" s="173"/>
      <c r="U27" s="173"/>
      <c r="AK27" s="174"/>
    </row>
    <row r="28" spans="1:37">
      <c r="A28" s="170"/>
      <c r="O28" s="173"/>
      <c r="P28" s="173"/>
      <c r="Q28" s="173"/>
      <c r="R28" s="173"/>
      <c r="S28" s="173"/>
      <c r="T28" s="173"/>
      <c r="U28" s="173"/>
      <c r="AK28" s="174"/>
    </row>
    <row r="29" spans="1:37">
      <c r="A29" s="170"/>
      <c r="O29" s="173"/>
      <c r="P29" s="173"/>
      <c r="Q29" s="173"/>
      <c r="R29" s="173"/>
      <c r="S29" s="173"/>
      <c r="T29" s="173"/>
      <c r="U29" s="173"/>
      <c r="AK29" s="174"/>
    </row>
    <row r="30" spans="1:37">
      <c r="A30" s="170"/>
      <c r="O30" s="173"/>
      <c r="P30" s="173"/>
      <c r="Q30" s="173"/>
      <c r="R30" s="173"/>
      <c r="S30" s="173"/>
      <c r="T30" s="173"/>
      <c r="U30" s="173"/>
      <c r="AK30" s="174"/>
    </row>
    <row r="31" spans="1:37">
      <c r="A31" s="170"/>
      <c r="O31" s="173"/>
      <c r="P31" s="173"/>
      <c r="Q31" s="173"/>
      <c r="R31" s="173"/>
      <c r="S31" s="173"/>
      <c r="T31" s="173"/>
      <c r="U31" s="173"/>
      <c r="AK31" s="174"/>
    </row>
    <row r="32" spans="1:37">
      <c r="A32" s="170"/>
      <c r="O32" s="173"/>
      <c r="P32" s="173"/>
      <c r="Q32" s="173"/>
      <c r="R32" s="173"/>
      <c r="S32" s="173"/>
      <c r="T32" s="173"/>
      <c r="U32" s="173"/>
      <c r="AK32" s="174"/>
    </row>
    <row r="33" spans="1:37">
      <c r="A33" s="170"/>
      <c r="O33" s="173"/>
      <c r="P33" s="173"/>
      <c r="Q33" s="173"/>
      <c r="R33" s="173"/>
      <c r="S33" s="173"/>
      <c r="T33" s="173"/>
      <c r="U33" s="173"/>
      <c r="AK33" s="174"/>
    </row>
    <row r="34" spans="1:37">
      <c r="A34" s="170"/>
      <c r="O34" s="173"/>
      <c r="P34" s="173"/>
      <c r="Q34" s="173"/>
      <c r="R34" s="173"/>
      <c r="S34" s="173"/>
      <c r="T34" s="173"/>
      <c r="U34" s="173"/>
      <c r="AK34" s="174"/>
    </row>
    <row r="35" spans="1:37">
      <c r="A35" s="170"/>
      <c r="O35" s="173"/>
      <c r="P35" s="173"/>
      <c r="Q35" s="173"/>
      <c r="R35" s="173"/>
      <c r="S35" s="173"/>
      <c r="T35" s="173"/>
      <c r="U35" s="173"/>
      <c r="AK35" s="174"/>
    </row>
    <row r="36" spans="1:37">
      <c r="A36" s="170"/>
      <c r="O36" s="173"/>
      <c r="P36" s="173"/>
      <c r="Q36" s="173"/>
      <c r="R36" s="173"/>
      <c r="S36" s="173"/>
      <c r="T36" s="173"/>
      <c r="U36" s="173"/>
      <c r="AK36" s="174"/>
    </row>
    <row r="37" spans="1:37">
      <c r="A37" s="170"/>
      <c r="O37" s="173"/>
      <c r="P37" s="173"/>
      <c r="Q37" s="173"/>
      <c r="R37" s="173"/>
      <c r="S37" s="173"/>
      <c r="T37" s="173"/>
      <c r="U37" s="173"/>
      <c r="AK37" s="174"/>
    </row>
    <row r="38" spans="1:37">
      <c r="A38" s="170"/>
      <c r="O38" s="173"/>
      <c r="P38" s="173"/>
      <c r="Q38" s="173"/>
      <c r="R38" s="173"/>
      <c r="S38" s="173"/>
      <c r="T38" s="173"/>
      <c r="U38" s="173"/>
      <c r="AK38" s="174"/>
    </row>
    <row r="39" spans="1:37">
      <c r="A39" s="170"/>
      <c r="O39" s="173"/>
      <c r="P39" s="173"/>
      <c r="Q39" s="173"/>
      <c r="R39" s="173"/>
      <c r="S39" s="173"/>
      <c r="T39" s="173"/>
      <c r="U39" s="173"/>
      <c r="AK39" s="174"/>
    </row>
    <row r="40" spans="1:37">
      <c r="A40" s="170"/>
      <c r="O40" s="173"/>
      <c r="P40" s="173"/>
      <c r="Q40" s="173"/>
      <c r="R40" s="173"/>
      <c r="S40" s="173"/>
      <c r="T40" s="173"/>
      <c r="U40" s="173"/>
      <c r="AK40" s="174"/>
    </row>
    <row r="41" spans="1:37">
      <c r="A41" s="170"/>
      <c r="O41" s="173"/>
      <c r="P41" s="173"/>
      <c r="Q41" s="173"/>
      <c r="R41" s="173"/>
      <c r="S41" s="173"/>
      <c r="T41" s="173"/>
      <c r="U41" s="173"/>
      <c r="AK41" s="174"/>
    </row>
    <row r="42" spans="1:37">
      <c r="A42" s="170"/>
      <c r="O42" s="173"/>
      <c r="P42" s="173"/>
      <c r="Q42" s="173"/>
      <c r="R42" s="173"/>
      <c r="S42" s="173"/>
      <c r="T42" s="173"/>
      <c r="U42" s="173"/>
      <c r="AK42" s="174"/>
    </row>
    <row r="43" spans="1:37">
      <c r="A43" s="170"/>
      <c r="O43" s="173"/>
      <c r="P43" s="173"/>
      <c r="Q43" s="173"/>
      <c r="R43" s="173"/>
      <c r="S43" s="173"/>
      <c r="T43" s="173"/>
      <c r="U43" s="173"/>
      <c r="AK43" s="174"/>
    </row>
    <row r="44" spans="1:37">
      <c r="A44" s="170"/>
      <c r="O44" s="173"/>
      <c r="P44" s="173"/>
      <c r="Q44" s="173"/>
      <c r="R44" s="173"/>
      <c r="S44" s="173"/>
      <c r="T44" s="173"/>
      <c r="U44" s="173"/>
      <c r="AK44" s="174"/>
    </row>
    <row r="45" spans="1:37">
      <c r="A45" s="170"/>
      <c r="O45" s="173"/>
      <c r="P45" s="173"/>
      <c r="Q45" s="173"/>
      <c r="R45" s="173"/>
      <c r="S45" s="173"/>
      <c r="T45" s="173"/>
      <c r="U45" s="173"/>
      <c r="AK45" s="174"/>
    </row>
    <row r="46" spans="1:37">
      <c r="A46" s="170"/>
      <c r="O46" s="173"/>
      <c r="P46" s="173"/>
      <c r="Q46" s="173"/>
      <c r="R46" s="173"/>
      <c r="S46" s="173"/>
      <c r="T46" s="173"/>
      <c r="U46" s="173"/>
      <c r="AK46" s="174"/>
    </row>
    <row r="47" spans="1:37">
      <c r="A47" s="170"/>
      <c r="O47" s="173"/>
      <c r="P47" s="173"/>
      <c r="Q47" s="173"/>
      <c r="R47" s="173"/>
      <c r="S47" s="173"/>
      <c r="T47" s="173"/>
      <c r="U47" s="173"/>
      <c r="AK47" s="174"/>
    </row>
    <row r="48" spans="1:37">
      <c r="A48" s="170"/>
      <c r="O48" s="173"/>
      <c r="P48" s="173"/>
      <c r="Q48" s="173"/>
      <c r="R48" s="173"/>
      <c r="S48" s="173"/>
      <c r="T48" s="173"/>
      <c r="U48" s="173"/>
      <c r="AK48" s="174"/>
    </row>
    <row r="49" spans="1:37">
      <c r="A49" s="170"/>
      <c r="O49" s="173"/>
      <c r="P49" s="173"/>
      <c r="Q49" s="173"/>
      <c r="R49" s="173"/>
      <c r="S49" s="173"/>
      <c r="T49" s="173"/>
      <c r="U49" s="173"/>
      <c r="AK49" s="174"/>
    </row>
    <row r="50" spans="1:37">
      <c r="A50" s="170"/>
      <c r="O50" s="173"/>
      <c r="P50" s="173"/>
      <c r="Q50" s="173"/>
      <c r="R50" s="173"/>
      <c r="S50" s="173"/>
      <c r="T50" s="173"/>
      <c r="U50" s="173"/>
      <c r="AK50" s="174"/>
    </row>
    <row r="51" spans="1:37">
      <c r="A51" s="170"/>
      <c r="O51" s="173"/>
      <c r="P51" s="173"/>
      <c r="Q51" s="173"/>
      <c r="R51" s="173"/>
      <c r="S51" s="173"/>
      <c r="T51" s="173"/>
      <c r="U51" s="173"/>
      <c r="AK51" s="174"/>
    </row>
    <row r="52" spans="1:37">
      <c r="A52" s="170"/>
      <c r="O52" s="173"/>
      <c r="P52" s="173"/>
      <c r="Q52" s="173"/>
      <c r="R52" s="173"/>
      <c r="S52" s="173"/>
      <c r="T52" s="173"/>
      <c r="U52" s="173"/>
      <c r="AK52" s="174"/>
    </row>
    <row r="53" spans="1:37">
      <c r="A53" s="170"/>
      <c r="O53" s="173"/>
      <c r="P53" s="173"/>
      <c r="Q53" s="173"/>
      <c r="R53" s="173"/>
      <c r="S53" s="173"/>
      <c r="T53" s="173"/>
      <c r="U53" s="173"/>
      <c r="AK53" s="174"/>
    </row>
    <row r="54" spans="1:37">
      <c r="A54" s="170"/>
      <c r="O54" s="173"/>
      <c r="P54" s="173"/>
      <c r="Q54" s="173"/>
      <c r="R54" s="173"/>
      <c r="S54" s="173"/>
      <c r="T54" s="173"/>
      <c r="U54" s="173"/>
      <c r="AK54" s="174"/>
    </row>
    <row r="55" spans="1:37">
      <c r="A55" s="170"/>
      <c r="O55" s="173"/>
      <c r="P55" s="173"/>
      <c r="Q55" s="173"/>
      <c r="R55" s="173"/>
      <c r="S55" s="173"/>
      <c r="T55" s="173"/>
      <c r="U55" s="173"/>
      <c r="AK55" s="174"/>
    </row>
    <row r="56" spans="1:37">
      <c r="A56" s="170"/>
      <c r="O56" s="173"/>
      <c r="P56" s="173"/>
      <c r="Q56" s="173"/>
      <c r="R56" s="173"/>
      <c r="S56" s="173"/>
      <c r="T56" s="173"/>
      <c r="U56" s="173"/>
      <c r="AK56" s="174"/>
    </row>
    <row r="57" spans="1:37">
      <c r="A57" s="170"/>
      <c r="O57" s="173"/>
      <c r="P57" s="173"/>
      <c r="Q57" s="173"/>
      <c r="R57" s="173"/>
      <c r="S57" s="173"/>
      <c r="T57" s="173"/>
      <c r="U57" s="173"/>
      <c r="AK57" s="174"/>
    </row>
    <row r="58" spans="1:37">
      <c r="A58" s="170"/>
      <c r="O58" s="173"/>
      <c r="P58" s="173"/>
      <c r="Q58" s="173"/>
      <c r="R58" s="173"/>
      <c r="S58" s="173"/>
      <c r="T58" s="173"/>
      <c r="U58" s="173"/>
      <c r="AK58" s="174"/>
    </row>
    <row r="59" spans="1:37">
      <c r="A59" s="170"/>
      <c r="O59" s="173"/>
      <c r="P59" s="173"/>
      <c r="Q59" s="173"/>
      <c r="R59" s="173"/>
      <c r="S59" s="173"/>
      <c r="T59" s="173"/>
      <c r="U59" s="173"/>
      <c r="AK59" s="174"/>
    </row>
    <row r="60" spans="1:37">
      <c r="A60" s="170"/>
      <c r="O60" s="173"/>
      <c r="P60" s="173"/>
      <c r="Q60" s="173"/>
      <c r="R60" s="173"/>
      <c r="S60" s="173"/>
      <c r="T60" s="173"/>
      <c r="U60" s="173"/>
      <c r="AK60" s="174"/>
    </row>
    <row r="61" spans="1:37">
      <c r="A61" s="170"/>
      <c r="O61" s="173"/>
      <c r="P61" s="173"/>
      <c r="Q61" s="173"/>
      <c r="R61" s="173"/>
      <c r="S61" s="173"/>
      <c r="T61" s="173"/>
      <c r="U61" s="173"/>
      <c r="AK61" s="174"/>
    </row>
    <row r="62" spans="1:37">
      <c r="A62" s="170"/>
      <c r="O62" s="173"/>
      <c r="P62" s="173"/>
      <c r="Q62" s="173"/>
      <c r="R62" s="173"/>
      <c r="S62" s="173"/>
      <c r="T62" s="173"/>
      <c r="U62" s="173"/>
      <c r="AK62" s="174"/>
    </row>
    <row r="63" spans="1:37">
      <c r="A63" s="170"/>
      <c r="O63" s="173"/>
      <c r="P63" s="173"/>
      <c r="Q63" s="173"/>
      <c r="R63" s="173"/>
      <c r="S63" s="173"/>
      <c r="T63" s="173"/>
      <c r="U63" s="173"/>
      <c r="AK63" s="174"/>
    </row>
    <row r="64" spans="1:37">
      <c r="A64" s="170"/>
      <c r="O64" s="173"/>
      <c r="P64" s="173"/>
      <c r="Q64" s="173"/>
      <c r="R64" s="173"/>
      <c r="S64" s="173"/>
      <c r="T64" s="173"/>
      <c r="U64" s="173"/>
      <c r="AK64" s="174"/>
    </row>
    <row r="65" spans="1:37">
      <c r="A65" s="170"/>
      <c r="O65" s="173"/>
      <c r="P65" s="173"/>
      <c r="Q65" s="173"/>
      <c r="R65" s="173"/>
      <c r="S65" s="173"/>
      <c r="T65" s="173"/>
      <c r="U65" s="173"/>
      <c r="AK65" s="174"/>
    </row>
    <row r="66" spans="1:37">
      <c r="A66" s="170"/>
      <c r="O66" s="173"/>
      <c r="P66" s="173"/>
      <c r="Q66" s="173"/>
      <c r="R66" s="173"/>
      <c r="S66" s="173"/>
      <c r="T66" s="173"/>
      <c r="U66" s="173"/>
      <c r="AK66" s="174"/>
    </row>
    <row r="67" spans="1:37">
      <c r="A67" s="170"/>
      <c r="O67" s="173"/>
      <c r="P67" s="173"/>
      <c r="Q67" s="173"/>
      <c r="R67" s="173"/>
      <c r="S67" s="173"/>
      <c r="T67" s="173"/>
      <c r="U67" s="173"/>
      <c r="AK67" s="174"/>
    </row>
    <row r="68" spans="1:37">
      <c r="A68" s="170"/>
      <c r="O68" s="173"/>
      <c r="P68" s="173"/>
      <c r="Q68" s="173"/>
      <c r="R68" s="173"/>
      <c r="S68" s="173"/>
      <c r="T68" s="173"/>
      <c r="U68" s="173"/>
      <c r="AK68" s="174"/>
    </row>
    <row r="69" spans="1:37">
      <c r="A69" s="170"/>
      <c r="O69" s="173"/>
      <c r="P69" s="173"/>
      <c r="Q69" s="173"/>
      <c r="R69" s="173"/>
      <c r="S69" s="173"/>
      <c r="T69" s="173"/>
      <c r="U69" s="173"/>
      <c r="AK69" s="174"/>
    </row>
    <row r="70" spans="1:37">
      <c r="A70" s="170"/>
      <c r="O70" s="173"/>
      <c r="P70" s="173"/>
      <c r="Q70" s="173"/>
      <c r="R70" s="173"/>
      <c r="S70" s="173"/>
      <c r="T70" s="173"/>
      <c r="U70" s="173"/>
      <c r="AK70" s="174"/>
    </row>
    <row r="71" spans="1:37">
      <c r="A71" s="170"/>
      <c r="O71" s="173"/>
      <c r="P71" s="173"/>
      <c r="Q71" s="173"/>
      <c r="R71" s="173"/>
      <c r="S71" s="173"/>
      <c r="T71" s="173"/>
      <c r="U71" s="173"/>
      <c r="AK71" s="174"/>
    </row>
    <row r="72" spans="1:37">
      <c r="A72" s="170"/>
      <c r="O72" s="173"/>
      <c r="P72" s="173"/>
      <c r="Q72" s="173"/>
      <c r="R72" s="173"/>
      <c r="S72" s="173"/>
      <c r="T72" s="173"/>
      <c r="U72" s="173"/>
      <c r="AK72" s="174"/>
    </row>
    <row r="73" spans="1:37">
      <c r="A73" s="170"/>
      <c r="O73" s="173"/>
      <c r="P73" s="173"/>
      <c r="Q73" s="173"/>
      <c r="R73" s="173"/>
      <c r="S73" s="173"/>
      <c r="T73" s="173"/>
      <c r="U73" s="173"/>
      <c r="AK73" s="174"/>
    </row>
    <row r="74" spans="1:37">
      <c r="A74" s="170"/>
      <c r="O74" s="173"/>
      <c r="P74" s="173"/>
      <c r="Q74" s="173"/>
      <c r="R74" s="173"/>
      <c r="S74" s="173"/>
      <c r="T74" s="173"/>
      <c r="U74" s="173"/>
      <c r="AK74" s="174"/>
    </row>
    <row r="75" spans="1:37">
      <c r="A75" s="170"/>
      <c r="O75" s="173"/>
      <c r="P75" s="173"/>
      <c r="Q75" s="173"/>
      <c r="R75" s="173"/>
      <c r="S75" s="173"/>
      <c r="T75" s="173"/>
      <c r="U75" s="173"/>
      <c r="AK75" s="174"/>
    </row>
    <row r="76" spans="1:37">
      <c r="A76" s="170"/>
      <c r="O76" s="173"/>
      <c r="P76" s="173"/>
      <c r="Q76" s="173"/>
      <c r="R76" s="173"/>
      <c r="S76" s="173"/>
      <c r="T76" s="173"/>
      <c r="U76" s="173"/>
      <c r="AK76" s="174"/>
    </row>
    <row r="77" spans="1:37">
      <c r="A77" s="170"/>
      <c r="O77" s="173"/>
      <c r="P77" s="173"/>
      <c r="Q77" s="173"/>
      <c r="R77" s="173"/>
      <c r="S77" s="173"/>
      <c r="T77" s="173"/>
      <c r="U77" s="173"/>
      <c r="AK77" s="174"/>
    </row>
    <row r="78" spans="1:37">
      <c r="A78" s="170"/>
      <c r="O78" s="173"/>
      <c r="P78" s="173"/>
      <c r="Q78" s="173"/>
      <c r="R78" s="173"/>
      <c r="S78" s="173"/>
      <c r="T78" s="173"/>
      <c r="U78" s="173"/>
      <c r="AK78" s="174"/>
    </row>
    <row r="79" spans="1:37">
      <c r="A79" s="170"/>
      <c r="O79" s="173"/>
      <c r="P79" s="173"/>
      <c r="Q79" s="173"/>
      <c r="R79" s="173"/>
      <c r="S79" s="173"/>
      <c r="T79" s="173"/>
      <c r="U79" s="173"/>
      <c r="AK79" s="174"/>
    </row>
    <row r="80" spans="1:37">
      <c r="A80" s="170"/>
      <c r="O80" s="173"/>
      <c r="P80" s="173"/>
      <c r="Q80" s="173"/>
      <c r="R80" s="173"/>
      <c r="S80" s="173"/>
      <c r="T80" s="173"/>
      <c r="U80" s="173"/>
      <c r="AK80" s="174"/>
    </row>
    <row r="81" spans="1:37">
      <c r="A81" s="170"/>
      <c r="O81" s="173"/>
      <c r="P81" s="173"/>
      <c r="Q81" s="173"/>
      <c r="R81" s="173"/>
      <c r="S81" s="173"/>
      <c r="T81" s="173"/>
      <c r="U81" s="173"/>
      <c r="AK81" s="174"/>
    </row>
    <row r="82" spans="1:37">
      <c r="A82" s="170"/>
      <c r="O82" s="173"/>
      <c r="P82" s="173"/>
      <c r="Q82" s="173"/>
      <c r="R82" s="173"/>
      <c r="S82" s="173"/>
      <c r="T82" s="173"/>
      <c r="U82" s="173"/>
      <c r="AK82" s="174"/>
    </row>
    <row r="83" spans="1:37">
      <c r="A83" s="170"/>
      <c r="O83" s="173"/>
      <c r="P83" s="173"/>
      <c r="Q83" s="173"/>
      <c r="R83" s="173"/>
      <c r="S83" s="173"/>
      <c r="T83" s="173"/>
      <c r="U83" s="173"/>
      <c r="AK83" s="174"/>
    </row>
    <row r="84" spans="1:37">
      <c r="A84" s="170"/>
      <c r="O84" s="173"/>
      <c r="P84" s="173"/>
      <c r="Q84" s="173"/>
      <c r="R84" s="173"/>
      <c r="S84" s="173"/>
      <c r="T84" s="173"/>
      <c r="U84" s="173"/>
      <c r="AK84" s="174"/>
    </row>
    <row r="85" spans="1:37">
      <c r="A85" s="170"/>
      <c r="O85" s="173"/>
      <c r="P85" s="173"/>
      <c r="Q85" s="173"/>
      <c r="R85" s="173"/>
      <c r="S85" s="173"/>
      <c r="T85" s="173"/>
      <c r="U85" s="173"/>
      <c r="AK85" s="174"/>
    </row>
    <row r="86" spans="1:37">
      <c r="A86" s="170"/>
      <c r="O86" s="173"/>
      <c r="P86" s="173"/>
      <c r="Q86" s="173"/>
      <c r="R86" s="173"/>
      <c r="S86" s="173"/>
      <c r="T86" s="173"/>
      <c r="U86" s="173"/>
      <c r="AK86" s="174"/>
    </row>
    <row r="87" spans="1:37">
      <c r="A87" s="170"/>
      <c r="O87" s="173"/>
      <c r="P87" s="173"/>
      <c r="Q87" s="173"/>
      <c r="R87" s="173"/>
      <c r="S87" s="173"/>
      <c r="T87" s="173"/>
      <c r="U87" s="173"/>
      <c r="AK87" s="174"/>
    </row>
    <row r="88" spans="1:37">
      <c r="A88" s="170"/>
      <c r="O88" s="173"/>
      <c r="P88" s="173"/>
      <c r="Q88" s="173"/>
      <c r="R88" s="173"/>
      <c r="S88" s="173"/>
      <c r="T88" s="173"/>
      <c r="U88" s="173"/>
      <c r="AK88" s="174"/>
    </row>
    <row r="89" spans="1:37">
      <c r="A89" s="170"/>
      <c r="O89" s="173"/>
      <c r="P89" s="173"/>
      <c r="Q89" s="173"/>
      <c r="R89" s="173"/>
      <c r="S89" s="173"/>
      <c r="T89" s="173"/>
      <c r="U89" s="173"/>
      <c r="AK89" s="174"/>
    </row>
    <row r="90" spans="1:37">
      <c r="A90" s="170"/>
      <c r="O90" s="173"/>
      <c r="P90" s="173"/>
      <c r="Q90" s="173"/>
      <c r="R90" s="173"/>
      <c r="S90" s="173"/>
      <c r="T90" s="173"/>
      <c r="U90" s="173"/>
      <c r="AK90" s="174"/>
    </row>
    <row r="91" spans="1:37">
      <c r="A91" s="170"/>
      <c r="O91" s="173"/>
      <c r="P91" s="173"/>
      <c r="Q91" s="173"/>
      <c r="R91" s="173"/>
      <c r="S91" s="173"/>
      <c r="T91" s="173"/>
      <c r="U91" s="173"/>
      <c r="AK91" s="174"/>
    </row>
    <row r="92" spans="1:37">
      <c r="A92" s="170"/>
      <c r="O92" s="173"/>
      <c r="P92" s="173"/>
      <c r="Q92" s="173"/>
      <c r="R92" s="173"/>
      <c r="S92" s="173"/>
      <c r="T92" s="173"/>
      <c r="U92" s="173"/>
      <c r="AK92" s="174"/>
    </row>
    <row r="93" spans="1:37">
      <c r="A93" s="170"/>
      <c r="O93" s="173"/>
      <c r="P93" s="173"/>
      <c r="Q93" s="173"/>
      <c r="R93" s="173"/>
      <c r="S93" s="173"/>
      <c r="T93" s="173"/>
      <c r="U93" s="173"/>
      <c r="AK93" s="174"/>
    </row>
    <row r="94" spans="1:37">
      <c r="A94" s="170"/>
      <c r="O94" s="173"/>
      <c r="P94" s="173"/>
      <c r="Q94" s="173"/>
      <c r="R94" s="173"/>
      <c r="S94" s="173"/>
      <c r="T94" s="173"/>
      <c r="U94" s="173"/>
      <c r="AK94" s="174"/>
    </row>
    <row r="95" spans="1:37">
      <c r="A95" s="170"/>
      <c r="O95" s="173"/>
      <c r="P95" s="173"/>
      <c r="Q95" s="173"/>
      <c r="R95" s="173"/>
      <c r="S95" s="173"/>
      <c r="T95" s="173"/>
      <c r="U95" s="173"/>
      <c r="AK95" s="174"/>
    </row>
    <row r="96" spans="1:37">
      <c r="A96" s="170"/>
      <c r="O96" s="173"/>
      <c r="P96" s="173"/>
      <c r="Q96" s="173"/>
      <c r="R96" s="173"/>
      <c r="S96" s="173"/>
      <c r="T96" s="173"/>
      <c r="U96" s="173"/>
      <c r="AK96" s="174"/>
    </row>
    <row r="97" spans="1:37">
      <c r="A97" s="170"/>
      <c r="O97" s="173"/>
      <c r="P97" s="173"/>
      <c r="Q97" s="173"/>
      <c r="R97" s="173"/>
      <c r="S97" s="173"/>
      <c r="T97" s="173"/>
      <c r="U97" s="173"/>
      <c r="AK97" s="174"/>
    </row>
    <row r="98" spans="1:37">
      <c r="A98" s="170"/>
      <c r="O98" s="173"/>
      <c r="P98" s="173"/>
      <c r="Q98" s="173"/>
      <c r="R98" s="173"/>
      <c r="S98" s="173"/>
      <c r="T98" s="173"/>
      <c r="U98" s="173"/>
      <c r="AK98" s="174"/>
    </row>
    <row r="99" spans="1:37">
      <c r="A99" s="170"/>
      <c r="O99" s="173"/>
      <c r="P99" s="173"/>
      <c r="Q99" s="173"/>
      <c r="R99" s="173"/>
      <c r="S99" s="173"/>
      <c r="T99" s="173"/>
      <c r="U99" s="173"/>
      <c r="AK99" s="174"/>
    </row>
    <row r="100" spans="1:37">
      <c r="A100" s="170"/>
      <c r="O100" s="173"/>
      <c r="P100" s="173"/>
      <c r="Q100" s="173"/>
      <c r="R100" s="173"/>
      <c r="S100" s="173"/>
      <c r="T100" s="173"/>
      <c r="U100" s="173"/>
      <c r="AK100" s="174"/>
    </row>
    <row r="101" spans="1:37">
      <c r="A101" s="170"/>
      <c r="O101" s="173"/>
      <c r="P101" s="173"/>
      <c r="Q101" s="173"/>
      <c r="R101" s="173"/>
      <c r="S101" s="173"/>
      <c r="T101" s="173"/>
      <c r="U101" s="173"/>
      <c r="AK101" s="174"/>
    </row>
    <row r="102" spans="1:37">
      <c r="A102" s="170"/>
      <c r="O102" s="173"/>
      <c r="P102" s="173"/>
      <c r="Q102" s="173"/>
      <c r="R102" s="173"/>
      <c r="S102" s="173"/>
      <c r="T102" s="173"/>
      <c r="U102" s="173"/>
      <c r="AK102" s="174"/>
    </row>
    <row r="103" spans="1:37">
      <c r="A103" s="170"/>
      <c r="O103" s="173"/>
      <c r="P103" s="173"/>
      <c r="Q103" s="173"/>
      <c r="R103" s="173"/>
      <c r="S103" s="173"/>
      <c r="T103" s="173"/>
      <c r="U103" s="173"/>
      <c r="AK103" s="174"/>
    </row>
    <row r="104" spans="1:37">
      <c r="A104" s="170"/>
      <c r="O104" s="173"/>
      <c r="P104" s="173"/>
      <c r="Q104" s="173"/>
      <c r="R104" s="173"/>
      <c r="S104" s="173"/>
      <c r="T104" s="173"/>
      <c r="U104" s="173"/>
      <c r="AK104" s="174"/>
    </row>
    <row r="105" spans="1:37">
      <c r="A105" s="170"/>
      <c r="O105" s="173"/>
      <c r="P105" s="173"/>
      <c r="Q105" s="173"/>
      <c r="R105" s="173"/>
      <c r="S105" s="173"/>
      <c r="T105" s="173"/>
      <c r="U105" s="173"/>
      <c r="AK105" s="174"/>
    </row>
    <row r="106" spans="1:37">
      <c r="A106" s="170"/>
      <c r="O106" s="173"/>
      <c r="P106" s="173"/>
      <c r="Q106" s="173"/>
      <c r="R106" s="173"/>
      <c r="S106" s="173"/>
      <c r="T106" s="173"/>
      <c r="U106" s="173"/>
      <c r="AK106" s="174"/>
    </row>
    <row r="107" spans="1:37">
      <c r="A107" s="170"/>
      <c r="O107" s="173"/>
      <c r="P107" s="173"/>
      <c r="Q107" s="173"/>
      <c r="R107" s="173"/>
      <c r="S107" s="173"/>
      <c r="T107" s="173"/>
      <c r="U107" s="173"/>
      <c r="AK107" s="174"/>
    </row>
    <row r="108" spans="1:37">
      <c r="A108" s="170"/>
      <c r="O108" s="173"/>
      <c r="P108" s="173"/>
      <c r="Q108" s="173"/>
      <c r="R108" s="173"/>
      <c r="S108" s="173"/>
      <c r="T108" s="173"/>
      <c r="U108" s="173"/>
      <c r="AK108" s="174"/>
    </row>
    <row r="109" spans="1:37">
      <c r="A109" s="170"/>
      <c r="O109" s="173"/>
      <c r="P109" s="173"/>
      <c r="Q109" s="173"/>
      <c r="R109" s="173"/>
      <c r="S109" s="173"/>
      <c r="T109" s="173"/>
      <c r="U109" s="173"/>
      <c r="AK109" s="174"/>
    </row>
    <row r="110" spans="1:37">
      <c r="A110" s="170"/>
      <c r="O110" s="173"/>
      <c r="P110" s="173"/>
      <c r="Q110" s="173"/>
      <c r="R110" s="173"/>
      <c r="S110" s="173"/>
      <c r="T110" s="173"/>
      <c r="U110" s="173"/>
      <c r="AK110" s="174"/>
    </row>
    <row r="111" spans="1:37">
      <c r="A111" s="170"/>
      <c r="O111" s="173"/>
      <c r="P111" s="173"/>
      <c r="Q111" s="173"/>
      <c r="R111" s="173"/>
      <c r="S111" s="173"/>
      <c r="T111" s="173"/>
      <c r="U111" s="173"/>
      <c r="AK111" s="174"/>
    </row>
    <row r="112" spans="1:37">
      <c r="A112" s="170"/>
      <c r="O112" s="173"/>
      <c r="P112" s="173"/>
      <c r="Q112" s="173"/>
      <c r="R112" s="173"/>
      <c r="S112" s="173"/>
      <c r="T112" s="173"/>
      <c r="U112" s="173"/>
      <c r="AK112" s="174"/>
    </row>
    <row r="113" spans="1:37">
      <c r="A113" s="170"/>
      <c r="O113" s="173"/>
      <c r="P113" s="173"/>
      <c r="Q113" s="173"/>
      <c r="R113" s="173"/>
      <c r="S113" s="173"/>
      <c r="T113" s="173"/>
      <c r="U113" s="173"/>
      <c r="AK113" s="174"/>
    </row>
    <row r="114" spans="1:37">
      <c r="A114" s="170"/>
      <c r="O114" s="173"/>
      <c r="P114" s="173"/>
      <c r="Q114" s="173"/>
      <c r="R114" s="173"/>
      <c r="S114" s="173"/>
      <c r="T114" s="173"/>
      <c r="U114" s="173"/>
      <c r="AK114" s="174"/>
    </row>
    <row r="115" spans="1:37">
      <c r="A115" s="170"/>
      <c r="O115" s="173"/>
      <c r="P115" s="173"/>
      <c r="Q115" s="173"/>
      <c r="R115" s="173"/>
      <c r="S115" s="173"/>
      <c r="T115" s="173"/>
      <c r="U115" s="173"/>
      <c r="AK115" s="174"/>
    </row>
    <row r="116" spans="1:37">
      <c r="A116" s="170"/>
      <c r="O116" s="173"/>
      <c r="P116" s="173"/>
      <c r="Q116" s="173"/>
      <c r="R116" s="173"/>
      <c r="S116" s="173"/>
      <c r="T116" s="173"/>
      <c r="U116" s="173"/>
      <c r="AK116" s="174"/>
    </row>
    <row r="117" spans="1:37">
      <c r="A117" s="170"/>
      <c r="O117" s="173"/>
      <c r="P117" s="173"/>
      <c r="Q117" s="173"/>
      <c r="R117" s="173"/>
      <c r="S117" s="173"/>
      <c r="T117" s="173"/>
      <c r="U117" s="173"/>
      <c r="AK117" s="174"/>
    </row>
    <row r="118" spans="1:37">
      <c r="A118" s="170"/>
      <c r="O118" s="173"/>
      <c r="P118" s="173"/>
      <c r="Q118" s="173"/>
      <c r="R118" s="173"/>
      <c r="S118" s="173"/>
      <c r="T118" s="173"/>
      <c r="U118" s="173"/>
      <c r="AK118" s="174"/>
    </row>
    <row r="119" spans="1:37">
      <c r="A119" s="170"/>
      <c r="O119" s="173"/>
      <c r="P119" s="173"/>
      <c r="Q119" s="173"/>
      <c r="R119" s="173"/>
      <c r="S119" s="173"/>
      <c r="T119" s="173"/>
      <c r="U119" s="173"/>
      <c r="AK119" s="174"/>
    </row>
    <row r="120" spans="1:37">
      <c r="A120" s="170"/>
      <c r="O120" s="173"/>
      <c r="P120" s="173"/>
      <c r="Q120" s="173"/>
      <c r="R120" s="173"/>
      <c r="S120" s="173"/>
      <c r="T120" s="173"/>
      <c r="U120" s="173"/>
      <c r="AK120" s="174"/>
    </row>
    <row r="121" spans="1:37">
      <c r="A121" s="170"/>
      <c r="O121" s="173"/>
      <c r="P121" s="173"/>
      <c r="Q121" s="173"/>
      <c r="R121" s="173"/>
      <c r="S121" s="173"/>
      <c r="T121" s="173"/>
      <c r="U121" s="173"/>
      <c r="AK121" s="174"/>
    </row>
    <row r="122" spans="1:37">
      <c r="A122" s="170"/>
      <c r="O122" s="173"/>
      <c r="P122" s="173"/>
      <c r="Q122" s="173"/>
      <c r="R122" s="173"/>
      <c r="S122" s="173"/>
      <c r="T122" s="173"/>
      <c r="U122" s="173"/>
      <c r="AK122" s="174"/>
    </row>
    <row r="123" spans="1:37">
      <c r="A123" s="170"/>
      <c r="O123" s="173"/>
      <c r="P123" s="173"/>
      <c r="Q123" s="173"/>
      <c r="R123" s="173"/>
      <c r="S123" s="173"/>
      <c r="T123" s="173"/>
      <c r="U123" s="173"/>
      <c r="AK123" s="174"/>
    </row>
    <row r="124" spans="1:37">
      <c r="A124" s="170"/>
      <c r="O124" s="173"/>
      <c r="P124" s="173"/>
      <c r="Q124" s="173"/>
      <c r="R124" s="173"/>
      <c r="S124" s="173"/>
      <c r="T124" s="173"/>
      <c r="U124" s="173"/>
      <c r="AK124" s="174"/>
    </row>
    <row r="125" spans="1:37">
      <c r="A125" s="170"/>
      <c r="O125" s="173"/>
      <c r="P125" s="173"/>
      <c r="Q125" s="173"/>
      <c r="R125" s="173"/>
      <c r="S125" s="173"/>
      <c r="T125" s="173"/>
      <c r="U125" s="173"/>
      <c r="AK125" s="174"/>
    </row>
    <row r="126" spans="1:37">
      <c r="A126" s="170"/>
      <c r="O126" s="173"/>
      <c r="P126" s="173"/>
      <c r="Q126" s="173"/>
      <c r="R126" s="173"/>
      <c r="S126" s="173"/>
      <c r="T126" s="173"/>
      <c r="U126" s="173"/>
      <c r="AK126" s="174"/>
    </row>
    <row r="127" spans="1:37">
      <c r="A127" s="170"/>
      <c r="O127" s="173"/>
      <c r="P127" s="173"/>
      <c r="Q127" s="173"/>
      <c r="R127" s="173"/>
      <c r="S127" s="173"/>
      <c r="T127" s="173"/>
      <c r="U127" s="173"/>
      <c r="AK127" s="174"/>
    </row>
    <row r="128" spans="1:37">
      <c r="A128" s="170"/>
      <c r="O128" s="173"/>
      <c r="P128" s="173"/>
      <c r="Q128" s="173"/>
      <c r="R128" s="173"/>
      <c r="S128" s="173"/>
      <c r="T128" s="173"/>
      <c r="U128" s="173"/>
      <c r="AK128" s="174"/>
    </row>
    <row r="129" spans="1:37">
      <c r="A129" s="170"/>
      <c r="O129" s="173"/>
      <c r="P129" s="173"/>
      <c r="Q129" s="173"/>
      <c r="R129" s="173"/>
      <c r="S129" s="173"/>
      <c r="T129" s="173"/>
      <c r="U129" s="173"/>
      <c r="AK129" s="174"/>
    </row>
    <row r="130" spans="1:37">
      <c r="A130" s="170"/>
      <c r="O130" s="173"/>
      <c r="P130" s="173"/>
      <c r="Q130" s="173"/>
      <c r="R130" s="173"/>
      <c r="S130" s="173"/>
      <c r="T130" s="173"/>
      <c r="U130" s="173"/>
      <c r="AK130" s="174"/>
    </row>
    <row r="131" spans="1:37">
      <c r="A131" s="170"/>
      <c r="O131" s="173"/>
      <c r="P131" s="173"/>
      <c r="Q131" s="173"/>
      <c r="R131" s="173"/>
      <c r="S131" s="173"/>
      <c r="T131" s="173"/>
      <c r="U131" s="173"/>
      <c r="AK131" s="174"/>
    </row>
    <row r="132" spans="1:37">
      <c r="A132" s="170"/>
      <c r="O132" s="173"/>
      <c r="P132" s="173"/>
      <c r="Q132" s="173"/>
      <c r="R132" s="173"/>
      <c r="S132" s="173"/>
      <c r="T132" s="173"/>
      <c r="U132" s="173"/>
      <c r="AK132" s="174"/>
    </row>
    <row r="133" spans="1:37">
      <c r="A133" s="170"/>
      <c r="O133" s="173"/>
      <c r="P133" s="173"/>
      <c r="Q133" s="173"/>
      <c r="R133" s="173"/>
      <c r="S133" s="173"/>
      <c r="T133" s="173"/>
      <c r="U133" s="173"/>
      <c r="AK133" s="174"/>
    </row>
    <row r="134" spans="1:37">
      <c r="A134" s="170"/>
      <c r="O134" s="173"/>
      <c r="P134" s="173"/>
      <c r="Q134" s="173"/>
      <c r="R134" s="173"/>
      <c r="S134" s="173"/>
      <c r="T134" s="173"/>
      <c r="U134" s="173"/>
      <c r="AK134" s="174"/>
    </row>
    <row r="135" spans="1:37">
      <c r="A135" s="170"/>
      <c r="O135" s="173"/>
      <c r="P135" s="173"/>
      <c r="Q135" s="173"/>
      <c r="R135" s="173"/>
      <c r="S135" s="173"/>
      <c r="T135" s="173"/>
      <c r="U135" s="173"/>
      <c r="AK135" s="174"/>
    </row>
    <row r="136" spans="1:37">
      <c r="A136" s="170"/>
      <c r="O136" s="173"/>
      <c r="P136" s="173"/>
      <c r="Q136" s="173"/>
      <c r="R136" s="173"/>
      <c r="S136" s="173"/>
      <c r="T136" s="173"/>
      <c r="U136" s="173"/>
      <c r="AK136" s="174"/>
    </row>
    <row r="137" spans="1:37">
      <c r="A137" s="170"/>
      <c r="O137" s="173"/>
      <c r="P137" s="173"/>
      <c r="Q137" s="173"/>
      <c r="R137" s="173"/>
      <c r="S137" s="173"/>
      <c r="T137" s="173"/>
      <c r="U137" s="173"/>
      <c r="AK137" s="174"/>
    </row>
    <row r="138" spans="1:37">
      <c r="A138" s="170"/>
      <c r="O138" s="173"/>
      <c r="P138" s="173"/>
      <c r="Q138" s="173"/>
      <c r="R138" s="173"/>
      <c r="S138" s="173"/>
      <c r="T138" s="173"/>
      <c r="U138" s="173"/>
      <c r="AK138" s="174"/>
    </row>
    <row r="139" spans="1:37">
      <c r="A139" s="170"/>
      <c r="O139" s="173"/>
      <c r="P139" s="173"/>
      <c r="Q139" s="173"/>
      <c r="R139" s="173"/>
      <c r="S139" s="173"/>
      <c r="T139" s="173"/>
      <c r="U139" s="173"/>
      <c r="AK139" s="174"/>
    </row>
    <row r="140" spans="1:37">
      <c r="A140" s="170"/>
      <c r="O140" s="173"/>
      <c r="P140" s="173"/>
      <c r="Q140" s="173"/>
      <c r="R140" s="173"/>
      <c r="S140" s="173"/>
      <c r="T140" s="173"/>
      <c r="U140" s="173"/>
      <c r="AK140" s="174"/>
    </row>
    <row r="141" spans="1:37">
      <c r="A141" s="170"/>
      <c r="O141" s="173"/>
      <c r="P141" s="173"/>
      <c r="Q141" s="173"/>
      <c r="R141" s="173"/>
      <c r="S141" s="173"/>
      <c r="T141" s="173"/>
      <c r="U141" s="173"/>
      <c r="AK141" s="174"/>
    </row>
    <row r="142" spans="1:37">
      <c r="A142" s="170"/>
      <c r="O142" s="173"/>
      <c r="P142" s="173"/>
      <c r="Q142" s="173"/>
      <c r="R142" s="173"/>
      <c r="S142" s="173"/>
      <c r="T142" s="173"/>
      <c r="U142" s="173"/>
      <c r="AK142" s="174"/>
    </row>
    <row r="143" spans="1:37">
      <c r="A143" s="170"/>
      <c r="O143" s="173"/>
      <c r="P143" s="173"/>
      <c r="Q143" s="173"/>
      <c r="R143" s="173"/>
      <c r="S143" s="173"/>
      <c r="T143" s="173"/>
      <c r="U143" s="173"/>
      <c r="AK143" s="174"/>
    </row>
    <row r="144" spans="1:37">
      <c r="A144" s="170"/>
      <c r="O144" s="173"/>
      <c r="P144" s="173"/>
      <c r="Q144" s="173"/>
      <c r="R144" s="173"/>
      <c r="S144" s="173"/>
      <c r="T144" s="173"/>
      <c r="U144" s="173"/>
      <c r="AK144" s="174"/>
    </row>
    <row r="145" spans="1:37">
      <c r="A145" s="170"/>
      <c r="O145" s="173"/>
      <c r="P145" s="173"/>
      <c r="Q145" s="173"/>
      <c r="R145" s="173"/>
      <c r="S145" s="173"/>
      <c r="T145" s="173"/>
      <c r="U145" s="173"/>
      <c r="AK145" s="174"/>
    </row>
    <row r="146" spans="1:37">
      <c r="A146" s="170"/>
      <c r="O146" s="173"/>
      <c r="P146" s="173"/>
      <c r="Q146" s="173"/>
      <c r="R146" s="173"/>
      <c r="S146" s="173"/>
      <c r="T146" s="173"/>
      <c r="U146" s="173"/>
      <c r="AK146" s="174"/>
    </row>
    <row r="147" spans="1:37">
      <c r="A147" s="170"/>
      <c r="O147" s="173"/>
      <c r="P147" s="173"/>
      <c r="Q147" s="173"/>
      <c r="R147" s="173"/>
      <c r="S147" s="173"/>
      <c r="T147" s="173"/>
      <c r="U147" s="173"/>
      <c r="AK147" s="174"/>
    </row>
    <row r="148" spans="1:37">
      <c r="A148" s="175"/>
      <c r="B148" s="176"/>
      <c r="C148" s="176"/>
      <c r="D148" s="176"/>
      <c r="E148" s="177"/>
      <c r="F148" s="178"/>
      <c r="G148" s="177"/>
      <c r="H148" s="179"/>
      <c r="I148" s="179"/>
      <c r="J148" s="180"/>
      <c r="K148" s="179"/>
      <c r="L148" s="180"/>
      <c r="M148" s="180"/>
      <c r="N148" s="177"/>
      <c r="O148" s="181"/>
      <c r="P148" s="181"/>
      <c r="Q148" s="181"/>
      <c r="R148" s="181"/>
      <c r="S148" s="181"/>
      <c r="T148" s="181"/>
      <c r="U148" s="181"/>
      <c r="V148" s="177"/>
      <c r="W148" s="177"/>
      <c r="X148" s="182"/>
      <c r="Y148" s="182"/>
      <c r="Z148" s="182"/>
      <c r="AA148" s="182"/>
      <c r="AB148" s="182"/>
      <c r="AC148" s="182"/>
      <c r="AD148" s="182"/>
      <c r="AE148" s="182"/>
      <c r="AF148" s="182"/>
      <c r="AG148" s="182"/>
      <c r="AH148" s="182"/>
      <c r="AI148" s="182"/>
      <c r="AJ148" s="182"/>
      <c r="AK148" s="183"/>
    </row>
  </sheetData>
  <protectedRanges>
    <protectedRange sqref="J5:J6 L5:L6" name="Rango1_1_3"/>
    <protectedRange sqref="F5:I6" name="Rango1_8"/>
    <protectedRange sqref="K5:K6" name="Rango1_1_8"/>
    <protectedRange sqref="E5:E6" name="Rango1_1_3_1"/>
  </protectedRanges>
  <autoFilter ref="A4:EC4"/>
  <mergeCells count="18">
    <mergeCell ref="E2:I2"/>
    <mergeCell ref="E3:I3"/>
    <mergeCell ref="E1:I1"/>
    <mergeCell ref="K1:M3"/>
    <mergeCell ref="V3:W3"/>
    <mergeCell ref="N3:O3"/>
    <mergeCell ref="P3:Q3"/>
    <mergeCell ref="N2:O2"/>
    <mergeCell ref="V2:W2"/>
    <mergeCell ref="R3:S3"/>
    <mergeCell ref="T3:U3"/>
    <mergeCell ref="P2:U2"/>
    <mergeCell ref="AD2:AH2"/>
    <mergeCell ref="AD3:AE3"/>
    <mergeCell ref="AF3:AG3"/>
    <mergeCell ref="X2:AA2"/>
    <mergeCell ref="AB2:AC2"/>
    <mergeCell ref="X3:Y3"/>
  </mergeCells>
  <phoneticPr fontId="0" type="noConversion"/>
  <conditionalFormatting sqref="K5:K6 E5:G6">
    <cfRule type="expression" dxfId="8" priority="587" stopIfTrue="1">
      <formula>"SEVERSTAL"</formula>
    </cfRule>
  </conditionalFormatting>
  <conditionalFormatting sqref="H5:I6">
    <cfRule type="cellIs" dxfId="7" priority="588" stopIfTrue="1" operator="equal">
      <formula>"APROBADO"</formula>
    </cfRule>
    <cfRule type="cellIs" dxfId="6" priority="589" stopIfTrue="1" operator="equal">
      <formula>"ESPERA"</formula>
    </cfRule>
    <cfRule type="cellIs" dxfId="5" priority="590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4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/>
    </sheetView>
  </sheetViews>
  <sheetFormatPr baseColWidth="10" defaultRowHeight="15.75"/>
  <cols>
    <col min="1" max="1" width="12.125" style="22" customWidth="1"/>
    <col min="2" max="2" width="7.125" style="22" customWidth="1"/>
    <col min="3" max="3" width="10.625" style="22" customWidth="1"/>
    <col min="4" max="4" width="8.625" style="33" customWidth="1"/>
    <col min="5" max="5" width="13.125" style="33" customWidth="1"/>
    <col min="6" max="6" width="7.75" style="22" customWidth="1"/>
    <col min="7" max="7" width="6.75" style="22" customWidth="1"/>
    <col min="8" max="8" width="9.375" style="139" customWidth="1"/>
    <col min="9" max="9" width="5.875" style="22" customWidth="1"/>
    <col min="10" max="10" width="7.875" style="22" customWidth="1"/>
    <col min="11" max="11" width="7.125" style="22" customWidth="1"/>
    <col min="12" max="12" width="6.25" style="22" customWidth="1"/>
    <col min="13" max="13" width="7.5" style="22" customWidth="1"/>
    <col min="14" max="14" width="5.875" style="22" customWidth="1"/>
    <col min="15" max="15" width="6.875" style="22" customWidth="1"/>
    <col min="16" max="16" width="6.625" style="22" customWidth="1"/>
    <col min="17" max="17" width="8.75" style="22" customWidth="1"/>
    <col min="18" max="18" width="5.25" style="22" customWidth="1"/>
    <col min="19" max="19" width="6" style="22" customWidth="1"/>
    <col min="20" max="20" width="4.5" style="22" customWidth="1"/>
    <col min="21" max="21" width="5.625" style="22" customWidth="1"/>
    <col min="22" max="22" width="8.25" style="22" customWidth="1"/>
    <col min="23" max="23" width="6.875" style="22" customWidth="1"/>
    <col min="24" max="24" width="9" style="22" customWidth="1"/>
    <col min="25" max="25" width="10.625" style="22" customWidth="1"/>
    <col min="26" max="27" width="9.625" style="22" customWidth="1"/>
    <col min="28" max="28" width="8" style="22" customWidth="1"/>
    <col min="29" max="29" width="7.25" style="22" customWidth="1"/>
    <col min="30" max="30" width="6.625" style="22" customWidth="1"/>
    <col min="31" max="31" width="6.875" style="22" customWidth="1"/>
    <col min="32" max="33" width="8.25" style="33" customWidth="1"/>
    <col min="34" max="16384" width="11" style="22"/>
  </cols>
  <sheetData>
    <row r="1" spans="1:33" ht="27" customHeight="1">
      <c r="A1" s="21"/>
      <c r="B1" s="21"/>
      <c r="C1" s="21"/>
      <c r="D1" s="21"/>
      <c r="E1" s="21"/>
      <c r="F1" s="21"/>
      <c r="G1" s="21" t="s">
        <v>58</v>
      </c>
      <c r="H1" s="14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spans="1:33" ht="23.25" customHeight="1">
      <c r="A2" s="23"/>
      <c r="B2" s="23"/>
      <c r="C2" s="23"/>
      <c r="D2" s="35"/>
      <c r="E2" s="35"/>
      <c r="F2" s="216"/>
      <c r="G2" s="216"/>
      <c r="H2" s="138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1"/>
      <c r="Y2" s="24"/>
      <c r="Z2" s="24"/>
      <c r="AA2" s="24"/>
      <c r="AB2" s="24"/>
      <c r="AC2" s="24"/>
      <c r="AD2" s="24"/>
      <c r="AE2" s="25" t="s">
        <v>23</v>
      </c>
      <c r="AF2" s="26" t="s">
        <v>92</v>
      </c>
      <c r="AG2" s="26" t="s">
        <v>76</v>
      </c>
    </row>
    <row r="3" spans="1:33" ht="29.25" customHeight="1">
      <c r="B3" s="225" t="s">
        <v>103</v>
      </c>
      <c r="C3" s="225"/>
      <c r="D3" s="225"/>
      <c r="E3" s="225"/>
      <c r="F3" s="225"/>
      <c r="G3" s="225"/>
      <c r="I3" s="218" t="s">
        <v>59</v>
      </c>
      <c r="J3" s="218"/>
      <c r="K3" s="218"/>
      <c r="L3" s="218"/>
      <c r="M3" s="218"/>
      <c r="N3" s="218"/>
      <c r="O3" s="218"/>
      <c r="P3" s="107"/>
      <c r="Q3" s="217" t="s">
        <v>60</v>
      </c>
      <c r="R3" s="217"/>
      <c r="S3" s="217"/>
      <c r="T3" s="217"/>
      <c r="U3" s="217"/>
      <c r="V3" s="217"/>
      <c r="W3" s="107"/>
      <c r="X3" s="21"/>
      <c r="Y3" s="27"/>
      <c r="Z3" s="27"/>
      <c r="AA3" s="27"/>
      <c r="AB3" s="27"/>
      <c r="AC3" s="27"/>
      <c r="AD3" s="28" t="s">
        <v>55</v>
      </c>
      <c r="AE3" s="29">
        <v>52</v>
      </c>
      <c r="AF3" s="29">
        <f>23*AE3/60</f>
        <v>19.933333333333334</v>
      </c>
      <c r="AG3" s="29">
        <f>3600/AE3</f>
        <v>69.230769230769226</v>
      </c>
    </row>
    <row r="4" spans="1:33" ht="33.75" customHeight="1">
      <c r="A4" s="30"/>
      <c r="B4" s="225"/>
      <c r="C4" s="225"/>
      <c r="D4" s="225"/>
      <c r="E4" s="225"/>
      <c r="F4" s="225"/>
      <c r="G4" s="225"/>
      <c r="H4" s="138"/>
      <c r="I4" s="220" t="s">
        <v>8</v>
      </c>
      <c r="J4" s="221"/>
      <c r="K4" s="219" t="s">
        <v>9</v>
      </c>
      <c r="L4" s="220"/>
      <c r="M4" s="220"/>
      <c r="N4" s="220"/>
      <c r="O4" s="221"/>
      <c r="P4" s="222" t="s">
        <v>13</v>
      </c>
      <c r="Q4" s="223"/>
      <c r="R4" s="224"/>
      <c r="S4" s="219" t="s">
        <v>9</v>
      </c>
      <c r="T4" s="220"/>
      <c r="U4" s="220"/>
      <c r="V4" s="220"/>
      <c r="W4" s="108"/>
      <c r="X4" s="31"/>
      <c r="Y4" s="27"/>
      <c r="Z4" s="27"/>
      <c r="AA4" s="27"/>
      <c r="AB4" s="27"/>
      <c r="AC4" s="27"/>
      <c r="AD4" s="28" t="s">
        <v>56</v>
      </c>
      <c r="AE4" s="29">
        <v>52</v>
      </c>
      <c r="AF4" s="29">
        <f>35*AE4/60</f>
        <v>30.333333333333332</v>
      </c>
      <c r="AG4" s="29">
        <f>3600/AE4</f>
        <v>69.230769230769226</v>
      </c>
    </row>
    <row r="5" spans="1:33" s="122" customFormat="1" ht="73.5" customHeight="1">
      <c r="A5" s="123" t="s">
        <v>1</v>
      </c>
      <c r="B5" s="123" t="s">
        <v>4</v>
      </c>
      <c r="C5" s="123" t="s">
        <v>61</v>
      </c>
      <c r="D5" s="123" t="s">
        <v>3</v>
      </c>
      <c r="E5" s="123" t="s">
        <v>75</v>
      </c>
      <c r="F5" s="123" t="s">
        <v>5</v>
      </c>
      <c r="G5" s="123" t="s">
        <v>12</v>
      </c>
      <c r="H5" s="131" t="s">
        <v>95</v>
      </c>
      <c r="I5" s="126" t="s">
        <v>7</v>
      </c>
      <c r="J5" s="127" t="s">
        <v>65</v>
      </c>
      <c r="K5" s="126" t="s">
        <v>64</v>
      </c>
      <c r="L5" s="126" t="s">
        <v>10</v>
      </c>
      <c r="M5" s="126" t="s">
        <v>11</v>
      </c>
      <c r="N5" s="126" t="s">
        <v>15</v>
      </c>
      <c r="O5" s="126" t="s">
        <v>66</v>
      </c>
      <c r="P5" s="126" t="s">
        <v>74</v>
      </c>
      <c r="Q5" s="126" t="s">
        <v>67</v>
      </c>
      <c r="R5" s="126" t="s">
        <v>7</v>
      </c>
      <c r="S5" s="126" t="s">
        <v>10</v>
      </c>
      <c r="T5" s="126" t="s">
        <v>11</v>
      </c>
      <c r="U5" s="126" t="s">
        <v>73</v>
      </c>
      <c r="V5" s="126" t="s">
        <v>68</v>
      </c>
      <c r="W5" s="126" t="s">
        <v>64</v>
      </c>
      <c r="X5" s="126" t="s">
        <v>0</v>
      </c>
      <c r="Y5" s="126" t="s">
        <v>6</v>
      </c>
      <c r="Z5" s="126" t="s">
        <v>105</v>
      </c>
      <c r="AA5" s="126" t="s">
        <v>63</v>
      </c>
      <c r="AB5" s="126" t="s">
        <v>104</v>
      </c>
      <c r="AC5" s="126" t="s">
        <v>71</v>
      </c>
      <c r="AD5" s="126" t="s">
        <v>62</v>
      </c>
      <c r="AE5" s="126" t="s">
        <v>52</v>
      </c>
      <c r="AF5" s="126" t="s">
        <v>57</v>
      </c>
      <c r="AG5" s="126" t="s">
        <v>57</v>
      </c>
    </row>
    <row r="6" spans="1:33" s="33" customFormat="1">
      <c r="A6" s="109">
        <v>42962</v>
      </c>
      <c r="B6" s="34">
        <v>3</v>
      </c>
      <c r="C6" s="34">
        <v>2153902</v>
      </c>
      <c r="D6" s="110">
        <v>51989</v>
      </c>
      <c r="E6" s="110" t="s">
        <v>99</v>
      </c>
      <c r="F6" s="34" t="s">
        <v>101</v>
      </c>
      <c r="G6" s="111">
        <v>86</v>
      </c>
      <c r="H6" s="133" t="s">
        <v>102</v>
      </c>
      <c r="I6" s="112">
        <v>0</v>
      </c>
      <c r="J6" s="113">
        <v>1</v>
      </c>
      <c r="K6" s="119">
        <v>0</v>
      </c>
      <c r="L6" s="114">
        <v>0</v>
      </c>
      <c r="M6" s="112">
        <v>0</v>
      </c>
      <c r="N6" s="115">
        <v>0</v>
      </c>
      <c r="O6" s="111">
        <v>0</v>
      </c>
      <c r="P6" s="116">
        <v>0</v>
      </c>
      <c r="Q6" s="114">
        <v>1</v>
      </c>
      <c r="R6" s="111">
        <v>0</v>
      </c>
      <c r="S6" s="114">
        <v>0</v>
      </c>
      <c r="T6" s="112">
        <v>0</v>
      </c>
      <c r="U6" s="120">
        <v>0</v>
      </c>
      <c r="V6" s="114">
        <v>0</v>
      </c>
      <c r="W6" s="114">
        <v>0</v>
      </c>
      <c r="X6" s="32">
        <f t="shared" ref="X6" si="0">+G6-(SUM(I6:W6))</f>
        <v>84</v>
      </c>
      <c r="Y6" s="117"/>
      <c r="Z6" s="117"/>
      <c r="AA6" s="117">
        <v>3</v>
      </c>
      <c r="AB6" s="117"/>
      <c r="AC6" s="117"/>
      <c r="AD6" s="132">
        <f t="shared" ref="AD6:AD37" si="1">X6-SUM(Z6:AA6)</f>
        <v>81</v>
      </c>
      <c r="AE6" s="118"/>
      <c r="AF6" s="110"/>
      <c r="AG6" s="110"/>
    </row>
    <row r="7" spans="1:33" s="33" customFormat="1">
      <c r="A7" s="109">
        <v>42963</v>
      </c>
      <c r="B7" s="34">
        <v>1</v>
      </c>
      <c r="C7" s="34">
        <v>2153902</v>
      </c>
      <c r="D7" s="110">
        <v>51989</v>
      </c>
      <c r="E7" s="110" t="s">
        <v>99</v>
      </c>
      <c r="F7" s="34" t="s">
        <v>101</v>
      </c>
      <c r="G7" s="111">
        <v>57</v>
      </c>
      <c r="H7" s="133" t="s">
        <v>102</v>
      </c>
      <c r="I7" s="112">
        <v>0</v>
      </c>
      <c r="J7" s="113">
        <v>0</v>
      </c>
      <c r="K7" s="119">
        <v>0</v>
      </c>
      <c r="L7" s="114">
        <v>0</v>
      </c>
      <c r="M7" s="112">
        <v>0</v>
      </c>
      <c r="N7" s="115">
        <v>0</v>
      </c>
      <c r="O7" s="111">
        <v>0</v>
      </c>
      <c r="P7" s="116">
        <v>0</v>
      </c>
      <c r="Q7" s="114">
        <v>1</v>
      </c>
      <c r="R7" s="111">
        <v>0</v>
      </c>
      <c r="S7" s="114">
        <v>0</v>
      </c>
      <c r="T7" s="112">
        <v>0</v>
      </c>
      <c r="U7" s="120">
        <v>0</v>
      </c>
      <c r="V7" s="114">
        <v>0</v>
      </c>
      <c r="W7" s="114">
        <v>0</v>
      </c>
      <c r="X7" s="32">
        <f t="shared" ref="X7" si="2">+G7-(SUM(I7:W7))</f>
        <v>56</v>
      </c>
      <c r="Y7" s="117"/>
      <c r="Z7" s="117">
        <v>1</v>
      </c>
      <c r="AA7" s="117"/>
      <c r="AB7" s="117"/>
      <c r="AC7" s="117"/>
      <c r="AD7" s="132">
        <f t="shared" si="1"/>
        <v>55</v>
      </c>
      <c r="AE7" s="118"/>
      <c r="AF7" s="110"/>
      <c r="AG7" s="110"/>
    </row>
    <row r="8" spans="1:33" s="33" customFormat="1">
      <c r="A8" s="109"/>
      <c r="B8" s="34"/>
      <c r="C8" s="34"/>
      <c r="D8" s="110"/>
      <c r="E8" s="110"/>
      <c r="F8" s="34"/>
      <c r="G8" s="111"/>
      <c r="H8" s="140"/>
      <c r="I8" s="112">
        <v>0</v>
      </c>
      <c r="J8" s="113">
        <v>0</v>
      </c>
      <c r="K8" s="119">
        <v>0</v>
      </c>
      <c r="L8" s="114">
        <v>0</v>
      </c>
      <c r="M8" s="112">
        <v>0</v>
      </c>
      <c r="N8" s="115">
        <v>0</v>
      </c>
      <c r="O8" s="111">
        <v>0</v>
      </c>
      <c r="P8" s="116">
        <v>0</v>
      </c>
      <c r="Q8" s="114">
        <v>0</v>
      </c>
      <c r="R8" s="111">
        <v>0</v>
      </c>
      <c r="S8" s="114">
        <v>0</v>
      </c>
      <c r="T8" s="112">
        <v>0</v>
      </c>
      <c r="U8" s="120">
        <v>0</v>
      </c>
      <c r="V8" s="114">
        <v>0</v>
      </c>
      <c r="W8" s="114">
        <v>0</v>
      </c>
      <c r="X8" s="32">
        <f t="shared" ref="X8:X57" si="3">+G8-(SUM(I8:W8))</f>
        <v>0</v>
      </c>
      <c r="Y8" s="117"/>
      <c r="Z8" s="117"/>
      <c r="AA8" s="117"/>
      <c r="AB8" s="117"/>
      <c r="AC8" s="117"/>
      <c r="AD8" s="132">
        <f t="shared" si="1"/>
        <v>0</v>
      </c>
      <c r="AE8" s="118"/>
      <c r="AF8" s="110"/>
      <c r="AG8" s="110"/>
    </row>
    <row r="9" spans="1:33" s="33" customFormat="1">
      <c r="A9" s="109"/>
      <c r="B9" s="34"/>
      <c r="C9" s="34"/>
      <c r="D9" s="110"/>
      <c r="E9" s="110"/>
      <c r="F9" s="34"/>
      <c r="G9" s="111"/>
      <c r="H9" s="140"/>
      <c r="I9" s="112">
        <v>0</v>
      </c>
      <c r="J9" s="113">
        <v>0</v>
      </c>
      <c r="K9" s="119">
        <v>0</v>
      </c>
      <c r="L9" s="114">
        <v>0</v>
      </c>
      <c r="M9" s="112">
        <v>0</v>
      </c>
      <c r="N9" s="115">
        <v>0</v>
      </c>
      <c r="O9" s="111">
        <v>0</v>
      </c>
      <c r="P9" s="116">
        <v>0</v>
      </c>
      <c r="Q9" s="114">
        <v>0</v>
      </c>
      <c r="R9" s="111">
        <v>0</v>
      </c>
      <c r="S9" s="114">
        <v>0</v>
      </c>
      <c r="T9" s="112">
        <v>0</v>
      </c>
      <c r="U9" s="120">
        <v>0</v>
      </c>
      <c r="V9" s="114">
        <v>0</v>
      </c>
      <c r="W9" s="114">
        <v>0</v>
      </c>
      <c r="X9" s="32">
        <f t="shared" si="3"/>
        <v>0</v>
      </c>
      <c r="Y9" s="117"/>
      <c r="Z9" s="117"/>
      <c r="AA9" s="117"/>
      <c r="AB9" s="117"/>
      <c r="AC9" s="117"/>
      <c r="AD9" s="132">
        <f t="shared" si="1"/>
        <v>0</v>
      </c>
      <c r="AE9" s="118"/>
      <c r="AF9" s="110"/>
      <c r="AG9" s="110"/>
    </row>
    <row r="10" spans="1:33" s="33" customFormat="1">
      <c r="A10" s="109"/>
      <c r="B10" s="34"/>
      <c r="C10" s="34"/>
      <c r="D10" s="110"/>
      <c r="E10" s="110"/>
      <c r="F10" s="34"/>
      <c r="G10" s="111"/>
      <c r="H10" s="140"/>
      <c r="I10" s="112">
        <v>0</v>
      </c>
      <c r="J10" s="113">
        <v>0</v>
      </c>
      <c r="K10" s="119">
        <v>0</v>
      </c>
      <c r="L10" s="114">
        <v>0</v>
      </c>
      <c r="M10" s="112">
        <v>0</v>
      </c>
      <c r="N10" s="115">
        <v>0</v>
      </c>
      <c r="O10" s="111">
        <v>0</v>
      </c>
      <c r="P10" s="116">
        <v>0</v>
      </c>
      <c r="Q10" s="114">
        <v>0</v>
      </c>
      <c r="R10" s="111">
        <v>0</v>
      </c>
      <c r="S10" s="114">
        <v>0</v>
      </c>
      <c r="T10" s="112">
        <v>0</v>
      </c>
      <c r="U10" s="120">
        <v>0</v>
      </c>
      <c r="V10" s="114">
        <v>0</v>
      </c>
      <c r="W10" s="114">
        <v>0</v>
      </c>
      <c r="X10" s="32">
        <f t="shared" si="3"/>
        <v>0</v>
      </c>
      <c r="Y10" s="117"/>
      <c r="Z10" s="117"/>
      <c r="AA10" s="117"/>
      <c r="AB10" s="117"/>
      <c r="AC10" s="117"/>
      <c r="AD10" s="132">
        <f t="shared" si="1"/>
        <v>0</v>
      </c>
      <c r="AE10" s="118"/>
      <c r="AF10" s="110"/>
      <c r="AG10" s="110"/>
    </row>
    <row r="11" spans="1:33" s="33" customFormat="1">
      <c r="A11" s="109"/>
      <c r="B11" s="34"/>
      <c r="C11" s="34"/>
      <c r="D11" s="110"/>
      <c r="E11" s="110"/>
      <c r="F11" s="34"/>
      <c r="G11" s="111"/>
      <c r="H11" s="140"/>
      <c r="I11" s="112">
        <v>0</v>
      </c>
      <c r="J11" s="113">
        <v>0</v>
      </c>
      <c r="K11" s="119">
        <v>0</v>
      </c>
      <c r="L11" s="114">
        <v>0</v>
      </c>
      <c r="M11" s="112">
        <v>0</v>
      </c>
      <c r="N11" s="115">
        <v>0</v>
      </c>
      <c r="O11" s="111">
        <v>0</v>
      </c>
      <c r="P11" s="116">
        <v>0</v>
      </c>
      <c r="Q11" s="114">
        <v>0</v>
      </c>
      <c r="R11" s="111">
        <v>0</v>
      </c>
      <c r="S11" s="114">
        <v>0</v>
      </c>
      <c r="T11" s="112">
        <v>0</v>
      </c>
      <c r="U11" s="120">
        <v>0</v>
      </c>
      <c r="V11" s="114">
        <v>0</v>
      </c>
      <c r="W11" s="114">
        <v>0</v>
      </c>
      <c r="X11" s="32">
        <f t="shared" si="3"/>
        <v>0</v>
      </c>
      <c r="Y11" s="117"/>
      <c r="Z11" s="117"/>
      <c r="AA11" s="117"/>
      <c r="AB11" s="117"/>
      <c r="AC11" s="117"/>
      <c r="AD11" s="132">
        <f t="shared" si="1"/>
        <v>0</v>
      </c>
      <c r="AE11" s="118"/>
      <c r="AF11" s="110"/>
      <c r="AG11" s="110"/>
    </row>
    <row r="12" spans="1:33" s="33" customFormat="1">
      <c r="A12" s="109"/>
      <c r="B12" s="34"/>
      <c r="C12" s="34"/>
      <c r="D12" s="110"/>
      <c r="E12" s="110"/>
      <c r="F12" s="34"/>
      <c r="G12" s="111"/>
      <c r="H12" s="140"/>
      <c r="I12" s="112">
        <v>0</v>
      </c>
      <c r="J12" s="113">
        <v>0</v>
      </c>
      <c r="K12" s="119">
        <v>0</v>
      </c>
      <c r="L12" s="114">
        <v>0</v>
      </c>
      <c r="M12" s="112">
        <v>0</v>
      </c>
      <c r="N12" s="115">
        <v>0</v>
      </c>
      <c r="O12" s="111">
        <v>0</v>
      </c>
      <c r="P12" s="116">
        <v>0</v>
      </c>
      <c r="Q12" s="114">
        <v>0</v>
      </c>
      <c r="R12" s="111">
        <v>0</v>
      </c>
      <c r="S12" s="114">
        <v>0</v>
      </c>
      <c r="T12" s="112">
        <v>0</v>
      </c>
      <c r="U12" s="120">
        <v>0</v>
      </c>
      <c r="V12" s="114">
        <v>0</v>
      </c>
      <c r="W12" s="114">
        <v>0</v>
      </c>
      <c r="X12" s="32">
        <f t="shared" si="3"/>
        <v>0</v>
      </c>
      <c r="Y12" s="117"/>
      <c r="Z12" s="117"/>
      <c r="AA12" s="117"/>
      <c r="AB12" s="117"/>
      <c r="AC12" s="117"/>
      <c r="AD12" s="132">
        <f t="shared" si="1"/>
        <v>0</v>
      </c>
      <c r="AE12" s="118"/>
      <c r="AF12" s="110"/>
      <c r="AG12" s="110"/>
    </row>
    <row r="13" spans="1:33" s="33" customFormat="1">
      <c r="A13" s="109"/>
      <c r="B13" s="34"/>
      <c r="C13" s="34"/>
      <c r="D13" s="110"/>
      <c r="E13" s="110"/>
      <c r="F13" s="34"/>
      <c r="G13" s="111"/>
      <c r="H13" s="140"/>
      <c r="I13" s="112">
        <v>0</v>
      </c>
      <c r="J13" s="113">
        <v>0</v>
      </c>
      <c r="K13" s="119">
        <v>0</v>
      </c>
      <c r="L13" s="114">
        <v>0</v>
      </c>
      <c r="M13" s="112">
        <v>0</v>
      </c>
      <c r="N13" s="115">
        <v>0</v>
      </c>
      <c r="O13" s="111">
        <v>0</v>
      </c>
      <c r="P13" s="116">
        <v>0</v>
      </c>
      <c r="Q13" s="114">
        <v>0</v>
      </c>
      <c r="R13" s="111">
        <v>0</v>
      </c>
      <c r="S13" s="114">
        <v>0</v>
      </c>
      <c r="T13" s="112">
        <v>0</v>
      </c>
      <c r="U13" s="120">
        <v>0</v>
      </c>
      <c r="V13" s="114">
        <v>0</v>
      </c>
      <c r="W13" s="114">
        <v>0</v>
      </c>
      <c r="X13" s="32">
        <f t="shared" si="3"/>
        <v>0</v>
      </c>
      <c r="Y13" s="117"/>
      <c r="Z13" s="117"/>
      <c r="AA13" s="117"/>
      <c r="AB13" s="117"/>
      <c r="AC13" s="117"/>
      <c r="AD13" s="132">
        <f t="shared" si="1"/>
        <v>0</v>
      </c>
      <c r="AE13" s="118"/>
      <c r="AF13" s="110"/>
      <c r="AG13" s="110"/>
    </row>
    <row r="14" spans="1:33" s="33" customFormat="1">
      <c r="A14" s="109"/>
      <c r="B14" s="34"/>
      <c r="C14" s="34"/>
      <c r="D14" s="110"/>
      <c r="E14" s="110"/>
      <c r="F14" s="34"/>
      <c r="G14" s="111"/>
      <c r="H14" s="140"/>
      <c r="I14" s="112">
        <v>0</v>
      </c>
      <c r="J14" s="113">
        <v>0</v>
      </c>
      <c r="K14" s="119">
        <v>0</v>
      </c>
      <c r="L14" s="114">
        <v>0</v>
      </c>
      <c r="M14" s="112">
        <v>0</v>
      </c>
      <c r="N14" s="115">
        <v>0</v>
      </c>
      <c r="O14" s="111">
        <v>0</v>
      </c>
      <c r="P14" s="116">
        <v>0</v>
      </c>
      <c r="Q14" s="114">
        <v>0</v>
      </c>
      <c r="R14" s="111">
        <v>0</v>
      </c>
      <c r="S14" s="114">
        <v>0</v>
      </c>
      <c r="T14" s="112">
        <v>0</v>
      </c>
      <c r="U14" s="120">
        <v>0</v>
      </c>
      <c r="V14" s="114">
        <v>0</v>
      </c>
      <c r="W14" s="114">
        <v>0</v>
      </c>
      <c r="X14" s="32">
        <f t="shared" si="3"/>
        <v>0</v>
      </c>
      <c r="Y14" s="117"/>
      <c r="Z14" s="117"/>
      <c r="AA14" s="117"/>
      <c r="AB14" s="117"/>
      <c r="AC14" s="117"/>
      <c r="AD14" s="132">
        <f t="shared" si="1"/>
        <v>0</v>
      </c>
      <c r="AE14" s="118"/>
      <c r="AF14" s="110"/>
      <c r="AG14" s="110"/>
    </row>
    <row r="15" spans="1:33" s="33" customFormat="1">
      <c r="A15" s="109"/>
      <c r="B15" s="34"/>
      <c r="C15" s="34"/>
      <c r="D15" s="110"/>
      <c r="E15" s="110"/>
      <c r="F15" s="34"/>
      <c r="G15" s="111"/>
      <c r="H15" s="140"/>
      <c r="I15" s="112">
        <v>0</v>
      </c>
      <c r="J15" s="113">
        <v>0</v>
      </c>
      <c r="K15" s="119">
        <v>0</v>
      </c>
      <c r="L15" s="114">
        <v>0</v>
      </c>
      <c r="M15" s="112">
        <v>0</v>
      </c>
      <c r="N15" s="115">
        <v>0</v>
      </c>
      <c r="O15" s="111">
        <v>0</v>
      </c>
      <c r="P15" s="116">
        <v>0</v>
      </c>
      <c r="Q15" s="114">
        <v>0</v>
      </c>
      <c r="R15" s="111">
        <v>0</v>
      </c>
      <c r="S15" s="114">
        <v>0</v>
      </c>
      <c r="T15" s="112">
        <v>0</v>
      </c>
      <c r="U15" s="120">
        <v>0</v>
      </c>
      <c r="V15" s="114">
        <v>0</v>
      </c>
      <c r="W15" s="114">
        <v>0</v>
      </c>
      <c r="X15" s="32">
        <f t="shared" si="3"/>
        <v>0</v>
      </c>
      <c r="Y15" s="117"/>
      <c r="Z15" s="117"/>
      <c r="AA15" s="117"/>
      <c r="AB15" s="117"/>
      <c r="AC15" s="117"/>
      <c r="AD15" s="132">
        <f t="shared" si="1"/>
        <v>0</v>
      </c>
      <c r="AE15" s="118"/>
      <c r="AF15" s="110"/>
      <c r="AG15" s="110"/>
    </row>
    <row r="16" spans="1:33" s="33" customFormat="1">
      <c r="A16" s="109"/>
      <c r="B16" s="34"/>
      <c r="C16" s="34"/>
      <c r="D16" s="110"/>
      <c r="E16" s="110"/>
      <c r="F16" s="34"/>
      <c r="G16" s="111"/>
      <c r="H16" s="140"/>
      <c r="I16" s="112">
        <v>0</v>
      </c>
      <c r="J16" s="113">
        <v>0</v>
      </c>
      <c r="K16" s="119">
        <v>0</v>
      </c>
      <c r="L16" s="114">
        <v>0</v>
      </c>
      <c r="M16" s="112">
        <v>0</v>
      </c>
      <c r="N16" s="115">
        <v>0</v>
      </c>
      <c r="O16" s="111">
        <v>0</v>
      </c>
      <c r="P16" s="116">
        <v>0</v>
      </c>
      <c r="Q16" s="114">
        <v>0</v>
      </c>
      <c r="R16" s="111">
        <v>0</v>
      </c>
      <c r="S16" s="114">
        <v>0</v>
      </c>
      <c r="T16" s="112">
        <v>0</v>
      </c>
      <c r="U16" s="120">
        <v>0</v>
      </c>
      <c r="V16" s="114">
        <v>0</v>
      </c>
      <c r="W16" s="114">
        <v>0</v>
      </c>
      <c r="X16" s="32">
        <f t="shared" si="3"/>
        <v>0</v>
      </c>
      <c r="Y16" s="117"/>
      <c r="Z16" s="117"/>
      <c r="AA16" s="117"/>
      <c r="AB16" s="117"/>
      <c r="AC16" s="117"/>
      <c r="AD16" s="132">
        <f t="shared" si="1"/>
        <v>0</v>
      </c>
      <c r="AE16" s="118"/>
      <c r="AF16" s="110"/>
      <c r="AG16" s="110"/>
    </row>
    <row r="17" spans="1:33" s="33" customFormat="1">
      <c r="A17" s="109"/>
      <c r="B17" s="34"/>
      <c r="C17" s="34"/>
      <c r="D17" s="110"/>
      <c r="E17" s="110"/>
      <c r="F17" s="34"/>
      <c r="G17" s="111"/>
      <c r="H17" s="140"/>
      <c r="I17" s="112">
        <v>0</v>
      </c>
      <c r="J17" s="113">
        <v>0</v>
      </c>
      <c r="K17" s="119">
        <v>0</v>
      </c>
      <c r="L17" s="114">
        <v>0</v>
      </c>
      <c r="M17" s="112">
        <v>0</v>
      </c>
      <c r="N17" s="115">
        <v>0</v>
      </c>
      <c r="O17" s="111">
        <v>0</v>
      </c>
      <c r="P17" s="116">
        <v>0</v>
      </c>
      <c r="Q17" s="114">
        <v>0</v>
      </c>
      <c r="R17" s="111">
        <v>0</v>
      </c>
      <c r="S17" s="114">
        <v>0</v>
      </c>
      <c r="T17" s="112">
        <v>0</v>
      </c>
      <c r="U17" s="120">
        <v>0</v>
      </c>
      <c r="V17" s="114">
        <v>0</v>
      </c>
      <c r="W17" s="114">
        <v>0</v>
      </c>
      <c r="X17" s="32">
        <f t="shared" si="3"/>
        <v>0</v>
      </c>
      <c r="Y17" s="117"/>
      <c r="Z17" s="117"/>
      <c r="AA17" s="117"/>
      <c r="AB17" s="117"/>
      <c r="AC17" s="117"/>
      <c r="AD17" s="132">
        <f t="shared" si="1"/>
        <v>0</v>
      </c>
      <c r="AE17" s="118"/>
      <c r="AF17" s="110"/>
      <c r="AG17" s="110"/>
    </row>
    <row r="18" spans="1:33" s="33" customFormat="1">
      <c r="A18" s="109"/>
      <c r="B18" s="34"/>
      <c r="C18" s="34"/>
      <c r="D18" s="110"/>
      <c r="E18" s="110"/>
      <c r="F18" s="34"/>
      <c r="G18" s="111"/>
      <c r="H18" s="140"/>
      <c r="I18" s="112">
        <v>0</v>
      </c>
      <c r="J18" s="113">
        <v>0</v>
      </c>
      <c r="K18" s="119">
        <v>0</v>
      </c>
      <c r="L18" s="114">
        <v>0</v>
      </c>
      <c r="M18" s="112">
        <v>0</v>
      </c>
      <c r="N18" s="115">
        <v>0</v>
      </c>
      <c r="O18" s="111">
        <v>0</v>
      </c>
      <c r="P18" s="116">
        <v>0</v>
      </c>
      <c r="Q18" s="114">
        <v>0</v>
      </c>
      <c r="R18" s="111">
        <v>0</v>
      </c>
      <c r="S18" s="114">
        <v>0</v>
      </c>
      <c r="T18" s="112">
        <v>0</v>
      </c>
      <c r="U18" s="120">
        <v>0</v>
      </c>
      <c r="V18" s="114">
        <v>0</v>
      </c>
      <c r="W18" s="114">
        <v>0</v>
      </c>
      <c r="X18" s="32">
        <f t="shared" si="3"/>
        <v>0</v>
      </c>
      <c r="Y18" s="117"/>
      <c r="Z18" s="117"/>
      <c r="AA18" s="117"/>
      <c r="AB18" s="117"/>
      <c r="AC18" s="117"/>
      <c r="AD18" s="132">
        <f t="shared" si="1"/>
        <v>0</v>
      </c>
      <c r="AE18" s="118"/>
      <c r="AF18" s="110"/>
      <c r="AG18" s="110"/>
    </row>
    <row r="19" spans="1:33" s="33" customFormat="1">
      <c r="A19" s="109"/>
      <c r="B19" s="34"/>
      <c r="C19" s="34"/>
      <c r="D19" s="110"/>
      <c r="E19" s="110"/>
      <c r="F19" s="34"/>
      <c r="G19" s="111"/>
      <c r="H19" s="140"/>
      <c r="I19" s="112">
        <v>0</v>
      </c>
      <c r="J19" s="113">
        <v>0</v>
      </c>
      <c r="K19" s="119">
        <v>0</v>
      </c>
      <c r="L19" s="114">
        <v>0</v>
      </c>
      <c r="M19" s="112">
        <v>0</v>
      </c>
      <c r="N19" s="115">
        <v>0</v>
      </c>
      <c r="O19" s="111">
        <v>0</v>
      </c>
      <c r="P19" s="116">
        <v>0</v>
      </c>
      <c r="Q19" s="114">
        <v>0</v>
      </c>
      <c r="R19" s="111">
        <v>0</v>
      </c>
      <c r="S19" s="114">
        <v>0</v>
      </c>
      <c r="T19" s="112">
        <v>0</v>
      </c>
      <c r="U19" s="120">
        <v>0</v>
      </c>
      <c r="V19" s="114">
        <v>0</v>
      </c>
      <c r="W19" s="114">
        <v>0</v>
      </c>
      <c r="X19" s="32">
        <f t="shared" si="3"/>
        <v>0</v>
      </c>
      <c r="Y19" s="117"/>
      <c r="Z19" s="117"/>
      <c r="AA19" s="117"/>
      <c r="AB19" s="117"/>
      <c r="AC19" s="117"/>
      <c r="AD19" s="132">
        <f t="shared" si="1"/>
        <v>0</v>
      </c>
      <c r="AE19" s="118"/>
      <c r="AF19" s="110"/>
      <c r="AG19" s="110"/>
    </row>
    <row r="20" spans="1:33" s="33" customFormat="1">
      <c r="A20" s="109"/>
      <c r="B20" s="34"/>
      <c r="C20" s="34"/>
      <c r="D20" s="110"/>
      <c r="E20" s="110"/>
      <c r="F20" s="34"/>
      <c r="G20" s="111"/>
      <c r="H20" s="140"/>
      <c r="I20" s="112">
        <v>0</v>
      </c>
      <c r="J20" s="113">
        <v>0</v>
      </c>
      <c r="K20" s="119">
        <v>0</v>
      </c>
      <c r="L20" s="114">
        <v>0</v>
      </c>
      <c r="M20" s="112">
        <v>0</v>
      </c>
      <c r="N20" s="115">
        <v>0</v>
      </c>
      <c r="O20" s="111">
        <v>0</v>
      </c>
      <c r="P20" s="116">
        <v>0</v>
      </c>
      <c r="Q20" s="114">
        <v>0</v>
      </c>
      <c r="R20" s="111">
        <v>0</v>
      </c>
      <c r="S20" s="114">
        <v>0</v>
      </c>
      <c r="T20" s="112">
        <v>0</v>
      </c>
      <c r="U20" s="120">
        <v>0</v>
      </c>
      <c r="V20" s="114">
        <v>0</v>
      </c>
      <c r="W20" s="114">
        <v>0</v>
      </c>
      <c r="X20" s="32">
        <f t="shared" si="3"/>
        <v>0</v>
      </c>
      <c r="Y20" s="117"/>
      <c r="Z20" s="117"/>
      <c r="AA20" s="117"/>
      <c r="AB20" s="117"/>
      <c r="AC20" s="117"/>
      <c r="AD20" s="132">
        <f t="shared" si="1"/>
        <v>0</v>
      </c>
      <c r="AE20" s="118"/>
      <c r="AF20" s="110"/>
      <c r="AG20" s="110"/>
    </row>
    <row r="21" spans="1:33" s="33" customFormat="1">
      <c r="A21" s="109"/>
      <c r="B21" s="34"/>
      <c r="C21" s="34"/>
      <c r="D21" s="110"/>
      <c r="E21" s="110"/>
      <c r="F21" s="34"/>
      <c r="G21" s="111"/>
      <c r="H21" s="140"/>
      <c r="I21" s="112">
        <v>0</v>
      </c>
      <c r="J21" s="113">
        <v>0</v>
      </c>
      <c r="K21" s="119">
        <v>0</v>
      </c>
      <c r="L21" s="114">
        <v>0</v>
      </c>
      <c r="M21" s="112">
        <v>0</v>
      </c>
      <c r="N21" s="115">
        <v>0</v>
      </c>
      <c r="O21" s="111">
        <v>0</v>
      </c>
      <c r="P21" s="116">
        <v>0</v>
      </c>
      <c r="Q21" s="114">
        <v>0</v>
      </c>
      <c r="R21" s="111">
        <v>0</v>
      </c>
      <c r="S21" s="114">
        <v>0</v>
      </c>
      <c r="T21" s="112">
        <v>0</v>
      </c>
      <c r="U21" s="120">
        <v>0</v>
      </c>
      <c r="V21" s="114">
        <v>0</v>
      </c>
      <c r="W21" s="114">
        <v>0</v>
      </c>
      <c r="X21" s="32">
        <f t="shared" si="3"/>
        <v>0</v>
      </c>
      <c r="Y21" s="117"/>
      <c r="Z21" s="117"/>
      <c r="AA21" s="117"/>
      <c r="AB21" s="117"/>
      <c r="AC21" s="117"/>
      <c r="AD21" s="132">
        <f t="shared" si="1"/>
        <v>0</v>
      </c>
      <c r="AE21" s="118"/>
      <c r="AF21" s="110"/>
      <c r="AG21" s="110"/>
    </row>
    <row r="22" spans="1:33" s="33" customFormat="1">
      <c r="A22" s="109"/>
      <c r="B22" s="34"/>
      <c r="C22" s="34"/>
      <c r="D22" s="110"/>
      <c r="E22" s="110"/>
      <c r="F22" s="34"/>
      <c r="G22" s="111"/>
      <c r="H22" s="140"/>
      <c r="I22" s="112">
        <v>0</v>
      </c>
      <c r="J22" s="113">
        <v>0</v>
      </c>
      <c r="K22" s="119">
        <v>0</v>
      </c>
      <c r="L22" s="114">
        <v>0</v>
      </c>
      <c r="M22" s="112">
        <v>0</v>
      </c>
      <c r="N22" s="115">
        <v>0</v>
      </c>
      <c r="O22" s="111">
        <v>0</v>
      </c>
      <c r="P22" s="116">
        <v>0</v>
      </c>
      <c r="Q22" s="114">
        <v>0</v>
      </c>
      <c r="R22" s="111">
        <v>0</v>
      </c>
      <c r="S22" s="114">
        <v>0</v>
      </c>
      <c r="T22" s="112">
        <v>0</v>
      </c>
      <c r="U22" s="120">
        <v>0</v>
      </c>
      <c r="V22" s="114">
        <v>0</v>
      </c>
      <c r="W22" s="114">
        <v>0</v>
      </c>
      <c r="X22" s="32">
        <f t="shared" si="3"/>
        <v>0</v>
      </c>
      <c r="Y22" s="117"/>
      <c r="Z22" s="117"/>
      <c r="AA22" s="117"/>
      <c r="AB22" s="117"/>
      <c r="AC22" s="117"/>
      <c r="AD22" s="132">
        <f t="shared" si="1"/>
        <v>0</v>
      </c>
      <c r="AE22" s="118"/>
      <c r="AF22" s="110"/>
      <c r="AG22" s="110"/>
    </row>
    <row r="23" spans="1:33" s="33" customFormat="1">
      <c r="A23" s="109"/>
      <c r="B23" s="34"/>
      <c r="C23" s="34"/>
      <c r="D23" s="110"/>
      <c r="E23" s="110"/>
      <c r="F23" s="34"/>
      <c r="G23" s="111"/>
      <c r="H23" s="140"/>
      <c r="I23" s="112">
        <v>0</v>
      </c>
      <c r="J23" s="113">
        <v>0</v>
      </c>
      <c r="K23" s="119">
        <v>0</v>
      </c>
      <c r="L23" s="114">
        <v>0</v>
      </c>
      <c r="M23" s="112">
        <v>0</v>
      </c>
      <c r="N23" s="115">
        <v>0</v>
      </c>
      <c r="O23" s="111">
        <v>0</v>
      </c>
      <c r="P23" s="116">
        <v>0</v>
      </c>
      <c r="Q23" s="114">
        <v>0</v>
      </c>
      <c r="R23" s="111">
        <v>0</v>
      </c>
      <c r="S23" s="114">
        <v>0</v>
      </c>
      <c r="T23" s="112">
        <v>0</v>
      </c>
      <c r="U23" s="120">
        <v>0</v>
      </c>
      <c r="V23" s="114">
        <v>0</v>
      </c>
      <c r="W23" s="114">
        <v>0</v>
      </c>
      <c r="X23" s="32">
        <f t="shared" si="3"/>
        <v>0</v>
      </c>
      <c r="Y23" s="117"/>
      <c r="Z23" s="117"/>
      <c r="AA23" s="117"/>
      <c r="AB23" s="117"/>
      <c r="AC23" s="117"/>
      <c r="AD23" s="132">
        <f t="shared" si="1"/>
        <v>0</v>
      </c>
      <c r="AE23" s="118"/>
      <c r="AF23" s="110"/>
      <c r="AG23" s="110"/>
    </row>
    <row r="24" spans="1:33" s="33" customFormat="1">
      <c r="A24" s="109"/>
      <c r="B24" s="34"/>
      <c r="C24" s="34"/>
      <c r="D24" s="110"/>
      <c r="E24" s="110"/>
      <c r="F24" s="34"/>
      <c r="G24" s="111"/>
      <c r="H24" s="140"/>
      <c r="I24" s="112">
        <v>0</v>
      </c>
      <c r="J24" s="113">
        <v>0</v>
      </c>
      <c r="K24" s="119">
        <v>0</v>
      </c>
      <c r="L24" s="114">
        <v>0</v>
      </c>
      <c r="M24" s="112">
        <v>0</v>
      </c>
      <c r="N24" s="115">
        <v>0</v>
      </c>
      <c r="O24" s="111">
        <v>0</v>
      </c>
      <c r="P24" s="116">
        <v>0</v>
      </c>
      <c r="Q24" s="114">
        <v>0</v>
      </c>
      <c r="R24" s="111">
        <v>0</v>
      </c>
      <c r="S24" s="114">
        <v>0</v>
      </c>
      <c r="T24" s="112">
        <v>0</v>
      </c>
      <c r="U24" s="120">
        <v>0</v>
      </c>
      <c r="V24" s="114">
        <v>0</v>
      </c>
      <c r="W24" s="114">
        <v>0</v>
      </c>
      <c r="X24" s="32">
        <f t="shared" si="3"/>
        <v>0</v>
      </c>
      <c r="Y24" s="117"/>
      <c r="Z24" s="117"/>
      <c r="AA24" s="117"/>
      <c r="AB24" s="117"/>
      <c r="AC24" s="117"/>
      <c r="AD24" s="132">
        <f t="shared" si="1"/>
        <v>0</v>
      </c>
      <c r="AE24" s="118"/>
      <c r="AF24" s="110"/>
      <c r="AG24" s="110"/>
    </row>
    <row r="25" spans="1:33" s="33" customFormat="1">
      <c r="A25" s="109"/>
      <c r="B25" s="34"/>
      <c r="C25" s="34"/>
      <c r="D25" s="110"/>
      <c r="E25" s="110"/>
      <c r="F25" s="34"/>
      <c r="G25" s="111"/>
      <c r="H25" s="140"/>
      <c r="I25" s="112">
        <v>0</v>
      </c>
      <c r="J25" s="113">
        <v>0</v>
      </c>
      <c r="K25" s="119">
        <v>0</v>
      </c>
      <c r="L25" s="114">
        <v>0</v>
      </c>
      <c r="M25" s="112">
        <v>0</v>
      </c>
      <c r="N25" s="115">
        <v>0</v>
      </c>
      <c r="O25" s="111">
        <v>0</v>
      </c>
      <c r="P25" s="116">
        <v>0</v>
      </c>
      <c r="Q25" s="114">
        <v>0</v>
      </c>
      <c r="R25" s="111">
        <v>0</v>
      </c>
      <c r="S25" s="114">
        <v>0</v>
      </c>
      <c r="T25" s="112">
        <v>0</v>
      </c>
      <c r="U25" s="120">
        <v>0</v>
      </c>
      <c r="V25" s="114">
        <v>0</v>
      </c>
      <c r="W25" s="114">
        <v>0</v>
      </c>
      <c r="X25" s="32">
        <f t="shared" si="3"/>
        <v>0</v>
      </c>
      <c r="Y25" s="117"/>
      <c r="Z25" s="117"/>
      <c r="AA25" s="117"/>
      <c r="AB25" s="117"/>
      <c r="AC25" s="117"/>
      <c r="AD25" s="132">
        <f t="shared" si="1"/>
        <v>0</v>
      </c>
      <c r="AE25" s="118"/>
      <c r="AF25" s="110"/>
      <c r="AG25" s="110"/>
    </row>
    <row r="26" spans="1:33" s="33" customFormat="1">
      <c r="A26" s="109"/>
      <c r="B26" s="34"/>
      <c r="C26" s="34"/>
      <c r="D26" s="110"/>
      <c r="E26" s="110"/>
      <c r="F26" s="34"/>
      <c r="G26" s="111"/>
      <c r="H26" s="140"/>
      <c r="I26" s="112">
        <v>0</v>
      </c>
      <c r="J26" s="113">
        <v>0</v>
      </c>
      <c r="K26" s="119">
        <v>0</v>
      </c>
      <c r="L26" s="114">
        <v>0</v>
      </c>
      <c r="M26" s="112">
        <v>0</v>
      </c>
      <c r="N26" s="115">
        <v>0</v>
      </c>
      <c r="O26" s="111">
        <v>0</v>
      </c>
      <c r="P26" s="116">
        <v>0</v>
      </c>
      <c r="Q26" s="114">
        <v>0</v>
      </c>
      <c r="R26" s="111">
        <v>0</v>
      </c>
      <c r="S26" s="114">
        <v>0</v>
      </c>
      <c r="T26" s="112">
        <v>0</v>
      </c>
      <c r="U26" s="120">
        <v>0</v>
      </c>
      <c r="V26" s="114">
        <v>0</v>
      </c>
      <c r="W26" s="114">
        <v>0</v>
      </c>
      <c r="X26" s="32">
        <f t="shared" si="3"/>
        <v>0</v>
      </c>
      <c r="Y26" s="117"/>
      <c r="Z26" s="117"/>
      <c r="AA26" s="117"/>
      <c r="AB26" s="117"/>
      <c r="AC26" s="117"/>
      <c r="AD26" s="132">
        <f t="shared" si="1"/>
        <v>0</v>
      </c>
      <c r="AE26" s="118"/>
      <c r="AF26" s="110"/>
      <c r="AG26" s="110"/>
    </row>
    <row r="27" spans="1:33" s="33" customFormat="1">
      <c r="A27" s="109"/>
      <c r="B27" s="34"/>
      <c r="C27" s="34"/>
      <c r="D27" s="110"/>
      <c r="E27" s="110"/>
      <c r="F27" s="34"/>
      <c r="G27" s="111"/>
      <c r="H27" s="140"/>
      <c r="I27" s="112">
        <v>0</v>
      </c>
      <c r="J27" s="113">
        <v>0</v>
      </c>
      <c r="K27" s="119">
        <v>0</v>
      </c>
      <c r="L27" s="114">
        <v>0</v>
      </c>
      <c r="M27" s="112">
        <v>0</v>
      </c>
      <c r="N27" s="115">
        <v>0</v>
      </c>
      <c r="O27" s="111">
        <v>0</v>
      </c>
      <c r="P27" s="116">
        <v>0</v>
      </c>
      <c r="Q27" s="114">
        <v>0</v>
      </c>
      <c r="R27" s="111">
        <v>0</v>
      </c>
      <c r="S27" s="114">
        <v>0</v>
      </c>
      <c r="T27" s="112">
        <v>0</v>
      </c>
      <c r="U27" s="120">
        <v>0</v>
      </c>
      <c r="V27" s="114">
        <v>0</v>
      </c>
      <c r="W27" s="114">
        <v>0</v>
      </c>
      <c r="X27" s="32">
        <f t="shared" si="3"/>
        <v>0</v>
      </c>
      <c r="Y27" s="117"/>
      <c r="Z27" s="117"/>
      <c r="AA27" s="117"/>
      <c r="AB27" s="117"/>
      <c r="AC27" s="117"/>
      <c r="AD27" s="132">
        <f t="shared" si="1"/>
        <v>0</v>
      </c>
      <c r="AE27" s="118"/>
      <c r="AF27" s="110"/>
      <c r="AG27" s="110"/>
    </row>
    <row r="28" spans="1:33" s="33" customFormat="1">
      <c r="A28" s="109"/>
      <c r="B28" s="34"/>
      <c r="C28" s="34"/>
      <c r="D28" s="110"/>
      <c r="E28" s="110"/>
      <c r="F28" s="34"/>
      <c r="G28" s="111"/>
      <c r="H28" s="140"/>
      <c r="I28" s="112">
        <v>0</v>
      </c>
      <c r="J28" s="113">
        <v>0</v>
      </c>
      <c r="K28" s="119">
        <v>0</v>
      </c>
      <c r="L28" s="114">
        <v>0</v>
      </c>
      <c r="M28" s="112">
        <v>0</v>
      </c>
      <c r="N28" s="115">
        <v>0</v>
      </c>
      <c r="O28" s="111">
        <v>0</v>
      </c>
      <c r="P28" s="116">
        <v>0</v>
      </c>
      <c r="Q28" s="114">
        <v>0</v>
      </c>
      <c r="R28" s="111">
        <v>0</v>
      </c>
      <c r="S28" s="114">
        <v>0</v>
      </c>
      <c r="T28" s="112">
        <v>0</v>
      </c>
      <c r="U28" s="120">
        <v>0</v>
      </c>
      <c r="V28" s="114">
        <v>0</v>
      </c>
      <c r="W28" s="114">
        <v>0</v>
      </c>
      <c r="X28" s="32">
        <f t="shared" si="3"/>
        <v>0</v>
      </c>
      <c r="Y28" s="117"/>
      <c r="Z28" s="117"/>
      <c r="AA28" s="117"/>
      <c r="AB28" s="117"/>
      <c r="AC28" s="117"/>
      <c r="AD28" s="132">
        <f t="shared" si="1"/>
        <v>0</v>
      </c>
      <c r="AE28" s="118"/>
      <c r="AF28" s="110"/>
      <c r="AG28" s="110"/>
    </row>
    <row r="29" spans="1:33" s="33" customFormat="1">
      <c r="A29" s="109"/>
      <c r="B29" s="34"/>
      <c r="C29" s="34"/>
      <c r="D29" s="110"/>
      <c r="E29" s="110"/>
      <c r="F29" s="34"/>
      <c r="G29" s="111"/>
      <c r="H29" s="140"/>
      <c r="I29" s="112">
        <v>0</v>
      </c>
      <c r="J29" s="113">
        <v>0</v>
      </c>
      <c r="K29" s="119">
        <v>0</v>
      </c>
      <c r="L29" s="114">
        <v>0</v>
      </c>
      <c r="M29" s="112">
        <v>0</v>
      </c>
      <c r="N29" s="115">
        <v>0</v>
      </c>
      <c r="O29" s="111">
        <v>0</v>
      </c>
      <c r="P29" s="116">
        <v>0</v>
      </c>
      <c r="Q29" s="114">
        <v>0</v>
      </c>
      <c r="R29" s="111">
        <v>0</v>
      </c>
      <c r="S29" s="114">
        <v>0</v>
      </c>
      <c r="T29" s="112">
        <v>0</v>
      </c>
      <c r="U29" s="120">
        <v>0</v>
      </c>
      <c r="V29" s="114">
        <v>0</v>
      </c>
      <c r="W29" s="114">
        <v>0</v>
      </c>
      <c r="X29" s="32">
        <f t="shared" si="3"/>
        <v>0</v>
      </c>
      <c r="Y29" s="117"/>
      <c r="Z29" s="117"/>
      <c r="AA29" s="117"/>
      <c r="AB29" s="117"/>
      <c r="AC29" s="117"/>
      <c r="AD29" s="132">
        <f t="shared" si="1"/>
        <v>0</v>
      </c>
      <c r="AE29" s="118"/>
      <c r="AF29" s="110"/>
      <c r="AG29" s="110"/>
    </row>
    <row r="30" spans="1:33" s="33" customFormat="1">
      <c r="A30" s="109"/>
      <c r="B30" s="34"/>
      <c r="C30" s="34"/>
      <c r="D30" s="110"/>
      <c r="E30" s="110"/>
      <c r="F30" s="34"/>
      <c r="G30" s="111"/>
      <c r="H30" s="140"/>
      <c r="I30" s="112">
        <v>0</v>
      </c>
      <c r="J30" s="113">
        <v>0</v>
      </c>
      <c r="K30" s="119">
        <v>0</v>
      </c>
      <c r="L30" s="114">
        <v>0</v>
      </c>
      <c r="M30" s="112">
        <v>0</v>
      </c>
      <c r="N30" s="115">
        <v>0</v>
      </c>
      <c r="O30" s="111">
        <v>0</v>
      </c>
      <c r="P30" s="116">
        <v>0</v>
      </c>
      <c r="Q30" s="114">
        <v>0</v>
      </c>
      <c r="R30" s="111">
        <v>0</v>
      </c>
      <c r="S30" s="114">
        <v>0</v>
      </c>
      <c r="T30" s="112">
        <v>0</v>
      </c>
      <c r="U30" s="120">
        <v>0</v>
      </c>
      <c r="V30" s="114">
        <v>0</v>
      </c>
      <c r="W30" s="114">
        <v>0</v>
      </c>
      <c r="X30" s="32">
        <f t="shared" si="3"/>
        <v>0</v>
      </c>
      <c r="Y30" s="117"/>
      <c r="Z30" s="117"/>
      <c r="AA30" s="117"/>
      <c r="AB30" s="117"/>
      <c r="AC30" s="117"/>
      <c r="AD30" s="132">
        <f t="shared" si="1"/>
        <v>0</v>
      </c>
      <c r="AE30" s="118"/>
      <c r="AF30" s="110"/>
      <c r="AG30" s="110"/>
    </row>
    <row r="31" spans="1:33" s="33" customFormat="1">
      <c r="A31" s="109"/>
      <c r="B31" s="34"/>
      <c r="C31" s="34"/>
      <c r="D31" s="110"/>
      <c r="E31" s="110"/>
      <c r="F31" s="34"/>
      <c r="G31" s="111"/>
      <c r="H31" s="140"/>
      <c r="I31" s="112">
        <v>0</v>
      </c>
      <c r="J31" s="113">
        <v>0</v>
      </c>
      <c r="K31" s="119">
        <v>0</v>
      </c>
      <c r="L31" s="114">
        <v>0</v>
      </c>
      <c r="M31" s="112">
        <v>0</v>
      </c>
      <c r="N31" s="115">
        <v>0</v>
      </c>
      <c r="O31" s="111">
        <v>0</v>
      </c>
      <c r="P31" s="116">
        <v>0</v>
      </c>
      <c r="Q31" s="114">
        <v>0</v>
      </c>
      <c r="R31" s="111">
        <v>0</v>
      </c>
      <c r="S31" s="114">
        <v>0</v>
      </c>
      <c r="T31" s="112">
        <v>0</v>
      </c>
      <c r="U31" s="120">
        <v>0</v>
      </c>
      <c r="V31" s="114">
        <v>0</v>
      </c>
      <c r="W31" s="114">
        <v>0</v>
      </c>
      <c r="X31" s="32">
        <f t="shared" si="3"/>
        <v>0</v>
      </c>
      <c r="Y31" s="117"/>
      <c r="Z31" s="117"/>
      <c r="AA31" s="117"/>
      <c r="AB31" s="117"/>
      <c r="AC31" s="117"/>
      <c r="AD31" s="132">
        <f t="shared" si="1"/>
        <v>0</v>
      </c>
      <c r="AE31" s="118"/>
      <c r="AF31" s="110"/>
      <c r="AG31" s="110"/>
    </row>
    <row r="32" spans="1:33" s="33" customFormat="1">
      <c r="A32" s="109"/>
      <c r="B32" s="34"/>
      <c r="C32" s="34"/>
      <c r="D32" s="110"/>
      <c r="E32" s="110"/>
      <c r="F32" s="34"/>
      <c r="G32" s="111"/>
      <c r="H32" s="140"/>
      <c r="I32" s="112">
        <v>0</v>
      </c>
      <c r="J32" s="113">
        <v>0</v>
      </c>
      <c r="K32" s="119">
        <v>0</v>
      </c>
      <c r="L32" s="114">
        <v>0</v>
      </c>
      <c r="M32" s="112">
        <v>0</v>
      </c>
      <c r="N32" s="115">
        <v>0</v>
      </c>
      <c r="O32" s="111">
        <v>0</v>
      </c>
      <c r="P32" s="116">
        <v>0</v>
      </c>
      <c r="Q32" s="114">
        <v>0</v>
      </c>
      <c r="R32" s="111">
        <v>0</v>
      </c>
      <c r="S32" s="114">
        <v>0</v>
      </c>
      <c r="T32" s="112">
        <v>0</v>
      </c>
      <c r="U32" s="120">
        <v>0</v>
      </c>
      <c r="V32" s="114">
        <v>0</v>
      </c>
      <c r="W32" s="114">
        <v>0</v>
      </c>
      <c r="X32" s="32">
        <f t="shared" si="3"/>
        <v>0</v>
      </c>
      <c r="Y32" s="117"/>
      <c r="Z32" s="117"/>
      <c r="AA32" s="117"/>
      <c r="AB32" s="117"/>
      <c r="AC32" s="117"/>
      <c r="AD32" s="132">
        <f t="shared" si="1"/>
        <v>0</v>
      </c>
      <c r="AE32" s="118"/>
      <c r="AF32" s="110"/>
      <c r="AG32" s="110"/>
    </row>
    <row r="33" spans="1:33" s="33" customFormat="1">
      <c r="A33" s="109"/>
      <c r="B33" s="34"/>
      <c r="C33" s="34"/>
      <c r="D33" s="110"/>
      <c r="E33" s="110"/>
      <c r="F33" s="34"/>
      <c r="G33" s="111"/>
      <c r="H33" s="140"/>
      <c r="I33" s="112">
        <v>0</v>
      </c>
      <c r="J33" s="113">
        <v>0</v>
      </c>
      <c r="K33" s="119">
        <v>0</v>
      </c>
      <c r="L33" s="114">
        <v>0</v>
      </c>
      <c r="M33" s="112">
        <v>0</v>
      </c>
      <c r="N33" s="115">
        <v>0</v>
      </c>
      <c r="O33" s="111">
        <v>0</v>
      </c>
      <c r="P33" s="116">
        <v>0</v>
      </c>
      <c r="Q33" s="114">
        <v>0</v>
      </c>
      <c r="R33" s="111">
        <v>0</v>
      </c>
      <c r="S33" s="114">
        <v>0</v>
      </c>
      <c r="T33" s="112">
        <v>0</v>
      </c>
      <c r="U33" s="120">
        <v>0</v>
      </c>
      <c r="V33" s="114">
        <v>0</v>
      </c>
      <c r="W33" s="114">
        <v>0</v>
      </c>
      <c r="X33" s="32">
        <f t="shared" si="3"/>
        <v>0</v>
      </c>
      <c r="Y33" s="117"/>
      <c r="Z33" s="117"/>
      <c r="AA33" s="117"/>
      <c r="AB33" s="117"/>
      <c r="AC33" s="117"/>
      <c r="AD33" s="132">
        <f t="shared" si="1"/>
        <v>0</v>
      </c>
      <c r="AE33" s="118"/>
      <c r="AF33" s="110"/>
      <c r="AG33" s="110"/>
    </row>
    <row r="34" spans="1:33" s="33" customFormat="1">
      <c r="A34" s="109"/>
      <c r="B34" s="34"/>
      <c r="C34" s="34"/>
      <c r="D34" s="110"/>
      <c r="E34" s="110"/>
      <c r="F34" s="34"/>
      <c r="G34" s="111"/>
      <c r="H34" s="140"/>
      <c r="I34" s="112">
        <v>0</v>
      </c>
      <c r="J34" s="113">
        <v>0</v>
      </c>
      <c r="K34" s="119">
        <v>0</v>
      </c>
      <c r="L34" s="114">
        <v>0</v>
      </c>
      <c r="M34" s="112">
        <v>0</v>
      </c>
      <c r="N34" s="115">
        <v>0</v>
      </c>
      <c r="O34" s="111">
        <v>0</v>
      </c>
      <c r="P34" s="116">
        <v>0</v>
      </c>
      <c r="Q34" s="114">
        <v>0</v>
      </c>
      <c r="R34" s="111">
        <v>0</v>
      </c>
      <c r="S34" s="114">
        <v>0</v>
      </c>
      <c r="T34" s="112">
        <v>0</v>
      </c>
      <c r="U34" s="120">
        <v>0</v>
      </c>
      <c r="V34" s="114">
        <v>0</v>
      </c>
      <c r="W34" s="114">
        <v>0</v>
      </c>
      <c r="X34" s="32">
        <f t="shared" si="3"/>
        <v>0</v>
      </c>
      <c r="Y34" s="117"/>
      <c r="Z34" s="117"/>
      <c r="AA34" s="117"/>
      <c r="AB34" s="117"/>
      <c r="AC34" s="117"/>
      <c r="AD34" s="132">
        <f t="shared" si="1"/>
        <v>0</v>
      </c>
      <c r="AE34" s="118"/>
      <c r="AF34" s="110"/>
      <c r="AG34" s="110"/>
    </row>
    <row r="35" spans="1:33" s="33" customFormat="1">
      <c r="A35" s="109"/>
      <c r="B35" s="34"/>
      <c r="C35" s="34"/>
      <c r="D35" s="110"/>
      <c r="E35" s="110"/>
      <c r="F35" s="34"/>
      <c r="G35" s="111"/>
      <c r="H35" s="140"/>
      <c r="I35" s="112">
        <v>0</v>
      </c>
      <c r="J35" s="113">
        <v>0</v>
      </c>
      <c r="K35" s="119">
        <v>0</v>
      </c>
      <c r="L35" s="114">
        <v>0</v>
      </c>
      <c r="M35" s="112">
        <v>0</v>
      </c>
      <c r="N35" s="115">
        <v>0</v>
      </c>
      <c r="O35" s="111">
        <v>0</v>
      </c>
      <c r="P35" s="116">
        <v>0</v>
      </c>
      <c r="Q35" s="114">
        <v>0</v>
      </c>
      <c r="R35" s="111">
        <v>0</v>
      </c>
      <c r="S35" s="114">
        <v>0</v>
      </c>
      <c r="T35" s="112">
        <v>0</v>
      </c>
      <c r="U35" s="120">
        <v>0</v>
      </c>
      <c r="V35" s="114">
        <v>0</v>
      </c>
      <c r="W35" s="114">
        <v>0</v>
      </c>
      <c r="X35" s="32">
        <f t="shared" si="3"/>
        <v>0</v>
      </c>
      <c r="Y35" s="117"/>
      <c r="Z35" s="117"/>
      <c r="AA35" s="117"/>
      <c r="AB35" s="117"/>
      <c r="AC35" s="117"/>
      <c r="AD35" s="132">
        <f t="shared" si="1"/>
        <v>0</v>
      </c>
      <c r="AE35" s="118"/>
      <c r="AF35" s="110"/>
      <c r="AG35" s="110"/>
    </row>
    <row r="36" spans="1:33" s="33" customFormat="1">
      <c r="A36" s="109"/>
      <c r="B36" s="34"/>
      <c r="C36" s="34"/>
      <c r="D36" s="110"/>
      <c r="E36" s="110"/>
      <c r="F36" s="34"/>
      <c r="G36" s="111"/>
      <c r="H36" s="140"/>
      <c r="I36" s="112">
        <v>0</v>
      </c>
      <c r="J36" s="113">
        <v>0</v>
      </c>
      <c r="K36" s="119">
        <v>0</v>
      </c>
      <c r="L36" s="114">
        <v>0</v>
      </c>
      <c r="M36" s="112">
        <v>0</v>
      </c>
      <c r="N36" s="115">
        <v>0</v>
      </c>
      <c r="O36" s="111">
        <v>0</v>
      </c>
      <c r="P36" s="116">
        <v>0</v>
      </c>
      <c r="Q36" s="114">
        <v>0</v>
      </c>
      <c r="R36" s="111">
        <v>0</v>
      </c>
      <c r="S36" s="114">
        <v>0</v>
      </c>
      <c r="T36" s="112">
        <v>0</v>
      </c>
      <c r="U36" s="120">
        <v>0</v>
      </c>
      <c r="V36" s="114">
        <v>0</v>
      </c>
      <c r="W36" s="114">
        <v>0</v>
      </c>
      <c r="X36" s="32">
        <f t="shared" si="3"/>
        <v>0</v>
      </c>
      <c r="Y36" s="117"/>
      <c r="Z36" s="117"/>
      <c r="AA36" s="117"/>
      <c r="AB36" s="117"/>
      <c r="AC36" s="117"/>
      <c r="AD36" s="132">
        <f t="shared" si="1"/>
        <v>0</v>
      </c>
      <c r="AE36" s="118"/>
      <c r="AF36" s="110"/>
      <c r="AG36" s="110"/>
    </row>
    <row r="37" spans="1:33" s="33" customFormat="1">
      <c r="A37" s="109"/>
      <c r="B37" s="34"/>
      <c r="C37" s="34"/>
      <c r="D37" s="110"/>
      <c r="E37" s="110"/>
      <c r="F37" s="34"/>
      <c r="G37" s="111"/>
      <c r="H37" s="140"/>
      <c r="I37" s="112">
        <v>0</v>
      </c>
      <c r="J37" s="113">
        <v>0</v>
      </c>
      <c r="K37" s="119">
        <v>0</v>
      </c>
      <c r="L37" s="114">
        <v>0</v>
      </c>
      <c r="M37" s="112">
        <v>0</v>
      </c>
      <c r="N37" s="115">
        <v>0</v>
      </c>
      <c r="O37" s="111">
        <v>0</v>
      </c>
      <c r="P37" s="116">
        <v>0</v>
      </c>
      <c r="Q37" s="114">
        <v>0</v>
      </c>
      <c r="R37" s="111">
        <v>0</v>
      </c>
      <c r="S37" s="114">
        <v>0</v>
      </c>
      <c r="T37" s="112">
        <v>0</v>
      </c>
      <c r="U37" s="120">
        <v>0</v>
      </c>
      <c r="V37" s="114">
        <v>0</v>
      </c>
      <c r="W37" s="114">
        <v>0</v>
      </c>
      <c r="X37" s="32">
        <f t="shared" si="3"/>
        <v>0</v>
      </c>
      <c r="Y37" s="117"/>
      <c r="Z37" s="117"/>
      <c r="AA37" s="117"/>
      <c r="AB37" s="117"/>
      <c r="AC37" s="117"/>
      <c r="AD37" s="132">
        <f t="shared" si="1"/>
        <v>0</v>
      </c>
      <c r="AE37" s="118"/>
      <c r="AF37" s="110"/>
      <c r="AG37" s="110"/>
    </row>
    <row r="38" spans="1:33" s="33" customFormat="1">
      <c r="A38" s="109"/>
      <c r="B38" s="34"/>
      <c r="C38" s="34"/>
      <c r="D38" s="110"/>
      <c r="E38" s="110"/>
      <c r="F38" s="34"/>
      <c r="G38" s="111"/>
      <c r="H38" s="140"/>
      <c r="I38" s="112">
        <v>0</v>
      </c>
      <c r="J38" s="113">
        <v>0</v>
      </c>
      <c r="K38" s="119">
        <v>0</v>
      </c>
      <c r="L38" s="114">
        <v>0</v>
      </c>
      <c r="M38" s="112">
        <v>0</v>
      </c>
      <c r="N38" s="115">
        <v>0</v>
      </c>
      <c r="O38" s="111">
        <v>0</v>
      </c>
      <c r="P38" s="116">
        <v>0</v>
      </c>
      <c r="Q38" s="114">
        <v>0</v>
      </c>
      <c r="R38" s="111">
        <v>0</v>
      </c>
      <c r="S38" s="114">
        <v>0</v>
      </c>
      <c r="T38" s="112">
        <v>0</v>
      </c>
      <c r="U38" s="120">
        <v>0</v>
      </c>
      <c r="V38" s="114">
        <v>0</v>
      </c>
      <c r="W38" s="114">
        <v>0</v>
      </c>
      <c r="X38" s="32">
        <f t="shared" si="3"/>
        <v>0</v>
      </c>
      <c r="Y38" s="117"/>
      <c r="Z38" s="117"/>
      <c r="AA38" s="117"/>
      <c r="AB38" s="117"/>
      <c r="AC38" s="117"/>
      <c r="AD38" s="132">
        <f t="shared" ref="AD38:AD69" si="4">X38-SUM(Z38:AA38)</f>
        <v>0</v>
      </c>
      <c r="AE38" s="118"/>
      <c r="AF38" s="110"/>
      <c r="AG38" s="110"/>
    </row>
    <row r="39" spans="1:33" s="33" customFormat="1">
      <c r="A39" s="109"/>
      <c r="B39" s="34"/>
      <c r="C39" s="34"/>
      <c r="D39" s="110"/>
      <c r="E39" s="110"/>
      <c r="F39" s="34"/>
      <c r="G39" s="111"/>
      <c r="H39" s="140"/>
      <c r="I39" s="112">
        <v>0</v>
      </c>
      <c r="J39" s="113">
        <v>0</v>
      </c>
      <c r="K39" s="119">
        <v>0</v>
      </c>
      <c r="L39" s="114">
        <v>0</v>
      </c>
      <c r="M39" s="112">
        <v>0</v>
      </c>
      <c r="N39" s="115">
        <v>0</v>
      </c>
      <c r="O39" s="111">
        <v>0</v>
      </c>
      <c r="P39" s="116">
        <v>0</v>
      </c>
      <c r="Q39" s="114">
        <v>0</v>
      </c>
      <c r="R39" s="111">
        <v>0</v>
      </c>
      <c r="S39" s="114">
        <v>0</v>
      </c>
      <c r="T39" s="112">
        <v>0</v>
      </c>
      <c r="U39" s="120">
        <v>0</v>
      </c>
      <c r="V39" s="114">
        <v>0</v>
      </c>
      <c r="W39" s="114">
        <v>0</v>
      </c>
      <c r="X39" s="32">
        <f t="shared" si="3"/>
        <v>0</v>
      </c>
      <c r="Y39" s="117"/>
      <c r="Z39" s="117"/>
      <c r="AA39" s="117"/>
      <c r="AB39" s="117"/>
      <c r="AC39" s="117"/>
      <c r="AD39" s="132">
        <f t="shared" si="4"/>
        <v>0</v>
      </c>
      <c r="AE39" s="118"/>
      <c r="AF39" s="110"/>
      <c r="AG39" s="110"/>
    </row>
    <row r="40" spans="1:33" s="33" customFormat="1">
      <c r="A40" s="109"/>
      <c r="B40" s="34"/>
      <c r="C40" s="34"/>
      <c r="D40" s="110"/>
      <c r="E40" s="110"/>
      <c r="F40" s="34"/>
      <c r="G40" s="111"/>
      <c r="H40" s="140"/>
      <c r="I40" s="112">
        <v>0</v>
      </c>
      <c r="J40" s="113">
        <v>0</v>
      </c>
      <c r="K40" s="119">
        <v>0</v>
      </c>
      <c r="L40" s="114">
        <v>0</v>
      </c>
      <c r="M40" s="112">
        <v>0</v>
      </c>
      <c r="N40" s="115">
        <v>0</v>
      </c>
      <c r="O40" s="111">
        <v>0</v>
      </c>
      <c r="P40" s="116">
        <v>0</v>
      </c>
      <c r="Q40" s="114">
        <v>0</v>
      </c>
      <c r="R40" s="111">
        <v>0</v>
      </c>
      <c r="S40" s="114">
        <v>0</v>
      </c>
      <c r="T40" s="112">
        <v>0</v>
      </c>
      <c r="U40" s="120">
        <v>0</v>
      </c>
      <c r="V40" s="114">
        <v>0</v>
      </c>
      <c r="W40" s="114">
        <v>0</v>
      </c>
      <c r="X40" s="32">
        <f t="shared" si="3"/>
        <v>0</v>
      </c>
      <c r="Y40" s="117"/>
      <c r="Z40" s="117"/>
      <c r="AA40" s="117"/>
      <c r="AB40" s="117"/>
      <c r="AC40" s="117"/>
      <c r="AD40" s="132">
        <f t="shared" si="4"/>
        <v>0</v>
      </c>
      <c r="AE40" s="118"/>
      <c r="AF40" s="110"/>
      <c r="AG40" s="110"/>
    </row>
    <row r="41" spans="1:33" s="33" customFormat="1">
      <c r="A41" s="109"/>
      <c r="B41" s="34"/>
      <c r="C41" s="34"/>
      <c r="D41" s="110"/>
      <c r="E41" s="110"/>
      <c r="F41" s="34"/>
      <c r="G41" s="111"/>
      <c r="H41" s="140"/>
      <c r="I41" s="112">
        <v>0</v>
      </c>
      <c r="J41" s="113">
        <v>0</v>
      </c>
      <c r="K41" s="119">
        <v>0</v>
      </c>
      <c r="L41" s="114">
        <v>0</v>
      </c>
      <c r="M41" s="112">
        <v>0</v>
      </c>
      <c r="N41" s="115">
        <v>0</v>
      </c>
      <c r="O41" s="111">
        <v>0</v>
      </c>
      <c r="P41" s="116">
        <v>0</v>
      </c>
      <c r="Q41" s="114">
        <v>0</v>
      </c>
      <c r="R41" s="111">
        <v>0</v>
      </c>
      <c r="S41" s="114">
        <v>0</v>
      </c>
      <c r="T41" s="112">
        <v>0</v>
      </c>
      <c r="U41" s="120">
        <v>0</v>
      </c>
      <c r="V41" s="114">
        <v>0</v>
      </c>
      <c r="W41" s="114">
        <v>0</v>
      </c>
      <c r="X41" s="32">
        <f t="shared" si="3"/>
        <v>0</v>
      </c>
      <c r="Y41" s="117"/>
      <c r="Z41" s="117"/>
      <c r="AA41" s="117"/>
      <c r="AB41" s="117"/>
      <c r="AC41" s="117"/>
      <c r="AD41" s="132">
        <f t="shared" si="4"/>
        <v>0</v>
      </c>
      <c r="AE41" s="118"/>
      <c r="AF41" s="110"/>
      <c r="AG41" s="110"/>
    </row>
    <row r="42" spans="1:33" s="33" customFormat="1">
      <c r="A42" s="109"/>
      <c r="B42" s="34"/>
      <c r="C42" s="34"/>
      <c r="D42" s="110"/>
      <c r="E42" s="110"/>
      <c r="F42" s="34"/>
      <c r="G42" s="111"/>
      <c r="H42" s="140"/>
      <c r="I42" s="112">
        <v>0</v>
      </c>
      <c r="J42" s="113">
        <v>0</v>
      </c>
      <c r="K42" s="119">
        <v>0</v>
      </c>
      <c r="L42" s="114">
        <v>0</v>
      </c>
      <c r="M42" s="112">
        <v>0</v>
      </c>
      <c r="N42" s="115">
        <v>0</v>
      </c>
      <c r="O42" s="111">
        <v>0</v>
      </c>
      <c r="P42" s="116">
        <v>0</v>
      </c>
      <c r="Q42" s="114">
        <v>0</v>
      </c>
      <c r="R42" s="111">
        <v>0</v>
      </c>
      <c r="S42" s="114">
        <v>0</v>
      </c>
      <c r="T42" s="112">
        <v>0</v>
      </c>
      <c r="U42" s="120">
        <v>0</v>
      </c>
      <c r="V42" s="114">
        <v>0</v>
      </c>
      <c r="W42" s="114">
        <v>0</v>
      </c>
      <c r="X42" s="32">
        <f t="shared" si="3"/>
        <v>0</v>
      </c>
      <c r="Y42" s="117"/>
      <c r="Z42" s="117"/>
      <c r="AA42" s="117"/>
      <c r="AB42" s="117"/>
      <c r="AC42" s="117"/>
      <c r="AD42" s="132">
        <f t="shared" si="4"/>
        <v>0</v>
      </c>
      <c r="AE42" s="118"/>
      <c r="AF42" s="110"/>
      <c r="AG42" s="110"/>
    </row>
    <row r="43" spans="1:33" s="33" customFormat="1">
      <c r="A43" s="109"/>
      <c r="B43" s="34"/>
      <c r="C43" s="34"/>
      <c r="D43" s="110"/>
      <c r="E43" s="110"/>
      <c r="F43" s="34"/>
      <c r="G43" s="111"/>
      <c r="H43" s="140"/>
      <c r="I43" s="112">
        <v>0</v>
      </c>
      <c r="J43" s="113">
        <v>0</v>
      </c>
      <c r="K43" s="119">
        <v>0</v>
      </c>
      <c r="L43" s="114">
        <v>0</v>
      </c>
      <c r="M43" s="112">
        <v>0</v>
      </c>
      <c r="N43" s="115">
        <v>0</v>
      </c>
      <c r="O43" s="111">
        <v>0</v>
      </c>
      <c r="P43" s="116">
        <v>0</v>
      </c>
      <c r="Q43" s="114">
        <v>0</v>
      </c>
      <c r="R43" s="111">
        <v>0</v>
      </c>
      <c r="S43" s="114">
        <v>0</v>
      </c>
      <c r="T43" s="112">
        <v>0</v>
      </c>
      <c r="U43" s="120">
        <v>0</v>
      </c>
      <c r="V43" s="114">
        <v>0</v>
      </c>
      <c r="W43" s="114">
        <v>0</v>
      </c>
      <c r="X43" s="32">
        <f t="shared" si="3"/>
        <v>0</v>
      </c>
      <c r="Y43" s="117"/>
      <c r="Z43" s="117"/>
      <c r="AA43" s="117"/>
      <c r="AB43" s="117"/>
      <c r="AC43" s="117"/>
      <c r="AD43" s="132">
        <f t="shared" si="4"/>
        <v>0</v>
      </c>
      <c r="AE43" s="118"/>
      <c r="AF43" s="110"/>
      <c r="AG43" s="110"/>
    </row>
    <row r="44" spans="1:33" s="33" customFormat="1">
      <c r="A44" s="109"/>
      <c r="B44" s="34"/>
      <c r="C44" s="34"/>
      <c r="D44" s="110"/>
      <c r="E44" s="110"/>
      <c r="F44" s="34"/>
      <c r="G44" s="111"/>
      <c r="H44" s="140"/>
      <c r="I44" s="112">
        <v>0</v>
      </c>
      <c r="J44" s="113">
        <v>0</v>
      </c>
      <c r="K44" s="119">
        <v>0</v>
      </c>
      <c r="L44" s="114">
        <v>0</v>
      </c>
      <c r="M44" s="112">
        <v>0</v>
      </c>
      <c r="N44" s="115">
        <v>0</v>
      </c>
      <c r="O44" s="111">
        <v>0</v>
      </c>
      <c r="P44" s="116">
        <v>0</v>
      </c>
      <c r="Q44" s="114">
        <v>0</v>
      </c>
      <c r="R44" s="111">
        <v>0</v>
      </c>
      <c r="S44" s="114">
        <v>0</v>
      </c>
      <c r="T44" s="112">
        <v>0</v>
      </c>
      <c r="U44" s="120">
        <v>0</v>
      </c>
      <c r="V44" s="114">
        <v>0</v>
      </c>
      <c r="W44" s="114">
        <v>0</v>
      </c>
      <c r="X44" s="32">
        <f t="shared" si="3"/>
        <v>0</v>
      </c>
      <c r="Y44" s="117"/>
      <c r="Z44" s="117"/>
      <c r="AA44" s="117"/>
      <c r="AB44" s="117"/>
      <c r="AC44" s="117"/>
      <c r="AD44" s="132">
        <f t="shared" si="4"/>
        <v>0</v>
      </c>
      <c r="AE44" s="118"/>
      <c r="AF44" s="110"/>
      <c r="AG44" s="110"/>
    </row>
    <row r="45" spans="1:33" s="33" customFormat="1">
      <c r="A45" s="109"/>
      <c r="B45" s="34"/>
      <c r="C45" s="34"/>
      <c r="D45" s="110"/>
      <c r="E45" s="110"/>
      <c r="F45" s="34"/>
      <c r="G45" s="111"/>
      <c r="H45" s="140"/>
      <c r="I45" s="112">
        <v>0</v>
      </c>
      <c r="J45" s="113">
        <v>0</v>
      </c>
      <c r="K45" s="119">
        <v>0</v>
      </c>
      <c r="L45" s="114">
        <v>0</v>
      </c>
      <c r="M45" s="112">
        <v>0</v>
      </c>
      <c r="N45" s="115">
        <v>0</v>
      </c>
      <c r="O45" s="111">
        <v>0</v>
      </c>
      <c r="P45" s="116">
        <v>0</v>
      </c>
      <c r="Q45" s="114">
        <v>0</v>
      </c>
      <c r="R45" s="111">
        <v>0</v>
      </c>
      <c r="S45" s="114">
        <v>0</v>
      </c>
      <c r="T45" s="112">
        <v>0</v>
      </c>
      <c r="U45" s="120">
        <v>0</v>
      </c>
      <c r="V45" s="114">
        <v>0</v>
      </c>
      <c r="W45" s="114">
        <v>0</v>
      </c>
      <c r="X45" s="32">
        <f t="shared" si="3"/>
        <v>0</v>
      </c>
      <c r="Y45" s="117"/>
      <c r="Z45" s="117"/>
      <c r="AA45" s="117"/>
      <c r="AB45" s="117"/>
      <c r="AC45" s="117"/>
      <c r="AD45" s="132">
        <f t="shared" si="4"/>
        <v>0</v>
      </c>
      <c r="AE45" s="118"/>
      <c r="AF45" s="110"/>
      <c r="AG45" s="110"/>
    </row>
    <row r="46" spans="1:33" s="33" customFormat="1">
      <c r="A46" s="109"/>
      <c r="B46" s="34"/>
      <c r="C46" s="34"/>
      <c r="D46" s="110"/>
      <c r="E46" s="110"/>
      <c r="F46" s="34"/>
      <c r="G46" s="111"/>
      <c r="H46" s="140"/>
      <c r="I46" s="112">
        <v>0</v>
      </c>
      <c r="J46" s="113">
        <v>0</v>
      </c>
      <c r="K46" s="119">
        <v>0</v>
      </c>
      <c r="L46" s="114">
        <v>0</v>
      </c>
      <c r="M46" s="112">
        <v>0</v>
      </c>
      <c r="N46" s="115">
        <v>0</v>
      </c>
      <c r="O46" s="111">
        <v>0</v>
      </c>
      <c r="P46" s="116">
        <v>0</v>
      </c>
      <c r="Q46" s="114">
        <v>0</v>
      </c>
      <c r="R46" s="111">
        <v>0</v>
      </c>
      <c r="S46" s="114">
        <v>0</v>
      </c>
      <c r="T46" s="112">
        <v>0</v>
      </c>
      <c r="U46" s="120">
        <v>0</v>
      </c>
      <c r="V46" s="114">
        <v>0</v>
      </c>
      <c r="W46" s="114">
        <v>0</v>
      </c>
      <c r="X46" s="32">
        <f t="shared" si="3"/>
        <v>0</v>
      </c>
      <c r="Y46" s="117"/>
      <c r="Z46" s="117"/>
      <c r="AA46" s="117"/>
      <c r="AB46" s="117"/>
      <c r="AC46" s="117"/>
      <c r="AD46" s="132">
        <f t="shared" si="4"/>
        <v>0</v>
      </c>
      <c r="AE46" s="118"/>
      <c r="AF46" s="110"/>
      <c r="AG46" s="110"/>
    </row>
    <row r="47" spans="1:33" s="33" customFormat="1">
      <c r="A47" s="109"/>
      <c r="B47" s="34"/>
      <c r="C47" s="34"/>
      <c r="D47" s="110"/>
      <c r="E47" s="110"/>
      <c r="F47" s="34"/>
      <c r="G47" s="111"/>
      <c r="H47" s="140"/>
      <c r="I47" s="112">
        <v>0</v>
      </c>
      <c r="J47" s="113">
        <v>0</v>
      </c>
      <c r="K47" s="119">
        <v>0</v>
      </c>
      <c r="L47" s="114">
        <v>0</v>
      </c>
      <c r="M47" s="112">
        <v>0</v>
      </c>
      <c r="N47" s="115">
        <v>0</v>
      </c>
      <c r="O47" s="111">
        <v>0</v>
      </c>
      <c r="P47" s="116">
        <v>0</v>
      </c>
      <c r="Q47" s="114">
        <v>0</v>
      </c>
      <c r="R47" s="111">
        <v>0</v>
      </c>
      <c r="S47" s="114">
        <v>0</v>
      </c>
      <c r="T47" s="112">
        <v>0</v>
      </c>
      <c r="U47" s="120">
        <v>0</v>
      </c>
      <c r="V47" s="114">
        <v>0</v>
      </c>
      <c r="W47" s="114">
        <v>0</v>
      </c>
      <c r="X47" s="32">
        <f t="shared" si="3"/>
        <v>0</v>
      </c>
      <c r="Y47" s="117"/>
      <c r="Z47" s="117"/>
      <c r="AA47" s="117"/>
      <c r="AB47" s="117"/>
      <c r="AC47" s="117"/>
      <c r="AD47" s="132">
        <f t="shared" si="4"/>
        <v>0</v>
      </c>
      <c r="AE47" s="118"/>
      <c r="AF47" s="110"/>
      <c r="AG47" s="110"/>
    </row>
    <row r="48" spans="1:33" s="33" customFormat="1">
      <c r="A48" s="109"/>
      <c r="B48" s="34"/>
      <c r="C48" s="34"/>
      <c r="D48" s="110"/>
      <c r="E48" s="110"/>
      <c r="F48" s="34"/>
      <c r="G48" s="111"/>
      <c r="H48" s="140"/>
      <c r="I48" s="112">
        <v>0</v>
      </c>
      <c r="J48" s="113">
        <v>0</v>
      </c>
      <c r="K48" s="119">
        <v>0</v>
      </c>
      <c r="L48" s="114">
        <v>0</v>
      </c>
      <c r="M48" s="112">
        <v>0</v>
      </c>
      <c r="N48" s="115">
        <v>0</v>
      </c>
      <c r="O48" s="111">
        <v>0</v>
      </c>
      <c r="P48" s="116">
        <v>0</v>
      </c>
      <c r="Q48" s="114">
        <v>0</v>
      </c>
      <c r="R48" s="111">
        <v>0</v>
      </c>
      <c r="S48" s="114">
        <v>0</v>
      </c>
      <c r="T48" s="112">
        <v>0</v>
      </c>
      <c r="U48" s="120">
        <v>0</v>
      </c>
      <c r="V48" s="114">
        <v>0</v>
      </c>
      <c r="W48" s="114">
        <v>0</v>
      </c>
      <c r="X48" s="32">
        <f t="shared" si="3"/>
        <v>0</v>
      </c>
      <c r="Y48" s="117"/>
      <c r="Z48" s="117"/>
      <c r="AA48" s="117"/>
      <c r="AB48" s="117"/>
      <c r="AC48" s="117"/>
      <c r="AD48" s="132">
        <f t="shared" si="4"/>
        <v>0</v>
      </c>
      <c r="AE48" s="118"/>
      <c r="AF48" s="110"/>
      <c r="AG48" s="110"/>
    </row>
    <row r="49" spans="1:33" s="33" customFormat="1">
      <c r="A49" s="109"/>
      <c r="B49" s="34"/>
      <c r="C49" s="34"/>
      <c r="D49" s="110"/>
      <c r="E49" s="110"/>
      <c r="F49" s="34"/>
      <c r="G49" s="111"/>
      <c r="H49" s="140"/>
      <c r="I49" s="112">
        <v>0</v>
      </c>
      <c r="J49" s="113">
        <v>0</v>
      </c>
      <c r="K49" s="119">
        <v>0</v>
      </c>
      <c r="L49" s="114">
        <v>0</v>
      </c>
      <c r="M49" s="112">
        <v>0</v>
      </c>
      <c r="N49" s="115">
        <v>0</v>
      </c>
      <c r="O49" s="111">
        <v>0</v>
      </c>
      <c r="P49" s="116">
        <v>0</v>
      </c>
      <c r="Q49" s="114">
        <v>0</v>
      </c>
      <c r="R49" s="111">
        <v>0</v>
      </c>
      <c r="S49" s="114">
        <v>0</v>
      </c>
      <c r="T49" s="112">
        <v>0</v>
      </c>
      <c r="U49" s="120">
        <v>0</v>
      </c>
      <c r="V49" s="114">
        <v>0</v>
      </c>
      <c r="W49" s="114">
        <v>0</v>
      </c>
      <c r="X49" s="32">
        <f t="shared" si="3"/>
        <v>0</v>
      </c>
      <c r="Y49" s="117"/>
      <c r="Z49" s="117"/>
      <c r="AA49" s="117"/>
      <c r="AB49" s="117"/>
      <c r="AC49" s="117"/>
      <c r="AD49" s="132">
        <f t="shared" si="4"/>
        <v>0</v>
      </c>
      <c r="AE49" s="118"/>
      <c r="AF49" s="110"/>
      <c r="AG49" s="110"/>
    </row>
    <row r="50" spans="1:33" s="33" customFormat="1">
      <c r="A50" s="109"/>
      <c r="B50" s="34"/>
      <c r="C50" s="34"/>
      <c r="D50" s="110"/>
      <c r="E50" s="110"/>
      <c r="F50" s="34"/>
      <c r="G50" s="111"/>
      <c r="H50" s="140"/>
      <c r="I50" s="112">
        <v>0</v>
      </c>
      <c r="J50" s="113">
        <v>0</v>
      </c>
      <c r="K50" s="119">
        <v>0</v>
      </c>
      <c r="L50" s="114">
        <v>0</v>
      </c>
      <c r="M50" s="112">
        <v>0</v>
      </c>
      <c r="N50" s="115">
        <v>0</v>
      </c>
      <c r="O50" s="111">
        <v>0</v>
      </c>
      <c r="P50" s="116">
        <v>0</v>
      </c>
      <c r="Q50" s="114">
        <v>0</v>
      </c>
      <c r="R50" s="111">
        <v>0</v>
      </c>
      <c r="S50" s="114">
        <v>0</v>
      </c>
      <c r="T50" s="112">
        <v>0</v>
      </c>
      <c r="U50" s="120">
        <v>0</v>
      </c>
      <c r="V50" s="114">
        <v>0</v>
      </c>
      <c r="W50" s="114">
        <v>0</v>
      </c>
      <c r="X50" s="32">
        <f t="shared" si="3"/>
        <v>0</v>
      </c>
      <c r="Y50" s="117"/>
      <c r="Z50" s="117"/>
      <c r="AA50" s="117"/>
      <c r="AB50" s="117"/>
      <c r="AC50" s="117"/>
      <c r="AD50" s="132">
        <f t="shared" si="4"/>
        <v>0</v>
      </c>
      <c r="AE50" s="118"/>
      <c r="AF50" s="110"/>
      <c r="AG50" s="110"/>
    </row>
    <row r="51" spans="1:33" s="33" customFormat="1">
      <c r="A51" s="109"/>
      <c r="B51" s="34"/>
      <c r="C51" s="34"/>
      <c r="D51" s="110"/>
      <c r="E51" s="110"/>
      <c r="F51" s="34"/>
      <c r="G51" s="111"/>
      <c r="H51" s="140"/>
      <c r="I51" s="112">
        <v>0</v>
      </c>
      <c r="J51" s="113">
        <v>0</v>
      </c>
      <c r="K51" s="119">
        <v>0</v>
      </c>
      <c r="L51" s="114">
        <v>0</v>
      </c>
      <c r="M51" s="112">
        <v>0</v>
      </c>
      <c r="N51" s="115">
        <v>0</v>
      </c>
      <c r="O51" s="111">
        <v>0</v>
      </c>
      <c r="P51" s="116">
        <v>0</v>
      </c>
      <c r="Q51" s="114">
        <v>0</v>
      </c>
      <c r="R51" s="111">
        <v>0</v>
      </c>
      <c r="S51" s="114">
        <v>0</v>
      </c>
      <c r="T51" s="112">
        <v>0</v>
      </c>
      <c r="U51" s="120">
        <v>0</v>
      </c>
      <c r="V51" s="114">
        <v>0</v>
      </c>
      <c r="W51" s="114">
        <v>0</v>
      </c>
      <c r="X51" s="32">
        <f t="shared" si="3"/>
        <v>0</v>
      </c>
      <c r="Y51" s="117"/>
      <c r="Z51" s="117"/>
      <c r="AA51" s="117"/>
      <c r="AB51" s="117"/>
      <c r="AC51" s="117"/>
      <c r="AD51" s="132">
        <f t="shared" si="4"/>
        <v>0</v>
      </c>
      <c r="AE51" s="118"/>
      <c r="AF51" s="110"/>
      <c r="AG51" s="110"/>
    </row>
    <row r="52" spans="1:33" s="33" customFormat="1">
      <c r="A52" s="109"/>
      <c r="B52" s="34"/>
      <c r="C52" s="34"/>
      <c r="D52" s="110"/>
      <c r="E52" s="110"/>
      <c r="F52" s="34"/>
      <c r="G52" s="111"/>
      <c r="H52" s="140"/>
      <c r="I52" s="112">
        <v>0</v>
      </c>
      <c r="J52" s="113">
        <v>0</v>
      </c>
      <c r="K52" s="119">
        <v>0</v>
      </c>
      <c r="L52" s="114">
        <v>0</v>
      </c>
      <c r="M52" s="112">
        <v>0</v>
      </c>
      <c r="N52" s="115">
        <v>0</v>
      </c>
      <c r="O52" s="111">
        <v>0</v>
      </c>
      <c r="P52" s="116">
        <v>0</v>
      </c>
      <c r="Q52" s="114">
        <v>0</v>
      </c>
      <c r="R52" s="111">
        <v>0</v>
      </c>
      <c r="S52" s="114">
        <v>0</v>
      </c>
      <c r="T52" s="112">
        <v>0</v>
      </c>
      <c r="U52" s="120">
        <v>0</v>
      </c>
      <c r="V52" s="114">
        <v>0</v>
      </c>
      <c r="W52" s="114">
        <v>0</v>
      </c>
      <c r="X52" s="32">
        <f t="shared" si="3"/>
        <v>0</v>
      </c>
      <c r="Y52" s="117"/>
      <c r="Z52" s="117"/>
      <c r="AA52" s="117"/>
      <c r="AB52" s="117"/>
      <c r="AC52" s="117"/>
      <c r="AD52" s="132">
        <f t="shared" si="4"/>
        <v>0</v>
      </c>
      <c r="AE52" s="118"/>
      <c r="AF52" s="110"/>
      <c r="AG52" s="110"/>
    </row>
    <row r="53" spans="1:33" s="33" customFormat="1">
      <c r="A53" s="109"/>
      <c r="B53" s="34"/>
      <c r="C53" s="34"/>
      <c r="D53" s="110"/>
      <c r="E53" s="110"/>
      <c r="F53" s="34"/>
      <c r="G53" s="111"/>
      <c r="H53" s="140"/>
      <c r="I53" s="112">
        <v>0</v>
      </c>
      <c r="J53" s="113">
        <v>0</v>
      </c>
      <c r="K53" s="119">
        <v>0</v>
      </c>
      <c r="L53" s="114">
        <v>0</v>
      </c>
      <c r="M53" s="112">
        <v>0</v>
      </c>
      <c r="N53" s="115">
        <v>0</v>
      </c>
      <c r="O53" s="111">
        <v>0</v>
      </c>
      <c r="P53" s="116">
        <v>0</v>
      </c>
      <c r="Q53" s="114">
        <v>0</v>
      </c>
      <c r="R53" s="111">
        <v>0</v>
      </c>
      <c r="S53" s="114">
        <v>0</v>
      </c>
      <c r="T53" s="112">
        <v>0</v>
      </c>
      <c r="U53" s="120">
        <v>0</v>
      </c>
      <c r="V53" s="114">
        <v>0</v>
      </c>
      <c r="W53" s="114">
        <v>0</v>
      </c>
      <c r="X53" s="32">
        <f t="shared" si="3"/>
        <v>0</v>
      </c>
      <c r="Y53" s="117"/>
      <c r="Z53" s="117"/>
      <c r="AA53" s="117"/>
      <c r="AB53" s="117"/>
      <c r="AC53" s="117"/>
      <c r="AD53" s="132">
        <f t="shared" si="4"/>
        <v>0</v>
      </c>
      <c r="AE53" s="118"/>
      <c r="AF53" s="110"/>
      <c r="AG53" s="110"/>
    </row>
    <row r="54" spans="1:33" s="33" customFormat="1">
      <c r="A54" s="109"/>
      <c r="B54" s="34"/>
      <c r="C54" s="34"/>
      <c r="D54" s="110"/>
      <c r="E54" s="110"/>
      <c r="F54" s="34"/>
      <c r="G54" s="111"/>
      <c r="H54" s="140"/>
      <c r="I54" s="112">
        <v>0</v>
      </c>
      <c r="J54" s="113">
        <v>0</v>
      </c>
      <c r="K54" s="119">
        <v>0</v>
      </c>
      <c r="L54" s="114">
        <v>0</v>
      </c>
      <c r="M54" s="112">
        <v>0</v>
      </c>
      <c r="N54" s="115">
        <v>0</v>
      </c>
      <c r="O54" s="111">
        <v>0</v>
      </c>
      <c r="P54" s="116">
        <v>0</v>
      </c>
      <c r="Q54" s="114">
        <v>0</v>
      </c>
      <c r="R54" s="111">
        <v>0</v>
      </c>
      <c r="S54" s="114">
        <v>0</v>
      </c>
      <c r="T54" s="112">
        <v>0</v>
      </c>
      <c r="U54" s="120">
        <v>0</v>
      </c>
      <c r="V54" s="114">
        <v>0</v>
      </c>
      <c r="W54" s="114">
        <v>0</v>
      </c>
      <c r="X54" s="32">
        <f t="shared" si="3"/>
        <v>0</v>
      </c>
      <c r="Y54" s="117"/>
      <c r="Z54" s="117"/>
      <c r="AA54" s="117"/>
      <c r="AB54" s="117"/>
      <c r="AC54" s="117"/>
      <c r="AD54" s="132">
        <f t="shared" si="4"/>
        <v>0</v>
      </c>
      <c r="AE54" s="118"/>
      <c r="AF54" s="110"/>
      <c r="AG54" s="110"/>
    </row>
    <row r="55" spans="1:33" s="33" customFormat="1">
      <c r="A55" s="109"/>
      <c r="B55" s="34"/>
      <c r="C55" s="34"/>
      <c r="D55" s="110"/>
      <c r="E55" s="110"/>
      <c r="F55" s="34"/>
      <c r="G55" s="111"/>
      <c r="H55" s="140"/>
      <c r="I55" s="112">
        <v>0</v>
      </c>
      <c r="J55" s="113">
        <v>0</v>
      </c>
      <c r="K55" s="119">
        <v>0</v>
      </c>
      <c r="L55" s="114">
        <v>0</v>
      </c>
      <c r="M55" s="112">
        <v>0</v>
      </c>
      <c r="N55" s="115">
        <v>0</v>
      </c>
      <c r="O55" s="111">
        <v>0</v>
      </c>
      <c r="P55" s="116">
        <v>0</v>
      </c>
      <c r="Q55" s="114">
        <v>0</v>
      </c>
      <c r="R55" s="111">
        <v>0</v>
      </c>
      <c r="S55" s="114">
        <v>0</v>
      </c>
      <c r="T55" s="112">
        <v>0</v>
      </c>
      <c r="U55" s="120">
        <v>0</v>
      </c>
      <c r="V55" s="114">
        <v>0</v>
      </c>
      <c r="W55" s="114">
        <v>0</v>
      </c>
      <c r="X55" s="32">
        <f t="shared" si="3"/>
        <v>0</v>
      </c>
      <c r="Y55" s="117"/>
      <c r="Z55" s="117"/>
      <c r="AA55" s="117"/>
      <c r="AB55" s="117"/>
      <c r="AC55" s="117"/>
      <c r="AD55" s="132">
        <f t="shared" si="4"/>
        <v>0</v>
      </c>
      <c r="AE55" s="118"/>
      <c r="AF55" s="110"/>
      <c r="AG55" s="110"/>
    </row>
    <row r="56" spans="1:33" s="33" customFormat="1">
      <c r="A56" s="109"/>
      <c r="B56" s="34"/>
      <c r="C56" s="34"/>
      <c r="D56" s="110"/>
      <c r="E56" s="110"/>
      <c r="F56" s="34"/>
      <c r="G56" s="111"/>
      <c r="H56" s="140"/>
      <c r="I56" s="112">
        <v>0</v>
      </c>
      <c r="J56" s="113">
        <v>0</v>
      </c>
      <c r="K56" s="119">
        <v>0</v>
      </c>
      <c r="L56" s="114">
        <v>0</v>
      </c>
      <c r="M56" s="112">
        <v>0</v>
      </c>
      <c r="N56" s="115">
        <v>0</v>
      </c>
      <c r="O56" s="111">
        <v>0</v>
      </c>
      <c r="P56" s="116">
        <v>0</v>
      </c>
      <c r="Q56" s="114">
        <v>0</v>
      </c>
      <c r="R56" s="111">
        <v>0</v>
      </c>
      <c r="S56" s="114">
        <v>0</v>
      </c>
      <c r="T56" s="112">
        <v>0</v>
      </c>
      <c r="U56" s="120">
        <v>0</v>
      </c>
      <c r="V56" s="114">
        <v>0</v>
      </c>
      <c r="W56" s="114">
        <v>0</v>
      </c>
      <c r="X56" s="32">
        <f t="shared" si="3"/>
        <v>0</v>
      </c>
      <c r="Y56" s="117"/>
      <c r="Z56" s="117"/>
      <c r="AA56" s="117"/>
      <c r="AB56" s="117"/>
      <c r="AC56" s="117"/>
      <c r="AD56" s="132">
        <f t="shared" si="4"/>
        <v>0</v>
      </c>
      <c r="AE56" s="118"/>
      <c r="AF56" s="110"/>
      <c r="AG56" s="110"/>
    </row>
    <row r="57" spans="1:33" s="33" customFormat="1">
      <c r="A57" s="109"/>
      <c r="B57" s="34"/>
      <c r="C57" s="34"/>
      <c r="D57" s="110"/>
      <c r="E57" s="110"/>
      <c r="F57" s="34"/>
      <c r="G57" s="111"/>
      <c r="H57" s="140"/>
      <c r="I57" s="112">
        <v>0</v>
      </c>
      <c r="J57" s="113">
        <v>0</v>
      </c>
      <c r="K57" s="119">
        <v>0</v>
      </c>
      <c r="L57" s="114">
        <v>0</v>
      </c>
      <c r="M57" s="112">
        <v>0</v>
      </c>
      <c r="N57" s="115">
        <v>0</v>
      </c>
      <c r="O57" s="111">
        <v>0</v>
      </c>
      <c r="P57" s="116">
        <v>0</v>
      </c>
      <c r="Q57" s="114">
        <v>0</v>
      </c>
      <c r="R57" s="111">
        <v>0</v>
      </c>
      <c r="S57" s="114">
        <v>0</v>
      </c>
      <c r="T57" s="112">
        <v>0</v>
      </c>
      <c r="U57" s="120">
        <v>0</v>
      </c>
      <c r="V57" s="114">
        <v>0</v>
      </c>
      <c r="W57" s="114">
        <v>0</v>
      </c>
      <c r="X57" s="32">
        <f t="shared" si="3"/>
        <v>0</v>
      </c>
      <c r="Y57" s="117"/>
      <c r="Z57" s="117"/>
      <c r="AA57" s="117"/>
      <c r="AB57" s="117"/>
      <c r="AC57" s="117"/>
      <c r="AD57" s="132">
        <f t="shared" si="4"/>
        <v>0</v>
      </c>
      <c r="AE57" s="118"/>
      <c r="AF57" s="110"/>
      <c r="AG57" s="110"/>
    </row>
    <row r="58" spans="1:33" s="33" customFormat="1">
      <c r="A58" s="109"/>
      <c r="B58" s="34"/>
      <c r="C58" s="34"/>
      <c r="D58" s="110"/>
      <c r="E58" s="110"/>
      <c r="F58" s="34"/>
      <c r="G58" s="111"/>
      <c r="H58" s="140"/>
      <c r="I58" s="112">
        <v>0</v>
      </c>
      <c r="J58" s="113">
        <v>0</v>
      </c>
      <c r="K58" s="119">
        <v>0</v>
      </c>
      <c r="L58" s="114">
        <v>0</v>
      </c>
      <c r="M58" s="112">
        <v>0</v>
      </c>
      <c r="N58" s="115">
        <v>0</v>
      </c>
      <c r="O58" s="111">
        <v>0</v>
      </c>
      <c r="P58" s="116">
        <v>0</v>
      </c>
      <c r="Q58" s="114">
        <v>0</v>
      </c>
      <c r="R58" s="111">
        <v>0</v>
      </c>
      <c r="S58" s="114">
        <v>0</v>
      </c>
      <c r="T58" s="112">
        <v>0</v>
      </c>
      <c r="U58" s="120">
        <v>0</v>
      </c>
      <c r="V58" s="114">
        <v>0</v>
      </c>
      <c r="W58" s="114">
        <v>0</v>
      </c>
      <c r="X58" s="32">
        <f t="shared" ref="X58:X84" si="5">+G58-(SUM(I58:W58))</f>
        <v>0</v>
      </c>
      <c r="Y58" s="117"/>
      <c r="Z58" s="117"/>
      <c r="AA58" s="117"/>
      <c r="AB58" s="117"/>
      <c r="AC58" s="117"/>
      <c r="AD58" s="132">
        <f t="shared" si="4"/>
        <v>0</v>
      </c>
      <c r="AE58" s="118"/>
      <c r="AF58" s="110"/>
      <c r="AG58" s="110"/>
    </row>
    <row r="59" spans="1:33" s="33" customFormat="1">
      <c r="A59" s="109"/>
      <c r="B59" s="34"/>
      <c r="C59" s="34"/>
      <c r="D59" s="110"/>
      <c r="E59" s="110"/>
      <c r="F59" s="34"/>
      <c r="G59" s="111"/>
      <c r="H59" s="140"/>
      <c r="I59" s="112">
        <v>0</v>
      </c>
      <c r="J59" s="113">
        <v>0</v>
      </c>
      <c r="K59" s="119">
        <v>0</v>
      </c>
      <c r="L59" s="114">
        <v>0</v>
      </c>
      <c r="M59" s="112">
        <v>0</v>
      </c>
      <c r="N59" s="115">
        <v>0</v>
      </c>
      <c r="O59" s="111">
        <v>0</v>
      </c>
      <c r="P59" s="116">
        <v>0</v>
      </c>
      <c r="Q59" s="114">
        <v>0</v>
      </c>
      <c r="R59" s="111">
        <v>0</v>
      </c>
      <c r="S59" s="114">
        <v>0</v>
      </c>
      <c r="T59" s="112">
        <v>0</v>
      </c>
      <c r="U59" s="120">
        <v>0</v>
      </c>
      <c r="V59" s="114">
        <v>0</v>
      </c>
      <c r="W59" s="114">
        <v>0</v>
      </c>
      <c r="X59" s="32">
        <f t="shared" si="5"/>
        <v>0</v>
      </c>
      <c r="Y59" s="117"/>
      <c r="Z59" s="117"/>
      <c r="AA59" s="117"/>
      <c r="AB59" s="117"/>
      <c r="AC59" s="117"/>
      <c r="AD59" s="132">
        <f t="shared" si="4"/>
        <v>0</v>
      </c>
      <c r="AE59" s="118"/>
      <c r="AF59" s="110"/>
      <c r="AG59" s="110"/>
    </row>
    <row r="60" spans="1:33" s="33" customFormat="1">
      <c r="A60" s="109"/>
      <c r="B60" s="34"/>
      <c r="C60" s="34"/>
      <c r="D60" s="110"/>
      <c r="E60" s="110"/>
      <c r="F60" s="34"/>
      <c r="G60" s="111"/>
      <c r="H60" s="140"/>
      <c r="I60" s="112">
        <v>0</v>
      </c>
      <c r="J60" s="113">
        <v>0</v>
      </c>
      <c r="K60" s="119">
        <v>0</v>
      </c>
      <c r="L60" s="114">
        <v>0</v>
      </c>
      <c r="M60" s="112">
        <v>0</v>
      </c>
      <c r="N60" s="115">
        <v>0</v>
      </c>
      <c r="O60" s="111">
        <v>0</v>
      </c>
      <c r="P60" s="116">
        <v>0</v>
      </c>
      <c r="Q60" s="114">
        <v>0</v>
      </c>
      <c r="R60" s="111">
        <v>0</v>
      </c>
      <c r="S60" s="114">
        <v>0</v>
      </c>
      <c r="T60" s="112">
        <v>0</v>
      </c>
      <c r="U60" s="120">
        <v>0</v>
      </c>
      <c r="V60" s="114">
        <v>0</v>
      </c>
      <c r="W60" s="114">
        <v>0</v>
      </c>
      <c r="X60" s="32">
        <f t="shared" si="5"/>
        <v>0</v>
      </c>
      <c r="Y60" s="117"/>
      <c r="Z60" s="117"/>
      <c r="AA60" s="117"/>
      <c r="AB60" s="117"/>
      <c r="AC60" s="117"/>
      <c r="AD60" s="132">
        <f t="shared" si="4"/>
        <v>0</v>
      </c>
      <c r="AE60" s="118"/>
      <c r="AF60" s="110"/>
      <c r="AG60" s="110"/>
    </row>
    <row r="61" spans="1:33" s="33" customFormat="1">
      <c r="A61" s="109"/>
      <c r="B61" s="34"/>
      <c r="C61" s="34"/>
      <c r="D61" s="110"/>
      <c r="E61" s="110"/>
      <c r="F61" s="34"/>
      <c r="G61" s="111"/>
      <c r="H61" s="140"/>
      <c r="I61" s="112">
        <v>0</v>
      </c>
      <c r="J61" s="113">
        <v>0</v>
      </c>
      <c r="K61" s="119">
        <v>0</v>
      </c>
      <c r="L61" s="114">
        <v>0</v>
      </c>
      <c r="M61" s="112">
        <v>0</v>
      </c>
      <c r="N61" s="115">
        <v>0</v>
      </c>
      <c r="O61" s="111">
        <v>0</v>
      </c>
      <c r="P61" s="116">
        <v>0</v>
      </c>
      <c r="Q61" s="114">
        <v>0</v>
      </c>
      <c r="R61" s="111">
        <v>0</v>
      </c>
      <c r="S61" s="114">
        <v>0</v>
      </c>
      <c r="T61" s="112">
        <v>0</v>
      </c>
      <c r="U61" s="120">
        <v>0</v>
      </c>
      <c r="V61" s="114">
        <v>0</v>
      </c>
      <c r="W61" s="114">
        <v>0</v>
      </c>
      <c r="X61" s="32">
        <f t="shared" si="5"/>
        <v>0</v>
      </c>
      <c r="Y61" s="117"/>
      <c r="Z61" s="117"/>
      <c r="AA61" s="117"/>
      <c r="AB61" s="117"/>
      <c r="AC61" s="117"/>
      <c r="AD61" s="132">
        <f t="shared" si="4"/>
        <v>0</v>
      </c>
      <c r="AE61" s="118"/>
      <c r="AF61" s="110"/>
      <c r="AG61" s="110"/>
    </row>
    <row r="62" spans="1:33" s="33" customFormat="1">
      <c r="A62" s="109"/>
      <c r="B62" s="34"/>
      <c r="C62" s="34"/>
      <c r="D62" s="110"/>
      <c r="E62" s="110"/>
      <c r="F62" s="34"/>
      <c r="G62" s="111"/>
      <c r="H62" s="140"/>
      <c r="I62" s="112">
        <v>0</v>
      </c>
      <c r="J62" s="113">
        <v>0</v>
      </c>
      <c r="K62" s="119">
        <v>0</v>
      </c>
      <c r="L62" s="114">
        <v>0</v>
      </c>
      <c r="M62" s="112">
        <v>0</v>
      </c>
      <c r="N62" s="115">
        <v>0</v>
      </c>
      <c r="O62" s="111">
        <v>0</v>
      </c>
      <c r="P62" s="116">
        <v>0</v>
      </c>
      <c r="Q62" s="114">
        <v>0</v>
      </c>
      <c r="R62" s="111">
        <v>0</v>
      </c>
      <c r="S62" s="114">
        <v>0</v>
      </c>
      <c r="T62" s="112">
        <v>0</v>
      </c>
      <c r="U62" s="120">
        <v>0</v>
      </c>
      <c r="V62" s="114">
        <v>0</v>
      </c>
      <c r="W62" s="114">
        <v>0</v>
      </c>
      <c r="X62" s="32">
        <f t="shared" si="5"/>
        <v>0</v>
      </c>
      <c r="Y62" s="117"/>
      <c r="Z62" s="117"/>
      <c r="AA62" s="117"/>
      <c r="AB62" s="117"/>
      <c r="AC62" s="117"/>
      <c r="AD62" s="132">
        <f t="shared" si="4"/>
        <v>0</v>
      </c>
      <c r="AE62" s="118"/>
      <c r="AF62" s="110"/>
      <c r="AG62" s="110"/>
    </row>
    <row r="63" spans="1:33" s="33" customFormat="1">
      <c r="A63" s="109"/>
      <c r="B63" s="34"/>
      <c r="C63" s="34"/>
      <c r="D63" s="110"/>
      <c r="E63" s="110"/>
      <c r="F63" s="34"/>
      <c r="G63" s="111"/>
      <c r="H63" s="140"/>
      <c r="I63" s="112">
        <v>0</v>
      </c>
      <c r="J63" s="113">
        <v>0</v>
      </c>
      <c r="K63" s="119">
        <v>0</v>
      </c>
      <c r="L63" s="114">
        <v>0</v>
      </c>
      <c r="M63" s="112">
        <v>0</v>
      </c>
      <c r="N63" s="115">
        <v>0</v>
      </c>
      <c r="O63" s="111">
        <v>0</v>
      </c>
      <c r="P63" s="116">
        <v>0</v>
      </c>
      <c r="Q63" s="114">
        <v>0</v>
      </c>
      <c r="R63" s="111">
        <v>0</v>
      </c>
      <c r="S63" s="114">
        <v>0</v>
      </c>
      <c r="T63" s="112">
        <v>0</v>
      </c>
      <c r="U63" s="120">
        <v>0</v>
      </c>
      <c r="V63" s="114">
        <v>0</v>
      </c>
      <c r="W63" s="114">
        <v>0</v>
      </c>
      <c r="X63" s="32">
        <f t="shared" si="5"/>
        <v>0</v>
      </c>
      <c r="Y63" s="117"/>
      <c r="Z63" s="117"/>
      <c r="AA63" s="117"/>
      <c r="AB63" s="117"/>
      <c r="AC63" s="117"/>
      <c r="AD63" s="132">
        <f t="shared" si="4"/>
        <v>0</v>
      </c>
      <c r="AE63" s="118"/>
      <c r="AF63" s="110"/>
      <c r="AG63" s="110"/>
    </row>
    <row r="64" spans="1:33" s="33" customFormat="1">
      <c r="A64" s="109"/>
      <c r="B64" s="34"/>
      <c r="C64" s="34"/>
      <c r="D64" s="110"/>
      <c r="E64" s="110"/>
      <c r="F64" s="34"/>
      <c r="G64" s="111"/>
      <c r="H64" s="140"/>
      <c r="I64" s="112">
        <v>0</v>
      </c>
      <c r="J64" s="113">
        <v>0</v>
      </c>
      <c r="K64" s="119">
        <v>0</v>
      </c>
      <c r="L64" s="114">
        <v>0</v>
      </c>
      <c r="M64" s="112">
        <v>0</v>
      </c>
      <c r="N64" s="115">
        <v>0</v>
      </c>
      <c r="O64" s="111">
        <v>0</v>
      </c>
      <c r="P64" s="116">
        <v>0</v>
      </c>
      <c r="Q64" s="114">
        <v>0</v>
      </c>
      <c r="R64" s="111">
        <v>0</v>
      </c>
      <c r="S64" s="114">
        <v>0</v>
      </c>
      <c r="T64" s="112">
        <v>0</v>
      </c>
      <c r="U64" s="120">
        <v>0</v>
      </c>
      <c r="V64" s="114">
        <v>0</v>
      </c>
      <c r="W64" s="114">
        <v>0</v>
      </c>
      <c r="X64" s="32">
        <f t="shared" si="5"/>
        <v>0</v>
      </c>
      <c r="Y64" s="117"/>
      <c r="Z64" s="117"/>
      <c r="AA64" s="117"/>
      <c r="AB64" s="117"/>
      <c r="AC64" s="117"/>
      <c r="AD64" s="132">
        <f t="shared" si="4"/>
        <v>0</v>
      </c>
      <c r="AE64" s="118"/>
      <c r="AF64" s="110"/>
      <c r="AG64" s="110"/>
    </row>
    <row r="65" spans="1:33" s="33" customFormat="1">
      <c r="A65" s="109"/>
      <c r="B65" s="34"/>
      <c r="C65" s="34"/>
      <c r="D65" s="110"/>
      <c r="E65" s="110"/>
      <c r="F65" s="34"/>
      <c r="G65" s="111"/>
      <c r="H65" s="140"/>
      <c r="I65" s="112">
        <v>0</v>
      </c>
      <c r="J65" s="113">
        <v>0</v>
      </c>
      <c r="K65" s="119">
        <v>0</v>
      </c>
      <c r="L65" s="114">
        <v>0</v>
      </c>
      <c r="M65" s="112">
        <v>0</v>
      </c>
      <c r="N65" s="115">
        <v>0</v>
      </c>
      <c r="O65" s="111">
        <v>0</v>
      </c>
      <c r="P65" s="116">
        <v>0</v>
      </c>
      <c r="Q65" s="114">
        <v>0</v>
      </c>
      <c r="R65" s="111">
        <v>0</v>
      </c>
      <c r="S65" s="114">
        <v>0</v>
      </c>
      <c r="T65" s="112">
        <v>0</v>
      </c>
      <c r="U65" s="120">
        <v>0</v>
      </c>
      <c r="V65" s="114">
        <v>0</v>
      </c>
      <c r="W65" s="114">
        <v>0</v>
      </c>
      <c r="X65" s="32">
        <f t="shared" si="5"/>
        <v>0</v>
      </c>
      <c r="Y65" s="117"/>
      <c r="Z65" s="117"/>
      <c r="AA65" s="117"/>
      <c r="AB65" s="117"/>
      <c r="AC65" s="117"/>
      <c r="AD65" s="132">
        <f t="shared" si="4"/>
        <v>0</v>
      </c>
      <c r="AE65" s="118"/>
      <c r="AF65" s="110"/>
      <c r="AG65" s="110"/>
    </row>
    <row r="66" spans="1:33" s="33" customFormat="1">
      <c r="A66" s="109"/>
      <c r="B66" s="34"/>
      <c r="C66" s="34"/>
      <c r="D66" s="110"/>
      <c r="E66" s="110"/>
      <c r="F66" s="34"/>
      <c r="G66" s="111"/>
      <c r="H66" s="140"/>
      <c r="I66" s="112">
        <v>0</v>
      </c>
      <c r="J66" s="113">
        <v>0</v>
      </c>
      <c r="K66" s="119">
        <v>0</v>
      </c>
      <c r="L66" s="114">
        <v>0</v>
      </c>
      <c r="M66" s="112">
        <v>0</v>
      </c>
      <c r="N66" s="115">
        <v>0</v>
      </c>
      <c r="O66" s="111">
        <v>0</v>
      </c>
      <c r="P66" s="116">
        <v>0</v>
      </c>
      <c r="Q66" s="114">
        <v>0</v>
      </c>
      <c r="R66" s="111">
        <v>0</v>
      </c>
      <c r="S66" s="114">
        <v>0</v>
      </c>
      <c r="T66" s="112">
        <v>0</v>
      </c>
      <c r="U66" s="120">
        <v>0</v>
      </c>
      <c r="V66" s="114">
        <v>0</v>
      </c>
      <c r="W66" s="114">
        <v>0</v>
      </c>
      <c r="X66" s="32">
        <f t="shared" si="5"/>
        <v>0</v>
      </c>
      <c r="Y66" s="117"/>
      <c r="Z66" s="117"/>
      <c r="AA66" s="117"/>
      <c r="AB66" s="117"/>
      <c r="AC66" s="117"/>
      <c r="AD66" s="132">
        <f t="shared" si="4"/>
        <v>0</v>
      </c>
      <c r="AE66" s="118"/>
      <c r="AF66" s="110"/>
      <c r="AG66" s="110"/>
    </row>
    <row r="67" spans="1:33" s="33" customFormat="1">
      <c r="A67" s="109"/>
      <c r="B67" s="34"/>
      <c r="C67" s="34"/>
      <c r="D67" s="110"/>
      <c r="E67" s="110"/>
      <c r="F67" s="34"/>
      <c r="G67" s="111"/>
      <c r="H67" s="140"/>
      <c r="I67" s="112">
        <v>0</v>
      </c>
      <c r="J67" s="113">
        <v>0</v>
      </c>
      <c r="K67" s="119">
        <v>0</v>
      </c>
      <c r="L67" s="114">
        <v>0</v>
      </c>
      <c r="M67" s="112">
        <v>0</v>
      </c>
      <c r="N67" s="115">
        <v>0</v>
      </c>
      <c r="O67" s="111">
        <v>0</v>
      </c>
      <c r="P67" s="116">
        <v>0</v>
      </c>
      <c r="Q67" s="114">
        <v>0</v>
      </c>
      <c r="R67" s="111">
        <v>0</v>
      </c>
      <c r="S67" s="114">
        <v>0</v>
      </c>
      <c r="T67" s="112">
        <v>0</v>
      </c>
      <c r="U67" s="120">
        <v>0</v>
      </c>
      <c r="V67" s="114">
        <v>0</v>
      </c>
      <c r="W67" s="114">
        <v>0</v>
      </c>
      <c r="X67" s="32">
        <f t="shared" si="5"/>
        <v>0</v>
      </c>
      <c r="Y67" s="117"/>
      <c r="Z67" s="117"/>
      <c r="AA67" s="117"/>
      <c r="AB67" s="117"/>
      <c r="AC67" s="117"/>
      <c r="AD67" s="132">
        <f t="shared" si="4"/>
        <v>0</v>
      </c>
      <c r="AE67" s="118"/>
      <c r="AF67" s="110"/>
      <c r="AG67" s="110"/>
    </row>
    <row r="68" spans="1:33" s="33" customFormat="1">
      <c r="A68" s="109"/>
      <c r="B68" s="34"/>
      <c r="C68" s="34"/>
      <c r="D68" s="110"/>
      <c r="E68" s="110"/>
      <c r="F68" s="34"/>
      <c r="G68" s="111"/>
      <c r="H68" s="140"/>
      <c r="I68" s="112">
        <v>0</v>
      </c>
      <c r="J68" s="113">
        <v>0</v>
      </c>
      <c r="K68" s="119">
        <v>0</v>
      </c>
      <c r="L68" s="114">
        <v>0</v>
      </c>
      <c r="M68" s="112">
        <v>0</v>
      </c>
      <c r="N68" s="115">
        <v>0</v>
      </c>
      <c r="O68" s="111">
        <v>0</v>
      </c>
      <c r="P68" s="116">
        <v>0</v>
      </c>
      <c r="Q68" s="114">
        <v>0</v>
      </c>
      <c r="R68" s="111">
        <v>0</v>
      </c>
      <c r="S68" s="114">
        <v>0</v>
      </c>
      <c r="T68" s="112">
        <v>0</v>
      </c>
      <c r="U68" s="120">
        <v>0</v>
      </c>
      <c r="V68" s="114">
        <v>0</v>
      </c>
      <c r="W68" s="114">
        <v>0</v>
      </c>
      <c r="X68" s="32">
        <f t="shared" si="5"/>
        <v>0</v>
      </c>
      <c r="Y68" s="117"/>
      <c r="Z68" s="117"/>
      <c r="AA68" s="117"/>
      <c r="AB68" s="117"/>
      <c r="AC68" s="117"/>
      <c r="AD68" s="132">
        <f t="shared" si="4"/>
        <v>0</v>
      </c>
      <c r="AE68" s="118"/>
      <c r="AF68" s="110"/>
      <c r="AG68" s="110"/>
    </row>
    <row r="69" spans="1:33" s="33" customFormat="1">
      <c r="A69" s="109"/>
      <c r="B69" s="34"/>
      <c r="C69" s="34"/>
      <c r="D69" s="110"/>
      <c r="E69" s="110"/>
      <c r="F69" s="34"/>
      <c r="G69" s="111"/>
      <c r="H69" s="140"/>
      <c r="I69" s="112">
        <v>0</v>
      </c>
      <c r="J69" s="113">
        <v>0</v>
      </c>
      <c r="K69" s="119">
        <v>0</v>
      </c>
      <c r="L69" s="114">
        <v>0</v>
      </c>
      <c r="M69" s="112">
        <v>0</v>
      </c>
      <c r="N69" s="115">
        <v>0</v>
      </c>
      <c r="O69" s="111">
        <v>0</v>
      </c>
      <c r="P69" s="116">
        <v>0</v>
      </c>
      <c r="Q69" s="114">
        <v>0</v>
      </c>
      <c r="R69" s="111">
        <v>0</v>
      </c>
      <c r="S69" s="114">
        <v>0</v>
      </c>
      <c r="T69" s="112">
        <v>0</v>
      </c>
      <c r="U69" s="120">
        <v>0</v>
      </c>
      <c r="V69" s="114">
        <v>0</v>
      </c>
      <c r="W69" s="114">
        <v>0</v>
      </c>
      <c r="X69" s="32">
        <f t="shared" si="5"/>
        <v>0</v>
      </c>
      <c r="Y69" s="117"/>
      <c r="Z69" s="117"/>
      <c r="AA69" s="117"/>
      <c r="AB69" s="117"/>
      <c r="AC69" s="117"/>
      <c r="AD69" s="132">
        <f t="shared" si="4"/>
        <v>0</v>
      </c>
      <c r="AE69" s="118"/>
      <c r="AF69" s="110"/>
      <c r="AG69" s="110"/>
    </row>
    <row r="70" spans="1:33" s="33" customFormat="1">
      <c r="A70" s="109"/>
      <c r="B70" s="34"/>
      <c r="C70" s="34"/>
      <c r="D70" s="110"/>
      <c r="E70" s="110"/>
      <c r="F70" s="34"/>
      <c r="G70" s="111"/>
      <c r="H70" s="140"/>
      <c r="I70" s="112">
        <v>0</v>
      </c>
      <c r="J70" s="113">
        <v>0</v>
      </c>
      <c r="K70" s="119">
        <v>0</v>
      </c>
      <c r="L70" s="114">
        <v>0</v>
      </c>
      <c r="M70" s="112">
        <v>0</v>
      </c>
      <c r="N70" s="115">
        <v>0</v>
      </c>
      <c r="O70" s="111">
        <v>0</v>
      </c>
      <c r="P70" s="116">
        <v>0</v>
      </c>
      <c r="Q70" s="114">
        <v>0</v>
      </c>
      <c r="R70" s="111">
        <v>0</v>
      </c>
      <c r="S70" s="114">
        <v>0</v>
      </c>
      <c r="T70" s="112">
        <v>0</v>
      </c>
      <c r="U70" s="120">
        <v>0</v>
      </c>
      <c r="V70" s="114">
        <v>0</v>
      </c>
      <c r="W70" s="114">
        <v>0</v>
      </c>
      <c r="X70" s="32">
        <f t="shared" si="5"/>
        <v>0</v>
      </c>
      <c r="Y70" s="117"/>
      <c r="Z70" s="117"/>
      <c r="AA70" s="117"/>
      <c r="AB70" s="117"/>
      <c r="AC70" s="117"/>
      <c r="AD70" s="132">
        <f t="shared" ref="AD70:AD84" si="6">X70-SUM(Z70:AA70)</f>
        <v>0</v>
      </c>
      <c r="AE70" s="118"/>
      <c r="AF70" s="110"/>
      <c r="AG70" s="110"/>
    </row>
    <row r="71" spans="1:33" s="33" customFormat="1">
      <c r="A71" s="109"/>
      <c r="B71" s="34"/>
      <c r="C71" s="34"/>
      <c r="D71" s="110"/>
      <c r="E71" s="110"/>
      <c r="F71" s="34"/>
      <c r="G71" s="111"/>
      <c r="H71" s="140"/>
      <c r="I71" s="112">
        <v>0</v>
      </c>
      <c r="J71" s="113">
        <v>0</v>
      </c>
      <c r="K71" s="119">
        <v>0</v>
      </c>
      <c r="L71" s="114">
        <v>0</v>
      </c>
      <c r="M71" s="112">
        <v>0</v>
      </c>
      <c r="N71" s="115">
        <v>0</v>
      </c>
      <c r="O71" s="111">
        <v>0</v>
      </c>
      <c r="P71" s="116">
        <v>0</v>
      </c>
      <c r="Q71" s="114">
        <v>0</v>
      </c>
      <c r="R71" s="111">
        <v>0</v>
      </c>
      <c r="S71" s="114">
        <v>0</v>
      </c>
      <c r="T71" s="112">
        <v>0</v>
      </c>
      <c r="U71" s="120">
        <v>0</v>
      </c>
      <c r="V71" s="114">
        <v>0</v>
      </c>
      <c r="W71" s="114">
        <v>0</v>
      </c>
      <c r="X71" s="32">
        <f t="shared" si="5"/>
        <v>0</v>
      </c>
      <c r="Y71" s="117"/>
      <c r="Z71" s="117"/>
      <c r="AA71" s="117"/>
      <c r="AB71" s="117"/>
      <c r="AC71" s="117"/>
      <c r="AD71" s="132">
        <f t="shared" si="6"/>
        <v>0</v>
      </c>
      <c r="AE71" s="118"/>
      <c r="AF71" s="110"/>
      <c r="AG71" s="110"/>
    </row>
    <row r="72" spans="1:33" s="33" customFormat="1">
      <c r="A72" s="109"/>
      <c r="B72" s="34"/>
      <c r="C72" s="34"/>
      <c r="D72" s="110"/>
      <c r="E72" s="110"/>
      <c r="F72" s="34"/>
      <c r="G72" s="111"/>
      <c r="H72" s="140"/>
      <c r="I72" s="112">
        <v>0</v>
      </c>
      <c r="J72" s="113">
        <v>0</v>
      </c>
      <c r="K72" s="119">
        <v>0</v>
      </c>
      <c r="L72" s="114">
        <v>0</v>
      </c>
      <c r="M72" s="112">
        <v>0</v>
      </c>
      <c r="N72" s="115">
        <v>0</v>
      </c>
      <c r="O72" s="111">
        <v>0</v>
      </c>
      <c r="P72" s="116">
        <v>0</v>
      </c>
      <c r="Q72" s="114">
        <v>0</v>
      </c>
      <c r="R72" s="111">
        <v>0</v>
      </c>
      <c r="S72" s="114">
        <v>0</v>
      </c>
      <c r="T72" s="112">
        <v>0</v>
      </c>
      <c r="U72" s="120">
        <v>0</v>
      </c>
      <c r="V72" s="114">
        <v>0</v>
      </c>
      <c r="W72" s="114">
        <v>0</v>
      </c>
      <c r="X72" s="32">
        <f t="shared" si="5"/>
        <v>0</v>
      </c>
      <c r="Y72" s="117"/>
      <c r="Z72" s="117"/>
      <c r="AA72" s="117"/>
      <c r="AB72" s="117"/>
      <c r="AC72" s="117"/>
      <c r="AD72" s="132">
        <f t="shared" si="6"/>
        <v>0</v>
      </c>
      <c r="AE72" s="118"/>
      <c r="AF72" s="110"/>
      <c r="AG72" s="110"/>
    </row>
    <row r="73" spans="1:33" s="33" customFormat="1">
      <c r="A73" s="109"/>
      <c r="B73" s="34"/>
      <c r="C73" s="34"/>
      <c r="D73" s="110"/>
      <c r="E73" s="110"/>
      <c r="F73" s="34"/>
      <c r="G73" s="111"/>
      <c r="H73" s="140"/>
      <c r="I73" s="112">
        <v>0</v>
      </c>
      <c r="J73" s="113">
        <v>0</v>
      </c>
      <c r="K73" s="119">
        <v>0</v>
      </c>
      <c r="L73" s="114">
        <v>0</v>
      </c>
      <c r="M73" s="112">
        <v>0</v>
      </c>
      <c r="N73" s="115">
        <v>0</v>
      </c>
      <c r="O73" s="111">
        <v>0</v>
      </c>
      <c r="P73" s="116">
        <v>0</v>
      </c>
      <c r="Q73" s="114">
        <v>0</v>
      </c>
      <c r="R73" s="111">
        <v>0</v>
      </c>
      <c r="S73" s="114">
        <v>0</v>
      </c>
      <c r="T73" s="112">
        <v>0</v>
      </c>
      <c r="U73" s="120">
        <v>0</v>
      </c>
      <c r="V73" s="114">
        <v>0</v>
      </c>
      <c r="W73" s="114">
        <v>0</v>
      </c>
      <c r="X73" s="32">
        <f t="shared" si="5"/>
        <v>0</v>
      </c>
      <c r="Y73" s="117"/>
      <c r="Z73" s="117"/>
      <c r="AA73" s="117"/>
      <c r="AB73" s="117"/>
      <c r="AC73" s="117"/>
      <c r="AD73" s="132">
        <f t="shared" si="6"/>
        <v>0</v>
      </c>
      <c r="AE73" s="118"/>
      <c r="AF73" s="110"/>
      <c r="AG73" s="110"/>
    </row>
    <row r="74" spans="1:33" s="33" customFormat="1">
      <c r="A74" s="109"/>
      <c r="B74" s="34"/>
      <c r="C74" s="34"/>
      <c r="D74" s="110"/>
      <c r="E74" s="110"/>
      <c r="F74" s="34"/>
      <c r="G74" s="111"/>
      <c r="H74" s="140"/>
      <c r="I74" s="112">
        <v>0</v>
      </c>
      <c r="J74" s="113">
        <v>0</v>
      </c>
      <c r="K74" s="119">
        <v>0</v>
      </c>
      <c r="L74" s="114">
        <v>0</v>
      </c>
      <c r="M74" s="112">
        <v>0</v>
      </c>
      <c r="N74" s="115">
        <v>0</v>
      </c>
      <c r="O74" s="111">
        <v>0</v>
      </c>
      <c r="P74" s="116">
        <v>0</v>
      </c>
      <c r="Q74" s="114">
        <v>0</v>
      </c>
      <c r="R74" s="111">
        <v>0</v>
      </c>
      <c r="S74" s="114">
        <v>0</v>
      </c>
      <c r="T74" s="112">
        <v>0</v>
      </c>
      <c r="U74" s="120">
        <v>0</v>
      </c>
      <c r="V74" s="114">
        <v>0</v>
      </c>
      <c r="W74" s="114">
        <v>0</v>
      </c>
      <c r="X74" s="32">
        <f t="shared" si="5"/>
        <v>0</v>
      </c>
      <c r="Y74" s="117"/>
      <c r="Z74" s="117"/>
      <c r="AA74" s="117"/>
      <c r="AB74" s="117"/>
      <c r="AC74" s="117"/>
      <c r="AD74" s="132">
        <f t="shared" si="6"/>
        <v>0</v>
      </c>
      <c r="AE74" s="118"/>
      <c r="AF74" s="110"/>
      <c r="AG74" s="110"/>
    </row>
    <row r="75" spans="1:33" s="33" customFormat="1">
      <c r="A75" s="109"/>
      <c r="B75" s="34"/>
      <c r="C75" s="34"/>
      <c r="D75" s="110"/>
      <c r="E75" s="110"/>
      <c r="F75" s="34"/>
      <c r="G75" s="111"/>
      <c r="H75" s="140"/>
      <c r="I75" s="112">
        <v>0</v>
      </c>
      <c r="J75" s="113">
        <v>0</v>
      </c>
      <c r="K75" s="119">
        <v>0</v>
      </c>
      <c r="L75" s="114">
        <v>0</v>
      </c>
      <c r="M75" s="112">
        <v>0</v>
      </c>
      <c r="N75" s="115">
        <v>0</v>
      </c>
      <c r="O75" s="111">
        <v>0</v>
      </c>
      <c r="P75" s="116">
        <v>0</v>
      </c>
      <c r="Q75" s="114">
        <v>0</v>
      </c>
      <c r="R75" s="111">
        <v>0</v>
      </c>
      <c r="S75" s="114">
        <v>0</v>
      </c>
      <c r="T75" s="112">
        <v>0</v>
      </c>
      <c r="U75" s="120">
        <v>0</v>
      </c>
      <c r="V75" s="114">
        <v>0</v>
      </c>
      <c r="W75" s="114">
        <v>0</v>
      </c>
      <c r="X75" s="32">
        <f t="shared" si="5"/>
        <v>0</v>
      </c>
      <c r="Y75" s="117"/>
      <c r="Z75" s="117"/>
      <c r="AA75" s="117"/>
      <c r="AB75" s="117"/>
      <c r="AC75" s="117"/>
      <c r="AD75" s="132">
        <f t="shared" si="6"/>
        <v>0</v>
      </c>
      <c r="AE75" s="118"/>
      <c r="AF75" s="110"/>
      <c r="AG75" s="110"/>
    </row>
    <row r="76" spans="1:33" s="33" customFormat="1">
      <c r="A76" s="109"/>
      <c r="B76" s="34"/>
      <c r="C76" s="34"/>
      <c r="D76" s="110"/>
      <c r="E76" s="110"/>
      <c r="F76" s="34"/>
      <c r="G76" s="111"/>
      <c r="H76" s="140"/>
      <c r="I76" s="112">
        <v>0</v>
      </c>
      <c r="J76" s="113">
        <v>0</v>
      </c>
      <c r="K76" s="119">
        <v>0</v>
      </c>
      <c r="L76" s="114">
        <v>0</v>
      </c>
      <c r="M76" s="112">
        <v>0</v>
      </c>
      <c r="N76" s="115">
        <v>0</v>
      </c>
      <c r="O76" s="111">
        <v>0</v>
      </c>
      <c r="P76" s="116">
        <v>0</v>
      </c>
      <c r="Q76" s="114">
        <v>0</v>
      </c>
      <c r="R76" s="111">
        <v>0</v>
      </c>
      <c r="S76" s="114">
        <v>0</v>
      </c>
      <c r="T76" s="112">
        <v>0</v>
      </c>
      <c r="U76" s="120">
        <v>0</v>
      </c>
      <c r="V76" s="114">
        <v>0</v>
      </c>
      <c r="W76" s="114">
        <v>0</v>
      </c>
      <c r="X76" s="32">
        <f t="shared" si="5"/>
        <v>0</v>
      </c>
      <c r="Y76" s="117"/>
      <c r="Z76" s="117"/>
      <c r="AA76" s="117"/>
      <c r="AB76" s="117"/>
      <c r="AC76" s="117"/>
      <c r="AD76" s="132">
        <f t="shared" si="6"/>
        <v>0</v>
      </c>
      <c r="AE76" s="118"/>
      <c r="AF76" s="110"/>
      <c r="AG76" s="110"/>
    </row>
    <row r="77" spans="1:33" s="33" customFormat="1">
      <c r="A77" s="109"/>
      <c r="B77" s="34"/>
      <c r="C77" s="34"/>
      <c r="D77" s="110"/>
      <c r="E77" s="110"/>
      <c r="F77" s="34"/>
      <c r="G77" s="111"/>
      <c r="H77" s="140"/>
      <c r="I77" s="112">
        <v>0</v>
      </c>
      <c r="J77" s="113">
        <v>0</v>
      </c>
      <c r="K77" s="119">
        <v>0</v>
      </c>
      <c r="L77" s="114">
        <v>0</v>
      </c>
      <c r="M77" s="112">
        <v>0</v>
      </c>
      <c r="N77" s="115">
        <v>0</v>
      </c>
      <c r="O77" s="111">
        <v>0</v>
      </c>
      <c r="P77" s="116">
        <v>0</v>
      </c>
      <c r="Q77" s="114">
        <v>0</v>
      </c>
      <c r="R77" s="111">
        <v>0</v>
      </c>
      <c r="S77" s="114">
        <v>0</v>
      </c>
      <c r="T77" s="112">
        <v>0</v>
      </c>
      <c r="U77" s="120">
        <v>0</v>
      </c>
      <c r="V77" s="114">
        <v>0</v>
      </c>
      <c r="W77" s="114">
        <v>0</v>
      </c>
      <c r="X77" s="32">
        <f t="shared" si="5"/>
        <v>0</v>
      </c>
      <c r="Y77" s="117"/>
      <c r="Z77" s="117"/>
      <c r="AA77" s="117"/>
      <c r="AB77" s="117"/>
      <c r="AC77" s="117"/>
      <c r="AD77" s="132">
        <f t="shared" si="6"/>
        <v>0</v>
      </c>
      <c r="AE77" s="118"/>
      <c r="AF77" s="110"/>
      <c r="AG77" s="110"/>
    </row>
    <row r="78" spans="1:33" s="33" customFormat="1">
      <c r="A78" s="109"/>
      <c r="B78" s="34"/>
      <c r="C78" s="34"/>
      <c r="D78" s="110"/>
      <c r="E78" s="110"/>
      <c r="F78" s="34"/>
      <c r="G78" s="111"/>
      <c r="H78" s="140"/>
      <c r="I78" s="112">
        <v>0</v>
      </c>
      <c r="J78" s="113">
        <v>0</v>
      </c>
      <c r="K78" s="119">
        <v>0</v>
      </c>
      <c r="L78" s="114">
        <v>0</v>
      </c>
      <c r="M78" s="112">
        <v>0</v>
      </c>
      <c r="N78" s="115">
        <v>0</v>
      </c>
      <c r="O78" s="111">
        <v>0</v>
      </c>
      <c r="P78" s="116">
        <v>0</v>
      </c>
      <c r="Q78" s="114">
        <v>0</v>
      </c>
      <c r="R78" s="111">
        <v>0</v>
      </c>
      <c r="S78" s="114">
        <v>0</v>
      </c>
      <c r="T78" s="112">
        <v>0</v>
      </c>
      <c r="U78" s="120">
        <v>0</v>
      </c>
      <c r="V78" s="114">
        <v>0</v>
      </c>
      <c r="W78" s="114">
        <v>0</v>
      </c>
      <c r="X78" s="32">
        <f t="shared" si="5"/>
        <v>0</v>
      </c>
      <c r="Y78" s="117"/>
      <c r="Z78" s="117"/>
      <c r="AA78" s="117"/>
      <c r="AB78" s="117"/>
      <c r="AC78" s="117"/>
      <c r="AD78" s="132">
        <f t="shared" si="6"/>
        <v>0</v>
      </c>
      <c r="AE78" s="118"/>
      <c r="AF78" s="110"/>
      <c r="AG78" s="110"/>
    </row>
    <row r="79" spans="1:33" s="33" customFormat="1">
      <c r="A79" s="109"/>
      <c r="B79" s="34"/>
      <c r="C79" s="34"/>
      <c r="D79" s="110"/>
      <c r="E79" s="110"/>
      <c r="F79" s="34"/>
      <c r="G79" s="111"/>
      <c r="H79" s="140"/>
      <c r="I79" s="112">
        <v>0</v>
      </c>
      <c r="J79" s="113">
        <v>0</v>
      </c>
      <c r="K79" s="119">
        <v>0</v>
      </c>
      <c r="L79" s="114">
        <v>0</v>
      </c>
      <c r="M79" s="112">
        <v>0</v>
      </c>
      <c r="N79" s="115">
        <v>0</v>
      </c>
      <c r="O79" s="111">
        <v>0</v>
      </c>
      <c r="P79" s="116">
        <v>0</v>
      </c>
      <c r="Q79" s="114">
        <v>0</v>
      </c>
      <c r="R79" s="111">
        <v>0</v>
      </c>
      <c r="S79" s="114">
        <v>0</v>
      </c>
      <c r="T79" s="112">
        <v>0</v>
      </c>
      <c r="U79" s="120">
        <v>0</v>
      </c>
      <c r="V79" s="114">
        <v>0</v>
      </c>
      <c r="W79" s="114">
        <v>0</v>
      </c>
      <c r="X79" s="32">
        <f t="shared" si="5"/>
        <v>0</v>
      </c>
      <c r="Y79" s="117"/>
      <c r="Z79" s="117"/>
      <c r="AA79" s="117"/>
      <c r="AB79" s="117"/>
      <c r="AC79" s="117"/>
      <c r="AD79" s="132">
        <f t="shared" si="6"/>
        <v>0</v>
      </c>
      <c r="AE79" s="118"/>
      <c r="AF79" s="110"/>
      <c r="AG79" s="110"/>
    </row>
    <row r="80" spans="1:33" s="33" customFormat="1">
      <c r="A80" s="109"/>
      <c r="B80" s="34"/>
      <c r="C80" s="34"/>
      <c r="D80" s="110"/>
      <c r="E80" s="110"/>
      <c r="F80" s="34"/>
      <c r="G80" s="111"/>
      <c r="H80" s="140"/>
      <c r="I80" s="112">
        <v>0</v>
      </c>
      <c r="J80" s="113">
        <v>0</v>
      </c>
      <c r="K80" s="119">
        <v>0</v>
      </c>
      <c r="L80" s="114">
        <v>0</v>
      </c>
      <c r="M80" s="112">
        <v>0</v>
      </c>
      <c r="N80" s="115">
        <v>0</v>
      </c>
      <c r="O80" s="111">
        <v>0</v>
      </c>
      <c r="P80" s="116">
        <v>0</v>
      </c>
      <c r="Q80" s="114">
        <v>0</v>
      </c>
      <c r="R80" s="111">
        <v>0</v>
      </c>
      <c r="S80" s="114">
        <v>0</v>
      </c>
      <c r="T80" s="112">
        <v>0</v>
      </c>
      <c r="U80" s="120">
        <v>0</v>
      </c>
      <c r="V80" s="114">
        <v>0</v>
      </c>
      <c r="W80" s="114">
        <v>0</v>
      </c>
      <c r="X80" s="32">
        <f t="shared" si="5"/>
        <v>0</v>
      </c>
      <c r="Y80" s="117"/>
      <c r="Z80" s="117"/>
      <c r="AA80" s="117"/>
      <c r="AB80" s="117"/>
      <c r="AC80" s="117"/>
      <c r="AD80" s="132">
        <f t="shared" si="6"/>
        <v>0</v>
      </c>
      <c r="AE80" s="118"/>
      <c r="AF80" s="110"/>
      <c r="AG80" s="110"/>
    </row>
    <row r="81" spans="1:33" s="33" customFormat="1">
      <c r="A81" s="109"/>
      <c r="B81" s="34"/>
      <c r="C81" s="34"/>
      <c r="D81" s="110"/>
      <c r="E81" s="110"/>
      <c r="F81" s="34"/>
      <c r="G81" s="111"/>
      <c r="H81" s="140"/>
      <c r="I81" s="112">
        <v>0</v>
      </c>
      <c r="J81" s="113">
        <v>0</v>
      </c>
      <c r="K81" s="119">
        <v>0</v>
      </c>
      <c r="L81" s="114">
        <v>0</v>
      </c>
      <c r="M81" s="112">
        <v>0</v>
      </c>
      <c r="N81" s="115">
        <v>0</v>
      </c>
      <c r="O81" s="111">
        <v>0</v>
      </c>
      <c r="P81" s="116">
        <v>0</v>
      </c>
      <c r="Q81" s="114">
        <v>0</v>
      </c>
      <c r="R81" s="111">
        <v>0</v>
      </c>
      <c r="S81" s="114">
        <v>0</v>
      </c>
      <c r="T81" s="112">
        <v>0</v>
      </c>
      <c r="U81" s="120">
        <v>0</v>
      </c>
      <c r="V81" s="114">
        <v>0</v>
      </c>
      <c r="W81" s="114">
        <v>0</v>
      </c>
      <c r="X81" s="32">
        <f t="shared" si="5"/>
        <v>0</v>
      </c>
      <c r="Y81" s="117"/>
      <c r="Z81" s="117"/>
      <c r="AA81" s="117"/>
      <c r="AB81" s="117"/>
      <c r="AC81" s="117"/>
      <c r="AD81" s="132">
        <f t="shared" si="6"/>
        <v>0</v>
      </c>
      <c r="AE81" s="118"/>
      <c r="AF81" s="110"/>
      <c r="AG81" s="110"/>
    </row>
    <row r="82" spans="1:33" s="33" customFormat="1">
      <c r="A82" s="109"/>
      <c r="B82" s="34"/>
      <c r="C82" s="34"/>
      <c r="D82" s="110"/>
      <c r="E82" s="110"/>
      <c r="F82" s="34"/>
      <c r="G82" s="111"/>
      <c r="H82" s="140"/>
      <c r="I82" s="112">
        <v>0</v>
      </c>
      <c r="J82" s="113">
        <v>0</v>
      </c>
      <c r="K82" s="119">
        <v>0</v>
      </c>
      <c r="L82" s="114">
        <v>0</v>
      </c>
      <c r="M82" s="112">
        <v>0</v>
      </c>
      <c r="N82" s="115">
        <v>0</v>
      </c>
      <c r="O82" s="111">
        <v>0</v>
      </c>
      <c r="P82" s="116">
        <v>0</v>
      </c>
      <c r="Q82" s="114">
        <v>0</v>
      </c>
      <c r="R82" s="111">
        <v>0</v>
      </c>
      <c r="S82" s="114">
        <v>0</v>
      </c>
      <c r="T82" s="112">
        <v>0</v>
      </c>
      <c r="U82" s="120">
        <v>0</v>
      </c>
      <c r="V82" s="114">
        <v>0</v>
      </c>
      <c r="W82" s="114">
        <v>0</v>
      </c>
      <c r="X82" s="32">
        <f t="shared" si="5"/>
        <v>0</v>
      </c>
      <c r="Y82" s="117"/>
      <c r="Z82" s="117"/>
      <c r="AA82" s="117"/>
      <c r="AB82" s="117"/>
      <c r="AC82" s="117"/>
      <c r="AD82" s="132">
        <f t="shared" si="6"/>
        <v>0</v>
      </c>
      <c r="AE82" s="118"/>
      <c r="AF82" s="110"/>
      <c r="AG82" s="110"/>
    </row>
    <row r="83" spans="1:33" s="33" customFormat="1">
      <c r="A83" s="109"/>
      <c r="B83" s="34"/>
      <c r="C83" s="34"/>
      <c r="D83" s="110"/>
      <c r="E83" s="110"/>
      <c r="F83" s="34"/>
      <c r="G83" s="111"/>
      <c r="H83" s="140"/>
      <c r="I83" s="112">
        <v>0</v>
      </c>
      <c r="J83" s="113">
        <v>0</v>
      </c>
      <c r="K83" s="119">
        <v>0</v>
      </c>
      <c r="L83" s="114">
        <v>0</v>
      </c>
      <c r="M83" s="112">
        <v>0</v>
      </c>
      <c r="N83" s="115">
        <v>0</v>
      </c>
      <c r="O83" s="111">
        <v>0</v>
      </c>
      <c r="P83" s="116">
        <v>0</v>
      </c>
      <c r="Q83" s="114">
        <v>0</v>
      </c>
      <c r="R83" s="111">
        <v>0</v>
      </c>
      <c r="S83" s="114">
        <v>0</v>
      </c>
      <c r="T83" s="112">
        <v>0</v>
      </c>
      <c r="U83" s="120">
        <v>0</v>
      </c>
      <c r="V83" s="114">
        <v>0</v>
      </c>
      <c r="W83" s="114">
        <v>0</v>
      </c>
      <c r="X83" s="32">
        <f t="shared" si="5"/>
        <v>0</v>
      </c>
      <c r="Y83" s="117"/>
      <c r="Z83" s="117"/>
      <c r="AA83" s="117"/>
      <c r="AB83" s="117"/>
      <c r="AC83" s="117"/>
      <c r="AD83" s="132">
        <f t="shared" si="6"/>
        <v>0</v>
      </c>
      <c r="AE83" s="118"/>
      <c r="AF83" s="110"/>
      <c r="AG83" s="110"/>
    </row>
    <row r="84" spans="1:33" s="33" customFormat="1">
      <c r="A84" s="109"/>
      <c r="B84" s="34"/>
      <c r="C84" s="34"/>
      <c r="D84" s="110"/>
      <c r="E84" s="110"/>
      <c r="F84" s="34"/>
      <c r="G84" s="111"/>
      <c r="H84" s="140"/>
      <c r="I84" s="112">
        <v>0</v>
      </c>
      <c r="J84" s="113">
        <v>0</v>
      </c>
      <c r="K84" s="119">
        <v>0</v>
      </c>
      <c r="L84" s="114">
        <v>0</v>
      </c>
      <c r="M84" s="112">
        <v>0</v>
      </c>
      <c r="N84" s="115">
        <v>0</v>
      </c>
      <c r="O84" s="111">
        <v>0</v>
      </c>
      <c r="P84" s="116">
        <v>0</v>
      </c>
      <c r="Q84" s="114">
        <v>0</v>
      </c>
      <c r="R84" s="111">
        <v>0</v>
      </c>
      <c r="S84" s="114">
        <v>0</v>
      </c>
      <c r="T84" s="112">
        <v>0</v>
      </c>
      <c r="U84" s="120">
        <v>0</v>
      </c>
      <c r="V84" s="114">
        <v>0</v>
      </c>
      <c r="W84" s="114">
        <v>0</v>
      </c>
      <c r="X84" s="32">
        <f t="shared" si="5"/>
        <v>0</v>
      </c>
      <c r="Y84" s="117"/>
      <c r="Z84" s="117"/>
      <c r="AA84" s="117"/>
      <c r="AB84" s="117"/>
      <c r="AC84" s="117"/>
      <c r="AD84" s="132">
        <f t="shared" si="6"/>
        <v>0</v>
      </c>
      <c r="AE84" s="118"/>
      <c r="AF84" s="110"/>
      <c r="AG84" s="110"/>
    </row>
  </sheetData>
  <sheetProtection selectLockedCells="1"/>
  <protectedRanges>
    <protectedRange sqref="AF6:AG84 G6:W84 B6:E84" name="Rango1"/>
    <protectedRange sqref="AE6:AE84" name="Rango1_2"/>
    <protectedRange sqref="F8:F84 A6:A84" name="Rango1_1"/>
    <protectedRange sqref="AD6:AD84" name="Rango1_2_2"/>
    <protectedRange sqref="F6:F7" name="Rango1_8"/>
  </protectedRanges>
  <mergeCells count="8">
    <mergeCell ref="F2:G2"/>
    <mergeCell ref="Q3:V3"/>
    <mergeCell ref="I3:O3"/>
    <mergeCell ref="K4:O4"/>
    <mergeCell ref="I4:J4"/>
    <mergeCell ref="P4:R4"/>
    <mergeCell ref="S4:V4"/>
    <mergeCell ref="B3:G4"/>
  </mergeCells>
  <phoneticPr fontId="0" type="noConversion"/>
  <conditionalFormatting sqref="F8:I84 G6:I7 L6:W84 A6:C84 Y6:AC84">
    <cfRule type="expression" dxfId="4" priority="601" stopIfTrue="1">
      <formula>"SEVERSTAL"</formula>
    </cfRule>
  </conditionalFormatting>
  <conditionalFormatting sqref="D6:E84 AD6:AG84">
    <cfRule type="cellIs" dxfId="3" priority="602" stopIfTrue="1" operator="equal">
      <formula>"APROBADO"</formula>
    </cfRule>
    <cfRule type="cellIs" dxfId="2" priority="603" stopIfTrue="1" operator="equal">
      <formula>"ESPERA"</formula>
    </cfRule>
    <cfRule type="cellIs" dxfId="1" priority="604" stopIfTrue="1" operator="equal">
      <formula>"RECHAZADO"</formula>
    </cfRule>
  </conditionalFormatting>
  <conditionalFormatting sqref="F6:F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Principal</vt:lpstr>
      <vt:lpstr>Resultados</vt:lpstr>
      <vt:lpstr>Produccion</vt:lpstr>
      <vt:lpstr>Resultados!Área_de_impresión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ESCOBAR G. Gabriel F. TENARIS</cp:lastModifiedBy>
  <cp:lastPrinted>2017-02-23T23:02:57Z</cp:lastPrinted>
  <dcterms:created xsi:type="dcterms:W3CDTF">2006-02-25T16:15:52Z</dcterms:created>
  <dcterms:modified xsi:type="dcterms:W3CDTF">2024-08-08T14:36:23Z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