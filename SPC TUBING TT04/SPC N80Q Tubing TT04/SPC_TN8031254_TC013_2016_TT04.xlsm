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UBING TT04\SPC N80Q Tubing TT04\"/>
    </mc:Choice>
  </mc:AlternateContent>
  <xr:revisionPtr revIDLastSave="0" documentId="13_ncr:1_{7EE82D23-083B-445D-9621-5779C6106B08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Produccion!$A$5:$AH$68</definedName>
    <definedName name="_xlnm._FilterDatabase" localSheetId="1" hidden="1">Resultados!$A$4:$EC$4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2" i="5" l="1"/>
  <c r="AE12" i="5" s="1"/>
  <c r="X8" i="5" l="1"/>
  <c r="AE8" i="5" s="1"/>
  <c r="AG4" i="5" l="1"/>
  <c r="AH4" i="5"/>
  <c r="AH3" i="5"/>
  <c r="AG3" i="5"/>
  <c r="X6" i="5" l="1"/>
  <c r="AE6" i="5" s="1"/>
  <c r="X7" i="5"/>
  <c r="AE7" i="5" s="1"/>
  <c r="X9" i="5"/>
  <c r="AE9" i="5" s="1"/>
  <c r="X10" i="5"/>
  <c r="AE10" i="5" s="1"/>
  <c r="X11" i="5"/>
  <c r="X13" i="5"/>
  <c r="AE13" i="5" s="1"/>
  <c r="X14" i="5"/>
  <c r="AE14" i="5" s="1"/>
  <c r="X15" i="5"/>
  <c r="AE15" i="5" s="1"/>
  <c r="X16" i="5"/>
  <c r="AE16" i="5" s="1"/>
  <c r="X17" i="5"/>
  <c r="AE17" i="5" s="1"/>
  <c r="X18" i="5"/>
  <c r="AE18" i="5" s="1"/>
  <c r="X19" i="5"/>
  <c r="AE19" i="5" s="1"/>
  <c r="X20" i="5"/>
  <c r="AE20" i="5" s="1"/>
  <c r="X21" i="5"/>
  <c r="AE21" i="5" s="1"/>
  <c r="X22" i="5"/>
  <c r="AE22" i="5" s="1"/>
  <c r="X23" i="5"/>
  <c r="AE23" i="5" s="1"/>
  <c r="X24" i="5"/>
  <c r="AE24" i="5" s="1"/>
  <c r="X25" i="5"/>
  <c r="AE25" i="5" s="1"/>
  <c r="X26" i="5"/>
  <c r="AE26" i="5" s="1"/>
  <c r="X27" i="5"/>
  <c r="AE27" i="5" s="1"/>
  <c r="X28" i="5"/>
  <c r="AE28" i="5" s="1"/>
  <c r="X29" i="5"/>
  <c r="AE29" i="5" s="1"/>
  <c r="X30" i="5"/>
  <c r="AE30" i="5" s="1"/>
  <c r="X31" i="5"/>
  <c r="AE31" i="5" s="1"/>
  <c r="X32" i="5"/>
  <c r="AE32" i="5" s="1"/>
  <c r="X33" i="5"/>
  <c r="AE33" i="5" s="1"/>
  <c r="X34" i="5"/>
  <c r="AE34" i="5" s="1"/>
  <c r="X35" i="5"/>
  <c r="AE35" i="5" s="1"/>
  <c r="X36" i="5"/>
  <c r="AE36" i="5" s="1"/>
  <c r="X37" i="5"/>
  <c r="AE37" i="5" s="1"/>
  <c r="X38" i="5"/>
  <c r="AE38" i="5" s="1"/>
  <c r="X39" i="5"/>
  <c r="AE39" i="5" s="1"/>
  <c r="X40" i="5"/>
  <c r="AE40" i="5" s="1"/>
  <c r="X41" i="5"/>
  <c r="AE41" i="5" s="1"/>
  <c r="X42" i="5"/>
  <c r="AE42" i="5" s="1"/>
  <c r="X43" i="5"/>
  <c r="AE43" i="5" s="1"/>
  <c r="X44" i="5"/>
  <c r="AE44" i="5" s="1"/>
  <c r="X45" i="5"/>
  <c r="AE45" i="5" s="1"/>
  <c r="X46" i="5"/>
  <c r="AE46" i="5" s="1"/>
  <c r="X47" i="5"/>
  <c r="AE47" i="5" s="1"/>
  <c r="X48" i="5"/>
  <c r="AE48" i="5" s="1"/>
  <c r="X49" i="5"/>
  <c r="AE49" i="5" s="1"/>
  <c r="X50" i="5"/>
  <c r="AE50" i="5" s="1"/>
  <c r="X51" i="5"/>
  <c r="AE51" i="5" s="1"/>
  <c r="X52" i="5"/>
  <c r="AE52" i="5" s="1"/>
  <c r="X53" i="5"/>
  <c r="AE53" i="5" s="1"/>
  <c r="X54" i="5"/>
  <c r="AE54" i="5" s="1"/>
  <c r="X55" i="5"/>
  <c r="AE55" i="5" s="1"/>
  <c r="X56" i="5"/>
  <c r="AE56" i="5" s="1"/>
  <c r="X57" i="5"/>
  <c r="AE57" i="5" s="1"/>
  <c r="X58" i="5"/>
  <c r="AE58" i="5" s="1"/>
  <c r="X59" i="5"/>
  <c r="AE59" i="5" s="1"/>
  <c r="X60" i="5"/>
  <c r="AE60" i="5" s="1"/>
  <c r="X61" i="5"/>
  <c r="AE61" i="5" s="1"/>
  <c r="X62" i="5"/>
  <c r="AE62" i="5" s="1"/>
  <c r="X63" i="5"/>
  <c r="AE63" i="5" s="1"/>
  <c r="X64" i="5"/>
  <c r="AE64" i="5" s="1"/>
  <c r="X65" i="5"/>
  <c r="AE65" i="5" s="1"/>
  <c r="X66" i="5"/>
  <c r="AE66" i="5" s="1"/>
  <c r="X67" i="5"/>
  <c r="AE67" i="5" s="1"/>
  <c r="X68" i="5"/>
  <c r="AE68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R. Osbaldo E.       TENARIS</author>
  </authors>
  <commentList>
    <comment ref="AL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Duplicado
83,3 - 100,0</t>
        </r>
      </text>
    </comment>
    <comment ref="N13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Dupliucado:
73,1-----90,6</t>
        </r>
      </text>
    </comment>
    <comment ref="R13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Duplicado:
82,4---97,9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ARRIETA C. Carlos G. TENARIS</author>
    <author>ACEVEDO M. Fabian    TENARIS</author>
  </authors>
  <commentList>
    <comment ref="I1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Atrapados en horno de austenizado.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Atrapados en horno de austenizado</t>
        </r>
      </text>
    </comment>
    <comment ref="AB12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PRUEBAS POR PROBLEMAS DE SENSOR ALTA TEMPERATURA EN HORNO</t>
        </r>
      </text>
    </comment>
    <comment ref="I14" authorId="2" shapeId="0" xr:uid="{00000000-0006-0000-0500-000004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uerce en zona de calentamiento H.A</t>
        </r>
      </text>
    </comment>
    <comment ref="I16" authorId="2" shapeId="0" xr:uid="{00000000-0006-0000-0500-000005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pegan en zona de calentamiento H.A y salen en un mismo pocket</t>
        </r>
      </text>
    </comment>
    <comment ref="M16" authorId="2" shapeId="0" xr:uid="{00000000-0006-0000-0500-000006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pegan en zona de calentamiento H.A y salen en un mismo pocket</t>
        </r>
      </text>
    </comment>
  </commentList>
</comments>
</file>

<file path=xl/sharedStrings.xml><?xml version="1.0" encoding="utf-8"?>
<sst xmlns="http://schemas.openxmlformats.org/spreadsheetml/2006/main" count="194" uniqueCount="120">
  <si>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</si>
  <si>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</si>
  <si>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</si>
  <si>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</si>
  <si>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</si>
  <si>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</si>
  <si>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</si>
  <si>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</si>
  <si>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</si>
  <si>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</si>
  <si>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</si>
  <si>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</si>
  <si>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</si>
  <si>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</si>
  <si>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</si>
  <si>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</si>
  <si>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</si>
  <si>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</si>
  <si>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</si>
  <si>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</si>
  <si>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</si>
  <si>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</si>
  <si>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</si>
  <si>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</si>
  <si>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</si>
  <si>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</si>
  <si>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</si>
  <si>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</si>
  <si>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</si>
  <si>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</si>
  <si>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</si>
  <si>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</si>
  <si>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</si>
  <si>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</si>
  <si>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</si>
  <si>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</si>
  <si>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</si>
  <si>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</si>
  <si>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</si>
  <si>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</si>
  <si>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</si>
  <si>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</si>
  <si>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</si>
  <si>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</si>
  <si>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</si>
  <si>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</si>
  <si>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</si>
  <si>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</si>
  <si>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</si>
  <si>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</si>
  <si>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</si>
  <si>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</si>
  <si>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</si>
  <si>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</si>
  <si>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</si>
  <si>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</si>
  <si>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</si>
  <si>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</si>
  <si>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</si>
  <si>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</si>
  <si>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</si>
  <si>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</si>
  <si>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</si>
  <si>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</si>
  <si>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</si>
  <si>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</si>
  <si>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</si>
  <si>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</si>
  <si>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</si>
  <si>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</si>
  <si>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</si>
  <si>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P4</t>
  </si>
  <si>
    <t>P3</t>
  </si>
  <si>
    <t xml:space="preserve">CUERPO </t>
  </si>
  <si>
    <t>tratamientos termicos 4</t>
  </si>
  <si>
    <t>Estado L1</t>
  </si>
  <si>
    <t>Cuerpo</t>
  </si>
  <si>
    <t>Torcidos</t>
  </si>
  <si>
    <t>Aplst</t>
  </si>
  <si>
    <t>Material</t>
  </si>
  <si>
    <t>AMT</t>
  </si>
  <si>
    <t>Estado</t>
  </si>
  <si>
    <t>T/HRS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</si>
  <si>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</si>
  <si>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</si>
  <si>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</si>
  <si>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</si>
  <si>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</si>
  <si>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</si>
  <si>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</si>
  <si>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</si>
  <si>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</si>
  <si>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</si>
  <si>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</si>
  <si>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</si>
  <si>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</si>
  <si>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</si>
  <si>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</si>
  <si>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estado AA</t>
  </si>
  <si>
    <t>k</t>
  </si>
  <si>
    <t>T. Res</t>
  </si>
  <si>
    <t>3125N80 Quimica TC013</t>
  </si>
  <si>
    <t>P1</t>
  </si>
  <si>
    <t>Centro</t>
  </si>
  <si>
    <t>RANGO DE LOTE</t>
  </si>
  <si>
    <t>548 al</t>
  </si>
  <si>
    <t xml:space="preserve">usimina </t>
  </si>
  <si>
    <t>usimina</t>
  </si>
  <si>
    <t xml:space="preserve">NORTE </t>
  </si>
  <si>
    <t xml:space="preserve">SUR </t>
  </si>
  <si>
    <t>OD (mm)</t>
  </si>
  <si>
    <t>WT (mm)</t>
  </si>
  <si>
    <t>Proveedor</t>
  </si>
  <si>
    <t>Clave</t>
  </si>
  <si>
    <t>No. Tubo</t>
  </si>
  <si>
    <t>TUBING</t>
  </si>
  <si>
    <t>N80Q</t>
  </si>
  <si>
    <t>3 1/2" x 0,254" N80Q TC013</t>
  </si>
  <si>
    <t>TC013</t>
  </si>
  <si>
    <t>Por favor asegurarse de no dejar vacías las celdas de N° tubo y TC.
Así mismo, diligenciar los resultados de tensión antes de exportar para no generar errores en la base consolidada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</si>
</sst>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b/>
      <sz val="8"/>
      <color theme="0"/>
      <name val="Frutiger 45 Light"/>
      <family val="2"/>
    </font>
    <font>
      <sz val="10"/>
      <color indexed="8"/>
      <name val="Arial"/>
      <family val="2"/>
    </font>
    <font>
      <b/>
      <sz val="20"/>
      <color indexed="8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Arial"/>
      <family val="2"/>
    </font>
    <font>
      <sz val="22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7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hair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/>
      <top style="hair">
        <color auto="1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</borders>
  <cellStyleXfs count="6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23" fillId="0" borderId="0"/>
    <xf numFmtId="0" fontId="1" fillId="0" borderId="0"/>
  </cellStyleXfs>
  <cellXfs count="270">
    <xf numFmtId="0" fontId="0" fillId="0" borderId="0" xfId="0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32" fillId="0" borderId="0" xfId="0" applyFont="1" applyAlignment="1">
      <alignment vertical="center"/>
    </xf>
    <xf numFmtId="0" fontId="0" fillId="4" borderId="13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49" fontId="0" fillId="0" borderId="20" xfId="0" quotePrefix="1" applyNumberFormat="1" applyBorder="1" applyAlignment="1">
      <alignment horizontal="center"/>
    </xf>
    <xf numFmtId="49" fontId="0" fillId="0" borderId="21" xfId="0" quotePrefix="1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21" xfId="0" quotePrefix="1" applyBorder="1" applyAlignment="1">
      <alignment horizontal="center"/>
    </xf>
    <xf numFmtId="0" fontId="0" fillId="0" borderId="22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2" fillId="0" borderId="3" xfId="0" applyFont="1" applyBorder="1" applyAlignment="1">
      <alignment horizontal="center"/>
    </xf>
    <xf numFmtId="165" fontId="42" fillId="0" borderId="3" xfId="2" applyNumberFormat="1" applyFont="1" applyFill="1" applyBorder="1" applyAlignment="1">
      <alignment horizontal="center"/>
    </xf>
    <xf numFmtId="15" fontId="22" fillId="3" borderId="8" xfId="0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3" fillId="0" borderId="0" xfId="0" applyFont="1" applyAlignment="1">
      <alignment horizontal="center"/>
    </xf>
    <xf numFmtId="0" fontId="52" fillId="2" borderId="0" xfId="0" applyFont="1" applyFill="1" applyAlignment="1">
      <alignment horizontal="center"/>
    </xf>
    <xf numFmtId="0" fontId="54" fillId="2" borderId="0" xfId="0" applyFont="1" applyFill="1" applyAlignment="1">
      <alignment horizontal="center"/>
    </xf>
    <xf numFmtId="0" fontId="55" fillId="2" borderId="0" xfId="0" applyFont="1" applyFill="1" applyAlignment="1">
      <alignment horizontal="center"/>
    </xf>
    <xf numFmtId="165" fontId="50" fillId="0" borderId="0" xfId="0" applyNumberFormat="1" applyFont="1" applyAlignment="1">
      <alignment horizontal="center"/>
    </xf>
    <xf numFmtId="0" fontId="56" fillId="2" borderId="0" xfId="0" applyFont="1" applyFill="1" applyAlignment="1">
      <alignment horizontal="center"/>
    </xf>
    <xf numFmtId="0" fontId="57" fillId="2" borderId="0" xfId="0" applyFont="1" applyFill="1" applyAlignment="1">
      <alignment horizontal="right"/>
    </xf>
    <xf numFmtId="165" fontId="55" fillId="2" borderId="0" xfId="0" applyNumberFormat="1" applyFont="1" applyFill="1" applyAlignment="1">
      <alignment horizontal="center"/>
    </xf>
    <xf numFmtId="0" fontId="53" fillId="0" borderId="34" xfId="0" applyFont="1" applyBorder="1"/>
    <xf numFmtId="165" fontId="53" fillId="0" borderId="34" xfId="0" applyNumberFormat="1" applyFont="1" applyBorder="1" applyAlignment="1">
      <alignment horizontal="center"/>
    </xf>
    <xf numFmtId="0" fontId="53" fillId="0" borderId="32" xfId="0" applyFont="1" applyBorder="1" applyAlignment="1">
      <alignment horizontal="center"/>
    </xf>
    <xf numFmtId="0" fontId="58" fillId="0" borderId="0" xfId="0" applyFont="1" applyAlignment="1">
      <alignment horizontal="center"/>
    </xf>
    <xf numFmtId="3" fontId="60" fillId="0" borderId="8" xfId="0" applyNumberFormat="1" applyFont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Border="1" applyAlignment="1" applyProtection="1">
      <alignment horizontal="center"/>
      <protection locked="0"/>
    </xf>
    <xf numFmtId="0" fontId="55" fillId="0" borderId="0" xfId="0" applyFont="1" applyAlignment="1">
      <alignment horizontal="center"/>
    </xf>
    <xf numFmtId="0" fontId="42" fillId="5" borderId="6" xfId="0" applyFont="1" applyFill="1" applyBorder="1" applyAlignment="1">
      <alignment horizontal="center" vertical="center"/>
    </xf>
    <xf numFmtId="0" fontId="22" fillId="0" borderId="11" xfId="3" applyFont="1" applyBorder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8" fillId="10" borderId="0" xfId="0" applyFont="1" applyFill="1" applyAlignment="1" applyProtection="1">
      <alignment vertical="center"/>
      <protection hidden="1"/>
    </xf>
    <xf numFmtId="0" fontId="45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21" fontId="34" fillId="10" borderId="0" xfId="0" applyNumberFormat="1" applyFont="1" applyFill="1" applyAlignment="1" applyProtection="1">
      <alignment horizontal="center" vertical="center"/>
      <protection hidden="1"/>
    </xf>
    <xf numFmtId="21" fontId="31" fillId="10" borderId="0" xfId="0" applyNumberFormat="1" applyFont="1" applyFill="1" applyAlignment="1" applyProtection="1">
      <alignment horizontal="center" vertical="center"/>
      <protection hidden="1"/>
    </xf>
    <xf numFmtId="21" fontId="45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8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4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 applyAlignment="1" applyProtection="1">
      <alignment horizontal="right" vertical="center"/>
      <protection hidden="1"/>
    </xf>
    <xf numFmtId="0" fontId="25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6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7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0" fillId="9" borderId="14" xfId="0" applyFill="1" applyBorder="1" applyAlignment="1" applyProtection="1">
      <alignment vertical="center"/>
      <protection hidden="1"/>
    </xf>
    <xf numFmtId="0" fontId="0" fillId="9" borderId="25" xfId="0" applyFill="1" applyBorder="1" applyAlignment="1" applyProtection="1">
      <alignment vertical="center"/>
      <protection hidden="1"/>
    </xf>
    <xf numFmtId="0" fontId="1" fillId="9" borderId="25" xfId="0" applyFont="1" applyFill="1" applyBorder="1" applyAlignment="1" applyProtection="1">
      <alignment vertical="center"/>
      <protection hidden="1"/>
    </xf>
    <xf numFmtId="0" fontId="1" fillId="9" borderId="31" xfId="0" applyFont="1" applyFill="1" applyBorder="1" applyAlignment="1" applyProtection="1">
      <alignment vertical="center"/>
      <protection hidden="1"/>
    </xf>
    <xf numFmtId="0" fontId="0" fillId="9" borderId="33" xfId="0" applyFill="1" applyBorder="1" applyAlignment="1" applyProtection="1">
      <alignment vertical="center"/>
      <protection hidden="1"/>
    </xf>
    <xf numFmtId="0" fontId="1" fillId="9" borderId="36" xfId="0" applyFont="1" applyFill="1" applyBorder="1" applyAlignment="1" applyProtection="1">
      <alignment vertical="center"/>
      <protection hidden="1"/>
    </xf>
    <xf numFmtId="21" fontId="26" fillId="9" borderId="36" xfId="0" applyNumberFormat="1" applyFont="1" applyFill="1" applyBorder="1" applyAlignment="1" applyProtection="1">
      <alignment horizontal="center" vertical="center"/>
      <protection hidden="1"/>
    </xf>
    <xf numFmtId="0" fontId="8" fillId="9" borderId="33" xfId="0" applyFont="1" applyFill="1" applyBorder="1" applyAlignment="1" applyProtection="1">
      <alignment horizontal="center" vertical="center"/>
      <protection hidden="1"/>
    </xf>
    <xf numFmtId="0" fontId="9" fillId="9" borderId="33" xfId="0" applyFont="1" applyFill="1" applyBorder="1" applyAlignment="1" applyProtection="1">
      <alignment vertical="center"/>
      <protection hidden="1"/>
    </xf>
    <xf numFmtId="0" fontId="10" fillId="9" borderId="33" xfId="0" applyFont="1" applyFill="1" applyBorder="1" applyAlignment="1" applyProtection="1">
      <alignment vertical="center"/>
      <protection hidden="1"/>
    </xf>
    <xf numFmtId="0" fontId="28" fillId="9" borderId="36" xfId="0" applyFont="1" applyFill="1" applyBorder="1" applyAlignment="1" applyProtection="1">
      <alignment vertical="center"/>
      <protection hidden="1"/>
    </xf>
    <xf numFmtId="21" fontId="31" fillId="9" borderId="36" xfId="0" applyNumberFormat="1" applyFont="1" applyFill="1" applyBorder="1" applyAlignment="1" applyProtection="1">
      <alignment horizontal="center" vertical="center"/>
      <protection hidden="1"/>
    </xf>
    <xf numFmtId="0" fontId="9" fillId="9" borderId="37" xfId="0" applyFont="1" applyFill="1" applyBorder="1" applyAlignment="1" applyProtection="1">
      <alignment vertical="center"/>
      <protection hidden="1"/>
    </xf>
    <xf numFmtId="0" fontId="9" fillId="9" borderId="34" xfId="0" applyFont="1" applyFill="1" applyBorder="1" applyAlignment="1" applyProtection="1">
      <alignment vertical="center"/>
      <protection hidden="1"/>
    </xf>
    <xf numFmtId="0" fontId="28" fillId="9" borderId="34" xfId="0" applyFont="1" applyFill="1" applyBorder="1" applyAlignment="1" applyProtection="1">
      <alignment vertical="center"/>
      <protection hidden="1"/>
    </xf>
    <xf numFmtId="0" fontId="46" fillId="9" borderId="34" xfId="0" applyFont="1" applyFill="1" applyBorder="1" applyAlignment="1" applyProtection="1">
      <alignment vertical="center"/>
      <protection hidden="1"/>
    </xf>
    <xf numFmtId="0" fontId="45" fillId="9" borderId="34" xfId="0" applyFont="1" applyFill="1" applyBorder="1" applyAlignment="1" applyProtection="1">
      <alignment vertical="center"/>
      <protection hidden="1"/>
    </xf>
    <xf numFmtId="21" fontId="45" fillId="9" borderId="34" xfId="0" applyNumberFormat="1" applyFont="1" applyFill="1" applyBorder="1" applyAlignment="1" applyProtection="1">
      <alignment horizontal="center" vertical="center"/>
      <protection hidden="1"/>
    </xf>
    <xf numFmtId="21" fontId="34" fillId="9" borderId="34" xfId="0" applyNumberFormat="1" applyFont="1" applyFill="1" applyBorder="1" applyAlignment="1" applyProtection="1">
      <alignment horizontal="center" vertical="center"/>
      <protection hidden="1"/>
    </xf>
    <xf numFmtId="21" fontId="31" fillId="9" borderId="32" xfId="0" applyNumberFormat="1" applyFont="1" applyFill="1" applyBorder="1" applyAlignment="1" applyProtection="1">
      <alignment horizontal="center" vertical="center"/>
      <protection hidden="1"/>
    </xf>
    <xf numFmtId="0" fontId="62" fillId="8" borderId="0" xfId="0" applyFont="1" applyFill="1" applyAlignment="1">
      <alignment horizontal="center"/>
    </xf>
    <xf numFmtId="0" fontId="48" fillId="8" borderId="0" xfId="0" applyFont="1" applyFill="1" applyAlignment="1">
      <alignment horizontal="center" vertical="center" wrapText="1"/>
    </xf>
    <xf numFmtId="15" fontId="59" fillId="0" borderId="8" xfId="0" applyNumberFormat="1" applyFont="1" applyBorder="1" applyAlignment="1">
      <alignment horizontal="center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2" applyNumberFormat="1" applyFont="1" applyFill="1" applyBorder="1" applyAlignment="1" applyProtection="1">
      <alignment horizontal="center"/>
      <protection locked="0"/>
    </xf>
    <xf numFmtId="0" fontId="60" fillId="0" borderId="4" xfId="0" applyFont="1" applyBorder="1" applyAlignment="1">
      <alignment horizontal="center"/>
    </xf>
    <xf numFmtId="3" fontId="60" fillId="0" borderId="8" xfId="2" applyNumberFormat="1" applyFont="1" applyFill="1" applyBorder="1" applyAlignment="1" applyProtection="1">
      <alignment horizontal="center"/>
      <protection locked="0"/>
    </xf>
    <xf numFmtId="3" fontId="60" fillId="0" borderId="38" xfId="2" applyNumberFormat="1" applyFont="1" applyFill="1" applyBorder="1" applyAlignment="1" applyProtection="1">
      <alignment horizontal="center"/>
      <protection locked="0"/>
    </xf>
    <xf numFmtId="3" fontId="60" fillId="0" borderId="39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Border="1" applyAlignment="1">
      <alignment horizontal="center"/>
    </xf>
    <xf numFmtId="0" fontId="63" fillId="0" borderId="3" xfId="0" applyFont="1" applyBorder="1" applyAlignment="1" applyProtection="1">
      <alignment horizontal="center"/>
      <protection locked="0"/>
    </xf>
    <xf numFmtId="0" fontId="60" fillId="0" borderId="39" xfId="0" applyFont="1" applyBorder="1" applyAlignment="1">
      <alignment horizontal="center"/>
    </xf>
    <xf numFmtId="0" fontId="48" fillId="8" borderId="25" xfId="0" applyFont="1" applyFill="1" applyBorder="1" applyAlignment="1">
      <alignment horizontal="center" vertical="center" wrapText="1"/>
    </xf>
    <xf numFmtId="3" fontId="60" fillId="0" borderId="26" xfId="2" applyNumberFormat="1" applyFont="1" applyFill="1" applyBorder="1" applyAlignment="1" applyProtection="1">
      <alignment horizontal="center"/>
      <protection locked="0"/>
    </xf>
    <xf numFmtId="2" fontId="42" fillId="0" borderId="3" xfId="0" applyNumberFormat="1" applyFont="1" applyBorder="1" applyAlignment="1">
      <alignment horizontal="center"/>
    </xf>
    <xf numFmtId="0" fontId="48" fillId="10" borderId="0" xfId="0" applyFont="1" applyFill="1" applyAlignment="1">
      <alignment horizontal="center"/>
    </xf>
    <xf numFmtId="0" fontId="48" fillId="6" borderId="0" xfId="0" applyFont="1" applyFill="1" applyAlignment="1">
      <alignment horizontal="center" vertical="center" wrapText="1"/>
    </xf>
    <xf numFmtId="0" fontId="1" fillId="0" borderId="42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23" fillId="0" borderId="0" xfId="0" applyFont="1"/>
    <xf numFmtId="15" fontId="23" fillId="3" borderId="3" xfId="0" applyNumberFormat="1" applyFont="1" applyFill="1" applyBorder="1" applyAlignment="1">
      <alignment horizontal="center"/>
    </xf>
    <xf numFmtId="15" fontId="22" fillId="3" borderId="7" xfId="0" applyNumberFormat="1" applyFont="1" applyFill="1" applyBorder="1" applyAlignment="1">
      <alignment horizontal="center"/>
    </xf>
    <xf numFmtId="0" fontId="42" fillId="0" borderId="2" xfId="0" applyFont="1" applyBorder="1" applyAlignment="1">
      <alignment horizontal="center"/>
    </xf>
    <xf numFmtId="0" fontId="48" fillId="6" borderId="3" xfId="0" applyFont="1" applyFill="1" applyBorder="1" applyAlignment="1">
      <alignment horizontal="center" vertical="center" wrapText="1"/>
    </xf>
    <xf numFmtId="0" fontId="65" fillId="6" borderId="3" xfId="0" applyFont="1" applyFill="1" applyBorder="1" applyAlignment="1">
      <alignment horizontal="center" vertical="center" wrapText="1"/>
    </xf>
    <xf numFmtId="15" fontId="59" fillId="10" borderId="7" xfId="0" applyNumberFormat="1" applyFont="1" applyFill="1" applyBorder="1" applyAlignment="1">
      <alignment horizontal="center"/>
    </xf>
    <xf numFmtId="0" fontId="42" fillId="0" borderId="24" xfId="0" applyFont="1" applyBorder="1" applyAlignment="1">
      <alignment horizontal="center"/>
    </xf>
    <xf numFmtId="3" fontId="63" fillId="0" borderId="3" xfId="0" applyNumberFormat="1" applyFont="1" applyBorder="1" applyAlignment="1" applyProtection="1">
      <alignment horizontal="center"/>
      <protection locked="0"/>
    </xf>
    <xf numFmtId="165" fontId="70" fillId="0" borderId="3" xfId="2" applyNumberFormat="1" applyFont="1" applyFill="1" applyBorder="1" applyAlignment="1">
      <alignment horizontal="center"/>
    </xf>
    <xf numFmtId="165" fontId="22" fillId="0" borderId="3" xfId="2" applyNumberFormat="1" applyFont="1" applyFill="1" applyBorder="1" applyAlignment="1">
      <alignment horizontal="center"/>
    </xf>
    <xf numFmtId="15" fontId="23" fillId="3" borderId="2" xfId="0" applyNumberFormat="1" applyFont="1" applyFill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22" fillId="0" borderId="44" xfId="3" applyFont="1" applyBorder="1" applyAlignment="1">
      <alignment horizontal="center"/>
    </xf>
    <xf numFmtId="2" fontId="42" fillId="0" borderId="2" xfId="0" applyNumberFormat="1" applyFont="1" applyBorder="1" applyAlignment="1">
      <alignment horizontal="center"/>
    </xf>
    <xf numFmtId="0" fontId="42" fillId="0" borderId="45" xfId="0" applyFont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0" fillId="10" borderId="48" xfId="0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15" fontId="22" fillId="3" borderId="50" xfId="0" applyNumberFormat="1" applyFont="1" applyFill="1" applyBorder="1" applyAlignment="1">
      <alignment horizontal="center"/>
    </xf>
    <xf numFmtId="0" fontId="42" fillId="0" borderId="51" xfId="0" applyFont="1" applyBorder="1" applyAlignment="1">
      <alignment horizontal="center"/>
    </xf>
    <xf numFmtId="0" fontId="0" fillId="0" borderId="23" xfId="0" applyBorder="1"/>
    <xf numFmtId="165" fontId="42" fillId="0" borderId="46" xfId="0" applyNumberFormat="1" applyFont="1" applyBorder="1" applyAlignment="1">
      <alignment horizontal="center"/>
    </xf>
    <xf numFmtId="0" fontId="51" fillId="0" borderId="0" xfId="0" applyFont="1" applyAlignment="1">
      <alignment horizontal="center"/>
    </xf>
    <xf numFmtId="0" fontId="1" fillId="0" borderId="0" xfId="0" applyFont="1"/>
    <xf numFmtId="1" fontId="42" fillId="0" borderId="2" xfId="0" applyNumberFormat="1" applyFont="1" applyBorder="1" applyAlignment="1">
      <alignment horizontal="center"/>
    </xf>
    <xf numFmtId="1" fontId="42" fillId="0" borderId="3" xfId="0" applyNumberFormat="1" applyFont="1" applyBorder="1" applyAlignment="1">
      <alignment horizontal="center"/>
    </xf>
    <xf numFmtId="2" fontId="42" fillId="0" borderId="1" xfId="0" applyNumberFormat="1" applyFont="1" applyBorder="1" applyAlignment="1">
      <alignment horizontal="center"/>
    </xf>
    <xf numFmtId="0" fontId="15" fillId="0" borderId="34" xfId="0" applyFont="1" applyBorder="1" applyAlignment="1">
      <alignment horizontal="center" vertical="center"/>
    </xf>
    <xf numFmtId="0" fontId="40" fillId="7" borderId="12" xfId="0" applyFont="1" applyFill="1" applyBorder="1" applyAlignment="1">
      <alignment horizontal="center" vertical="center" shrinkToFit="1"/>
    </xf>
    <xf numFmtId="0" fontId="40" fillId="7" borderId="35" xfId="0" applyFont="1" applyFill="1" applyBorder="1" applyAlignment="1">
      <alignment horizontal="center" vertical="center" shrinkToFit="1"/>
    </xf>
    <xf numFmtId="0" fontId="47" fillId="6" borderId="30" xfId="0" applyFont="1" applyFill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40" fillId="7" borderId="35" xfId="0" applyFont="1" applyFill="1" applyBorder="1" applyAlignment="1">
      <alignment vertical="center" shrinkToFit="1"/>
    </xf>
    <xf numFmtId="0" fontId="40" fillId="7" borderId="12" xfId="0" applyFont="1" applyFill="1" applyBorder="1" applyAlignment="1">
      <alignment vertical="center" shrinkToFit="1"/>
    </xf>
    <xf numFmtId="0" fontId="76" fillId="11" borderId="54" xfId="5" applyFont="1" applyFill="1" applyBorder="1" applyAlignment="1">
      <alignment horizontal="center"/>
    </xf>
    <xf numFmtId="0" fontId="76" fillId="13" borderId="54" xfId="5" applyFont="1" applyFill="1" applyBorder="1" applyAlignment="1">
      <alignment horizontal="center"/>
    </xf>
    <xf numFmtId="0" fontId="76" fillId="14" borderId="55" xfId="5" applyFont="1" applyFill="1" applyBorder="1" applyAlignment="1">
      <alignment horizontal="center"/>
    </xf>
    <xf numFmtId="0" fontId="77" fillId="16" borderId="5" xfId="5" applyFont="1" applyFill="1" applyBorder="1" applyAlignment="1">
      <alignment horizontal="center" vertical="center" wrapText="1"/>
    </xf>
    <xf numFmtId="0" fontId="77" fillId="16" borderId="9" xfId="5" applyFont="1" applyFill="1" applyBorder="1" applyAlignment="1">
      <alignment horizontal="center" vertical="center" wrapText="1"/>
    </xf>
    <xf numFmtId="0" fontId="77" fillId="16" borderId="11" xfId="5" applyFont="1" applyFill="1" applyBorder="1" applyAlignment="1">
      <alignment horizontal="center" vertical="center" wrapText="1"/>
    </xf>
    <xf numFmtId="0" fontId="77" fillId="16" borderId="56" xfId="5" applyFont="1" applyFill="1" applyBorder="1" applyAlignment="1">
      <alignment horizontal="center" vertical="center" wrapText="1"/>
    </xf>
    <xf numFmtId="0" fontId="77" fillId="12" borderId="57" xfId="5" applyFont="1" applyFill="1" applyBorder="1" applyAlignment="1">
      <alignment horizontal="center" vertical="center" wrapText="1"/>
    </xf>
    <xf numFmtId="0" fontId="77" fillId="12" borderId="58" xfId="5" applyFont="1" applyFill="1" applyBorder="1" applyAlignment="1">
      <alignment horizontal="center" vertical="center" wrapText="1"/>
    </xf>
    <xf numFmtId="0" fontId="77" fillId="12" borderId="59" xfId="5" applyFont="1" applyFill="1" applyBorder="1" applyAlignment="1">
      <alignment horizontal="center" vertical="center" wrapText="1"/>
    </xf>
    <xf numFmtId="0" fontId="76" fillId="11" borderId="60" xfId="5" applyFont="1" applyFill="1" applyBorder="1" applyAlignment="1">
      <alignment horizontal="center" vertical="center" wrapText="1"/>
    </xf>
    <xf numFmtId="0" fontId="76" fillId="11" borderId="61" xfId="5" applyFont="1" applyFill="1" applyBorder="1" applyAlignment="1">
      <alignment horizontal="center" vertical="center" wrapText="1"/>
    </xf>
    <xf numFmtId="0" fontId="76" fillId="11" borderId="62" xfId="5" applyFont="1" applyFill="1" applyBorder="1" applyAlignment="1">
      <alignment horizontal="center" vertical="center" wrapText="1"/>
    </xf>
    <xf numFmtId="0" fontId="76" fillId="13" borderId="61" xfId="5" applyFont="1" applyFill="1" applyBorder="1" applyAlignment="1">
      <alignment horizontal="center" vertical="center" wrapText="1"/>
    </xf>
    <xf numFmtId="0" fontId="76" fillId="13" borderId="63" xfId="5" applyFont="1" applyFill="1" applyBorder="1" applyAlignment="1">
      <alignment horizontal="center" vertical="center" wrapText="1"/>
    </xf>
    <xf numFmtId="0" fontId="76" fillId="14" borderId="61" xfId="5" applyFont="1" applyFill="1" applyBorder="1" applyAlignment="1">
      <alignment horizontal="center" vertical="center" wrapText="1"/>
    </xf>
    <xf numFmtId="0" fontId="76" fillId="14" borderId="64" xfId="5" applyFont="1" applyFill="1" applyBorder="1" applyAlignment="1">
      <alignment horizontal="center" vertical="center" wrapText="1"/>
    </xf>
    <xf numFmtId="0" fontId="0" fillId="0" borderId="65" xfId="0" applyBorder="1"/>
    <xf numFmtId="0" fontId="1" fillId="0" borderId="27" xfId="0" applyFont="1" applyBorder="1"/>
    <xf numFmtId="0" fontId="22" fillId="0" borderId="66" xfId="3" applyFont="1" applyBorder="1" applyAlignment="1">
      <alignment horizontal="center"/>
    </xf>
    <xf numFmtId="0" fontId="42" fillId="0" borderId="67" xfId="0" applyFont="1" applyBorder="1" applyAlignment="1">
      <alignment horizontal="center"/>
    </xf>
    <xf numFmtId="0" fontId="0" fillId="0" borderId="29" xfId="0" applyBorder="1"/>
    <xf numFmtId="15" fontId="23" fillId="3" borderId="68" xfId="0" applyNumberFormat="1" applyFont="1" applyFill="1" applyBorder="1" applyAlignment="1">
      <alignment horizontal="center"/>
    </xf>
    <xf numFmtId="0" fontId="22" fillId="0" borderId="68" xfId="3" applyFont="1" applyBorder="1" applyAlignment="1">
      <alignment horizontal="center"/>
    </xf>
    <xf numFmtId="2" fontId="42" fillId="0" borderId="66" xfId="0" applyNumberFormat="1" applyFont="1" applyBorder="1" applyAlignment="1">
      <alignment horizontal="center"/>
    </xf>
    <xf numFmtId="0" fontId="42" fillId="0" borderId="69" xfId="0" applyFont="1" applyBorder="1" applyAlignment="1">
      <alignment horizontal="center"/>
    </xf>
    <xf numFmtId="0" fontId="42" fillId="0" borderId="70" xfId="0" applyFont="1" applyBorder="1" applyAlignment="1">
      <alignment horizontal="center"/>
    </xf>
    <xf numFmtId="165" fontId="42" fillId="0" borderId="68" xfId="2" applyNumberFormat="1" applyFont="1" applyFill="1" applyBorder="1" applyAlignment="1">
      <alignment horizontal="center"/>
    </xf>
    <xf numFmtId="165" fontId="22" fillId="0" borderId="68" xfId="2" applyNumberFormat="1" applyFont="1" applyFill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1" fillId="0" borderId="72" xfId="0" applyFont="1" applyBorder="1" applyAlignment="1">
      <alignment horizontal="center"/>
    </xf>
    <xf numFmtId="0" fontId="0" fillId="10" borderId="72" xfId="0" applyFill="1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4" xfId="0" applyBorder="1"/>
    <xf numFmtId="0" fontId="0" fillId="0" borderId="27" xfId="0" applyBorder="1"/>
    <xf numFmtId="0" fontId="12" fillId="0" borderId="0" xfId="0" applyFont="1"/>
    <xf numFmtId="0" fontId="66" fillId="0" borderId="0" xfId="0" applyFont="1"/>
    <xf numFmtId="0" fontId="43" fillId="0" borderId="6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2" applyNumberFormat="1" applyFont="1" applyBorder="1"/>
    <xf numFmtId="0" fontId="0" fillId="3" borderId="29" xfId="0" applyFill="1" applyBorder="1"/>
    <xf numFmtId="166" fontId="14" fillId="0" borderId="0" xfId="2" applyNumberFormat="1" applyFont="1" applyBorder="1"/>
    <xf numFmtId="0" fontId="0" fillId="0" borderId="75" xfId="0" applyBorder="1"/>
    <xf numFmtId="0" fontId="0" fillId="0" borderId="76" xfId="0" applyBorder="1"/>
    <xf numFmtId="0" fontId="14" fillId="0" borderId="76" xfId="0" applyFont="1" applyBorder="1"/>
    <xf numFmtId="0" fontId="23" fillId="0" borderId="76" xfId="0" applyFont="1" applyBorder="1"/>
    <xf numFmtId="0" fontId="41" fillId="0" borderId="76" xfId="0" applyFont="1" applyBorder="1" applyAlignment="1">
      <alignment horizontal="center"/>
    </xf>
    <xf numFmtId="0" fontId="14" fillId="0" borderId="76" xfId="0" applyFont="1" applyBorder="1" applyAlignment="1">
      <alignment horizontal="center"/>
    </xf>
    <xf numFmtId="166" fontId="14" fillId="0" borderId="76" xfId="2" applyNumberFormat="1" applyFont="1" applyBorder="1"/>
    <xf numFmtId="0" fontId="0" fillId="3" borderId="76" xfId="0" applyFill="1" applyBorder="1"/>
    <xf numFmtId="0" fontId="0" fillId="3" borderId="46" xfId="0" applyFill="1" applyBorder="1"/>
    <xf numFmtId="2" fontId="1" fillId="0" borderId="0" xfId="0" applyNumberFormat="1" applyFont="1"/>
    <xf numFmtId="0" fontId="64" fillId="9" borderId="0" xfId="0" applyFont="1" applyFill="1" applyAlignment="1" applyProtection="1">
      <alignment horizontal="center" vertical="center"/>
      <protection hidden="1"/>
    </xf>
    <xf numFmtId="0" fontId="75" fillId="15" borderId="18" xfId="5" applyFont="1" applyFill="1" applyBorder="1" applyAlignment="1">
      <alignment horizontal="center" vertical="center" shrinkToFit="1"/>
    </xf>
    <xf numFmtId="0" fontId="75" fillId="15" borderId="19" xfId="5" applyFont="1" applyFill="1" applyBorder="1" applyAlignment="1">
      <alignment horizontal="center" vertical="center" shrinkToFit="1"/>
    </xf>
    <xf numFmtId="0" fontId="72" fillId="12" borderId="14" xfId="5" applyFont="1" applyFill="1" applyBorder="1" applyAlignment="1">
      <alignment horizontal="center" vertical="center"/>
    </xf>
    <xf numFmtId="0" fontId="72" fillId="12" borderId="25" xfId="5" applyFont="1" applyFill="1" applyBorder="1" applyAlignment="1">
      <alignment horizontal="center" vertical="center"/>
    </xf>
    <xf numFmtId="0" fontId="76" fillId="14" borderId="54" xfId="5" applyFont="1" applyFill="1" applyBorder="1" applyAlignment="1">
      <alignment horizontal="center"/>
    </xf>
    <xf numFmtId="0" fontId="74" fillId="14" borderId="41" xfId="5" applyFont="1" applyFill="1" applyBorder="1" applyAlignment="1">
      <alignment horizontal="center"/>
    </xf>
    <xf numFmtId="0" fontId="74" fillId="14" borderId="52" xfId="5" applyFont="1" applyFill="1" applyBorder="1" applyAlignment="1">
      <alignment horizontal="center"/>
    </xf>
    <xf numFmtId="0" fontId="73" fillId="11" borderId="40" xfId="5" applyFont="1" applyFill="1" applyBorder="1" applyAlignment="1">
      <alignment horizontal="center"/>
    </xf>
    <xf numFmtId="0" fontId="73" fillId="11" borderId="41" xfId="5" applyFont="1" applyFill="1" applyBorder="1" applyAlignment="1">
      <alignment horizontal="center"/>
    </xf>
    <xf numFmtId="0" fontId="74" fillId="13" borderId="41" xfId="5" applyFont="1" applyFill="1" applyBorder="1" applyAlignment="1">
      <alignment horizontal="center"/>
    </xf>
    <xf numFmtId="0" fontId="76" fillId="11" borderId="53" xfId="5" applyFont="1" applyFill="1" applyBorder="1" applyAlignment="1">
      <alignment horizontal="center"/>
    </xf>
    <xf numFmtId="0" fontId="76" fillId="11" borderId="54" xfId="5" applyFont="1" applyFill="1" applyBorder="1" applyAlignment="1">
      <alignment horizontal="center"/>
    </xf>
    <xf numFmtId="0" fontId="75" fillId="15" borderId="25" xfId="5" applyFont="1" applyFill="1" applyBorder="1" applyAlignment="1">
      <alignment horizontal="center" vertical="center" shrinkToFit="1"/>
    </xf>
    <xf numFmtId="0" fontId="75" fillId="15" borderId="31" xfId="5" applyFont="1" applyFill="1" applyBorder="1" applyAlignment="1">
      <alignment horizontal="center" vertical="center" shrinkToFit="1"/>
    </xf>
    <xf numFmtId="0" fontId="75" fillId="12" borderId="14" xfId="5" applyFont="1" applyFill="1" applyBorder="1" applyAlignment="1">
      <alignment horizontal="center" vertical="center" shrinkToFit="1"/>
    </xf>
    <xf numFmtId="0" fontId="75" fillId="12" borderId="25" xfId="5" applyFont="1" applyFill="1" applyBorder="1" applyAlignment="1">
      <alignment horizontal="center" vertical="center" shrinkToFit="1"/>
    </xf>
    <xf numFmtId="0" fontId="72" fillId="12" borderId="30" xfId="5" applyFont="1" applyFill="1" applyBorder="1" applyAlignment="1">
      <alignment horizontal="center" vertical="center"/>
    </xf>
    <xf numFmtId="0" fontId="72" fillId="12" borderId="15" xfId="5" applyFont="1" applyFill="1" applyBorder="1" applyAlignment="1">
      <alignment horizontal="center" vertical="center"/>
    </xf>
    <xf numFmtId="0" fontId="72" fillId="12" borderId="10" xfId="5" applyFont="1" applyFill="1" applyBorder="1" applyAlignment="1">
      <alignment horizontal="center" vertical="center"/>
    </xf>
    <xf numFmtId="0" fontId="75" fillId="15" borderId="17" xfId="5" applyFont="1" applyFill="1" applyBorder="1" applyAlignment="1">
      <alignment horizontal="center" vertical="center" shrinkToFit="1"/>
    </xf>
    <xf numFmtId="0" fontId="75" fillId="15" borderId="16" xfId="5" applyFont="1" applyFill="1" applyBorder="1" applyAlignment="1">
      <alignment horizontal="center" vertical="center" shrinkToFit="1"/>
    </xf>
    <xf numFmtId="0" fontId="51" fillId="0" borderId="0" xfId="0" applyFont="1" applyAlignment="1">
      <alignment horizontal="center"/>
    </xf>
    <xf numFmtId="14" fontId="67" fillId="0" borderId="0" xfId="0" applyNumberFormat="1" applyFont="1" applyAlignment="1">
      <alignment horizontal="center" vertical="center"/>
    </xf>
    <xf numFmtId="0" fontId="48" fillId="8" borderId="14" xfId="0" applyFont="1" applyFill="1" applyBorder="1" applyAlignment="1">
      <alignment horizontal="center" vertical="center" wrapText="1"/>
    </xf>
    <xf numFmtId="0" fontId="48" fillId="8" borderId="25" xfId="0" applyFont="1" applyFill="1" applyBorder="1" applyAlignment="1">
      <alignment horizontal="center" vertical="center" wrapText="1"/>
    </xf>
    <xf numFmtId="0" fontId="62" fillId="8" borderId="34" xfId="0" applyFont="1" applyFill="1" applyBorder="1" applyAlignment="1">
      <alignment horizontal="center"/>
    </xf>
    <xf numFmtId="0" fontId="62" fillId="8" borderId="0" xfId="0" applyFont="1" applyFill="1" applyAlignment="1">
      <alignment horizontal="center"/>
    </xf>
    <xf numFmtId="0" fontId="48" fillId="8" borderId="31" xfId="0" applyFont="1" applyFill="1" applyBorder="1" applyAlignment="1">
      <alignment horizontal="center" vertical="center" wrapText="1"/>
    </xf>
    <xf numFmtId="0" fontId="71" fillId="0" borderId="76" xfId="0" applyFont="1" applyBorder="1" applyAlignment="1">
      <alignment vertical="center"/>
    </xf>
    <xf numFmtId="0" fontId="78" fillId="0" borderId="76" xfId="0" applyFont="1" applyBorder="1" applyAlignment="1">
      <alignment vertical="center"/>
    </xf>
    <xf numFmtId="0" fontId="78" fillId="0" borderId="39" xfId="0" applyFont="1" applyBorder="1" applyAlignment="1">
      <alignment horizontal="center" vertical="center"/>
    </xf>
    <xf numFmtId="0" fontId="79" fillId="0" borderId="76" xfId="0" applyFont="1" applyBorder="1" applyAlignment="1">
      <alignment horizontal="center" vertical="center"/>
    </xf>
    <xf numFmtId="0" fontId="79" fillId="0" borderId="39" xfId="0" applyFont="1" applyBorder="1" applyAlignment="1">
      <alignment horizontal="center" vertical="center"/>
    </xf>
    <xf numFmtId="0" fontId="80" fillId="0" borderId="0" xfId="0" applyFont="1" applyBorder="1" applyAlignment="1">
      <alignment horizontal="center" vertical="center" wrapText="1"/>
    </xf>
    <xf numFmtId="0" fontId="80" fillId="0" borderId="0" xfId="0" applyFont="1" applyBorder="1" applyAlignment="1">
      <alignment horizontal="center" vertical="center"/>
    </xf>
    <xf numFmtId="0" fontId="80" fillId="0" borderId="36" xfId="0" applyFont="1" applyBorder="1" applyAlignment="1">
      <alignment horizontal="center" vertical="center"/>
    </xf>
    <xf numFmtId="0" fontId="80" fillId="0" borderId="76" xfId="0" applyFont="1" applyBorder="1" applyAlignment="1">
      <alignment horizontal="center" vertical="center"/>
    </xf>
    <xf numFmtId="0" fontId="80" fillId="0" borderId="77" xfId="0" applyFont="1" applyBorder="1" applyAlignment="1">
      <alignment horizontal="center" vertical="center"/>
    </xf>
  </cellXfs>
  <cellStyles count="6">
    <cellStyle name="Euro" xfId="1" xr:uid="{00000000-0005-0000-0000-000000000000}"/>
    <cellStyle name="Millares" xfId="2" builtinId="3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21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F727-4C81-84A8-BBDD9C95C980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F727-4C81-84A8-BBDD9C95C980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F727-4C81-84A8-BBDD9C95C980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F727-4C81-84A8-BBDD9C95C980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F727-4C81-84A8-BBDD9C95C980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F727-4C81-84A8-BBDD9C95C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2124232"/>
        <c:axId val="668889064"/>
      </c:barChart>
      <c:catAx>
        <c:axId val="612124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88890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68889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1212423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3BA-46BC-8C4D-29C06387AFE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3BA-46BC-8C4D-29C06387AFE9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3BA-46BC-8C4D-29C06387AFE9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3BA-46BC-8C4D-29C06387AFE9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3BA-46BC-8C4D-29C06387AFE9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3BA-46BC-8C4D-29C06387AFE9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93BA-46BC-8C4D-29C06387AFE9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93BA-46BC-8C4D-29C06387AFE9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3BA-46BC-8C4D-29C06387AFE9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93BA-46BC-8C4D-29C06387AFE9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93BA-46BC-8C4D-29C06387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950312"/>
        <c:axId val="598950704"/>
      </c:lineChart>
      <c:catAx>
        <c:axId val="598950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98950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8950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989503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CA-444F-877D-1BAC6070C3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3CA-444F-877D-1BAC6070C3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CA-444F-877D-1BAC6070C3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CA-444F-877D-1BAC6070C3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CA-444F-877D-1BAC6070C3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3CA-444F-877D-1BAC6070C3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CA-444F-877D-1BAC6070C3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CA-444F-877D-1BAC6070C3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CA-444F-877D-1BAC6070C3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3CA-444F-877D-1BAC6070C3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CA-444F-877D-1BAC6070C3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CA-444F-877D-1BAC6070C3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CA-444F-877D-1BAC6070C3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3CA-444F-877D-1BAC6070C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801888"/>
        <c:axId val="552802280"/>
      </c:barChart>
      <c:catAx>
        <c:axId val="55280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802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2802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801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84D-4ABE-B5DE-CE3BEEFBC7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84D-4ABE-B5DE-CE3BEEFBC7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4D-4ABE-B5DE-CE3BEEFBC7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4D-4ABE-B5DE-CE3BEEFBC7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4D-4ABE-B5DE-CE3BEEFBC7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84D-4ABE-B5DE-CE3BEEFBC7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4D-4ABE-B5DE-CE3BEEFBC7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4D-4ABE-B5DE-CE3BEEFBC7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4D-4ABE-B5DE-CE3BEEFBC7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84D-4ABE-B5DE-CE3BEEFBC7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4D-4ABE-B5DE-CE3BEEFBC7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84D-4ABE-B5DE-CE3BEEFBC7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4D-4ABE-B5DE-CE3BEEFBC7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84D-4ABE-B5DE-CE3BEEFB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803064"/>
        <c:axId val="552803456"/>
      </c:barChart>
      <c:catAx>
        <c:axId val="55280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80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280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80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9A-4C02-902D-9F54F2D11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F9A-4C02-902D-9F54F2D11B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9A-4C02-902D-9F54F2D11B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9A-4C02-902D-9F54F2D11B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9A-4C02-902D-9F54F2D11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F9A-4C02-902D-9F54F2D11B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9A-4C02-902D-9F54F2D11B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9A-4C02-902D-9F54F2D11B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9A-4C02-902D-9F54F2D11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F9A-4C02-902D-9F54F2D11B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9A-4C02-902D-9F54F2D11B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9A-4C02-902D-9F54F2D11B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9A-4C02-902D-9F54F2D11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F9A-4C02-902D-9F54F2D11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236528"/>
        <c:axId val="232236920"/>
      </c:barChart>
      <c:catAx>
        <c:axId val="23223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2236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2236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2236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7-40AC-AEAA-E71A8A16B7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7-40AC-AEAA-E71A8A16B75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7-40AC-AEAA-E71A8A16B7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7-40AC-AEAA-E71A8A16B7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7-40AC-AEAA-E71A8A16B7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7-40AC-AEAA-E71A8A16B75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7-40AC-AEAA-E71A8A16B7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7-40AC-AEAA-E71A8A16B7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7-40AC-AEAA-E71A8A16B7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7-40AC-AEAA-E71A8A16B75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7-40AC-AEAA-E71A8A16B7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7-40AC-AEAA-E71A8A16B7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7-40AC-AEAA-E71A8A16B7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7-40AC-AEAA-E71A8A16B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237704"/>
        <c:axId val="670416880"/>
      </c:barChart>
      <c:catAx>
        <c:axId val="232237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0416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0416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2237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AB-4597-A5B3-D5DD478878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AB-4597-A5B3-D5DD478878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AB-4597-A5B3-D5DD478878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AB-4597-A5B3-D5DD478878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AB-4597-A5B3-D5DD478878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AB-4597-A5B3-D5DD478878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AB-4597-A5B3-D5DD478878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AB-4597-A5B3-D5DD478878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AB-4597-A5B3-D5DD478878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AB-4597-A5B3-D5DD478878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AB-4597-A5B3-D5DD478878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AB-4597-A5B3-D5DD478878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AB-4597-A5B3-D5DD478878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AB-4597-A5B3-D5DD47887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0417664"/>
        <c:axId val="670418056"/>
      </c:barChart>
      <c:catAx>
        <c:axId val="6704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0418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0418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0417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B5-4C64-8A19-F8A3B3AF47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B5-4C64-8A19-F8A3B3AF47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B5-4C64-8A19-F8A3B3AF47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B5-4C64-8A19-F8A3B3AF47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B5-4C64-8A19-F8A3B3AF47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B5-4C64-8A19-F8A3B3AF47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B5-4C64-8A19-F8A3B3AF47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B5-4C64-8A19-F8A3B3AF47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B5-4C64-8A19-F8A3B3AF47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B5-4C64-8A19-F8A3B3AF47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B5-4C64-8A19-F8A3B3AF47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B5-4C64-8A19-F8A3B3AF47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B5-4C64-8A19-F8A3B3AF47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B5-4C64-8A19-F8A3B3AF4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221384"/>
        <c:axId val="435221776"/>
      </c:barChart>
      <c:catAx>
        <c:axId val="435221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5221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5221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5221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3F-49A0-8B5E-24802AF30E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3F-49A0-8B5E-24802AF30E2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3F-49A0-8B5E-24802AF30E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3F-49A0-8B5E-24802AF30E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3F-49A0-8B5E-24802AF30E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3F-49A0-8B5E-24802AF30E2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3F-49A0-8B5E-24802AF30E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3F-49A0-8B5E-24802AF30E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3F-49A0-8B5E-24802AF30E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3F-49A0-8B5E-24802AF30E2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3F-49A0-8B5E-24802AF30E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3F-49A0-8B5E-24802AF30E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3F-49A0-8B5E-24802AF30E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3F-49A0-8B5E-24802AF30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222560"/>
        <c:axId val="435222952"/>
      </c:barChart>
      <c:catAx>
        <c:axId val="43522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5222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5222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5222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0A-46AB-A69E-8DA70B5DBA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0A-46AB-A69E-8DA70B5DBA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0A-46AB-A69E-8DA70B5DBA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0A-46AB-A69E-8DA70B5DBA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0A-46AB-A69E-8DA70B5DBA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0A-46AB-A69E-8DA70B5DBA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0A-46AB-A69E-8DA70B5DBA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0A-46AB-A69E-8DA70B5DBA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0A-46AB-A69E-8DA70B5DBA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0A-46AB-A69E-8DA70B5DBA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0A-46AB-A69E-8DA70B5DBA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0A-46AB-A69E-8DA70B5DBA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0A-46AB-A69E-8DA70B5DBA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0A-46AB-A69E-8DA70B5DB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676312"/>
        <c:axId val="552676704"/>
      </c:barChart>
      <c:catAx>
        <c:axId val="552676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676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2676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676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2-4177-983A-654E4163EF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D62-4177-983A-654E4163EF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2-4177-983A-654E4163EF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62-4177-983A-654E4163EF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2-4177-983A-654E4163EF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D62-4177-983A-654E4163EF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2-4177-983A-654E4163EF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62-4177-983A-654E4163EF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2-4177-983A-654E4163EF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D62-4177-983A-654E4163EF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2-4177-983A-654E4163EF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62-4177-983A-654E4163EF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62-4177-983A-654E4163EF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D62-4177-983A-654E4163E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677488"/>
        <c:axId val="662274936"/>
      </c:barChart>
      <c:catAx>
        <c:axId val="55267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74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274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677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2D-44BB-98F4-41BC278B6B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2D-44BB-98F4-41BC278B6B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2D-44BB-98F4-41BC278B6B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2D-44BB-98F4-41BC278B6B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2D-44BB-98F4-41BC278B6B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2D-44BB-98F4-41BC278B6B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2D-44BB-98F4-41BC278B6B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2D-44BB-98F4-41BC278B6B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2D-44BB-98F4-41BC278B6B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2D-44BB-98F4-41BC278B6B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2D-44BB-98F4-41BC278B6B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2D-44BB-98F4-41BC278B6B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2D-44BB-98F4-41BC278B6B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2D-44BB-98F4-41BC278B6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275720"/>
        <c:axId val="662276112"/>
      </c:barChart>
      <c:catAx>
        <c:axId val="662275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76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276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2275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E8-46B4-98F1-40A3584F22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E8-46B4-98F1-40A3584F221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E8-46B4-98F1-40A3584F22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E8-46B4-98F1-40A3584F22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E8-46B4-98F1-40A3584F22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E8-46B4-98F1-40A3584F221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E8-46B4-98F1-40A3584F22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E8-46B4-98F1-40A3584F22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E8-46B4-98F1-40A3584F22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E8-46B4-98F1-40A3584F221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E8-46B4-98F1-40A3584F22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E8-46B4-98F1-40A3584F22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E8-46B4-98F1-40A3584F22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E8-46B4-98F1-40A3584F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23632"/>
        <c:axId val="355324024"/>
      </c:barChart>
      <c:catAx>
        <c:axId val="355323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24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24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23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F4-43D8-896C-F3D1F62799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F4-43D8-896C-F3D1F627992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F4-43D8-896C-F3D1F62799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F4-43D8-896C-F3D1F62799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F4-43D8-896C-F3D1F62799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F4-43D8-896C-F3D1F627992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F4-43D8-896C-F3D1F62799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F4-43D8-896C-F3D1F62799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F4-43D8-896C-F3D1F62799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F4-43D8-896C-F3D1F627992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F4-43D8-896C-F3D1F62799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F4-43D8-896C-F3D1F62799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F4-43D8-896C-F3D1F62799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F4-43D8-896C-F3D1F6279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24808"/>
        <c:axId val="355325200"/>
      </c:barChart>
      <c:catAx>
        <c:axId val="355324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25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25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24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40-4BFB-9E75-F463D3678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40-4BFB-9E75-F463D36787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40-4BFB-9E75-F463D3678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40-4BFB-9E75-F463D3678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40-4BFB-9E75-F463D3678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40-4BFB-9E75-F463D36787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40-4BFB-9E75-F463D3678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40-4BFB-9E75-F463D3678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40-4BFB-9E75-F463D3678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40-4BFB-9E75-F463D36787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40-4BFB-9E75-F463D3678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40-4BFB-9E75-F463D3678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40-4BFB-9E75-F463D3678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40-4BFB-9E75-F463D3678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6884960"/>
        <c:axId val="626885352"/>
      </c:barChart>
      <c:catAx>
        <c:axId val="626884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6885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6885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6884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AA-4044-ABD5-8FB054A0CC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AA-4044-ABD5-8FB054A0CC9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AA-4044-ABD5-8FB054A0CC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AA-4044-ABD5-8FB054A0CC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AA-4044-ABD5-8FB054A0CC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AA-4044-ABD5-8FB054A0CC9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AA-4044-ABD5-8FB054A0CC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AA-4044-ABD5-8FB054A0CC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AA-4044-ABD5-8FB054A0CC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AA-4044-ABD5-8FB054A0CC9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AA-4044-ABD5-8FB054A0CC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AA-4044-ABD5-8FB054A0CC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AA-4044-ABD5-8FB054A0CC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AA-4044-ABD5-8FB054A0C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6886136"/>
        <c:axId val="247146608"/>
      </c:barChart>
      <c:catAx>
        <c:axId val="626886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146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146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6886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FE-408C-914C-EB7FF20D38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FE-408C-914C-EB7FF20D38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FE-408C-914C-EB7FF20D38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FE-408C-914C-EB7FF20D38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FE-408C-914C-EB7FF20D38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FE-408C-914C-EB7FF20D38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FE-408C-914C-EB7FF20D38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FE-408C-914C-EB7FF20D38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FE-408C-914C-EB7FF20D38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FE-408C-914C-EB7FF20D38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FE-408C-914C-EB7FF20D38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FE-408C-914C-EB7FF20D38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FE-408C-914C-EB7FF20D38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FE-408C-914C-EB7FF20D3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147392"/>
        <c:axId val="247147784"/>
      </c:barChart>
      <c:catAx>
        <c:axId val="24714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147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147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147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AA-42EF-B6FE-D9D28C4C8F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6AA-42EF-B6FE-D9D28C4C8F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AA-42EF-B6FE-D9D28C4C8F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AA-42EF-B6FE-D9D28C4C8F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AA-42EF-B6FE-D9D28C4C8F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6AA-42EF-B6FE-D9D28C4C8F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6AA-42EF-B6FE-D9D28C4C8F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AA-42EF-B6FE-D9D28C4C8F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AA-42EF-B6FE-D9D28C4C8F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6AA-42EF-B6FE-D9D28C4C8F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AA-42EF-B6FE-D9D28C4C8F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6AA-42EF-B6FE-D9D28C4C8F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AA-42EF-B6FE-D9D28C4C8F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6AA-42EF-B6FE-D9D28C4C8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232840"/>
        <c:axId val="354233232"/>
      </c:barChart>
      <c:catAx>
        <c:axId val="354232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33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233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32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7F-4125-8088-FDF6B768FA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7F-4125-8088-FDF6B768FA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7F-4125-8088-FDF6B768FA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7F-4125-8088-FDF6B768FA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7F-4125-8088-FDF6B768FA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7F-4125-8088-FDF6B768FA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7F-4125-8088-FDF6B768FA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7F-4125-8088-FDF6B768FA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7F-4125-8088-FDF6B768FA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7F-4125-8088-FDF6B768FA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7F-4125-8088-FDF6B768FA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7F-4125-8088-FDF6B768FA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7F-4125-8088-FDF6B768FA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7F-4125-8088-FDF6B768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234016"/>
        <c:axId val="354234408"/>
      </c:barChart>
      <c:catAx>
        <c:axId val="35423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34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234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34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97-437C-8888-DD3EB2743F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97-437C-8888-DD3EB2743F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97-437C-8888-DD3EB2743F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97-437C-8888-DD3EB2743F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97-437C-8888-DD3EB2743F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97-437C-8888-DD3EB2743F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97-437C-8888-DD3EB2743F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97-437C-8888-DD3EB2743F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97-437C-8888-DD3EB2743F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97-437C-8888-DD3EB2743F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97-437C-8888-DD3EB2743F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97-437C-8888-DD3EB2743F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97-437C-8888-DD3EB2743F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97-437C-8888-DD3EB2743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060296"/>
        <c:axId val="246060688"/>
      </c:barChart>
      <c:catAx>
        <c:axId val="246060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606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060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6060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89-48A2-80DC-916A48C708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189-48A2-80DC-916A48C708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89-48A2-80DC-916A48C708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89-48A2-80DC-916A48C708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89-48A2-80DC-916A48C708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189-48A2-80DC-916A48C708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89-48A2-80DC-916A48C708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89-48A2-80DC-916A48C708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89-48A2-80DC-916A48C708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189-48A2-80DC-916A48C708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89-48A2-80DC-916A48C708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89-48A2-80DC-916A48C708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89-48A2-80DC-916A48C708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189-48A2-80DC-916A48C70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061472"/>
        <c:axId val="552661584"/>
      </c:barChart>
      <c:catAx>
        <c:axId val="24606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66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2661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6061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7F-4D8C-A4B0-754F989928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7F-4D8C-A4B0-754F989928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7F-4D8C-A4B0-754F989928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7F-4D8C-A4B0-754F989928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7F-4D8C-A4B0-754F989928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7F-4D8C-A4B0-754F989928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7F-4D8C-A4B0-754F989928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7F-4D8C-A4B0-754F989928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7F-4D8C-A4B0-754F989928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7F-4D8C-A4B0-754F989928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7F-4D8C-A4B0-754F989928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7F-4D8C-A4B0-754F989928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7F-4D8C-A4B0-754F989928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7F-4D8C-A4B0-754F98992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2662368"/>
        <c:axId val="552662760"/>
      </c:barChart>
      <c:catAx>
        <c:axId val="55266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662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2662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2662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02-4699-BD98-9B9D594D0A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02-4699-BD98-9B9D594D0A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02-4699-BD98-9B9D594D0A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02-4699-BD98-9B9D594D0A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02-4699-BD98-9B9D594D0A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02-4699-BD98-9B9D594D0A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02-4699-BD98-9B9D594D0A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02-4699-BD98-9B9D594D0A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02-4699-BD98-9B9D594D0A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02-4699-BD98-9B9D594D0A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02-4699-BD98-9B9D594D0A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02-4699-BD98-9B9D594D0A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02-4699-BD98-9B9D594D0A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02-4699-BD98-9B9D594D0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977616"/>
        <c:axId val="341978008"/>
      </c:barChart>
      <c:catAx>
        <c:axId val="34197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1978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1978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1977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01-4458-A6B4-79A8371D64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501-4458-A6B4-79A8371D645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01-4458-A6B4-79A8371D64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01-4458-A6B4-79A8371D64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01-4458-A6B4-79A8371D64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501-4458-A6B4-79A8371D645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01-4458-A6B4-79A8371D64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01-4458-A6B4-79A8371D64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01-4458-A6B4-79A8371D64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501-4458-A6B4-79A8371D645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501-4458-A6B4-79A8371D64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01-4458-A6B4-79A8371D64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01-4458-A6B4-79A8371D64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501-4458-A6B4-79A8371D6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978792"/>
        <c:axId val="341979184"/>
      </c:barChart>
      <c:catAx>
        <c:axId val="341978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1979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1979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1978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9D-401B-9A25-C25211C5DF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9D-401B-9A25-C25211C5DF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9D-401B-9A25-C25211C5DF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9D-401B-9A25-C25211C5DF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9D-401B-9A25-C25211C5DF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9D-401B-9A25-C25211C5DF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9D-401B-9A25-C25211C5DF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9D-401B-9A25-C25211C5DF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9D-401B-9A25-C25211C5DF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9D-401B-9A25-C25211C5DF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9D-401B-9A25-C25211C5DF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9D-401B-9A25-C25211C5DF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9D-401B-9A25-C25211C5DF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9D-401B-9A25-C25211C5D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989256"/>
        <c:axId val="233989648"/>
      </c:barChart>
      <c:catAx>
        <c:axId val="233989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989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989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989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95-4A25-B957-713AC6DABB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95-4A25-B957-713AC6DABB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95-4A25-B957-713AC6DABB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95-4A25-B957-713AC6DABB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95-4A25-B957-713AC6DABB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95-4A25-B957-713AC6DABB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95-4A25-B957-713AC6DABB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95-4A25-B957-713AC6DABB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95-4A25-B957-713AC6DABB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95-4A25-B957-713AC6DABB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95-4A25-B957-713AC6DABB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95-4A25-B957-713AC6DABB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95-4A25-B957-713AC6DABB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95-4A25-B957-713AC6DAB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990432"/>
        <c:axId val="394103088"/>
      </c:barChart>
      <c:catAx>
        <c:axId val="23399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4103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103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990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118782</xdr:colOff>
      <xdr:row>10</xdr:row>
      <xdr:rowOff>76200</xdr:rowOff>
    </xdr:from>
    <xdr:to>
      <xdr:col>8</xdr:col>
      <xdr:colOff>518832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36576" y="2418229"/>
          <a:ext cx="278690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90237</xdr:colOff>
      <xdr:row>0</xdr:row>
      <xdr:rowOff>118310</xdr:rowOff>
    </xdr:from>
    <xdr:to>
      <xdr:col>1</xdr:col>
      <xdr:colOff>340894</xdr:colOff>
      <xdr:row>2</xdr:row>
      <xdr:rowOff>340894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37" y="118310"/>
          <a:ext cx="902368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60159</xdr:colOff>
      <xdr:row>0</xdr:row>
      <xdr:rowOff>170447</xdr:rowOff>
    </xdr:from>
    <xdr:to>
      <xdr:col>3</xdr:col>
      <xdr:colOff>441159</xdr:colOff>
      <xdr:row>2</xdr:row>
      <xdr:rowOff>300789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32975" y="170447"/>
          <a:ext cx="842210" cy="822158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101610</xdr:colOff>
      <xdr:row>0</xdr:row>
      <xdr:rowOff>63498</xdr:rowOff>
    </xdr:from>
    <xdr:to>
      <xdr:col>1</xdr:col>
      <xdr:colOff>78327</xdr:colOff>
      <xdr:row>2</xdr:row>
      <xdr:rowOff>252940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10" y="63498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5" customFormat="1" ht="17.45" customHeight="1">
      <c r="A1" s="46" t="s">
        <v>99</v>
      </c>
      <c r="B1" s="47" t="s">
        <v>14</v>
      </c>
      <c r="C1" s="47"/>
      <c r="D1" s="47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8"/>
    </row>
    <row r="2" spans="1:21" s="5" customFormat="1" ht="17.45" customHeight="1">
      <c r="A2" s="49"/>
      <c r="B2" s="97"/>
      <c r="C2" s="98"/>
      <c r="D2" s="98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  <c r="R2" s="46"/>
      <c r="S2" s="46"/>
      <c r="T2" s="46"/>
      <c r="U2" s="48"/>
    </row>
    <row r="3" spans="1:21" s="5" customFormat="1" ht="17.45" customHeight="1">
      <c r="A3" s="49"/>
      <c r="B3" s="101"/>
      <c r="C3" s="64"/>
      <c r="D3" s="64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102"/>
      <c r="R3" s="46"/>
      <c r="S3" s="46"/>
      <c r="T3" s="46"/>
      <c r="U3" s="48"/>
    </row>
    <row r="4" spans="1:21" s="5" customFormat="1" ht="10.5" customHeight="1">
      <c r="A4" s="49"/>
      <c r="B4" s="101"/>
      <c r="C4" s="65"/>
      <c r="D4" s="66"/>
      <c r="E4" s="67"/>
      <c r="F4" s="67"/>
      <c r="G4" s="67"/>
      <c r="H4" s="67"/>
      <c r="I4" s="67"/>
      <c r="J4" s="67"/>
      <c r="K4" s="67"/>
      <c r="L4" s="67"/>
      <c r="M4" s="67"/>
      <c r="N4" s="68"/>
      <c r="O4" s="63"/>
      <c r="P4" s="63"/>
      <c r="Q4" s="102"/>
      <c r="R4" s="46"/>
      <c r="S4" s="46"/>
      <c r="T4" s="46"/>
      <c r="U4" s="48"/>
    </row>
    <row r="5" spans="1:21" s="5" customFormat="1" ht="32.25" customHeight="1">
      <c r="A5" s="47"/>
      <c r="B5" s="101"/>
      <c r="C5" s="69"/>
      <c r="D5" s="69"/>
      <c r="E5" s="231" t="s">
        <v>74</v>
      </c>
      <c r="F5" s="231"/>
      <c r="G5" s="231"/>
      <c r="H5" s="231"/>
      <c r="I5" s="231"/>
      <c r="J5" s="231"/>
      <c r="K5" s="231"/>
      <c r="L5" s="231"/>
      <c r="M5" s="231"/>
      <c r="N5" s="70"/>
      <c r="O5" s="63"/>
      <c r="P5" s="63"/>
      <c r="Q5" s="102"/>
      <c r="R5" s="46"/>
      <c r="S5" s="46"/>
      <c r="T5" s="46"/>
      <c r="U5" s="48"/>
    </row>
    <row r="6" spans="1:21" s="5" customFormat="1" ht="17.45" customHeight="1">
      <c r="A6" s="49"/>
      <c r="B6" s="101"/>
      <c r="C6" s="71"/>
      <c r="D6" s="71"/>
      <c r="E6" s="72"/>
      <c r="F6" s="73"/>
      <c r="G6" s="73"/>
      <c r="H6" s="73"/>
      <c r="I6" s="73"/>
      <c r="J6" s="73"/>
      <c r="K6" s="73"/>
      <c r="L6" s="73"/>
      <c r="M6" s="73"/>
      <c r="N6" s="74"/>
      <c r="O6" s="75"/>
      <c r="P6" s="75"/>
      <c r="Q6" s="103"/>
      <c r="R6" s="46"/>
      <c r="S6" s="46"/>
      <c r="T6" s="46"/>
      <c r="U6" s="48"/>
    </row>
    <row r="7" spans="1:21" s="5" customFormat="1" ht="17.45" customHeight="1">
      <c r="A7" s="49"/>
      <c r="B7" s="104"/>
      <c r="C7" s="76"/>
      <c r="D7" s="76"/>
      <c r="E7" s="77"/>
      <c r="F7" s="77"/>
      <c r="G7" s="77"/>
      <c r="H7" s="77"/>
      <c r="I7" s="77"/>
      <c r="J7" s="77"/>
      <c r="K7" s="77"/>
      <c r="L7" s="77"/>
      <c r="M7" s="63"/>
      <c r="N7" s="75"/>
      <c r="O7" s="75"/>
      <c r="P7" s="75"/>
      <c r="Q7" s="103"/>
      <c r="R7" s="46"/>
      <c r="S7" s="46"/>
      <c r="T7" s="46"/>
      <c r="U7" s="48"/>
    </row>
    <row r="8" spans="1:21" s="5" customFormat="1" ht="17.45" customHeight="1">
      <c r="A8" s="49"/>
      <c r="B8" s="105"/>
      <c r="C8" s="78"/>
      <c r="D8" s="78"/>
      <c r="E8" s="79"/>
      <c r="F8" s="80"/>
      <c r="G8" s="80"/>
      <c r="H8" s="80"/>
      <c r="I8" s="81"/>
      <c r="J8" s="81"/>
      <c r="K8" s="81"/>
      <c r="L8" s="82"/>
      <c r="M8" s="63"/>
      <c r="N8" s="63"/>
      <c r="O8" s="75"/>
      <c r="P8" s="75"/>
      <c r="Q8" s="103"/>
      <c r="R8" s="46"/>
      <c r="S8" s="46"/>
      <c r="T8" s="46"/>
      <c r="U8" s="48"/>
    </row>
    <row r="9" spans="1:21" s="5" customFormat="1" ht="17.45" customHeight="1">
      <c r="A9" s="49"/>
      <c r="B9" s="105"/>
      <c r="C9" s="78"/>
      <c r="D9" s="83"/>
      <c r="E9" s="81"/>
      <c r="F9" s="81"/>
      <c r="G9" s="81"/>
      <c r="H9" s="81"/>
      <c r="I9" s="81"/>
      <c r="J9" s="81"/>
      <c r="K9" s="81"/>
      <c r="L9" s="82"/>
      <c r="M9" s="63"/>
      <c r="N9" s="63"/>
      <c r="O9" s="75"/>
      <c r="P9" s="63"/>
      <c r="Q9" s="102"/>
      <c r="R9" s="46"/>
      <c r="S9" s="46"/>
      <c r="T9" s="46"/>
      <c r="U9" s="48"/>
    </row>
    <row r="10" spans="1:21" s="5" customFormat="1" ht="17.45" customHeight="1">
      <c r="A10" s="49"/>
      <c r="B10" s="105"/>
      <c r="C10" s="78"/>
      <c r="D10" s="84"/>
      <c r="E10" s="85"/>
      <c r="F10" s="81"/>
      <c r="G10" s="81"/>
      <c r="H10" s="81"/>
      <c r="I10" s="81"/>
      <c r="J10" s="81"/>
      <c r="K10" s="81"/>
      <c r="L10" s="82"/>
      <c r="M10" s="63"/>
      <c r="N10" s="63"/>
      <c r="O10" s="75"/>
      <c r="P10" s="63"/>
      <c r="Q10" s="102"/>
      <c r="R10" s="46"/>
      <c r="S10" s="46"/>
      <c r="T10" s="46"/>
      <c r="U10" s="48"/>
    </row>
    <row r="11" spans="1:21" s="5" customFormat="1" ht="12" customHeight="1">
      <c r="A11" s="49"/>
      <c r="B11" s="105"/>
      <c r="C11" s="78"/>
      <c r="D11" s="86"/>
      <c r="E11" s="81"/>
      <c r="F11" s="81"/>
      <c r="G11" s="81"/>
      <c r="H11" s="81"/>
      <c r="I11" s="81"/>
      <c r="J11" s="81"/>
      <c r="K11" s="81"/>
      <c r="L11" s="87"/>
      <c r="M11" s="87"/>
      <c r="N11" s="87"/>
      <c r="O11" s="88"/>
      <c r="P11" s="63"/>
      <c r="Q11" s="102"/>
      <c r="R11" s="46"/>
      <c r="S11" s="46"/>
      <c r="T11" s="46"/>
      <c r="U11" s="48"/>
    </row>
    <row r="12" spans="1:21" s="5" customFormat="1" ht="17.45" customHeight="1">
      <c r="A12" s="49"/>
      <c r="B12" s="105"/>
      <c r="C12" s="78"/>
      <c r="D12" s="78"/>
      <c r="E12" s="81"/>
      <c r="F12" s="81"/>
      <c r="G12" s="81"/>
      <c r="H12" s="81"/>
      <c r="I12" s="81"/>
      <c r="J12" s="81"/>
      <c r="K12" s="81"/>
      <c r="L12" s="89"/>
      <c r="M12" s="87"/>
      <c r="N12" s="87"/>
      <c r="O12" s="88"/>
      <c r="P12" s="90"/>
      <c r="Q12" s="102"/>
      <c r="R12" s="46"/>
      <c r="S12" s="46"/>
      <c r="T12" s="46"/>
      <c r="U12" s="48"/>
    </row>
    <row r="13" spans="1:21" s="5" customFormat="1" ht="17.25" customHeight="1">
      <c r="A13" s="49"/>
      <c r="B13" s="106"/>
      <c r="C13" s="78"/>
      <c r="D13" s="78"/>
      <c r="E13" s="91"/>
      <c r="F13" s="81"/>
      <c r="G13" s="81"/>
      <c r="H13" s="81"/>
      <c r="I13" s="81"/>
      <c r="J13" s="81"/>
      <c r="K13" s="81"/>
      <c r="L13" s="89"/>
      <c r="M13" s="87"/>
      <c r="N13" s="87"/>
      <c r="O13" s="88"/>
      <c r="P13" s="90"/>
      <c r="Q13" s="102"/>
      <c r="R13" s="46"/>
      <c r="S13" s="46"/>
      <c r="T13" s="46"/>
      <c r="U13" s="48"/>
    </row>
    <row r="14" spans="1:21" s="5" customFormat="1" ht="17.25" customHeight="1">
      <c r="A14" s="49"/>
      <c r="B14" s="106"/>
      <c r="C14" s="92"/>
      <c r="D14" s="78"/>
      <c r="E14" s="81"/>
      <c r="F14" s="81"/>
      <c r="G14" s="81"/>
      <c r="H14" s="81"/>
      <c r="I14" s="81"/>
      <c r="J14" s="81"/>
      <c r="K14" s="81"/>
      <c r="L14" s="89"/>
      <c r="M14" s="87"/>
      <c r="N14" s="87"/>
      <c r="O14" s="88"/>
      <c r="P14" s="90"/>
      <c r="Q14" s="102"/>
      <c r="R14" s="46"/>
      <c r="S14" s="46"/>
      <c r="T14" s="46"/>
      <c r="U14" s="48"/>
    </row>
    <row r="15" spans="1:21" s="5" customFormat="1" ht="17.45" customHeight="1">
      <c r="A15" s="52"/>
      <c r="B15" s="106"/>
      <c r="C15" s="78"/>
      <c r="D15" s="78"/>
      <c r="E15" s="81"/>
      <c r="F15" s="81"/>
      <c r="G15" s="81"/>
      <c r="H15" s="81"/>
      <c r="I15" s="81"/>
      <c r="J15" s="81"/>
      <c r="K15" s="81"/>
      <c r="L15" s="89"/>
      <c r="M15" s="87"/>
      <c r="N15" s="87"/>
      <c r="O15" s="88"/>
      <c r="P15" s="93"/>
      <c r="Q15" s="107"/>
      <c r="R15" s="46"/>
      <c r="S15" s="46"/>
      <c r="T15" s="46"/>
      <c r="U15" s="48"/>
    </row>
    <row r="16" spans="1:21" s="5" customFormat="1" ht="17.45" customHeight="1">
      <c r="A16" s="52"/>
      <c r="B16" s="105"/>
      <c r="C16" s="78"/>
      <c r="D16" s="78"/>
      <c r="E16" s="94"/>
      <c r="F16" s="81"/>
      <c r="G16" s="81"/>
      <c r="H16" s="81"/>
      <c r="I16" s="81"/>
      <c r="J16" s="81"/>
      <c r="K16" s="81"/>
      <c r="L16" s="89"/>
      <c r="M16" s="87"/>
      <c r="N16" s="87"/>
      <c r="O16" s="88"/>
      <c r="P16" s="93"/>
      <c r="Q16" s="107"/>
      <c r="R16" s="46"/>
      <c r="S16" s="46"/>
      <c r="T16" s="46"/>
      <c r="U16" s="48"/>
    </row>
    <row r="17" spans="1:21" s="5" customFormat="1" ht="17.45" customHeight="1">
      <c r="A17" s="52"/>
      <c r="B17" s="106"/>
      <c r="C17" s="78"/>
      <c r="D17" s="78"/>
      <c r="E17" s="81"/>
      <c r="F17" s="81"/>
      <c r="G17" s="81"/>
      <c r="H17" s="81"/>
      <c r="I17" s="81"/>
      <c r="J17" s="81"/>
      <c r="K17" s="81"/>
      <c r="L17" s="89"/>
      <c r="M17" s="87"/>
      <c r="N17" s="87"/>
      <c r="O17" s="88"/>
      <c r="P17" s="93"/>
      <c r="Q17" s="102"/>
      <c r="R17" s="46"/>
      <c r="S17" s="46"/>
      <c r="T17" s="46"/>
      <c r="U17" s="48"/>
    </row>
    <row r="18" spans="1:21" s="5" customFormat="1" ht="17.25" customHeight="1">
      <c r="A18" s="52"/>
      <c r="B18" s="106"/>
      <c r="C18" s="78"/>
      <c r="D18" s="78"/>
      <c r="E18" s="81"/>
      <c r="F18" s="81"/>
      <c r="G18" s="81"/>
      <c r="H18" s="81"/>
      <c r="I18" s="81"/>
      <c r="J18" s="81"/>
      <c r="K18" s="81"/>
      <c r="L18" s="89"/>
      <c r="M18" s="87"/>
      <c r="N18" s="87"/>
      <c r="O18" s="88"/>
      <c r="P18" s="93"/>
      <c r="Q18" s="102"/>
      <c r="R18" s="46"/>
      <c r="S18" s="46"/>
      <c r="T18" s="46"/>
      <c r="U18" s="48"/>
    </row>
    <row r="19" spans="1:21" s="5" customFormat="1" ht="17.45" customHeight="1">
      <c r="A19" s="52"/>
      <c r="B19" s="105"/>
      <c r="C19" s="78"/>
      <c r="D19" s="78"/>
      <c r="E19" s="81"/>
      <c r="F19" s="81"/>
      <c r="G19" s="81"/>
      <c r="H19" s="81"/>
      <c r="I19" s="81"/>
      <c r="J19" s="81"/>
      <c r="K19" s="81"/>
      <c r="L19" s="95"/>
      <c r="M19" s="87"/>
      <c r="N19" s="87"/>
      <c r="O19" s="88"/>
      <c r="P19" s="93"/>
      <c r="Q19" s="107"/>
      <c r="R19" s="46"/>
      <c r="S19" s="46"/>
      <c r="T19" s="46"/>
      <c r="U19" s="48"/>
    </row>
    <row r="20" spans="1:21" s="5" customFormat="1" ht="17.45" customHeight="1">
      <c r="A20" s="52"/>
      <c r="B20" s="105"/>
      <c r="C20" s="78"/>
      <c r="D20" s="78"/>
      <c r="E20" s="81"/>
      <c r="F20" s="81"/>
      <c r="G20" s="81"/>
      <c r="H20" s="81"/>
      <c r="I20" s="81"/>
      <c r="J20" s="81"/>
      <c r="K20" s="81"/>
      <c r="L20" s="95"/>
      <c r="M20" s="87"/>
      <c r="N20" s="87"/>
      <c r="O20" s="88"/>
      <c r="P20" s="96"/>
      <c r="Q20" s="108"/>
      <c r="R20" s="46"/>
      <c r="S20" s="46"/>
      <c r="T20" s="46"/>
      <c r="U20" s="48"/>
    </row>
    <row r="21" spans="1:21" s="5" customFormat="1" ht="17.45" customHeight="1">
      <c r="A21" s="52"/>
      <c r="B21" s="109"/>
      <c r="C21" s="110"/>
      <c r="D21" s="110"/>
      <c r="E21" s="111"/>
      <c r="F21" s="111"/>
      <c r="G21" s="111"/>
      <c r="H21" s="111"/>
      <c r="I21" s="111"/>
      <c r="J21" s="111"/>
      <c r="K21" s="111"/>
      <c r="L21" s="112"/>
      <c r="M21" s="113"/>
      <c r="N21" s="113"/>
      <c r="O21" s="114"/>
      <c r="P21" s="115"/>
      <c r="Q21" s="116"/>
      <c r="R21" s="46"/>
      <c r="S21" s="46"/>
      <c r="T21" s="46"/>
      <c r="U21" s="48"/>
    </row>
    <row r="22" spans="1:21" s="5" customFormat="1" ht="17.45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8"/>
    </row>
    <row r="23" spans="1:21" s="5" customFormat="1" ht="15" customHeight="1">
      <c r="A23" s="60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0"/>
      <c r="S23" s="61"/>
      <c r="T23" s="61"/>
      <c r="U23" s="61"/>
    </row>
    <row r="24" spans="1:21" s="5" customFormat="1" ht="15" customHeight="1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0"/>
      <c r="S24" s="61"/>
      <c r="T24" s="61"/>
      <c r="U24" s="61"/>
    </row>
    <row r="25" spans="1:21" s="5" customFormat="1" ht="15" customHeight="1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0"/>
      <c r="S25" s="61"/>
      <c r="T25" s="61"/>
      <c r="U25" s="61"/>
    </row>
    <row r="26" spans="1:21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0"/>
      <c r="S26" s="61"/>
      <c r="T26" s="61"/>
      <c r="U26" s="62"/>
    </row>
    <row r="27" spans="1:21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0"/>
      <c r="S27" s="61"/>
      <c r="T27" s="61"/>
      <c r="U27" s="62"/>
    </row>
    <row r="28" spans="1:21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7"/>
      <c r="S28" s="8"/>
      <c r="T28" s="8"/>
    </row>
    <row r="71" spans="2:2">
      <c r="B71" s="10" t="s">
        <v>25</v>
      </c>
    </row>
    <row r="72" spans="2:2">
      <c r="B72" s="11" t="s">
        <v>27</v>
      </c>
    </row>
    <row r="73" spans="2:2">
      <c r="B73" s="12" t="s">
        <v>31</v>
      </c>
    </row>
    <row r="74" spans="2:2">
      <c r="B74" s="13"/>
    </row>
    <row r="76" spans="2:2">
      <c r="B76" s="10" t="s">
        <v>25</v>
      </c>
    </row>
    <row r="77" spans="2:2">
      <c r="B77" s="11" t="s">
        <v>28</v>
      </c>
    </row>
    <row r="78" spans="2:2">
      <c r="B78" s="12" t="s">
        <v>32</v>
      </c>
    </row>
    <row r="79" spans="2:2">
      <c r="B79" s="13"/>
    </row>
    <row r="81" spans="2:2">
      <c r="B81" s="10" t="s">
        <v>33</v>
      </c>
    </row>
    <row r="82" spans="2:2">
      <c r="B82" s="11" t="s">
        <v>21</v>
      </c>
    </row>
    <row r="83" spans="2:2">
      <c r="B83" s="12" t="s">
        <v>29</v>
      </c>
    </row>
    <row r="84" spans="2:2">
      <c r="B84" s="12" t="s">
        <v>34</v>
      </c>
    </row>
    <row r="85" spans="2:2">
      <c r="B85" s="12" t="s">
        <v>35</v>
      </c>
    </row>
    <row r="86" spans="2:2">
      <c r="B86" s="12" t="s">
        <v>36</v>
      </c>
    </row>
    <row r="87" spans="2:2">
      <c r="B87" s="13" t="s">
        <v>37</v>
      </c>
    </row>
    <row r="88" spans="2:2">
      <c r="B88" s="3"/>
    </row>
    <row r="89" spans="2:2">
      <c r="B89" s="10" t="s">
        <v>38</v>
      </c>
    </row>
    <row r="90" spans="2:2">
      <c r="B90" s="14">
        <v>23</v>
      </c>
    </row>
    <row r="91" spans="2:2">
      <c r="B91" s="15">
        <v>27</v>
      </c>
    </row>
    <row r="92" spans="2:2">
      <c r="B92" s="15">
        <v>31</v>
      </c>
    </row>
    <row r="93" spans="2:2">
      <c r="B93" s="15">
        <v>41</v>
      </c>
    </row>
    <row r="94" spans="2:2">
      <c r="B94" s="16" t="s">
        <v>39</v>
      </c>
    </row>
    <row r="95" spans="2:2">
      <c r="B95" s="16" t="s">
        <v>40</v>
      </c>
    </row>
    <row r="96" spans="2:2">
      <c r="B96" s="16" t="s">
        <v>30</v>
      </c>
    </row>
    <row r="97" spans="2:2">
      <c r="B97" s="17" t="s">
        <v>41</v>
      </c>
    </row>
    <row r="98" spans="2:2">
      <c r="B98" s="3"/>
    </row>
    <row r="99" spans="2:2">
      <c r="B99" s="10" t="s">
        <v>26</v>
      </c>
    </row>
    <row r="100" spans="2:2">
      <c r="B100" s="18">
        <v>190</v>
      </c>
    </row>
    <row r="101" spans="2:2">
      <c r="B101" s="19">
        <v>217</v>
      </c>
    </row>
    <row r="102" spans="2:2">
      <c r="B102" s="19">
        <v>250</v>
      </c>
    </row>
    <row r="103" spans="2:2">
      <c r="B103" s="19">
        <v>254</v>
      </c>
    </row>
    <row r="104" spans="2:2">
      <c r="B104" s="19">
        <v>271</v>
      </c>
    </row>
    <row r="105" spans="2:2">
      <c r="B105" s="19">
        <v>304</v>
      </c>
    </row>
    <row r="106" spans="2:2">
      <c r="B106" s="19">
        <v>317</v>
      </c>
    </row>
    <row r="107" spans="2:2">
      <c r="B107" s="19">
        <v>362</v>
      </c>
    </row>
    <row r="108" spans="2:2">
      <c r="B108" s="20"/>
    </row>
    <row r="109" spans="2:2">
      <c r="B109" s="3"/>
    </row>
    <row r="110" spans="2:2">
      <c r="B110" s="10" t="s">
        <v>42</v>
      </c>
    </row>
    <row r="111" spans="2:2">
      <c r="B111" s="11" t="s">
        <v>43</v>
      </c>
    </row>
    <row r="112" spans="2:2">
      <c r="B112" s="12" t="s">
        <v>44</v>
      </c>
    </row>
    <row r="113" spans="2:2">
      <c r="B113" s="12" t="s">
        <v>45</v>
      </c>
    </row>
    <row r="114" spans="2:2">
      <c r="B114" s="13" t="s">
        <v>15</v>
      </c>
    </row>
    <row r="250" spans="6:7">
      <c r="G250" t="s">
        <v>46</v>
      </c>
    </row>
    <row r="252" spans="6:7">
      <c r="F252">
        <v>0</v>
      </c>
      <c r="G252" t="s">
        <v>47</v>
      </c>
    </row>
    <row r="256" spans="6:7">
      <c r="F256">
        <v>0</v>
      </c>
    </row>
    <row r="262" spans="5:6">
      <c r="F262">
        <v>0</v>
      </c>
    </row>
    <row r="270" spans="5:6">
      <c r="E270" t="s">
        <v>48</v>
      </c>
    </row>
    <row r="271" spans="5:6">
      <c r="E271" t="s">
        <v>49</v>
      </c>
    </row>
    <row r="272" spans="5:6">
      <c r="E272" t="s">
        <v>49</v>
      </c>
    </row>
    <row r="274" spans="5:5">
      <c r="E274" t="s">
        <v>50</v>
      </c>
    </row>
    <row r="275" spans="5:5">
      <c r="E275" t="s">
        <v>51</v>
      </c>
    </row>
    <row r="276" spans="5:5">
      <c r="E276" t="s">
        <v>52</v>
      </c>
    </row>
    <row r="277" spans="5:5">
      <c r="E277" t="s">
        <v>49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EC292"/>
  <sheetViews>
    <sheetView tabSelected="1" zoomScale="95" zoomScaleNormal="95" workbookViewId="0">
      <pane xSplit="13" ySplit="4" topLeftCell="N5" activePane="bottomRight" state="frozen"/>
      <selection pane="topRight" activeCell="K1" sqref="K1"/>
      <selection pane="bottomLeft" activeCell="A12" sqref="A12"/>
      <selection pane="bottomRight" activeCell="L9" sqref="L9"/>
    </sheetView>
  </sheetViews>
  <sheetFormatPr baseColWidth="10" defaultRowHeight="15"/>
  <cols>
    <col min="1" max="1" width="8.5" customWidth="1"/>
    <col min="2" max="2" width="5.5" customWidth="1"/>
    <col min="3" max="4" width="6" customWidth="1"/>
    <col min="5" max="5" width="11.875" style="1" customWidth="1"/>
    <col min="6" max="6" width="11.75" style="140" customWidth="1"/>
    <col min="7" max="7" width="8.75" style="1" customWidth="1"/>
    <col min="8" max="10" width="9.75" style="22" customWidth="1"/>
    <col min="11" max="11" width="8.625" style="22" customWidth="1"/>
    <col min="12" max="13" width="8.625" style="4" customWidth="1"/>
    <col min="14" max="14" width="7.625" style="1" customWidth="1"/>
    <col min="15" max="21" width="7.625" style="2" customWidth="1"/>
    <col min="22" max="23" width="7.625" style="1" customWidth="1"/>
    <col min="24" max="25" width="11" style="6"/>
    <col min="26" max="26" width="14.375" style="6" customWidth="1"/>
    <col min="27" max="27" width="13.875" style="6" customWidth="1"/>
    <col min="28" max="34" width="11" style="6"/>
    <col min="35" max="38" width="7.625" style="2" customWidth="1"/>
    <col min="39" max="133" width="11" style="6"/>
  </cols>
  <sheetData>
    <row r="1" spans="1:133" ht="30" customHeight="1" thickBot="1">
      <c r="E1" s="263" t="s">
        <v>18</v>
      </c>
      <c r="F1" s="263"/>
      <c r="G1" s="263"/>
      <c r="H1" s="263"/>
      <c r="I1" s="263"/>
      <c r="J1" s="260"/>
      <c r="K1" s="265" t="s">
        <v>119</v>
      </c>
      <c r="L1" s="266"/>
      <c r="M1" s="267"/>
      <c r="N1" s="9"/>
      <c r="P1" s="171"/>
      <c r="Q1" s="171"/>
      <c r="R1" s="171"/>
      <c r="S1" s="171"/>
      <c r="T1" s="171"/>
      <c r="U1" s="171"/>
      <c r="V1" s="171"/>
      <c r="W1" s="171"/>
      <c r="AI1" s="171"/>
      <c r="AJ1" s="171"/>
      <c r="AK1" s="171"/>
      <c r="AL1" s="171"/>
    </row>
    <row r="2" spans="1:133" ht="24.75" customHeight="1" thickBot="1">
      <c r="E2" s="264" t="s">
        <v>19</v>
      </c>
      <c r="F2" s="264"/>
      <c r="G2" s="264"/>
      <c r="H2" s="264"/>
      <c r="I2" s="264"/>
      <c r="J2" s="260"/>
      <c r="K2" s="266"/>
      <c r="L2" s="266"/>
      <c r="M2" s="267"/>
      <c r="N2" s="234" t="s">
        <v>76</v>
      </c>
      <c r="O2" s="235"/>
      <c r="P2" s="248" t="s">
        <v>55</v>
      </c>
      <c r="Q2" s="248"/>
      <c r="R2" s="248"/>
      <c r="S2" s="248"/>
      <c r="T2" s="248"/>
      <c r="U2" s="249"/>
      <c r="V2" s="250" t="s">
        <v>76</v>
      </c>
      <c r="W2" s="248"/>
      <c r="X2" s="239" t="s">
        <v>83</v>
      </c>
      <c r="Y2" s="240"/>
      <c r="Z2" s="240"/>
      <c r="AA2" s="240"/>
      <c r="AB2" s="241" t="s">
        <v>84</v>
      </c>
      <c r="AC2" s="241"/>
      <c r="AD2" s="237" t="s">
        <v>85</v>
      </c>
      <c r="AE2" s="237"/>
      <c r="AF2" s="237"/>
      <c r="AG2" s="237"/>
      <c r="AH2" s="238"/>
      <c r="AI2" s="174" t="s">
        <v>73</v>
      </c>
      <c r="AJ2" s="174"/>
      <c r="AK2" s="174"/>
      <c r="AL2" s="174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</row>
    <row r="3" spans="1:133" ht="36.75" customHeight="1">
      <c r="E3" s="262" t="s">
        <v>117</v>
      </c>
      <c r="F3" s="262"/>
      <c r="G3" s="262"/>
      <c r="H3" s="262"/>
      <c r="I3" s="262"/>
      <c r="J3" s="261"/>
      <c r="K3" s="268"/>
      <c r="L3" s="268"/>
      <c r="M3" s="269"/>
      <c r="N3" s="251" t="s">
        <v>108</v>
      </c>
      <c r="O3" s="252"/>
      <c r="P3" s="232" t="s">
        <v>72</v>
      </c>
      <c r="Q3" s="233"/>
      <c r="R3" s="232" t="s">
        <v>103</v>
      </c>
      <c r="S3" s="233"/>
      <c r="T3" s="244" t="s">
        <v>102</v>
      </c>
      <c r="U3" s="245"/>
      <c r="V3" s="246" t="s">
        <v>109</v>
      </c>
      <c r="W3" s="247"/>
      <c r="X3" s="242" t="s">
        <v>86</v>
      </c>
      <c r="Y3" s="243"/>
      <c r="Z3" s="178" t="s">
        <v>87</v>
      </c>
      <c r="AA3" s="178" t="s">
        <v>88</v>
      </c>
      <c r="AB3" s="179" t="s">
        <v>89</v>
      </c>
      <c r="AC3" s="179" t="s">
        <v>90</v>
      </c>
      <c r="AD3" s="236" t="s">
        <v>91</v>
      </c>
      <c r="AE3" s="236"/>
      <c r="AF3" s="236" t="s">
        <v>87</v>
      </c>
      <c r="AG3" s="236"/>
      <c r="AH3" s="180" t="s">
        <v>88</v>
      </c>
      <c r="AI3" s="176"/>
      <c r="AJ3" s="177"/>
      <c r="AK3" s="173" t="s">
        <v>71</v>
      </c>
      <c r="AL3" s="172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</row>
    <row r="4" spans="1:133" ht="45">
      <c r="A4" s="181" t="s">
        <v>25</v>
      </c>
      <c r="B4" s="182" t="s">
        <v>110</v>
      </c>
      <c r="C4" s="182" t="s">
        <v>111</v>
      </c>
      <c r="D4" s="182" t="s">
        <v>20</v>
      </c>
      <c r="E4" s="182" t="s">
        <v>1</v>
      </c>
      <c r="F4" s="183" t="s">
        <v>112</v>
      </c>
      <c r="G4" s="183" t="s">
        <v>5</v>
      </c>
      <c r="H4" s="183" t="s">
        <v>54</v>
      </c>
      <c r="I4" s="183" t="s">
        <v>62</v>
      </c>
      <c r="J4" s="183" t="s">
        <v>113</v>
      </c>
      <c r="K4" s="183" t="s">
        <v>22</v>
      </c>
      <c r="L4" s="183" t="s">
        <v>23</v>
      </c>
      <c r="M4" s="184" t="s">
        <v>114</v>
      </c>
      <c r="N4" s="185" t="s">
        <v>17</v>
      </c>
      <c r="O4" s="186" t="s">
        <v>2</v>
      </c>
      <c r="P4" s="186" t="s">
        <v>17</v>
      </c>
      <c r="Q4" s="186" t="s">
        <v>2</v>
      </c>
      <c r="R4" s="186" t="s">
        <v>17</v>
      </c>
      <c r="S4" s="186" t="s">
        <v>2</v>
      </c>
      <c r="T4" s="186" t="s">
        <v>17</v>
      </c>
      <c r="U4" s="186" t="s">
        <v>2</v>
      </c>
      <c r="V4" s="186" t="s">
        <v>17</v>
      </c>
      <c r="W4" s="187" t="s">
        <v>2</v>
      </c>
      <c r="X4" s="188" t="s">
        <v>92</v>
      </c>
      <c r="Y4" s="189" t="s">
        <v>93</v>
      </c>
      <c r="Z4" s="189" t="s">
        <v>92</v>
      </c>
      <c r="AA4" s="190" t="s">
        <v>94</v>
      </c>
      <c r="AB4" s="191" t="s">
        <v>95</v>
      </c>
      <c r="AC4" s="192" t="s">
        <v>96</v>
      </c>
      <c r="AD4" s="193" t="s">
        <v>92</v>
      </c>
      <c r="AE4" s="193" t="s">
        <v>93</v>
      </c>
      <c r="AF4" s="193" t="s">
        <v>92</v>
      </c>
      <c r="AG4" s="193" t="s">
        <v>97</v>
      </c>
      <c r="AH4" s="194" t="s">
        <v>94</v>
      </c>
      <c r="AI4" s="44" t="s">
        <v>17</v>
      </c>
      <c r="AJ4" s="44" t="s">
        <v>2</v>
      </c>
      <c r="AK4" s="44" t="s">
        <v>17</v>
      </c>
      <c r="AL4" s="44" t="s">
        <v>2</v>
      </c>
      <c r="AM4" s="195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</row>
    <row r="5" spans="1:133" ht="15.75">
      <c r="A5" s="196" t="s">
        <v>115</v>
      </c>
      <c r="B5">
        <v>88.9</v>
      </c>
      <c r="C5" s="230">
        <v>6.45</v>
      </c>
      <c r="D5" s="167" t="s">
        <v>116</v>
      </c>
      <c r="E5" s="142">
        <v>42507</v>
      </c>
      <c r="F5" s="141" t="s">
        <v>80</v>
      </c>
      <c r="G5" s="143">
        <v>1195</v>
      </c>
      <c r="H5" s="21">
        <v>12789</v>
      </c>
      <c r="I5" s="197">
        <v>1810202</v>
      </c>
      <c r="J5" s="197" t="s">
        <v>118</v>
      </c>
      <c r="K5" s="21">
        <v>48</v>
      </c>
      <c r="L5" s="132">
        <v>0.33</v>
      </c>
      <c r="M5" s="147">
        <v>3</v>
      </c>
      <c r="N5" s="198">
        <v>87.8</v>
      </c>
      <c r="O5" s="24">
        <v>104.9</v>
      </c>
      <c r="P5" s="24">
        <v>83.4</v>
      </c>
      <c r="Q5" s="150">
        <v>101.7</v>
      </c>
      <c r="R5" s="24"/>
      <c r="S5" s="24"/>
      <c r="T5" s="24">
        <v>87.7</v>
      </c>
      <c r="U5" s="24">
        <v>104.3</v>
      </c>
      <c r="V5" s="24">
        <v>89.7</v>
      </c>
      <c r="W5" s="24">
        <v>105.1</v>
      </c>
      <c r="X5" s="135">
        <v>850</v>
      </c>
      <c r="Y5" s="136">
        <v>750</v>
      </c>
      <c r="Z5" s="139">
        <v>930</v>
      </c>
      <c r="AA5" s="139">
        <v>52</v>
      </c>
      <c r="AB5" s="137">
        <v>0.32</v>
      </c>
      <c r="AC5" s="137">
        <v>850</v>
      </c>
      <c r="AD5" s="139">
        <v>600</v>
      </c>
      <c r="AE5" s="139">
        <v>515</v>
      </c>
      <c r="AF5" s="139">
        <v>610</v>
      </c>
      <c r="AG5" s="137">
        <v>610</v>
      </c>
      <c r="AH5" s="138">
        <v>52</v>
      </c>
      <c r="AI5" s="24"/>
      <c r="AJ5" s="24"/>
      <c r="AK5" s="24">
        <v>81.7</v>
      </c>
      <c r="AL5" s="149">
        <v>99</v>
      </c>
      <c r="AM5" s="199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</row>
    <row r="6" spans="1:133">
      <c r="A6" s="196" t="s">
        <v>115</v>
      </c>
      <c r="B6">
        <v>88.9</v>
      </c>
      <c r="C6" s="230">
        <v>6.45</v>
      </c>
      <c r="D6" s="167" t="s">
        <v>116</v>
      </c>
      <c r="E6" s="142">
        <v>42507</v>
      </c>
      <c r="F6" s="141" t="s">
        <v>80</v>
      </c>
      <c r="G6" s="143">
        <v>1195</v>
      </c>
      <c r="H6" s="21">
        <v>12789</v>
      </c>
      <c r="I6" s="197">
        <v>1810202</v>
      </c>
      <c r="J6" s="197" t="s">
        <v>118</v>
      </c>
      <c r="K6" s="21">
        <v>48</v>
      </c>
      <c r="L6" s="132">
        <v>0.33</v>
      </c>
      <c r="M6" s="147">
        <v>15</v>
      </c>
      <c r="N6" s="198">
        <v>88.1</v>
      </c>
      <c r="O6" s="24">
        <v>104.6</v>
      </c>
      <c r="P6" s="24">
        <v>83.9</v>
      </c>
      <c r="Q6" s="150">
        <v>100.9</v>
      </c>
      <c r="R6" s="24"/>
      <c r="S6" s="24"/>
      <c r="T6" s="24">
        <v>82.7</v>
      </c>
      <c r="U6" s="150">
        <v>101.1</v>
      </c>
      <c r="V6" s="24">
        <v>90.3</v>
      </c>
      <c r="W6" s="24">
        <v>106.4</v>
      </c>
      <c r="X6" s="135">
        <v>850</v>
      </c>
      <c r="Y6" s="136">
        <v>750</v>
      </c>
      <c r="Z6" s="139">
        <v>930</v>
      </c>
      <c r="AA6" s="139">
        <v>52</v>
      </c>
      <c r="AB6" s="137">
        <v>0.32</v>
      </c>
      <c r="AC6" s="137">
        <v>850</v>
      </c>
      <c r="AD6" s="139">
        <v>600</v>
      </c>
      <c r="AE6" s="139">
        <v>515</v>
      </c>
      <c r="AF6" s="139">
        <v>610</v>
      </c>
      <c r="AG6" s="137">
        <v>610</v>
      </c>
      <c r="AH6" s="138">
        <v>52</v>
      </c>
      <c r="AI6" s="24"/>
      <c r="AJ6" s="24"/>
      <c r="AK6" s="24">
        <v>86.5</v>
      </c>
      <c r="AL6" s="24">
        <v>102.9</v>
      </c>
      <c r="AM6" s="199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</row>
    <row r="7" spans="1:133" s="164" customFormat="1" ht="18.75" customHeight="1" thickBot="1">
      <c r="A7" s="196" t="s">
        <v>115</v>
      </c>
      <c r="B7">
        <v>88.9</v>
      </c>
      <c r="C7" s="230">
        <v>6.45</v>
      </c>
      <c r="D7" s="167" t="s">
        <v>116</v>
      </c>
      <c r="E7" s="162">
        <v>42507</v>
      </c>
      <c r="F7" s="200" t="s">
        <v>80</v>
      </c>
      <c r="G7" s="163">
        <v>1195</v>
      </c>
      <c r="H7" s="201">
        <v>12789</v>
      </c>
      <c r="I7" s="201">
        <v>1810202</v>
      </c>
      <c r="J7" s="197" t="s">
        <v>118</v>
      </c>
      <c r="K7" s="201">
        <v>48</v>
      </c>
      <c r="L7" s="202">
        <v>0.33</v>
      </c>
      <c r="M7" s="203">
        <v>32</v>
      </c>
      <c r="N7" s="204">
        <v>88.2</v>
      </c>
      <c r="O7" s="205">
        <v>104.6</v>
      </c>
      <c r="P7" s="205">
        <v>84.6</v>
      </c>
      <c r="Q7" s="206">
        <v>101.8</v>
      </c>
      <c r="R7" s="205"/>
      <c r="S7" s="205"/>
      <c r="T7" s="205">
        <v>87.5</v>
      </c>
      <c r="U7" s="205">
        <v>103.6</v>
      </c>
      <c r="V7" s="205">
        <v>93.5</v>
      </c>
      <c r="W7" s="205">
        <v>108.4</v>
      </c>
      <c r="X7" s="207">
        <v>850</v>
      </c>
      <c r="Y7" s="208">
        <v>750</v>
      </c>
      <c r="Z7" s="209">
        <v>930</v>
      </c>
      <c r="AA7" s="209">
        <v>52</v>
      </c>
      <c r="AB7" s="210">
        <v>0.32</v>
      </c>
      <c r="AC7" s="210">
        <v>850</v>
      </c>
      <c r="AD7" s="209">
        <v>600</v>
      </c>
      <c r="AE7" s="209">
        <v>515</v>
      </c>
      <c r="AF7" s="209">
        <v>610</v>
      </c>
      <c r="AG7" s="210">
        <v>610</v>
      </c>
      <c r="AH7" s="211">
        <v>52</v>
      </c>
      <c r="AI7" s="205"/>
      <c r="AJ7" s="205"/>
      <c r="AK7" s="205">
        <v>83.7</v>
      </c>
      <c r="AL7" s="206">
        <v>101.3</v>
      </c>
      <c r="AM7" s="212"/>
    </row>
    <row r="8" spans="1:133">
      <c r="A8" s="196" t="s">
        <v>115</v>
      </c>
      <c r="B8">
        <v>88.9</v>
      </c>
      <c r="C8" s="230">
        <v>6.45</v>
      </c>
      <c r="D8" s="167" t="s">
        <v>116</v>
      </c>
      <c r="E8" s="142">
        <v>42545</v>
      </c>
      <c r="F8" s="151" t="s">
        <v>80</v>
      </c>
      <c r="G8" s="143">
        <v>1235</v>
      </c>
      <c r="H8" s="152">
        <v>12789</v>
      </c>
      <c r="I8" s="153">
        <v>1810202</v>
      </c>
      <c r="J8" s="197" t="s">
        <v>118</v>
      </c>
      <c r="K8" s="152">
        <v>48</v>
      </c>
      <c r="L8" s="170">
        <v>0.33</v>
      </c>
      <c r="M8" s="155">
        <v>51</v>
      </c>
      <c r="N8" s="165">
        <v>99</v>
      </c>
      <c r="O8" s="156">
        <v>111.7</v>
      </c>
      <c r="P8" s="156"/>
      <c r="Q8" s="156"/>
      <c r="R8" s="156">
        <v>96.2</v>
      </c>
      <c r="S8" s="156">
        <v>110.2</v>
      </c>
      <c r="T8" s="156"/>
      <c r="U8" s="156"/>
      <c r="V8" s="156">
        <v>100</v>
      </c>
      <c r="W8" s="156">
        <v>113.6</v>
      </c>
      <c r="X8" s="157">
        <v>930</v>
      </c>
      <c r="Y8" s="158">
        <v>900</v>
      </c>
      <c r="Z8" s="159">
        <v>970</v>
      </c>
      <c r="AA8" s="159">
        <v>70</v>
      </c>
      <c r="AB8" s="160">
        <v>0.32</v>
      </c>
      <c r="AC8" s="160">
        <v>1200</v>
      </c>
      <c r="AD8" s="159">
        <v>590</v>
      </c>
      <c r="AE8" s="159">
        <v>550</v>
      </c>
      <c r="AF8" s="159">
        <v>590</v>
      </c>
      <c r="AG8" s="160">
        <v>590</v>
      </c>
      <c r="AH8" s="161">
        <v>70</v>
      </c>
      <c r="AI8"/>
      <c r="AJ8"/>
      <c r="AK8"/>
      <c r="AL8"/>
      <c r="AM8" s="199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</row>
    <row r="9" spans="1:133">
      <c r="A9" s="196" t="s">
        <v>115</v>
      </c>
      <c r="B9">
        <v>88.9</v>
      </c>
      <c r="C9" s="230">
        <v>6.45</v>
      </c>
      <c r="D9" s="167" t="s">
        <v>116</v>
      </c>
      <c r="E9" s="142">
        <v>42545</v>
      </c>
      <c r="F9" s="151" t="s">
        <v>80</v>
      </c>
      <c r="G9" s="143">
        <v>1235</v>
      </c>
      <c r="H9" s="152">
        <v>12789</v>
      </c>
      <c r="I9" s="153">
        <v>1810202</v>
      </c>
      <c r="J9" s="197" t="s">
        <v>118</v>
      </c>
      <c r="K9" s="152">
        <v>48</v>
      </c>
      <c r="L9" s="132">
        <v>0.33</v>
      </c>
      <c r="M9" s="147">
        <v>61</v>
      </c>
      <c r="N9" s="198">
        <v>99.7</v>
      </c>
      <c r="O9" s="24">
        <v>112.2</v>
      </c>
      <c r="P9" s="24"/>
      <c r="Q9" s="24"/>
      <c r="R9" s="24">
        <v>96.1</v>
      </c>
      <c r="S9" s="24">
        <v>110.3</v>
      </c>
      <c r="T9" s="24"/>
      <c r="U9" s="24"/>
      <c r="V9" s="24">
        <v>100</v>
      </c>
      <c r="W9" s="24">
        <v>113.7</v>
      </c>
      <c r="X9" s="157">
        <v>930</v>
      </c>
      <c r="Y9" s="158">
        <v>900</v>
      </c>
      <c r="Z9" s="159">
        <v>970</v>
      </c>
      <c r="AA9" s="159">
        <v>70</v>
      </c>
      <c r="AB9" s="160">
        <v>0.32</v>
      </c>
      <c r="AC9" s="160">
        <v>1200</v>
      </c>
      <c r="AD9" s="159">
        <v>590</v>
      </c>
      <c r="AE9" s="159">
        <v>550</v>
      </c>
      <c r="AF9" s="159">
        <v>590</v>
      </c>
      <c r="AG9" s="160">
        <v>590</v>
      </c>
      <c r="AH9" s="161">
        <v>70</v>
      </c>
      <c r="AI9"/>
      <c r="AJ9"/>
      <c r="AK9"/>
      <c r="AL9"/>
      <c r="AM9" s="19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</row>
    <row r="10" spans="1:133">
      <c r="A10" s="196" t="s">
        <v>115</v>
      </c>
      <c r="B10">
        <v>88.9</v>
      </c>
      <c r="C10" s="230">
        <v>6.45</v>
      </c>
      <c r="D10" s="167" t="s">
        <v>116</v>
      </c>
      <c r="E10" s="25">
        <v>42565</v>
      </c>
      <c r="F10" s="151" t="s">
        <v>80</v>
      </c>
      <c r="G10" s="23">
        <v>1301</v>
      </c>
      <c r="H10" s="21">
        <v>12789</v>
      </c>
      <c r="I10" s="153">
        <v>1810202</v>
      </c>
      <c r="J10" s="197" t="s">
        <v>118</v>
      </c>
      <c r="K10" s="152">
        <v>48</v>
      </c>
      <c r="L10" s="132">
        <v>0.33</v>
      </c>
      <c r="M10" s="147">
        <v>70</v>
      </c>
      <c r="N10" s="198">
        <v>97.5</v>
      </c>
      <c r="O10" s="24">
        <v>110.3</v>
      </c>
      <c r="P10" s="24"/>
      <c r="Q10" s="24"/>
      <c r="R10" s="24"/>
      <c r="S10" s="24"/>
      <c r="T10" s="24"/>
      <c r="U10" s="24"/>
      <c r="V10" s="24"/>
      <c r="W10" s="24"/>
      <c r="X10" s="157">
        <v>930</v>
      </c>
      <c r="Y10" s="158">
        <v>900</v>
      </c>
      <c r="Z10" s="159">
        <v>970</v>
      </c>
      <c r="AA10" s="159">
        <v>70</v>
      </c>
      <c r="AB10" s="160">
        <v>0.32</v>
      </c>
      <c r="AC10" s="160">
        <v>1200</v>
      </c>
      <c r="AD10" s="159">
        <v>590</v>
      </c>
      <c r="AE10" s="159">
        <v>550</v>
      </c>
      <c r="AF10" s="159">
        <v>590</v>
      </c>
      <c r="AG10" s="160">
        <v>590</v>
      </c>
      <c r="AH10" s="161">
        <v>70</v>
      </c>
      <c r="AI10"/>
      <c r="AJ10"/>
      <c r="AK10"/>
      <c r="AL10"/>
      <c r="AM10" s="199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</row>
    <row r="11" spans="1:133">
      <c r="A11" s="196" t="s">
        <v>115</v>
      </c>
      <c r="B11">
        <v>88.9</v>
      </c>
      <c r="C11" s="230">
        <v>6.45</v>
      </c>
      <c r="D11" s="167" t="s">
        <v>116</v>
      </c>
      <c r="E11" s="25">
        <v>42597</v>
      </c>
      <c r="F11" s="141" t="s">
        <v>80</v>
      </c>
      <c r="G11" s="23">
        <v>1345</v>
      </c>
      <c r="H11" s="21">
        <v>12789</v>
      </c>
      <c r="I11" s="153">
        <v>1810202</v>
      </c>
      <c r="J11" s="197" t="s">
        <v>118</v>
      </c>
      <c r="K11" s="152">
        <v>48</v>
      </c>
      <c r="L11" s="132">
        <v>0.33</v>
      </c>
      <c r="M11" s="147">
        <v>358</v>
      </c>
      <c r="N11" s="198">
        <v>100.1</v>
      </c>
      <c r="O11" s="24">
        <v>113.1</v>
      </c>
      <c r="P11" s="24"/>
      <c r="Q11" s="24"/>
      <c r="R11" s="24"/>
      <c r="S11" s="24"/>
      <c r="T11" s="24"/>
      <c r="U11" s="24"/>
      <c r="V11" s="24"/>
      <c r="W11" s="24"/>
      <c r="X11" s="157">
        <v>930</v>
      </c>
      <c r="Y11" s="158">
        <v>900</v>
      </c>
      <c r="Z11" s="159">
        <v>970</v>
      </c>
      <c r="AA11" s="159">
        <v>70</v>
      </c>
      <c r="AB11" s="160">
        <v>0.32</v>
      </c>
      <c r="AC11" s="160">
        <v>1200</v>
      </c>
      <c r="AD11" s="159">
        <v>590</v>
      </c>
      <c r="AE11" s="159">
        <v>550</v>
      </c>
      <c r="AF11" s="159">
        <v>590</v>
      </c>
      <c r="AG11" s="160">
        <v>590</v>
      </c>
      <c r="AH11" s="161">
        <v>70</v>
      </c>
      <c r="AI11"/>
      <c r="AJ11"/>
      <c r="AK11"/>
      <c r="AL11"/>
      <c r="AM11" s="199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</row>
    <row r="12" spans="1:133">
      <c r="A12" s="196" t="s">
        <v>115</v>
      </c>
      <c r="B12">
        <v>88.9</v>
      </c>
      <c r="C12" s="230">
        <v>6.45</v>
      </c>
      <c r="D12" s="167" t="s">
        <v>116</v>
      </c>
      <c r="E12" s="25">
        <v>42601</v>
      </c>
      <c r="F12" s="141" t="s">
        <v>80</v>
      </c>
      <c r="G12" s="23">
        <v>1381</v>
      </c>
      <c r="H12" s="21">
        <v>12789</v>
      </c>
      <c r="I12" s="197">
        <v>1808801</v>
      </c>
      <c r="J12" s="197" t="s">
        <v>118</v>
      </c>
      <c r="K12" s="152">
        <v>48</v>
      </c>
      <c r="L12" s="132">
        <v>0.33</v>
      </c>
      <c r="M12" s="147">
        <v>556</v>
      </c>
      <c r="N12" s="198">
        <v>96.3</v>
      </c>
      <c r="O12" s="24">
        <v>108.7</v>
      </c>
      <c r="P12" s="24"/>
      <c r="Q12" s="24"/>
      <c r="R12" s="24"/>
      <c r="S12" s="24"/>
      <c r="T12" s="24"/>
      <c r="U12" s="24"/>
      <c r="V12" s="24"/>
      <c r="W12" s="24"/>
      <c r="X12" s="157">
        <v>930</v>
      </c>
      <c r="Y12" s="158">
        <v>900</v>
      </c>
      <c r="Z12" s="159">
        <v>970</v>
      </c>
      <c r="AA12" s="159">
        <v>70</v>
      </c>
      <c r="AB12" s="160">
        <v>0.32</v>
      </c>
      <c r="AC12" s="160">
        <v>1200</v>
      </c>
      <c r="AD12" s="159">
        <v>600</v>
      </c>
      <c r="AE12" s="159">
        <v>560</v>
      </c>
      <c r="AF12" s="159">
        <v>605</v>
      </c>
      <c r="AG12" s="160">
        <v>605</v>
      </c>
      <c r="AH12" s="161">
        <v>70</v>
      </c>
      <c r="AI12"/>
      <c r="AJ12"/>
      <c r="AK12"/>
      <c r="AL12"/>
      <c r="AM12" s="199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</row>
    <row r="13" spans="1:133">
      <c r="A13" s="196" t="s">
        <v>115</v>
      </c>
      <c r="B13">
        <v>88.9</v>
      </c>
      <c r="C13" s="230">
        <v>6.45</v>
      </c>
      <c r="D13" s="167" t="s">
        <v>116</v>
      </c>
      <c r="E13" s="25">
        <v>42700</v>
      </c>
      <c r="F13" s="141" t="s">
        <v>106</v>
      </c>
      <c r="G13" s="23">
        <v>1724</v>
      </c>
      <c r="H13" s="21">
        <v>12754</v>
      </c>
      <c r="I13" s="197">
        <v>1892401</v>
      </c>
      <c r="J13" s="197" t="s">
        <v>118</v>
      </c>
      <c r="K13" s="21">
        <v>49</v>
      </c>
      <c r="L13" s="132">
        <v>1.28</v>
      </c>
      <c r="M13" s="147">
        <v>30</v>
      </c>
      <c r="N13" s="198">
        <v>77.900000000000006</v>
      </c>
      <c r="O13" s="24">
        <v>94.7</v>
      </c>
      <c r="P13" s="24">
        <v>80</v>
      </c>
      <c r="Q13" s="24">
        <v>95.4</v>
      </c>
      <c r="R13" s="24">
        <v>85.6</v>
      </c>
      <c r="S13" s="24">
        <v>98.3</v>
      </c>
      <c r="T13" s="24">
        <v>83.3</v>
      </c>
      <c r="U13" s="24">
        <v>99</v>
      </c>
      <c r="V13" s="24">
        <v>81.900000000000006</v>
      </c>
      <c r="W13" s="24">
        <v>98.6</v>
      </c>
      <c r="X13" s="135">
        <v>930</v>
      </c>
      <c r="Y13" s="136">
        <v>840</v>
      </c>
      <c r="Z13" s="139">
        <v>970</v>
      </c>
      <c r="AA13" s="139">
        <v>75</v>
      </c>
      <c r="AB13" s="137">
        <v>0.26</v>
      </c>
      <c r="AC13" s="137">
        <v>1300</v>
      </c>
      <c r="AD13" s="139">
        <v>570</v>
      </c>
      <c r="AE13" s="139">
        <v>470</v>
      </c>
      <c r="AF13" s="139">
        <v>570</v>
      </c>
      <c r="AG13" s="137">
        <v>570</v>
      </c>
      <c r="AH13" s="138">
        <v>75</v>
      </c>
      <c r="AI13" s="156"/>
      <c r="AJ13" s="156"/>
      <c r="AK13" s="156"/>
      <c r="AL13" s="156"/>
      <c r="AM13" s="199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</row>
    <row r="14" spans="1:133">
      <c r="A14" s="213"/>
      <c r="E14" s="25"/>
      <c r="F14" s="141"/>
      <c r="G14" s="23"/>
      <c r="H14" s="21"/>
      <c r="I14" s="197"/>
      <c r="J14" s="197"/>
      <c r="K14" s="21"/>
      <c r="L14" s="132"/>
      <c r="M14" s="147"/>
      <c r="N14" s="198"/>
      <c r="O14" s="24"/>
      <c r="P14" s="24"/>
      <c r="Q14" s="24"/>
      <c r="R14" s="24"/>
      <c r="S14" s="24"/>
      <c r="T14" s="24"/>
      <c r="U14" s="24"/>
      <c r="V14" s="24"/>
      <c r="W14" s="24"/>
      <c r="X14" s="135"/>
      <c r="Y14" s="136"/>
      <c r="Z14" s="139"/>
      <c r="AA14" s="139"/>
      <c r="AB14" s="137"/>
      <c r="AC14" s="137"/>
      <c r="AD14" s="139"/>
      <c r="AE14" s="139"/>
      <c r="AF14" s="139"/>
      <c r="AG14" s="137"/>
      <c r="AH14" s="138"/>
      <c r="AI14" s="24"/>
      <c r="AJ14" s="24"/>
      <c r="AK14" s="24"/>
      <c r="AL14" s="24"/>
      <c r="AM14" s="199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</row>
    <row r="15" spans="1:133">
      <c r="A15" s="213"/>
      <c r="E15" s="25"/>
      <c r="F15" s="141"/>
      <c r="G15" s="23"/>
      <c r="H15" s="21"/>
      <c r="I15" s="197"/>
      <c r="J15" s="197"/>
      <c r="K15" s="21"/>
      <c r="L15" s="132"/>
      <c r="M15" s="147"/>
      <c r="N15" s="198"/>
      <c r="O15" s="24"/>
      <c r="P15" s="24"/>
      <c r="Q15" s="24"/>
      <c r="R15" s="24"/>
      <c r="S15" s="24"/>
      <c r="T15" s="24"/>
      <c r="U15" s="24"/>
      <c r="V15" s="24"/>
      <c r="W15" s="24"/>
      <c r="X15" s="135"/>
      <c r="Y15" s="136"/>
      <c r="Z15" s="139"/>
      <c r="AA15" s="139"/>
      <c r="AB15" s="137"/>
      <c r="AC15" s="137"/>
      <c r="AD15" s="139"/>
      <c r="AE15" s="139"/>
      <c r="AF15" s="139"/>
      <c r="AG15" s="137"/>
      <c r="AH15" s="138"/>
      <c r="AI15" s="24"/>
      <c r="AJ15" s="24"/>
      <c r="AK15" s="24"/>
      <c r="AL15" s="24"/>
      <c r="AM15" s="199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</row>
    <row r="16" spans="1:133">
      <c r="A16" s="213"/>
      <c r="E16" s="25"/>
      <c r="F16" s="141"/>
      <c r="G16" s="23"/>
      <c r="H16" s="21"/>
      <c r="I16" s="197"/>
      <c r="J16" s="197"/>
      <c r="K16" s="21"/>
      <c r="L16" s="132"/>
      <c r="M16" s="147"/>
      <c r="N16" s="198"/>
      <c r="O16" s="24"/>
      <c r="P16" s="24"/>
      <c r="Q16" s="24"/>
      <c r="R16" s="24"/>
      <c r="S16" s="24"/>
      <c r="T16" s="24"/>
      <c r="U16" s="24"/>
      <c r="V16" s="24"/>
      <c r="W16" s="24"/>
      <c r="X16" s="135"/>
      <c r="Y16" s="136"/>
      <c r="Z16" s="139"/>
      <c r="AA16" s="139"/>
      <c r="AB16" s="137"/>
      <c r="AC16" s="137"/>
      <c r="AD16" s="139"/>
      <c r="AE16" s="139"/>
      <c r="AF16" s="139"/>
      <c r="AG16" s="137"/>
      <c r="AH16" s="138"/>
      <c r="AI16" s="24"/>
      <c r="AJ16" s="24"/>
      <c r="AK16" s="24"/>
      <c r="AL16" s="24"/>
      <c r="AM16" s="199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</row>
    <row r="17" spans="1:133">
      <c r="A17" s="213"/>
      <c r="E17" s="25"/>
      <c r="F17"/>
      <c r="G17" s="23"/>
      <c r="H17" s="21"/>
      <c r="I17" s="197"/>
      <c r="J17" s="197"/>
      <c r="K17" s="21"/>
      <c r="L17" s="132"/>
      <c r="M17" s="147"/>
      <c r="N17" s="198"/>
      <c r="O17" s="24"/>
      <c r="P17" s="24"/>
      <c r="Q17" s="24"/>
      <c r="R17" s="24"/>
      <c r="S17" s="24"/>
      <c r="T17" s="24"/>
      <c r="U17" s="24"/>
      <c r="V17" s="24"/>
      <c r="W17" s="24"/>
      <c r="X17" s="135"/>
      <c r="Y17" s="136"/>
      <c r="Z17" s="139"/>
      <c r="AA17" s="139"/>
      <c r="AB17" s="137"/>
      <c r="AC17" s="137"/>
      <c r="AD17" s="139"/>
      <c r="AE17" s="139"/>
      <c r="AF17" s="139"/>
      <c r="AG17" s="137"/>
      <c r="AH17" s="138"/>
      <c r="AI17" s="24"/>
      <c r="AJ17" s="24"/>
      <c r="AK17" s="24"/>
      <c r="AL17" s="24"/>
      <c r="AM17" s="199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</row>
    <row r="18" spans="1:133">
      <c r="A18" s="213"/>
      <c r="E18" s="25"/>
      <c r="F18" s="141"/>
      <c r="G18" s="23"/>
      <c r="H18" s="21"/>
      <c r="I18" s="197"/>
      <c r="J18" s="197"/>
      <c r="K18" s="21"/>
      <c r="L18" s="132"/>
      <c r="M18" s="147"/>
      <c r="N18" s="198"/>
      <c r="O18" s="24"/>
      <c r="P18" s="24"/>
      <c r="Q18" s="24"/>
      <c r="R18" s="24"/>
      <c r="S18" s="24"/>
      <c r="T18" s="24"/>
      <c r="U18" s="24"/>
      <c r="V18" s="24"/>
      <c r="W18" s="24"/>
      <c r="X18" s="135"/>
      <c r="Y18" s="136"/>
      <c r="Z18" s="139"/>
      <c r="AA18" s="139"/>
      <c r="AB18" s="137"/>
      <c r="AC18" s="137"/>
      <c r="AD18" s="139"/>
      <c r="AE18" s="139"/>
      <c r="AF18" s="139"/>
      <c r="AG18" s="137"/>
      <c r="AH18" s="138"/>
      <c r="AI18" s="24"/>
      <c r="AJ18" s="24"/>
      <c r="AK18" s="24"/>
      <c r="AL18" s="24"/>
      <c r="AM18" s="199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</row>
    <row r="19" spans="1:133">
      <c r="A19" s="213"/>
      <c r="E19" s="25"/>
      <c r="F19" s="141"/>
      <c r="G19" s="23"/>
      <c r="H19" s="21"/>
      <c r="I19" s="197"/>
      <c r="J19" s="197"/>
      <c r="K19" s="21"/>
      <c r="L19" s="132"/>
      <c r="M19" s="147"/>
      <c r="N19" s="198"/>
      <c r="O19" s="24"/>
      <c r="P19" s="24"/>
      <c r="Q19" s="24"/>
      <c r="R19" s="24"/>
      <c r="S19" s="24"/>
      <c r="T19" s="24"/>
      <c r="U19" s="24"/>
      <c r="V19" s="24"/>
      <c r="W19" s="24"/>
      <c r="X19" s="135"/>
      <c r="Y19" s="136"/>
      <c r="Z19" s="139"/>
      <c r="AA19" s="139"/>
      <c r="AB19" s="137"/>
      <c r="AC19" s="137"/>
      <c r="AD19" s="139"/>
      <c r="AE19" s="139"/>
      <c r="AF19" s="139"/>
      <c r="AG19" s="137"/>
      <c r="AH19" s="138"/>
      <c r="AI19" s="24"/>
      <c r="AJ19" s="24"/>
      <c r="AK19" s="24"/>
      <c r="AL19" s="24"/>
      <c r="AM19" s="19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</row>
    <row r="20" spans="1:133">
      <c r="A20" s="213"/>
      <c r="E20" s="25"/>
      <c r="F20" s="141"/>
      <c r="G20" s="23"/>
      <c r="H20" s="21"/>
      <c r="I20" s="197"/>
      <c r="J20" s="197"/>
      <c r="K20" s="21"/>
      <c r="L20" s="132"/>
      <c r="M20" s="147"/>
      <c r="N20" s="198"/>
      <c r="O20" s="24"/>
      <c r="P20" s="24"/>
      <c r="Q20" s="24"/>
      <c r="R20" s="24"/>
      <c r="S20" s="24"/>
      <c r="T20" s="24"/>
      <c r="U20" s="24"/>
      <c r="V20" s="24"/>
      <c r="W20" s="24"/>
      <c r="X20" s="135"/>
      <c r="Y20" s="136"/>
      <c r="Z20" s="139"/>
      <c r="AA20" s="139"/>
      <c r="AB20" s="137"/>
      <c r="AC20" s="137"/>
      <c r="AD20" s="139"/>
      <c r="AE20" s="139"/>
      <c r="AF20" s="139"/>
      <c r="AG20" s="137"/>
      <c r="AH20" s="138"/>
      <c r="AI20" s="24"/>
      <c r="AJ20" s="24"/>
      <c r="AK20" s="24"/>
      <c r="AL20" s="24"/>
      <c r="AM20" s="199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</row>
    <row r="21" spans="1:133">
      <c r="A21" s="213"/>
      <c r="E21" s="25"/>
      <c r="F21" s="141"/>
      <c r="G21" s="23"/>
      <c r="H21" s="21"/>
      <c r="I21" s="197"/>
      <c r="J21" s="197"/>
      <c r="K21" s="21"/>
      <c r="L21" s="132"/>
      <c r="M21" s="147"/>
      <c r="N21" s="198"/>
      <c r="O21" s="24"/>
      <c r="P21" s="24"/>
      <c r="Q21" s="24"/>
      <c r="R21" s="24"/>
      <c r="S21" s="24"/>
      <c r="T21" s="24"/>
      <c r="U21" s="24"/>
      <c r="V21" s="24"/>
      <c r="W21" s="24"/>
      <c r="X21" s="135"/>
      <c r="Y21" s="136"/>
      <c r="Z21" s="139"/>
      <c r="AA21" s="139"/>
      <c r="AB21" s="137"/>
      <c r="AC21" s="137"/>
      <c r="AD21" s="139"/>
      <c r="AE21" s="139"/>
      <c r="AF21" s="139"/>
      <c r="AG21" s="137"/>
      <c r="AH21" s="138"/>
      <c r="AI21" s="24"/>
      <c r="AJ21" s="24"/>
      <c r="AK21" s="24"/>
      <c r="AL21" s="24"/>
      <c r="AM21" s="199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</row>
    <row r="22" spans="1:133">
      <c r="A22" s="213"/>
      <c r="E22" s="25"/>
      <c r="F22" s="141"/>
      <c r="G22" s="23"/>
      <c r="H22" s="21"/>
      <c r="I22" s="197"/>
      <c r="J22" s="197"/>
      <c r="K22" s="21"/>
      <c r="L22" s="132"/>
      <c r="M22" s="147"/>
      <c r="N22" s="198"/>
      <c r="O22" s="24"/>
      <c r="P22" s="24"/>
      <c r="Q22" s="24"/>
      <c r="R22" s="24"/>
      <c r="S22" s="24"/>
      <c r="T22" s="24"/>
      <c r="U22" s="24"/>
      <c r="V22" s="24"/>
      <c r="W22" s="24"/>
      <c r="X22" s="135"/>
      <c r="Y22" s="136"/>
      <c r="Z22" s="139"/>
      <c r="AA22" s="139"/>
      <c r="AB22" s="137"/>
      <c r="AC22" s="137"/>
      <c r="AD22" s="139"/>
      <c r="AE22" s="139"/>
      <c r="AF22" s="139"/>
      <c r="AG22" s="137"/>
      <c r="AH22" s="138"/>
      <c r="AI22" s="24"/>
      <c r="AJ22" s="24"/>
      <c r="AK22" s="24"/>
      <c r="AL22" s="24"/>
      <c r="AM22" s="199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</row>
    <row r="23" spans="1:133">
      <c r="A23" s="213"/>
      <c r="E23" s="25"/>
      <c r="F23" s="141"/>
      <c r="G23" s="23"/>
      <c r="H23" s="21"/>
      <c r="I23" s="197"/>
      <c r="J23" s="197"/>
      <c r="K23" s="21"/>
      <c r="L23" s="132"/>
      <c r="M23" s="147"/>
      <c r="N23" s="198"/>
      <c r="O23" s="24"/>
      <c r="P23" s="24"/>
      <c r="Q23" s="24"/>
      <c r="R23" s="24"/>
      <c r="S23" s="24"/>
      <c r="T23" s="24"/>
      <c r="U23" s="24"/>
      <c r="V23" s="24"/>
      <c r="W23" s="24"/>
      <c r="X23" s="135"/>
      <c r="Y23" s="136"/>
      <c r="Z23" s="139"/>
      <c r="AA23" s="139"/>
      <c r="AB23" s="137"/>
      <c r="AC23" s="137"/>
      <c r="AD23" s="139"/>
      <c r="AE23" s="139"/>
      <c r="AF23" s="139"/>
      <c r="AG23" s="137"/>
      <c r="AH23" s="138"/>
      <c r="AI23" s="24"/>
      <c r="AJ23" s="24"/>
      <c r="AK23" s="24"/>
      <c r="AL23" s="24"/>
      <c r="AM23" s="199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</row>
    <row r="24" spans="1:133">
      <c r="A24" s="213"/>
      <c r="E24" s="25"/>
      <c r="F24" s="141"/>
      <c r="G24" s="23"/>
      <c r="H24" s="21"/>
      <c r="I24" s="197"/>
      <c r="J24" s="197"/>
      <c r="K24" s="21"/>
      <c r="L24" s="132"/>
      <c r="M24" s="147"/>
      <c r="N24" s="198"/>
      <c r="O24" s="24"/>
      <c r="P24" s="24"/>
      <c r="Q24" s="24"/>
      <c r="R24" s="24"/>
      <c r="S24" s="24"/>
      <c r="T24" s="24"/>
      <c r="U24" s="24"/>
      <c r="V24" s="24"/>
      <c r="W24" s="24"/>
      <c r="X24" s="135"/>
      <c r="Y24" s="136"/>
      <c r="Z24" s="139"/>
      <c r="AA24" s="139"/>
      <c r="AB24" s="137"/>
      <c r="AC24" s="137"/>
      <c r="AD24" s="139"/>
      <c r="AE24" s="139"/>
      <c r="AF24" s="139"/>
      <c r="AG24" s="137"/>
      <c r="AH24" s="138"/>
      <c r="AI24" s="24"/>
      <c r="AJ24" s="24"/>
      <c r="AK24" s="24"/>
      <c r="AL24" s="24"/>
      <c r="AM24" s="199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</row>
    <row r="25" spans="1:133">
      <c r="A25" s="213"/>
      <c r="E25" s="25"/>
      <c r="F25" s="141"/>
      <c r="G25" s="23"/>
      <c r="H25" s="21"/>
      <c r="I25" s="197"/>
      <c r="J25" s="197"/>
      <c r="K25" s="21"/>
      <c r="L25" s="132"/>
      <c r="M25" s="147"/>
      <c r="N25" s="198"/>
      <c r="O25" s="24"/>
      <c r="P25" s="24"/>
      <c r="Q25" s="24"/>
      <c r="R25" s="24"/>
      <c r="S25" s="24"/>
      <c r="T25" s="24"/>
      <c r="U25" s="24"/>
      <c r="V25" s="24"/>
      <c r="W25" s="24"/>
      <c r="X25" s="135"/>
      <c r="Y25" s="136"/>
      <c r="Z25" s="139"/>
      <c r="AA25" s="139"/>
      <c r="AB25" s="137"/>
      <c r="AC25" s="137"/>
      <c r="AD25" s="139"/>
      <c r="AE25" s="139"/>
      <c r="AF25" s="139"/>
      <c r="AG25" s="137"/>
      <c r="AH25" s="138"/>
      <c r="AI25" s="24"/>
      <c r="AJ25" s="24"/>
      <c r="AK25" s="24"/>
      <c r="AL25" s="24"/>
      <c r="AM25" s="199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</row>
    <row r="26" spans="1:133">
      <c r="A26" s="213"/>
      <c r="E26" s="25"/>
      <c r="F26" s="141"/>
      <c r="G26" s="23"/>
      <c r="H26" s="21"/>
      <c r="I26" s="197"/>
      <c r="J26" s="197"/>
      <c r="K26" s="21"/>
      <c r="L26" s="132"/>
      <c r="M26" s="147"/>
      <c r="N26" s="198"/>
      <c r="O26" s="24"/>
      <c r="P26" s="24"/>
      <c r="Q26" s="24"/>
      <c r="R26" s="24"/>
      <c r="S26" s="24"/>
      <c r="T26" s="24"/>
      <c r="U26" s="24"/>
      <c r="V26" s="24"/>
      <c r="W26" s="24"/>
      <c r="X26" s="135"/>
      <c r="Y26" s="136"/>
      <c r="Z26" s="139"/>
      <c r="AA26" s="139"/>
      <c r="AB26" s="137"/>
      <c r="AC26" s="137"/>
      <c r="AD26" s="139"/>
      <c r="AE26" s="139"/>
      <c r="AF26" s="139"/>
      <c r="AG26" s="137"/>
      <c r="AH26" s="138"/>
      <c r="AI26" s="24"/>
      <c r="AJ26" s="24"/>
      <c r="AK26" s="24"/>
      <c r="AL26" s="24"/>
      <c r="AM26" s="199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</row>
    <row r="27" spans="1:133">
      <c r="A27" s="213"/>
      <c r="E27" s="25"/>
      <c r="F27" s="141"/>
      <c r="G27" s="23"/>
      <c r="H27" s="21"/>
      <c r="I27" s="197"/>
      <c r="J27" s="197"/>
      <c r="K27" s="21"/>
      <c r="L27" s="132"/>
      <c r="M27" s="147"/>
      <c r="N27" s="198"/>
      <c r="O27" s="24"/>
      <c r="P27" s="24"/>
      <c r="Q27" s="24"/>
      <c r="R27" s="24"/>
      <c r="S27" s="24"/>
      <c r="T27" s="24"/>
      <c r="U27" s="24"/>
      <c r="V27" s="24"/>
      <c r="W27" s="24"/>
      <c r="X27" s="135"/>
      <c r="Y27" s="136"/>
      <c r="Z27" s="139"/>
      <c r="AA27" s="139"/>
      <c r="AB27" s="137"/>
      <c r="AC27" s="137"/>
      <c r="AD27" s="139"/>
      <c r="AE27" s="139"/>
      <c r="AF27" s="139"/>
      <c r="AG27" s="137"/>
      <c r="AH27" s="138"/>
      <c r="AI27" s="24"/>
      <c r="AJ27" s="24"/>
      <c r="AK27" s="24"/>
      <c r="AL27" s="24"/>
      <c r="AM27" s="199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</row>
    <row r="28" spans="1:133">
      <c r="A28" s="213"/>
      <c r="E28" s="25"/>
      <c r="F28" s="141"/>
      <c r="G28" s="23"/>
      <c r="H28" s="21"/>
      <c r="I28" s="197"/>
      <c r="J28" s="197"/>
      <c r="K28" s="21"/>
      <c r="L28" s="132"/>
      <c r="M28" s="147"/>
      <c r="N28" s="198"/>
      <c r="O28" s="24"/>
      <c r="P28" s="24"/>
      <c r="Q28" s="24"/>
      <c r="R28" s="24"/>
      <c r="S28" s="24"/>
      <c r="T28" s="24"/>
      <c r="U28" s="24"/>
      <c r="V28" s="24"/>
      <c r="W28" s="24"/>
      <c r="X28" s="135"/>
      <c r="Y28" s="136"/>
      <c r="Z28" s="139"/>
      <c r="AA28" s="139"/>
      <c r="AB28" s="137"/>
      <c r="AC28" s="137"/>
      <c r="AD28" s="139"/>
      <c r="AE28" s="139"/>
      <c r="AF28" s="139"/>
      <c r="AG28" s="137"/>
      <c r="AH28" s="138"/>
      <c r="AI28" s="24"/>
      <c r="AJ28" s="24"/>
      <c r="AK28" s="24"/>
      <c r="AL28" s="24"/>
      <c r="AM28" s="199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</row>
    <row r="29" spans="1:133">
      <c r="A29" s="213"/>
      <c r="E29" s="25"/>
      <c r="F29" s="141"/>
      <c r="G29" s="23"/>
      <c r="H29" s="21"/>
      <c r="I29" s="197"/>
      <c r="J29" s="197"/>
      <c r="K29" s="21"/>
      <c r="L29" s="132"/>
      <c r="M29" s="147"/>
      <c r="N29" s="198"/>
      <c r="O29" s="24"/>
      <c r="P29" s="24"/>
      <c r="Q29" s="24"/>
      <c r="R29" s="24"/>
      <c r="S29" s="24"/>
      <c r="T29" s="24"/>
      <c r="U29" s="24"/>
      <c r="V29" s="24"/>
      <c r="W29" s="24"/>
      <c r="X29" s="135"/>
      <c r="Y29" s="136"/>
      <c r="Z29" s="139"/>
      <c r="AA29" s="139"/>
      <c r="AB29" s="137"/>
      <c r="AC29" s="137"/>
      <c r="AD29" s="139"/>
      <c r="AE29" s="139"/>
      <c r="AF29" s="139"/>
      <c r="AG29" s="137"/>
      <c r="AH29" s="138"/>
      <c r="AI29" s="24"/>
      <c r="AJ29" s="24"/>
      <c r="AK29" s="24"/>
      <c r="AL29" s="24"/>
      <c r="AM29" s="19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</row>
    <row r="30" spans="1:133">
      <c r="A30" s="213"/>
      <c r="E30" s="25"/>
      <c r="F30" s="141"/>
      <c r="G30" s="23"/>
      <c r="H30" s="21"/>
      <c r="I30" s="197"/>
      <c r="J30" s="197"/>
      <c r="K30" s="21"/>
      <c r="L30" s="132"/>
      <c r="M30" s="147"/>
      <c r="N30" s="198"/>
      <c r="O30" s="24"/>
      <c r="P30" s="24"/>
      <c r="Q30" s="24"/>
      <c r="R30" s="24"/>
      <c r="S30" s="24"/>
      <c r="T30" s="24"/>
      <c r="U30" s="24"/>
      <c r="V30" s="24"/>
      <c r="W30" s="24"/>
      <c r="X30" s="135"/>
      <c r="Y30" s="136"/>
      <c r="Z30" s="139"/>
      <c r="AA30" s="139"/>
      <c r="AB30" s="137"/>
      <c r="AC30" s="137"/>
      <c r="AD30" s="139"/>
      <c r="AE30" s="139"/>
      <c r="AF30" s="139"/>
      <c r="AG30" s="137"/>
      <c r="AH30" s="138"/>
      <c r="AI30" s="24"/>
      <c r="AJ30" s="24"/>
      <c r="AK30" s="24"/>
      <c r="AL30" s="24"/>
      <c r="AM30" s="199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</row>
    <row r="31" spans="1:133">
      <c r="A31" s="213"/>
      <c r="E31" s="25"/>
      <c r="F31" s="141"/>
      <c r="G31" s="23"/>
      <c r="H31" s="21"/>
      <c r="I31" s="197"/>
      <c r="J31" s="197"/>
      <c r="K31" s="21"/>
      <c r="L31" s="132"/>
      <c r="M31" s="147"/>
      <c r="N31" s="198"/>
      <c r="O31" s="24"/>
      <c r="P31" s="24"/>
      <c r="Q31" s="24"/>
      <c r="R31" s="24"/>
      <c r="S31" s="24"/>
      <c r="T31" s="24"/>
      <c r="U31" s="24"/>
      <c r="V31" s="24"/>
      <c r="W31" s="24"/>
      <c r="X31" s="135"/>
      <c r="Y31" s="136"/>
      <c r="Z31" s="139"/>
      <c r="AA31" s="139"/>
      <c r="AB31" s="137"/>
      <c r="AC31" s="137"/>
      <c r="AD31" s="139"/>
      <c r="AE31" s="139"/>
      <c r="AF31" s="139"/>
      <c r="AG31" s="137"/>
      <c r="AH31" s="138"/>
      <c r="AI31" s="24"/>
      <c r="AJ31" s="24"/>
      <c r="AK31" s="24"/>
      <c r="AL31" s="24"/>
      <c r="AM31" s="199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</row>
    <row r="32" spans="1:133">
      <c r="A32" s="213"/>
      <c r="E32" s="25"/>
      <c r="F32" s="141"/>
      <c r="G32" s="23"/>
      <c r="H32" s="21"/>
      <c r="I32" s="197"/>
      <c r="J32" s="197"/>
      <c r="K32" s="21"/>
      <c r="L32" s="132"/>
      <c r="M32" s="147"/>
      <c r="N32" s="198"/>
      <c r="O32" s="24"/>
      <c r="P32" s="24"/>
      <c r="Q32" s="24"/>
      <c r="R32" s="24"/>
      <c r="S32" s="24"/>
      <c r="T32" s="24"/>
      <c r="U32" s="24"/>
      <c r="V32" s="24"/>
      <c r="W32" s="24"/>
      <c r="X32" s="135"/>
      <c r="Y32" s="136"/>
      <c r="Z32" s="139"/>
      <c r="AA32" s="139"/>
      <c r="AB32" s="137"/>
      <c r="AC32" s="137"/>
      <c r="AD32" s="139"/>
      <c r="AE32" s="139"/>
      <c r="AF32" s="139"/>
      <c r="AG32" s="137"/>
      <c r="AH32" s="138"/>
      <c r="AI32" s="24"/>
      <c r="AJ32" s="24"/>
      <c r="AK32" s="24"/>
      <c r="AL32" s="24"/>
      <c r="AM32" s="199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</row>
    <row r="33" spans="1:133">
      <c r="A33" s="213"/>
      <c r="E33" s="25"/>
      <c r="F33" s="141"/>
      <c r="G33" s="23"/>
      <c r="H33" s="21"/>
      <c r="I33" s="197"/>
      <c r="J33" s="197"/>
      <c r="K33" s="21"/>
      <c r="L33" s="132"/>
      <c r="M33" s="147"/>
      <c r="N33" s="198"/>
      <c r="O33" s="24"/>
      <c r="P33" s="24"/>
      <c r="Q33" s="24"/>
      <c r="R33" s="24"/>
      <c r="S33" s="24"/>
      <c r="T33" s="24"/>
      <c r="U33" s="24"/>
      <c r="V33" s="24"/>
      <c r="W33" s="24"/>
      <c r="X33" s="135"/>
      <c r="Y33" s="136"/>
      <c r="Z33" s="139"/>
      <c r="AA33" s="139"/>
      <c r="AB33" s="137"/>
      <c r="AC33" s="137"/>
      <c r="AD33" s="139"/>
      <c r="AE33" s="139"/>
      <c r="AF33" s="139"/>
      <c r="AG33" s="137"/>
      <c r="AH33" s="138"/>
      <c r="AI33" s="24"/>
      <c r="AJ33" s="24"/>
      <c r="AK33" s="24"/>
      <c r="AL33" s="24"/>
      <c r="AM33" s="199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</row>
    <row r="34" spans="1:133">
      <c r="A34" s="213"/>
      <c r="E34" s="25"/>
      <c r="F34" s="141"/>
      <c r="G34" s="23"/>
      <c r="H34" s="21"/>
      <c r="I34" s="197"/>
      <c r="J34" s="197"/>
      <c r="K34" s="21"/>
      <c r="L34" s="132"/>
      <c r="M34" s="147"/>
      <c r="N34" s="198"/>
      <c r="O34" s="24"/>
      <c r="P34" s="24"/>
      <c r="Q34" s="24"/>
      <c r="R34" s="24"/>
      <c r="S34" s="24"/>
      <c r="T34" s="24"/>
      <c r="U34" s="24"/>
      <c r="V34" s="24"/>
      <c r="W34" s="24"/>
      <c r="X34" s="135"/>
      <c r="Y34" s="136"/>
      <c r="Z34" s="139"/>
      <c r="AA34" s="139"/>
      <c r="AB34" s="137"/>
      <c r="AC34" s="137"/>
      <c r="AD34" s="139"/>
      <c r="AE34" s="139"/>
      <c r="AF34" s="139"/>
      <c r="AG34" s="137"/>
      <c r="AH34" s="138"/>
      <c r="AI34" s="24"/>
      <c r="AJ34" s="24"/>
      <c r="AK34" s="24"/>
      <c r="AL34" s="24"/>
      <c r="AM34" s="199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</row>
    <row r="35" spans="1:133">
      <c r="A35" s="213"/>
      <c r="E35" s="25"/>
      <c r="F35" s="141"/>
      <c r="G35" s="23"/>
      <c r="H35" s="21"/>
      <c r="I35" s="197"/>
      <c r="J35" s="197"/>
      <c r="K35" s="21"/>
      <c r="L35" s="132"/>
      <c r="M35" s="147"/>
      <c r="N35" s="198"/>
      <c r="O35" s="24"/>
      <c r="P35" s="24"/>
      <c r="Q35" s="24"/>
      <c r="R35" s="24"/>
      <c r="S35" s="24"/>
      <c r="T35" s="24"/>
      <c r="U35" s="24"/>
      <c r="V35" s="24"/>
      <c r="W35" s="24"/>
      <c r="X35" s="135"/>
      <c r="Y35" s="136"/>
      <c r="Z35" s="139"/>
      <c r="AA35" s="139"/>
      <c r="AB35" s="137"/>
      <c r="AC35" s="137"/>
      <c r="AD35" s="139"/>
      <c r="AE35" s="139"/>
      <c r="AF35" s="139"/>
      <c r="AG35" s="137"/>
      <c r="AH35" s="138"/>
      <c r="AI35" s="24"/>
      <c r="AJ35" s="24"/>
      <c r="AK35" s="24"/>
      <c r="AL35" s="24"/>
      <c r="AM35" s="199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</row>
    <row r="36" spans="1:133">
      <c r="A36" s="213"/>
      <c r="E36" s="25"/>
      <c r="F36" s="141"/>
      <c r="G36" s="23"/>
      <c r="H36" s="21"/>
      <c r="I36" s="197"/>
      <c r="J36" s="197"/>
      <c r="K36" s="21"/>
      <c r="L36" s="132"/>
      <c r="M36" s="147"/>
      <c r="N36" s="198"/>
      <c r="O36" s="24"/>
      <c r="P36" s="24"/>
      <c r="Q36" s="24"/>
      <c r="R36" s="24"/>
      <c r="S36" s="24"/>
      <c r="T36" s="24"/>
      <c r="U36" s="24"/>
      <c r="V36" s="24"/>
      <c r="W36" s="24"/>
      <c r="X36" s="135"/>
      <c r="Y36" s="136"/>
      <c r="Z36" s="139"/>
      <c r="AA36" s="139"/>
      <c r="AB36" s="137"/>
      <c r="AC36" s="137"/>
      <c r="AD36" s="139"/>
      <c r="AE36" s="139"/>
      <c r="AF36" s="139"/>
      <c r="AG36" s="137"/>
      <c r="AH36" s="138"/>
      <c r="AI36" s="24"/>
      <c r="AJ36" s="24"/>
      <c r="AK36" s="24"/>
      <c r="AL36" s="24"/>
      <c r="AM36" s="199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</row>
    <row r="37" spans="1:133">
      <c r="A37" s="213"/>
      <c r="E37" s="25"/>
      <c r="F37" s="141"/>
      <c r="G37" s="23"/>
      <c r="H37" s="21"/>
      <c r="I37" s="197"/>
      <c r="J37" s="197"/>
      <c r="K37" s="21"/>
      <c r="L37" s="132"/>
      <c r="M37" s="147"/>
      <c r="N37" s="198"/>
      <c r="O37" s="24"/>
      <c r="P37" s="24"/>
      <c r="Q37" s="24"/>
      <c r="R37" s="24"/>
      <c r="S37" s="24"/>
      <c r="T37" s="24"/>
      <c r="U37" s="24"/>
      <c r="V37" s="24"/>
      <c r="W37" s="24"/>
      <c r="X37" s="135"/>
      <c r="Y37" s="136"/>
      <c r="Z37" s="139"/>
      <c r="AA37" s="139"/>
      <c r="AB37" s="137"/>
      <c r="AC37" s="137"/>
      <c r="AD37" s="139"/>
      <c r="AE37" s="139"/>
      <c r="AF37" s="139"/>
      <c r="AG37" s="137"/>
      <c r="AH37" s="138"/>
      <c r="AI37" s="24"/>
      <c r="AJ37" s="24"/>
      <c r="AK37" s="24"/>
      <c r="AL37" s="24"/>
      <c r="AM37" s="199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</row>
    <row r="38" spans="1:133">
      <c r="A38" s="213"/>
      <c r="E38" s="25"/>
      <c r="F38" s="141"/>
      <c r="G38" s="23"/>
      <c r="H38" s="21"/>
      <c r="I38" s="197"/>
      <c r="J38" s="197"/>
      <c r="K38" s="21"/>
      <c r="L38" s="132"/>
      <c r="M38" s="147"/>
      <c r="N38" s="198"/>
      <c r="O38" s="24"/>
      <c r="P38" s="24"/>
      <c r="Q38" s="24"/>
      <c r="R38" s="24"/>
      <c r="S38" s="24"/>
      <c r="T38" s="24"/>
      <c r="U38" s="24"/>
      <c r="V38" s="24"/>
      <c r="W38" s="24"/>
      <c r="X38" s="135"/>
      <c r="Y38" s="136"/>
      <c r="Z38" s="139"/>
      <c r="AA38" s="139"/>
      <c r="AB38" s="137"/>
      <c r="AC38" s="137"/>
      <c r="AD38" s="139"/>
      <c r="AE38" s="139"/>
      <c r="AF38" s="139"/>
      <c r="AG38" s="137"/>
      <c r="AH38" s="138"/>
      <c r="AI38" s="24"/>
      <c r="AJ38" s="24"/>
      <c r="AK38" s="24"/>
      <c r="AL38" s="24"/>
      <c r="AM38" s="199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</row>
    <row r="39" spans="1:133">
      <c r="A39" s="213"/>
      <c r="E39" s="25"/>
      <c r="F39" s="141"/>
      <c r="G39" s="23"/>
      <c r="H39" s="21"/>
      <c r="I39" s="197"/>
      <c r="J39" s="197"/>
      <c r="K39" s="21"/>
      <c r="L39" s="132"/>
      <c r="M39" s="147"/>
      <c r="N39" s="198"/>
      <c r="O39" s="24"/>
      <c r="P39" s="24"/>
      <c r="Q39" s="24"/>
      <c r="R39" s="24"/>
      <c r="S39" s="24"/>
      <c r="T39" s="24"/>
      <c r="U39" s="24"/>
      <c r="V39" s="24"/>
      <c r="W39" s="24"/>
      <c r="X39" s="135"/>
      <c r="Y39" s="136"/>
      <c r="Z39" s="139"/>
      <c r="AA39" s="139"/>
      <c r="AB39" s="137"/>
      <c r="AC39" s="137"/>
      <c r="AD39" s="139"/>
      <c r="AE39" s="139"/>
      <c r="AF39" s="139"/>
      <c r="AG39" s="137"/>
      <c r="AH39" s="138"/>
      <c r="AI39" s="24"/>
      <c r="AJ39" s="24"/>
      <c r="AK39" s="24"/>
      <c r="AL39" s="24"/>
      <c r="AM39" s="19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</row>
    <row r="40" spans="1:133">
      <c r="A40" s="213"/>
      <c r="E40" s="25"/>
      <c r="F40" s="141"/>
      <c r="G40" s="23"/>
      <c r="H40" s="21"/>
      <c r="I40" s="197"/>
      <c r="J40" s="197"/>
      <c r="K40" s="21"/>
      <c r="L40" s="132"/>
      <c r="M40" s="147"/>
      <c r="N40" s="198"/>
      <c r="O40" s="24"/>
      <c r="P40" s="24"/>
      <c r="Q40" s="24"/>
      <c r="R40" s="24"/>
      <c r="S40" s="24"/>
      <c r="T40" s="24"/>
      <c r="U40" s="24"/>
      <c r="V40" s="24"/>
      <c r="W40" s="24"/>
      <c r="X40" s="135"/>
      <c r="Y40" s="136"/>
      <c r="Z40" s="139"/>
      <c r="AA40" s="139"/>
      <c r="AB40" s="137"/>
      <c r="AC40" s="137"/>
      <c r="AD40" s="139"/>
      <c r="AE40" s="139"/>
      <c r="AF40" s="139"/>
      <c r="AG40" s="137"/>
      <c r="AH40" s="138"/>
      <c r="AI40" s="24"/>
      <c r="AJ40" s="24"/>
      <c r="AK40" s="24"/>
      <c r="AL40" s="24"/>
      <c r="AM40" s="199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</row>
    <row r="41" spans="1:133">
      <c r="A41" s="213"/>
      <c r="E41" s="25"/>
      <c r="F41" s="141"/>
      <c r="G41" s="23"/>
      <c r="H41" s="21"/>
      <c r="I41" s="197"/>
      <c r="J41" s="197"/>
      <c r="K41" s="21"/>
      <c r="L41" s="132"/>
      <c r="M41" s="147"/>
      <c r="N41" s="198"/>
      <c r="O41" s="24"/>
      <c r="P41" s="24"/>
      <c r="Q41" s="24"/>
      <c r="R41" s="24"/>
      <c r="S41" s="24"/>
      <c r="T41" s="24"/>
      <c r="U41" s="24"/>
      <c r="V41" s="24"/>
      <c r="W41" s="24"/>
      <c r="X41" s="135"/>
      <c r="Y41" s="136"/>
      <c r="Z41" s="139"/>
      <c r="AA41" s="139"/>
      <c r="AB41" s="137"/>
      <c r="AC41" s="137"/>
      <c r="AD41" s="139"/>
      <c r="AE41" s="139"/>
      <c r="AF41" s="139"/>
      <c r="AG41" s="137"/>
      <c r="AH41" s="138"/>
      <c r="AI41" s="24"/>
      <c r="AJ41" s="24"/>
      <c r="AK41" s="24"/>
      <c r="AL41" s="24"/>
      <c r="AM41" s="199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</row>
    <row r="42" spans="1:133">
      <c r="A42" s="213"/>
      <c r="E42" s="25"/>
      <c r="F42" s="141"/>
      <c r="G42" s="23"/>
      <c r="H42" s="21"/>
      <c r="I42" s="197"/>
      <c r="J42" s="197"/>
      <c r="K42" s="21"/>
      <c r="L42" s="132"/>
      <c r="M42" s="147"/>
      <c r="N42" s="198"/>
      <c r="O42" s="24"/>
      <c r="P42" s="24"/>
      <c r="Q42" s="24"/>
      <c r="R42" s="24"/>
      <c r="S42" s="24"/>
      <c r="T42" s="24"/>
      <c r="U42" s="24"/>
      <c r="V42" s="24"/>
      <c r="W42" s="24"/>
      <c r="X42" s="135"/>
      <c r="Y42" s="136"/>
      <c r="Z42" s="139"/>
      <c r="AA42" s="139"/>
      <c r="AB42" s="137"/>
      <c r="AC42" s="137"/>
      <c r="AD42" s="139"/>
      <c r="AE42" s="139"/>
      <c r="AF42" s="139"/>
      <c r="AG42" s="137"/>
      <c r="AH42" s="138"/>
      <c r="AI42" s="24"/>
      <c r="AJ42" s="24"/>
      <c r="AK42" s="24"/>
      <c r="AL42" s="24"/>
      <c r="AM42" s="199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</row>
    <row r="43" spans="1:133">
      <c r="A43" s="213"/>
      <c r="E43" s="25"/>
      <c r="F43" s="141"/>
      <c r="G43" s="23"/>
      <c r="H43" s="21"/>
      <c r="I43" s="197"/>
      <c r="J43" s="197"/>
      <c r="K43" s="21"/>
      <c r="L43" s="132"/>
      <c r="M43" s="147"/>
      <c r="N43" s="198"/>
      <c r="O43" s="24"/>
      <c r="P43" s="24"/>
      <c r="Q43" s="24"/>
      <c r="R43" s="24"/>
      <c r="S43" s="24"/>
      <c r="T43" s="24"/>
      <c r="U43" s="24"/>
      <c r="V43" s="24"/>
      <c r="W43" s="24"/>
      <c r="X43" s="135"/>
      <c r="Y43" s="136"/>
      <c r="Z43" s="139"/>
      <c r="AA43" s="139"/>
      <c r="AB43" s="137"/>
      <c r="AC43" s="137"/>
      <c r="AD43" s="139"/>
      <c r="AE43" s="139"/>
      <c r="AF43" s="139"/>
      <c r="AG43" s="137"/>
      <c r="AH43" s="138"/>
      <c r="AI43" s="24"/>
      <c r="AJ43" s="24"/>
      <c r="AK43" s="24"/>
      <c r="AL43" s="24"/>
      <c r="AM43" s="199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</row>
    <row r="44" spans="1:133">
      <c r="A44" s="213"/>
      <c r="E44" s="25"/>
      <c r="F44" s="141"/>
      <c r="G44" s="23"/>
      <c r="H44" s="21"/>
      <c r="I44" s="197"/>
      <c r="J44" s="197"/>
      <c r="K44" s="21"/>
      <c r="L44" s="132"/>
      <c r="M44" s="147"/>
      <c r="N44" s="198"/>
      <c r="O44" s="24"/>
      <c r="P44" s="24"/>
      <c r="Q44" s="24"/>
      <c r="R44" s="24"/>
      <c r="S44" s="24"/>
      <c r="T44" s="24"/>
      <c r="U44" s="24"/>
      <c r="V44" s="24"/>
      <c r="W44" s="24"/>
      <c r="X44" s="135"/>
      <c r="Y44" s="136"/>
      <c r="Z44" s="139"/>
      <c r="AA44" s="139"/>
      <c r="AB44" s="137"/>
      <c r="AC44" s="137"/>
      <c r="AD44" s="139"/>
      <c r="AE44" s="139"/>
      <c r="AF44" s="139"/>
      <c r="AG44" s="137"/>
      <c r="AH44" s="138"/>
      <c r="AI44" s="24"/>
      <c r="AJ44" s="24"/>
      <c r="AK44" s="24"/>
      <c r="AL44" s="24"/>
      <c r="AM44" s="199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</row>
    <row r="45" spans="1:133">
      <c r="A45" s="213"/>
      <c r="E45" s="25"/>
      <c r="F45" s="141"/>
      <c r="G45" s="23"/>
      <c r="H45" s="21"/>
      <c r="I45" s="197"/>
      <c r="J45" s="197"/>
      <c r="K45" s="21"/>
      <c r="L45" s="132"/>
      <c r="M45" s="147"/>
      <c r="N45" s="198"/>
      <c r="O45" s="24"/>
      <c r="P45" s="24"/>
      <c r="Q45" s="24"/>
      <c r="R45" s="24"/>
      <c r="S45" s="24"/>
      <c r="T45" s="24"/>
      <c r="U45" s="24"/>
      <c r="V45" s="24"/>
      <c r="W45" s="24"/>
      <c r="X45" s="135"/>
      <c r="Y45" s="136"/>
      <c r="Z45" s="139"/>
      <c r="AA45" s="139"/>
      <c r="AB45" s="137"/>
      <c r="AC45" s="137"/>
      <c r="AD45" s="139"/>
      <c r="AE45" s="139"/>
      <c r="AF45" s="139"/>
      <c r="AG45" s="137"/>
      <c r="AH45" s="138"/>
      <c r="AI45" s="24"/>
      <c r="AJ45" s="24"/>
      <c r="AK45" s="24"/>
      <c r="AL45" s="24"/>
      <c r="AM45" s="199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</row>
    <row r="46" spans="1:133">
      <c r="A46" s="213"/>
      <c r="E46" s="25"/>
      <c r="F46" s="141"/>
      <c r="G46" s="23"/>
      <c r="H46" s="21"/>
      <c r="I46" s="197"/>
      <c r="J46" s="197"/>
      <c r="K46" s="21"/>
      <c r="L46" s="132"/>
      <c r="M46" s="147"/>
      <c r="N46" s="198"/>
      <c r="O46" s="24"/>
      <c r="P46" s="24"/>
      <c r="Q46" s="24"/>
      <c r="R46" s="24"/>
      <c r="S46" s="24"/>
      <c r="T46" s="24"/>
      <c r="U46" s="24"/>
      <c r="V46" s="24"/>
      <c r="W46" s="24"/>
      <c r="X46" s="135"/>
      <c r="Y46" s="136"/>
      <c r="Z46" s="139"/>
      <c r="AA46" s="139"/>
      <c r="AB46" s="137"/>
      <c r="AC46" s="137"/>
      <c r="AD46" s="139"/>
      <c r="AE46" s="139"/>
      <c r="AF46" s="139"/>
      <c r="AG46" s="137"/>
      <c r="AH46" s="138"/>
      <c r="AI46" s="24"/>
      <c r="AJ46" s="24"/>
      <c r="AK46" s="24"/>
      <c r="AL46" s="24"/>
      <c r="AM46" s="199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</row>
    <row r="47" spans="1:133">
      <c r="A47" s="213"/>
      <c r="E47" s="25"/>
      <c r="F47" s="141"/>
      <c r="G47" s="23"/>
      <c r="H47" s="21"/>
      <c r="I47" s="197"/>
      <c r="J47" s="197"/>
      <c r="K47" s="21"/>
      <c r="L47" s="132"/>
      <c r="M47" s="147"/>
      <c r="N47" s="198"/>
      <c r="O47" s="24"/>
      <c r="P47" s="24"/>
      <c r="Q47" s="24"/>
      <c r="R47" s="24"/>
      <c r="S47" s="24"/>
      <c r="T47" s="24"/>
      <c r="U47" s="24"/>
      <c r="V47" s="24"/>
      <c r="W47" s="24"/>
      <c r="X47" s="135"/>
      <c r="Y47" s="136"/>
      <c r="Z47" s="139"/>
      <c r="AA47" s="139"/>
      <c r="AB47" s="137"/>
      <c r="AC47" s="137"/>
      <c r="AD47" s="139"/>
      <c r="AE47" s="139"/>
      <c r="AF47" s="139"/>
      <c r="AG47" s="137"/>
      <c r="AH47" s="138"/>
      <c r="AI47" s="24"/>
      <c r="AJ47" s="24"/>
      <c r="AK47" s="24"/>
      <c r="AL47" s="24"/>
      <c r="AM47" s="199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</row>
    <row r="48" spans="1:133">
      <c r="A48" s="213"/>
      <c r="E48" s="25"/>
      <c r="F48" s="141"/>
      <c r="G48" s="23"/>
      <c r="H48" s="21"/>
      <c r="I48" s="197"/>
      <c r="J48" s="197"/>
      <c r="K48" s="21"/>
      <c r="L48" s="132"/>
      <c r="M48" s="147"/>
      <c r="N48" s="198"/>
      <c r="O48" s="24"/>
      <c r="P48" s="24"/>
      <c r="Q48" s="24"/>
      <c r="R48" s="24"/>
      <c r="S48" s="24"/>
      <c r="T48" s="24"/>
      <c r="U48" s="24"/>
      <c r="V48" s="24"/>
      <c r="W48" s="24"/>
      <c r="X48" s="135"/>
      <c r="Y48" s="136"/>
      <c r="Z48" s="139"/>
      <c r="AA48" s="139"/>
      <c r="AB48" s="137"/>
      <c r="AC48" s="137"/>
      <c r="AD48" s="139"/>
      <c r="AE48" s="139"/>
      <c r="AF48" s="139"/>
      <c r="AG48" s="137"/>
      <c r="AH48" s="138"/>
      <c r="AI48" s="24"/>
      <c r="AJ48" s="24"/>
      <c r="AK48" s="24"/>
      <c r="AL48" s="24"/>
      <c r="AM48" s="199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</row>
    <row r="49" spans="1:133">
      <c r="A49" s="213"/>
      <c r="E49" s="25"/>
      <c r="F49" s="141"/>
      <c r="G49" s="23"/>
      <c r="H49" s="21"/>
      <c r="I49" s="197"/>
      <c r="J49" s="197"/>
      <c r="K49" s="21"/>
      <c r="L49" s="132"/>
      <c r="M49" s="147"/>
      <c r="N49" s="198"/>
      <c r="O49" s="24"/>
      <c r="P49" s="24"/>
      <c r="Q49" s="24"/>
      <c r="R49" s="24"/>
      <c r="S49" s="24"/>
      <c r="T49" s="24"/>
      <c r="U49" s="24"/>
      <c r="V49" s="24"/>
      <c r="W49" s="24"/>
      <c r="X49" s="135"/>
      <c r="Y49" s="136"/>
      <c r="Z49" s="139"/>
      <c r="AA49" s="139"/>
      <c r="AB49" s="137"/>
      <c r="AC49" s="137"/>
      <c r="AD49" s="139"/>
      <c r="AE49" s="139"/>
      <c r="AF49" s="139"/>
      <c r="AG49" s="137"/>
      <c r="AH49" s="138"/>
      <c r="AI49" s="24"/>
      <c r="AJ49" s="24"/>
      <c r="AK49" s="24"/>
      <c r="AL49" s="24"/>
      <c r="AM49" s="19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</row>
    <row r="50" spans="1:133">
      <c r="A50" s="213"/>
      <c r="E50" s="25"/>
      <c r="F50" s="141"/>
      <c r="G50" s="23"/>
      <c r="H50" s="21"/>
      <c r="I50" s="197"/>
      <c r="J50" s="197"/>
      <c r="K50" s="21"/>
      <c r="L50" s="132"/>
      <c r="M50" s="147"/>
      <c r="N50" s="198"/>
      <c r="O50" s="24"/>
      <c r="P50" s="24"/>
      <c r="Q50" s="24"/>
      <c r="R50" s="24"/>
      <c r="S50" s="24"/>
      <c r="T50" s="24"/>
      <c r="U50" s="24"/>
      <c r="V50" s="24"/>
      <c r="W50" s="24"/>
      <c r="X50" s="135"/>
      <c r="Y50" s="136"/>
      <c r="Z50" s="139"/>
      <c r="AA50" s="139"/>
      <c r="AB50" s="137"/>
      <c r="AC50" s="137"/>
      <c r="AD50" s="139"/>
      <c r="AE50" s="139"/>
      <c r="AF50" s="139"/>
      <c r="AG50" s="137"/>
      <c r="AH50" s="138"/>
      <c r="AI50" s="24"/>
      <c r="AJ50" s="24"/>
      <c r="AK50" s="24"/>
      <c r="AL50" s="24"/>
      <c r="AM50" s="199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</row>
    <row r="51" spans="1:133">
      <c r="A51" s="213"/>
      <c r="E51" s="25"/>
      <c r="F51" s="141"/>
      <c r="G51" s="23"/>
      <c r="H51" s="21"/>
      <c r="I51" s="197"/>
      <c r="J51" s="197"/>
      <c r="K51" s="21"/>
      <c r="L51" s="132"/>
      <c r="M51" s="147"/>
      <c r="N51" s="198"/>
      <c r="O51" s="24"/>
      <c r="P51" s="24"/>
      <c r="Q51" s="24"/>
      <c r="R51" s="24"/>
      <c r="S51" s="24"/>
      <c r="T51" s="24"/>
      <c r="U51" s="24"/>
      <c r="V51" s="24"/>
      <c r="W51" s="24"/>
      <c r="X51" s="135"/>
      <c r="Y51" s="136"/>
      <c r="Z51" s="139"/>
      <c r="AA51" s="139"/>
      <c r="AB51" s="137"/>
      <c r="AC51" s="137"/>
      <c r="AD51" s="139"/>
      <c r="AE51" s="139"/>
      <c r="AF51" s="139"/>
      <c r="AG51" s="137"/>
      <c r="AH51" s="138"/>
      <c r="AI51" s="24"/>
      <c r="AJ51" s="24"/>
      <c r="AK51" s="24"/>
      <c r="AL51" s="24"/>
      <c r="AM51" s="199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</row>
    <row r="52" spans="1:133">
      <c r="A52" s="213"/>
      <c r="E52" s="25"/>
      <c r="F52" s="141"/>
      <c r="G52" s="23"/>
      <c r="H52" s="21"/>
      <c r="I52" s="197"/>
      <c r="J52" s="197"/>
      <c r="K52" s="21"/>
      <c r="L52" s="132"/>
      <c r="M52" s="147"/>
      <c r="N52" s="198"/>
      <c r="O52" s="24"/>
      <c r="P52" s="24"/>
      <c r="Q52" s="24"/>
      <c r="R52" s="24"/>
      <c r="S52" s="24"/>
      <c r="T52" s="24"/>
      <c r="U52" s="24"/>
      <c r="V52" s="24"/>
      <c r="W52" s="24"/>
      <c r="X52" s="135"/>
      <c r="Y52" s="136"/>
      <c r="Z52" s="139"/>
      <c r="AA52" s="139"/>
      <c r="AB52" s="137"/>
      <c r="AC52" s="137"/>
      <c r="AD52" s="139"/>
      <c r="AE52" s="139"/>
      <c r="AF52" s="139"/>
      <c r="AG52" s="137"/>
      <c r="AH52" s="138"/>
      <c r="AI52" s="24"/>
      <c r="AJ52" s="24"/>
      <c r="AK52" s="24"/>
      <c r="AL52" s="24"/>
      <c r="AM52" s="199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</row>
    <row r="53" spans="1:133">
      <c r="A53" s="213"/>
      <c r="E53" s="25"/>
      <c r="F53" s="141"/>
      <c r="G53" s="23"/>
      <c r="H53" s="21"/>
      <c r="I53" s="197"/>
      <c r="J53" s="197"/>
      <c r="K53" s="21"/>
      <c r="L53" s="132"/>
      <c r="M53" s="147"/>
      <c r="N53" s="198"/>
      <c r="O53" s="24"/>
      <c r="P53" s="24"/>
      <c r="Q53" s="24"/>
      <c r="R53" s="24"/>
      <c r="S53" s="24"/>
      <c r="T53" s="24"/>
      <c r="U53" s="24"/>
      <c r="V53" s="24"/>
      <c r="W53" s="24"/>
      <c r="X53" s="135"/>
      <c r="Y53" s="136"/>
      <c r="Z53" s="139"/>
      <c r="AA53" s="139"/>
      <c r="AB53" s="137"/>
      <c r="AC53" s="137"/>
      <c r="AD53" s="139"/>
      <c r="AE53" s="139"/>
      <c r="AF53" s="139"/>
      <c r="AG53" s="137"/>
      <c r="AH53" s="138"/>
      <c r="AI53" s="24"/>
      <c r="AJ53" s="24"/>
      <c r="AK53" s="24"/>
      <c r="AL53" s="24"/>
      <c r="AM53" s="199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</row>
    <row r="54" spans="1:133">
      <c r="A54" s="213"/>
      <c r="E54" s="25"/>
      <c r="F54" s="141"/>
      <c r="G54" s="23"/>
      <c r="H54" s="21"/>
      <c r="I54" s="197"/>
      <c r="J54" s="197"/>
      <c r="K54" s="21"/>
      <c r="L54" s="132"/>
      <c r="M54" s="147"/>
      <c r="N54" s="198"/>
      <c r="O54" s="24"/>
      <c r="P54" s="24"/>
      <c r="Q54" s="24"/>
      <c r="R54" s="24"/>
      <c r="S54" s="24"/>
      <c r="T54" s="24"/>
      <c r="U54" s="24"/>
      <c r="V54" s="24"/>
      <c r="W54" s="24"/>
      <c r="X54" s="135"/>
      <c r="Y54" s="136"/>
      <c r="Z54" s="139"/>
      <c r="AA54" s="139"/>
      <c r="AB54" s="137"/>
      <c r="AC54" s="137"/>
      <c r="AD54" s="139"/>
      <c r="AE54" s="139"/>
      <c r="AF54" s="139"/>
      <c r="AG54" s="137"/>
      <c r="AH54" s="138"/>
      <c r="AI54" s="24"/>
      <c r="AJ54" s="24"/>
      <c r="AK54" s="24"/>
      <c r="AL54" s="24"/>
      <c r="AM54" s="199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</row>
    <row r="55" spans="1:133">
      <c r="A55" s="213"/>
      <c r="E55" s="25"/>
      <c r="F55" s="141"/>
      <c r="G55" s="23"/>
      <c r="H55" s="21"/>
      <c r="I55" s="197"/>
      <c r="J55" s="197"/>
      <c r="K55" s="21"/>
      <c r="L55" s="132"/>
      <c r="M55" s="147"/>
      <c r="N55" s="198"/>
      <c r="O55" s="24"/>
      <c r="P55" s="24"/>
      <c r="Q55" s="24"/>
      <c r="R55" s="24"/>
      <c r="S55" s="24"/>
      <c r="T55" s="24"/>
      <c r="U55" s="24"/>
      <c r="V55" s="24"/>
      <c r="W55" s="24"/>
      <c r="X55" s="135"/>
      <c r="Y55" s="136"/>
      <c r="Z55" s="139"/>
      <c r="AA55" s="139"/>
      <c r="AB55" s="137"/>
      <c r="AC55" s="137"/>
      <c r="AD55" s="139"/>
      <c r="AE55" s="139"/>
      <c r="AF55" s="139"/>
      <c r="AG55" s="137"/>
      <c r="AH55" s="138"/>
      <c r="AI55" s="24"/>
      <c r="AJ55" s="24"/>
      <c r="AK55" s="24"/>
      <c r="AL55" s="24"/>
      <c r="AM55" s="199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</row>
    <row r="56" spans="1:133">
      <c r="A56" s="213"/>
      <c r="E56" s="25"/>
      <c r="F56" s="141"/>
      <c r="G56" s="23"/>
      <c r="H56" s="21"/>
      <c r="I56" s="197"/>
      <c r="J56" s="197"/>
      <c r="K56" s="21"/>
      <c r="L56" s="132"/>
      <c r="M56" s="147"/>
      <c r="N56" s="198"/>
      <c r="O56" s="24"/>
      <c r="P56" s="24"/>
      <c r="Q56" s="24"/>
      <c r="R56" s="24"/>
      <c r="S56" s="24"/>
      <c r="T56" s="24"/>
      <c r="U56" s="24"/>
      <c r="V56" s="24"/>
      <c r="W56" s="24"/>
      <c r="X56" s="135"/>
      <c r="Y56" s="136"/>
      <c r="Z56" s="139"/>
      <c r="AA56" s="139"/>
      <c r="AB56" s="137"/>
      <c r="AC56" s="137"/>
      <c r="AD56" s="139"/>
      <c r="AE56" s="139"/>
      <c r="AF56" s="139"/>
      <c r="AG56" s="137"/>
      <c r="AH56" s="138"/>
      <c r="AI56" s="24"/>
      <c r="AJ56" s="24"/>
      <c r="AK56" s="24"/>
      <c r="AL56" s="24"/>
      <c r="AM56" s="199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</row>
    <row r="57" spans="1:133">
      <c r="A57" s="213"/>
      <c r="E57" s="25"/>
      <c r="F57" s="141"/>
      <c r="G57" s="23"/>
      <c r="H57" s="21"/>
      <c r="I57" s="197"/>
      <c r="J57" s="197"/>
      <c r="K57" s="21"/>
      <c r="L57" s="132"/>
      <c r="M57" s="147"/>
      <c r="N57" s="198"/>
      <c r="O57" s="24"/>
      <c r="P57" s="24"/>
      <c r="Q57" s="24"/>
      <c r="R57" s="24"/>
      <c r="S57" s="24"/>
      <c r="T57" s="24"/>
      <c r="U57" s="24"/>
      <c r="V57" s="24"/>
      <c r="W57" s="24"/>
      <c r="X57" s="135"/>
      <c r="Y57" s="136"/>
      <c r="Z57" s="139"/>
      <c r="AA57" s="139"/>
      <c r="AB57" s="137"/>
      <c r="AC57" s="137"/>
      <c r="AD57" s="139"/>
      <c r="AE57" s="139"/>
      <c r="AF57" s="139"/>
      <c r="AG57" s="137"/>
      <c r="AH57" s="138"/>
      <c r="AI57" s="24"/>
      <c r="AJ57" s="24"/>
      <c r="AK57" s="24"/>
      <c r="AL57" s="24"/>
      <c r="AM57" s="199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</row>
    <row r="58" spans="1:133">
      <c r="A58" s="213"/>
      <c r="E58" s="25"/>
      <c r="F58" s="141"/>
      <c r="G58" s="23"/>
      <c r="H58" s="21"/>
      <c r="I58" s="197"/>
      <c r="J58" s="197"/>
      <c r="K58" s="21"/>
      <c r="L58" s="132"/>
      <c r="M58" s="147"/>
      <c r="N58" s="198"/>
      <c r="O58" s="24"/>
      <c r="P58" s="24"/>
      <c r="Q58" s="24"/>
      <c r="R58" s="24"/>
      <c r="S58" s="24"/>
      <c r="T58" s="24"/>
      <c r="U58" s="24"/>
      <c r="V58" s="24"/>
      <c r="W58" s="24"/>
      <c r="X58" s="135"/>
      <c r="Y58" s="136"/>
      <c r="Z58" s="139"/>
      <c r="AA58" s="139"/>
      <c r="AB58" s="137"/>
      <c r="AC58" s="137"/>
      <c r="AD58" s="139"/>
      <c r="AE58" s="139"/>
      <c r="AF58" s="139"/>
      <c r="AG58" s="137"/>
      <c r="AH58" s="138"/>
      <c r="AI58" s="24"/>
      <c r="AJ58" s="24"/>
      <c r="AK58" s="24"/>
      <c r="AL58" s="24"/>
      <c r="AM58" s="199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</row>
    <row r="59" spans="1:133">
      <c r="A59" s="213"/>
      <c r="E59" s="25"/>
      <c r="F59" s="141"/>
      <c r="G59" s="23"/>
      <c r="H59" s="21"/>
      <c r="I59" s="197"/>
      <c r="J59" s="197"/>
      <c r="K59" s="21"/>
      <c r="L59" s="132"/>
      <c r="M59" s="147"/>
      <c r="N59" s="198"/>
      <c r="O59" s="24"/>
      <c r="P59" s="24"/>
      <c r="Q59" s="24"/>
      <c r="R59" s="24"/>
      <c r="S59" s="24"/>
      <c r="T59" s="24"/>
      <c r="U59" s="24"/>
      <c r="V59" s="24"/>
      <c r="W59" s="24"/>
      <c r="X59" s="135"/>
      <c r="Y59" s="136"/>
      <c r="Z59" s="139"/>
      <c r="AA59" s="139"/>
      <c r="AB59" s="137"/>
      <c r="AC59" s="137"/>
      <c r="AD59" s="139"/>
      <c r="AE59" s="139"/>
      <c r="AF59" s="139"/>
      <c r="AG59" s="137"/>
      <c r="AH59" s="138"/>
      <c r="AI59" s="24"/>
      <c r="AJ59" s="24"/>
      <c r="AK59" s="24"/>
      <c r="AL59" s="24"/>
      <c r="AM59" s="19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</row>
    <row r="60" spans="1:133">
      <c r="A60" s="213"/>
      <c r="E60" s="25"/>
      <c r="F60" s="141"/>
      <c r="G60" s="23"/>
      <c r="H60" s="21"/>
      <c r="I60" s="197"/>
      <c r="J60" s="197"/>
      <c r="K60" s="21"/>
      <c r="L60" s="132"/>
      <c r="M60" s="147"/>
      <c r="N60" s="198"/>
      <c r="O60" s="24"/>
      <c r="P60" s="24"/>
      <c r="Q60" s="24"/>
      <c r="R60" s="24"/>
      <c r="S60" s="24"/>
      <c r="T60" s="24"/>
      <c r="U60" s="24"/>
      <c r="V60" s="24"/>
      <c r="W60" s="24"/>
      <c r="X60" s="135"/>
      <c r="Y60" s="136"/>
      <c r="Z60" s="139"/>
      <c r="AA60" s="139"/>
      <c r="AB60" s="137"/>
      <c r="AC60" s="137"/>
      <c r="AD60" s="139"/>
      <c r="AE60" s="139"/>
      <c r="AF60" s="139"/>
      <c r="AG60" s="137"/>
      <c r="AH60" s="138"/>
      <c r="AI60" s="24"/>
      <c r="AJ60" s="24"/>
      <c r="AK60" s="24"/>
      <c r="AL60" s="24"/>
      <c r="AM60" s="199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</row>
    <row r="61" spans="1:133">
      <c r="A61" s="213"/>
      <c r="E61" s="25"/>
      <c r="F61" s="141"/>
      <c r="G61" s="23"/>
      <c r="H61" s="21"/>
      <c r="I61" s="197"/>
      <c r="J61" s="197"/>
      <c r="K61" s="21"/>
      <c r="L61" s="132"/>
      <c r="M61" s="147"/>
      <c r="N61" s="198"/>
      <c r="O61" s="24"/>
      <c r="P61" s="24"/>
      <c r="Q61" s="24"/>
      <c r="R61" s="24"/>
      <c r="S61" s="24"/>
      <c r="T61" s="24"/>
      <c r="U61" s="24"/>
      <c r="V61" s="24"/>
      <c r="W61" s="24"/>
      <c r="X61" s="135"/>
      <c r="Y61" s="136"/>
      <c r="Z61" s="139"/>
      <c r="AA61" s="139"/>
      <c r="AB61" s="137"/>
      <c r="AC61" s="137"/>
      <c r="AD61" s="139"/>
      <c r="AE61" s="139"/>
      <c r="AF61" s="139"/>
      <c r="AG61" s="137"/>
      <c r="AH61" s="138"/>
      <c r="AI61" s="24"/>
      <c r="AJ61" s="24"/>
      <c r="AK61" s="24"/>
      <c r="AL61" s="24"/>
      <c r="AM61" s="199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</row>
    <row r="62" spans="1:133">
      <c r="A62" s="213"/>
      <c r="E62" s="25"/>
      <c r="F62" s="141"/>
      <c r="G62" s="23"/>
      <c r="H62" s="21"/>
      <c r="I62" s="197"/>
      <c r="J62" s="197"/>
      <c r="K62" s="21"/>
      <c r="L62" s="132"/>
      <c r="M62" s="147"/>
      <c r="N62" s="198"/>
      <c r="O62" s="24"/>
      <c r="P62" s="24"/>
      <c r="Q62" s="24"/>
      <c r="R62" s="24"/>
      <c r="S62" s="24"/>
      <c r="T62" s="24"/>
      <c r="U62" s="24"/>
      <c r="V62" s="24"/>
      <c r="W62" s="24"/>
      <c r="X62" s="135"/>
      <c r="Y62" s="136"/>
      <c r="Z62" s="139"/>
      <c r="AA62" s="139"/>
      <c r="AB62" s="137"/>
      <c r="AC62" s="137"/>
      <c r="AD62" s="139"/>
      <c r="AE62" s="139"/>
      <c r="AF62" s="139"/>
      <c r="AG62" s="137"/>
      <c r="AH62" s="138"/>
      <c r="AI62" s="24"/>
      <c r="AJ62" s="24"/>
      <c r="AK62" s="24"/>
      <c r="AL62" s="24"/>
      <c r="AM62" s="199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</row>
    <row r="63" spans="1:133">
      <c r="A63" s="213"/>
      <c r="E63" s="25"/>
      <c r="F63" s="141"/>
      <c r="G63" s="23"/>
      <c r="H63" s="21"/>
      <c r="I63" s="197"/>
      <c r="J63" s="197"/>
      <c r="K63" s="21"/>
      <c r="L63" s="132"/>
      <c r="M63" s="147"/>
      <c r="N63" s="198"/>
      <c r="O63" s="24"/>
      <c r="P63" s="24"/>
      <c r="Q63" s="24"/>
      <c r="R63" s="24"/>
      <c r="S63" s="24"/>
      <c r="T63" s="24"/>
      <c r="U63" s="24"/>
      <c r="V63" s="24"/>
      <c r="W63" s="24"/>
      <c r="X63" s="135"/>
      <c r="Y63" s="136"/>
      <c r="Z63" s="139"/>
      <c r="AA63" s="139"/>
      <c r="AB63" s="137"/>
      <c r="AC63" s="137"/>
      <c r="AD63" s="139"/>
      <c r="AE63" s="139"/>
      <c r="AF63" s="139"/>
      <c r="AG63" s="137"/>
      <c r="AH63" s="138"/>
      <c r="AI63" s="24"/>
      <c r="AJ63" s="24"/>
      <c r="AK63" s="24"/>
      <c r="AL63" s="24"/>
      <c r="AM63" s="199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</row>
    <row r="64" spans="1:133">
      <c r="A64" s="213"/>
      <c r="E64" s="25"/>
      <c r="F64" s="141"/>
      <c r="G64" s="23"/>
      <c r="H64" s="21"/>
      <c r="I64" s="197"/>
      <c r="J64" s="197"/>
      <c r="K64" s="21"/>
      <c r="L64" s="132"/>
      <c r="M64" s="147"/>
      <c r="N64" s="198"/>
      <c r="O64" s="24"/>
      <c r="P64" s="24"/>
      <c r="Q64" s="24"/>
      <c r="R64" s="24"/>
      <c r="S64" s="24"/>
      <c r="T64" s="24"/>
      <c r="U64" s="24"/>
      <c r="V64" s="24"/>
      <c r="W64" s="24"/>
      <c r="X64" s="135"/>
      <c r="Y64" s="136"/>
      <c r="Z64" s="139"/>
      <c r="AA64" s="139"/>
      <c r="AB64" s="137"/>
      <c r="AC64" s="137"/>
      <c r="AD64" s="139"/>
      <c r="AE64" s="139"/>
      <c r="AF64" s="139"/>
      <c r="AG64" s="137"/>
      <c r="AH64" s="138"/>
      <c r="AI64" s="24"/>
      <c r="AJ64" s="24"/>
      <c r="AK64" s="24"/>
      <c r="AL64" s="24"/>
      <c r="AM64" s="199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</row>
    <row r="65" spans="1:133">
      <c r="A65" s="213"/>
      <c r="E65" s="25"/>
      <c r="F65" s="141"/>
      <c r="G65" s="23"/>
      <c r="H65" s="21"/>
      <c r="I65" s="197"/>
      <c r="J65" s="197"/>
      <c r="K65" s="21"/>
      <c r="L65" s="132"/>
      <c r="M65" s="147"/>
      <c r="N65" s="198"/>
      <c r="O65" s="24"/>
      <c r="P65" s="24"/>
      <c r="Q65" s="24"/>
      <c r="R65" s="24"/>
      <c r="S65" s="24"/>
      <c r="T65" s="24"/>
      <c r="U65" s="24"/>
      <c r="V65" s="24"/>
      <c r="W65" s="24"/>
      <c r="X65" s="135"/>
      <c r="Y65" s="136"/>
      <c r="Z65" s="139"/>
      <c r="AA65" s="139"/>
      <c r="AB65" s="137"/>
      <c r="AC65" s="137"/>
      <c r="AD65" s="139"/>
      <c r="AE65" s="139"/>
      <c r="AF65" s="139"/>
      <c r="AG65" s="137"/>
      <c r="AH65" s="138"/>
      <c r="AI65" s="24"/>
      <c r="AJ65" s="24"/>
      <c r="AK65" s="24"/>
      <c r="AL65" s="24"/>
      <c r="AM65" s="199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</row>
    <row r="66" spans="1:133">
      <c r="A66" s="213"/>
      <c r="E66" s="25"/>
      <c r="F66" s="141"/>
      <c r="G66" s="23"/>
      <c r="H66" s="21"/>
      <c r="I66" s="197"/>
      <c r="J66" s="197"/>
      <c r="K66" s="21"/>
      <c r="L66" s="132"/>
      <c r="M66" s="147"/>
      <c r="N66" s="198"/>
      <c r="O66" s="24"/>
      <c r="P66" s="24"/>
      <c r="Q66" s="24"/>
      <c r="R66" s="24"/>
      <c r="S66" s="24"/>
      <c r="T66" s="24"/>
      <c r="U66" s="24"/>
      <c r="V66" s="24"/>
      <c r="W66" s="24"/>
      <c r="X66" s="135"/>
      <c r="Y66" s="136"/>
      <c r="Z66" s="139"/>
      <c r="AA66" s="139"/>
      <c r="AB66" s="137"/>
      <c r="AC66" s="137"/>
      <c r="AD66" s="139"/>
      <c r="AE66" s="139"/>
      <c r="AF66" s="139"/>
      <c r="AG66" s="137"/>
      <c r="AH66" s="138"/>
      <c r="AI66" s="24"/>
      <c r="AJ66" s="24"/>
      <c r="AK66" s="24"/>
      <c r="AL66" s="24"/>
      <c r="AM66" s="199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</row>
    <row r="67" spans="1:133">
      <c r="A67" s="213"/>
      <c r="E67" s="25"/>
      <c r="F67" s="141"/>
      <c r="G67" s="23"/>
      <c r="H67" s="21"/>
      <c r="I67" s="197"/>
      <c r="J67" s="197"/>
      <c r="K67" s="21"/>
      <c r="L67" s="132"/>
      <c r="M67" s="147"/>
      <c r="N67" s="198"/>
      <c r="O67" s="24"/>
      <c r="P67" s="24"/>
      <c r="Q67" s="24"/>
      <c r="R67" s="24"/>
      <c r="S67" s="24"/>
      <c r="T67" s="24"/>
      <c r="U67" s="24"/>
      <c r="V67" s="24"/>
      <c r="W67" s="24"/>
      <c r="X67" s="135"/>
      <c r="Y67" s="136"/>
      <c r="Z67" s="139"/>
      <c r="AA67" s="139"/>
      <c r="AB67" s="137"/>
      <c r="AC67" s="137"/>
      <c r="AD67" s="139"/>
      <c r="AE67" s="139"/>
      <c r="AF67" s="139"/>
      <c r="AG67" s="137"/>
      <c r="AH67" s="138"/>
      <c r="AI67" s="24"/>
      <c r="AJ67" s="24"/>
      <c r="AK67" s="24"/>
      <c r="AL67" s="24"/>
      <c r="AM67" s="199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</row>
    <row r="68" spans="1:133">
      <c r="A68" s="213"/>
      <c r="E68" s="25"/>
      <c r="F68" s="141"/>
      <c r="G68" s="23"/>
      <c r="H68" s="21"/>
      <c r="I68" s="197"/>
      <c r="J68" s="197"/>
      <c r="K68" s="21"/>
      <c r="L68" s="132"/>
      <c r="M68" s="147"/>
      <c r="N68" s="198"/>
      <c r="O68" s="24"/>
      <c r="P68" s="24"/>
      <c r="Q68" s="24"/>
      <c r="R68" s="24"/>
      <c r="S68" s="24"/>
      <c r="T68" s="24"/>
      <c r="U68" s="24"/>
      <c r="V68" s="24"/>
      <c r="W68" s="24"/>
      <c r="X68" s="135"/>
      <c r="Y68" s="136"/>
      <c r="Z68" s="139"/>
      <c r="AA68" s="139"/>
      <c r="AB68" s="137"/>
      <c r="AC68" s="137"/>
      <c r="AD68" s="139"/>
      <c r="AE68" s="139"/>
      <c r="AF68" s="139"/>
      <c r="AG68" s="137"/>
      <c r="AH68" s="138"/>
      <c r="AI68" s="24"/>
      <c r="AJ68" s="24"/>
      <c r="AK68" s="24"/>
      <c r="AL68" s="24"/>
      <c r="AM68" s="199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</row>
    <row r="69" spans="1:133">
      <c r="A69" s="213"/>
      <c r="E69" s="25"/>
      <c r="F69" s="141"/>
      <c r="G69" s="23"/>
      <c r="H69" s="21"/>
      <c r="I69" s="197"/>
      <c r="J69" s="197"/>
      <c r="K69" s="21"/>
      <c r="L69" s="132"/>
      <c r="M69" s="147"/>
      <c r="N69" s="198"/>
      <c r="O69" s="24"/>
      <c r="P69" s="24"/>
      <c r="Q69" s="24"/>
      <c r="R69" s="24"/>
      <c r="S69" s="24"/>
      <c r="T69" s="24"/>
      <c r="U69" s="24"/>
      <c r="V69" s="24"/>
      <c r="W69" s="24"/>
      <c r="X69" s="135"/>
      <c r="Y69" s="136"/>
      <c r="Z69" s="139"/>
      <c r="AA69" s="139"/>
      <c r="AB69" s="137"/>
      <c r="AC69" s="137"/>
      <c r="AD69" s="139"/>
      <c r="AE69" s="139"/>
      <c r="AF69" s="139"/>
      <c r="AG69" s="137"/>
      <c r="AH69" s="138"/>
      <c r="AI69" s="24"/>
      <c r="AJ69" s="24"/>
      <c r="AK69" s="24"/>
      <c r="AL69" s="24"/>
      <c r="AM69" s="19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</row>
    <row r="70" spans="1:133">
      <c r="A70" s="213"/>
      <c r="E70" s="25"/>
      <c r="F70" s="141"/>
      <c r="G70" s="23"/>
      <c r="H70" s="21"/>
      <c r="I70" s="197"/>
      <c r="J70" s="197"/>
      <c r="K70" s="21"/>
      <c r="L70" s="132"/>
      <c r="M70" s="147"/>
      <c r="N70" s="198"/>
      <c r="O70" s="24"/>
      <c r="P70" s="24"/>
      <c r="Q70" s="24"/>
      <c r="R70" s="24"/>
      <c r="S70" s="24"/>
      <c r="T70" s="24"/>
      <c r="U70" s="24"/>
      <c r="V70" s="24"/>
      <c r="W70" s="24"/>
      <c r="X70" s="135"/>
      <c r="Y70" s="136"/>
      <c r="Z70" s="139"/>
      <c r="AA70" s="139"/>
      <c r="AB70" s="137"/>
      <c r="AC70" s="137"/>
      <c r="AD70" s="139"/>
      <c r="AE70" s="139"/>
      <c r="AF70" s="139"/>
      <c r="AG70" s="137"/>
      <c r="AH70" s="138"/>
      <c r="AI70" s="24"/>
      <c r="AJ70" s="24"/>
      <c r="AK70" s="24"/>
      <c r="AL70" s="24"/>
      <c r="AM70" s="199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</row>
    <row r="71" spans="1:133">
      <c r="A71" s="213"/>
      <c r="E71" s="25"/>
      <c r="F71" s="141"/>
      <c r="G71" s="23"/>
      <c r="H71" s="21"/>
      <c r="I71" s="197"/>
      <c r="J71" s="197"/>
      <c r="K71" s="21"/>
      <c r="L71" s="132"/>
      <c r="M71" s="147"/>
      <c r="N71" s="198"/>
      <c r="O71" s="24"/>
      <c r="P71" s="24"/>
      <c r="Q71" s="24"/>
      <c r="R71" s="24"/>
      <c r="S71" s="24"/>
      <c r="T71" s="24"/>
      <c r="U71" s="24"/>
      <c r="V71" s="24"/>
      <c r="W71" s="24"/>
      <c r="X71" s="135"/>
      <c r="Y71" s="136"/>
      <c r="Z71" s="139"/>
      <c r="AA71" s="139"/>
      <c r="AB71" s="137"/>
      <c r="AC71" s="137"/>
      <c r="AD71" s="139"/>
      <c r="AE71" s="139"/>
      <c r="AF71" s="139"/>
      <c r="AG71" s="137"/>
      <c r="AH71" s="138"/>
      <c r="AI71" s="24"/>
      <c r="AJ71" s="24"/>
      <c r="AK71" s="24"/>
      <c r="AL71" s="24"/>
      <c r="AM71" s="199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</row>
    <row r="72" spans="1:133">
      <c r="A72" s="213"/>
      <c r="E72" s="25"/>
      <c r="F72" s="141"/>
      <c r="G72" s="23"/>
      <c r="H72" s="21"/>
      <c r="I72" s="197"/>
      <c r="J72" s="197"/>
      <c r="K72" s="21"/>
      <c r="L72" s="132"/>
      <c r="M72" s="147"/>
      <c r="N72" s="198"/>
      <c r="O72" s="24"/>
      <c r="P72" s="24"/>
      <c r="Q72" s="24"/>
      <c r="R72" s="24"/>
      <c r="S72" s="24"/>
      <c r="T72" s="24"/>
      <c r="U72" s="24"/>
      <c r="V72" s="24"/>
      <c r="W72" s="24"/>
      <c r="X72" s="135"/>
      <c r="Y72" s="136"/>
      <c r="Z72" s="139"/>
      <c r="AA72" s="139"/>
      <c r="AB72" s="137"/>
      <c r="AC72" s="137"/>
      <c r="AD72" s="139"/>
      <c r="AE72" s="139"/>
      <c r="AF72" s="139"/>
      <c r="AG72" s="137"/>
      <c r="AH72" s="138"/>
      <c r="AI72" s="24"/>
      <c r="AJ72" s="24"/>
      <c r="AK72" s="24"/>
      <c r="AL72" s="24"/>
      <c r="AM72" s="199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</row>
    <row r="73" spans="1:133">
      <c r="A73" s="213"/>
      <c r="E73" s="25"/>
      <c r="F73" s="141"/>
      <c r="G73" s="23"/>
      <c r="H73" s="21"/>
      <c r="I73" s="197"/>
      <c r="J73" s="197"/>
      <c r="K73" s="21"/>
      <c r="L73" s="132"/>
      <c r="M73" s="147"/>
      <c r="N73" s="198"/>
      <c r="O73" s="24"/>
      <c r="P73" s="24"/>
      <c r="Q73" s="24"/>
      <c r="R73" s="24"/>
      <c r="S73" s="24"/>
      <c r="T73" s="24"/>
      <c r="U73" s="24"/>
      <c r="V73" s="24"/>
      <c r="W73" s="24"/>
      <c r="X73" s="135"/>
      <c r="Y73" s="136"/>
      <c r="Z73" s="139"/>
      <c r="AA73" s="139"/>
      <c r="AB73" s="137"/>
      <c r="AC73" s="137"/>
      <c r="AD73" s="139"/>
      <c r="AE73" s="139"/>
      <c r="AF73" s="139"/>
      <c r="AG73" s="137"/>
      <c r="AH73" s="138"/>
      <c r="AI73" s="24"/>
      <c r="AJ73" s="24"/>
      <c r="AK73" s="24"/>
      <c r="AL73" s="24"/>
      <c r="AM73" s="199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</row>
    <row r="74" spans="1:133">
      <c r="A74" s="213"/>
      <c r="E74" s="25"/>
      <c r="F74" s="141"/>
      <c r="G74" s="23"/>
      <c r="H74" s="21"/>
      <c r="I74" s="197"/>
      <c r="J74" s="197"/>
      <c r="K74" s="21"/>
      <c r="L74" s="132"/>
      <c r="M74" s="147"/>
      <c r="N74" s="198"/>
      <c r="O74" s="24"/>
      <c r="P74" s="24"/>
      <c r="Q74" s="24"/>
      <c r="R74" s="24"/>
      <c r="S74" s="24"/>
      <c r="T74" s="24"/>
      <c r="U74" s="24"/>
      <c r="V74" s="24"/>
      <c r="W74" s="24"/>
      <c r="X74" s="135"/>
      <c r="Y74" s="136"/>
      <c r="Z74" s="139"/>
      <c r="AA74" s="139"/>
      <c r="AB74" s="137"/>
      <c r="AC74" s="137"/>
      <c r="AD74" s="139"/>
      <c r="AE74" s="139"/>
      <c r="AF74" s="139"/>
      <c r="AG74" s="137"/>
      <c r="AH74" s="138"/>
      <c r="AI74" s="24"/>
      <c r="AJ74" s="24"/>
      <c r="AK74" s="24"/>
      <c r="AL74" s="24"/>
      <c r="AM74" s="199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</row>
    <row r="75" spans="1:133">
      <c r="A75" s="213"/>
      <c r="E75" s="25"/>
      <c r="F75" s="141"/>
      <c r="G75" s="23"/>
      <c r="H75" s="21"/>
      <c r="I75" s="197"/>
      <c r="J75" s="197"/>
      <c r="K75" s="21"/>
      <c r="L75" s="132"/>
      <c r="M75" s="147"/>
      <c r="N75" s="198"/>
      <c r="O75" s="24"/>
      <c r="P75" s="24"/>
      <c r="Q75" s="24"/>
      <c r="R75" s="24"/>
      <c r="S75" s="24"/>
      <c r="T75" s="24"/>
      <c r="U75" s="24"/>
      <c r="V75" s="24"/>
      <c r="W75" s="24"/>
      <c r="X75" s="135"/>
      <c r="Y75" s="136"/>
      <c r="Z75" s="139"/>
      <c r="AA75" s="139"/>
      <c r="AB75" s="137"/>
      <c r="AC75" s="137"/>
      <c r="AD75" s="139"/>
      <c r="AE75" s="139"/>
      <c r="AF75" s="139"/>
      <c r="AG75" s="137"/>
      <c r="AH75" s="138"/>
      <c r="AI75" s="24"/>
      <c r="AJ75" s="24"/>
      <c r="AK75" s="24"/>
      <c r="AL75" s="24"/>
      <c r="AM75" s="199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</row>
    <row r="76" spans="1:133">
      <c r="A76" s="213"/>
      <c r="E76" s="25"/>
      <c r="F76" s="141"/>
      <c r="G76" s="23"/>
      <c r="H76" s="21"/>
      <c r="I76" s="197"/>
      <c r="J76" s="197"/>
      <c r="K76" s="21"/>
      <c r="L76" s="132"/>
      <c r="M76" s="147"/>
      <c r="N76" s="198"/>
      <c r="O76" s="24"/>
      <c r="P76" s="24"/>
      <c r="Q76" s="24"/>
      <c r="R76" s="24"/>
      <c r="S76" s="24"/>
      <c r="T76" s="24"/>
      <c r="U76" s="24"/>
      <c r="V76" s="24"/>
      <c r="W76" s="24"/>
      <c r="X76" s="135"/>
      <c r="Y76" s="136"/>
      <c r="Z76" s="139"/>
      <c r="AA76" s="139"/>
      <c r="AB76" s="137"/>
      <c r="AC76" s="137"/>
      <c r="AD76" s="139"/>
      <c r="AE76" s="139"/>
      <c r="AF76" s="139"/>
      <c r="AG76" s="137"/>
      <c r="AH76" s="138"/>
      <c r="AI76" s="24"/>
      <c r="AJ76" s="24"/>
      <c r="AK76" s="24"/>
      <c r="AL76" s="24"/>
      <c r="AM76" s="199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</row>
    <row r="77" spans="1:133">
      <c r="A77" s="213"/>
      <c r="E77" s="25"/>
      <c r="F77" s="141"/>
      <c r="G77" s="23"/>
      <c r="H77" s="21"/>
      <c r="I77" s="197"/>
      <c r="J77" s="197"/>
      <c r="K77" s="21"/>
      <c r="L77" s="132"/>
      <c r="M77" s="147"/>
      <c r="N77" s="198"/>
      <c r="O77" s="24"/>
      <c r="P77" s="24"/>
      <c r="Q77" s="24"/>
      <c r="R77" s="24"/>
      <c r="S77" s="24"/>
      <c r="T77" s="24"/>
      <c r="U77" s="24"/>
      <c r="V77" s="24"/>
      <c r="W77" s="24"/>
      <c r="X77" s="135"/>
      <c r="Y77" s="136"/>
      <c r="Z77" s="139"/>
      <c r="AA77" s="139"/>
      <c r="AB77" s="137"/>
      <c r="AC77" s="137"/>
      <c r="AD77" s="139"/>
      <c r="AE77" s="139"/>
      <c r="AF77" s="139"/>
      <c r="AG77" s="137"/>
      <c r="AH77" s="138"/>
      <c r="AI77" s="24"/>
      <c r="AJ77" s="24"/>
      <c r="AK77" s="24"/>
      <c r="AL77" s="24"/>
      <c r="AM77" s="199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</row>
    <row r="78" spans="1:133">
      <c r="A78" s="213"/>
      <c r="E78" s="25"/>
      <c r="F78" s="141"/>
      <c r="G78" s="23"/>
      <c r="H78" s="21"/>
      <c r="I78" s="197"/>
      <c r="J78" s="197"/>
      <c r="K78" s="21"/>
      <c r="L78" s="132"/>
      <c r="M78" s="147"/>
      <c r="N78" s="198"/>
      <c r="O78" s="24"/>
      <c r="P78" s="24"/>
      <c r="Q78" s="24"/>
      <c r="R78" s="24"/>
      <c r="S78" s="24"/>
      <c r="T78" s="24"/>
      <c r="U78" s="24"/>
      <c r="V78" s="24"/>
      <c r="W78" s="24"/>
      <c r="X78" s="135"/>
      <c r="Y78" s="136"/>
      <c r="Z78" s="139"/>
      <c r="AA78" s="139"/>
      <c r="AB78" s="137"/>
      <c r="AC78" s="137"/>
      <c r="AD78" s="139"/>
      <c r="AE78" s="139"/>
      <c r="AF78" s="139"/>
      <c r="AG78" s="137"/>
      <c r="AH78" s="138"/>
      <c r="AI78" s="24"/>
      <c r="AJ78" s="24"/>
      <c r="AK78" s="24"/>
      <c r="AL78" s="24"/>
      <c r="AM78" s="199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</row>
    <row r="79" spans="1:133">
      <c r="A79" s="213"/>
      <c r="E79" s="214"/>
      <c r="F79" s="215"/>
      <c r="G79" s="214"/>
      <c r="H79" s="175"/>
      <c r="I79" s="216"/>
      <c r="J79" s="175"/>
      <c r="K79" s="175"/>
      <c r="L79" s="217"/>
      <c r="M79" s="217"/>
      <c r="N79" s="214"/>
      <c r="O79" s="218"/>
      <c r="P79" s="218"/>
      <c r="Q79" s="218"/>
      <c r="R79" s="218"/>
      <c r="S79" s="218"/>
      <c r="T79" s="218"/>
      <c r="U79" s="218"/>
      <c r="V79" s="214"/>
      <c r="W79" s="214"/>
      <c r="AI79" s="218"/>
      <c r="AJ79" s="218"/>
      <c r="AK79" s="218"/>
      <c r="AL79" s="218"/>
      <c r="AM79" s="219"/>
    </row>
    <row r="80" spans="1:133">
      <c r="A80" s="213"/>
      <c r="E80" s="214"/>
      <c r="F80" s="215"/>
      <c r="G80" s="214"/>
      <c r="H80" s="175"/>
      <c r="I80" s="175"/>
      <c r="J80" s="175"/>
      <c r="K80" s="175"/>
      <c r="L80" s="217"/>
      <c r="M80" s="217"/>
      <c r="N80" s="214"/>
      <c r="O80" s="218"/>
      <c r="P80" s="218"/>
      <c r="Q80" s="218"/>
      <c r="R80" s="218"/>
      <c r="S80" s="218"/>
      <c r="T80" s="218"/>
      <c r="U80" s="218"/>
      <c r="V80" s="214"/>
      <c r="W80" s="214"/>
      <c r="AI80" s="218"/>
      <c r="AJ80" s="218"/>
      <c r="AK80" s="218"/>
      <c r="AL80" s="218"/>
      <c r="AM80" s="219"/>
    </row>
    <row r="81" spans="1:39">
      <c r="A81" s="213"/>
      <c r="E81" s="214"/>
      <c r="F81" s="215"/>
      <c r="G81" s="214"/>
      <c r="H81" s="175"/>
      <c r="I81" s="175"/>
      <c r="J81" s="175"/>
      <c r="K81" s="175"/>
      <c r="L81" s="217"/>
      <c r="M81" s="217"/>
      <c r="N81" s="214"/>
      <c r="O81" s="218"/>
      <c r="P81" s="218"/>
      <c r="Q81" s="218"/>
      <c r="R81" s="218"/>
      <c r="S81" s="218"/>
      <c r="T81" s="218"/>
      <c r="U81" s="218"/>
      <c r="V81" s="214"/>
      <c r="W81" s="214"/>
      <c r="AI81" s="218"/>
      <c r="AJ81" s="218"/>
      <c r="AK81" s="218"/>
      <c r="AL81" s="218"/>
      <c r="AM81" s="219"/>
    </row>
    <row r="82" spans="1:39">
      <c r="A82" s="213"/>
      <c r="G82" s="214"/>
      <c r="O82" s="220"/>
      <c r="P82" s="220"/>
      <c r="Q82" s="220"/>
      <c r="R82" s="220"/>
      <c r="S82" s="220"/>
      <c r="T82" s="220"/>
      <c r="U82" s="220"/>
      <c r="AI82" s="220"/>
      <c r="AJ82" s="220"/>
      <c r="AK82" s="220"/>
      <c r="AL82" s="220"/>
      <c r="AM82" s="219"/>
    </row>
    <row r="83" spans="1:39">
      <c r="A83" s="213"/>
      <c r="O83" s="220"/>
      <c r="P83" s="220"/>
      <c r="Q83" s="220"/>
      <c r="R83" s="220"/>
      <c r="S83" s="220"/>
      <c r="T83" s="220"/>
      <c r="U83" s="220"/>
      <c r="AI83" s="220"/>
      <c r="AJ83" s="220"/>
      <c r="AK83" s="220"/>
      <c r="AL83" s="220"/>
      <c r="AM83" s="219"/>
    </row>
    <row r="84" spans="1:39">
      <c r="A84" s="213"/>
      <c r="O84" s="220"/>
      <c r="P84" s="220"/>
      <c r="Q84" s="220"/>
      <c r="R84" s="220"/>
      <c r="S84" s="220"/>
      <c r="T84" s="220"/>
      <c r="U84" s="220"/>
      <c r="AI84" s="220"/>
      <c r="AJ84" s="220"/>
      <c r="AK84" s="220"/>
      <c r="AL84" s="220"/>
      <c r="AM84" s="219"/>
    </row>
    <row r="85" spans="1:39">
      <c r="A85" s="213"/>
      <c r="O85" s="220"/>
      <c r="P85" s="220"/>
      <c r="Q85" s="220"/>
      <c r="R85" s="220"/>
      <c r="S85" s="220"/>
      <c r="T85" s="220"/>
      <c r="U85" s="220"/>
      <c r="AI85" s="220"/>
      <c r="AJ85" s="220"/>
      <c r="AK85" s="220"/>
      <c r="AL85" s="220"/>
      <c r="AM85" s="219"/>
    </row>
    <row r="86" spans="1:39">
      <c r="A86" s="213"/>
      <c r="O86" s="220"/>
      <c r="P86" s="220"/>
      <c r="Q86" s="220"/>
      <c r="R86" s="220"/>
      <c r="S86" s="220"/>
      <c r="T86" s="220"/>
      <c r="U86" s="220"/>
      <c r="AI86" s="220"/>
      <c r="AJ86" s="220"/>
      <c r="AK86" s="220"/>
      <c r="AL86" s="220"/>
      <c r="AM86" s="219"/>
    </row>
    <row r="87" spans="1:39">
      <c r="A87" s="213"/>
      <c r="O87" s="220"/>
      <c r="P87" s="220"/>
      <c r="Q87" s="220"/>
      <c r="R87" s="220"/>
      <c r="S87" s="220"/>
      <c r="T87" s="220"/>
      <c r="U87" s="220"/>
      <c r="AI87" s="220"/>
      <c r="AJ87" s="220"/>
      <c r="AK87" s="220"/>
      <c r="AL87" s="220"/>
      <c r="AM87" s="219"/>
    </row>
    <row r="88" spans="1:39">
      <c r="A88" s="213"/>
      <c r="O88" s="220"/>
      <c r="P88" s="220"/>
      <c r="Q88" s="220"/>
      <c r="R88" s="220"/>
      <c r="S88" s="220"/>
      <c r="T88" s="220"/>
      <c r="U88" s="220"/>
      <c r="AI88" s="220"/>
      <c r="AJ88" s="220"/>
      <c r="AK88" s="220"/>
      <c r="AL88" s="220"/>
      <c r="AM88" s="219"/>
    </row>
    <row r="89" spans="1:39">
      <c r="A89" s="213"/>
      <c r="O89" s="220"/>
      <c r="P89" s="220"/>
      <c r="Q89" s="220"/>
      <c r="R89" s="220"/>
      <c r="S89" s="220"/>
      <c r="T89" s="220"/>
      <c r="U89" s="220"/>
      <c r="AI89" s="220"/>
      <c r="AJ89" s="220"/>
      <c r="AK89" s="220"/>
      <c r="AL89" s="220"/>
      <c r="AM89" s="219"/>
    </row>
    <row r="90" spans="1:39">
      <c r="A90" s="213"/>
      <c r="O90" s="220"/>
      <c r="P90" s="220"/>
      <c r="Q90" s="220"/>
      <c r="R90" s="220"/>
      <c r="S90" s="220"/>
      <c r="T90" s="220"/>
      <c r="U90" s="220"/>
      <c r="AI90" s="220"/>
      <c r="AJ90" s="220"/>
      <c r="AK90" s="220"/>
      <c r="AL90" s="220"/>
      <c r="AM90" s="219"/>
    </row>
    <row r="91" spans="1:39">
      <c r="A91" s="213"/>
      <c r="O91" s="220"/>
      <c r="P91" s="220"/>
      <c r="Q91" s="220"/>
      <c r="R91" s="220"/>
      <c r="S91" s="220"/>
      <c r="T91" s="220"/>
      <c r="U91" s="220"/>
      <c r="AI91" s="220"/>
      <c r="AJ91" s="220"/>
      <c r="AK91" s="220"/>
      <c r="AL91" s="220"/>
      <c r="AM91" s="219"/>
    </row>
    <row r="92" spans="1:39">
      <c r="A92" s="213"/>
      <c r="O92" s="220"/>
      <c r="P92" s="220"/>
      <c r="Q92" s="220"/>
      <c r="R92" s="220"/>
      <c r="S92" s="220"/>
      <c r="T92" s="220"/>
      <c r="U92" s="220"/>
      <c r="AI92" s="220"/>
      <c r="AJ92" s="220"/>
      <c r="AK92" s="220"/>
      <c r="AL92" s="220"/>
      <c r="AM92" s="219"/>
    </row>
    <row r="93" spans="1:39">
      <c r="A93" s="213"/>
      <c r="O93" s="220"/>
      <c r="P93" s="220"/>
      <c r="Q93" s="220"/>
      <c r="R93" s="220"/>
      <c r="S93" s="220"/>
      <c r="T93" s="220"/>
      <c r="U93" s="220"/>
      <c r="AI93" s="220"/>
      <c r="AJ93" s="220"/>
      <c r="AK93" s="220"/>
      <c r="AL93" s="220"/>
      <c r="AM93" s="219"/>
    </row>
    <row r="94" spans="1:39">
      <c r="A94" s="213"/>
      <c r="O94" s="220"/>
      <c r="P94" s="220"/>
      <c r="Q94" s="220"/>
      <c r="R94" s="220"/>
      <c r="S94" s="220"/>
      <c r="T94" s="220"/>
      <c r="U94" s="220"/>
      <c r="AI94" s="220"/>
      <c r="AJ94" s="220"/>
      <c r="AK94" s="220"/>
      <c r="AL94" s="220"/>
      <c r="AM94" s="219"/>
    </row>
    <row r="95" spans="1:39">
      <c r="A95" s="213"/>
      <c r="O95" s="220"/>
      <c r="P95" s="220"/>
      <c r="Q95" s="220"/>
      <c r="R95" s="220"/>
      <c r="S95" s="220"/>
      <c r="T95" s="220"/>
      <c r="U95" s="220"/>
      <c r="AI95" s="220"/>
      <c r="AJ95" s="220"/>
      <c r="AK95" s="220"/>
      <c r="AL95" s="220"/>
      <c r="AM95" s="219"/>
    </row>
    <row r="96" spans="1:39">
      <c r="A96" s="213"/>
      <c r="O96" s="220"/>
      <c r="P96" s="220"/>
      <c r="Q96" s="220"/>
      <c r="R96" s="220"/>
      <c r="S96" s="220"/>
      <c r="T96" s="220"/>
      <c r="U96" s="220"/>
      <c r="AI96" s="220"/>
      <c r="AJ96" s="220"/>
      <c r="AK96" s="220"/>
      <c r="AL96" s="220"/>
      <c r="AM96" s="219"/>
    </row>
    <row r="97" spans="1:39">
      <c r="A97" s="213"/>
      <c r="O97" s="220"/>
      <c r="P97" s="220"/>
      <c r="Q97" s="220"/>
      <c r="R97" s="220"/>
      <c r="S97" s="220"/>
      <c r="T97" s="220"/>
      <c r="U97" s="220"/>
      <c r="AI97" s="220"/>
      <c r="AJ97" s="220"/>
      <c r="AK97" s="220"/>
      <c r="AL97" s="220"/>
      <c r="AM97" s="219"/>
    </row>
    <row r="98" spans="1:39">
      <c r="A98" s="213"/>
      <c r="O98" s="220"/>
      <c r="P98" s="220"/>
      <c r="Q98" s="220"/>
      <c r="R98" s="220"/>
      <c r="S98" s="220"/>
      <c r="T98" s="220"/>
      <c r="U98" s="220"/>
      <c r="AI98" s="220"/>
      <c r="AJ98" s="220"/>
      <c r="AK98" s="220"/>
      <c r="AL98" s="220"/>
      <c r="AM98" s="219"/>
    </row>
    <row r="99" spans="1:39">
      <c r="A99" s="213"/>
      <c r="O99" s="220"/>
      <c r="P99" s="220"/>
      <c r="Q99" s="220"/>
      <c r="R99" s="220"/>
      <c r="S99" s="220"/>
      <c r="T99" s="220"/>
      <c r="U99" s="220"/>
      <c r="AI99" s="220"/>
      <c r="AJ99" s="220"/>
      <c r="AK99" s="220"/>
      <c r="AL99" s="220"/>
      <c r="AM99" s="219"/>
    </row>
    <row r="100" spans="1:39">
      <c r="A100" s="213"/>
      <c r="O100" s="220"/>
      <c r="P100" s="220"/>
      <c r="Q100" s="220"/>
      <c r="R100" s="220"/>
      <c r="S100" s="220"/>
      <c r="T100" s="220"/>
      <c r="U100" s="220"/>
      <c r="AI100" s="220"/>
      <c r="AJ100" s="220"/>
      <c r="AK100" s="220"/>
      <c r="AL100" s="220"/>
      <c r="AM100" s="219"/>
    </row>
    <row r="101" spans="1:39">
      <c r="A101" s="213"/>
      <c r="O101" s="220"/>
      <c r="P101" s="220"/>
      <c r="Q101" s="220"/>
      <c r="R101" s="220"/>
      <c r="S101" s="220"/>
      <c r="T101" s="220"/>
      <c r="U101" s="220"/>
      <c r="AI101" s="220"/>
      <c r="AJ101" s="220"/>
      <c r="AK101" s="220"/>
      <c r="AL101" s="220"/>
      <c r="AM101" s="219"/>
    </row>
    <row r="102" spans="1:39">
      <c r="A102" s="213"/>
      <c r="O102" s="220"/>
      <c r="P102" s="220"/>
      <c r="Q102" s="220"/>
      <c r="R102" s="220"/>
      <c r="S102" s="220"/>
      <c r="T102" s="220"/>
      <c r="U102" s="220"/>
      <c r="AI102" s="220"/>
      <c r="AJ102" s="220"/>
      <c r="AK102" s="220"/>
      <c r="AL102" s="220"/>
      <c r="AM102" s="219"/>
    </row>
    <row r="103" spans="1:39">
      <c r="A103" s="213"/>
      <c r="O103" s="220"/>
      <c r="P103" s="220"/>
      <c r="Q103" s="220"/>
      <c r="R103" s="220"/>
      <c r="S103" s="220"/>
      <c r="T103" s="220"/>
      <c r="U103" s="220"/>
      <c r="AI103" s="220"/>
      <c r="AJ103" s="220"/>
      <c r="AK103" s="220"/>
      <c r="AL103" s="220"/>
      <c r="AM103" s="219"/>
    </row>
    <row r="104" spans="1:39">
      <c r="A104" s="213"/>
      <c r="O104" s="220"/>
      <c r="P104" s="220"/>
      <c r="Q104" s="220"/>
      <c r="R104" s="220"/>
      <c r="S104" s="220"/>
      <c r="T104" s="220"/>
      <c r="U104" s="220"/>
      <c r="AI104" s="220"/>
      <c r="AJ104" s="220"/>
      <c r="AK104" s="220"/>
      <c r="AL104" s="220"/>
      <c r="AM104" s="219"/>
    </row>
    <row r="105" spans="1:39">
      <c r="A105" s="213"/>
      <c r="O105" s="220"/>
      <c r="P105" s="220"/>
      <c r="Q105" s="220"/>
      <c r="R105" s="220"/>
      <c r="S105" s="220"/>
      <c r="T105" s="220"/>
      <c r="U105" s="220"/>
      <c r="AI105" s="220"/>
      <c r="AJ105" s="220"/>
      <c r="AK105" s="220"/>
      <c r="AL105" s="220"/>
      <c r="AM105" s="219"/>
    </row>
    <row r="106" spans="1:39">
      <c r="A106" s="213"/>
      <c r="O106" s="220"/>
      <c r="P106" s="220"/>
      <c r="Q106" s="220"/>
      <c r="R106" s="220"/>
      <c r="S106" s="220"/>
      <c r="T106" s="220"/>
      <c r="U106" s="220"/>
      <c r="AI106" s="220"/>
      <c r="AJ106" s="220"/>
      <c r="AK106" s="220"/>
      <c r="AL106" s="220"/>
      <c r="AM106" s="219"/>
    </row>
    <row r="107" spans="1:39">
      <c r="A107" s="213"/>
      <c r="O107" s="220"/>
      <c r="P107" s="220"/>
      <c r="Q107" s="220"/>
      <c r="R107" s="220"/>
      <c r="S107" s="220"/>
      <c r="T107" s="220"/>
      <c r="U107" s="220"/>
      <c r="AI107" s="220"/>
      <c r="AJ107" s="220"/>
      <c r="AK107" s="220"/>
      <c r="AL107" s="220"/>
      <c r="AM107" s="219"/>
    </row>
    <row r="108" spans="1:39">
      <c r="A108" s="213"/>
      <c r="O108" s="220"/>
      <c r="P108" s="220"/>
      <c r="Q108" s="220"/>
      <c r="R108" s="220"/>
      <c r="S108" s="220"/>
      <c r="T108" s="220"/>
      <c r="U108" s="220"/>
      <c r="AI108" s="220"/>
      <c r="AJ108" s="220"/>
      <c r="AK108" s="220"/>
      <c r="AL108" s="220"/>
      <c r="AM108" s="219"/>
    </row>
    <row r="109" spans="1:39">
      <c r="A109" s="213"/>
      <c r="O109" s="220"/>
      <c r="P109" s="220"/>
      <c r="Q109" s="220"/>
      <c r="R109" s="220"/>
      <c r="S109" s="220"/>
      <c r="T109" s="220"/>
      <c r="U109" s="220"/>
      <c r="AI109" s="220"/>
      <c r="AJ109" s="220"/>
      <c r="AK109" s="220"/>
      <c r="AL109" s="220"/>
      <c r="AM109" s="219"/>
    </row>
    <row r="110" spans="1:39">
      <c r="A110" s="213"/>
      <c r="O110" s="220"/>
      <c r="P110" s="220"/>
      <c r="Q110" s="220"/>
      <c r="R110" s="220"/>
      <c r="S110" s="220"/>
      <c r="T110" s="220"/>
      <c r="U110" s="220"/>
      <c r="AI110" s="220"/>
      <c r="AJ110" s="220"/>
      <c r="AK110" s="220"/>
      <c r="AL110" s="220"/>
      <c r="AM110" s="219"/>
    </row>
    <row r="111" spans="1:39">
      <c r="A111" s="213"/>
      <c r="O111" s="220"/>
      <c r="P111" s="220"/>
      <c r="Q111" s="220"/>
      <c r="R111" s="220"/>
      <c r="S111" s="220"/>
      <c r="T111" s="220"/>
      <c r="U111" s="220"/>
      <c r="AI111" s="220"/>
      <c r="AJ111" s="220"/>
      <c r="AK111" s="220"/>
      <c r="AL111" s="220"/>
      <c r="AM111" s="219"/>
    </row>
    <row r="112" spans="1:39">
      <c r="A112" s="213"/>
      <c r="O112" s="220"/>
      <c r="P112" s="220"/>
      <c r="Q112" s="220"/>
      <c r="R112" s="220"/>
      <c r="S112" s="220"/>
      <c r="T112" s="220"/>
      <c r="U112" s="220"/>
      <c r="AI112" s="220"/>
      <c r="AJ112" s="220"/>
      <c r="AK112" s="220"/>
      <c r="AL112" s="220"/>
      <c r="AM112" s="219"/>
    </row>
    <row r="113" spans="1:39">
      <c r="A113" s="213"/>
      <c r="O113" s="220"/>
      <c r="P113" s="220"/>
      <c r="Q113" s="220"/>
      <c r="R113" s="220"/>
      <c r="S113" s="220"/>
      <c r="T113" s="220"/>
      <c r="U113" s="220"/>
      <c r="AI113" s="220"/>
      <c r="AJ113" s="220"/>
      <c r="AK113" s="220"/>
      <c r="AL113" s="220"/>
      <c r="AM113" s="219"/>
    </row>
    <row r="114" spans="1:39">
      <c r="A114" s="213"/>
      <c r="O114" s="220"/>
      <c r="P114" s="220"/>
      <c r="Q114" s="220"/>
      <c r="R114" s="220"/>
      <c r="S114" s="220"/>
      <c r="T114" s="220"/>
      <c r="U114" s="220"/>
      <c r="AI114" s="220"/>
      <c r="AJ114" s="220"/>
      <c r="AK114" s="220"/>
      <c r="AL114" s="220"/>
      <c r="AM114" s="219"/>
    </row>
    <row r="115" spans="1:39">
      <c r="A115" s="213"/>
      <c r="O115" s="220"/>
      <c r="P115" s="220"/>
      <c r="Q115" s="220"/>
      <c r="R115" s="220"/>
      <c r="S115" s="220"/>
      <c r="T115" s="220"/>
      <c r="U115" s="220"/>
      <c r="AI115" s="220"/>
      <c r="AJ115" s="220"/>
      <c r="AK115" s="220"/>
      <c r="AL115" s="220"/>
      <c r="AM115" s="219"/>
    </row>
    <row r="116" spans="1:39">
      <c r="A116" s="213"/>
      <c r="O116" s="220"/>
      <c r="P116" s="220"/>
      <c r="Q116" s="220"/>
      <c r="R116" s="220"/>
      <c r="S116" s="220"/>
      <c r="T116" s="220"/>
      <c r="U116" s="220"/>
      <c r="AI116" s="220"/>
      <c r="AJ116" s="220"/>
      <c r="AK116" s="220"/>
      <c r="AL116" s="220"/>
      <c r="AM116" s="219"/>
    </row>
    <row r="117" spans="1:39">
      <c r="A117" s="213"/>
      <c r="O117" s="220"/>
      <c r="P117" s="220"/>
      <c r="Q117" s="220"/>
      <c r="R117" s="220"/>
      <c r="S117" s="220"/>
      <c r="T117" s="220"/>
      <c r="U117" s="220"/>
      <c r="AI117" s="220"/>
      <c r="AJ117" s="220"/>
      <c r="AK117" s="220"/>
      <c r="AL117" s="220"/>
      <c r="AM117" s="219"/>
    </row>
    <row r="118" spans="1:39">
      <c r="A118" s="213"/>
      <c r="O118" s="220"/>
      <c r="P118" s="220"/>
      <c r="Q118" s="220"/>
      <c r="R118" s="220"/>
      <c r="S118" s="220"/>
      <c r="T118" s="220"/>
      <c r="U118" s="220"/>
      <c r="AI118" s="220"/>
      <c r="AJ118" s="220"/>
      <c r="AK118" s="220"/>
      <c r="AL118" s="220"/>
      <c r="AM118" s="219"/>
    </row>
    <row r="119" spans="1:39">
      <c r="A119" s="213"/>
      <c r="O119" s="220"/>
      <c r="P119" s="220"/>
      <c r="Q119" s="220"/>
      <c r="R119" s="220"/>
      <c r="S119" s="220"/>
      <c r="T119" s="220"/>
      <c r="U119" s="220"/>
      <c r="AI119" s="220"/>
      <c r="AJ119" s="220"/>
      <c r="AK119" s="220"/>
      <c r="AL119" s="220"/>
      <c r="AM119" s="219"/>
    </row>
    <row r="120" spans="1:39">
      <c r="A120" s="213"/>
      <c r="O120" s="220"/>
      <c r="P120" s="220"/>
      <c r="Q120" s="220"/>
      <c r="R120" s="220"/>
      <c r="S120" s="220"/>
      <c r="T120" s="220"/>
      <c r="U120" s="220"/>
      <c r="AI120" s="220"/>
      <c r="AJ120" s="220"/>
      <c r="AK120" s="220"/>
      <c r="AL120" s="220"/>
      <c r="AM120" s="219"/>
    </row>
    <row r="121" spans="1:39">
      <c r="A121" s="213"/>
      <c r="O121" s="220"/>
      <c r="P121" s="220"/>
      <c r="Q121" s="220"/>
      <c r="R121" s="220"/>
      <c r="S121" s="220"/>
      <c r="T121" s="220"/>
      <c r="U121" s="220"/>
      <c r="AI121" s="220"/>
      <c r="AJ121" s="220"/>
      <c r="AK121" s="220"/>
      <c r="AL121" s="220"/>
      <c r="AM121" s="219"/>
    </row>
    <row r="122" spans="1:39">
      <c r="A122" s="213"/>
      <c r="O122" s="220"/>
      <c r="P122" s="220"/>
      <c r="Q122" s="220"/>
      <c r="R122" s="220"/>
      <c r="S122" s="220"/>
      <c r="T122" s="220"/>
      <c r="U122" s="220"/>
      <c r="AI122" s="220"/>
      <c r="AJ122" s="220"/>
      <c r="AK122" s="220"/>
      <c r="AL122" s="220"/>
      <c r="AM122" s="219"/>
    </row>
    <row r="123" spans="1:39">
      <c r="A123" s="213"/>
      <c r="O123" s="220"/>
      <c r="P123" s="220"/>
      <c r="Q123" s="220"/>
      <c r="R123" s="220"/>
      <c r="S123" s="220"/>
      <c r="T123" s="220"/>
      <c r="U123" s="220"/>
      <c r="AI123" s="220"/>
      <c r="AJ123" s="220"/>
      <c r="AK123" s="220"/>
      <c r="AL123" s="220"/>
      <c r="AM123" s="219"/>
    </row>
    <row r="124" spans="1:39">
      <c r="A124" s="213"/>
      <c r="O124" s="220"/>
      <c r="P124" s="220"/>
      <c r="Q124" s="220"/>
      <c r="R124" s="220"/>
      <c r="S124" s="220"/>
      <c r="T124" s="220"/>
      <c r="U124" s="220"/>
      <c r="AI124" s="220"/>
      <c r="AJ124" s="220"/>
      <c r="AK124" s="220"/>
      <c r="AL124" s="220"/>
      <c r="AM124" s="219"/>
    </row>
    <row r="125" spans="1:39">
      <c r="A125" s="213"/>
      <c r="O125" s="220"/>
      <c r="P125" s="220"/>
      <c r="Q125" s="220"/>
      <c r="R125" s="220"/>
      <c r="S125" s="220"/>
      <c r="T125" s="220"/>
      <c r="U125" s="220"/>
      <c r="AI125" s="220"/>
      <c r="AJ125" s="220"/>
      <c r="AK125" s="220"/>
      <c r="AL125" s="220"/>
      <c r="AM125" s="219"/>
    </row>
    <row r="126" spans="1:39">
      <c r="A126" s="213"/>
      <c r="O126" s="220"/>
      <c r="P126" s="220"/>
      <c r="Q126" s="220"/>
      <c r="R126" s="220"/>
      <c r="S126" s="220"/>
      <c r="T126" s="220"/>
      <c r="U126" s="220"/>
      <c r="AI126" s="220"/>
      <c r="AJ126" s="220"/>
      <c r="AK126" s="220"/>
      <c r="AL126" s="220"/>
      <c r="AM126" s="219"/>
    </row>
    <row r="127" spans="1:39">
      <c r="A127" s="213"/>
      <c r="O127" s="220"/>
      <c r="P127" s="220"/>
      <c r="Q127" s="220"/>
      <c r="R127" s="220"/>
      <c r="S127" s="220"/>
      <c r="T127" s="220"/>
      <c r="U127" s="220"/>
      <c r="AI127" s="220"/>
      <c r="AJ127" s="220"/>
      <c r="AK127" s="220"/>
      <c r="AL127" s="220"/>
      <c r="AM127" s="219"/>
    </row>
    <row r="128" spans="1:39">
      <c r="A128" s="213"/>
      <c r="O128" s="220"/>
      <c r="P128" s="220"/>
      <c r="Q128" s="220"/>
      <c r="R128" s="220"/>
      <c r="S128" s="220"/>
      <c r="T128" s="220"/>
      <c r="U128" s="220"/>
      <c r="AI128" s="220"/>
      <c r="AJ128" s="220"/>
      <c r="AK128" s="220"/>
      <c r="AL128" s="220"/>
      <c r="AM128" s="219"/>
    </row>
    <row r="129" spans="1:39">
      <c r="A129" s="213"/>
      <c r="O129" s="220"/>
      <c r="P129" s="220"/>
      <c r="Q129" s="220"/>
      <c r="R129" s="220"/>
      <c r="S129" s="220"/>
      <c r="T129" s="220"/>
      <c r="U129" s="220"/>
      <c r="AI129" s="220"/>
      <c r="AJ129" s="220"/>
      <c r="AK129" s="220"/>
      <c r="AL129" s="220"/>
      <c r="AM129" s="219"/>
    </row>
    <row r="130" spans="1:39">
      <c r="A130" s="213"/>
      <c r="O130" s="220"/>
      <c r="P130" s="220"/>
      <c r="Q130" s="220"/>
      <c r="R130" s="220"/>
      <c r="S130" s="220"/>
      <c r="T130" s="220"/>
      <c r="U130" s="220"/>
      <c r="AI130" s="220"/>
      <c r="AJ130" s="220"/>
      <c r="AK130" s="220"/>
      <c r="AL130" s="220"/>
      <c r="AM130" s="219"/>
    </row>
    <row r="131" spans="1:39">
      <c r="A131" s="213"/>
      <c r="O131" s="220"/>
      <c r="P131" s="220"/>
      <c r="Q131" s="220"/>
      <c r="R131" s="220"/>
      <c r="S131" s="220"/>
      <c r="T131" s="220"/>
      <c r="U131" s="220"/>
      <c r="AI131" s="220"/>
      <c r="AJ131" s="220"/>
      <c r="AK131" s="220"/>
      <c r="AL131" s="220"/>
      <c r="AM131" s="219"/>
    </row>
    <row r="132" spans="1:39">
      <c r="A132" s="213"/>
      <c r="O132" s="220"/>
      <c r="P132" s="220"/>
      <c r="Q132" s="220"/>
      <c r="R132" s="220"/>
      <c r="S132" s="220"/>
      <c r="T132" s="220"/>
      <c r="U132" s="220"/>
      <c r="AI132" s="220"/>
      <c r="AJ132" s="220"/>
      <c r="AK132" s="220"/>
      <c r="AL132" s="220"/>
      <c r="AM132" s="219"/>
    </row>
    <row r="133" spans="1:39">
      <c r="A133" s="213"/>
      <c r="O133" s="220"/>
      <c r="P133" s="220"/>
      <c r="Q133" s="220"/>
      <c r="R133" s="220"/>
      <c r="S133" s="220"/>
      <c r="T133" s="220"/>
      <c r="U133" s="220"/>
      <c r="AI133" s="220"/>
      <c r="AJ133" s="220"/>
      <c r="AK133" s="220"/>
      <c r="AL133" s="220"/>
      <c r="AM133" s="219"/>
    </row>
    <row r="134" spans="1:39">
      <c r="A134" s="213"/>
      <c r="O134" s="220"/>
      <c r="P134" s="220"/>
      <c r="Q134" s="220"/>
      <c r="R134" s="220"/>
      <c r="S134" s="220"/>
      <c r="T134" s="220"/>
      <c r="U134" s="220"/>
      <c r="AI134" s="220"/>
      <c r="AJ134" s="220"/>
      <c r="AK134" s="220"/>
      <c r="AL134" s="220"/>
      <c r="AM134" s="219"/>
    </row>
    <row r="135" spans="1:39">
      <c r="A135" s="213"/>
      <c r="O135" s="220"/>
      <c r="P135" s="220"/>
      <c r="Q135" s="220"/>
      <c r="R135" s="220"/>
      <c r="S135" s="220"/>
      <c r="T135" s="220"/>
      <c r="U135" s="220"/>
      <c r="AI135" s="220"/>
      <c r="AJ135" s="220"/>
      <c r="AK135" s="220"/>
      <c r="AL135" s="220"/>
      <c r="AM135" s="219"/>
    </row>
    <row r="136" spans="1:39">
      <c r="A136" s="213"/>
      <c r="O136" s="220"/>
      <c r="P136" s="220"/>
      <c r="Q136" s="220"/>
      <c r="R136" s="220"/>
      <c r="S136" s="220"/>
      <c r="T136" s="220"/>
      <c r="U136" s="220"/>
      <c r="AI136" s="220"/>
      <c r="AJ136" s="220"/>
      <c r="AK136" s="220"/>
      <c r="AL136" s="220"/>
      <c r="AM136" s="219"/>
    </row>
    <row r="137" spans="1:39">
      <c r="A137" s="213"/>
      <c r="O137" s="220"/>
      <c r="P137" s="220"/>
      <c r="Q137" s="220"/>
      <c r="R137" s="220"/>
      <c r="S137" s="220"/>
      <c r="T137" s="220"/>
      <c r="U137" s="220"/>
      <c r="AI137" s="220"/>
      <c r="AJ137" s="220"/>
      <c r="AK137" s="220"/>
      <c r="AL137" s="220"/>
      <c r="AM137" s="219"/>
    </row>
    <row r="138" spans="1:39">
      <c r="A138" s="213"/>
      <c r="O138" s="220"/>
      <c r="P138" s="220"/>
      <c r="Q138" s="220"/>
      <c r="R138" s="220"/>
      <c r="S138" s="220"/>
      <c r="T138" s="220"/>
      <c r="U138" s="220"/>
      <c r="AI138" s="220"/>
      <c r="AJ138" s="220"/>
      <c r="AK138" s="220"/>
      <c r="AL138" s="220"/>
      <c r="AM138" s="219"/>
    </row>
    <row r="139" spans="1:39">
      <c r="A139" s="213"/>
      <c r="O139" s="220"/>
      <c r="P139" s="220"/>
      <c r="Q139" s="220"/>
      <c r="R139" s="220"/>
      <c r="S139" s="220"/>
      <c r="T139" s="220"/>
      <c r="U139" s="220"/>
      <c r="AI139" s="220"/>
      <c r="AJ139" s="220"/>
      <c r="AK139" s="220"/>
      <c r="AL139" s="220"/>
      <c r="AM139" s="219"/>
    </row>
    <row r="140" spans="1:39">
      <c r="A140" s="213"/>
      <c r="O140" s="220"/>
      <c r="P140" s="220"/>
      <c r="Q140" s="220"/>
      <c r="R140" s="220"/>
      <c r="S140" s="220"/>
      <c r="T140" s="220"/>
      <c r="U140" s="220"/>
      <c r="AI140" s="220"/>
      <c r="AJ140" s="220"/>
      <c r="AK140" s="220"/>
      <c r="AL140" s="220"/>
      <c r="AM140" s="219"/>
    </row>
    <row r="141" spans="1:39">
      <c r="A141" s="213"/>
      <c r="O141" s="220"/>
      <c r="P141" s="220"/>
      <c r="Q141" s="220"/>
      <c r="R141" s="220"/>
      <c r="S141" s="220"/>
      <c r="T141" s="220"/>
      <c r="U141" s="220"/>
      <c r="AI141" s="220"/>
      <c r="AJ141" s="220"/>
      <c r="AK141" s="220"/>
      <c r="AL141" s="220"/>
      <c r="AM141" s="219"/>
    </row>
    <row r="142" spans="1:39">
      <c r="A142" s="213"/>
      <c r="O142" s="220"/>
      <c r="P142" s="220"/>
      <c r="Q142" s="220"/>
      <c r="R142" s="220"/>
      <c r="S142" s="220"/>
      <c r="T142" s="220"/>
      <c r="U142" s="220"/>
      <c r="AI142" s="220"/>
      <c r="AJ142" s="220"/>
      <c r="AK142" s="220"/>
      <c r="AL142" s="220"/>
      <c r="AM142" s="219"/>
    </row>
    <row r="143" spans="1:39">
      <c r="A143" s="213"/>
      <c r="O143" s="220"/>
      <c r="P143" s="220"/>
      <c r="Q143" s="220"/>
      <c r="R143" s="220"/>
      <c r="S143" s="220"/>
      <c r="T143" s="220"/>
      <c r="U143" s="220"/>
      <c r="AI143" s="220"/>
      <c r="AJ143" s="220"/>
      <c r="AK143" s="220"/>
      <c r="AL143" s="220"/>
      <c r="AM143" s="219"/>
    </row>
    <row r="144" spans="1:39">
      <c r="A144" s="213"/>
      <c r="O144" s="220"/>
      <c r="P144" s="220"/>
      <c r="Q144" s="220"/>
      <c r="R144" s="220"/>
      <c r="S144" s="220"/>
      <c r="T144" s="220"/>
      <c r="U144" s="220"/>
      <c r="AI144" s="220"/>
      <c r="AJ144" s="220"/>
      <c r="AK144" s="220"/>
      <c r="AL144" s="220"/>
      <c r="AM144" s="219"/>
    </row>
    <row r="145" spans="1:39">
      <c r="A145" s="213"/>
      <c r="O145" s="220"/>
      <c r="P145" s="220"/>
      <c r="Q145" s="220"/>
      <c r="R145" s="220"/>
      <c r="S145" s="220"/>
      <c r="T145" s="220"/>
      <c r="U145" s="220"/>
      <c r="AI145" s="220"/>
      <c r="AJ145" s="220"/>
      <c r="AK145" s="220"/>
      <c r="AL145" s="220"/>
      <c r="AM145" s="219"/>
    </row>
    <row r="146" spans="1:39">
      <c r="A146" s="213"/>
      <c r="O146" s="220"/>
      <c r="P146" s="220"/>
      <c r="Q146" s="220"/>
      <c r="R146" s="220"/>
      <c r="S146" s="220"/>
      <c r="T146" s="220"/>
      <c r="U146" s="220"/>
      <c r="AI146" s="220"/>
      <c r="AJ146" s="220"/>
      <c r="AK146" s="220"/>
      <c r="AL146" s="220"/>
      <c r="AM146" s="219"/>
    </row>
    <row r="147" spans="1:39">
      <c r="A147" s="213"/>
      <c r="O147" s="220"/>
      <c r="P147" s="220"/>
      <c r="Q147" s="220"/>
      <c r="R147" s="220"/>
      <c r="S147" s="220"/>
      <c r="T147" s="220"/>
      <c r="U147" s="220"/>
      <c r="AI147" s="220"/>
      <c r="AJ147" s="220"/>
      <c r="AK147" s="220"/>
      <c r="AL147" s="220"/>
      <c r="AM147" s="219"/>
    </row>
    <row r="148" spans="1:39">
      <c r="A148" s="213"/>
      <c r="O148" s="220"/>
      <c r="P148" s="220"/>
      <c r="Q148" s="220"/>
      <c r="R148" s="220"/>
      <c r="S148" s="220"/>
      <c r="T148" s="220"/>
      <c r="U148" s="220"/>
      <c r="AI148" s="220"/>
      <c r="AJ148" s="220"/>
      <c r="AK148" s="220"/>
      <c r="AL148" s="220"/>
      <c r="AM148" s="219"/>
    </row>
    <row r="149" spans="1:39">
      <c r="A149" s="213"/>
      <c r="O149" s="220"/>
      <c r="P149" s="220"/>
      <c r="Q149" s="220"/>
      <c r="R149" s="220"/>
      <c r="S149" s="220"/>
      <c r="T149" s="220"/>
      <c r="U149" s="220"/>
      <c r="AI149" s="220"/>
      <c r="AJ149" s="220"/>
      <c r="AK149" s="220"/>
      <c r="AL149" s="220"/>
      <c r="AM149" s="219"/>
    </row>
    <row r="150" spans="1:39">
      <c r="A150" s="213"/>
      <c r="O150" s="220"/>
      <c r="P150" s="220"/>
      <c r="Q150" s="220"/>
      <c r="R150" s="220"/>
      <c r="S150" s="220"/>
      <c r="T150" s="220"/>
      <c r="U150" s="220"/>
      <c r="AI150" s="220"/>
      <c r="AJ150" s="220"/>
      <c r="AK150" s="220"/>
      <c r="AL150" s="220"/>
      <c r="AM150" s="219"/>
    </row>
    <row r="151" spans="1:39">
      <c r="A151" s="213"/>
      <c r="O151" s="220"/>
      <c r="P151" s="220"/>
      <c r="Q151" s="220"/>
      <c r="R151" s="220"/>
      <c r="S151" s="220"/>
      <c r="T151" s="220"/>
      <c r="U151" s="220"/>
      <c r="AI151" s="220"/>
      <c r="AJ151" s="220"/>
      <c r="AK151" s="220"/>
      <c r="AL151" s="220"/>
      <c r="AM151" s="219"/>
    </row>
    <row r="152" spans="1:39">
      <c r="A152" s="213"/>
      <c r="O152" s="220"/>
      <c r="P152" s="220"/>
      <c r="Q152" s="220"/>
      <c r="R152" s="220"/>
      <c r="S152" s="220"/>
      <c r="T152" s="220"/>
      <c r="U152" s="220"/>
      <c r="AI152" s="220"/>
      <c r="AJ152" s="220"/>
      <c r="AK152" s="220"/>
      <c r="AL152" s="220"/>
      <c r="AM152" s="219"/>
    </row>
    <row r="153" spans="1:39">
      <c r="A153" s="213"/>
      <c r="O153" s="220"/>
      <c r="P153" s="220"/>
      <c r="Q153" s="220"/>
      <c r="R153" s="220"/>
      <c r="S153" s="220"/>
      <c r="T153" s="220"/>
      <c r="U153" s="220"/>
      <c r="AI153" s="220"/>
      <c r="AJ153" s="220"/>
      <c r="AK153" s="220"/>
      <c r="AL153" s="220"/>
      <c r="AM153" s="219"/>
    </row>
    <row r="154" spans="1:39">
      <c r="A154" s="213"/>
      <c r="O154" s="220"/>
      <c r="P154" s="220"/>
      <c r="Q154" s="220"/>
      <c r="R154" s="220"/>
      <c r="S154" s="220"/>
      <c r="T154" s="220"/>
      <c r="U154" s="220"/>
      <c r="AI154" s="220"/>
      <c r="AJ154" s="220"/>
      <c r="AK154" s="220"/>
      <c r="AL154" s="220"/>
      <c r="AM154" s="219"/>
    </row>
    <row r="155" spans="1:39">
      <c r="A155" s="213"/>
      <c r="O155" s="220"/>
      <c r="P155" s="220"/>
      <c r="Q155" s="220"/>
      <c r="R155" s="220"/>
      <c r="S155" s="220"/>
      <c r="T155" s="220"/>
      <c r="U155" s="220"/>
      <c r="AI155" s="220"/>
      <c r="AJ155" s="220"/>
      <c r="AK155" s="220"/>
      <c r="AL155" s="220"/>
      <c r="AM155" s="219"/>
    </row>
    <row r="156" spans="1:39">
      <c r="A156" s="213"/>
      <c r="O156" s="220"/>
      <c r="P156" s="220"/>
      <c r="Q156" s="220"/>
      <c r="R156" s="220"/>
      <c r="S156" s="220"/>
      <c r="T156" s="220"/>
      <c r="U156" s="220"/>
      <c r="AI156" s="220"/>
      <c r="AJ156" s="220"/>
      <c r="AK156" s="220"/>
      <c r="AL156" s="220"/>
      <c r="AM156" s="219"/>
    </row>
    <row r="157" spans="1:39">
      <c r="A157" s="213"/>
      <c r="O157" s="220"/>
      <c r="P157" s="220"/>
      <c r="Q157" s="220"/>
      <c r="R157" s="220"/>
      <c r="S157" s="220"/>
      <c r="T157" s="220"/>
      <c r="U157" s="220"/>
      <c r="AI157" s="220"/>
      <c r="AJ157" s="220"/>
      <c r="AK157" s="220"/>
      <c r="AL157" s="220"/>
      <c r="AM157" s="219"/>
    </row>
    <row r="158" spans="1:39">
      <c r="A158" s="213"/>
      <c r="O158" s="220"/>
      <c r="P158" s="220"/>
      <c r="Q158" s="220"/>
      <c r="R158" s="220"/>
      <c r="S158" s="220"/>
      <c r="T158" s="220"/>
      <c r="U158" s="220"/>
      <c r="AI158" s="220"/>
      <c r="AJ158" s="220"/>
      <c r="AK158" s="220"/>
      <c r="AL158" s="220"/>
      <c r="AM158" s="219"/>
    </row>
    <row r="159" spans="1:39">
      <c r="A159" s="213"/>
      <c r="O159" s="220"/>
      <c r="P159" s="220"/>
      <c r="Q159" s="220"/>
      <c r="R159" s="220"/>
      <c r="S159" s="220"/>
      <c r="T159" s="220"/>
      <c r="U159" s="220"/>
      <c r="AI159" s="220"/>
      <c r="AJ159" s="220"/>
      <c r="AK159" s="220"/>
      <c r="AL159" s="220"/>
      <c r="AM159" s="219"/>
    </row>
    <row r="160" spans="1:39">
      <c r="A160" s="213"/>
      <c r="O160" s="220"/>
      <c r="P160" s="220"/>
      <c r="Q160" s="220"/>
      <c r="R160" s="220"/>
      <c r="S160" s="220"/>
      <c r="T160" s="220"/>
      <c r="U160" s="220"/>
      <c r="AI160" s="220"/>
      <c r="AJ160" s="220"/>
      <c r="AK160" s="220"/>
      <c r="AL160" s="220"/>
      <c r="AM160" s="219"/>
    </row>
    <row r="161" spans="1:39">
      <c r="A161" s="213"/>
      <c r="O161" s="220"/>
      <c r="P161" s="220"/>
      <c r="Q161" s="220"/>
      <c r="R161" s="220"/>
      <c r="S161" s="220"/>
      <c r="T161" s="220"/>
      <c r="U161" s="220"/>
      <c r="AI161" s="220"/>
      <c r="AJ161" s="220"/>
      <c r="AK161" s="220"/>
      <c r="AL161" s="220"/>
      <c r="AM161" s="219"/>
    </row>
    <row r="162" spans="1:39">
      <c r="A162" s="213"/>
      <c r="O162" s="220"/>
      <c r="P162" s="220"/>
      <c r="Q162" s="220"/>
      <c r="R162" s="220"/>
      <c r="S162" s="220"/>
      <c r="T162" s="220"/>
      <c r="U162" s="220"/>
      <c r="AI162" s="220"/>
      <c r="AJ162" s="220"/>
      <c r="AK162" s="220"/>
      <c r="AL162" s="220"/>
      <c r="AM162" s="219"/>
    </row>
    <row r="163" spans="1:39">
      <c r="A163" s="213"/>
      <c r="O163" s="220"/>
      <c r="P163" s="220"/>
      <c r="Q163" s="220"/>
      <c r="R163" s="220"/>
      <c r="S163" s="220"/>
      <c r="T163" s="220"/>
      <c r="U163" s="220"/>
      <c r="AI163" s="220"/>
      <c r="AJ163" s="220"/>
      <c r="AK163" s="220"/>
      <c r="AL163" s="220"/>
      <c r="AM163" s="219"/>
    </row>
    <row r="164" spans="1:39">
      <c r="A164" s="213"/>
      <c r="O164" s="220"/>
      <c r="P164" s="220"/>
      <c r="Q164" s="220"/>
      <c r="R164" s="220"/>
      <c r="S164" s="220"/>
      <c r="T164" s="220"/>
      <c r="U164" s="220"/>
      <c r="AI164" s="220"/>
      <c r="AJ164" s="220"/>
      <c r="AK164" s="220"/>
      <c r="AL164" s="220"/>
      <c r="AM164" s="219"/>
    </row>
    <row r="165" spans="1:39">
      <c r="A165" s="213"/>
      <c r="O165" s="220"/>
      <c r="P165" s="220"/>
      <c r="Q165" s="220"/>
      <c r="R165" s="220"/>
      <c r="S165" s="220"/>
      <c r="T165" s="220"/>
      <c r="U165" s="220"/>
      <c r="AI165" s="220"/>
      <c r="AJ165" s="220"/>
      <c r="AK165" s="220"/>
      <c r="AL165" s="220"/>
      <c r="AM165" s="219"/>
    </row>
    <row r="166" spans="1:39">
      <c r="A166" s="213"/>
      <c r="O166" s="220"/>
      <c r="P166" s="220"/>
      <c r="Q166" s="220"/>
      <c r="R166" s="220"/>
      <c r="S166" s="220"/>
      <c r="T166" s="220"/>
      <c r="U166" s="220"/>
      <c r="AI166" s="220"/>
      <c r="AJ166" s="220"/>
      <c r="AK166" s="220"/>
      <c r="AL166" s="220"/>
      <c r="AM166" s="219"/>
    </row>
    <row r="167" spans="1:39">
      <c r="A167" s="213"/>
      <c r="O167" s="220"/>
      <c r="P167" s="220"/>
      <c r="Q167" s="220"/>
      <c r="R167" s="220"/>
      <c r="S167" s="220"/>
      <c r="T167" s="220"/>
      <c r="U167" s="220"/>
      <c r="AI167" s="220"/>
      <c r="AJ167" s="220"/>
      <c r="AK167" s="220"/>
      <c r="AL167" s="220"/>
      <c r="AM167" s="219"/>
    </row>
    <row r="168" spans="1:39">
      <c r="A168" s="213"/>
      <c r="O168" s="220"/>
      <c r="P168" s="220"/>
      <c r="Q168" s="220"/>
      <c r="R168" s="220"/>
      <c r="S168" s="220"/>
      <c r="T168" s="220"/>
      <c r="U168" s="220"/>
      <c r="AI168" s="220"/>
      <c r="AJ168" s="220"/>
      <c r="AK168" s="220"/>
      <c r="AL168" s="220"/>
      <c r="AM168" s="219"/>
    </row>
    <row r="169" spans="1:39">
      <c r="A169" s="213"/>
      <c r="O169" s="220"/>
      <c r="P169" s="220"/>
      <c r="Q169" s="220"/>
      <c r="R169" s="220"/>
      <c r="S169" s="220"/>
      <c r="T169" s="220"/>
      <c r="U169" s="220"/>
      <c r="AI169" s="220"/>
      <c r="AJ169" s="220"/>
      <c r="AK169" s="220"/>
      <c r="AL169" s="220"/>
      <c r="AM169" s="219"/>
    </row>
    <row r="170" spans="1:39">
      <c r="A170" s="213"/>
      <c r="O170" s="220"/>
      <c r="P170" s="220"/>
      <c r="Q170" s="220"/>
      <c r="R170" s="220"/>
      <c r="S170" s="220"/>
      <c r="T170" s="220"/>
      <c r="U170" s="220"/>
      <c r="AI170" s="220"/>
      <c r="AJ170" s="220"/>
      <c r="AK170" s="220"/>
      <c r="AL170" s="220"/>
      <c r="AM170" s="219"/>
    </row>
    <row r="171" spans="1:39">
      <c r="A171" s="213"/>
      <c r="O171" s="220"/>
      <c r="P171" s="220"/>
      <c r="Q171" s="220"/>
      <c r="R171" s="220"/>
      <c r="S171" s="220"/>
      <c r="T171" s="220"/>
      <c r="U171" s="220"/>
      <c r="AI171" s="220"/>
      <c r="AJ171" s="220"/>
      <c r="AK171" s="220"/>
      <c r="AL171" s="220"/>
      <c r="AM171" s="219"/>
    </row>
    <row r="172" spans="1:39">
      <c r="A172" s="213"/>
      <c r="O172" s="220"/>
      <c r="P172" s="220"/>
      <c r="Q172" s="220"/>
      <c r="R172" s="220"/>
      <c r="S172" s="220"/>
      <c r="T172" s="220"/>
      <c r="U172" s="220"/>
      <c r="AI172" s="220"/>
      <c r="AJ172" s="220"/>
      <c r="AK172" s="220"/>
      <c r="AL172" s="220"/>
      <c r="AM172" s="219"/>
    </row>
    <row r="173" spans="1:39">
      <c r="A173" s="213"/>
      <c r="O173" s="220"/>
      <c r="P173" s="220"/>
      <c r="Q173" s="220"/>
      <c r="R173" s="220"/>
      <c r="S173" s="220"/>
      <c r="T173" s="220"/>
      <c r="U173" s="220"/>
      <c r="AI173" s="220"/>
      <c r="AJ173" s="220"/>
      <c r="AK173" s="220"/>
      <c r="AL173" s="220"/>
      <c r="AM173" s="219"/>
    </row>
    <row r="174" spans="1:39">
      <c r="A174" s="213"/>
      <c r="O174" s="220"/>
      <c r="P174" s="220"/>
      <c r="Q174" s="220"/>
      <c r="R174" s="220"/>
      <c r="S174" s="220"/>
      <c r="T174" s="220"/>
      <c r="U174" s="220"/>
      <c r="AI174" s="220"/>
      <c r="AJ174" s="220"/>
      <c r="AK174" s="220"/>
      <c r="AL174" s="220"/>
      <c r="AM174" s="219"/>
    </row>
    <row r="175" spans="1:39">
      <c r="A175" s="213"/>
      <c r="O175" s="220"/>
      <c r="P175" s="220"/>
      <c r="Q175" s="220"/>
      <c r="R175" s="220"/>
      <c r="S175" s="220"/>
      <c r="T175" s="220"/>
      <c r="U175" s="220"/>
      <c r="AI175" s="220"/>
      <c r="AJ175" s="220"/>
      <c r="AK175" s="220"/>
      <c r="AL175" s="220"/>
      <c r="AM175" s="219"/>
    </row>
    <row r="176" spans="1:39">
      <c r="A176" s="213"/>
      <c r="O176" s="220"/>
      <c r="P176" s="220"/>
      <c r="Q176" s="220"/>
      <c r="R176" s="220"/>
      <c r="S176" s="220"/>
      <c r="T176" s="220"/>
      <c r="U176" s="220"/>
      <c r="AI176" s="220"/>
      <c r="AJ176" s="220"/>
      <c r="AK176" s="220"/>
      <c r="AL176" s="220"/>
      <c r="AM176" s="219"/>
    </row>
    <row r="177" spans="1:39">
      <c r="A177" s="213"/>
      <c r="O177" s="220"/>
      <c r="P177" s="220"/>
      <c r="Q177" s="220"/>
      <c r="R177" s="220"/>
      <c r="S177" s="220"/>
      <c r="T177" s="220"/>
      <c r="U177" s="220"/>
      <c r="AI177" s="220"/>
      <c r="AJ177" s="220"/>
      <c r="AK177" s="220"/>
      <c r="AL177" s="220"/>
      <c r="AM177" s="219"/>
    </row>
    <row r="178" spans="1:39">
      <c r="A178" s="213"/>
      <c r="O178" s="220"/>
      <c r="P178" s="220"/>
      <c r="Q178" s="220"/>
      <c r="R178" s="220"/>
      <c r="S178" s="220"/>
      <c r="T178" s="220"/>
      <c r="U178" s="220"/>
      <c r="AI178" s="220"/>
      <c r="AJ178" s="220"/>
      <c r="AK178" s="220"/>
      <c r="AL178" s="220"/>
      <c r="AM178" s="219"/>
    </row>
    <row r="179" spans="1:39">
      <c r="A179" s="213"/>
      <c r="O179" s="220"/>
      <c r="P179" s="220"/>
      <c r="Q179" s="220"/>
      <c r="R179" s="220"/>
      <c r="S179" s="220"/>
      <c r="T179" s="220"/>
      <c r="U179" s="220"/>
      <c r="AI179" s="220"/>
      <c r="AJ179" s="220"/>
      <c r="AK179" s="220"/>
      <c r="AL179" s="220"/>
      <c r="AM179" s="219"/>
    </row>
    <row r="180" spans="1:39">
      <c r="A180" s="213"/>
      <c r="O180" s="220"/>
      <c r="P180" s="220"/>
      <c r="Q180" s="220"/>
      <c r="R180" s="220"/>
      <c r="S180" s="220"/>
      <c r="T180" s="220"/>
      <c r="U180" s="220"/>
      <c r="AI180" s="220"/>
      <c r="AJ180" s="220"/>
      <c r="AK180" s="220"/>
      <c r="AL180" s="220"/>
      <c r="AM180" s="219"/>
    </row>
    <row r="181" spans="1:39">
      <c r="A181" s="213"/>
      <c r="O181" s="220"/>
      <c r="P181" s="220"/>
      <c r="Q181" s="220"/>
      <c r="R181" s="220"/>
      <c r="S181" s="220"/>
      <c r="T181" s="220"/>
      <c r="U181" s="220"/>
      <c r="AI181" s="220"/>
      <c r="AJ181" s="220"/>
      <c r="AK181" s="220"/>
      <c r="AL181" s="220"/>
      <c r="AM181" s="219"/>
    </row>
    <row r="182" spans="1:39">
      <c r="A182" s="213"/>
      <c r="O182" s="220"/>
      <c r="P182" s="220"/>
      <c r="Q182" s="220"/>
      <c r="R182" s="220"/>
      <c r="S182" s="220"/>
      <c r="T182" s="220"/>
      <c r="U182" s="220"/>
      <c r="AI182" s="220"/>
      <c r="AJ182" s="220"/>
      <c r="AK182" s="220"/>
      <c r="AL182" s="220"/>
      <c r="AM182" s="219"/>
    </row>
    <row r="183" spans="1:39">
      <c r="A183" s="213"/>
      <c r="O183" s="220"/>
      <c r="P183" s="220"/>
      <c r="Q183" s="220"/>
      <c r="R183" s="220"/>
      <c r="S183" s="220"/>
      <c r="T183" s="220"/>
      <c r="U183" s="220"/>
      <c r="AI183" s="220"/>
      <c r="AJ183" s="220"/>
      <c r="AK183" s="220"/>
      <c r="AL183" s="220"/>
      <c r="AM183" s="219"/>
    </row>
    <row r="184" spans="1:39">
      <c r="A184" s="213"/>
      <c r="O184" s="220"/>
      <c r="P184" s="220"/>
      <c r="Q184" s="220"/>
      <c r="R184" s="220"/>
      <c r="S184" s="220"/>
      <c r="T184" s="220"/>
      <c r="U184" s="220"/>
      <c r="AI184" s="220"/>
      <c r="AJ184" s="220"/>
      <c r="AK184" s="220"/>
      <c r="AL184" s="220"/>
      <c r="AM184" s="219"/>
    </row>
    <row r="185" spans="1:39">
      <c r="A185" s="213"/>
      <c r="O185" s="220"/>
      <c r="P185" s="220"/>
      <c r="Q185" s="220"/>
      <c r="R185" s="220"/>
      <c r="S185" s="220"/>
      <c r="T185" s="220"/>
      <c r="U185" s="220"/>
      <c r="AI185" s="220"/>
      <c r="AJ185" s="220"/>
      <c r="AK185" s="220"/>
      <c r="AL185" s="220"/>
      <c r="AM185" s="219"/>
    </row>
    <row r="186" spans="1:39">
      <c r="A186" s="213"/>
      <c r="O186" s="220"/>
      <c r="P186" s="220"/>
      <c r="Q186" s="220"/>
      <c r="R186" s="220"/>
      <c r="S186" s="220"/>
      <c r="T186" s="220"/>
      <c r="U186" s="220"/>
      <c r="AI186" s="220"/>
      <c r="AJ186" s="220"/>
      <c r="AK186" s="220"/>
      <c r="AL186" s="220"/>
      <c r="AM186" s="219"/>
    </row>
    <row r="187" spans="1:39">
      <c r="A187" s="213"/>
      <c r="O187" s="220"/>
      <c r="P187" s="220"/>
      <c r="Q187" s="220"/>
      <c r="R187" s="220"/>
      <c r="S187" s="220"/>
      <c r="T187" s="220"/>
      <c r="U187" s="220"/>
      <c r="AI187" s="220"/>
      <c r="AJ187" s="220"/>
      <c r="AK187" s="220"/>
      <c r="AL187" s="220"/>
      <c r="AM187" s="219"/>
    </row>
    <row r="188" spans="1:39">
      <c r="A188" s="213"/>
      <c r="O188" s="220"/>
      <c r="P188" s="220"/>
      <c r="Q188" s="220"/>
      <c r="R188" s="220"/>
      <c r="S188" s="220"/>
      <c r="T188" s="220"/>
      <c r="U188" s="220"/>
      <c r="AI188" s="220"/>
      <c r="AJ188" s="220"/>
      <c r="AK188" s="220"/>
      <c r="AL188" s="220"/>
      <c r="AM188" s="219"/>
    </row>
    <row r="189" spans="1:39">
      <c r="A189" s="213"/>
      <c r="O189" s="220"/>
      <c r="P189" s="220"/>
      <c r="Q189" s="220"/>
      <c r="R189" s="220"/>
      <c r="S189" s="220"/>
      <c r="T189" s="220"/>
      <c r="U189" s="220"/>
      <c r="AI189" s="220"/>
      <c r="AJ189" s="220"/>
      <c r="AK189" s="220"/>
      <c r="AL189" s="220"/>
      <c r="AM189" s="219"/>
    </row>
    <row r="190" spans="1:39">
      <c r="A190" s="213"/>
      <c r="O190" s="220"/>
      <c r="P190" s="220"/>
      <c r="Q190" s="220"/>
      <c r="R190" s="220"/>
      <c r="S190" s="220"/>
      <c r="T190" s="220"/>
      <c r="U190" s="220"/>
      <c r="AI190" s="220"/>
      <c r="AJ190" s="220"/>
      <c r="AK190" s="220"/>
      <c r="AL190" s="220"/>
      <c r="AM190" s="219"/>
    </row>
    <row r="191" spans="1:39">
      <c r="A191" s="213"/>
      <c r="O191" s="220"/>
      <c r="P191" s="220"/>
      <c r="Q191" s="220"/>
      <c r="R191" s="220"/>
      <c r="S191" s="220"/>
      <c r="T191" s="220"/>
      <c r="U191" s="220"/>
      <c r="AI191" s="220"/>
      <c r="AJ191" s="220"/>
      <c r="AK191" s="220"/>
      <c r="AL191" s="220"/>
      <c r="AM191" s="219"/>
    </row>
    <row r="192" spans="1:39">
      <c r="A192" s="213"/>
      <c r="O192" s="220"/>
      <c r="P192" s="220"/>
      <c r="Q192" s="220"/>
      <c r="R192" s="220"/>
      <c r="S192" s="220"/>
      <c r="T192" s="220"/>
      <c r="U192" s="220"/>
      <c r="AI192" s="220"/>
      <c r="AJ192" s="220"/>
      <c r="AK192" s="220"/>
      <c r="AL192" s="220"/>
      <c r="AM192" s="219"/>
    </row>
    <row r="193" spans="1:39">
      <c r="A193" s="213"/>
      <c r="O193" s="220"/>
      <c r="P193" s="220"/>
      <c r="Q193" s="220"/>
      <c r="R193" s="220"/>
      <c r="S193" s="220"/>
      <c r="T193" s="220"/>
      <c r="U193" s="220"/>
      <c r="AI193" s="220"/>
      <c r="AJ193" s="220"/>
      <c r="AK193" s="220"/>
      <c r="AL193" s="220"/>
      <c r="AM193" s="219"/>
    </row>
    <row r="194" spans="1:39">
      <c r="A194" s="213"/>
      <c r="O194" s="220"/>
      <c r="P194" s="220"/>
      <c r="Q194" s="220"/>
      <c r="R194" s="220"/>
      <c r="S194" s="220"/>
      <c r="T194" s="220"/>
      <c r="U194" s="220"/>
      <c r="AI194" s="220"/>
      <c r="AJ194" s="220"/>
      <c r="AK194" s="220"/>
      <c r="AL194" s="220"/>
      <c r="AM194" s="219"/>
    </row>
    <row r="195" spans="1:39">
      <c r="A195" s="213"/>
      <c r="O195" s="220"/>
      <c r="P195" s="220"/>
      <c r="Q195" s="220"/>
      <c r="R195" s="220"/>
      <c r="S195" s="220"/>
      <c r="T195" s="220"/>
      <c r="U195" s="220"/>
      <c r="AI195" s="220"/>
      <c r="AJ195" s="220"/>
      <c r="AK195" s="220"/>
      <c r="AL195" s="220"/>
      <c r="AM195" s="219"/>
    </row>
    <row r="196" spans="1:39">
      <c r="A196" s="213"/>
      <c r="O196" s="220"/>
      <c r="P196" s="220"/>
      <c r="Q196" s="220"/>
      <c r="R196" s="220"/>
      <c r="S196" s="220"/>
      <c r="T196" s="220"/>
      <c r="U196" s="220"/>
      <c r="AI196" s="220"/>
      <c r="AJ196" s="220"/>
      <c r="AK196" s="220"/>
      <c r="AL196" s="220"/>
      <c r="AM196" s="219"/>
    </row>
    <row r="197" spans="1:39">
      <c r="A197" s="213"/>
      <c r="O197" s="220"/>
      <c r="P197" s="220"/>
      <c r="Q197" s="220"/>
      <c r="R197" s="220"/>
      <c r="S197" s="220"/>
      <c r="T197" s="220"/>
      <c r="U197" s="220"/>
      <c r="AI197" s="220"/>
      <c r="AJ197" s="220"/>
      <c r="AK197" s="220"/>
      <c r="AL197" s="220"/>
      <c r="AM197" s="219"/>
    </row>
    <row r="198" spans="1:39">
      <c r="A198" s="213"/>
      <c r="O198" s="220"/>
      <c r="P198" s="220"/>
      <c r="Q198" s="220"/>
      <c r="R198" s="220"/>
      <c r="S198" s="220"/>
      <c r="T198" s="220"/>
      <c r="U198" s="220"/>
      <c r="AI198" s="220"/>
      <c r="AJ198" s="220"/>
      <c r="AK198" s="220"/>
      <c r="AL198" s="220"/>
      <c r="AM198" s="219"/>
    </row>
    <row r="199" spans="1:39">
      <c r="A199" s="213"/>
      <c r="O199" s="220"/>
      <c r="P199" s="220"/>
      <c r="Q199" s="220"/>
      <c r="R199" s="220"/>
      <c r="S199" s="220"/>
      <c r="T199" s="220"/>
      <c r="U199" s="220"/>
      <c r="AI199" s="220"/>
      <c r="AJ199" s="220"/>
      <c r="AK199" s="220"/>
      <c r="AL199" s="220"/>
      <c r="AM199" s="219"/>
    </row>
    <row r="200" spans="1:39">
      <c r="A200" s="213"/>
      <c r="O200" s="220"/>
      <c r="P200" s="220"/>
      <c r="Q200" s="220"/>
      <c r="R200" s="220"/>
      <c r="S200" s="220"/>
      <c r="T200" s="220"/>
      <c r="U200" s="220"/>
      <c r="AI200" s="220"/>
      <c r="AJ200" s="220"/>
      <c r="AK200" s="220"/>
      <c r="AL200" s="220"/>
      <c r="AM200" s="219"/>
    </row>
    <row r="201" spans="1:39">
      <c r="A201" s="213"/>
      <c r="O201" s="220"/>
      <c r="P201" s="220"/>
      <c r="Q201" s="220"/>
      <c r="R201" s="220"/>
      <c r="S201" s="220"/>
      <c r="T201" s="220"/>
      <c r="U201" s="220"/>
      <c r="AI201" s="220"/>
      <c r="AJ201" s="220"/>
      <c r="AK201" s="220"/>
      <c r="AL201" s="220"/>
      <c r="AM201" s="219"/>
    </row>
    <row r="202" spans="1:39">
      <c r="A202" s="213"/>
      <c r="O202" s="220"/>
      <c r="P202" s="220"/>
      <c r="Q202" s="220"/>
      <c r="R202" s="220"/>
      <c r="S202" s="220"/>
      <c r="T202" s="220"/>
      <c r="U202" s="220"/>
      <c r="AI202" s="220"/>
      <c r="AJ202" s="220"/>
      <c r="AK202" s="220"/>
      <c r="AL202" s="220"/>
      <c r="AM202" s="219"/>
    </row>
    <row r="203" spans="1:39">
      <c r="A203" s="213"/>
      <c r="O203" s="220"/>
      <c r="P203" s="220"/>
      <c r="Q203" s="220"/>
      <c r="R203" s="220"/>
      <c r="S203" s="220"/>
      <c r="T203" s="220"/>
      <c r="U203" s="220"/>
      <c r="AI203" s="220"/>
      <c r="AJ203" s="220"/>
      <c r="AK203" s="220"/>
      <c r="AL203" s="220"/>
      <c r="AM203" s="219"/>
    </row>
    <row r="204" spans="1:39">
      <c r="A204" s="213"/>
      <c r="O204" s="220"/>
      <c r="P204" s="220"/>
      <c r="Q204" s="220"/>
      <c r="R204" s="220"/>
      <c r="S204" s="220"/>
      <c r="T204" s="220"/>
      <c r="U204" s="220"/>
      <c r="AI204" s="220"/>
      <c r="AJ204" s="220"/>
      <c r="AK204" s="220"/>
      <c r="AL204" s="220"/>
      <c r="AM204" s="219"/>
    </row>
    <row r="205" spans="1:39">
      <c r="A205" s="213"/>
      <c r="O205" s="220"/>
      <c r="P205" s="220"/>
      <c r="Q205" s="220"/>
      <c r="R205" s="220"/>
      <c r="S205" s="220"/>
      <c r="T205" s="220"/>
      <c r="U205" s="220"/>
      <c r="AI205" s="220"/>
      <c r="AJ205" s="220"/>
      <c r="AK205" s="220"/>
      <c r="AL205" s="220"/>
      <c r="AM205" s="219"/>
    </row>
    <row r="206" spans="1:39">
      <c r="A206" s="213"/>
      <c r="O206" s="220"/>
      <c r="P206" s="220"/>
      <c r="Q206" s="220"/>
      <c r="R206" s="220"/>
      <c r="S206" s="220"/>
      <c r="T206" s="220"/>
      <c r="U206" s="220"/>
      <c r="AI206" s="220"/>
      <c r="AJ206" s="220"/>
      <c r="AK206" s="220"/>
      <c r="AL206" s="220"/>
      <c r="AM206" s="219"/>
    </row>
    <row r="207" spans="1:39">
      <c r="A207" s="213"/>
      <c r="O207" s="220"/>
      <c r="P207" s="220"/>
      <c r="Q207" s="220"/>
      <c r="R207" s="220"/>
      <c r="S207" s="220"/>
      <c r="T207" s="220"/>
      <c r="U207" s="220"/>
      <c r="AI207" s="220"/>
      <c r="AJ207" s="220"/>
      <c r="AK207" s="220"/>
      <c r="AL207" s="220"/>
      <c r="AM207" s="219"/>
    </row>
    <row r="208" spans="1:39">
      <c r="A208" s="213"/>
      <c r="O208" s="220"/>
      <c r="P208" s="220"/>
      <c r="Q208" s="220"/>
      <c r="R208" s="220"/>
      <c r="S208" s="220"/>
      <c r="T208" s="220"/>
      <c r="U208" s="220"/>
      <c r="AI208" s="220"/>
      <c r="AJ208" s="220"/>
      <c r="AK208" s="220"/>
      <c r="AL208" s="220"/>
      <c r="AM208" s="219"/>
    </row>
    <row r="209" spans="1:39">
      <c r="A209" s="213"/>
      <c r="O209" s="220"/>
      <c r="P209" s="220"/>
      <c r="Q209" s="220"/>
      <c r="R209" s="220"/>
      <c r="S209" s="220"/>
      <c r="T209" s="220"/>
      <c r="U209" s="220"/>
      <c r="AI209" s="220"/>
      <c r="AJ209" s="220"/>
      <c r="AK209" s="220"/>
      <c r="AL209" s="220"/>
      <c r="AM209" s="219"/>
    </row>
    <row r="210" spans="1:39">
      <c r="A210" s="213"/>
      <c r="O210" s="220"/>
      <c r="P210" s="220"/>
      <c r="Q210" s="220"/>
      <c r="R210" s="220"/>
      <c r="S210" s="220"/>
      <c r="T210" s="220"/>
      <c r="U210" s="220"/>
      <c r="AI210" s="220"/>
      <c r="AJ210" s="220"/>
      <c r="AK210" s="220"/>
      <c r="AL210" s="220"/>
      <c r="AM210" s="219"/>
    </row>
    <row r="211" spans="1:39">
      <c r="A211" s="213"/>
      <c r="O211" s="220"/>
      <c r="P211" s="220"/>
      <c r="Q211" s="220"/>
      <c r="R211" s="220"/>
      <c r="S211" s="220"/>
      <c r="T211" s="220"/>
      <c r="U211" s="220"/>
      <c r="AI211" s="220"/>
      <c r="AJ211" s="220"/>
      <c r="AK211" s="220"/>
      <c r="AL211" s="220"/>
      <c r="AM211" s="219"/>
    </row>
    <row r="212" spans="1:39">
      <c r="A212" s="213"/>
      <c r="O212" s="220"/>
      <c r="P212" s="220"/>
      <c r="Q212" s="220"/>
      <c r="R212" s="220"/>
      <c r="S212" s="220"/>
      <c r="T212" s="220"/>
      <c r="U212" s="220"/>
      <c r="AI212" s="220"/>
      <c r="AJ212" s="220"/>
      <c r="AK212" s="220"/>
      <c r="AL212" s="220"/>
      <c r="AM212" s="219"/>
    </row>
    <row r="213" spans="1:39">
      <c r="A213" s="213"/>
      <c r="O213" s="220"/>
      <c r="P213" s="220"/>
      <c r="Q213" s="220"/>
      <c r="R213" s="220"/>
      <c r="S213" s="220"/>
      <c r="T213" s="220"/>
      <c r="U213" s="220"/>
      <c r="AI213" s="220"/>
      <c r="AJ213" s="220"/>
      <c r="AK213" s="220"/>
      <c r="AL213" s="220"/>
      <c r="AM213" s="219"/>
    </row>
    <row r="214" spans="1:39">
      <c r="A214" s="213"/>
      <c r="O214" s="220"/>
      <c r="P214" s="220"/>
      <c r="Q214" s="220"/>
      <c r="R214" s="220"/>
      <c r="S214" s="220"/>
      <c r="T214" s="220"/>
      <c r="U214" s="220"/>
      <c r="AI214" s="220"/>
      <c r="AJ214" s="220"/>
      <c r="AK214" s="220"/>
      <c r="AL214" s="220"/>
      <c r="AM214" s="219"/>
    </row>
    <row r="215" spans="1:39">
      <c r="A215" s="213"/>
      <c r="O215" s="220"/>
      <c r="P215" s="220"/>
      <c r="Q215" s="220"/>
      <c r="R215" s="220"/>
      <c r="S215" s="220"/>
      <c r="T215" s="220"/>
      <c r="U215" s="220"/>
      <c r="AI215" s="220"/>
      <c r="AJ215" s="220"/>
      <c r="AK215" s="220"/>
      <c r="AL215" s="220"/>
      <c r="AM215" s="219"/>
    </row>
    <row r="216" spans="1:39">
      <c r="A216" s="213"/>
      <c r="O216" s="220"/>
      <c r="P216" s="220"/>
      <c r="Q216" s="220"/>
      <c r="R216" s="220"/>
      <c r="S216" s="220"/>
      <c r="T216" s="220"/>
      <c r="U216" s="220"/>
      <c r="AI216" s="220"/>
      <c r="AJ216" s="220"/>
      <c r="AK216" s="220"/>
      <c r="AL216" s="220"/>
      <c r="AM216" s="219"/>
    </row>
    <row r="217" spans="1:39">
      <c r="A217" s="213"/>
      <c r="O217" s="220"/>
      <c r="P217" s="220"/>
      <c r="Q217" s="220"/>
      <c r="R217" s="220"/>
      <c r="S217" s="220"/>
      <c r="T217" s="220"/>
      <c r="U217" s="220"/>
      <c r="AI217" s="220"/>
      <c r="AJ217" s="220"/>
      <c r="AK217" s="220"/>
      <c r="AL217" s="220"/>
      <c r="AM217" s="219"/>
    </row>
    <row r="218" spans="1:39">
      <c r="A218" s="213"/>
      <c r="O218" s="220"/>
      <c r="P218" s="220"/>
      <c r="Q218" s="220"/>
      <c r="R218" s="220"/>
      <c r="S218" s="220"/>
      <c r="T218" s="220"/>
      <c r="U218" s="220"/>
      <c r="AI218" s="220"/>
      <c r="AJ218" s="220"/>
      <c r="AK218" s="220"/>
      <c r="AL218" s="220"/>
      <c r="AM218" s="219"/>
    </row>
    <row r="219" spans="1:39">
      <c r="A219" s="213"/>
      <c r="O219" s="220"/>
      <c r="P219" s="220"/>
      <c r="Q219" s="220"/>
      <c r="R219" s="220"/>
      <c r="S219" s="220"/>
      <c r="T219" s="220"/>
      <c r="U219" s="220"/>
      <c r="AI219" s="220"/>
      <c r="AJ219" s="220"/>
      <c r="AK219" s="220"/>
      <c r="AL219" s="220"/>
      <c r="AM219" s="219"/>
    </row>
    <row r="220" spans="1:39">
      <c r="A220" s="213"/>
      <c r="O220" s="220"/>
      <c r="P220" s="220"/>
      <c r="Q220" s="220"/>
      <c r="R220" s="220"/>
      <c r="S220" s="220"/>
      <c r="T220" s="220"/>
      <c r="U220" s="220"/>
      <c r="AI220" s="220"/>
      <c r="AJ220" s="220"/>
      <c r="AK220" s="220"/>
      <c r="AL220" s="220"/>
      <c r="AM220" s="219"/>
    </row>
    <row r="221" spans="1:39">
      <c r="A221" s="213"/>
      <c r="O221" s="220"/>
      <c r="P221" s="220"/>
      <c r="Q221" s="220"/>
      <c r="R221" s="220"/>
      <c r="S221" s="220"/>
      <c r="T221" s="220"/>
      <c r="U221" s="220"/>
      <c r="AI221" s="220"/>
      <c r="AJ221" s="220"/>
      <c r="AK221" s="220"/>
      <c r="AL221" s="220"/>
      <c r="AM221" s="219"/>
    </row>
    <row r="222" spans="1:39">
      <c r="A222" s="213"/>
      <c r="O222" s="220"/>
      <c r="P222" s="220"/>
      <c r="Q222" s="220"/>
      <c r="R222" s="220"/>
      <c r="S222" s="220"/>
      <c r="T222" s="220"/>
      <c r="U222" s="220"/>
      <c r="AI222" s="220"/>
      <c r="AJ222" s="220"/>
      <c r="AK222" s="220"/>
      <c r="AL222" s="220"/>
      <c r="AM222" s="219"/>
    </row>
    <row r="223" spans="1:39">
      <c r="A223" s="213"/>
      <c r="O223" s="220"/>
      <c r="P223" s="220"/>
      <c r="Q223" s="220"/>
      <c r="R223" s="220"/>
      <c r="S223" s="220"/>
      <c r="T223" s="220"/>
      <c r="U223" s="220"/>
      <c r="AI223" s="220"/>
      <c r="AJ223" s="220"/>
      <c r="AK223" s="220"/>
      <c r="AL223" s="220"/>
      <c r="AM223" s="219"/>
    </row>
    <row r="224" spans="1:39">
      <c r="A224" s="213"/>
      <c r="O224" s="220"/>
      <c r="P224" s="220"/>
      <c r="Q224" s="220"/>
      <c r="R224" s="220"/>
      <c r="S224" s="220"/>
      <c r="T224" s="220"/>
      <c r="U224" s="220"/>
      <c r="AI224" s="220"/>
      <c r="AJ224" s="220"/>
      <c r="AK224" s="220"/>
      <c r="AL224" s="220"/>
      <c r="AM224" s="219"/>
    </row>
    <row r="225" spans="1:39">
      <c r="A225" s="213"/>
      <c r="O225" s="220"/>
      <c r="P225" s="220"/>
      <c r="Q225" s="220"/>
      <c r="R225" s="220"/>
      <c r="S225" s="220"/>
      <c r="T225" s="220"/>
      <c r="U225" s="220"/>
      <c r="AI225" s="220"/>
      <c r="AJ225" s="220"/>
      <c r="AK225" s="220"/>
      <c r="AL225" s="220"/>
      <c r="AM225" s="219"/>
    </row>
    <row r="226" spans="1:39">
      <c r="A226" s="213"/>
      <c r="O226" s="220"/>
      <c r="P226" s="220"/>
      <c r="Q226" s="220"/>
      <c r="R226" s="220"/>
      <c r="S226" s="220"/>
      <c r="T226" s="220"/>
      <c r="U226" s="220"/>
      <c r="AI226" s="220"/>
      <c r="AJ226" s="220"/>
      <c r="AK226" s="220"/>
      <c r="AL226" s="220"/>
      <c r="AM226" s="219"/>
    </row>
    <row r="227" spans="1:39">
      <c r="A227" s="213"/>
      <c r="O227" s="220"/>
      <c r="P227" s="220"/>
      <c r="Q227" s="220"/>
      <c r="R227" s="220"/>
      <c r="S227" s="220"/>
      <c r="T227" s="220"/>
      <c r="U227" s="220"/>
      <c r="AI227" s="220"/>
      <c r="AJ227" s="220"/>
      <c r="AK227" s="220"/>
      <c r="AL227" s="220"/>
      <c r="AM227" s="219"/>
    </row>
    <row r="228" spans="1:39">
      <c r="A228" s="213"/>
      <c r="O228" s="220"/>
      <c r="P228" s="220"/>
      <c r="Q228" s="220"/>
      <c r="R228" s="220"/>
      <c r="S228" s="220"/>
      <c r="T228" s="220"/>
      <c r="U228" s="220"/>
      <c r="AI228" s="220"/>
      <c r="AJ228" s="220"/>
      <c r="AK228" s="220"/>
      <c r="AL228" s="220"/>
      <c r="AM228" s="219"/>
    </row>
    <row r="229" spans="1:39">
      <c r="A229" s="213"/>
      <c r="O229" s="220"/>
      <c r="P229" s="220"/>
      <c r="Q229" s="220"/>
      <c r="R229" s="220"/>
      <c r="S229" s="220"/>
      <c r="T229" s="220"/>
      <c r="U229" s="220"/>
      <c r="AI229" s="220"/>
      <c r="AJ229" s="220"/>
      <c r="AK229" s="220"/>
      <c r="AL229" s="220"/>
      <c r="AM229" s="219"/>
    </row>
    <row r="230" spans="1:39">
      <c r="A230" s="213"/>
      <c r="O230" s="220"/>
      <c r="P230" s="220"/>
      <c r="Q230" s="220"/>
      <c r="R230" s="220"/>
      <c r="S230" s="220"/>
      <c r="T230" s="220"/>
      <c r="U230" s="220"/>
      <c r="AI230" s="220"/>
      <c r="AJ230" s="220"/>
      <c r="AK230" s="220"/>
      <c r="AL230" s="220"/>
      <c r="AM230" s="219"/>
    </row>
    <row r="231" spans="1:39">
      <c r="A231" s="213"/>
      <c r="O231" s="220"/>
      <c r="P231" s="220"/>
      <c r="Q231" s="220"/>
      <c r="R231" s="220"/>
      <c r="S231" s="220"/>
      <c r="T231" s="220"/>
      <c r="U231" s="220"/>
      <c r="AI231" s="220"/>
      <c r="AJ231" s="220"/>
      <c r="AK231" s="220"/>
      <c r="AL231" s="220"/>
      <c r="AM231" s="219"/>
    </row>
    <row r="232" spans="1:39">
      <c r="A232" s="213"/>
      <c r="O232" s="220"/>
      <c r="P232" s="220"/>
      <c r="Q232" s="220"/>
      <c r="R232" s="220"/>
      <c r="S232" s="220"/>
      <c r="T232" s="220"/>
      <c r="U232" s="220"/>
      <c r="AI232" s="220"/>
      <c r="AJ232" s="220"/>
      <c r="AK232" s="220"/>
      <c r="AL232" s="220"/>
      <c r="AM232" s="219"/>
    </row>
    <row r="233" spans="1:39">
      <c r="A233" s="213"/>
      <c r="O233" s="220"/>
      <c r="P233" s="220"/>
      <c r="Q233" s="220"/>
      <c r="R233" s="220"/>
      <c r="S233" s="220"/>
      <c r="T233" s="220"/>
      <c r="U233" s="220"/>
      <c r="AI233" s="220"/>
      <c r="AJ233" s="220"/>
      <c r="AK233" s="220"/>
      <c r="AL233" s="220"/>
      <c r="AM233" s="219"/>
    </row>
    <row r="234" spans="1:39">
      <c r="A234" s="213"/>
      <c r="O234" s="220"/>
      <c r="P234" s="220"/>
      <c r="Q234" s="220"/>
      <c r="R234" s="220"/>
      <c r="S234" s="220"/>
      <c r="T234" s="220"/>
      <c r="U234" s="220"/>
      <c r="AI234" s="220"/>
      <c r="AJ234" s="220"/>
      <c r="AK234" s="220"/>
      <c r="AL234" s="220"/>
      <c r="AM234" s="219"/>
    </row>
    <row r="235" spans="1:39">
      <c r="A235" s="213"/>
      <c r="O235" s="220"/>
      <c r="P235" s="220"/>
      <c r="Q235" s="220"/>
      <c r="R235" s="220"/>
      <c r="S235" s="220"/>
      <c r="T235" s="220"/>
      <c r="U235" s="220"/>
      <c r="AI235" s="220"/>
      <c r="AJ235" s="220"/>
      <c r="AK235" s="220"/>
      <c r="AL235" s="220"/>
      <c r="AM235" s="219"/>
    </row>
    <row r="236" spans="1:39">
      <c r="A236" s="213"/>
      <c r="O236" s="220"/>
      <c r="P236" s="220"/>
      <c r="Q236" s="220"/>
      <c r="R236" s="220"/>
      <c r="S236" s="220"/>
      <c r="T236" s="220"/>
      <c r="U236" s="220"/>
      <c r="AI236" s="220"/>
      <c r="AJ236" s="220"/>
      <c r="AK236" s="220"/>
      <c r="AL236" s="220"/>
      <c r="AM236" s="219"/>
    </row>
    <row r="237" spans="1:39">
      <c r="A237" s="213"/>
      <c r="O237" s="220"/>
      <c r="P237" s="220"/>
      <c r="Q237" s="220"/>
      <c r="R237" s="220"/>
      <c r="S237" s="220"/>
      <c r="T237" s="220"/>
      <c r="U237" s="220"/>
      <c r="AI237" s="220"/>
      <c r="AJ237" s="220"/>
      <c r="AK237" s="220"/>
      <c r="AL237" s="220"/>
      <c r="AM237" s="219"/>
    </row>
    <row r="238" spans="1:39">
      <c r="A238" s="213"/>
      <c r="O238" s="220"/>
      <c r="P238" s="220"/>
      <c r="Q238" s="220"/>
      <c r="R238" s="220"/>
      <c r="S238" s="220"/>
      <c r="T238" s="220"/>
      <c r="U238" s="220"/>
      <c r="AI238" s="220"/>
      <c r="AJ238" s="220"/>
      <c r="AK238" s="220"/>
      <c r="AL238" s="220"/>
      <c r="AM238" s="219"/>
    </row>
    <row r="239" spans="1:39">
      <c r="A239" s="213"/>
      <c r="O239" s="220"/>
      <c r="P239" s="220"/>
      <c r="Q239" s="220"/>
      <c r="R239" s="220"/>
      <c r="S239" s="220"/>
      <c r="T239" s="220"/>
      <c r="U239" s="220"/>
      <c r="AI239" s="220"/>
      <c r="AJ239" s="220"/>
      <c r="AK239" s="220"/>
      <c r="AL239" s="220"/>
      <c r="AM239" s="219"/>
    </row>
    <row r="240" spans="1:39">
      <c r="A240" s="213"/>
      <c r="O240" s="220"/>
      <c r="P240" s="220"/>
      <c r="Q240" s="220"/>
      <c r="R240" s="220"/>
      <c r="S240" s="220"/>
      <c r="T240" s="220"/>
      <c r="U240" s="220"/>
      <c r="AI240" s="220"/>
      <c r="AJ240" s="220"/>
      <c r="AK240" s="220"/>
      <c r="AL240" s="220"/>
      <c r="AM240" s="219"/>
    </row>
    <row r="241" spans="1:39">
      <c r="A241" s="213"/>
      <c r="O241" s="220"/>
      <c r="P241" s="220"/>
      <c r="Q241" s="220"/>
      <c r="R241" s="220"/>
      <c r="S241" s="220"/>
      <c r="T241" s="220"/>
      <c r="U241" s="220"/>
      <c r="AI241" s="220"/>
      <c r="AJ241" s="220"/>
      <c r="AK241" s="220"/>
      <c r="AL241" s="220"/>
      <c r="AM241" s="219"/>
    </row>
    <row r="242" spans="1:39">
      <c r="A242" s="213"/>
      <c r="O242" s="220"/>
      <c r="P242" s="220"/>
      <c r="Q242" s="220"/>
      <c r="R242" s="220"/>
      <c r="S242" s="220"/>
      <c r="T242" s="220"/>
      <c r="U242" s="220"/>
      <c r="AI242" s="220"/>
      <c r="AJ242" s="220"/>
      <c r="AK242" s="220"/>
      <c r="AL242" s="220"/>
      <c r="AM242" s="219"/>
    </row>
    <row r="243" spans="1:39">
      <c r="A243" s="213"/>
      <c r="O243" s="220"/>
      <c r="P243" s="220"/>
      <c r="Q243" s="220"/>
      <c r="R243" s="220"/>
      <c r="S243" s="220"/>
      <c r="T243" s="220"/>
      <c r="U243" s="220"/>
      <c r="AI243" s="220"/>
      <c r="AJ243" s="220"/>
      <c r="AK243" s="220"/>
      <c r="AL243" s="220"/>
      <c r="AM243" s="219"/>
    </row>
    <row r="244" spans="1:39">
      <c r="A244" s="213"/>
      <c r="O244" s="220"/>
      <c r="P244" s="220"/>
      <c r="Q244" s="220"/>
      <c r="R244" s="220"/>
      <c r="S244" s="220"/>
      <c r="T244" s="220"/>
      <c r="U244" s="220"/>
      <c r="AI244" s="220"/>
      <c r="AJ244" s="220"/>
      <c r="AK244" s="220"/>
      <c r="AL244" s="220"/>
      <c r="AM244" s="219"/>
    </row>
    <row r="245" spans="1:39">
      <c r="A245" s="213"/>
      <c r="O245" s="220"/>
      <c r="P245" s="220"/>
      <c r="Q245" s="220"/>
      <c r="R245" s="220"/>
      <c r="S245" s="220"/>
      <c r="T245" s="220"/>
      <c r="U245" s="220"/>
      <c r="AI245" s="220"/>
      <c r="AJ245" s="220"/>
      <c r="AK245" s="220"/>
      <c r="AL245" s="220"/>
      <c r="AM245" s="219"/>
    </row>
    <row r="246" spans="1:39">
      <c r="A246" s="213"/>
      <c r="O246" s="220"/>
      <c r="P246" s="220"/>
      <c r="Q246" s="220"/>
      <c r="R246" s="220"/>
      <c r="S246" s="220"/>
      <c r="T246" s="220"/>
      <c r="U246" s="220"/>
      <c r="AI246" s="220"/>
      <c r="AJ246" s="220"/>
      <c r="AK246" s="220"/>
      <c r="AL246" s="220"/>
      <c r="AM246" s="219"/>
    </row>
    <row r="247" spans="1:39">
      <c r="A247" s="213"/>
      <c r="O247" s="220"/>
      <c r="P247" s="220"/>
      <c r="Q247" s="220"/>
      <c r="R247" s="220"/>
      <c r="S247" s="220"/>
      <c r="T247" s="220"/>
      <c r="U247" s="220"/>
      <c r="AI247" s="220"/>
      <c r="AJ247" s="220"/>
      <c r="AK247" s="220"/>
      <c r="AL247" s="220"/>
      <c r="AM247" s="219"/>
    </row>
    <row r="248" spans="1:39">
      <c r="A248" s="213"/>
      <c r="O248" s="220"/>
      <c r="P248" s="220"/>
      <c r="Q248" s="220"/>
      <c r="R248" s="220"/>
      <c r="S248" s="220"/>
      <c r="T248" s="220"/>
      <c r="U248" s="220"/>
      <c r="AI248" s="220"/>
      <c r="AJ248" s="220"/>
      <c r="AK248" s="220"/>
      <c r="AL248" s="220"/>
      <c r="AM248" s="219"/>
    </row>
    <row r="249" spans="1:39">
      <c r="A249" s="213"/>
      <c r="O249" s="220"/>
      <c r="P249" s="220"/>
      <c r="Q249" s="220"/>
      <c r="R249" s="220"/>
      <c r="S249" s="220"/>
      <c r="T249" s="220"/>
      <c r="U249" s="220"/>
      <c r="AI249" s="220"/>
      <c r="AJ249" s="220"/>
      <c r="AK249" s="220"/>
      <c r="AL249" s="220"/>
      <c r="AM249" s="219"/>
    </row>
    <row r="250" spans="1:39">
      <c r="A250" s="213"/>
      <c r="O250" s="220"/>
      <c r="P250" s="220"/>
      <c r="Q250" s="220"/>
      <c r="R250" s="220"/>
      <c r="S250" s="220"/>
      <c r="T250" s="220"/>
      <c r="U250" s="220"/>
      <c r="AI250" s="220"/>
      <c r="AJ250" s="220"/>
      <c r="AK250" s="220"/>
      <c r="AL250" s="220"/>
      <c r="AM250" s="219"/>
    </row>
    <row r="251" spans="1:39">
      <c r="A251" s="213"/>
      <c r="O251" s="220"/>
      <c r="P251" s="220"/>
      <c r="Q251" s="220"/>
      <c r="R251" s="220"/>
      <c r="S251" s="220"/>
      <c r="T251" s="220"/>
      <c r="U251" s="220"/>
      <c r="AI251" s="220"/>
      <c r="AJ251" s="220"/>
      <c r="AK251" s="220"/>
      <c r="AL251" s="220"/>
      <c r="AM251" s="219"/>
    </row>
    <row r="252" spans="1:39">
      <c r="A252" s="213"/>
      <c r="O252" s="220"/>
      <c r="P252" s="220"/>
      <c r="Q252" s="220"/>
      <c r="R252" s="220"/>
      <c r="S252" s="220"/>
      <c r="T252" s="220"/>
      <c r="U252" s="220"/>
      <c r="AI252" s="220"/>
      <c r="AJ252" s="220"/>
      <c r="AK252" s="220"/>
      <c r="AL252" s="220"/>
      <c r="AM252" s="219"/>
    </row>
    <row r="253" spans="1:39">
      <c r="A253" s="213"/>
      <c r="O253" s="220"/>
      <c r="P253" s="220"/>
      <c r="Q253" s="220"/>
      <c r="R253" s="220"/>
      <c r="S253" s="220"/>
      <c r="T253" s="220"/>
      <c r="U253" s="220"/>
      <c r="AI253" s="220"/>
      <c r="AJ253" s="220"/>
      <c r="AK253" s="220"/>
      <c r="AL253" s="220"/>
      <c r="AM253" s="219"/>
    </row>
    <row r="254" spans="1:39">
      <c r="A254" s="213"/>
      <c r="O254" s="220"/>
      <c r="P254" s="220"/>
      <c r="Q254" s="220"/>
      <c r="R254" s="220"/>
      <c r="S254" s="220"/>
      <c r="T254" s="220"/>
      <c r="U254" s="220"/>
      <c r="AI254" s="220"/>
      <c r="AJ254" s="220"/>
      <c r="AK254" s="220"/>
      <c r="AL254" s="220"/>
      <c r="AM254" s="219"/>
    </row>
    <row r="255" spans="1:39">
      <c r="A255" s="213"/>
      <c r="O255" s="220"/>
      <c r="P255" s="220"/>
      <c r="Q255" s="220"/>
      <c r="R255" s="220"/>
      <c r="S255" s="220"/>
      <c r="T255" s="220"/>
      <c r="U255" s="220"/>
      <c r="AI255" s="220"/>
      <c r="AJ255" s="220"/>
      <c r="AK255" s="220"/>
      <c r="AL255" s="220"/>
      <c r="AM255" s="219"/>
    </row>
    <row r="256" spans="1:39">
      <c r="A256" s="213"/>
      <c r="O256" s="220"/>
      <c r="P256" s="220"/>
      <c r="Q256" s="220"/>
      <c r="R256" s="220"/>
      <c r="S256" s="220"/>
      <c r="T256" s="220"/>
      <c r="U256" s="220"/>
      <c r="AI256" s="220"/>
      <c r="AJ256" s="220"/>
      <c r="AK256" s="220"/>
      <c r="AL256" s="220"/>
      <c r="AM256" s="219"/>
    </row>
    <row r="257" spans="1:39">
      <c r="A257" s="213"/>
      <c r="O257" s="220"/>
      <c r="P257" s="220"/>
      <c r="Q257" s="220"/>
      <c r="R257" s="220"/>
      <c r="S257" s="220"/>
      <c r="T257" s="220"/>
      <c r="U257" s="220"/>
      <c r="AI257" s="220"/>
      <c r="AJ257" s="220"/>
      <c r="AK257" s="220"/>
      <c r="AL257" s="220"/>
      <c r="AM257" s="219"/>
    </row>
    <row r="258" spans="1:39">
      <c r="A258" s="213"/>
      <c r="O258" s="220"/>
      <c r="P258" s="220"/>
      <c r="Q258" s="220"/>
      <c r="R258" s="220"/>
      <c r="S258" s="220"/>
      <c r="T258" s="220"/>
      <c r="U258" s="220"/>
      <c r="AI258" s="220"/>
      <c r="AJ258" s="220"/>
      <c r="AK258" s="220"/>
      <c r="AL258" s="220"/>
      <c r="AM258" s="219"/>
    </row>
    <row r="259" spans="1:39">
      <c r="A259" s="213"/>
      <c r="O259" s="220"/>
      <c r="P259" s="220"/>
      <c r="Q259" s="220"/>
      <c r="R259" s="220"/>
      <c r="S259" s="220"/>
      <c r="T259" s="220"/>
      <c r="U259" s="220"/>
      <c r="AI259" s="220"/>
      <c r="AJ259" s="220"/>
      <c r="AK259" s="220"/>
      <c r="AL259" s="220"/>
      <c r="AM259" s="219"/>
    </row>
    <row r="260" spans="1:39">
      <c r="A260" s="213"/>
      <c r="O260" s="220"/>
      <c r="P260" s="220"/>
      <c r="Q260" s="220"/>
      <c r="R260" s="220"/>
      <c r="S260" s="220"/>
      <c r="T260" s="220"/>
      <c r="U260" s="220"/>
      <c r="AI260" s="220"/>
      <c r="AJ260" s="220"/>
      <c r="AK260" s="220"/>
      <c r="AL260" s="220"/>
      <c r="AM260" s="219"/>
    </row>
    <row r="261" spans="1:39">
      <c r="A261" s="213"/>
      <c r="O261" s="220"/>
      <c r="P261" s="220"/>
      <c r="Q261" s="220"/>
      <c r="R261" s="220"/>
      <c r="S261" s="220"/>
      <c r="T261" s="220"/>
      <c r="U261" s="220"/>
      <c r="AI261" s="220"/>
      <c r="AJ261" s="220"/>
      <c r="AK261" s="220"/>
      <c r="AL261" s="220"/>
      <c r="AM261" s="219"/>
    </row>
    <row r="262" spans="1:39">
      <c r="A262" s="213"/>
      <c r="O262" s="220"/>
      <c r="P262" s="220"/>
      <c r="Q262" s="220"/>
      <c r="R262" s="220"/>
      <c r="S262" s="220"/>
      <c r="T262" s="220"/>
      <c r="U262" s="220"/>
      <c r="AI262" s="220"/>
      <c r="AJ262" s="220"/>
      <c r="AK262" s="220"/>
      <c r="AL262" s="220"/>
      <c r="AM262" s="219"/>
    </row>
    <row r="263" spans="1:39">
      <c r="A263" s="213"/>
      <c r="O263" s="220"/>
      <c r="P263" s="220"/>
      <c r="Q263" s="220"/>
      <c r="R263" s="220"/>
      <c r="S263" s="220"/>
      <c r="T263" s="220"/>
      <c r="U263" s="220"/>
      <c r="AI263" s="220"/>
      <c r="AJ263" s="220"/>
      <c r="AK263" s="220"/>
      <c r="AL263" s="220"/>
      <c r="AM263" s="219"/>
    </row>
    <row r="264" spans="1:39">
      <c r="A264" s="213"/>
      <c r="O264" s="220"/>
      <c r="P264" s="220"/>
      <c r="Q264" s="220"/>
      <c r="R264" s="220"/>
      <c r="S264" s="220"/>
      <c r="T264" s="220"/>
      <c r="U264" s="220"/>
      <c r="AI264" s="220"/>
      <c r="AJ264" s="220"/>
      <c r="AK264" s="220"/>
      <c r="AL264" s="220"/>
      <c r="AM264" s="219"/>
    </row>
    <row r="265" spans="1:39">
      <c r="A265" s="213"/>
      <c r="O265" s="220"/>
      <c r="P265" s="220"/>
      <c r="Q265" s="220"/>
      <c r="R265" s="220"/>
      <c r="S265" s="220"/>
      <c r="T265" s="220"/>
      <c r="U265" s="220"/>
      <c r="AI265" s="220"/>
      <c r="AJ265" s="220"/>
      <c r="AK265" s="220"/>
      <c r="AL265" s="220"/>
      <c r="AM265" s="219"/>
    </row>
    <row r="266" spans="1:39">
      <c r="A266" s="213"/>
      <c r="O266" s="220"/>
      <c r="P266" s="220"/>
      <c r="Q266" s="220"/>
      <c r="R266" s="220"/>
      <c r="S266" s="220"/>
      <c r="T266" s="220"/>
      <c r="U266" s="220"/>
      <c r="AI266" s="220"/>
      <c r="AJ266" s="220"/>
      <c r="AK266" s="220"/>
      <c r="AL266" s="220"/>
      <c r="AM266" s="219"/>
    </row>
    <row r="267" spans="1:39">
      <c r="A267" s="213"/>
      <c r="O267" s="220"/>
      <c r="P267" s="220"/>
      <c r="Q267" s="220"/>
      <c r="R267" s="220"/>
      <c r="S267" s="220"/>
      <c r="T267" s="220"/>
      <c r="U267" s="220"/>
      <c r="AI267" s="220"/>
      <c r="AJ267" s="220"/>
      <c r="AK267" s="220"/>
      <c r="AL267" s="220"/>
      <c r="AM267" s="219"/>
    </row>
    <row r="268" spans="1:39">
      <c r="A268" s="213"/>
      <c r="O268" s="220"/>
      <c r="P268" s="220"/>
      <c r="Q268" s="220"/>
      <c r="R268" s="220"/>
      <c r="S268" s="220"/>
      <c r="T268" s="220"/>
      <c r="U268" s="220"/>
      <c r="AI268" s="220"/>
      <c r="AJ268" s="220"/>
      <c r="AK268" s="220"/>
      <c r="AL268" s="220"/>
      <c r="AM268" s="219"/>
    </row>
    <row r="269" spans="1:39">
      <c r="A269" s="213"/>
      <c r="O269" s="220"/>
      <c r="P269" s="220"/>
      <c r="Q269" s="220"/>
      <c r="R269" s="220"/>
      <c r="S269" s="220"/>
      <c r="T269" s="220"/>
      <c r="U269" s="220"/>
      <c r="AI269" s="220"/>
      <c r="AJ269" s="220"/>
      <c r="AK269" s="220"/>
      <c r="AL269" s="220"/>
      <c r="AM269" s="219"/>
    </row>
    <row r="270" spans="1:39">
      <c r="A270" s="213"/>
      <c r="O270" s="220"/>
      <c r="P270" s="220"/>
      <c r="Q270" s="220"/>
      <c r="R270" s="220"/>
      <c r="S270" s="220"/>
      <c r="T270" s="220"/>
      <c r="U270" s="220"/>
      <c r="AI270" s="220"/>
      <c r="AJ270" s="220"/>
      <c r="AK270" s="220"/>
      <c r="AL270" s="220"/>
      <c r="AM270" s="219"/>
    </row>
    <row r="271" spans="1:39">
      <c r="A271" s="213"/>
      <c r="O271" s="220"/>
      <c r="P271" s="220"/>
      <c r="Q271" s="220"/>
      <c r="R271" s="220"/>
      <c r="S271" s="220"/>
      <c r="T271" s="220"/>
      <c r="U271" s="220"/>
      <c r="AI271" s="220"/>
      <c r="AJ271" s="220"/>
      <c r="AK271" s="220"/>
      <c r="AL271" s="220"/>
      <c r="AM271" s="219"/>
    </row>
    <row r="272" spans="1:39">
      <c r="A272" s="213"/>
      <c r="O272" s="220"/>
      <c r="P272" s="220"/>
      <c r="Q272" s="220"/>
      <c r="R272" s="220"/>
      <c r="S272" s="220"/>
      <c r="T272" s="220"/>
      <c r="U272" s="220"/>
      <c r="AI272" s="220"/>
      <c r="AJ272" s="220"/>
      <c r="AK272" s="220"/>
      <c r="AL272" s="220"/>
      <c r="AM272" s="219"/>
    </row>
    <row r="273" spans="1:39">
      <c r="A273" s="213"/>
      <c r="O273" s="220"/>
      <c r="P273" s="220"/>
      <c r="Q273" s="220"/>
      <c r="R273" s="220"/>
      <c r="S273" s="220"/>
      <c r="T273" s="220"/>
      <c r="U273" s="220"/>
      <c r="AI273" s="220"/>
      <c r="AJ273" s="220"/>
      <c r="AK273" s="220"/>
      <c r="AL273" s="220"/>
      <c r="AM273" s="219"/>
    </row>
    <row r="274" spans="1:39">
      <c r="A274" s="213"/>
      <c r="O274" s="220"/>
      <c r="P274" s="220"/>
      <c r="Q274" s="220"/>
      <c r="R274" s="220"/>
      <c r="S274" s="220"/>
      <c r="T274" s="220"/>
      <c r="U274" s="220"/>
      <c r="AI274" s="220"/>
      <c r="AJ274" s="220"/>
      <c r="AK274" s="220"/>
      <c r="AL274" s="220"/>
      <c r="AM274" s="219"/>
    </row>
    <row r="275" spans="1:39">
      <c r="A275" s="213"/>
      <c r="O275" s="220"/>
      <c r="P275" s="220"/>
      <c r="Q275" s="220"/>
      <c r="R275" s="220"/>
      <c r="S275" s="220"/>
      <c r="T275" s="220"/>
      <c r="U275" s="220"/>
      <c r="AI275" s="220"/>
      <c r="AJ275" s="220"/>
      <c r="AK275" s="220"/>
      <c r="AL275" s="220"/>
      <c r="AM275" s="219"/>
    </row>
    <row r="276" spans="1:39">
      <c r="A276" s="213"/>
      <c r="O276" s="220"/>
      <c r="P276" s="220"/>
      <c r="Q276" s="220"/>
      <c r="R276" s="220"/>
      <c r="S276" s="220"/>
      <c r="T276" s="220"/>
      <c r="U276" s="220"/>
      <c r="AI276" s="220"/>
      <c r="AJ276" s="220"/>
      <c r="AK276" s="220"/>
      <c r="AL276" s="220"/>
      <c r="AM276" s="219"/>
    </row>
    <row r="277" spans="1:39">
      <c r="A277" s="213"/>
      <c r="O277" s="220"/>
      <c r="P277" s="220"/>
      <c r="Q277" s="220"/>
      <c r="R277" s="220"/>
      <c r="S277" s="220"/>
      <c r="T277" s="220"/>
      <c r="U277" s="220"/>
      <c r="AI277" s="220"/>
      <c r="AJ277" s="220"/>
      <c r="AK277" s="220"/>
      <c r="AL277" s="220"/>
      <c r="AM277" s="219"/>
    </row>
    <row r="278" spans="1:39">
      <c r="A278" s="213"/>
      <c r="O278" s="220"/>
      <c r="P278" s="220"/>
      <c r="Q278" s="220"/>
      <c r="R278" s="220"/>
      <c r="S278" s="220"/>
      <c r="T278" s="220"/>
      <c r="U278" s="220"/>
      <c r="AI278" s="220"/>
      <c r="AJ278" s="220"/>
      <c r="AK278" s="220"/>
      <c r="AL278" s="220"/>
      <c r="AM278" s="219"/>
    </row>
    <row r="279" spans="1:39">
      <c r="A279" s="213"/>
      <c r="O279" s="220"/>
      <c r="P279" s="220"/>
      <c r="Q279" s="220"/>
      <c r="R279" s="220"/>
      <c r="S279" s="220"/>
      <c r="T279" s="220"/>
      <c r="U279" s="220"/>
      <c r="AI279" s="220"/>
      <c r="AJ279" s="220"/>
      <c r="AK279" s="220"/>
      <c r="AL279" s="220"/>
      <c r="AM279" s="219"/>
    </row>
    <row r="280" spans="1:39">
      <c r="A280" s="213"/>
      <c r="O280" s="220"/>
      <c r="P280" s="220"/>
      <c r="Q280" s="220"/>
      <c r="R280" s="220"/>
      <c r="S280" s="220"/>
      <c r="T280" s="220"/>
      <c r="U280" s="220"/>
      <c r="AI280" s="220"/>
      <c r="AJ280" s="220"/>
      <c r="AK280" s="220"/>
      <c r="AL280" s="220"/>
      <c r="AM280" s="219"/>
    </row>
    <row r="281" spans="1:39">
      <c r="A281" s="213"/>
      <c r="O281" s="220"/>
      <c r="P281" s="220"/>
      <c r="Q281" s="220"/>
      <c r="R281" s="220"/>
      <c r="S281" s="220"/>
      <c r="T281" s="220"/>
      <c r="U281" s="220"/>
      <c r="AI281" s="220"/>
      <c r="AJ281" s="220"/>
      <c r="AK281" s="220"/>
      <c r="AL281" s="220"/>
      <c r="AM281" s="219"/>
    </row>
    <row r="282" spans="1:39">
      <c r="A282" s="213"/>
      <c r="O282" s="220"/>
      <c r="P282" s="220"/>
      <c r="Q282" s="220"/>
      <c r="R282" s="220"/>
      <c r="S282" s="220"/>
      <c r="T282" s="220"/>
      <c r="U282" s="220"/>
      <c r="AI282" s="220"/>
      <c r="AJ282" s="220"/>
      <c r="AK282" s="220"/>
      <c r="AL282" s="220"/>
      <c r="AM282" s="219"/>
    </row>
    <row r="283" spans="1:39">
      <c r="A283" s="213"/>
      <c r="O283" s="220"/>
      <c r="P283" s="220"/>
      <c r="Q283" s="220"/>
      <c r="R283" s="220"/>
      <c r="S283" s="220"/>
      <c r="T283" s="220"/>
      <c r="U283" s="220"/>
      <c r="AI283" s="220"/>
      <c r="AJ283" s="220"/>
      <c r="AK283" s="220"/>
      <c r="AL283" s="220"/>
      <c r="AM283" s="219"/>
    </row>
    <row r="284" spans="1:39">
      <c r="A284" s="213"/>
      <c r="O284" s="220"/>
      <c r="P284" s="220"/>
      <c r="Q284" s="220"/>
      <c r="R284" s="220"/>
      <c r="S284" s="220"/>
      <c r="T284" s="220"/>
      <c r="U284" s="220"/>
      <c r="AI284" s="220"/>
      <c r="AJ284" s="220"/>
      <c r="AK284" s="220"/>
      <c r="AL284" s="220"/>
      <c r="AM284" s="219"/>
    </row>
    <row r="285" spans="1:39">
      <c r="A285" s="213"/>
      <c r="O285" s="220"/>
      <c r="P285" s="220"/>
      <c r="Q285" s="220"/>
      <c r="R285" s="220"/>
      <c r="S285" s="220"/>
      <c r="T285" s="220"/>
      <c r="U285" s="220"/>
      <c r="AI285" s="220"/>
      <c r="AJ285" s="220"/>
      <c r="AK285" s="220"/>
      <c r="AL285" s="220"/>
      <c r="AM285" s="219"/>
    </row>
    <row r="286" spans="1:39">
      <c r="A286" s="213"/>
      <c r="O286" s="220"/>
      <c r="P286" s="220"/>
      <c r="Q286" s="220"/>
      <c r="R286" s="220"/>
      <c r="S286" s="220"/>
      <c r="T286" s="220"/>
      <c r="U286" s="220"/>
      <c r="AI286" s="220"/>
      <c r="AJ286" s="220"/>
      <c r="AK286" s="220"/>
      <c r="AL286" s="220"/>
      <c r="AM286" s="219"/>
    </row>
    <row r="287" spans="1:39">
      <c r="A287" s="213"/>
      <c r="O287" s="220"/>
      <c r="P287" s="220"/>
      <c r="Q287" s="220"/>
      <c r="R287" s="220"/>
      <c r="S287" s="220"/>
      <c r="T287" s="220"/>
      <c r="U287" s="220"/>
      <c r="AI287" s="220"/>
      <c r="AJ287" s="220"/>
      <c r="AK287" s="220"/>
      <c r="AL287" s="220"/>
      <c r="AM287" s="219"/>
    </row>
    <row r="288" spans="1:39">
      <c r="A288" s="213"/>
      <c r="O288" s="220"/>
      <c r="P288" s="220"/>
      <c r="Q288" s="220"/>
      <c r="R288" s="220"/>
      <c r="S288" s="220"/>
      <c r="T288" s="220"/>
      <c r="U288" s="220"/>
      <c r="AI288" s="220"/>
      <c r="AJ288" s="220"/>
      <c r="AK288" s="220"/>
      <c r="AL288" s="220"/>
      <c r="AM288" s="219"/>
    </row>
    <row r="289" spans="1:39">
      <c r="A289" s="213"/>
      <c r="O289" s="220"/>
      <c r="P289" s="220"/>
      <c r="Q289" s="220"/>
      <c r="R289" s="220"/>
      <c r="S289" s="220"/>
      <c r="T289" s="220"/>
      <c r="U289" s="220"/>
      <c r="AI289" s="220"/>
      <c r="AJ289" s="220"/>
      <c r="AK289" s="220"/>
      <c r="AL289" s="220"/>
      <c r="AM289" s="219"/>
    </row>
    <row r="290" spans="1:39">
      <c r="A290" s="213"/>
      <c r="O290" s="220"/>
      <c r="P290" s="220"/>
      <c r="Q290" s="220"/>
      <c r="R290" s="220"/>
      <c r="S290" s="220"/>
      <c r="T290" s="220"/>
      <c r="U290" s="220"/>
      <c r="AI290" s="220"/>
      <c r="AJ290" s="220"/>
      <c r="AK290" s="220"/>
      <c r="AL290" s="220"/>
      <c r="AM290" s="219"/>
    </row>
    <row r="291" spans="1:39">
      <c r="A291" s="213"/>
      <c r="O291" s="220"/>
      <c r="P291" s="220"/>
      <c r="Q291" s="220"/>
      <c r="R291" s="220"/>
      <c r="S291" s="220"/>
      <c r="T291" s="220"/>
      <c r="U291" s="220"/>
      <c r="AI291" s="220"/>
      <c r="AJ291" s="220"/>
      <c r="AK291" s="220"/>
      <c r="AL291" s="220"/>
      <c r="AM291" s="219"/>
    </row>
    <row r="292" spans="1:39">
      <c r="A292" s="221"/>
      <c r="B292" s="222"/>
      <c r="C292" s="222"/>
      <c r="D292" s="222"/>
      <c r="E292" s="223"/>
      <c r="F292" s="224"/>
      <c r="G292" s="223"/>
      <c r="H292" s="225"/>
      <c r="I292" s="225"/>
      <c r="J292" s="225"/>
      <c r="K292" s="225"/>
      <c r="L292" s="226"/>
      <c r="M292" s="226"/>
      <c r="N292" s="223"/>
      <c r="O292" s="227"/>
      <c r="P292" s="227"/>
      <c r="Q292" s="227"/>
      <c r="R292" s="227"/>
      <c r="S292" s="227"/>
      <c r="T292" s="227"/>
      <c r="U292" s="227"/>
      <c r="V292" s="223"/>
      <c r="W292" s="223"/>
      <c r="X292" s="228"/>
      <c r="Y292" s="228"/>
      <c r="Z292" s="228"/>
      <c r="AA292" s="228"/>
      <c r="AB292" s="228"/>
      <c r="AC292" s="228"/>
      <c r="AD292" s="228"/>
      <c r="AE292" s="228"/>
      <c r="AF292" s="228"/>
      <c r="AG292" s="228"/>
      <c r="AH292" s="228"/>
      <c r="AI292" s="227"/>
      <c r="AJ292" s="227"/>
      <c r="AK292" s="227"/>
      <c r="AL292" s="227"/>
      <c r="AM292" s="229"/>
    </row>
  </sheetData>
  <protectedRanges>
    <protectedRange sqref="H5:K78" name="Rango1_1"/>
  </protectedRanges>
  <autoFilter ref="A4:EC4" xr:uid="{00000000-0001-0000-0200-000000000000}"/>
  <mergeCells count="18">
    <mergeCell ref="P3:Q3"/>
    <mergeCell ref="E1:I1"/>
    <mergeCell ref="E2:I2"/>
    <mergeCell ref="E3:I3"/>
    <mergeCell ref="K1:M3"/>
    <mergeCell ref="R3:S3"/>
    <mergeCell ref="N2:O2"/>
    <mergeCell ref="AF3:AG3"/>
    <mergeCell ref="AD2:AH2"/>
    <mergeCell ref="X2:AA2"/>
    <mergeCell ref="AB2:AC2"/>
    <mergeCell ref="X3:Y3"/>
    <mergeCell ref="AD3:AE3"/>
    <mergeCell ref="T3:U3"/>
    <mergeCell ref="V3:W3"/>
    <mergeCell ref="P2:U2"/>
    <mergeCell ref="V2:W2"/>
    <mergeCell ref="N3:O3"/>
  </mergeCells>
  <phoneticPr fontId="0" type="noConversion"/>
  <conditionalFormatting sqref="E18:F78 E17 E5:F16">
    <cfRule type="expression" dxfId="20" priority="212" stopIfTrue="1">
      <formula>"SEVERSTAL"</formula>
    </cfRule>
  </conditionalFormatting>
  <conditionalFormatting sqref="H5:K78">
    <cfRule type="cellIs" dxfId="19" priority="213" stopIfTrue="1" operator="equal">
      <formula>"APROBADO"</formula>
    </cfRule>
    <cfRule type="cellIs" dxfId="18" priority="214" stopIfTrue="1" operator="equal">
      <formula>"ESPERA"</formula>
    </cfRule>
    <cfRule type="cellIs" dxfId="17" priority="215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H68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5.75"/>
  <cols>
    <col min="1" max="1" width="12.125" style="27" customWidth="1"/>
    <col min="2" max="2" width="7.125" style="27" customWidth="1"/>
    <col min="3" max="3" width="9.375" style="27" customWidth="1"/>
    <col min="4" max="4" width="8.625" style="41" customWidth="1"/>
    <col min="5" max="5" width="13.125" style="41" customWidth="1"/>
    <col min="6" max="6" width="7.75" style="27" customWidth="1"/>
    <col min="7" max="7" width="6.75" style="27" customWidth="1"/>
    <col min="8" max="8" width="12.5" style="27" customWidth="1"/>
    <col min="9" max="9" width="5.875" style="27" customWidth="1"/>
    <col min="10" max="10" width="7.875" style="27" customWidth="1"/>
    <col min="11" max="11" width="7" style="27" customWidth="1"/>
    <col min="12" max="13" width="5.25" style="27" customWidth="1"/>
    <col min="14" max="14" width="5.875" style="27" customWidth="1"/>
    <col min="15" max="15" width="6.875" style="27" customWidth="1"/>
    <col min="16" max="16" width="6.625" style="27" customWidth="1"/>
    <col min="17" max="17" width="8.75" style="27" customWidth="1"/>
    <col min="18" max="18" width="5.25" style="27" customWidth="1"/>
    <col min="19" max="19" width="6" style="27" customWidth="1"/>
    <col min="20" max="20" width="4.5" style="27" customWidth="1"/>
    <col min="21" max="21" width="5.625" style="27" customWidth="1"/>
    <col min="22" max="22" width="8.25" style="27" customWidth="1"/>
    <col min="23" max="23" width="6.875" style="27" customWidth="1"/>
    <col min="24" max="24" width="9" style="27" customWidth="1"/>
    <col min="25" max="25" width="8.375" style="27" customWidth="1"/>
    <col min="26" max="27" width="9.625" style="27" customWidth="1"/>
    <col min="28" max="28" width="8" style="27" customWidth="1"/>
    <col min="29" max="29" width="7.25" style="27" customWidth="1"/>
    <col min="30" max="30" width="7.5" style="27" customWidth="1"/>
    <col min="31" max="31" width="6.625" style="27" customWidth="1"/>
    <col min="32" max="32" width="6.875" style="27" customWidth="1"/>
    <col min="33" max="34" width="8.25" style="41" customWidth="1"/>
    <col min="35" max="16384" width="11" style="27"/>
  </cols>
  <sheetData>
    <row r="1" spans="1:34" ht="27" customHeight="1">
      <c r="A1" s="26"/>
      <c r="B1" s="26"/>
      <c r="C1" s="26"/>
      <c r="D1" s="26"/>
      <c r="E1" s="26"/>
      <c r="F1" s="26"/>
      <c r="G1" s="26" t="s">
        <v>59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</row>
    <row r="2" spans="1:34" ht="23.25" customHeight="1">
      <c r="A2" s="28"/>
      <c r="B2" s="28"/>
      <c r="C2" s="28"/>
      <c r="D2" s="43"/>
      <c r="E2" s="43"/>
      <c r="F2" s="253"/>
      <c r="G2" s="253"/>
      <c r="H2" s="166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6"/>
      <c r="Y2" s="29"/>
      <c r="Z2" s="29"/>
      <c r="AA2" s="29"/>
      <c r="AB2" s="29"/>
      <c r="AC2" s="29"/>
      <c r="AD2" s="29"/>
      <c r="AE2" s="29"/>
      <c r="AF2" s="30" t="s">
        <v>24</v>
      </c>
      <c r="AG2" s="31" t="s">
        <v>100</v>
      </c>
      <c r="AH2" s="31" t="s">
        <v>82</v>
      </c>
    </row>
    <row r="3" spans="1:34" ht="29.25" customHeight="1">
      <c r="B3" s="254" t="s">
        <v>101</v>
      </c>
      <c r="C3" s="254"/>
      <c r="D3" s="254"/>
      <c r="E3" s="254"/>
      <c r="F3" s="32"/>
      <c r="I3" s="258" t="s">
        <v>60</v>
      </c>
      <c r="J3" s="258"/>
      <c r="K3" s="258"/>
      <c r="L3" s="258"/>
      <c r="M3" s="258"/>
      <c r="N3" s="258"/>
      <c r="O3" s="258"/>
      <c r="P3" s="117"/>
      <c r="Q3" s="257" t="s">
        <v>61</v>
      </c>
      <c r="R3" s="257"/>
      <c r="S3" s="257"/>
      <c r="T3" s="257"/>
      <c r="U3" s="257"/>
      <c r="V3" s="257"/>
      <c r="W3" s="117"/>
      <c r="X3" s="26"/>
      <c r="Y3" s="33"/>
      <c r="Z3" s="33"/>
      <c r="AA3" s="33"/>
      <c r="AB3" s="33"/>
      <c r="AC3" s="33"/>
      <c r="AD3" s="33"/>
      <c r="AE3" s="34" t="s">
        <v>56</v>
      </c>
      <c r="AF3" s="35">
        <v>52</v>
      </c>
      <c r="AG3" s="35">
        <f>23*AF3/60</f>
        <v>19.933333333333334</v>
      </c>
      <c r="AH3" s="35">
        <f>3600/AF3</f>
        <v>69.230769230769226</v>
      </c>
    </row>
    <row r="4" spans="1:34" ht="33.75" customHeight="1">
      <c r="A4" s="36"/>
      <c r="B4" s="254"/>
      <c r="C4" s="254"/>
      <c r="D4" s="254"/>
      <c r="E4" s="254"/>
      <c r="F4" s="37"/>
      <c r="G4" s="38"/>
      <c r="H4" s="28"/>
      <c r="I4" s="256" t="s">
        <v>8</v>
      </c>
      <c r="J4" s="259"/>
      <c r="K4" s="255" t="s">
        <v>9</v>
      </c>
      <c r="L4" s="256"/>
      <c r="M4" s="256"/>
      <c r="N4" s="256"/>
      <c r="O4" s="259"/>
      <c r="P4" s="130"/>
      <c r="Q4" s="255" t="s">
        <v>13</v>
      </c>
      <c r="R4" s="259"/>
      <c r="S4" s="255" t="s">
        <v>9</v>
      </c>
      <c r="T4" s="256"/>
      <c r="U4" s="256"/>
      <c r="V4" s="256"/>
      <c r="W4" s="118"/>
      <c r="X4" s="39"/>
      <c r="Y4" s="33"/>
      <c r="Z4" s="33"/>
      <c r="AA4" s="33"/>
      <c r="AB4" s="33"/>
      <c r="AC4" s="33"/>
      <c r="AD4" s="33"/>
      <c r="AE4" s="34" t="s">
        <v>57</v>
      </c>
      <c r="AF4" s="35">
        <v>52</v>
      </c>
      <c r="AG4" s="35">
        <f>35*AF4/60</f>
        <v>30.333333333333332</v>
      </c>
      <c r="AH4" s="35">
        <f>3600/AF4</f>
        <v>69.230769230769226</v>
      </c>
    </row>
    <row r="5" spans="1:34" s="133" customFormat="1" ht="73.5" customHeight="1">
      <c r="A5" s="134" t="s">
        <v>1</v>
      </c>
      <c r="B5" s="134" t="s">
        <v>4</v>
      </c>
      <c r="C5" s="134" t="s">
        <v>62</v>
      </c>
      <c r="D5" s="134" t="s">
        <v>3</v>
      </c>
      <c r="E5" s="134" t="s">
        <v>79</v>
      </c>
      <c r="F5" s="134" t="s">
        <v>5</v>
      </c>
      <c r="G5" s="134" t="s">
        <v>12</v>
      </c>
      <c r="H5" s="134" t="s">
        <v>104</v>
      </c>
      <c r="I5" s="144" t="s">
        <v>7</v>
      </c>
      <c r="J5" s="145" t="s">
        <v>67</v>
      </c>
      <c r="K5" s="144" t="s">
        <v>66</v>
      </c>
      <c r="L5" s="144" t="s">
        <v>10</v>
      </c>
      <c r="M5" s="144" t="s">
        <v>11</v>
      </c>
      <c r="N5" s="144" t="s">
        <v>16</v>
      </c>
      <c r="O5" s="144" t="s">
        <v>68</v>
      </c>
      <c r="P5" s="144" t="s">
        <v>78</v>
      </c>
      <c r="Q5" s="144" t="s">
        <v>69</v>
      </c>
      <c r="R5" s="144" t="s">
        <v>7</v>
      </c>
      <c r="S5" s="144" t="s">
        <v>10</v>
      </c>
      <c r="T5" s="144" t="s">
        <v>11</v>
      </c>
      <c r="U5" s="144" t="s">
        <v>77</v>
      </c>
      <c r="V5" s="144" t="s">
        <v>70</v>
      </c>
      <c r="W5" s="144" t="s">
        <v>66</v>
      </c>
      <c r="X5" s="144" t="s">
        <v>0</v>
      </c>
      <c r="Y5" s="144" t="s">
        <v>6</v>
      </c>
      <c r="Z5" s="144" t="s">
        <v>81</v>
      </c>
      <c r="AA5" s="144" t="s">
        <v>98</v>
      </c>
      <c r="AB5" s="144" t="s">
        <v>65</v>
      </c>
      <c r="AC5" s="144" t="s">
        <v>75</v>
      </c>
      <c r="AD5" s="144" t="s">
        <v>64</v>
      </c>
      <c r="AE5" s="144" t="s">
        <v>63</v>
      </c>
      <c r="AF5" s="144" t="s">
        <v>53</v>
      </c>
      <c r="AG5" s="144" t="s">
        <v>58</v>
      </c>
      <c r="AH5" s="144" t="s">
        <v>58</v>
      </c>
    </row>
    <row r="6" spans="1:34" s="41" customFormat="1">
      <c r="A6" s="146">
        <v>42507</v>
      </c>
      <c r="B6" s="42">
        <v>3</v>
      </c>
      <c r="C6" s="42">
        <v>1810202</v>
      </c>
      <c r="D6" s="120">
        <v>12789</v>
      </c>
      <c r="E6" s="120" t="s">
        <v>80</v>
      </c>
      <c r="F6" s="42">
        <v>1195</v>
      </c>
      <c r="G6" s="121">
        <v>35</v>
      </c>
      <c r="H6" s="125"/>
      <c r="I6" s="122">
        <v>0</v>
      </c>
      <c r="J6" s="123">
        <v>1</v>
      </c>
      <c r="K6" s="129">
        <v>0</v>
      </c>
      <c r="L6" s="124">
        <v>0</v>
      </c>
      <c r="M6" s="122">
        <v>0</v>
      </c>
      <c r="N6" s="125">
        <v>0</v>
      </c>
      <c r="O6" s="121">
        <v>0</v>
      </c>
      <c r="P6" s="126">
        <v>0</v>
      </c>
      <c r="Q6" s="124">
        <v>3</v>
      </c>
      <c r="R6" s="121">
        <v>0</v>
      </c>
      <c r="S6" s="124">
        <v>0</v>
      </c>
      <c r="T6" s="122">
        <v>0</v>
      </c>
      <c r="U6" s="131">
        <v>0</v>
      </c>
      <c r="V6" s="124">
        <v>0</v>
      </c>
      <c r="W6" s="124">
        <v>0</v>
      </c>
      <c r="X6" s="40">
        <f t="shared" ref="X6:X38" si="0">+G6-(SUM(I6:W6))</f>
        <v>31</v>
      </c>
      <c r="Y6" s="127"/>
      <c r="Z6" s="127"/>
      <c r="AA6" s="127"/>
      <c r="AB6" s="127"/>
      <c r="AC6" s="127"/>
      <c r="AD6" s="127"/>
      <c r="AE6" s="148">
        <f t="shared" ref="AE6:AE66" si="1">X6</f>
        <v>31</v>
      </c>
      <c r="AF6" s="128"/>
      <c r="AG6" s="120"/>
      <c r="AH6" s="120"/>
    </row>
    <row r="7" spans="1:34" s="41" customFormat="1">
      <c r="A7" s="142">
        <v>42545</v>
      </c>
      <c r="B7" s="42">
        <v>2</v>
      </c>
      <c r="C7" s="153">
        <v>1810202</v>
      </c>
      <c r="D7" s="152">
        <v>12789</v>
      </c>
      <c r="E7" s="151" t="s">
        <v>80</v>
      </c>
      <c r="F7" s="143">
        <v>1235</v>
      </c>
      <c r="G7" s="121">
        <v>31</v>
      </c>
      <c r="H7" s="125"/>
      <c r="I7" s="122">
        <v>0</v>
      </c>
      <c r="J7" s="123">
        <v>0</v>
      </c>
      <c r="K7" s="129">
        <v>0</v>
      </c>
      <c r="L7" s="124">
        <v>0</v>
      </c>
      <c r="M7" s="122">
        <v>0</v>
      </c>
      <c r="N7" s="125">
        <v>0</v>
      </c>
      <c r="O7" s="121">
        <v>1</v>
      </c>
      <c r="P7" s="126">
        <v>0</v>
      </c>
      <c r="Q7" s="124">
        <v>0</v>
      </c>
      <c r="R7" s="121">
        <v>0</v>
      </c>
      <c r="S7" s="124">
        <v>0</v>
      </c>
      <c r="T7" s="122">
        <v>0</v>
      </c>
      <c r="U7" s="131">
        <v>0</v>
      </c>
      <c r="V7" s="124">
        <v>2</v>
      </c>
      <c r="W7" s="124">
        <v>0</v>
      </c>
      <c r="X7" s="40">
        <f t="shared" si="0"/>
        <v>28</v>
      </c>
      <c r="Y7" s="127"/>
      <c r="Z7" s="127"/>
      <c r="AA7" s="127"/>
      <c r="AB7" s="127"/>
      <c r="AC7" s="127"/>
      <c r="AD7" s="127"/>
      <c r="AE7" s="148">
        <f t="shared" si="1"/>
        <v>28</v>
      </c>
      <c r="AF7" s="128"/>
      <c r="AG7" s="120"/>
      <c r="AH7" s="120"/>
    </row>
    <row r="8" spans="1:34" s="41" customFormat="1">
      <c r="A8" s="142">
        <v>42564</v>
      </c>
      <c r="B8" s="42">
        <v>1</v>
      </c>
      <c r="C8" s="153">
        <v>1810202</v>
      </c>
      <c r="D8" s="152">
        <v>12789</v>
      </c>
      <c r="E8" s="151" t="s">
        <v>80</v>
      </c>
      <c r="F8" s="143">
        <v>1301</v>
      </c>
      <c r="G8" s="121">
        <v>3</v>
      </c>
      <c r="H8" s="125"/>
      <c r="I8" s="122">
        <v>3</v>
      </c>
      <c r="J8" s="123">
        <v>0</v>
      </c>
      <c r="K8" s="129">
        <v>0</v>
      </c>
      <c r="L8" s="124">
        <v>0</v>
      </c>
      <c r="M8" s="122">
        <v>0</v>
      </c>
      <c r="N8" s="125">
        <v>0</v>
      </c>
      <c r="O8" s="121">
        <v>0</v>
      </c>
      <c r="P8" s="126">
        <v>0</v>
      </c>
      <c r="Q8" s="124">
        <v>0</v>
      </c>
      <c r="R8" s="121">
        <v>0</v>
      </c>
      <c r="S8" s="124">
        <v>0</v>
      </c>
      <c r="T8" s="122">
        <v>0</v>
      </c>
      <c r="U8" s="131">
        <v>0</v>
      </c>
      <c r="V8" s="124">
        <v>0</v>
      </c>
      <c r="W8" s="124">
        <v>0</v>
      </c>
      <c r="X8" s="40">
        <f t="shared" ref="X8" si="2">+G8-(SUM(I8:W8))</f>
        <v>0</v>
      </c>
      <c r="Y8" s="127"/>
      <c r="Z8" s="127"/>
      <c r="AA8" s="127"/>
      <c r="AB8" s="127"/>
      <c r="AC8" s="127"/>
      <c r="AD8" s="127"/>
      <c r="AE8" s="148">
        <f t="shared" ref="AE8" si="3">X8</f>
        <v>0</v>
      </c>
      <c r="AF8" s="128"/>
      <c r="AG8" s="120"/>
      <c r="AH8" s="120"/>
    </row>
    <row r="9" spans="1:34" s="41" customFormat="1">
      <c r="A9" s="142">
        <v>42564</v>
      </c>
      <c r="B9" s="42">
        <v>2</v>
      </c>
      <c r="C9" s="153">
        <v>1810202</v>
      </c>
      <c r="D9" s="152">
        <v>12789</v>
      </c>
      <c r="E9" s="151" t="s">
        <v>80</v>
      </c>
      <c r="F9" s="143">
        <v>1301</v>
      </c>
      <c r="G9" s="121">
        <v>235</v>
      </c>
      <c r="H9" s="125"/>
      <c r="I9" s="122">
        <v>3</v>
      </c>
      <c r="J9" s="123">
        <v>0</v>
      </c>
      <c r="K9" s="129">
        <v>0</v>
      </c>
      <c r="L9" s="124">
        <v>0</v>
      </c>
      <c r="M9" s="122">
        <v>5</v>
      </c>
      <c r="N9" s="125">
        <v>0</v>
      </c>
      <c r="O9" s="121">
        <v>0</v>
      </c>
      <c r="P9" s="126">
        <v>0</v>
      </c>
      <c r="Q9" s="124">
        <v>0</v>
      </c>
      <c r="R9" s="121">
        <v>0</v>
      </c>
      <c r="S9" s="124">
        <v>0</v>
      </c>
      <c r="T9" s="122">
        <v>0</v>
      </c>
      <c r="U9" s="131">
        <v>0</v>
      </c>
      <c r="V9" s="124">
        <v>3</v>
      </c>
      <c r="W9" s="124">
        <v>0</v>
      </c>
      <c r="X9" s="40">
        <f t="shared" si="0"/>
        <v>224</v>
      </c>
      <c r="Y9" s="127"/>
      <c r="Z9" s="127"/>
      <c r="AA9" s="127"/>
      <c r="AB9" s="127">
        <v>5</v>
      </c>
      <c r="AC9" s="127"/>
      <c r="AD9" s="127"/>
      <c r="AE9" s="148">
        <f t="shared" si="1"/>
        <v>224</v>
      </c>
      <c r="AF9" s="128"/>
      <c r="AG9" s="120"/>
      <c r="AH9" s="120"/>
    </row>
    <row r="10" spans="1:34" s="41" customFormat="1">
      <c r="A10" s="142">
        <v>42564</v>
      </c>
      <c r="B10" s="42">
        <v>3</v>
      </c>
      <c r="C10" s="153">
        <v>1810202</v>
      </c>
      <c r="D10" s="152">
        <v>12789</v>
      </c>
      <c r="E10" s="151" t="s">
        <v>80</v>
      </c>
      <c r="F10" s="143">
        <v>1301</v>
      </c>
      <c r="G10" s="121">
        <v>42</v>
      </c>
      <c r="H10" s="125"/>
      <c r="I10" s="122">
        <v>0</v>
      </c>
      <c r="J10" s="123">
        <v>0</v>
      </c>
      <c r="K10" s="129">
        <v>0</v>
      </c>
      <c r="L10" s="124">
        <v>0</v>
      </c>
      <c r="M10" s="122">
        <v>0</v>
      </c>
      <c r="N10" s="125">
        <v>0</v>
      </c>
      <c r="O10" s="121">
        <v>0</v>
      </c>
      <c r="P10" s="126">
        <v>0</v>
      </c>
      <c r="Q10" s="124">
        <v>0</v>
      </c>
      <c r="R10" s="121">
        <v>0</v>
      </c>
      <c r="S10" s="124">
        <v>0</v>
      </c>
      <c r="T10" s="122">
        <v>0</v>
      </c>
      <c r="U10" s="131">
        <v>0</v>
      </c>
      <c r="V10" s="124">
        <v>0</v>
      </c>
      <c r="W10" s="124">
        <v>0</v>
      </c>
      <c r="X10" s="40">
        <f t="shared" si="0"/>
        <v>42</v>
      </c>
      <c r="Y10" s="127"/>
      <c r="Z10" s="127"/>
      <c r="AA10" s="127"/>
      <c r="AB10" s="127"/>
      <c r="AC10" s="127"/>
      <c r="AD10" s="127"/>
      <c r="AE10" s="148">
        <f t="shared" si="1"/>
        <v>42</v>
      </c>
      <c r="AF10" s="128"/>
      <c r="AG10" s="120"/>
      <c r="AH10" s="120"/>
    </row>
    <row r="11" spans="1:34" s="41" customFormat="1">
      <c r="A11" s="25">
        <v>42597</v>
      </c>
      <c r="B11" s="42">
        <v>1</v>
      </c>
      <c r="C11" s="153">
        <v>1810202</v>
      </c>
      <c r="D11" s="152">
        <v>12789</v>
      </c>
      <c r="E11" s="151" t="s">
        <v>80</v>
      </c>
      <c r="F11" s="42">
        <v>1345</v>
      </c>
      <c r="G11" s="121">
        <v>164</v>
      </c>
      <c r="H11" s="125"/>
      <c r="I11" s="122">
        <v>2</v>
      </c>
      <c r="J11" s="123">
        <v>0</v>
      </c>
      <c r="K11" s="129">
        <v>0</v>
      </c>
      <c r="L11" s="124">
        <v>0</v>
      </c>
      <c r="M11" s="122">
        <v>0</v>
      </c>
      <c r="N11" s="125">
        <v>0</v>
      </c>
      <c r="O11" s="121">
        <v>1</v>
      </c>
      <c r="P11" s="126">
        <v>0</v>
      </c>
      <c r="Q11" s="124">
        <v>0</v>
      </c>
      <c r="R11" s="121">
        <v>0</v>
      </c>
      <c r="S11" s="124">
        <v>1</v>
      </c>
      <c r="T11" s="122">
        <v>0</v>
      </c>
      <c r="U11" s="131">
        <v>0</v>
      </c>
      <c r="V11" s="124">
        <v>1</v>
      </c>
      <c r="W11" s="124">
        <v>0</v>
      </c>
      <c r="X11" s="40">
        <f t="shared" si="0"/>
        <v>159</v>
      </c>
      <c r="Y11" s="127"/>
      <c r="Z11" s="127"/>
      <c r="AA11" s="127"/>
      <c r="AB11" s="127">
        <v>21</v>
      </c>
      <c r="AC11" s="127"/>
      <c r="AD11" s="127"/>
      <c r="AE11" s="148">
        <v>138</v>
      </c>
      <c r="AF11" s="128"/>
      <c r="AG11" s="120"/>
      <c r="AH11" s="120"/>
    </row>
    <row r="12" spans="1:34" s="41" customFormat="1">
      <c r="A12" s="25">
        <v>42597</v>
      </c>
      <c r="B12" s="42">
        <v>2</v>
      </c>
      <c r="C12" s="153">
        <v>1810202</v>
      </c>
      <c r="D12" s="152">
        <v>12789</v>
      </c>
      <c r="E12" s="151" t="s">
        <v>80</v>
      </c>
      <c r="F12" s="42">
        <v>1345</v>
      </c>
      <c r="G12" s="121">
        <v>37</v>
      </c>
      <c r="H12" s="125"/>
      <c r="I12" s="122">
        <v>7</v>
      </c>
      <c r="J12" s="123">
        <v>0</v>
      </c>
      <c r="K12" s="129">
        <v>0</v>
      </c>
      <c r="L12" s="124">
        <v>0</v>
      </c>
      <c r="M12" s="122">
        <v>0</v>
      </c>
      <c r="N12" s="125">
        <v>0</v>
      </c>
      <c r="O12" s="121">
        <v>0</v>
      </c>
      <c r="P12" s="126">
        <v>0</v>
      </c>
      <c r="Q12" s="124">
        <v>0</v>
      </c>
      <c r="R12" s="121">
        <v>0</v>
      </c>
      <c r="S12" s="124">
        <v>30</v>
      </c>
      <c r="T12" s="122">
        <v>0</v>
      </c>
      <c r="U12" s="131">
        <v>0</v>
      </c>
      <c r="V12" s="124">
        <v>0</v>
      </c>
      <c r="W12" s="124">
        <v>0</v>
      </c>
      <c r="X12" s="40">
        <f t="shared" ref="X12" si="4">+G12-(SUM(I12:W12))</f>
        <v>0</v>
      </c>
      <c r="Y12" s="127"/>
      <c r="Z12" s="127"/>
      <c r="AA12" s="127"/>
      <c r="AB12" s="127">
        <v>29</v>
      </c>
      <c r="AC12" s="127"/>
      <c r="AD12" s="127"/>
      <c r="AE12" s="148">
        <f t="shared" si="1"/>
        <v>0</v>
      </c>
      <c r="AF12" s="128"/>
      <c r="AG12" s="120"/>
      <c r="AH12" s="120"/>
    </row>
    <row r="13" spans="1:34" s="41" customFormat="1">
      <c r="A13" s="119">
        <v>42601</v>
      </c>
      <c r="B13" s="42">
        <v>2</v>
      </c>
      <c r="C13" s="42">
        <v>1810202</v>
      </c>
      <c r="D13" s="152">
        <v>12789</v>
      </c>
      <c r="E13" s="151" t="s">
        <v>80</v>
      </c>
      <c r="F13" s="42">
        <v>1381</v>
      </c>
      <c r="G13" s="121">
        <v>41</v>
      </c>
      <c r="H13" s="125" t="s">
        <v>105</v>
      </c>
      <c r="I13" s="122">
        <v>0</v>
      </c>
      <c r="J13" s="123">
        <v>0</v>
      </c>
      <c r="K13" s="129">
        <v>0</v>
      </c>
      <c r="L13" s="124">
        <v>0</v>
      </c>
      <c r="M13" s="122">
        <v>0</v>
      </c>
      <c r="N13" s="125">
        <v>0</v>
      </c>
      <c r="O13" s="121">
        <v>0</v>
      </c>
      <c r="P13" s="126">
        <v>0</v>
      </c>
      <c r="Q13" s="124">
        <v>1</v>
      </c>
      <c r="R13" s="121">
        <v>0</v>
      </c>
      <c r="S13" s="124">
        <v>0</v>
      </c>
      <c r="T13" s="122">
        <v>0</v>
      </c>
      <c r="U13" s="131">
        <v>0</v>
      </c>
      <c r="V13" s="124">
        <v>0</v>
      </c>
      <c r="W13" s="124">
        <v>0</v>
      </c>
      <c r="X13" s="40">
        <f t="shared" si="0"/>
        <v>40</v>
      </c>
      <c r="Y13" s="127"/>
      <c r="Z13" s="127"/>
      <c r="AA13" s="127"/>
      <c r="AB13" s="127"/>
      <c r="AC13" s="127"/>
      <c r="AD13" s="127"/>
      <c r="AE13" s="148">
        <f t="shared" si="1"/>
        <v>40</v>
      </c>
      <c r="AF13" s="128"/>
      <c r="AG13" s="120"/>
      <c r="AH13" s="120"/>
    </row>
    <row r="14" spans="1:34" s="41" customFormat="1">
      <c r="A14" s="119">
        <v>42601</v>
      </c>
      <c r="B14" s="42">
        <v>3</v>
      </c>
      <c r="C14" s="42">
        <v>1810202</v>
      </c>
      <c r="D14" s="152">
        <v>12789</v>
      </c>
      <c r="E14" s="151" t="s">
        <v>80</v>
      </c>
      <c r="F14" s="42">
        <v>1381</v>
      </c>
      <c r="G14" s="121">
        <v>207</v>
      </c>
      <c r="H14" s="125"/>
      <c r="I14" s="122">
        <v>1</v>
      </c>
      <c r="J14" s="123">
        <v>0</v>
      </c>
      <c r="K14" s="129">
        <v>0</v>
      </c>
      <c r="L14" s="124">
        <v>0</v>
      </c>
      <c r="M14" s="122">
        <v>0</v>
      </c>
      <c r="N14" s="125">
        <v>0</v>
      </c>
      <c r="O14" s="121">
        <v>0</v>
      </c>
      <c r="P14" s="126">
        <v>1</v>
      </c>
      <c r="Q14" s="124">
        <v>0</v>
      </c>
      <c r="R14" s="121">
        <v>0</v>
      </c>
      <c r="S14" s="124">
        <v>0</v>
      </c>
      <c r="T14" s="122">
        <v>0</v>
      </c>
      <c r="U14" s="131">
        <v>0</v>
      </c>
      <c r="V14" s="124">
        <v>1</v>
      </c>
      <c r="W14" s="124">
        <v>0</v>
      </c>
      <c r="X14" s="40">
        <f t="shared" si="0"/>
        <v>204</v>
      </c>
      <c r="Y14" s="127"/>
      <c r="Z14" s="127"/>
      <c r="AA14" s="127"/>
      <c r="AB14" s="127"/>
      <c r="AC14" s="127"/>
      <c r="AD14" s="127"/>
      <c r="AE14" s="148">
        <f t="shared" si="1"/>
        <v>204</v>
      </c>
      <c r="AF14" s="128"/>
      <c r="AG14" s="120"/>
      <c r="AH14" s="120"/>
    </row>
    <row r="15" spans="1:34" s="41" customFormat="1">
      <c r="A15" s="119">
        <v>42602</v>
      </c>
      <c r="B15" s="42">
        <v>1</v>
      </c>
      <c r="C15" s="42">
        <v>1810202</v>
      </c>
      <c r="D15" s="152">
        <v>12789</v>
      </c>
      <c r="E15" s="151" t="s">
        <v>80</v>
      </c>
      <c r="F15" s="42">
        <v>1381</v>
      </c>
      <c r="G15" s="168">
        <v>135</v>
      </c>
      <c r="H15" s="154"/>
      <c r="I15" s="122">
        <v>0</v>
      </c>
      <c r="J15" s="123">
        <v>0</v>
      </c>
      <c r="K15" s="129">
        <v>0</v>
      </c>
      <c r="L15" s="124">
        <v>0</v>
      </c>
      <c r="M15" s="122">
        <v>0</v>
      </c>
      <c r="N15" s="125">
        <v>0</v>
      </c>
      <c r="O15" s="121">
        <v>0</v>
      </c>
      <c r="P15" s="126">
        <v>1</v>
      </c>
      <c r="Q15" s="124">
        <v>0</v>
      </c>
      <c r="R15" s="121">
        <v>0</v>
      </c>
      <c r="S15" s="124">
        <v>0</v>
      </c>
      <c r="T15" s="122">
        <v>0</v>
      </c>
      <c r="U15" s="131">
        <v>0</v>
      </c>
      <c r="V15" s="124">
        <v>0</v>
      </c>
      <c r="W15" s="124">
        <v>0</v>
      </c>
      <c r="X15" s="40">
        <f t="shared" si="0"/>
        <v>134</v>
      </c>
      <c r="Y15" s="127"/>
      <c r="Z15" s="127"/>
      <c r="AA15" s="127"/>
      <c r="AB15" s="127"/>
      <c r="AC15" s="127"/>
      <c r="AD15" s="127"/>
      <c r="AE15" s="148">
        <f t="shared" si="1"/>
        <v>134</v>
      </c>
      <c r="AF15" s="128"/>
      <c r="AG15" s="120"/>
      <c r="AH15" s="120"/>
    </row>
    <row r="16" spans="1:34" s="41" customFormat="1">
      <c r="A16" s="25">
        <v>42700</v>
      </c>
      <c r="B16" s="42">
        <v>1</v>
      </c>
      <c r="C16" s="23">
        <v>1892401</v>
      </c>
      <c r="D16" s="21">
        <v>12754</v>
      </c>
      <c r="E16" s="45" t="s">
        <v>107</v>
      </c>
      <c r="F16" s="21">
        <v>1724</v>
      </c>
      <c r="G16" s="169">
        <v>117</v>
      </c>
      <c r="H16" s="132"/>
      <c r="I16" s="122">
        <v>1</v>
      </c>
      <c r="J16" s="123">
        <v>2</v>
      </c>
      <c r="K16" s="129">
        <v>0</v>
      </c>
      <c r="L16" s="124">
        <v>0</v>
      </c>
      <c r="M16" s="122">
        <v>1</v>
      </c>
      <c r="N16" s="125">
        <v>0</v>
      </c>
      <c r="O16" s="121">
        <v>0</v>
      </c>
      <c r="P16" s="126">
        <v>0</v>
      </c>
      <c r="Q16" s="124">
        <v>3</v>
      </c>
      <c r="R16" s="121">
        <v>0</v>
      </c>
      <c r="S16" s="124">
        <v>0</v>
      </c>
      <c r="T16" s="122">
        <v>0</v>
      </c>
      <c r="U16" s="131">
        <v>0</v>
      </c>
      <c r="V16" s="124">
        <v>0</v>
      </c>
      <c r="W16" s="124">
        <v>0</v>
      </c>
      <c r="X16" s="40">
        <f t="shared" si="0"/>
        <v>110</v>
      </c>
      <c r="Y16" s="127"/>
      <c r="Z16" s="127"/>
      <c r="AA16" s="127"/>
      <c r="AB16" s="127"/>
      <c r="AC16" s="127"/>
      <c r="AD16" s="127"/>
      <c r="AE16" s="148">
        <f t="shared" si="1"/>
        <v>110</v>
      </c>
      <c r="AF16" s="128"/>
      <c r="AG16" s="120"/>
      <c r="AH16" s="120"/>
    </row>
    <row r="17" spans="1:34" s="41" customFormat="1">
      <c r="A17" s="119"/>
      <c r="B17" s="42"/>
      <c r="C17" s="42"/>
      <c r="D17" s="120"/>
      <c r="E17" s="120"/>
      <c r="F17" s="42"/>
      <c r="G17" s="121"/>
      <c r="H17" s="125"/>
      <c r="I17" s="122">
        <v>0</v>
      </c>
      <c r="J17" s="123">
        <v>0</v>
      </c>
      <c r="K17" s="129">
        <v>0</v>
      </c>
      <c r="L17" s="124">
        <v>0</v>
      </c>
      <c r="M17" s="122">
        <v>0</v>
      </c>
      <c r="N17" s="125">
        <v>0</v>
      </c>
      <c r="O17" s="121">
        <v>0</v>
      </c>
      <c r="P17" s="126">
        <v>0</v>
      </c>
      <c r="Q17" s="124">
        <v>0</v>
      </c>
      <c r="R17" s="121">
        <v>0</v>
      </c>
      <c r="S17" s="124">
        <v>0</v>
      </c>
      <c r="T17" s="122">
        <v>0</v>
      </c>
      <c r="U17" s="131">
        <v>0</v>
      </c>
      <c r="V17" s="124">
        <v>0</v>
      </c>
      <c r="W17" s="124">
        <v>0</v>
      </c>
      <c r="X17" s="40">
        <f t="shared" si="0"/>
        <v>0</v>
      </c>
      <c r="Y17" s="127"/>
      <c r="Z17" s="127"/>
      <c r="AA17" s="127"/>
      <c r="AB17" s="127"/>
      <c r="AC17" s="127"/>
      <c r="AD17" s="127"/>
      <c r="AE17" s="148">
        <f t="shared" si="1"/>
        <v>0</v>
      </c>
      <c r="AF17" s="128"/>
      <c r="AG17" s="120"/>
      <c r="AH17" s="120"/>
    </row>
    <row r="18" spans="1:34" s="41" customFormat="1">
      <c r="A18" s="119"/>
      <c r="B18" s="42"/>
      <c r="C18" s="42"/>
      <c r="D18" s="120"/>
      <c r="E18" s="120"/>
      <c r="F18" s="42"/>
      <c r="G18" s="121"/>
      <c r="H18" s="125"/>
      <c r="I18" s="122">
        <v>0</v>
      </c>
      <c r="J18" s="123">
        <v>0</v>
      </c>
      <c r="K18" s="129">
        <v>0</v>
      </c>
      <c r="L18" s="124">
        <v>0</v>
      </c>
      <c r="M18" s="122">
        <v>0</v>
      </c>
      <c r="N18" s="125">
        <v>0</v>
      </c>
      <c r="O18" s="121">
        <v>0</v>
      </c>
      <c r="P18" s="126">
        <v>0</v>
      </c>
      <c r="Q18" s="124">
        <v>0</v>
      </c>
      <c r="R18" s="121">
        <v>0</v>
      </c>
      <c r="S18" s="124">
        <v>0</v>
      </c>
      <c r="T18" s="122">
        <v>0</v>
      </c>
      <c r="U18" s="131">
        <v>0</v>
      </c>
      <c r="V18" s="124">
        <v>0</v>
      </c>
      <c r="W18" s="124">
        <v>0</v>
      </c>
      <c r="X18" s="40">
        <f t="shared" si="0"/>
        <v>0</v>
      </c>
      <c r="Y18" s="127"/>
      <c r="Z18" s="127"/>
      <c r="AA18" s="127"/>
      <c r="AB18" s="127"/>
      <c r="AC18" s="127"/>
      <c r="AD18" s="127"/>
      <c r="AE18" s="148">
        <f t="shared" si="1"/>
        <v>0</v>
      </c>
      <c r="AF18" s="128"/>
      <c r="AG18" s="120"/>
      <c r="AH18" s="120"/>
    </row>
    <row r="19" spans="1:34" s="41" customFormat="1">
      <c r="A19" s="119"/>
      <c r="B19" s="42"/>
      <c r="C19" s="42"/>
      <c r="D19" s="120"/>
      <c r="E19" s="120"/>
      <c r="F19" s="42"/>
      <c r="G19" s="121"/>
      <c r="H19" s="125"/>
      <c r="I19" s="122">
        <v>0</v>
      </c>
      <c r="J19" s="123">
        <v>0</v>
      </c>
      <c r="K19" s="129">
        <v>0</v>
      </c>
      <c r="L19" s="124">
        <v>0</v>
      </c>
      <c r="M19" s="122">
        <v>0</v>
      </c>
      <c r="N19" s="125">
        <v>0</v>
      </c>
      <c r="O19" s="121">
        <v>0</v>
      </c>
      <c r="P19" s="126">
        <v>0</v>
      </c>
      <c r="Q19" s="124">
        <v>0</v>
      </c>
      <c r="R19" s="121">
        <v>0</v>
      </c>
      <c r="S19" s="124">
        <v>0</v>
      </c>
      <c r="T19" s="122">
        <v>0</v>
      </c>
      <c r="U19" s="131">
        <v>0</v>
      </c>
      <c r="V19" s="124">
        <v>0</v>
      </c>
      <c r="W19" s="124">
        <v>0</v>
      </c>
      <c r="X19" s="40">
        <f t="shared" si="0"/>
        <v>0</v>
      </c>
      <c r="Y19" s="127"/>
      <c r="Z19" s="127"/>
      <c r="AA19" s="127"/>
      <c r="AB19" s="127"/>
      <c r="AC19" s="127"/>
      <c r="AD19" s="127"/>
      <c r="AE19" s="148">
        <f t="shared" si="1"/>
        <v>0</v>
      </c>
      <c r="AF19" s="128"/>
      <c r="AG19" s="120"/>
      <c r="AH19" s="120"/>
    </row>
    <row r="20" spans="1:34" s="41" customFormat="1">
      <c r="A20" s="119"/>
      <c r="B20" s="42"/>
      <c r="C20" s="42"/>
      <c r="D20" s="120"/>
      <c r="E20" s="120"/>
      <c r="F20" s="42"/>
      <c r="G20" s="121"/>
      <c r="H20" s="125"/>
      <c r="I20" s="122">
        <v>0</v>
      </c>
      <c r="J20" s="123">
        <v>0</v>
      </c>
      <c r="K20" s="129">
        <v>0</v>
      </c>
      <c r="L20" s="124">
        <v>0</v>
      </c>
      <c r="M20" s="122">
        <v>0</v>
      </c>
      <c r="N20" s="125">
        <v>0</v>
      </c>
      <c r="O20" s="121">
        <v>0</v>
      </c>
      <c r="P20" s="126">
        <v>0</v>
      </c>
      <c r="Q20" s="124">
        <v>0</v>
      </c>
      <c r="R20" s="121">
        <v>0</v>
      </c>
      <c r="S20" s="124">
        <v>0</v>
      </c>
      <c r="T20" s="122">
        <v>0</v>
      </c>
      <c r="U20" s="131">
        <v>0</v>
      </c>
      <c r="V20" s="124">
        <v>0</v>
      </c>
      <c r="W20" s="124">
        <v>0</v>
      </c>
      <c r="X20" s="40">
        <f t="shared" si="0"/>
        <v>0</v>
      </c>
      <c r="Y20" s="127"/>
      <c r="Z20" s="127"/>
      <c r="AA20" s="127"/>
      <c r="AB20" s="127"/>
      <c r="AC20" s="127"/>
      <c r="AD20" s="127"/>
      <c r="AE20" s="148">
        <f t="shared" si="1"/>
        <v>0</v>
      </c>
      <c r="AF20" s="128"/>
      <c r="AG20" s="120"/>
      <c r="AH20" s="120"/>
    </row>
    <row r="21" spans="1:34" s="41" customFormat="1">
      <c r="A21" s="119"/>
      <c r="B21" s="42"/>
      <c r="C21" s="42"/>
      <c r="D21" s="120"/>
      <c r="E21" s="120"/>
      <c r="F21" s="42"/>
      <c r="G21" s="121"/>
      <c r="H21" s="125"/>
      <c r="I21" s="122">
        <v>0</v>
      </c>
      <c r="J21" s="123">
        <v>0</v>
      </c>
      <c r="K21" s="129">
        <v>0</v>
      </c>
      <c r="L21" s="124">
        <v>0</v>
      </c>
      <c r="M21" s="122">
        <v>0</v>
      </c>
      <c r="N21" s="125">
        <v>0</v>
      </c>
      <c r="O21" s="121">
        <v>0</v>
      </c>
      <c r="P21" s="126">
        <v>0</v>
      </c>
      <c r="Q21" s="124">
        <v>0</v>
      </c>
      <c r="R21" s="121">
        <v>0</v>
      </c>
      <c r="S21" s="124">
        <v>0</v>
      </c>
      <c r="T21" s="122">
        <v>0</v>
      </c>
      <c r="U21" s="131">
        <v>0</v>
      </c>
      <c r="V21" s="124">
        <v>0</v>
      </c>
      <c r="W21" s="124">
        <v>0</v>
      </c>
      <c r="X21" s="40">
        <f t="shared" si="0"/>
        <v>0</v>
      </c>
      <c r="Y21" s="127"/>
      <c r="Z21" s="127"/>
      <c r="AA21" s="127"/>
      <c r="AB21" s="127"/>
      <c r="AC21" s="127"/>
      <c r="AD21" s="127"/>
      <c r="AE21" s="148">
        <f t="shared" si="1"/>
        <v>0</v>
      </c>
      <c r="AF21" s="128"/>
      <c r="AG21" s="120"/>
      <c r="AH21" s="120"/>
    </row>
    <row r="22" spans="1:34" s="41" customFormat="1">
      <c r="A22" s="119"/>
      <c r="B22" s="42"/>
      <c r="C22" s="42"/>
      <c r="D22" s="120"/>
      <c r="E22" s="120"/>
      <c r="F22" s="42"/>
      <c r="G22" s="121"/>
      <c r="H22" s="125"/>
      <c r="I22" s="122">
        <v>0</v>
      </c>
      <c r="J22" s="123">
        <v>0</v>
      </c>
      <c r="K22" s="129">
        <v>0</v>
      </c>
      <c r="L22" s="124">
        <v>0</v>
      </c>
      <c r="M22" s="122">
        <v>0</v>
      </c>
      <c r="N22" s="125">
        <v>0</v>
      </c>
      <c r="O22" s="121">
        <v>0</v>
      </c>
      <c r="P22" s="126">
        <v>0</v>
      </c>
      <c r="Q22" s="124">
        <v>0</v>
      </c>
      <c r="R22" s="121">
        <v>0</v>
      </c>
      <c r="S22" s="124">
        <v>0</v>
      </c>
      <c r="T22" s="122">
        <v>0</v>
      </c>
      <c r="U22" s="131">
        <v>0</v>
      </c>
      <c r="V22" s="124">
        <v>0</v>
      </c>
      <c r="W22" s="124">
        <v>0</v>
      </c>
      <c r="X22" s="40">
        <f t="shared" si="0"/>
        <v>0</v>
      </c>
      <c r="Y22" s="127"/>
      <c r="Z22" s="127"/>
      <c r="AA22" s="127"/>
      <c r="AB22" s="127"/>
      <c r="AC22" s="127"/>
      <c r="AD22" s="127"/>
      <c r="AE22" s="148">
        <f t="shared" si="1"/>
        <v>0</v>
      </c>
      <c r="AF22" s="128"/>
      <c r="AG22" s="120"/>
      <c r="AH22" s="120"/>
    </row>
    <row r="23" spans="1:34" s="41" customFormat="1">
      <c r="A23" s="119"/>
      <c r="B23" s="42"/>
      <c r="C23" s="42"/>
      <c r="D23" s="120"/>
      <c r="E23" s="120"/>
      <c r="F23" s="42"/>
      <c r="G23" s="121"/>
      <c r="H23" s="125"/>
      <c r="I23" s="122">
        <v>0</v>
      </c>
      <c r="J23" s="123">
        <v>0</v>
      </c>
      <c r="K23" s="129">
        <v>0</v>
      </c>
      <c r="L23" s="124">
        <v>0</v>
      </c>
      <c r="M23" s="122">
        <v>0</v>
      </c>
      <c r="N23" s="125">
        <v>0</v>
      </c>
      <c r="O23" s="121">
        <v>0</v>
      </c>
      <c r="P23" s="126">
        <v>0</v>
      </c>
      <c r="Q23" s="124">
        <v>0</v>
      </c>
      <c r="R23" s="121">
        <v>0</v>
      </c>
      <c r="S23" s="124">
        <v>0</v>
      </c>
      <c r="T23" s="122">
        <v>0</v>
      </c>
      <c r="U23" s="131">
        <v>0</v>
      </c>
      <c r="V23" s="124">
        <v>0</v>
      </c>
      <c r="W23" s="124">
        <v>0</v>
      </c>
      <c r="X23" s="40">
        <f t="shared" si="0"/>
        <v>0</v>
      </c>
      <c r="Y23" s="127"/>
      <c r="Z23" s="127"/>
      <c r="AA23" s="127"/>
      <c r="AB23" s="127"/>
      <c r="AC23" s="127"/>
      <c r="AD23" s="127"/>
      <c r="AE23" s="148">
        <f t="shared" si="1"/>
        <v>0</v>
      </c>
      <c r="AF23" s="128"/>
      <c r="AG23" s="120"/>
      <c r="AH23" s="120"/>
    </row>
    <row r="24" spans="1:34" s="41" customFormat="1">
      <c r="A24" s="119"/>
      <c r="B24" s="42"/>
      <c r="C24" s="42"/>
      <c r="D24" s="120"/>
      <c r="E24" s="120"/>
      <c r="F24" s="42"/>
      <c r="G24" s="121"/>
      <c r="H24" s="125"/>
      <c r="I24" s="122">
        <v>0</v>
      </c>
      <c r="J24" s="123">
        <v>0</v>
      </c>
      <c r="K24" s="129">
        <v>0</v>
      </c>
      <c r="L24" s="124">
        <v>0</v>
      </c>
      <c r="M24" s="122">
        <v>0</v>
      </c>
      <c r="N24" s="125">
        <v>0</v>
      </c>
      <c r="O24" s="121">
        <v>0</v>
      </c>
      <c r="P24" s="126">
        <v>0</v>
      </c>
      <c r="Q24" s="124">
        <v>0</v>
      </c>
      <c r="R24" s="121">
        <v>0</v>
      </c>
      <c r="S24" s="124">
        <v>0</v>
      </c>
      <c r="T24" s="122">
        <v>0</v>
      </c>
      <c r="U24" s="131">
        <v>0</v>
      </c>
      <c r="V24" s="124">
        <v>0</v>
      </c>
      <c r="W24" s="124">
        <v>0</v>
      </c>
      <c r="X24" s="40">
        <f t="shared" si="0"/>
        <v>0</v>
      </c>
      <c r="Y24" s="127"/>
      <c r="Z24" s="127"/>
      <c r="AA24" s="127"/>
      <c r="AB24" s="127"/>
      <c r="AC24" s="127"/>
      <c r="AD24" s="127"/>
      <c r="AE24" s="148">
        <f t="shared" si="1"/>
        <v>0</v>
      </c>
      <c r="AF24" s="128"/>
      <c r="AG24" s="120"/>
      <c r="AH24" s="120"/>
    </row>
    <row r="25" spans="1:34" s="41" customFormat="1">
      <c r="A25" s="119"/>
      <c r="B25" s="42"/>
      <c r="C25" s="42"/>
      <c r="D25" s="120"/>
      <c r="E25" s="120"/>
      <c r="F25" s="42"/>
      <c r="G25" s="121"/>
      <c r="H25" s="125"/>
      <c r="I25" s="122">
        <v>0</v>
      </c>
      <c r="J25" s="123">
        <v>0</v>
      </c>
      <c r="K25" s="129">
        <v>0</v>
      </c>
      <c r="L25" s="124">
        <v>0</v>
      </c>
      <c r="M25" s="122">
        <v>0</v>
      </c>
      <c r="N25" s="125">
        <v>0</v>
      </c>
      <c r="O25" s="121">
        <v>0</v>
      </c>
      <c r="P25" s="126">
        <v>0</v>
      </c>
      <c r="Q25" s="124">
        <v>0</v>
      </c>
      <c r="R25" s="121">
        <v>0</v>
      </c>
      <c r="S25" s="124">
        <v>0</v>
      </c>
      <c r="T25" s="122">
        <v>0</v>
      </c>
      <c r="U25" s="131">
        <v>0</v>
      </c>
      <c r="V25" s="124">
        <v>0</v>
      </c>
      <c r="W25" s="124">
        <v>0</v>
      </c>
      <c r="X25" s="40">
        <f t="shared" si="0"/>
        <v>0</v>
      </c>
      <c r="Y25" s="127"/>
      <c r="Z25" s="127"/>
      <c r="AA25" s="127"/>
      <c r="AB25" s="127"/>
      <c r="AC25" s="127"/>
      <c r="AD25" s="127"/>
      <c r="AE25" s="148">
        <f t="shared" si="1"/>
        <v>0</v>
      </c>
      <c r="AF25" s="128"/>
      <c r="AG25" s="120"/>
      <c r="AH25" s="120"/>
    </row>
    <row r="26" spans="1:34" s="41" customFormat="1">
      <c r="A26" s="119"/>
      <c r="B26" s="42"/>
      <c r="C26" s="42"/>
      <c r="D26" s="120"/>
      <c r="E26" s="120"/>
      <c r="F26" s="42"/>
      <c r="G26" s="121"/>
      <c r="H26" s="125"/>
      <c r="I26" s="122">
        <v>0</v>
      </c>
      <c r="J26" s="123">
        <v>0</v>
      </c>
      <c r="K26" s="129">
        <v>0</v>
      </c>
      <c r="L26" s="124">
        <v>0</v>
      </c>
      <c r="M26" s="122">
        <v>0</v>
      </c>
      <c r="N26" s="125">
        <v>0</v>
      </c>
      <c r="O26" s="121">
        <v>0</v>
      </c>
      <c r="P26" s="126">
        <v>0</v>
      </c>
      <c r="Q26" s="124">
        <v>0</v>
      </c>
      <c r="R26" s="121">
        <v>0</v>
      </c>
      <c r="S26" s="124">
        <v>0</v>
      </c>
      <c r="T26" s="122">
        <v>0</v>
      </c>
      <c r="U26" s="131">
        <v>0</v>
      </c>
      <c r="V26" s="124">
        <v>0</v>
      </c>
      <c r="W26" s="124">
        <v>0</v>
      </c>
      <c r="X26" s="40">
        <f t="shared" si="0"/>
        <v>0</v>
      </c>
      <c r="Y26" s="127"/>
      <c r="Z26" s="127"/>
      <c r="AA26" s="127"/>
      <c r="AB26" s="127"/>
      <c r="AC26" s="127"/>
      <c r="AD26" s="127"/>
      <c r="AE26" s="148">
        <f t="shared" si="1"/>
        <v>0</v>
      </c>
      <c r="AF26" s="128"/>
      <c r="AG26" s="120"/>
      <c r="AH26" s="120"/>
    </row>
    <row r="27" spans="1:34" s="41" customFormat="1">
      <c r="A27" s="119"/>
      <c r="B27" s="42"/>
      <c r="C27" s="42"/>
      <c r="D27" s="120"/>
      <c r="E27" s="120"/>
      <c r="F27" s="42"/>
      <c r="G27" s="121"/>
      <c r="H27" s="125"/>
      <c r="I27" s="122">
        <v>0</v>
      </c>
      <c r="J27" s="123">
        <v>0</v>
      </c>
      <c r="K27" s="129">
        <v>0</v>
      </c>
      <c r="L27" s="124">
        <v>0</v>
      </c>
      <c r="M27" s="122">
        <v>0</v>
      </c>
      <c r="N27" s="125">
        <v>0</v>
      </c>
      <c r="O27" s="121">
        <v>0</v>
      </c>
      <c r="P27" s="126">
        <v>0</v>
      </c>
      <c r="Q27" s="124">
        <v>0</v>
      </c>
      <c r="R27" s="121">
        <v>0</v>
      </c>
      <c r="S27" s="124">
        <v>0</v>
      </c>
      <c r="T27" s="122">
        <v>0</v>
      </c>
      <c r="U27" s="131">
        <v>0</v>
      </c>
      <c r="V27" s="124">
        <v>0</v>
      </c>
      <c r="W27" s="124">
        <v>0</v>
      </c>
      <c r="X27" s="40">
        <f t="shared" si="0"/>
        <v>0</v>
      </c>
      <c r="Y27" s="127"/>
      <c r="Z27" s="127"/>
      <c r="AA27" s="127"/>
      <c r="AB27" s="127"/>
      <c r="AC27" s="127"/>
      <c r="AD27" s="127"/>
      <c r="AE27" s="148">
        <f t="shared" si="1"/>
        <v>0</v>
      </c>
      <c r="AF27" s="128"/>
      <c r="AG27" s="120"/>
      <c r="AH27" s="120"/>
    </row>
    <row r="28" spans="1:34" s="41" customFormat="1">
      <c r="A28" s="119"/>
      <c r="B28" s="42"/>
      <c r="C28" s="42"/>
      <c r="D28" s="120"/>
      <c r="E28" s="120"/>
      <c r="F28" s="42"/>
      <c r="G28" s="121"/>
      <c r="H28" s="125"/>
      <c r="I28" s="122">
        <v>0</v>
      </c>
      <c r="J28" s="123">
        <v>0</v>
      </c>
      <c r="K28" s="129">
        <v>0</v>
      </c>
      <c r="L28" s="124">
        <v>0</v>
      </c>
      <c r="M28" s="122">
        <v>0</v>
      </c>
      <c r="N28" s="125">
        <v>0</v>
      </c>
      <c r="O28" s="121">
        <v>0</v>
      </c>
      <c r="P28" s="126">
        <v>0</v>
      </c>
      <c r="Q28" s="124">
        <v>0</v>
      </c>
      <c r="R28" s="121">
        <v>0</v>
      </c>
      <c r="S28" s="124">
        <v>0</v>
      </c>
      <c r="T28" s="122">
        <v>0</v>
      </c>
      <c r="U28" s="131">
        <v>0</v>
      </c>
      <c r="V28" s="124">
        <v>0</v>
      </c>
      <c r="W28" s="124">
        <v>0</v>
      </c>
      <c r="X28" s="40">
        <f t="shared" si="0"/>
        <v>0</v>
      </c>
      <c r="Y28" s="127"/>
      <c r="Z28" s="127"/>
      <c r="AA28" s="127"/>
      <c r="AB28" s="127"/>
      <c r="AC28" s="127"/>
      <c r="AD28" s="127"/>
      <c r="AE28" s="148">
        <f t="shared" si="1"/>
        <v>0</v>
      </c>
      <c r="AF28" s="128"/>
      <c r="AG28" s="120"/>
      <c r="AH28" s="120"/>
    </row>
    <row r="29" spans="1:34" s="41" customFormat="1">
      <c r="A29" s="119"/>
      <c r="B29" s="42"/>
      <c r="C29" s="42"/>
      <c r="D29" s="120"/>
      <c r="E29" s="120"/>
      <c r="F29" s="42"/>
      <c r="G29" s="121"/>
      <c r="H29" s="125"/>
      <c r="I29" s="122">
        <v>0</v>
      </c>
      <c r="J29" s="123">
        <v>0</v>
      </c>
      <c r="K29" s="129">
        <v>0</v>
      </c>
      <c r="L29" s="124">
        <v>0</v>
      </c>
      <c r="M29" s="122">
        <v>0</v>
      </c>
      <c r="N29" s="125">
        <v>0</v>
      </c>
      <c r="O29" s="121">
        <v>0</v>
      </c>
      <c r="P29" s="126">
        <v>0</v>
      </c>
      <c r="Q29" s="124">
        <v>0</v>
      </c>
      <c r="R29" s="121">
        <v>0</v>
      </c>
      <c r="S29" s="124">
        <v>0</v>
      </c>
      <c r="T29" s="122">
        <v>0</v>
      </c>
      <c r="U29" s="131">
        <v>0</v>
      </c>
      <c r="V29" s="124">
        <v>0</v>
      </c>
      <c r="W29" s="124">
        <v>0</v>
      </c>
      <c r="X29" s="40">
        <f t="shared" si="0"/>
        <v>0</v>
      </c>
      <c r="Y29" s="127"/>
      <c r="Z29" s="127"/>
      <c r="AA29" s="127"/>
      <c r="AB29" s="127"/>
      <c r="AC29" s="127"/>
      <c r="AD29" s="127"/>
      <c r="AE29" s="148">
        <f t="shared" si="1"/>
        <v>0</v>
      </c>
      <c r="AF29" s="128"/>
      <c r="AG29" s="120"/>
      <c r="AH29" s="120"/>
    </row>
    <row r="30" spans="1:34" s="41" customFormat="1">
      <c r="A30" s="119"/>
      <c r="B30" s="42"/>
      <c r="C30" s="42"/>
      <c r="D30" s="120"/>
      <c r="E30" s="120"/>
      <c r="F30" s="42"/>
      <c r="G30" s="121"/>
      <c r="H30" s="125"/>
      <c r="I30" s="122">
        <v>0</v>
      </c>
      <c r="J30" s="123">
        <v>0</v>
      </c>
      <c r="K30" s="129">
        <v>0</v>
      </c>
      <c r="L30" s="124">
        <v>0</v>
      </c>
      <c r="M30" s="122">
        <v>0</v>
      </c>
      <c r="N30" s="125">
        <v>0</v>
      </c>
      <c r="O30" s="121">
        <v>0</v>
      </c>
      <c r="P30" s="126">
        <v>0</v>
      </c>
      <c r="Q30" s="124">
        <v>0</v>
      </c>
      <c r="R30" s="121">
        <v>0</v>
      </c>
      <c r="S30" s="124">
        <v>0</v>
      </c>
      <c r="T30" s="122">
        <v>0</v>
      </c>
      <c r="U30" s="131">
        <v>0</v>
      </c>
      <c r="V30" s="124">
        <v>0</v>
      </c>
      <c r="W30" s="124">
        <v>0</v>
      </c>
      <c r="X30" s="40">
        <f t="shared" si="0"/>
        <v>0</v>
      </c>
      <c r="Y30" s="127"/>
      <c r="Z30" s="127"/>
      <c r="AA30" s="127"/>
      <c r="AB30" s="127"/>
      <c r="AC30" s="127"/>
      <c r="AD30" s="127"/>
      <c r="AE30" s="148">
        <f t="shared" si="1"/>
        <v>0</v>
      </c>
      <c r="AF30" s="128"/>
      <c r="AG30" s="120"/>
      <c r="AH30" s="120"/>
    </row>
    <row r="31" spans="1:34" s="41" customFormat="1">
      <c r="A31" s="119"/>
      <c r="B31" s="42"/>
      <c r="C31" s="42"/>
      <c r="D31" s="120"/>
      <c r="E31" s="120"/>
      <c r="F31" s="42"/>
      <c r="G31" s="121"/>
      <c r="H31" s="125"/>
      <c r="I31" s="122">
        <v>0</v>
      </c>
      <c r="J31" s="123">
        <v>0</v>
      </c>
      <c r="K31" s="129">
        <v>0</v>
      </c>
      <c r="L31" s="124">
        <v>0</v>
      </c>
      <c r="M31" s="122">
        <v>0</v>
      </c>
      <c r="N31" s="125">
        <v>0</v>
      </c>
      <c r="O31" s="121">
        <v>0</v>
      </c>
      <c r="P31" s="126">
        <v>0</v>
      </c>
      <c r="Q31" s="124">
        <v>0</v>
      </c>
      <c r="R31" s="121">
        <v>0</v>
      </c>
      <c r="S31" s="124">
        <v>0</v>
      </c>
      <c r="T31" s="122">
        <v>0</v>
      </c>
      <c r="U31" s="131">
        <v>0</v>
      </c>
      <c r="V31" s="124">
        <v>0</v>
      </c>
      <c r="W31" s="124">
        <v>0</v>
      </c>
      <c r="X31" s="40">
        <f t="shared" si="0"/>
        <v>0</v>
      </c>
      <c r="Y31" s="127"/>
      <c r="Z31" s="127"/>
      <c r="AA31" s="127"/>
      <c r="AB31" s="127"/>
      <c r="AC31" s="127"/>
      <c r="AD31" s="127"/>
      <c r="AE31" s="148">
        <f t="shared" si="1"/>
        <v>0</v>
      </c>
      <c r="AF31" s="128"/>
      <c r="AG31" s="120"/>
      <c r="AH31" s="120"/>
    </row>
    <row r="32" spans="1:34" s="41" customFormat="1">
      <c r="A32" s="119"/>
      <c r="B32" s="42"/>
      <c r="C32" s="42"/>
      <c r="D32" s="120"/>
      <c r="E32" s="120"/>
      <c r="F32" s="42"/>
      <c r="G32" s="121"/>
      <c r="H32" s="125"/>
      <c r="I32" s="122">
        <v>0</v>
      </c>
      <c r="J32" s="123">
        <v>0</v>
      </c>
      <c r="K32" s="129">
        <v>0</v>
      </c>
      <c r="L32" s="124">
        <v>0</v>
      </c>
      <c r="M32" s="122">
        <v>0</v>
      </c>
      <c r="N32" s="125">
        <v>0</v>
      </c>
      <c r="O32" s="121">
        <v>0</v>
      </c>
      <c r="P32" s="126">
        <v>0</v>
      </c>
      <c r="Q32" s="124">
        <v>0</v>
      </c>
      <c r="R32" s="121">
        <v>0</v>
      </c>
      <c r="S32" s="124">
        <v>0</v>
      </c>
      <c r="T32" s="122">
        <v>0</v>
      </c>
      <c r="U32" s="131">
        <v>0</v>
      </c>
      <c r="V32" s="124">
        <v>0</v>
      </c>
      <c r="W32" s="124">
        <v>0</v>
      </c>
      <c r="X32" s="40">
        <f t="shared" si="0"/>
        <v>0</v>
      </c>
      <c r="Y32" s="127"/>
      <c r="Z32" s="127"/>
      <c r="AA32" s="127"/>
      <c r="AB32" s="127"/>
      <c r="AC32" s="127"/>
      <c r="AD32" s="127"/>
      <c r="AE32" s="148">
        <f t="shared" si="1"/>
        <v>0</v>
      </c>
      <c r="AF32" s="128"/>
      <c r="AG32" s="120"/>
      <c r="AH32" s="120"/>
    </row>
    <row r="33" spans="1:34" s="41" customFormat="1">
      <c r="A33" s="119"/>
      <c r="B33" s="42"/>
      <c r="C33" s="42"/>
      <c r="D33" s="120"/>
      <c r="E33" s="120"/>
      <c r="F33" s="42"/>
      <c r="G33" s="121"/>
      <c r="H33" s="125"/>
      <c r="I33" s="122">
        <v>0</v>
      </c>
      <c r="J33" s="123">
        <v>0</v>
      </c>
      <c r="K33" s="129">
        <v>0</v>
      </c>
      <c r="L33" s="124">
        <v>0</v>
      </c>
      <c r="M33" s="122">
        <v>0</v>
      </c>
      <c r="N33" s="125">
        <v>0</v>
      </c>
      <c r="O33" s="121">
        <v>0</v>
      </c>
      <c r="P33" s="126">
        <v>0</v>
      </c>
      <c r="Q33" s="124">
        <v>0</v>
      </c>
      <c r="R33" s="121">
        <v>0</v>
      </c>
      <c r="S33" s="124">
        <v>0</v>
      </c>
      <c r="T33" s="122">
        <v>0</v>
      </c>
      <c r="U33" s="131">
        <v>0</v>
      </c>
      <c r="V33" s="124">
        <v>0</v>
      </c>
      <c r="W33" s="124">
        <v>0</v>
      </c>
      <c r="X33" s="40">
        <f t="shared" si="0"/>
        <v>0</v>
      </c>
      <c r="Y33" s="127"/>
      <c r="Z33" s="127"/>
      <c r="AA33" s="127"/>
      <c r="AB33" s="127"/>
      <c r="AC33" s="127"/>
      <c r="AD33" s="127"/>
      <c r="AE33" s="148">
        <f t="shared" si="1"/>
        <v>0</v>
      </c>
      <c r="AF33" s="128"/>
      <c r="AG33" s="120"/>
      <c r="AH33" s="120"/>
    </row>
    <row r="34" spans="1:34" s="41" customFormat="1">
      <c r="A34" s="119"/>
      <c r="B34" s="42"/>
      <c r="C34" s="42"/>
      <c r="D34" s="120"/>
      <c r="E34" s="120"/>
      <c r="F34" s="42"/>
      <c r="G34" s="121"/>
      <c r="H34" s="125"/>
      <c r="I34" s="122">
        <v>0</v>
      </c>
      <c r="J34" s="123">
        <v>0</v>
      </c>
      <c r="K34" s="129">
        <v>0</v>
      </c>
      <c r="L34" s="124">
        <v>0</v>
      </c>
      <c r="M34" s="122">
        <v>0</v>
      </c>
      <c r="N34" s="125">
        <v>0</v>
      </c>
      <c r="O34" s="121">
        <v>0</v>
      </c>
      <c r="P34" s="126">
        <v>0</v>
      </c>
      <c r="Q34" s="124">
        <v>0</v>
      </c>
      <c r="R34" s="121">
        <v>0</v>
      </c>
      <c r="S34" s="124">
        <v>0</v>
      </c>
      <c r="T34" s="122">
        <v>0</v>
      </c>
      <c r="U34" s="131">
        <v>0</v>
      </c>
      <c r="V34" s="124">
        <v>0</v>
      </c>
      <c r="W34" s="124">
        <v>0</v>
      </c>
      <c r="X34" s="40">
        <f t="shared" si="0"/>
        <v>0</v>
      </c>
      <c r="Y34" s="127"/>
      <c r="Z34" s="127"/>
      <c r="AA34" s="127"/>
      <c r="AB34" s="127"/>
      <c r="AC34" s="127"/>
      <c r="AD34" s="127"/>
      <c r="AE34" s="148">
        <f t="shared" si="1"/>
        <v>0</v>
      </c>
      <c r="AF34" s="128"/>
      <c r="AG34" s="120"/>
      <c r="AH34" s="120"/>
    </row>
    <row r="35" spans="1:34" s="41" customFormat="1">
      <c r="A35" s="119"/>
      <c r="B35" s="42"/>
      <c r="C35" s="42"/>
      <c r="D35" s="120"/>
      <c r="E35" s="120"/>
      <c r="F35" s="42"/>
      <c r="G35" s="121"/>
      <c r="H35" s="125"/>
      <c r="I35" s="122">
        <v>0</v>
      </c>
      <c r="J35" s="123">
        <v>0</v>
      </c>
      <c r="K35" s="129">
        <v>0</v>
      </c>
      <c r="L35" s="124">
        <v>0</v>
      </c>
      <c r="M35" s="122">
        <v>0</v>
      </c>
      <c r="N35" s="125">
        <v>0</v>
      </c>
      <c r="O35" s="121">
        <v>0</v>
      </c>
      <c r="P35" s="126">
        <v>0</v>
      </c>
      <c r="Q35" s="124">
        <v>0</v>
      </c>
      <c r="R35" s="121">
        <v>0</v>
      </c>
      <c r="S35" s="124">
        <v>0</v>
      </c>
      <c r="T35" s="122">
        <v>0</v>
      </c>
      <c r="U35" s="131">
        <v>0</v>
      </c>
      <c r="V35" s="124">
        <v>0</v>
      </c>
      <c r="W35" s="124">
        <v>0</v>
      </c>
      <c r="X35" s="40">
        <f t="shared" si="0"/>
        <v>0</v>
      </c>
      <c r="Y35" s="127"/>
      <c r="Z35" s="127"/>
      <c r="AA35" s="127"/>
      <c r="AB35" s="127"/>
      <c r="AC35" s="127"/>
      <c r="AD35" s="127"/>
      <c r="AE35" s="148">
        <f t="shared" si="1"/>
        <v>0</v>
      </c>
      <c r="AF35" s="128"/>
      <c r="AG35" s="120"/>
      <c r="AH35" s="120"/>
    </row>
    <row r="36" spans="1:34" s="41" customFormat="1">
      <c r="A36" s="119"/>
      <c r="B36" s="42"/>
      <c r="C36" s="42"/>
      <c r="D36" s="120"/>
      <c r="E36" s="120"/>
      <c r="F36" s="42"/>
      <c r="G36" s="121"/>
      <c r="H36" s="125"/>
      <c r="I36" s="122">
        <v>0</v>
      </c>
      <c r="J36" s="123">
        <v>0</v>
      </c>
      <c r="K36" s="129">
        <v>0</v>
      </c>
      <c r="L36" s="124">
        <v>0</v>
      </c>
      <c r="M36" s="122">
        <v>0</v>
      </c>
      <c r="N36" s="125">
        <v>0</v>
      </c>
      <c r="O36" s="121">
        <v>0</v>
      </c>
      <c r="P36" s="126">
        <v>0</v>
      </c>
      <c r="Q36" s="124">
        <v>0</v>
      </c>
      <c r="R36" s="121">
        <v>0</v>
      </c>
      <c r="S36" s="124">
        <v>0</v>
      </c>
      <c r="T36" s="122">
        <v>0</v>
      </c>
      <c r="U36" s="131">
        <v>0</v>
      </c>
      <c r="V36" s="124">
        <v>0</v>
      </c>
      <c r="W36" s="124">
        <v>0</v>
      </c>
      <c r="X36" s="40">
        <f t="shared" si="0"/>
        <v>0</v>
      </c>
      <c r="Y36" s="127"/>
      <c r="Z36" s="127"/>
      <c r="AA36" s="127"/>
      <c r="AB36" s="127"/>
      <c r="AC36" s="127"/>
      <c r="AD36" s="127"/>
      <c r="AE36" s="148">
        <f t="shared" si="1"/>
        <v>0</v>
      </c>
      <c r="AF36" s="128"/>
      <c r="AG36" s="120"/>
      <c r="AH36" s="120"/>
    </row>
    <row r="37" spans="1:34" s="41" customFormat="1">
      <c r="A37" s="119"/>
      <c r="B37" s="42"/>
      <c r="C37" s="42"/>
      <c r="D37" s="120"/>
      <c r="E37" s="120"/>
      <c r="F37" s="42"/>
      <c r="G37" s="121"/>
      <c r="H37" s="125"/>
      <c r="I37" s="122">
        <v>0</v>
      </c>
      <c r="J37" s="123">
        <v>0</v>
      </c>
      <c r="K37" s="129">
        <v>0</v>
      </c>
      <c r="L37" s="124">
        <v>0</v>
      </c>
      <c r="M37" s="122">
        <v>0</v>
      </c>
      <c r="N37" s="125">
        <v>0</v>
      </c>
      <c r="O37" s="121">
        <v>0</v>
      </c>
      <c r="P37" s="126">
        <v>0</v>
      </c>
      <c r="Q37" s="124">
        <v>0</v>
      </c>
      <c r="R37" s="121">
        <v>0</v>
      </c>
      <c r="S37" s="124">
        <v>0</v>
      </c>
      <c r="T37" s="122">
        <v>0</v>
      </c>
      <c r="U37" s="131">
        <v>0</v>
      </c>
      <c r="V37" s="124">
        <v>0</v>
      </c>
      <c r="W37" s="124">
        <v>0</v>
      </c>
      <c r="X37" s="40">
        <f t="shared" si="0"/>
        <v>0</v>
      </c>
      <c r="Y37" s="127"/>
      <c r="Z37" s="127"/>
      <c r="AA37" s="127"/>
      <c r="AB37" s="127"/>
      <c r="AC37" s="127"/>
      <c r="AD37" s="127"/>
      <c r="AE37" s="148">
        <f t="shared" si="1"/>
        <v>0</v>
      </c>
      <c r="AF37" s="128"/>
      <c r="AG37" s="120"/>
      <c r="AH37" s="120"/>
    </row>
    <row r="38" spans="1:34" s="41" customFormat="1">
      <c r="A38" s="119"/>
      <c r="B38" s="42"/>
      <c r="C38" s="42"/>
      <c r="D38" s="120"/>
      <c r="E38" s="120"/>
      <c r="F38" s="42"/>
      <c r="G38" s="121"/>
      <c r="H38" s="125"/>
      <c r="I38" s="122">
        <v>0</v>
      </c>
      <c r="J38" s="123">
        <v>0</v>
      </c>
      <c r="K38" s="129">
        <v>0</v>
      </c>
      <c r="L38" s="124">
        <v>0</v>
      </c>
      <c r="M38" s="122">
        <v>0</v>
      </c>
      <c r="N38" s="125">
        <v>0</v>
      </c>
      <c r="O38" s="121">
        <v>0</v>
      </c>
      <c r="P38" s="126">
        <v>0</v>
      </c>
      <c r="Q38" s="124">
        <v>0</v>
      </c>
      <c r="R38" s="121">
        <v>0</v>
      </c>
      <c r="S38" s="124">
        <v>0</v>
      </c>
      <c r="T38" s="122">
        <v>0</v>
      </c>
      <c r="U38" s="131">
        <v>0</v>
      </c>
      <c r="V38" s="124">
        <v>0</v>
      </c>
      <c r="W38" s="124">
        <v>0</v>
      </c>
      <c r="X38" s="40">
        <f t="shared" si="0"/>
        <v>0</v>
      </c>
      <c r="Y38" s="127"/>
      <c r="Z38" s="127"/>
      <c r="AA38" s="127"/>
      <c r="AB38" s="127"/>
      <c r="AC38" s="127"/>
      <c r="AD38" s="127"/>
      <c r="AE38" s="148">
        <f t="shared" si="1"/>
        <v>0</v>
      </c>
      <c r="AF38" s="128"/>
      <c r="AG38" s="120"/>
      <c r="AH38" s="120"/>
    </row>
    <row r="39" spans="1:34" s="41" customFormat="1">
      <c r="A39" s="119"/>
      <c r="B39" s="42"/>
      <c r="C39" s="42"/>
      <c r="D39" s="120"/>
      <c r="E39" s="120"/>
      <c r="F39" s="42"/>
      <c r="G39" s="121"/>
      <c r="H39" s="125"/>
      <c r="I39" s="122">
        <v>0</v>
      </c>
      <c r="J39" s="123">
        <v>0</v>
      </c>
      <c r="K39" s="129">
        <v>0</v>
      </c>
      <c r="L39" s="124">
        <v>0</v>
      </c>
      <c r="M39" s="122">
        <v>0</v>
      </c>
      <c r="N39" s="125">
        <v>0</v>
      </c>
      <c r="O39" s="121">
        <v>0</v>
      </c>
      <c r="P39" s="126">
        <v>0</v>
      </c>
      <c r="Q39" s="124">
        <v>0</v>
      </c>
      <c r="R39" s="121">
        <v>0</v>
      </c>
      <c r="S39" s="124">
        <v>0</v>
      </c>
      <c r="T39" s="122">
        <v>0</v>
      </c>
      <c r="U39" s="131">
        <v>0</v>
      </c>
      <c r="V39" s="124">
        <v>0</v>
      </c>
      <c r="W39" s="124">
        <v>0</v>
      </c>
      <c r="X39" s="40">
        <f t="shared" ref="X39:X68" si="5">+G39-(SUM(I39:W39))</f>
        <v>0</v>
      </c>
      <c r="Y39" s="127"/>
      <c r="Z39" s="127"/>
      <c r="AA39" s="127"/>
      <c r="AB39" s="127"/>
      <c r="AC39" s="127"/>
      <c r="AD39" s="127"/>
      <c r="AE39" s="148">
        <f t="shared" si="1"/>
        <v>0</v>
      </c>
      <c r="AF39" s="128"/>
      <c r="AG39" s="120"/>
      <c r="AH39" s="120"/>
    </row>
    <row r="40" spans="1:34" s="41" customFormat="1">
      <c r="A40" s="119"/>
      <c r="B40" s="42"/>
      <c r="C40" s="42"/>
      <c r="D40" s="120"/>
      <c r="E40" s="120"/>
      <c r="F40" s="42"/>
      <c r="G40" s="121"/>
      <c r="H40" s="125"/>
      <c r="I40" s="122">
        <v>0</v>
      </c>
      <c r="J40" s="123">
        <v>0</v>
      </c>
      <c r="K40" s="129">
        <v>0</v>
      </c>
      <c r="L40" s="124">
        <v>0</v>
      </c>
      <c r="M40" s="122">
        <v>0</v>
      </c>
      <c r="N40" s="125">
        <v>0</v>
      </c>
      <c r="O40" s="121">
        <v>0</v>
      </c>
      <c r="P40" s="126">
        <v>0</v>
      </c>
      <c r="Q40" s="124">
        <v>0</v>
      </c>
      <c r="R40" s="121">
        <v>0</v>
      </c>
      <c r="S40" s="124">
        <v>0</v>
      </c>
      <c r="T40" s="122">
        <v>0</v>
      </c>
      <c r="U40" s="131">
        <v>0</v>
      </c>
      <c r="V40" s="124">
        <v>0</v>
      </c>
      <c r="W40" s="124">
        <v>0</v>
      </c>
      <c r="X40" s="40">
        <f t="shared" si="5"/>
        <v>0</v>
      </c>
      <c r="Y40" s="127"/>
      <c r="Z40" s="127"/>
      <c r="AA40" s="127"/>
      <c r="AB40" s="127"/>
      <c r="AC40" s="127"/>
      <c r="AD40" s="127"/>
      <c r="AE40" s="148">
        <f t="shared" si="1"/>
        <v>0</v>
      </c>
      <c r="AF40" s="128"/>
      <c r="AG40" s="120"/>
      <c r="AH40" s="120"/>
    </row>
    <row r="41" spans="1:34" s="41" customFormat="1">
      <c r="A41" s="119"/>
      <c r="B41" s="42"/>
      <c r="C41" s="42"/>
      <c r="D41" s="120"/>
      <c r="E41" s="120"/>
      <c r="F41" s="42"/>
      <c r="G41" s="121"/>
      <c r="H41" s="125"/>
      <c r="I41" s="122">
        <v>0</v>
      </c>
      <c r="J41" s="123">
        <v>0</v>
      </c>
      <c r="K41" s="129">
        <v>0</v>
      </c>
      <c r="L41" s="124">
        <v>0</v>
      </c>
      <c r="M41" s="122">
        <v>0</v>
      </c>
      <c r="N41" s="125">
        <v>0</v>
      </c>
      <c r="O41" s="121">
        <v>0</v>
      </c>
      <c r="P41" s="126">
        <v>0</v>
      </c>
      <c r="Q41" s="124">
        <v>0</v>
      </c>
      <c r="R41" s="121">
        <v>0</v>
      </c>
      <c r="S41" s="124">
        <v>0</v>
      </c>
      <c r="T41" s="122">
        <v>0</v>
      </c>
      <c r="U41" s="131">
        <v>0</v>
      </c>
      <c r="V41" s="124">
        <v>0</v>
      </c>
      <c r="W41" s="124">
        <v>0</v>
      </c>
      <c r="X41" s="40">
        <f t="shared" si="5"/>
        <v>0</v>
      </c>
      <c r="Y41" s="127"/>
      <c r="Z41" s="127"/>
      <c r="AA41" s="127"/>
      <c r="AB41" s="127"/>
      <c r="AC41" s="127"/>
      <c r="AD41" s="127"/>
      <c r="AE41" s="148">
        <f t="shared" si="1"/>
        <v>0</v>
      </c>
      <c r="AF41" s="128"/>
      <c r="AG41" s="120"/>
      <c r="AH41" s="120"/>
    </row>
    <row r="42" spans="1:34" s="41" customFormat="1">
      <c r="A42" s="119"/>
      <c r="B42" s="42"/>
      <c r="C42" s="42"/>
      <c r="D42" s="120"/>
      <c r="E42" s="120"/>
      <c r="F42" s="42"/>
      <c r="G42" s="121"/>
      <c r="H42" s="125"/>
      <c r="I42" s="122">
        <v>0</v>
      </c>
      <c r="J42" s="123">
        <v>0</v>
      </c>
      <c r="K42" s="129">
        <v>0</v>
      </c>
      <c r="L42" s="124">
        <v>0</v>
      </c>
      <c r="M42" s="122">
        <v>0</v>
      </c>
      <c r="N42" s="125">
        <v>0</v>
      </c>
      <c r="O42" s="121">
        <v>0</v>
      </c>
      <c r="P42" s="126">
        <v>0</v>
      </c>
      <c r="Q42" s="124">
        <v>0</v>
      </c>
      <c r="R42" s="121">
        <v>0</v>
      </c>
      <c r="S42" s="124">
        <v>0</v>
      </c>
      <c r="T42" s="122">
        <v>0</v>
      </c>
      <c r="U42" s="131">
        <v>0</v>
      </c>
      <c r="V42" s="124">
        <v>0</v>
      </c>
      <c r="W42" s="124">
        <v>0</v>
      </c>
      <c r="X42" s="40">
        <f t="shared" si="5"/>
        <v>0</v>
      </c>
      <c r="Y42" s="127"/>
      <c r="Z42" s="127"/>
      <c r="AA42" s="127"/>
      <c r="AB42" s="127"/>
      <c r="AC42" s="127"/>
      <c r="AD42" s="127"/>
      <c r="AE42" s="148">
        <f t="shared" si="1"/>
        <v>0</v>
      </c>
      <c r="AF42" s="128"/>
      <c r="AG42" s="120"/>
      <c r="AH42" s="120"/>
    </row>
    <row r="43" spans="1:34" s="41" customFormat="1">
      <c r="A43" s="119"/>
      <c r="B43" s="42"/>
      <c r="C43" s="42"/>
      <c r="D43" s="120"/>
      <c r="E43" s="120"/>
      <c r="F43" s="42"/>
      <c r="G43" s="121"/>
      <c r="H43" s="125"/>
      <c r="I43" s="122">
        <v>0</v>
      </c>
      <c r="J43" s="123">
        <v>0</v>
      </c>
      <c r="K43" s="129">
        <v>0</v>
      </c>
      <c r="L43" s="124">
        <v>0</v>
      </c>
      <c r="M43" s="122">
        <v>0</v>
      </c>
      <c r="N43" s="125">
        <v>0</v>
      </c>
      <c r="O43" s="121">
        <v>0</v>
      </c>
      <c r="P43" s="126">
        <v>0</v>
      </c>
      <c r="Q43" s="124">
        <v>0</v>
      </c>
      <c r="R43" s="121">
        <v>0</v>
      </c>
      <c r="S43" s="124">
        <v>0</v>
      </c>
      <c r="T43" s="122">
        <v>0</v>
      </c>
      <c r="U43" s="131">
        <v>0</v>
      </c>
      <c r="V43" s="124">
        <v>0</v>
      </c>
      <c r="W43" s="124">
        <v>0</v>
      </c>
      <c r="X43" s="40">
        <f t="shared" si="5"/>
        <v>0</v>
      </c>
      <c r="Y43" s="127"/>
      <c r="Z43" s="127"/>
      <c r="AA43" s="127"/>
      <c r="AB43" s="127"/>
      <c r="AC43" s="127"/>
      <c r="AD43" s="127"/>
      <c r="AE43" s="148">
        <f t="shared" si="1"/>
        <v>0</v>
      </c>
      <c r="AF43" s="128"/>
      <c r="AG43" s="120"/>
      <c r="AH43" s="120"/>
    </row>
    <row r="44" spans="1:34" s="41" customFormat="1">
      <c r="A44" s="119"/>
      <c r="B44" s="42"/>
      <c r="C44" s="42"/>
      <c r="D44" s="120"/>
      <c r="E44" s="120"/>
      <c r="F44" s="42"/>
      <c r="G44" s="121"/>
      <c r="H44" s="125"/>
      <c r="I44" s="122">
        <v>0</v>
      </c>
      <c r="J44" s="123">
        <v>0</v>
      </c>
      <c r="K44" s="129">
        <v>0</v>
      </c>
      <c r="L44" s="124">
        <v>0</v>
      </c>
      <c r="M44" s="122">
        <v>0</v>
      </c>
      <c r="N44" s="125">
        <v>0</v>
      </c>
      <c r="O44" s="121">
        <v>0</v>
      </c>
      <c r="P44" s="126">
        <v>0</v>
      </c>
      <c r="Q44" s="124">
        <v>0</v>
      </c>
      <c r="R44" s="121">
        <v>0</v>
      </c>
      <c r="S44" s="124">
        <v>0</v>
      </c>
      <c r="T44" s="122">
        <v>0</v>
      </c>
      <c r="U44" s="131">
        <v>0</v>
      </c>
      <c r="V44" s="124">
        <v>0</v>
      </c>
      <c r="W44" s="124">
        <v>0</v>
      </c>
      <c r="X44" s="40">
        <f t="shared" si="5"/>
        <v>0</v>
      </c>
      <c r="Y44" s="127"/>
      <c r="Z44" s="127"/>
      <c r="AA44" s="127"/>
      <c r="AB44" s="127"/>
      <c r="AC44" s="127"/>
      <c r="AD44" s="127"/>
      <c r="AE44" s="148">
        <f t="shared" si="1"/>
        <v>0</v>
      </c>
      <c r="AF44" s="128"/>
      <c r="AG44" s="120"/>
      <c r="AH44" s="120"/>
    </row>
    <row r="45" spans="1:34" s="41" customFormat="1">
      <c r="A45" s="119"/>
      <c r="B45" s="42"/>
      <c r="C45" s="42"/>
      <c r="D45" s="120"/>
      <c r="E45" s="120"/>
      <c r="F45" s="42"/>
      <c r="G45" s="121"/>
      <c r="H45" s="125"/>
      <c r="I45" s="122">
        <v>0</v>
      </c>
      <c r="J45" s="123">
        <v>0</v>
      </c>
      <c r="K45" s="129">
        <v>0</v>
      </c>
      <c r="L45" s="124">
        <v>0</v>
      </c>
      <c r="M45" s="122">
        <v>0</v>
      </c>
      <c r="N45" s="125">
        <v>0</v>
      </c>
      <c r="O45" s="121">
        <v>0</v>
      </c>
      <c r="P45" s="126">
        <v>0</v>
      </c>
      <c r="Q45" s="124">
        <v>0</v>
      </c>
      <c r="R45" s="121">
        <v>0</v>
      </c>
      <c r="S45" s="124">
        <v>0</v>
      </c>
      <c r="T45" s="122">
        <v>0</v>
      </c>
      <c r="U45" s="131">
        <v>0</v>
      </c>
      <c r="V45" s="124">
        <v>0</v>
      </c>
      <c r="W45" s="124">
        <v>0</v>
      </c>
      <c r="X45" s="40">
        <f t="shared" si="5"/>
        <v>0</v>
      </c>
      <c r="Y45" s="127"/>
      <c r="Z45" s="127"/>
      <c r="AA45" s="127"/>
      <c r="AB45" s="127"/>
      <c r="AC45" s="127"/>
      <c r="AD45" s="127"/>
      <c r="AE45" s="148">
        <f t="shared" si="1"/>
        <v>0</v>
      </c>
      <c r="AF45" s="128"/>
      <c r="AG45" s="120"/>
      <c r="AH45" s="120"/>
    </row>
    <row r="46" spans="1:34" s="41" customFormat="1">
      <c r="A46" s="119"/>
      <c r="B46" s="42"/>
      <c r="C46" s="42"/>
      <c r="D46" s="120"/>
      <c r="E46" s="120"/>
      <c r="F46" s="42"/>
      <c r="G46" s="121"/>
      <c r="H46" s="125"/>
      <c r="I46" s="122">
        <v>0</v>
      </c>
      <c r="J46" s="123">
        <v>0</v>
      </c>
      <c r="K46" s="129">
        <v>0</v>
      </c>
      <c r="L46" s="124">
        <v>0</v>
      </c>
      <c r="M46" s="122">
        <v>0</v>
      </c>
      <c r="N46" s="125">
        <v>0</v>
      </c>
      <c r="O46" s="121">
        <v>0</v>
      </c>
      <c r="P46" s="126">
        <v>0</v>
      </c>
      <c r="Q46" s="124">
        <v>0</v>
      </c>
      <c r="R46" s="121">
        <v>0</v>
      </c>
      <c r="S46" s="124">
        <v>0</v>
      </c>
      <c r="T46" s="122">
        <v>0</v>
      </c>
      <c r="U46" s="131">
        <v>0</v>
      </c>
      <c r="V46" s="124">
        <v>0</v>
      </c>
      <c r="W46" s="124">
        <v>0</v>
      </c>
      <c r="X46" s="40">
        <f t="shared" si="5"/>
        <v>0</v>
      </c>
      <c r="Y46" s="127"/>
      <c r="Z46" s="127"/>
      <c r="AA46" s="127"/>
      <c r="AB46" s="127"/>
      <c r="AC46" s="127"/>
      <c r="AD46" s="127"/>
      <c r="AE46" s="148">
        <f t="shared" si="1"/>
        <v>0</v>
      </c>
      <c r="AF46" s="128"/>
      <c r="AG46" s="120"/>
      <c r="AH46" s="120"/>
    </row>
    <row r="47" spans="1:34" s="41" customFormat="1">
      <c r="A47" s="119"/>
      <c r="B47" s="42"/>
      <c r="C47" s="42"/>
      <c r="D47" s="120"/>
      <c r="E47" s="120"/>
      <c r="F47" s="42"/>
      <c r="G47" s="121"/>
      <c r="H47" s="125"/>
      <c r="I47" s="122">
        <v>0</v>
      </c>
      <c r="J47" s="123">
        <v>0</v>
      </c>
      <c r="K47" s="129">
        <v>0</v>
      </c>
      <c r="L47" s="124">
        <v>0</v>
      </c>
      <c r="M47" s="122">
        <v>0</v>
      </c>
      <c r="N47" s="125">
        <v>0</v>
      </c>
      <c r="O47" s="121">
        <v>0</v>
      </c>
      <c r="P47" s="126">
        <v>0</v>
      </c>
      <c r="Q47" s="124">
        <v>0</v>
      </c>
      <c r="R47" s="121">
        <v>0</v>
      </c>
      <c r="S47" s="124">
        <v>0</v>
      </c>
      <c r="T47" s="122">
        <v>0</v>
      </c>
      <c r="U47" s="131">
        <v>0</v>
      </c>
      <c r="V47" s="124">
        <v>0</v>
      </c>
      <c r="W47" s="124">
        <v>0</v>
      </c>
      <c r="X47" s="40">
        <f t="shared" si="5"/>
        <v>0</v>
      </c>
      <c r="Y47" s="127"/>
      <c r="Z47" s="127"/>
      <c r="AA47" s="127"/>
      <c r="AB47" s="127"/>
      <c r="AC47" s="127"/>
      <c r="AD47" s="127"/>
      <c r="AE47" s="148">
        <f t="shared" si="1"/>
        <v>0</v>
      </c>
      <c r="AF47" s="128"/>
      <c r="AG47" s="120"/>
      <c r="AH47" s="120"/>
    </row>
    <row r="48" spans="1:34" s="41" customFormat="1">
      <c r="A48" s="119"/>
      <c r="B48" s="42"/>
      <c r="C48" s="42"/>
      <c r="D48" s="120"/>
      <c r="E48" s="120"/>
      <c r="F48" s="42"/>
      <c r="G48" s="121"/>
      <c r="H48" s="125"/>
      <c r="I48" s="122">
        <v>0</v>
      </c>
      <c r="J48" s="123">
        <v>0</v>
      </c>
      <c r="K48" s="129">
        <v>0</v>
      </c>
      <c r="L48" s="124">
        <v>0</v>
      </c>
      <c r="M48" s="122">
        <v>0</v>
      </c>
      <c r="N48" s="125">
        <v>0</v>
      </c>
      <c r="O48" s="121">
        <v>0</v>
      </c>
      <c r="P48" s="126">
        <v>0</v>
      </c>
      <c r="Q48" s="124">
        <v>0</v>
      </c>
      <c r="R48" s="121">
        <v>0</v>
      </c>
      <c r="S48" s="124">
        <v>0</v>
      </c>
      <c r="T48" s="122">
        <v>0</v>
      </c>
      <c r="U48" s="131">
        <v>0</v>
      </c>
      <c r="V48" s="124">
        <v>0</v>
      </c>
      <c r="W48" s="124">
        <v>0</v>
      </c>
      <c r="X48" s="40">
        <f t="shared" si="5"/>
        <v>0</v>
      </c>
      <c r="Y48" s="127"/>
      <c r="Z48" s="127"/>
      <c r="AA48" s="127"/>
      <c r="AB48" s="127"/>
      <c r="AC48" s="127"/>
      <c r="AD48" s="127"/>
      <c r="AE48" s="148">
        <f t="shared" si="1"/>
        <v>0</v>
      </c>
      <c r="AF48" s="128"/>
      <c r="AG48" s="120"/>
      <c r="AH48" s="120"/>
    </row>
    <row r="49" spans="1:34" s="41" customFormat="1">
      <c r="A49" s="119"/>
      <c r="B49" s="42"/>
      <c r="C49" s="42"/>
      <c r="D49" s="120"/>
      <c r="E49" s="120"/>
      <c r="F49" s="42"/>
      <c r="G49" s="121"/>
      <c r="H49" s="125"/>
      <c r="I49" s="122">
        <v>0</v>
      </c>
      <c r="J49" s="123">
        <v>0</v>
      </c>
      <c r="K49" s="129">
        <v>0</v>
      </c>
      <c r="L49" s="124">
        <v>0</v>
      </c>
      <c r="M49" s="122">
        <v>0</v>
      </c>
      <c r="N49" s="125">
        <v>0</v>
      </c>
      <c r="O49" s="121">
        <v>0</v>
      </c>
      <c r="P49" s="126">
        <v>0</v>
      </c>
      <c r="Q49" s="124">
        <v>0</v>
      </c>
      <c r="R49" s="121">
        <v>0</v>
      </c>
      <c r="S49" s="124">
        <v>0</v>
      </c>
      <c r="T49" s="122">
        <v>0</v>
      </c>
      <c r="U49" s="131">
        <v>0</v>
      </c>
      <c r="V49" s="124">
        <v>0</v>
      </c>
      <c r="W49" s="124">
        <v>0</v>
      </c>
      <c r="X49" s="40">
        <f t="shared" si="5"/>
        <v>0</v>
      </c>
      <c r="Y49" s="127"/>
      <c r="Z49" s="127"/>
      <c r="AA49" s="127"/>
      <c r="AB49" s="127"/>
      <c r="AC49" s="127"/>
      <c r="AD49" s="127"/>
      <c r="AE49" s="148">
        <f t="shared" si="1"/>
        <v>0</v>
      </c>
      <c r="AF49" s="128"/>
      <c r="AG49" s="120"/>
      <c r="AH49" s="120"/>
    </row>
    <row r="50" spans="1:34" s="41" customFormat="1">
      <c r="A50" s="119"/>
      <c r="B50" s="42"/>
      <c r="C50" s="42"/>
      <c r="D50" s="120"/>
      <c r="E50" s="120"/>
      <c r="F50" s="42"/>
      <c r="G50" s="121"/>
      <c r="H50" s="125"/>
      <c r="I50" s="122">
        <v>0</v>
      </c>
      <c r="J50" s="123">
        <v>0</v>
      </c>
      <c r="K50" s="129">
        <v>0</v>
      </c>
      <c r="L50" s="124">
        <v>0</v>
      </c>
      <c r="M50" s="122">
        <v>0</v>
      </c>
      <c r="N50" s="125">
        <v>0</v>
      </c>
      <c r="O50" s="121">
        <v>0</v>
      </c>
      <c r="P50" s="126">
        <v>0</v>
      </c>
      <c r="Q50" s="124">
        <v>0</v>
      </c>
      <c r="R50" s="121">
        <v>0</v>
      </c>
      <c r="S50" s="124">
        <v>0</v>
      </c>
      <c r="T50" s="122">
        <v>0</v>
      </c>
      <c r="U50" s="131">
        <v>0</v>
      </c>
      <c r="V50" s="124">
        <v>0</v>
      </c>
      <c r="W50" s="124">
        <v>0</v>
      </c>
      <c r="X50" s="40">
        <f t="shared" si="5"/>
        <v>0</v>
      </c>
      <c r="Y50" s="127"/>
      <c r="Z50" s="127"/>
      <c r="AA50" s="127"/>
      <c r="AB50" s="127"/>
      <c r="AC50" s="127"/>
      <c r="AD50" s="127"/>
      <c r="AE50" s="148">
        <f t="shared" si="1"/>
        <v>0</v>
      </c>
      <c r="AF50" s="128"/>
      <c r="AG50" s="120"/>
      <c r="AH50" s="120"/>
    </row>
    <row r="51" spans="1:34" s="41" customFormat="1">
      <c r="A51" s="119"/>
      <c r="B51" s="42"/>
      <c r="C51" s="42"/>
      <c r="D51" s="120"/>
      <c r="E51" s="120"/>
      <c r="F51" s="42"/>
      <c r="G51" s="121"/>
      <c r="H51" s="125"/>
      <c r="I51" s="122">
        <v>0</v>
      </c>
      <c r="J51" s="123">
        <v>0</v>
      </c>
      <c r="K51" s="129">
        <v>0</v>
      </c>
      <c r="L51" s="124">
        <v>0</v>
      </c>
      <c r="M51" s="122">
        <v>0</v>
      </c>
      <c r="N51" s="125">
        <v>0</v>
      </c>
      <c r="O51" s="121">
        <v>0</v>
      </c>
      <c r="P51" s="126">
        <v>0</v>
      </c>
      <c r="Q51" s="124">
        <v>0</v>
      </c>
      <c r="R51" s="121">
        <v>0</v>
      </c>
      <c r="S51" s="124">
        <v>0</v>
      </c>
      <c r="T51" s="122">
        <v>0</v>
      </c>
      <c r="U51" s="131">
        <v>0</v>
      </c>
      <c r="V51" s="124">
        <v>0</v>
      </c>
      <c r="W51" s="124">
        <v>0</v>
      </c>
      <c r="X51" s="40">
        <f t="shared" si="5"/>
        <v>0</v>
      </c>
      <c r="Y51" s="127"/>
      <c r="Z51" s="127"/>
      <c r="AA51" s="127"/>
      <c r="AB51" s="127"/>
      <c r="AC51" s="127"/>
      <c r="AD51" s="127"/>
      <c r="AE51" s="148">
        <f t="shared" si="1"/>
        <v>0</v>
      </c>
      <c r="AF51" s="128"/>
      <c r="AG51" s="120"/>
      <c r="AH51" s="120"/>
    </row>
    <row r="52" spans="1:34" s="41" customFormat="1">
      <c r="A52" s="119"/>
      <c r="B52" s="42"/>
      <c r="C52" s="42"/>
      <c r="D52" s="120"/>
      <c r="E52" s="120"/>
      <c r="F52" s="42"/>
      <c r="G52" s="121"/>
      <c r="H52" s="125"/>
      <c r="I52" s="122">
        <v>0</v>
      </c>
      <c r="J52" s="123">
        <v>0</v>
      </c>
      <c r="K52" s="129">
        <v>0</v>
      </c>
      <c r="L52" s="124">
        <v>0</v>
      </c>
      <c r="M52" s="122">
        <v>0</v>
      </c>
      <c r="N52" s="125">
        <v>0</v>
      </c>
      <c r="O52" s="121">
        <v>0</v>
      </c>
      <c r="P52" s="126">
        <v>0</v>
      </c>
      <c r="Q52" s="124">
        <v>0</v>
      </c>
      <c r="R52" s="121">
        <v>0</v>
      </c>
      <c r="S52" s="124">
        <v>0</v>
      </c>
      <c r="T52" s="122">
        <v>0</v>
      </c>
      <c r="U52" s="131">
        <v>0</v>
      </c>
      <c r="V52" s="124">
        <v>0</v>
      </c>
      <c r="W52" s="124">
        <v>0</v>
      </c>
      <c r="X52" s="40">
        <f t="shared" si="5"/>
        <v>0</v>
      </c>
      <c r="Y52" s="127"/>
      <c r="Z52" s="127"/>
      <c r="AA52" s="127"/>
      <c r="AB52" s="127"/>
      <c r="AC52" s="127"/>
      <c r="AD52" s="127"/>
      <c r="AE52" s="148">
        <f t="shared" si="1"/>
        <v>0</v>
      </c>
      <c r="AF52" s="128"/>
      <c r="AG52" s="120"/>
      <c r="AH52" s="120"/>
    </row>
    <row r="53" spans="1:34" s="41" customFormat="1">
      <c r="A53" s="119"/>
      <c r="B53" s="42"/>
      <c r="C53" s="42"/>
      <c r="D53" s="120"/>
      <c r="E53" s="120"/>
      <c r="F53" s="42"/>
      <c r="G53" s="121"/>
      <c r="H53" s="125"/>
      <c r="I53" s="122">
        <v>0</v>
      </c>
      <c r="J53" s="123">
        <v>0</v>
      </c>
      <c r="K53" s="129">
        <v>0</v>
      </c>
      <c r="L53" s="124">
        <v>0</v>
      </c>
      <c r="M53" s="122">
        <v>0</v>
      </c>
      <c r="N53" s="125">
        <v>0</v>
      </c>
      <c r="O53" s="121">
        <v>0</v>
      </c>
      <c r="P53" s="126">
        <v>0</v>
      </c>
      <c r="Q53" s="124">
        <v>0</v>
      </c>
      <c r="R53" s="121">
        <v>0</v>
      </c>
      <c r="S53" s="124">
        <v>0</v>
      </c>
      <c r="T53" s="122">
        <v>0</v>
      </c>
      <c r="U53" s="131">
        <v>0</v>
      </c>
      <c r="V53" s="124">
        <v>0</v>
      </c>
      <c r="W53" s="124">
        <v>0</v>
      </c>
      <c r="X53" s="40">
        <f t="shared" si="5"/>
        <v>0</v>
      </c>
      <c r="Y53" s="127"/>
      <c r="Z53" s="127"/>
      <c r="AA53" s="127"/>
      <c r="AB53" s="127"/>
      <c r="AC53" s="127"/>
      <c r="AD53" s="127"/>
      <c r="AE53" s="148">
        <f t="shared" si="1"/>
        <v>0</v>
      </c>
      <c r="AF53" s="128"/>
      <c r="AG53" s="120"/>
      <c r="AH53" s="120"/>
    </row>
    <row r="54" spans="1:34" s="41" customFormat="1">
      <c r="A54" s="119"/>
      <c r="B54" s="42"/>
      <c r="C54" s="42"/>
      <c r="D54" s="120"/>
      <c r="E54" s="120"/>
      <c r="F54" s="42"/>
      <c r="G54" s="121"/>
      <c r="H54" s="125"/>
      <c r="I54" s="122">
        <v>0</v>
      </c>
      <c r="J54" s="123">
        <v>0</v>
      </c>
      <c r="K54" s="129">
        <v>0</v>
      </c>
      <c r="L54" s="124">
        <v>0</v>
      </c>
      <c r="M54" s="122">
        <v>0</v>
      </c>
      <c r="N54" s="125">
        <v>0</v>
      </c>
      <c r="O54" s="121">
        <v>0</v>
      </c>
      <c r="P54" s="126">
        <v>0</v>
      </c>
      <c r="Q54" s="124">
        <v>0</v>
      </c>
      <c r="R54" s="121">
        <v>0</v>
      </c>
      <c r="S54" s="124">
        <v>0</v>
      </c>
      <c r="T54" s="122">
        <v>0</v>
      </c>
      <c r="U54" s="131">
        <v>0</v>
      </c>
      <c r="V54" s="124">
        <v>0</v>
      </c>
      <c r="W54" s="124">
        <v>0</v>
      </c>
      <c r="X54" s="40">
        <f t="shared" si="5"/>
        <v>0</v>
      </c>
      <c r="Y54" s="127"/>
      <c r="Z54" s="127"/>
      <c r="AA54" s="127"/>
      <c r="AB54" s="127"/>
      <c r="AC54" s="127"/>
      <c r="AD54" s="127"/>
      <c r="AE54" s="148">
        <f t="shared" si="1"/>
        <v>0</v>
      </c>
      <c r="AF54" s="128"/>
      <c r="AG54" s="120"/>
      <c r="AH54" s="120"/>
    </row>
    <row r="55" spans="1:34" s="41" customFormat="1">
      <c r="A55" s="119"/>
      <c r="B55" s="42"/>
      <c r="C55" s="42"/>
      <c r="D55" s="120"/>
      <c r="E55" s="120"/>
      <c r="F55" s="42"/>
      <c r="G55" s="121"/>
      <c r="H55" s="125"/>
      <c r="I55" s="122">
        <v>0</v>
      </c>
      <c r="J55" s="123">
        <v>0</v>
      </c>
      <c r="K55" s="129">
        <v>0</v>
      </c>
      <c r="L55" s="124">
        <v>0</v>
      </c>
      <c r="M55" s="122">
        <v>0</v>
      </c>
      <c r="N55" s="125">
        <v>0</v>
      </c>
      <c r="O55" s="121">
        <v>0</v>
      </c>
      <c r="P55" s="126">
        <v>0</v>
      </c>
      <c r="Q55" s="124">
        <v>0</v>
      </c>
      <c r="R55" s="121">
        <v>0</v>
      </c>
      <c r="S55" s="124">
        <v>0</v>
      </c>
      <c r="T55" s="122">
        <v>0</v>
      </c>
      <c r="U55" s="131">
        <v>0</v>
      </c>
      <c r="V55" s="124">
        <v>0</v>
      </c>
      <c r="W55" s="124">
        <v>0</v>
      </c>
      <c r="X55" s="40">
        <f t="shared" si="5"/>
        <v>0</v>
      </c>
      <c r="Y55" s="127"/>
      <c r="Z55" s="127"/>
      <c r="AA55" s="127"/>
      <c r="AB55" s="127"/>
      <c r="AC55" s="127"/>
      <c r="AD55" s="127"/>
      <c r="AE55" s="148">
        <f t="shared" si="1"/>
        <v>0</v>
      </c>
      <c r="AF55" s="128"/>
      <c r="AG55" s="120"/>
      <c r="AH55" s="120"/>
    </row>
    <row r="56" spans="1:34" s="41" customFormat="1">
      <c r="A56" s="119"/>
      <c r="B56" s="42"/>
      <c r="C56" s="42"/>
      <c r="D56" s="120"/>
      <c r="E56" s="120"/>
      <c r="F56" s="42"/>
      <c r="G56" s="121"/>
      <c r="H56" s="125"/>
      <c r="I56" s="122">
        <v>0</v>
      </c>
      <c r="J56" s="123">
        <v>0</v>
      </c>
      <c r="K56" s="129">
        <v>0</v>
      </c>
      <c r="L56" s="124">
        <v>0</v>
      </c>
      <c r="M56" s="122">
        <v>0</v>
      </c>
      <c r="N56" s="125">
        <v>0</v>
      </c>
      <c r="O56" s="121">
        <v>0</v>
      </c>
      <c r="P56" s="126">
        <v>0</v>
      </c>
      <c r="Q56" s="124">
        <v>0</v>
      </c>
      <c r="R56" s="121">
        <v>0</v>
      </c>
      <c r="S56" s="124">
        <v>0</v>
      </c>
      <c r="T56" s="122">
        <v>0</v>
      </c>
      <c r="U56" s="131">
        <v>0</v>
      </c>
      <c r="V56" s="124">
        <v>0</v>
      </c>
      <c r="W56" s="124">
        <v>0</v>
      </c>
      <c r="X56" s="40">
        <f t="shared" si="5"/>
        <v>0</v>
      </c>
      <c r="Y56" s="127"/>
      <c r="Z56" s="127"/>
      <c r="AA56" s="127"/>
      <c r="AB56" s="127"/>
      <c r="AC56" s="127"/>
      <c r="AD56" s="127"/>
      <c r="AE56" s="148">
        <f t="shared" si="1"/>
        <v>0</v>
      </c>
      <c r="AF56" s="128"/>
      <c r="AG56" s="120"/>
      <c r="AH56" s="120"/>
    </row>
    <row r="57" spans="1:34" s="41" customFormat="1">
      <c r="A57" s="119"/>
      <c r="B57" s="42"/>
      <c r="C57" s="42"/>
      <c r="D57" s="120"/>
      <c r="E57" s="120"/>
      <c r="F57" s="42"/>
      <c r="G57" s="121"/>
      <c r="H57" s="125"/>
      <c r="I57" s="122">
        <v>0</v>
      </c>
      <c r="J57" s="123">
        <v>0</v>
      </c>
      <c r="K57" s="129">
        <v>0</v>
      </c>
      <c r="L57" s="124">
        <v>0</v>
      </c>
      <c r="M57" s="122">
        <v>0</v>
      </c>
      <c r="N57" s="125">
        <v>0</v>
      </c>
      <c r="O57" s="121">
        <v>0</v>
      </c>
      <c r="P57" s="126">
        <v>0</v>
      </c>
      <c r="Q57" s="124">
        <v>0</v>
      </c>
      <c r="R57" s="121">
        <v>0</v>
      </c>
      <c r="S57" s="124">
        <v>0</v>
      </c>
      <c r="T57" s="122">
        <v>0</v>
      </c>
      <c r="U57" s="131">
        <v>0</v>
      </c>
      <c r="V57" s="124">
        <v>0</v>
      </c>
      <c r="W57" s="124">
        <v>0</v>
      </c>
      <c r="X57" s="40">
        <f t="shared" si="5"/>
        <v>0</v>
      </c>
      <c r="Y57" s="127"/>
      <c r="Z57" s="127"/>
      <c r="AA57" s="127"/>
      <c r="AB57" s="127"/>
      <c r="AC57" s="127"/>
      <c r="AD57" s="127"/>
      <c r="AE57" s="148">
        <f t="shared" si="1"/>
        <v>0</v>
      </c>
      <c r="AF57" s="128"/>
      <c r="AG57" s="120"/>
      <c r="AH57" s="120"/>
    </row>
    <row r="58" spans="1:34" s="41" customFormat="1">
      <c r="A58" s="119"/>
      <c r="B58" s="42"/>
      <c r="C58" s="42"/>
      <c r="D58" s="120"/>
      <c r="E58" s="120"/>
      <c r="F58" s="42"/>
      <c r="G58" s="121"/>
      <c r="H58" s="125"/>
      <c r="I58" s="122">
        <v>0</v>
      </c>
      <c r="J58" s="123">
        <v>0</v>
      </c>
      <c r="K58" s="129">
        <v>0</v>
      </c>
      <c r="L58" s="124">
        <v>0</v>
      </c>
      <c r="M58" s="122">
        <v>0</v>
      </c>
      <c r="N58" s="125">
        <v>0</v>
      </c>
      <c r="O58" s="121">
        <v>0</v>
      </c>
      <c r="P58" s="126">
        <v>0</v>
      </c>
      <c r="Q58" s="124">
        <v>0</v>
      </c>
      <c r="R58" s="121">
        <v>0</v>
      </c>
      <c r="S58" s="124">
        <v>0</v>
      </c>
      <c r="T58" s="122">
        <v>0</v>
      </c>
      <c r="U58" s="131">
        <v>0</v>
      </c>
      <c r="V58" s="124">
        <v>0</v>
      </c>
      <c r="W58" s="124">
        <v>0</v>
      </c>
      <c r="X58" s="40">
        <f t="shared" si="5"/>
        <v>0</v>
      </c>
      <c r="Y58" s="127"/>
      <c r="Z58" s="127"/>
      <c r="AA58" s="127"/>
      <c r="AB58" s="127"/>
      <c r="AC58" s="127"/>
      <c r="AD58" s="127"/>
      <c r="AE58" s="148">
        <f t="shared" si="1"/>
        <v>0</v>
      </c>
      <c r="AF58" s="128"/>
      <c r="AG58" s="120"/>
      <c r="AH58" s="120"/>
    </row>
    <row r="59" spans="1:34" s="41" customFormat="1">
      <c r="A59" s="119"/>
      <c r="B59" s="42"/>
      <c r="C59" s="42"/>
      <c r="D59" s="120"/>
      <c r="E59" s="120"/>
      <c r="F59" s="42"/>
      <c r="G59" s="121"/>
      <c r="H59" s="125"/>
      <c r="I59" s="122">
        <v>0</v>
      </c>
      <c r="J59" s="123">
        <v>0</v>
      </c>
      <c r="K59" s="129">
        <v>0</v>
      </c>
      <c r="L59" s="124">
        <v>0</v>
      </c>
      <c r="M59" s="122">
        <v>0</v>
      </c>
      <c r="N59" s="125">
        <v>0</v>
      </c>
      <c r="O59" s="121">
        <v>0</v>
      </c>
      <c r="P59" s="126">
        <v>0</v>
      </c>
      <c r="Q59" s="124">
        <v>0</v>
      </c>
      <c r="R59" s="121">
        <v>0</v>
      </c>
      <c r="S59" s="124">
        <v>0</v>
      </c>
      <c r="T59" s="122">
        <v>0</v>
      </c>
      <c r="U59" s="131">
        <v>0</v>
      </c>
      <c r="V59" s="124">
        <v>0</v>
      </c>
      <c r="W59" s="124">
        <v>0</v>
      </c>
      <c r="X59" s="40">
        <f t="shared" si="5"/>
        <v>0</v>
      </c>
      <c r="Y59" s="127"/>
      <c r="Z59" s="127"/>
      <c r="AA59" s="127"/>
      <c r="AB59" s="127"/>
      <c r="AC59" s="127"/>
      <c r="AD59" s="127"/>
      <c r="AE59" s="148">
        <f t="shared" si="1"/>
        <v>0</v>
      </c>
      <c r="AF59" s="128"/>
      <c r="AG59" s="120"/>
      <c r="AH59" s="120"/>
    </row>
    <row r="60" spans="1:34" s="41" customFormat="1">
      <c r="A60" s="119"/>
      <c r="B60" s="42"/>
      <c r="C60" s="42"/>
      <c r="D60" s="120"/>
      <c r="E60" s="120"/>
      <c r="F60" s="42"/>
      <c r="G60" s="121"/>
      <c r="H60" s="125"/>
      <c r="I60" s="122">
        <v>0</v>
      </c>
      <c r="J60" s="123">
        <v>0</v>
      </c>
      <c r="K60" s="129">
        <v>0</v>
      </c>
      <c r="L60" s="124">
        <v>0</v>
      </c>
      <c r="M60" s="122">
        <v>0</v>
      </c>
      <c r="N60" s="125">
        <v>0</v>
      </c>
      <c r="O60" s="121">
        <v>0</v>
      </c>
      <c r="P60" s="126">
        <v>0</v>
      </c>
      <c r="Q60" s="124">
        <v>0</v>
      </c>
      <c r="R60" s="121">
        <v>0</v>
      </c>
      <c r="S60" s="124">
        <v>0</v>
      </c>
      <c r="T60" s="122">
        <v>0</v>
      </c>
      <c r="U60" s="131">
        <v>0</v>
      </c>
      <c r="V60" s="124">
        <v>0</v>
      </c>
      <c r="W60" s="124">
        <v>0</v>
      </c>
      <c r="X60" s="40">
        <f t="shared" si="5"/>
        <v>0</v>
      </c>
      <c r="Y60" s="127"/>
      <c r="Z60" s="127"/>
      <c r="AA60" s="127"/>
      <c r="AB60" s="127"/>
      <c r="AC60" s="127"/>
      <c r="AD60" s="127"/>
      <c r="AE60" s="148">
        <f t="shared" si="1"/>
        <v>0</v>
      </c>
      <c r="AF60" s="128"/>
      <c r="AG60" s="120"/>
      <c r="AH60" s="120"/>
    </row>
    <row r="61" spans="1:34" s="41" customFormat="1">
      <c r="A61" s="119"/>
      <c r="B61" s="42"/>
      <c r="C61" s="42"/>
      <c r="D61" s="120"/>
      <c r="E61" s="120"/>
      <c r="F61" s="42"/>
      <c r="G61" s="121"/>
      <c r="H61" s="125"/>
      <c r="I61" s="122">
        <v>0</v>
      </c>
      <c r="J61" s="123">
        <v>0</v>
      </c>
      <c r="K61" s="129">
        <v>0</v>
      </c>
      <c r="L61" s="124">
        <v>0</v>
      </c>
      <c r="M61" s="122">
        <v>0</v>
      </c>
      <c r="N61" s="125">
        <v>0</v>
      </c>
      <c r="O61" s="121">
        <v>0</v>
      </c>
      <c r="P61" s="126">
        <v>0</v>
      </c>
      <c r="Q61" s="124">
        <v>0</v>
      </c>
      <c r="R61" s="121">
        <v>0</v>
      </c>
      <c r="S61" s="124">
        <v>0</v>
      </c>
      <c r="T61" s="122">
        <v>0</v>
      </c>
      <c r="U61" s="131">
        <v>0</v>
      </c>
      <c r="V61" s="124">
        <v>0</v>
      </c>
      <c r="W61" s="124">
        <v>0</v>
      </c>
      <c r="X61" s="40">
        <f t="shared" si="5"/>
        <v>0</v>
      </c>
      <c r="Y61" s="127"/>
      <c r="Z61" s="127"/>
      <c r="AA61" s="127"/>
      <c r="AB61" s="127"/>
      <c r="AC61" s="127"/>
      <c r="AD61" s="127"/>
      <c r="AE61" s="148">
        <f t="shared" si="1"/>
        <v>0</v>
      </c>
      <c r="AF61" s="128"/>
      <c r="AG61" s="120"/>
      <c r="AH61" s="120"/>
    </row>
    <row r="62" spans="1:34" s="41" customFormat="1">
      <c r="A62" s="119"/>
      <c r="B62" s="42"/>
      <c r="C62" s="42"/>
      <c r="D62" s="120"/>
      <c r="E62" s="120"/>
      <c r="F62" s="42"/>
      <c r="G62" s="121"/>
      <c r="H62" s="125"/>
      <c r="I62" s="122">
        <v>0</v>
      </c>
      <c r="J62" s="123">
        <v>0</v>
      </c>
      <c r="K62" s="129">
        <v>0</v>
      </c>
      <c r="L62" s="124">
        <v>0</v>
      </c>
      <c r="M62" s="122">
        <v>0</v>
      </c>
      <c r="N62" s="125">
        <v>0</v>
      </c>
      <c r="O62" s="121">
        <v>0</v>
      </c>
      <c r="P62" s="126">
        <v>0</v>
      </c>
      <c r="Q62" s="124">
        <v>0</v>
      </c>
      <c r="R62" s="121">
        <v>0</v>
      </c>
      <c r="S62" s="124">
        <v>0</v>
      </c>
      <c r="T62" s="122">
        <v>0</v>
      </c>
      <c r="U62" s="131">
        <v>0</v>
      </c>
      <c r="V62" s="124">
        <v>0</v>
      </c>
      <c r="W62" s="124">
        <v>0</v>
      </c>
      <c r="X62" s="40">
        <f t="shared" si="5"/>
        <v>0</v>
      </c>
      <c r="Y62" s="127"/>
      <c r="Z62" s="127"/>
      <c r="AA62" s="127"/>
      <c r="AB62" s="127"/>
      <c r="AC62" s="127"/>
      <c r="AD62" s="127"/>
      <c r="AE62" s="148">
        <f t="shared" si="1"/>
        <v>0</v>
      </c>
      <c r="AF62" s="128"/>
      <c r="AG62" s="120"/>
      <c r="AH62" s="120"/>
    </row>
    <row r="63" spans="1:34" s="41" customFormat="1">
      <c r="A63" s="119"/>
      <c r="B63" s="42"/>
      <c r="C63" s="42"/>
      <c r="D63" s="120"/>
      <c r="E63" s="120"/>
      <c r="F63" s="42"/>
      <c r="G63" s="121"/>
      <c r="H63" s="125"/>
      <c r="I63" s="122">
        <v>0</v>
      </c>
      <c r="J63" s="123">
        <v>0</v>
      </c>
      <c r="K63" s="129">
        <v>0</v>
      </c>
      <c r="L63" s="124">
        <v>0</v>
      </c>
      <c r="M63" s="122">
        <v>0</v>
      </c>
      <c r="N63" s="125">
        <v>0</v>
      </c>
      <c r="O63" s="121">
        <v>0</v>
      </c>
      <c r="P63" s="126">
        <v>0</v>
      </c>
      <c r="Q63" s="124">
        <v>0</v>
      </c>
      <c r="R63" s="121">
        <v>0</v>
      </c>
      <c r="S63" s="124">
        <v>0</v>
      </c>
      <c r="T63" s="122">
        <v>0</v>
      </c>
      <c r="U63" s="131">
        <v>0</v>
      </c>
      <c r="V63" s="124">
        <v>0</v>
      </c>
      <c r="W63" s="124">
        <v>0</v>
      </c>
      <c r="X63" s="40">
        <f t="shared" si="5"/>
        <v>0</v>
      </c>
      <c r="Y63" s="127"/>
      <c r="Z63" s="127"/>
      <c r="AA63" s="127"/>
      <c r="AB63" s="127"/>
      <c r="AC63" s="127"/>
      <c r="AD63" s="127"/>
      <c r="AE63" s="148">
        <f t="shared" si="1"/>
        <v>0</v>
      </c>
      <c r="AF63" s="128"/>
      <c r="AG63" s="120"/>
      <c r="AH63" s="120"/>
    </row>
    <row r="64" spans="1:34" s="41" customFormat="1">
      <c r="A64" s="119"/>
      <c r="B64" s="42"/>
      <c r="C64" s="42"/>
      <c r="D64" s="120"/>
      <c r="E64" s="120"/>
      <c r="F64" s="42"/>
      <c r="G64" s="121"/>
      <c r="H64" s="125"/>
      <c r="I64" s="122">
        <v>0</v>
      </c>
      <c r="J64" s="123">
        <v>0</v>
      </c>
      <c r="K64" s="129">
        <v>0</v>
      </c>
      <c r="L64" s="124">
        <v>0</v>
      </c>
      <c r="M64" s="122">
        <v>0</v>
      </c>
      <c r="N64" s="125">
        <v>0</v>
      </c>
      <c r="O64" s="121">
        <v>0</v>
      </c>
      <c r="P64" s="126">
        <v>0</v>
      </c>
      <c r="Q64" s="124">
        <v>0</v>
      </c>
      <c r="R64" s="121">
        <v>0</v>
      </c>
      <c r="S64" s="124">
        <v>0</v>
      </c>
      <c r="T64" s="122">
        <v>0</v>
      </c>
      <c r="U64" s="131">
        <v>0</v>
      </c>
      <c r="V64" s="124">
        <v>0</v>
      </c>
      <c r="W64" s="124">
        <v>0</v>
      </c>
      <c r="X64" s="40">
        <f t="shared" si="5"/>
        <v>0</v>
      </c>
      <c r="Y64" s="127"/>
      <c r="Z64" s="127"/>
      <c r="AA64" s="127"/>
      <c r="AB64" s="127"/>
      <c r="AC64" s="127"/>
      <c r="AD64" s="127"/>
      <c r="AE64" s="148">
        <f t="shared" si="1"/>
        <v>0</v>
      </c>
      <c r="AF64" s="128"/>
      <c r="AG64" s="120"/>
      <c r="AH64" s="120"/>
    </row>
    <row r="65" spans="1:34" s="41" customFormat="1">
      <c r="A65" s="119"/>
      <c r="B65" s="42"/>
      <c r="C65" s="42"/>
      <c r="D65" s="120"/>
      <c r="E65" s="120"/>
      <c r="F65" s="42"/>
      <c r="G65" s="121"/>
      <c r="H65" s="125"/>
      <c r="I65" s="122">
        <v>0</v>
      </c>
      <c r="J65" s="123">
        <v>0</v>
      </c>
      <c r="K65" s="129">
        <v>0</v>
      </c>
      <c r="L65" s="124">
        <v>0</v>
      </c>
      <c r="M65" s="122">
        <v>0</v>
      </c>
      <c r="N65" s="125">
        <v>0</v>
      </c>
      <c r="O65" s="121">
        <v>0</v>
      </c>
      <c r="P65" s="126">
        <v>0</v>
      </c>
      <c r="Q65" s="124">
        <v>0</v>
      </c>
      <c r="R65" s="121">
        <v>0</v>
      </c>
      <c r="S65" s="124">
        <v>0</v>
      </c>
      <c r="T65" s="122">
        <v>0</v>
      </c>
      <c r="U65" s="131">
        <v>0</v>
      </c>
      <c r="V65" s="124">
        <v>0</v>
      </c>
      <c r="W65" s="124">
        <v>0</v>
      </c>
      <c r="X65" s="40">
        <f t="shared" si="5"/>
        <v>0</v>
      </c>
      <c r="Y65" s="127"/>
      <c r="Z65" s="127"/>
      <c r="AA65" s="127"/>
      <c r="AB65" s="127"/>
      <c r="AC65" s="127"/>
      <c r="AD65" s="127"/>
      <c r="AE65" s="148">
        <f t="shared" si="1"/>
        <v>0</v>
      </c>
      <c r="AF65" s="128"/>
      <c r="AG65" s="120"/>
      <c r="AH65" s="120"/>
    </row>
    <row r="66" spans="1:34" s="41" customFormat="1">
      <c r="A66" s="119"/>
      <c r="B66" s="42"/>
      <c r="C66" s="42"/>
      <c r="D66" s="120"/>
      <c r="E66" s="120"/>
      <c r="F66" s="42"/>
      <c r="G66" s="121"/>
      <c r="H66" s="125"/>
      <c r="I66" s="122">
        <v>0</v>
      </c>
      <c r="J66" s="123">
        <v>0</v>
      </c>
      <c r="K66" s="129">
        <v>0</v>
      </c>
      <c r="L66" s="124">
        <v>0</v>
      </c>
      <c r="M66" s="122">
        <v>0</v>
      </c>
      <c r="N66" s="125">
        <v>0</v>
      </c>
      <c r="O66" s="121">
        <v>0</v>
      </c>
      <c r="P66" s="126">
        <v>0</v>
      </c>
      <c r="Q66" s="124">
        <v>0</v>
      </c>
      <c r="R66" s="121">
        <v>0</v>
      </c>
      <c r="S66" s="124">
        <v>0</v>
      </c>
      <c r="T66" s="122">
        <v>0</v>
      </c>
      <c r="U66" s="131">
        <v>0</v>
      </c>
      <c r="V66" s="124">
        <v>0</v>
      </c>
      <c r="W66" s="124">
        <v>0</v>
      </c>
      <c r="X66" s="40">
        <f t="shared" si="5"/>
        <v>0</v>
      </c>
      <c r="Y66" s="127"/>
      <c r="Z66" s="127"/>
      <c r="AA66" s="127"/>
      <c r="AB66" s="127"/>
      <c r="AC66" s="127"/>
      <c r="AD66" s="127"/>
      <c r="AE66" s="148">
        <f t="shared" si="1"/>
        <v>0</v>
      </c>
      <c r="AF66" s="128"/>
      <c r="AG66" s="120"/>
      <c r="AH66" s="120"/>
    </row>
    <row r="67" spans="1:34" s="41" customFormat="1">
      <c r="A67" s="119"/>
      <c r="B67" s="42"/>
      <c r="C67" s="42"/>
      <c r="D67" s="120"/>
      <c r="E67" s="120"/>
      <c r="F67" s="42"/>
      <c r="G67" s="121"/>
      <c r="H67" s="125"/>
      <c r="I67" s="122">
        <v>0</v>
      </c>
      <c r="J67" s="123">
        <v>0</v>
      </c>
      <c r="K67" s="129">
        <v>0</v>
      </c>
      <c r="L67" s="124">
        <v>0</v>
      </c>
      <c r="M67" s="122">
        <v>0</v>
      </c>
      <c r="N67" s="125">
        <v>0</v>
      </c>
      <c r="O67" s="121">
        <v>0</v>
      </c>
      <c r="P67" s="126">
        <v>0</v>
      </c>
      <c r="Q67" s="124">
        <v>0</v>
      </c>
      <c r="R67" s="121">
        <v>0</v>
      </c>
      <c r="S67" s="124">
        <v>0</v>
      </c>
      <c r="T67" s="122">
        <v>0</v>
      </c>
      <c r="U67" s="131">
        <v>0</v>
      </c>
      <c r="V67" s="124">
        <v>0</v>
      </c>
      <c r="W67" s="124">
        <v>0</v>
      </c>
      <c r="X67" s="40">
        <f t="shared" si="5"/>
        <v>0</v>
      </c>
      <c r="Y67" s="127"/>
      <c r="Z67" s="127"/>
      <c r="AA67" s="127"/>
      <c r="AB67" s="127"/>
      <c r="AC67" s="127"/>
      <c r="AD67" s="127"/>
      <c r="AE67" s="148">
        <f t="shared" ref="AE67:AE68" si="6">X67</f>
        <v>0</v>
      </c>
      <c r="AF67" s="128"/>
      <c r="AG67" s="120"/>
      <c r="AH67" s="120"/>
    </row>
    <row r="68" spans="1:34" s="41" customFormat="1">
      <c r="A68" s="119"/>
      <c r="B68" s="42"/>
      <c r="C68" s="42"/>
      <c r="D68" s="120"/>
      <c r="E68" s="120"/>
      <c r="F68" s="42"/>
      <c r="G68" s="121"/>
      <c r="H68" s="125"/>
      <c r="I68" s="122">
        <v>0</v>
      </c>
      <c r="J68" s="123">
        <v>0</v>
      </c>
      <c r="K68" s="129">
        <v>0</v>
      </c>
      <c r="L68" s="124">
        <v>0</v>
      </c>
      <c r="M68" s="122">
        <v>0</v>
      </c>
      <c r="N68" s="125">
        <v>0</v>
      </c>
      <c r="O68" s="121">
        <v>0</v>
      </c>
      <c r="P68" s="126">
        <v>0</v>
      </c>
      <c r="Q68" s="124">
        <v>0</v>
      </c>
      <c r="R68" s="121">
        <v>0</v>
      </c>
      <c r="S68" s="124">
        <v>0</v>
      </c>
      <c r="T68" s="122">
        <v>0</v>
      </c>
      <c r="U68" s="131">
        <v>0</v>
      </c>
      <c r="V68" s="124">
        <v>0</v>
      </c>
      <c r="W68" s="124">
        <v>0</v>
      </c>
      <c r="X68" s="40">
        <f t="shared" si="5"/>
        <v>0</v>
      </c>
      <c r="Y68" s="127"/>
      <c r="Z68" s="127"/>
      <c r="AA68" s="127"/>
      <c r="AB68" s="127"/>
      <c r="AC68" s="127"/>
      <c r="AD68" s="127"/>
      <c r="AE68" s="148">
        <f t="shared" si="6"/>
        <v>0</v>
      </c>
      <c r="AF68" s="128"/>
      <c r="AG68" s="120"/>
      <c r="AH68" s="120"/>
    </row>
  </sheetData>
  <sheetProtection selectLockedCells="1"/>
  <protectedRanges>
    <protectedRange sqref="B6:E6 B17:E68 G17:W68 G6:W14 AG6:AH68 B7:B12 B13:C15 B16 I15:W16" name="Rango1"/>
    <protectedRange sqref="AE6:AF68" name="Rango1_2"/>
    <protectedRange sqref="A6 F6 A17:A68 F17:F68 A13:A15 F11:F15" name="Rango1_1"/>
    <protectedRange sqref="D16:F16 C7:D12 D13:D15" name="Rango1_1_1"/>
  </protectedRanges>
  <autoFilter ref="A5:AH68" xr:uid="{00000000-0009-0000-0000-000005000000}"/>
  <mergeCells count="8">
    <mergeCell ref="F2:G2"/>
    <mergeCell ref="B3:E4"/>
    <mergeCell ref="S4:V4"/>
    <mergeCell ref="Q3:V3"/>
    <mergeCell ref="I3:O3"/>
    <mergeCell ref="K4:O4"/>
    <mergeCell ref="Q4:R4"/>
    <mergeCell ref="I4:J4"/>
  </mergeCells>
  <phoneticPr fontId="0" type="noConversion"/>
  <conditionalFormatting sqref="F6:I6 A6:C6 A17:C68 I15:I16 G7:I10 Y6:AD68 B7:B12 F11:I14 A13:C15 F15 B16 L6:W68 F17:I68">
    <cfRule type="expression" dxfId="16" priority="527" stopIfTrue="1">
      <formula>"SEVERSTAL"</formula>
    </cfRule>
  </conditionalFormatting>
  <conditionalFormatting sqref="D6:E6 D17:E68 AE6:AH68">
    <cfRule type="cellIs" dxfId="15" priority="528" stopIfTrue="1" operator="equal">
      <formula>"APROBADO"</formula>
    </cfRule>
    <cfRule type="cellIs" dxfId="14" priority="529" stopIfTrue="1" operator="equal">
      <formula>"ESPERA"</formula>
    </cfRule>
    <cfRule type="cellIs" dxfId="13" priority="530" stopIfTrue="1" operator="equal">
      <formula>"RECHAZADO"</formula>
    </cfRule>
  </conditionalFormatting>
  <conditionalFormatting sqref="A16">
    <cfRule type="expression" dxfId="12" priority="14" stopIfTrue="1">
      <formula>"SEVERSTAL"</formula>
    </cfRule>
  </conditionalFormatting>
  <conditionalFormatting sqref="D16:F16">
    <cfRule type="cellIs" dxfId="11" priority="15" stopIfTrue="1" operator="equal">
      <formula>"APROBADO"</formula>
    </cfRule>
    <cfRule type="cellIs" dxfId="10" priority="16" stopIfTrue="1" operator="equal">
      <formula>"ESPERA"</formula>
    </cfRule>
    <cfRule type="cellIs" dxfId="9" priority="17" stopIfTrue="1" operator="equal">
      <formula>"RECHAZADO"</formula>
    </cfRule>
  </conditionalFormatting>
  <conditionalFormatting sqref="A7:A10">
    <cfRule type="expression" dxfId="8" priority="13" stopIfTrue="1">
      <formula>"SEVERSTAL"</formula>
    </cfRule>
  </conditionalFormatting>
  <conditionalFormatting sqref="E7:E15">
    <cfRule type="expression" dxfId="7" priority="12" stopIfTrue="1">
      <formula>"SEVERSTAL"</formula>
    </cfRule>
  </conditionalFormatting>
  <conditionalFormatting sqref="D7:D15">
    <cfRule type="cellIs" dxfId="6" priority="9" stopIfTrue="1" operator="equal">
      <formula>"APROBADO"</formula>
    </cfRule>
    <cfRule type="cellIs" dxfId="5" priority="10" stopIfTrue="1" operator="equal">
      <formula>"ESPERA"</formula>
    </cfRule>
    <cfRule type="cellIs" dxfId="4" priority="11" stopIfTrue="1" operator="equal">
      <formula>"RECHAZADO"</formula>
    </cfRule>
  </conditionalFormatting>
  <conditionalFormatting sqref="C7:C12">
    <cfRule type="cellIs" dxfId="3" priority="6" stopIfTrue="1" operator="equal">
      <formula>"APROBADO"</formula>
    </cfRule>
    <cfRule type="cellIs" dxfId="2" priority="7" stopIfTrue="1" operator="equal">
      <formula>"ESPERA"</formula>
    </cfRule>
    <cfRule type="cellIs" dxfId="1" priority="8" stopIfTrue="1" operator="equal">
      <formula>"RECHAZADO"</formula>
    </cfRule>
  </conditionalFormatting>
  <conditionalFormatting sqref="A11:A12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2023-05-31T15:51:54Z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