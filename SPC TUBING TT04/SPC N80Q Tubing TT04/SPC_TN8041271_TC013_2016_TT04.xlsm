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UBING TT04\SPC N80Q Tubing TT04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Produccion!$A$5:$AH$66</definedName>
    <definedName name="_xlnm._FilterDatabase" localSheetId="1" hidden="1">Resultados!$A$4:$EC$4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8" i="5" l="1"/>
  <c r="AE28" i="5" s="1"/>
  <c r="X26" i="5" l="1"/>
  <c r="X27" i="5"/>
  <c r="AE27" i="5" l="1"/>
  <c r="X24" i="5" l="1"/>
  <c r="AE24" i="5" s="1"/>
  <c r="X23" i="5"/>
  <c r="AE23" i="5" s="1"/>
  <c r="AA1" i="40516" l="1"/>
  <c r="X19" i="5" l="1"/>
  <c r="AE19" i="5" s="1"/>
  <c r="X18" i="5"/>
  <c r="AE18" i="5" s="1"/>
  <c r="AH1" i="40516" l="1"/>
  <c r="AD14" i="40516" l="1"/>
  <c r="Y1" i="40516" l="1"/>
  <c r="AD13" i="40516" l="1"/>
  <c r="X8" i="5" l="1"/>
  <c r="AE8" i="5" s="1"/>
  <c r="X9" i="5"/>
  <c r="AE9" i="5" s="1"/>
  <c r="X10" i="5"/>
  <c r="AE10" i="5" s="1"/>
  <c r="X11" i="5"/>
  <c r="AE11" i="5" s="1"/>
  <c r="X12" i="5"/>
  <c r="AE12" i="5" s="1"/>
  <c r="X13" i="5"/>
  <c r="AE13" i="5" s="1"/>
  <c r="X14" i="5"/>
  <c r="AE14" i="5" s="1"/>
  <c r="AG4" i="5" l="1"/>
  <c r="AH4" i="5"/>
  <c r="AH3" i="5"/>
  <c r="AG3" i="5"/>
  <c r="X6" i="5" l="1"/>
  <c r="AE6" i="5" s="1"/>
  <c r="X7" i="5"/>
  <c r="AE7" i="5" s="1"/>
  <c r="X15" i="5"/>
  <c r="AE15" i="5" s="1"/>
  <c r="X16" i="5"/>
  <c r="AE16" i="5" s="1"/>
  <c r="X17" i="5"/>
  <c r="AE17" i="5" s="1"/>
  <c r="X20" i="5"/>
  <c r="AE20" i="5" s="1"/>
  <c r="X21" i="5"/>
  <c r="AE21" i="5" s="1"/>
  <c r="X22" i="5"/>
  <c r="AE22" i="5" s="1"/>
  <c r="X25" i="5"/>
  <c r="AE25" i="5" s="1"/>
  <c r="AE26" i="5"/>
  <c r="X29" i="5"/>
  <c r="AE29" i="5" s="1"/>
  <c r="X30" i="5"/>
  <c r="AE30" i="5" s="1"/>
  <c r="X31" i="5"/>
  <c r="AE31" i="5" s="1"/>
  <c r="X32" i="5"/>
  <c r="AE32" i="5" s="1"/>
  <c r="X33" i="5"/>
  <c r="AE33" i="5" s="1"/>
  <c r="X34" i="5"/>
  <c r="AE34" i="5" s="1"/>
  <c r="X35" i="5"/>
  <c r="AE35" i="5" s="1"/>
  <c r="X36" i="5"/>
  <c r="AE36" i="5" s="1"/>
  <c r="X37" i="5"/>
  <c r="AE37" i="5" s="1"/>
  <c r="X38" i="5"/>
  <c r="AE38" i="5" s="1"/>
  <c r="X39" i="5"/>
  <c r="AE39" i="5" s="1"/>
  <c r="X40" i="5"/>
  <c r="AE40" i="5" s="1"/>
  <c r="X41" i="5"/>
  <c r="AE41" i="5" s="1"/>
  <c r="X42" i="5"/>
  <c r="AE42" i="5" s="1"/>
  <c r="X43" i="5"/>
  <c r="AE43" i="5" s="1"/>
  <c r="X44" i="5"/>
  <c r="AE44" i="5" s="1"/>
  <c r="X45" i="5"/>
  <c r="AE45" i="5" s="1"/>
  <c r="X46" i="5"/>
  <c r="AE46" i="5" s="1"/>
  <c r="X47" i="5"/>
  <c r="AE47" i="5" s="1"/>
  <c r="X48" i="5"/>
  <c r="AE48" i="5" s="1"/>
  <c r="X49" i="5"/>
  <c r="AE49" i="5" s="1"/>
  <c r="X50" i="5"/>
  <c r="AE50" i="5" s="1"/>
  <c r="X51" i="5"/>
  <c r="AE51" i="5" s="1"/>
  <c r="X52" i="5"/>
  <c r="AE52" i="5" s="1"/>
  <c r="X53" i="5"/>
  <c r="AE53" i="5" s="1"/>
  <c r="X54" i="5"/>
  <c r="AE54" i="5" s="1"/>
  <c r="X55" i="5"/>
  <c r="AE55" i="5" s="1"/>
  <c r="X56" i="5"/>
  <c r="AE56" i="5" s="1"/>
  <c r="X57" i="5"/>
  <c r="AE57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6" i="5"/>
  <c r="AE66" i="5" s="1"/>
</calcChain>
</file>

<file path=xl/comments1.xml><?xml version="1.0" encoding="utf-8"?>
<comments xmlns="http://schemas.openxmlformats.org/spreadsheetml/2006/main">
  <authors>
    <author>LAMBRANO R. Osbaldo E.       TENARIS</author>
  </authors>
  <commentList>
    <comment ref="N13" authorId="0" shapeId="0">
      <text>
        <r>
          <rPr>
            <b/>
            <sz val="9"/>
            <color indexed="81"/>
            <rFont val="Tahoma"/>
            <family val="2"/>
          </rPr>
          <t>Duplicado:
92,9---107,8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Duplicado:
84,9----108,5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CAMPO B. Carlos I.      TENARIS</author>
    <author>PEREZ M. Fredis      TENARIS</author>
    <author>LAMBRANO R. Osbaldo E.       TENARIS</author>
  </authors>
  <commentList>
    <comment ref="AD1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en el quench</t>
        </r>
      </text>
    </comment>
    <comment ref="AD14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DEL TEMPLE</t>
        </r>
      </text>
    </comment>
    <comment ref="AD24" authorId="1" shapeId="0">
      <text>
        <r>
          <rPr>
            <b/>
            <sz val="9"/>
            <color indexed="81"/>
            <rFont val="Tahoma"/>
            <family val="2"/>
          </rPr>
          <t>baja temperatura austenizado</t>
        </r>
      </text>
    </comment>
    <comment ref="AB26" authorId="2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tubo rechazado por austenizado sale por debajo de banda minima de 900°C Se reprocesara en este mismo lote.</t>
        </r>
      </text>
    </comment>
    <comment ref="AB27" authorId="3" shapeId="0">
      <text>
        <r>
          <rPr>
            <b/>
            <sz val="9"/>
            <color indexed="81"/>
            <rFont val="Tahoma"/>
            <family val="2"/>
          </rPr>
          <t>Baja temperatura de austenizado.
Se reprocesan en el lote 2962</t>
        </r>
      </text>
    </comment>
  </commentList>
</comments>
</file>

<file path=xl/sharedStrings.xml><?xml version="1.0" encoding="utf-8"?>
<sst xmlns="http://schemas.openxmlformats.org/spreadsheetml/2006/main" count="266" uniqueCount="129">
  <si>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</si>
  <si>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</si>
  <si>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</si>
  <si>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</si>
  <si>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</si>
  <si>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</si>
  <si>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</si>
  <si>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</si>
  <si>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</si>
  <si>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</si>
  <si>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</si>
  <si>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</si>
  <si>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</si>
  <si>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</si>
  <si>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</si>
  <si>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</si>
  <si>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</si>
  <si>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</si>
  <si>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</si>
  <si>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</si>
  <si>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</si>
  <si>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</si>
  <si>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</si>
  <si>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</si>
  <si>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</si>
  <si>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</si>
  <si>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</si>
  <si>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</si>
  <si>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</si>
  <si>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</si>
  <si>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</si>
  <si>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</si>
  <si>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</si>
  <si>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</si>
  <si>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</si>
  <si>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</si>
  <si>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</si>
  <si>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</si>
  <si>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</si>
  <si>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</si>
  <si>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</si>
  <si>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</si>
  <si>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</si>
  <si>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</si>
  <si>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</si>
  <si>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</si>
  <si>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</si>
  <si>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</si>
  <si>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</si>
  <si>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</si>
  <si>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</si>
  <si>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</si>
  <si>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</si>
  <si>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</si>
  <si>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</si>
  <si>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</si>
  <si>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</si>
  <si>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</si>
  <si>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</si>
  <si>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</si>
  <si>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</si>
  <si>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</si>
  <si>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</si>
  <si>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</si>
  <si>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</si>
  <si>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</si>
  <si>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</si>
  <si>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</si>
  <si>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</si>
  <si>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</si>
  <si>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</si>
  <si>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</si>
  <si>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</si>
  <si>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</si>
  <si>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</si>
  <si>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</si>
  <si>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</si>
  <si>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AMT</t>
  </si>
  <si>
    <t>Estado</t>
  </si>
  <si>
    <t>T/HRS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</si>
  <si>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</si>
  <si>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</si>
  <si>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</si>
  <si>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</si>
  <si>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</si>
  <si>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</si>
  <si>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</si>
  <si>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</si>
  <si>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</si>
  <si>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</si>
  <si>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</si>
  <si>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</si>
  <si>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</si>
  <si>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</si>
  <si>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estado AA</t>
  </si>
  <si>
    <t>k</t>
  </si>
  <si>
    <t>T. Res</t>
  </si>
  <si>
    <t>P1</t>
  </si>
  <si>
    <t>Centro</t>
  </si>
  <si>
    <t>RANGO DE LOTE</t>
  </si>
  <si>
    <t>41271N80 Quimica TC013</t>
  </si>
  <si>
    <t>Usiminas</t>
  </si>
  <si>
    <t>1 al 110</t>
  </si>
  <si>
    <t>1 al 98</t>
  </si>
  <si>
    <t>1 al 103</t>
  </si>
  <si>
    <t>1 al 104</t>
  </si>
  <si>
    <t>1 al 400</t>
  </si>
  <si>
    <t>Estado 99</t>
  </si>
  <si>
    <t>401 al 550</t>
  </si>
  <si>
    <t>1 al 316</t>
  </si>
  <si>
    <t>401 al 643</t>
  </si>
  <si>
    <t>1 al 306</t>
  </si>
  <si>
    <t>1 al 323</t>
  </si>
  <si>
    <t>1 al 371</t>
  </si>
  <si>
    <t>372 al 415</t>
  </si>
  <si>
    <t>Horno de austenizado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</si>
  <si>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</si>
  <si>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</si>
  <si>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</si>
  <si>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</si>
  <si>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</si>
  <si>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</si>
  <si>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</si>
  <si>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TUBING</t>
  </si>
  <si>
    <t xml:space="preserve">N80Q </t>
  </si>
  <si>
    <t>4 1/2" x 0,271" N80Q TC013</t>
  </si>
  <si>
    <t>TC013</t>
  </si>
  <si>
    <t>Por favor asegurarse de no dejar vacías las celdas de N° tubo y TC.
Así mismo, diligenciar los resultados de tensión antes de exportar para no generar errores en la base consolidada</t>
  </si>
  <si>
    <t>lñkoj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</si>
</sst>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sz val="10"/>
      <color indexed="8"/>
      <name val="Arial"/>
      <family val="2"/>
    </font>
    <font>
      <b/>
      <sz val="20"/>
      <color indexed="8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99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8"/>
      <name val="Arial"/>
      <family val="2"/>
    </font>
    <font>
      <sz val="22"/>
      <color indexed="8"/>
      <name val="ITC Avant Garde Gothic"/>
      <family val="2"/>
    </font>
    <font>
      <sz val="22"/>
      <color indexed="63"/>
      <name val="LibertyD"/>
      <family val="2"/>
    </font>
    <font>
      <sz val="18"/>
      <color indexed="8"/>
      <name val="ITC Avant Garde Gothic"/>
      <family val="2"/>
    </font>
    <font>
      <sz val="18"/>
      <color indexed="63"/>
      <name val="LibertyD"/>
      <family val="2"/>
    </font>
    <font>
      <sz val="10"/>
      <color rgb="FFFF0000"/>
      <name val="ITC Avant Garde Gothic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5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22" fillId="0" borderId="0"/>
    <xf numFmtId="0" fontId="1" fillId="0" borderId="0"/>
  </cellStyleXfs>
  <cellXfs count="270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1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15" fontId="21" fillId="3" borderId="6" xfId="0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49" fillId="2" borderId="0" xfId="0" applyFont="1" applyFill="1" applyAlignment="1">
      <alignment horizontal="center"/>
    </xf>
    <xf numFmtId="0" fontId="51" fillId="2" borderId="0" xfId="0" applyFont="1" applyFill="1" applyAlignment="1">
      <alignment horizontal="center"/>
    </xf>
    <xf numFmtId="0" fontId="52" fillId="2" borderId="0" xfId="0" applyFont="1" applyFill="1" applyAlignment="1">
      <alignment horizontal="center"/>
    </xf>
    <xf numFmtId="165" fontId="47" fillId="0" borderId="0" xfId="0" applyNumberFormat="1" applyFont="1" applyAlignment="1">
      <alignment horizontal="center"/>
    </xf>
    <xf numFmtId="0" fontId="53" fillId="2" borderId="0" xfId="0" applyFont="1" applyFill="1" applyAlignment="1">
      <alignment horizontal="center"/>
    </xf>
    <xf numFmtId="0" fontId="54" fillId="2" borderId="0" xfId="0" applyFont="1" applyFill="1" applyAlignment="1">
      <alignment horizontal="right"/>
    </xf>
    <xf numFmtId="165" fontId="52" fillId="2" borderId="0" xfId="0" applyNumberFormat="1" applyFont="1" applyFill="1" applyAlignment="1">
      <alignment horizontal="center"/>
    </xf>
    <xf numFmtId="0" fontId="50" fillId="0" borderId="32" xfId="0" applyFont="1" applyBorder="1"/>
    <xf numFmtId="165" fontId="50" fillId="0" borderId="32" xfId="0" applyNumberFormat="1" applyFont="1" applyBorder="1" applyAlignment="1">
      <alignment horizontal="center"/>
    </xf>
    <xf numFmtId="0" fontId="50" fillId="0" borderId="30" xfId="0" applyFont="1" applyBorder="1" applyAlignment="1">
      <alignment horizontal="center"/>
    </xf>
    <xf numFmtId="0" fontId="55" fillId="0" borderId="0" xfId="0" applyFont="1" applyAlignment="1">
      <alignment horizontal="center"/>
    </xf>
    <xf numFmtId="3" fontId="57" fillId="0" borderId="6" xfId="0" applyNumberFormat="1" applyFont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2" xfId="0" applyFont="1" applyBorder="1" applyAlignment="1" applyProtection="1">
      <alignment horizontal="center"/>
      <protection locked="0"/>
    </xf>
    <xf numFmtId="0" fontId="52" fillId="0" borderId="0" xfId="0" applyFont="1" applyAlignment="1">
      <alignment horizontal="center"/>
    </xf>
    <xf numFmtId="0" fontId="21" fillId="0" borderId="10" xfId="3" applyFont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3" fillId="8" borderId="0" xfId="0" applyNumberFormat="1" applyFont="1" applyFill="1" applyAlignment="1" applyProtection="1">
      <alignment horizontal="center" vertical="center"/>
      <protection hidden="1"/>
    </xf>
    <xf numFmtId="0" fontId="17" fillId="8" borderId="0" xfId="0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19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0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5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13" xfId="0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0" fontId="1" fillId="7" borderId="29" xfId="0" applyFont="1" applyFill="1" applyBorder="1" applyAlignment="1" applyProtection="1">
      <alignment vertical="center"/>
      <protection hidden="1"/>
    </xf>
    <xf numFmtId="0" fontId="0" fillId="7" borderId="31" xfId="0" applyFill="1" applyBorder="1" applyAlignment="1" applyProtection="1">
      <alignment vertical="center"/>
      <protection hidden="1"/>
    </xf>
    <xf numFmtId="0" fontId="1" fillId="7" borderId="33" xfId="0" applyFont="1" applyFill="1" applyBorder="1" applyAlignment="1" applyProtection="1">
      <alignment vertical="center"/>
      <protection hidden="1"/>
    </xf>
    <xf numFmtId="21" fontId="25" fillId="7" borderId="33" xfId="0" applyNumberFormat="1" applyFont="1" applyFill="1" applyBorder="1" applyAlignment="1" applyProtection="1">
      <alignment horizontal="center" vertical="center"/>
      <protection hidden="1"/>
    </xf>
    <xf numFmtId="0" fontId="8" fillId="7" borderId="31" xfId="0" applyFont="1" applyFill="1" applyBorder="1" applyAlignment="1" applyProtection="1">
      <alignment horizontal="center" vertical="center"/>
      <protection hidden="1"/>
    </xf>
    <xf numFmtId="0" fontId="9" fillId="7" borderId="31" xfId="0" applyFont="1" applyFill="1" applyBorder="1" applyAlignment="1" applyProtection="1">
      <alignment vertical="center"/>
      <protection hidden="1"/>
    </xf>
    <xf numFmtId="0" fontId="10" fillId="7" borderId="31" xfId="0" applyFont="1" applyFill="1" applyBorder="1" applyAlignment="1" applyProtection="1">
      <alignment vertical="center"/>
      <protection hidden="1"/>
    </xf>
    <xf numFmtId="0" fontId="27" fillId="7" borderId="33" xfId="0" applyFont="1" applyFill="1" applyBorder="1" applyAlignment="1" applyProtection="1">
      <alignment vertical="center"/>
      <protection hidden="1"/>
    </xf>
    <xf numFmtId="21" fontId="30" fillId="7" borderId="33" xfId="0" applyNumberFormat="1" applyFont="1" applyFill="1" applyBorder="1" applyAlignment="1" applyProtection="1">
      <alignment horizontal="center" vertical="center"/>
      <protection hidden="1"/>
    </xf>
    <xf numFmtId="0" fontId="9" fillId="7" borderId="34" xfId="0" applyFont="1" applyFill="1" applyBorder="1" applyAlignment="1" applyProtection="1">
      <alignment vertical="center"/>
      <protection hidden="1"/>
    </xf>
    <xf numFmtId="0" fontId="9" fillId="7" borderId="32" xfId="0" applyFont="1" applyFill="1" applyBorder="1" applyAlignment="1" applyProtection="1">
      <alignment vertical="center"/>
      <protection hidden="1"/>
    </xf>
    <xf numFmtId="0" fontId="27" fillId="7" borderId="32" xfId="0" applyFont="1" applyFill="1" applyBorder="1" applyAlignment="1" applyProtection="1">
      <alignment vertical="center"/>
      <protection hidden="1"/>
    </xf>
    <xf numFmtId="0" fontId="44" fillId="7" borderId="32" xfId="0" applyFont="1" applyFill="1" applyBorder="1" applyAlignment="1" applyProtection="1">
      <alignment vertical="center"/>
      <protection hidden="1"/>
    </xf>
    <xf numFmtId="0" fontId="43" fillId="7" borderId="32" xfId="0" applyFont="1" applyFill="1" applyBorder="1" applyAlignment="1" applyProtection="1">
      <alignment vertical="center"/>
      <protection hidden="1"/>
    </xf>
    <xf numFmtId="21" fontId="43" fillId="7" borderId="32" xfId="0" applyNumberFormat="1" applyFont="1" applyFill="1" applyBorder="1" applyAlignment="1" applyProtection="1">
      <alignment horizontal="center" vertical="center"/>
      <protection hidden="1"/>
    </xf>
    <xf numFmtId="21" fontId="33" fillId="7" borderId="32" xfId="0" applyNumberFormat="1" applyFont="1" applyFill="1" applyBorder="1" applyAlignment="1" applyProtection="1">
      <alignment horizontal="center" vertical="center"/>
      <protection hidden="1"/>
    </xf>
    <xf numFmtId="21" fontId="30" fillId="7" borderId="30" xfId="0" applyNumberFormat="1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Alignment="1">
      <alignment horizontal="center"/>
    </xf>
    <xf numFmtId="0" fontId="45" fillId="6" borderId="0" xfId="0" applyFont="1" applyFill="1" applyAlignment="1">
      <alignment horizontal="center" vertical="center" wrapText="1"/>
    </xf>
    <xf numFmtId="15" fontId="56" fillId="0" borderId="6" xfId="0" applyNumberFormat="1" applyFont="1" applyBorder="1" applyAlignment="1">
      <alignment horizontal="center"/>
    </xf>
    <xf numFmtId="0" fontId="57" fillId="0" borderId="2" xfId="3" applyFont="1" applyBorder="1" applyAlignment="1">
      <alignment horizontal="center"/>
    </xf>
    <xf numFmtId="3" fontId="57" fillId="0" borderId="3" xfId="2" applyNumberFormat="1" applyFont="1" applyFill="1" applyBorder="1" applyAlignment="1" applyProtection="1">
      <alignment horizontal="center"/>
      <protection locked="0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0" fontId="57" fillId="0" borderId="3" xfId="0" applyFont="1" applyBorder="1" applyAlignment="1">
      <alignment horizontal="center"/>
    </xf>
    <xf numFmtId="3" fontId="57" fillId="0" borderId="6" xfId="2" applyNumberFormat="1" applyFont="1" applyFill="1" applyBorder="1" applyAlignment="1" applyProtection="1">
      <alignment horizontal="center"/>
      <protection locked="0"/>
    </xf>
    <xf numFmtId="3" fontId="57" fillId="0" borderId="35" xfId="2" applyNumberFormat="1" applyFont="1" applyFill="1" applyBorder="1" applyAlignment="1" applyProtection="1">
      <alignment horizontal="center"/>
      <protection locked="0"/>
    </xf>
    <xf numFmtId="3" fontId="57" fillId="0" borderId="36" xfId="2" applyNumberFormat="1" applyFont="1" applyFill="1" applyBorder="1" applyAlignment="1" applyProtection="1">
      <alignment horizontal="center"/>
      <protection locked="0"/>
    </xf>
    <xf numFmtId="3" fontId="58" fillId="0" borderId="2" xfId="0" applyNumberFormat="1" applyFont="1" applyBorder="1" applyAlignment="1">
      <alignment horizontal="center"/>
    </xf>
    <xf numFmtId="0" fontId="60" fillId="0" borderId="2" xfId="0" applyFont="1" applyBorder="1" applyAlignment="1" applyProtection="1">
      <alignment horizontal="center"/>
      <protection locked="0"/>
    </xf>
    <xf numFmtId="0" fontId="57" fillId="0" borderId="36" xfId="0" applyFont="1" applyBorder="1" applyAlignment="1">
      <alignment horizontal="center"/>
    </xf>
    <xf numFmtId="0" fontId="45" fillId="6" borderId="23" xfId="0" applyFont="1" applyFill="1" applyBorder="1" applyAlignment="1">
      <alignment horizontal="center" vertical="center" wrapText="1"/>
    </xf>
    <xf numFmtId="3" fontId="57" fillId="0" borderId="24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0" fontId="1" fillId="0" borderId="3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22" fillId="0" borderId="0" xfId="0" applyFont="1"/>
    <xf numFmtId="15" fontId="22" fillId="3" borderId="2" xfId="0" applyNumberFormat="1" applyFont="1" applyFill="1" applyBorder="1" applyAlignment="1">
      <alignment horizontal="center"/>
    </xf>
    <xf numFmtId="15" fontId="21" fillId="3" borderId="5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45" fillId="5" borderId="2" xfId="0" applyFont="1" applyFill="1" applyBorder="1" applyAlignment="1">
      <alignment horizontal="center" vertical="center" wrapText="1"/>
    </xf>
    <xf numFmtId="0" fontId="62" fillId="5" borderId="2" xfId="0" applyFont="1" applyFill="1" applyBorder="1" applyAlignment="1">
      <alignment horizontal="center" vertical="center" wrapText="1"/>
    </xf>
    <xf numFmtId="15" fontId="56" fillId="8" borderId="5" xfId="0" applyNumberFormat="1" applyFont="1" applyFill="1" applyBorder="1" applyAlignment="1">
      <alignment horizontal="center"/>
    </xf>
    <xf numFmtId="0" fontId="40" fillId="0" borderId="24" xfId="0" applyFont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0" fillId="0" borderId="22" xfId="0" applyFont="1" applyBorder="1" applyAlignment="1">
      <alignment horizontal="center"/>
    </xf>
    <xf numFmtId="3" fontId="60" fillId="0" borderId="2" xfId="0" applyNumberFormat="1" applyFont="1" applyBorder="1" applyAlignment="1" applyProtection="1">
      <alignment horizontal="center"/>
      <protection locked="0"/>
    </xf>
    <xf numFmtId="15" fontId="22" fillId="3" borderId="1" xfId="0" applyNumberFormat="1" applyFont="1" applyFill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40" fillId="0" borderId="41" xfId="0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0" borderId="44" xfId="0" applyBorder="1" applyAlignment="1">
      <alignment horizontal="center"/>
    </xf>
    <xf numFmtId="165" fontId="40" fillId="0" borderId="42" xfId="0" applyNumberFormat="1" applyFont="1" applyBorder="1" applyAlignment="1">
      <alignment horizontal="center"/>
    </xf>
    <xf numFmtId="0" fontId="48" fillId="0" borderId="0" xfId="0" applyFont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65" fontId="40" fillId="0" borderId="24" xfId="0" applyNumberFormat="1" applyFont="1" applyBorder="1" applyAlignment="1">
      <alignment horizontal="center"/>
    </xf>
    <xf numFmtId="165" fontId="65" fillId="0" borderId="2" xfId="2" applyNumberFormat="1" applyFont="1" applyFill="1" applyBorder="1" applyAlignment="1">
      <alignment horizontal="center"/>
    </xf>
    <xf numFmtId="165" fontId="66" fillId="0" borderId="2" xfId="2" applyNumberFormat="1" applyFont="1" applyFill="1" applyBorder="1" applyAlignment="1">
      <alignment horizontal="center"/>
    </xf>
    <xf numFmtId="0" fontId="67" fillId="0" borderId="43" xfId="0" applyFont="1" applyBorder="1" applyAlignment="1">
      <alignment horizontal="center"/>
    </xf>
    <xf numFmtId="0" fontId="67" fillId="0" borderId="44" xfId="0" applyFont="1" applyBorder="1" applyAlignment="1">
      <alignment horizontal="center"/>
    </xf>
    <xf numFmtId="0" fontId="67" fillId="8" borderId="44" xfId="0" applyFont="1" applyFill="1" applyBorder="1" applyAlignment="1">
      <alignment horizontal="center"/>
    </xf>
    <xf numFmtId="0" fontId="67" fillId="0" borderId="26" xfId="0" applyFont="1" applyBorder="1" applyAlignment="1">
      <alignment horizontal="center"/>
    </xf>
    <xf numFmtId="0" fontId="67" fillId="8" borderId="26" xfId="0" applyFont="1" applyFill="1" applyBorder="1" applyAlignment="1">
      <alignment horizontal="center"/>
    </xf>
    <xf numFmtId="15" fontId="21" fillId="10" borderId="5" xfId="0" applyNumberFormat="1" applyFont="1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0" fontId="40" fillId="10" borderId="2" xfId="0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0" fontId="21" fillId="10" borderId="10" xfId="3" applyFont="1" applyFill="1" applyBorder="1" applyAlignment="1">
      <alignment horizontal="center"/>
    </xf>
    <xf numFmtId="2" fontId="40" fillId="10" borderId="2" xfId="0" applyNumberFormat="1" applyFont="1" applyFill="1" applyBorder="1" applyAlignment="1">
      <alignment horizontal="center"/>
    </xf>
    <xf numFmtId="0" fontId="40" fillId="10" borderId="22" xfId="0" applyFont="1" applyFill="1" applyBorder="1" applyAlignment="1">
      <alignment horizontal="center"/>
    </xf>
    <xf numFmtId="0" fontId="40" fillId="10" borderId="24" xfId="0" applyFont="1" applyFill="1" applyBorder="1" applyAlignment="1">
      <alignment horizontal="center"/>
    </xf>
    <xf numFmtId="165" fontId="40" fillId="10" borderId="2" xfId="2" applyNumberFormat="1" applyFont="1" applyFill="1" applyBorder="1" applyAlignment="1">
      <alignment horizontal="center"/>
    </xf>
    <xf numFmtId="0" fontId="1" fillId="10" borderId="43" xfId="0" applyFont="1" applyFill="1" applyBorder="1" applyAlignment="1">
      <alignment horizontal="center"/>
    </xf>
    <xf numFmtId="0" fontId="1" fillId="10" borderId="44" xfId="0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1" fillId="10" borderId="0" xfId="0" applyFont="1" applyFill="1"/>
    <xf numFmtId="0" fontId="0" fillId="10" borderId="0" xfId="0" applyFill="1"/>
    <xf numFmtId="1" fontId="40" fillId="0" borderId="2" xfId="0" applyNumberFormat="1" applyFont="1" applyBorder="1" applyAlignment="1">
      <alignment horizontal="center"/>
    </xf>
    <xf numFmtId="0" fontId="1" fillId="8" borderId="44" xfId="0" applyFont="1" applyFill="1" applyBorder="1" applyAlignment="1">
      <alignment horizontal="center"/>
    </xf>
    <xf numFmtId="3" fontId="57" fillId="0" borderId="9" xfId="2" applyNumberFormat="1" applyFont="1" applyFill="1" applyBorder="1" applyAlignment="1" applyProtection="1">
      <alignment horizontal="center"/>
      <protection locked="0"/>
    </xf>
    <xf numFmtId="0" fontId="21" fillId="0" borderId="45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1" fillId="0" borderId="0" xfId="0" applyFont="1"/>
    <xf numFmtId="0" fontId="74" fillId="9" borderId="48" xfId="5" applyFont="1" applyFill="1" applyBorder="1" applyAlignment="1">
      <alignment horizontal="center"/>
    </xf>
    <xf numFmtId="0" fontId="74" fillId="12" borderId="48" xfId="5" applyFont="1" applyFill="1" applyBorder="1" applyAlignment="1">
      <alignment horizontal="center"/>
    </xf>
    <xf numFmtId="0" fontId="74" fillId="13" borderId="49" xfId="5" applyFont="1" applyFill="1" applyBorder="1" applyAlignment="1">
      <alignment horizontal="center"/>
    </xf>
    <xf numFmtId="0" fontId="75" fillId="15" borderId="4" xfId="5" applyFont="1" applyFill="1" applyBorder="1" applyAlignment="1">
      <alignment horizontal="center" vertical="center" wrapText="1"/>
    </xf>
    <xf numFmtId="0" fontId="75" fillId="15" borderId="7" xfId="5" applyFont="1" applyFill="1" applyBorder="1" applyAlignment="1">
      <alignment horizontal="center" vertical="center" wrapText="1"/>
    </xf>
    <xf numFmtId="0" fontId="75" fillId="15" borderId="10" xfId="5" applyFont="1" applyFill="1" applyBorder="1" applyAlignment="1">
      <alignment horizontal="center" vertical="center" wrapText="1"/>
    </xf>
    <xf numFmtId="0" fontId="75" fillId="15" borderId="11" xfId="5" applyFont="1" applyFill="1" applyBorder="1" applyAlignment="1">
      <alignment horizontal="center" vertical="center" wrapText="1"/>
    </xf>
    <xf numFmtId="0" fontId="75" fillId="11" borderId="7" xfId="5" applyFont="1" applyFill="1" applyBorder="1" applyAlignment="1">
      <alignment horizontal="center" vertical="center" wrapText="1"/>
    </xf>
    <xf numFmtId="0" fontId="75" fillId="11" borderId="4" xfId="5" applyFont="1" applyFill="1" applyBorder="1" applyAlignment="1">
      <alignment horizontal="center" vertical="center" wrapText="1"/>
    </xf>
    <xf numFmtId="0" fontId="75" fillId="11" borderId="50" xfId="5" applyFont="1" applyFill="1" applyBorder="1" applyAlignment="1">
      <alignment horizontal="center" vertical="center" wrapText="1"/>
    </xf>
    <xf numFmtId="0" fontId="74" fillId="9" borderId="51" xfId="5" applyFont="1" applyFill="1" applyBorder="1" applyAlignment="1">
      <alignment horizontal="center" vertical="center" wrapText="1"/>
    </xf>
    <xf numFmtId="0" fontId="74" fillId="9" borderId="52" xfId="5" applyFont="1" applyFill="1" applyBorder="1" applyAlignment="1">
      <alignment horizontal="center" vertical="center" wrapText="1"/>
    </xf>
    <xf numFmtId="0" fontId="74" fillId="9" borderId="53" xfId="5" applyFont="1" applyFill="1" applyBorder="1" applyAlignment="1">
      <alignment horizontal="center" vertical="center" wrapText="1"/>
    </xf>
    <xf numFmtId="0" fontId="74" fillId="12" borderId="52" xfId="5" applyFont="1" applyFill="1" applyBorder="1" applyAlignment="1">
      <alignment horizontal="center" vertical="center" wrapText="1"/>
    </xf>
    <xf numFmtId="0" fontId="74" fillId="12" borderId="40" xfId="5" applyFont="1" applyFill="1" applyBorder="1" applyAlignment="1">
      <alignment horizontal="center" vertical="center" wrapText="1"/>
    </xf>
    <xf numFmtId="0" fontId="74" fillId="13" borderId="52" xfId="5" applyFont="1" applyFill="1" applyBorder="1" applyAlignment="1">
      <alignment horizontal="center" vertical="center" wrapText="1"/>
    </xf>
    <xf numFmtId="0" fontId="74" fillId="13" borderId="6" xfId="5" applyFont="1" applyFill="1" applyBorder="1" applyAlignment="1">
      <alignment horizontal="center" vertical="center" wrapText="1"/>
    </xf>
    <xf numFmtId="0" fontId="1" fillId="0" borderId="25" xfId="0" applyFont="1" applyBorder="1"/>
    <xf numFmtId="0" fontId="0" fillId="0" borderId="5" xfId="0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67" fillId="0" borderId="6" xfId="0" applyFont="1" applyBorder="1" applyAlignment="1">
      <alignment horizontal="center"/>
    </xf>
    <xf numFmtId="0" fontId="0" fillId="0" borderId="25" xfId="0" applyBorder="1"/>
    <xf numFmtId="0" fontId="0" fillId="0" borderId="6" xfId="0" applyBorder="1" applyAlignment="1">
      <alignment horizontal="center"/>
    </xf>
    <xf numFmtId="0" fontId="12" fillId="0" borderId="0" xfId="0" applyFont="1"/>
    <xf numFmtId="0" fontId="63" fillId="0" borderId="0" xfId="0" applyFont="1"/>
    <xf numFmtId="0" fontId="12" fillId="0" borderId="0" xfId="0" applyFont="1" applyAlignment="1">
      <alignment horizontal="center"/>
    </xf>
    <xf numFmtId="166" fontId="12" fillId="0" borderId="0" xfId="2" applyNumberFormat="1" applyFont="1" applyBorder="1"/>
    <xf numFmtId="0" fontId="0" fillId="3" borderId="27" xfId="0" applyFill="1" applyBorder="1"/>
    <xf numFmtId="166" fontId="14" fillId="0" borderId="0" xfId="2" applyNumberFormat="1" applyFont="1" applyBorder="1"/>
    <xf numFmtId="0" fontId="0" fillId="0" borderId="54" xfId="0" applyBorder="1"/>
    <xf numFmtId="0" fontId="0" fillId="0" borderId="55" xfId="0" applyBorder="1"/>
    <xf numFmtId="0" fontId="14" fillId="0" borderId="55" xfId="0" applyFont="1" applyBorder="1"/>
    <xf numFmtId="0" fontId="22" fillId="0" borderId="55" xfId="0" applyFont="1" applyBorder="1"/>
    <xf numFmtId="0" fontId="39" fillId="0" borderId="55" xfId="0" applyFont="1" applyBorder="1" applyAlignment="1">
      <alignment horizontal="center"/>
    </xf>
    <xf numFmtId="0" fontId="14" fillId="0" borderId="55" xfId="0" applyFont="1" applyBorder="1" applyAlignment="1">
      <alignment horizontal="center"/>
    </xf>
    <xf numFmtId="166" fontId="14" fillId="0" borderId="55" xfId="2" applyNumberFormat="1" applyFont="1" applyBorder="1"/>
    <xf numFmtId="0" fontId="0" fillId="3" borderId="55" xfId="0" applyFill="1" applyBorder="1"/>
    <xf numFmtId="0" fontId="0" fillId="3" borderId="42" xfId="0" applyFill="1" applyBorder="1"/>
    <xf numFmtId="2" fontId="1" fillId="0" borderId="0" xfId="0" applyNumberFormat="1" applyFont="1"/>
    <xf numFmtId="0" fontId="77" fillId="0" borderId="0" xfId="0" applyFont="1" applyAlignment="1"/>
    <xf numFmtId="0" fontId="78" fillId="0" borderId="32" xfId="0" applyFont="1" applyBorder="1" applyAlignment="1">
      <alignment vertical="center"/>
    </xf>
    <xf numFmtId="0" fontId="76" fillId="0" borderId="55" xfId="0" applyFont="1" applyBorder="1" applyAlignment="1">
      <alignment vertical="center"/>
    </xf>
    <xf numFmtId="0" fontId="61" fillId="7" borderId="0" xfId="0" applyFont="1" applyFill="1" applyAlignment="1" applyProtection="1">
      <alignment horizontal="center" vertical="center"/>
      <protection hidden="1"/>
    </xf>
    <xf numFmtId="0" fontId="71" fillId="9" borderId="37" xfId="5" applyFont="1" applyFill="1" applyBorder="1" applyAlignment="1">
      <alignment horizontal="center"/>
    </xf>
    <xf numFmtId="0" fontId="71" fillId="9" borderId="38" xfId="5" applyFont="1" applyFill="1" applyBorder="1" applyAlignment="1">
      <alignment horizontal="center"/>
    </xf>
    <xf numFmtId="0" fontId="72" fillId="12" borderId="38" xfId="5" applyFont="1" applyFill="1" applyBorder="1" applyAlignment="1">
      <alignment horizontal="center"/>
    </xf>
    <xf numFmtId="0" fontId="74" fillId="9" borderId="47" xfId="5" applyFont="1" applyFill="1" applyBorder="1" applyAlignment="1">
      <alignment horizontal="center"/>
    </xf>
    <xf numFmtId="0" fontId="74" fillId="9" borderId="48" xfId="5" applyFont="1" applyFill="1" applyBorder="1" applyAlignment="1">
      <alignment horizontal="center"/>
    </xf>
    <xf numFmtId="0" fontId="74" fillId="13" borderId="48" xfId="5" applyFont="1" applyFill="1" applyBorder="1" applyAlignment="1">
      <alignment horizontal="center"/>
    </xf>
    <xf numFmtId="0" fontId="72" fillId="13" borderId="38" xfId="5" applyFont="1" applyFill="1" applyBorder="1" applyAlignment="1">
      <alignment horizontal="center"/>
    </xf>
    <xf numFmtId="0" fontId="72" fillId="13" borderId="46" xfId="5" applyFont="1" applyFill="1" applyBorder="1" applyAlignment="1">
      <alignment horizontal="center"/>
    </xf>
    <xf numFmtId="0" fontId="79" fillId="0" borderId="0" xfId="0" applyFont="1" applyAlignment="1">
      <alignment horizontal="center"/>
    </xf>
    <xf numFmtId="0" fontId="80" fillId="0" borderId="32" xfId="0" applyFont="1" applyBorder="1" applyAlignment="1">
      <alignment horizontal="center" vertical="center"/>
    </xf>
    <xf numFmtId="0" fontId="76" fillId="0" borderId="56" xfId="0" applyFont="1" applyBorder="1" applyAlignment="1">
      <alignment horizontal="center" vertical="center"/>
    </xf>
    <xf numFmtId="0" fontId="81" fillId="0" borderId="0" xfId="0" applyFont="1" applyAlignment="1">
      <alignment horizontal="center" wrapText="1"/>
    </xf>
    <xf numFmtId="0" fontId="81" fillId="0" borderId="55" xfId="0" applyFont="1" applyBorder="1" applyAlignment="1">
      <alignment horizontal="center" wrapText="1"/>
    </xf>
    <xf numFmtId="0" fontId="73" fillId="11" borderId="13" xfId="5" applyFont="1" applyFill="1" applyBorder="1" applyAlignment="1">
      <alignment horizontal="center" vertical="center" shrinkToFit="1"/>
    </xf>
    <xf numFmtId="0" fontId="73" fillId="11" borderId="23" xfId="5" applyFont="1" applyFill="1" applyBorder="1" applyAlignment="1">
      <alignment horizontal="center" vertical="center" shrinkToFit="1"/>
    </xf>
    <xf numFmtId="0" fontId="73" fillId="14" borderId="16" xfId="5" applyFont="1" applyFill="1" applyBorder="1" applyAlignment="1">
      <alignment horizontal="center" vertical="center" shrinkToFit="1"/>
    </xf>
    <xf numFmtId="0" fontId="73" fillId="14" borderId="15" xfId="5" applyFont="1" applyFill="1" applyBorder="1" applyAlignment="1">
      <alignment horizontal="center" vertical="center" shrinkToFit="1"/>
    </xf>
    <xf numFmtId="0" fontId="70" fillId="11" borderId="13" xfId="5" applyFont="1" applyFill="1" applyBorder="1" applyAlignment="1">
      <alignment horizontal="center" vertical="center"/>
    </xf>
    <xf numFmtId="0" fontId="70" fillId="11" borderId="23" xfId="5" applyFont="1" applyFill="1" applyBorder="1" applyAlignment="1">
      <alignment horizontal="center" vertical="center"/>
    </xf>
    <xf numFmtId="0" fontId="70" fillId="11" borderId="8" xfId="5" applyFont="1" applyFill="1" applyBorder="1" applyAlignment="1">
      <alignment horizontal="center" vertical="center"/>
    </xf>
    <xf numFmtId="0" fontId="70" fillId="11" borderId="28" xfId="5" applyFont="1" applyFill="1" applyBorder="1" applyAlignment="1">
      <alignment horizontal="center" vertical="center"/>
    </xf>
    <xf numFmtId="0" fontId="73" fillId="14" borderId="17" xfId="5" applyFont="1" applyFill="1" applyBorder="1" applyAlignment="1">
      <alignment horizontal="center" vertical="center" shrinkToFit="1"/>
    </xf>
    <xf numFmtId="0" fontId="73" fillId="14" borderId="18" xfId="5" applyFont="1" applyFill="1" applyBorder="1" applyAlignment="1">
      <alignment horizontal="center" vertical="center" shrinkToFit="1"/>
    </xf>
    <xf numFmtId="0" fontId="73" fillId="14" borderId="23" xfId="5" applyFont="1" applyFill="1" applyBorder="1" applyAlignment="1">
      <alignment horizontal="center" vertical="center" shrinkToFit="1"/>
    </xf>
    <xf numFmtId="0" fontId="73" fillId="14" borderId="29" xfId="5" applyFont="1" applyFill="1" applyBorder="1" applyAlignment="1">
      <alignment horizontal="center" vertical="center" shrinkToFit="1"/>
    </xf>
    <xf numFmtId="0" fontId="70" fillId="11" borderId="14" xfId="5" applyFont="1" applyFill="1" applyBorder="1" applyAlignment="1">
      <alignment horizontal="center" vertical="center"/>
    </xf>
    <xf numFmtId="0" fontId="45" fillId="6" borderId="13" xfId="0" applyFont="1" applyFill="1" applyBorder="1" applyAlignment="1">
      <alignment horizontal="center" vertical="center" wrapText="1"/>
    </xf>
    <xf numFmtId="0" fontId="45" fillId="6" borderId="23" xfId="0" applyFont="1" applyFill="1" applyBorder="1" applyAlignment="1">
      <alignment horizontal="center" vertical="center" wrapText="1"/>
    </xf>
    <xf numFmtId="0" fontId="59" fillId="6" borderId="32" xfId="0" applyFont="1" applyFill="1" applyBorder="1" applyAlignment="1">
      <alignment horizontal="center"/>
    </xf>
    <xf numFmtId="0" fontId="59" fillId="6" borderId="0" xfId="0" applyFont="1" applyFill="1" applyAlignment="1">
      <alignment horizontal="center"/>
    </xf>
    <xf numFmtId="0" fontId="45" fillId="6" borderId="29" xfId="0" applyFont="1" applyFill="1" applyBorder="1" applyAlignment="1">
      <alignment horizontal="center" vertical="center" wrapText="1"/>
    </xf>
    <xf numFmtId="3" fontId="57" fillId="0" borderId="9" xfId="2" applyNumberFormat="1" applyFont="1" applyFill="1" applyBorder="1" applyAlignment="1" applyProtection="1">
      <alignment horizontal="center" vertical="center"/>
      <protection locked="0"/>
    </xf>
    <xf numFmtId="3" fontId="57" fillId="0" borderId="5" xfId="2" applyNumberFormat="1" applyFont="1" applyFill="1" applyBorder="1" applyAlignment="1" applyProtection="1">
      <alignment horizontal="center" vertical="center"/>
      <protection locked="0"/>
    </xf>
    <xf numFmtId="3" fontId="57" fillId="0" borderId="9" xfId="2" applyNumberFormat="1" applyFont="1" applyFill="1" applyBorder="1" applyAlignment="1" applyProtection="1">
      <alignment horizontal="center" vertical="center" wrapText="1"/>
      <protection locked="0"/>
    </xf>
    <xf numFmtId="3" fontId="57" fillId="0" borderId="5" xfId="2" applyNumberFormat="1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horizontal="center"/>
    </xf>
    <xf numFmtId="14" fontId="64" fillId="0" borderId="0" xfId="0" applyNumberFormat="1" applyFont="1" applyAlignment="1">
      <alignment horizontal="center" vertical="center"/>
    </xf>
    <xf numFmtId="2" fontId="40" fillId="0" borderId="10" xfId="0" applyNumberFormat="1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7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790-402A-B5CB-2D9EA2783F60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790-402A-B5CB-2D9EA2783F60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790-402A-B5CB-2D9EA2783F60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790-402A-B5CB-2D9EA2783F60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790-402A-B5CB-2D9EA2783F60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790-402A-B5CB-2D9EA2783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575872"/>
        <c:axId val="345576264"/>
      </c:barChart>
      <c:catAx>
        <c:axId val="34557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5762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5576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5758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AF1-4E15-AE8B-B268004B633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AF1-4E15-AE8B-B268004B633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AF1-4E15-AE8B-B268004B633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AF1-4E15-AE8B-B268004B633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AF1-4E15-AE8B-B268004B633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DAF1-4E15-AE8B-B268004B633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DAF1-4E15-AE8B-B268004B633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DAF1-4E15-AE8B-B268004B633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AF1-4E15-AE8B-B268004B633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DAF1-4E15-AE8B-B268004B633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DAF1-4E15-AE8B-B268004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36944"/>
        <c:axId val="342037336"/>
      </c:lineChart>
      <c:catAx>
        <c:axId val="34203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37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037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369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B3-4F39-B91C-879B500E9D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FB3-4F39-B91C-879B500E9D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B3-4F39-B91C-879B500E9D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B3-4F39-B91C-879B500E9D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B3-4F39-B91C-879B500E9D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FB3-4F39-B91C-879B500E9D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B3-4F39-B91C-879B500E9D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B3-4F39-B91C-879B500E9D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FB3-4F39-B91C-879B500E9D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FB3-4F39-B91C-879B500E9D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B3-4F39-B91C-879B500E9D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B3-4F39-B91C-879B500E9D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B3-4F39-B91C-879B500E9D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FB3-4F39-B91C-879B500E9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040864"/>
        <c:axId val="342041256"/>
      </c:barChart>
      <c:catAx>
        <c:axId val="34204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04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0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63-4847-913E-0594411FF6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63-4847-913E-0594411FF6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63-4847-913E-0594411FF6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63-4847-913E-0594411FF6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63-4847-913E-0594411FF6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63-4847-913E-0594411FF6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63-4847-913E-0594411FF6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63-4847-913E-0594411FF6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63-4847-913E-0594411FF6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63-4847-913E-0594411FF6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63-4847-913E-0594411FF6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63-4847-913E-0594411FF6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63-4847-913E-0594411FF6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63-4847-913E-0594411FF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042040"/>
        <c:axId val="342042432"/>
      </c:barChart>
      <c:catAx>
        <c:axId val="34204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04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3A-49FD-A950-E851EE2FC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3A-49FD-A950-E851EE2FC6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3A-49FD-A950-E851EE2FC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3A-49FD-A950-E851EE2FC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3A-49FD-A950-E851EE2FC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3A-49FD-A950-E851EE2FC6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3A-49FD-A950-E851EE2FC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3A-49FD-A950-E851EE2FC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3A-49FD-A950-E851EE2FC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3A-49FD-A950-E851EE2FC6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3A-49FD-A950-E851EE2FC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3A-49FD-A950-E851EE2FC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3A-49FD-A950-E851EE2FC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3A-49FD-A950-E851EE2FC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043216"/>
        <c:axId val="342043608"/>
      </c:barChart>
      <c:catAx>
        <c:axId val="34204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3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043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3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FC-453D-BA3A-5E4203E4E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FC-453D-BA3A-5E4203E4EF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FC-453D-BA3A-5E4203E4E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FC-453D-BA3A-5E4203E4E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FC-453D-BA3A-5E4203E4E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FC-453D-BA3A-5E4203E4EF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FC-453D-BA3A-5E4203E4E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FC-453D-BA3A-5E4203E4E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FC-453D-BA3A-5E4203E4E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FC-453D-BA3A-5E4203E4EF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FC-453D-BA3A-5E4203E4E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FC-453D-BA3A-5E4203E4E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FC-453D-BA3A-5E4203E4E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FC-453D-BA3A-5E4203E4E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044392"/>
        <c:axId val="342659064"/>
      </c:barChart>
      <c:catAx>
        <c:axId val="342044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59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59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044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A0-4666-B3B7-1B61B9C25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A0-4666-B3B7-1B61B9C251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A0-4666-B3B7-1B61B9C25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A0-4666-B3B7-1B61B9C25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A0-4666-B3B7-1B61B9C25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A0-4666-B3B7-1B61B9C251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A0-4666-B3B7-1B61B9C25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A0-4666-B3B7-1B61B9C25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A0-4666-B3B7-1B61B9C25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A0-4666-B3B7-1B61B9C251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A0-4666-B3B7-1B61B9C25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A0-4666-B3B7-1B61B9C25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A0-4666-B3B7-1B61B9C25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A0-4666-B3B7-1B61B9C25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59848"/>
        <c:axId val="342660240"/>
      </c:barChart>
      <c:catAx>
        <c:axId val="342659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0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59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95-419E-BD64-5404B44EA2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95-419E-BD64-5404B44EA2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95-419E-BD64-5404B44EA2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95-419E-BD64-5404B44EA2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95-419E-BD64-5404B44EA2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95-419E-BD64-5404B44EA2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95-419E-BD64-5404B44EA2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95-419E-BD64-5404B44EA2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95-419E-BD64-5404B44EA2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95-419E-BD64-5404B44EA2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95-419E-BD64-5404B44EA2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95-419E-BD64-5404B44EA2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95-419E-BD64-5404B44EA2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95-419E-BD64-5404B44E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61024"/>
        <c:axId val="342661416"/>
      </c:barChart>
      <c:catAx>
        <c:axId val="34266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1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1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BE-4A0D-9C76-FDA5EA553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BE-4A0D-9C76-FDA5EA553B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BE-4A0D-9C76-FDA5EA553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BE-4A0D-9C76-FDA5EA553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BE-4A0D-9C76-FDA5EA553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BE-4A0D-9C76-FDA5EA553B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BE-4A0D-9C76-FDA5EA553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BE-4A0D-9C76-FDA5EA553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BE-4A0D-9C76-FDA5EA553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BE-4A0D-9C76-FDA5EA553B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BE-4A0D-9C76-FDA5EA553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BE-4A0D-9C76-FDA5EA553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BE-4A0D-9C76-FDA5EA553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BE-4A0D-9C76-FDA5EA55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62200"/>
        <c:axId val="342662592"/>
      </c:barChart>
      <c:catAx>
        <c:axId val="34266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0C-41CC-A0EC-370883873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0C-41CC-A0EC-370883873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0C-41CC-A0EC-370883873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0C-41CC-A0EC-370883873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0C-41CC-A0EC-370883873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0C-41CC-A0EC-370883873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0C-41CC-A0EC-370883873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0C-41CC-A0EC-370883873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0C-41CC-A0EC-370883873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0C-41CC-A0EC-370883873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0C-41CC-A0EC-370883873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0C-41CC-A0EC-370883873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0C-41CC-A0EC-370883873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0C-41CC-A0EC-37088387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63376"/>
        <c:axId val="342663768"/>
      </c:barChart>
      <c:catAx>
        <c:axId val="34266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3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3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C1-403F-9C37-6FB2E5363E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C1-403F-9C37-6FB2E5363E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C1-403F-9C37-6FB2E5363E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C1-403F-9C37-6FB2E5363E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C1-403F-9C37-6FB2E5363E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C1-403F-9C37-6FB2E5363E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C1-403F-9C37-6FB2E5363E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C1-403F-9C37-6FB2E5363E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C1-403F-9C37-6FB2E5363E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C1-403F-9C37-6FB2E5363E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C1-403F-9C37-6FB2E5363E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C1-403F-9C37-6FB2E5363E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C1-403F-9C37-6FB2E5363E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C1-403F-9C37-6FB2E5363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64552"/>
        <c:axId val="342664944"/>
      </c:barChart>
      <c:catAx>
        <c:axId val="34266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4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4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4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3-467C-9E1A-64996E9310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3-467C-9E1A-64996E9310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3-467C-9E1A-64996E9310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3-467C-9E1A-64996E9310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3-467C-9E1A-64996E9310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3-467C-9E1A-64996E9310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3-467C-9E1A-64996E9310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3-467C-9E1A-64996E9310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3-467C-9E1A-64996E9310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3-467C-9E1A-64996E9310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3-467C-9E1A-64996E9310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3-467C-9E1A-64996E9310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3-467C-9E1A-64996E9310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3-467C-9E1A-64996E931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665728"/>
        <c:axId val="342666120"/>
      </c:barChart>
      <c:catAx>
        <c:axId val="34266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66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665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6A-4D04-87BE-EB01CD91B8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6A-4D04-87BE-EB01CD91B8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6A-4D04-87BE-EB01CD91B8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6A-4D04-87BE-EB01CD91B8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6A-4D04-87BE-EB01CD91B8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6A-4D04-87BE-EB01CD91B8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6A-4D04-87BE-EB01CD91B8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6A-4D04-87BE-EB01CD91B8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6A-4D04-87BE-EB01CD91B8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6A-4D04-87BE-EB01CD91B8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6A-4D04-87BE-EB01CD91B8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6A-4D04-87BE-EB01CD91B8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6A-4D04-87BE-EB01CD91B8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6A-4D04-87BE-EB01CD91B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75896"/>
        <c:axId val="343376288"/>
      </c:barChart>
      <c:catAx>
        <c:axId val="34337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7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F6-41C3-A2B2-9A005785D4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F6-41C3-A2B2-9A005785D4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F6-41C3-A2B2-9A005785D4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F6-41C3-A2B2-9A005785D4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F6-41C3-A2B2-9A005785D4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F6-41C3-A2B2-9A005785D4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F6-41C3-A2B2-9A005785D4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F6-41C3-A2B2-9A005785D4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F6-41C3-A2B2-9A005785D4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F6-41C3-A2B2-9A005785D4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F6-41C3-A2B2-9A005785D4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F6-41C3-A2B2-9A005785D4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F6-41C3-A2B2-9A005785D4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F6-41C3-A2B2-9A005785D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77072"/>
        <c:axId val="343377464"/>
      </c:barChart>
      <c:catAx>
        <c:axId val="34337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7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99-446B-9F7E-B542E14DC9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99-446B-9F7E-B542E14DC9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99-446B-9F7E-B542E14DC9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99-446B-9F7E-B542E14DC9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99-446B-9F7E-B542E14DC9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99-446B-9F7E-B542E14DC9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99-446B-9F7E-B542E14DC9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99-446B-9F7E-B542E14DC9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99-446B-9F7E-B542E14DC9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99-446B-9F7E-B542E14DC9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99-446B-9F7E-B542E14DC9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99-446B-9F7E-B542E14DC9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99-446B-9F7E-B542E14DC9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99-446B-9F7E-B542E14DC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78248"/>
        <c:axId val="343378640"/>
      </c:barChart>
      <c:catAx>
        <c:axId val="34337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7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4C-4F91-A8EF-0C0EF72D3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4C-4F91-A8EF-0C0EF72D3C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4C-4F91-A8EF-0C0EF72D3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4C-4F91-A8EF-0C0EF72D3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4C-4F91-A8EF-0C0EF72D3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4C-4F91-A8EF-0C0EF72D3C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4C-4F91-A8EF-0C0EF72D3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4C-4F91-A8EF-0C0EF72D3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4C-4F91-A8EF-0C0EF72D3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4C-4F91-A8EF-0C0EF72D3C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4C-4F91-A8EF-0C0EF72D3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4C-4F91-A8EF-0C0EF72D3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4C-4F91-A8EF-0C0EF72D3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4C-4F91-A8EF-0C0EF72D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79424"/>
        <c:axId val="343379816"/>
      </c:barChart>
      <c:catAx>
        <c:axId val="34337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7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7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FC-48B9-9A51-FC9BAFC4C0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FC-48B9-9A51-FC9BAFC4C0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C-48B9-9A51-FC9BAFC4C0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FC-48B9-9A51-FC9BAFC4C0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FC-48B9-9A51-FC9BAFC4C0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FC-48B9-9A51-FC9BAFC4C0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FC-48B9-9A51-FC9BAFC4C0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FC-48B9-9A51-FC9BAFC4C0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FC-48B9-9A51-FC9BAFC4C0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FC-48B9-9A51-FC9BAFC4C0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FC-48B9-9A51-FC9BAFC4C0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FC-48B9-9A51-FC9BAFC4C0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FC-48B9-9A51-FC9BAFC4C0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FC-48B9-9A51-FC9BAFC4C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80600"/>
        <c:axId val="343380992"/>
      </c:barChart>
      <c:catAx>
        <c:axId val="34338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8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D1-46FF-98BE-E27D34DA9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D1-46FF-98BE-E27D34DA92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D1-46FF-98BE-E27D34DA9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D1-46FF-98BE-E27D34DA9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D1-46FF-98BE-E27D34DA9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D1-46FF-98BE-E27D34DA92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D1-46FF-98BE-E27D34DA9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D1-46FF-98BE-E27D34DA9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D1-46FF-98BE-E27D34DA9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D1-46FF-98BE-E27D34DA92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D1-46FF-98BE-E27D34DA9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D1-46FF-98BE-E27D34DA9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D1-46FF-98BE-E27D34DA9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D1-46FF-98BE-E27D34DA9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81776"/>
        <c:axId val="343382168"/>
      </c:barChart>
      <c:catAx>
        <c:axId val="343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8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87-4536-A1E4-39BA8237D7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87-4536-A1E4-39BA8237D7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87-4536-A1E4-39BA8237D7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87-4536-A1E4-39BA8237D7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87-4536-A1E4-39BA8237D7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187-4536-A1E4-39BA8237D7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87-4536-A1E4-39BA8237D7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87-4536-A1E4-39BA8237D7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87-4536-A1E4-39BA8237D7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87-4536-A1E4-39BA8237D7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87-4536-A1E4-39BA8237D7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87-4536-A1E4-39BA8237D7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87-4536-A1E4-39BA8237D7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187-4536-A1E4-39BA8237D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82952"/>
        <c:axId val="343383344"/>
      </c:barChart>
      <c:catAx>
        <c:axId val="34338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8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338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A4-42F2-A94F-69A4B00066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A4-42F2-A94F-69A4B00066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A4-42F2-A94F-69A4B00066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A4-42F2-A94F-69A4B00066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A4-42F2-A94F-69A4B00066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A4-42F2-A94F-69A4B00066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A4-42F2-A94F-69A4B00066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A4-42F2-A94F-69A4B00066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A4-42F2-A94F-69A4B00066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A4-42F2-A94F-69A4B00066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A4-42F2-A94F-69A4B00066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A4-42F2-A94F-69A4B00066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A4-42F2-A94F-69A4B00066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A4-42F2-A94F-69A4B0006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0936"/>
        <c:axId val="344001328"/>
      </c:barChart>
      <c:catAx>
        <c:axId val="34400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0F-4288-89DA-8972242B8A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0F-4288-89DA-8972242B8A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0F-4288-89DA-8972242B8A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0F-4288-89DA-8972242B8A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0F-4288-89DA-8972242B8A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0F-4288-89DA-8972242B8A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0F-4288-89DA-8972242B8A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0F-4288-89DA-8972242B8A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0F-4288-89DA-8972242B8A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0F-4288-89DA-8972242B8A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0F-4288-89DA-8972242B8A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0F-4288-89DA-8972242B8A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0F-4288-89DA-8972242B8A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0F-4288-89DA-8972242B8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2112"/>
        <c:axId val="344002504"/>
      </c:barChart>
      <c:catAx>
        <c:axId val="34400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24-4584-9BE0-8A94CBC01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24-4584-9BE0-8A94CBC01A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24-4584-9BE0-8A94CBC01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24-4584-9BE0-8A94CBC01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24-4584-9BE0-8A94CBC01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24-4584-9BE0-8A94CBC01A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24-4584-9BE0-8A94CBC01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24-4584-9BE0-8A94CBC01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24-4584-9BE0-8A94CBC01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24-4584-9BE0-8A94CBC01A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24-4584-9BE0-8A94CBC01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24-4584-9BE0-8A94CBC01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24-4584-9BE0-8A94CBC01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24-4584-9BE0-8A94CBC01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3288"/>
        <c:axId val="344003680"/>
      </c:barChart>
      <c:catAx>
        <c:axId val="34400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6-464C-9515-872345C95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36-464C-9515-872345C952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36-464C-9515-872345C95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36-464C-9515-872345C95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36-464C-9515-872345C95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36-464C-9515-872345C952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36-464C-9515-872345C95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36-464C-9515-872345C95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36-464C-9515-872345C95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36-464C-9515-872345C952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36-464C-9515-872345C95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36-464C-9515-872345C95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36-464C-9515-872345C95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36-464C-9515-872345C95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4464"/>
        <c:axId val="344004856"/>
      </c:barChart>
      <c:catAx>
        <c:axId val="34400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94-43F8-8611-27E8F0791A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94-43F8-8611-27E8F0791A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94-43F8-8611-27E8F0791A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94-43F8-8611-27E8F0791A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94-43F8-8611-27E8F0791A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94-43F8-8611-27E8F0791A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94-43F8-8611-27E8F0791A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94-43F8-8611-27E8F0791A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94-43F8-8611-27E8F0791A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94-43F8-8611-27E8F0791A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94-43F8-8611-27E8F0791A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94-43F8-8611-27E8F0791A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94-43F8-8611-27E8F0791A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94-43F8-8611-27E8F0791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5640"/>
        <c:axId val="344006032"/>
      </c:barChart>
      <c:catAx>
        <c:axId val="34400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6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35-4581-9FBD-46BAD605B1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35-4581-9FBD-46BAD605B1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35-4581-9FBD-46BAD605B1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35-4581-9FBD-46BAD605B1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35-4581-9FBD-46BAD605B1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35-4581-9FBD-46BAD605B1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35-4581-9FBD-46BAD605B1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35-4581-9FBD-46BAD605B1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35-4581-9FBD-46BAD605B1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35-4581-9FBD-46BAD605B1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35-4581-9FBD-46BAD605B1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35-4581-9FBD-46BAD605B1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35-4581-9FBD-46BAD605B1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35-4581-9FBD-46BAD605B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6816"/>
        <c:axId val="344007208"/>
      </c:barChart>
      <c:catAx>
        <c:axId val="34400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00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18-472A-AED8-9A35B320E3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18-472A-AED8-9A35B320E3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18-472A-AED8-9A35B320E3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18-472A-AED8-9A35B320E3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18-472A-AED8-9A35B320E3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18-472A-AED8-9A35B320E3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18-472A-AED8-9A35B320E3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18-472A-AED8-9A35B320E3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18-472A-AED8-9A35B320E3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18-472A-AED8-9A35B320E3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18-472A-AED8-9A35B320E3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18-472A-AED8-9A35B320E3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18-472A-AED8-9A35B320E3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18-472A-AED8-9A35B320E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07992"/>
        <c:axId val="346935008"/>
      </c:barChart>
      <c:catAx>
        <c:axId val="34400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3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35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00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137361</xdr:colOff>
      <xdr:row>0</xdr:row>
      <xdr:rowOff>78205</xdr:rowOff>
    </xdr:from>
    <xdr:to>
      <xdr:col>1</xdr:col>
      <xdr:colOff>531395</xdr:colOff>
      <xdr:row>2</xdr:row>
      <xdr:rowOff>235833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61" y="78205"/>
          <a:ext cx="915402" cy="829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70184</xdr:colOff>
      <xdr:row>0</xdr:row>
      <xdr:rowOff>110290</xdr:rowOff>
    </xdr:from>
    <xdr:to>
      <xdr:col>3</xdr:col>
      <xdr:colOff>446672</xdr:colOff>
      <xdr:row>2</xdr:row>
      <xdr:rowOff>196717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53026" y="110290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252940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5" customFormat="1" ht="17.45" customHeight="1">
      <c r="A1" s="45" t="s">
        <v>95</v>
      </c>
      <c r="B1" s="46" t="s">
        <v>14</v>
      </c>
      <c r="C1" s="46"/>
      <c r="D1" s="46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7"/>
    </row>
    <row r="2" spans="1:21" s="5" customFormat="1" ht="17.45" customHeight="1">
      <c r="A2" s="48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5"/>
      <c r="S2" s="45"/>
      <c r="T2" s="45"/>
      <c r="U2" s="47"/>
    </row>
    <row r="3" spans="1:21" s="5" customFormat="1" ht="17.45" customHeight="1">
      <c r="A3" s="48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5"/>
      <c r="S3" s="45"/>
      <c r="T3" s="45"/>
      <c r="U3" s="47"/>
    </row>
    <row r="4" spans="1:21" s="5" customFormat="1" ht="10.5" customHeight="1">
      <c r="A4" s="48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5"/>
      <c r="S4" s="45"/>
      <c r="T4" s="45"/>
      <c r="U4" s="47"/>
    </row>
    <row r="5" spans="1:21" s="5" customFormat="1" ht="32.25" customHeight="1">
      <c r="A5" s="46"/>
      <c r="B5" s="100"/>
      <c r="C5" s="68"/>
      <c r="D5" s="68"/>
      <c r="E5" s="230" t="s">
        <v>71</v>
      </c>
      <c r="F5" s="230"/>
      <c r="G5" s="230"/>
      <c r="H5" s="230"/>
      <c r="I5" s="230"/>
      <c r="J5" s="230"/>
      <c r="K5" s="230"/>
      <c r="L5" s="230"/>
      <c r="M5" s="230"/>
      <c r="N5" s="69"/>
      <c r="O5" s="62"/>
      <c r="P5" s="62"/>
      <c r="Q5" s="101"/>
      <c r="R5" s="45"/>
      <c r="S5" s="45"/>
      <c r="T5" s="45"/>
      <c r="U5" s="47"/>
    </row>
    <row r="6" spans="1:21" s="5" customFormat="1" ht="17.45" customHeight="1">
      <c r="A6" s="48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5"/>
      <c r="S6" s="45"/>
      <c r="T6" s="45"/>
      <c r="U6" s="47"/>
    </row>
    <row r="7" spans="1:21" s="5" customFormat="1" ht="17.45" customHeight="1">
      <c r="A7" s="48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5"/>
      <c r="S7" s="45"/>
      <c r="T7" s="45"/>
      <c r="U7" s="47"/>
    </row>
    <row r="8" spans="1:21" s="5" customFormat="1" ht="17.45" customHeight="1">
      <c r="A8" s="48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5"/>
      <c r="S8" s="45"/>
      <c r="T8" s="45"/>
      <c r="U8" s="47"/>
    </row>
    <row r="9" spans="1:21" s="5" customFormat="1" ht="17.45" customHeight="1">
      <c r="A9" s="48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5"/>
      <c r="S9" s="45"/>
      <c r="T9" s="45"/>
      <c r="U9" s="47"/>
    </row>
    <row r="10" spans="1:21" s="5" customFormat="1" ht="17.45" customHeight="1">
      <c r="A10" s="48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5"/>
      <c r="S10" s="45"/>
      <c r="T10" s="45"/>
      <c r="U10" s="47"/>
    </row>
    <row r="11" spans="1:21" s="5" customFormat="1" ht="12" customHeight="1">
      <c r="A11" s="48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5"/>
      <c r="S11" s="45"/>
      <c r="T11" s="45"/>
      <c r="U11" s="47"/>
    </row>
    <row r="12" spans="1:21" s="5" customFormat="1" ht="17.45" customHeight="1">
      <c r="A12" s="48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5"/>
      <c r="S12" s="45"/>
      <c r="T12" s="45"/>
      <c r="U12" s="47"/>
    </row>
    <row r="13" spans="1:21" s="5" customFormat="1" ht="17.25" customHeight="1">
      <c r="A13" s="48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5"/>
      <c r="S13" s="45"/>
      <c r="T13" s="45"/>
      <c r="U13" s="47"/>
    </row>
    <row r="14" spans="1:21" s="5" customFormat="1" ht="17.25" customHeight="1">
      <c r="A14" s="48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5"/>
      <c r="S14" s="45"/>
      <c r="T14" s="45"/>
      <c r="U14" s="47"/>
    </row>
    <row r="15" spans="1:21" s="5" customFormat="1" ht="17.45" customHeight="1">
      <c r="A15" s="51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5"/>
      <c r="S15" s="45"/>
      <c r="T15" s="45"/>
      <c r="U15" s="47"/>
    </row>
    <row r="16" spans="1:21" s="5" customFormat="1" ht="17.45" customHeight="1">
      <c r="A16" s="51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5"/>
      <c r="S16" s="45"/>
      <c r="T16" s="45"/>
      <c r="U16" s="47"/>
    </row>
    <row r="17" spans="1:21" s="5" customFormat="1" ht="17.45" customHeight="1">
      <c r="A17" s="51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5"/>
      <c r="S17" s="45"/>
      <c r="T17" s="45"/>
      <c r="U17" s="47"/>
    </row>
    <row r="18" spans="1:21" s="5" customFormat="1" ht="17.25" customHeight="1">
      <c r="A18" s="51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5"/>
      <c r="S18" s="45"/>
      <c r="T18" s="45"/>
      <c r="U18" s="47"/>
    </row>
    <row r="19" spans="1:21" s="5" customFormat="1" ht="17.45" customHeight="1">
      <c r="A19" s="51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5"/>
      <c r="S19" s="45"/>
      <c r="T19" s="45"/>
      <c r="U19" s="47"/>
    </row>
    <row r="20" spans="1:21" s="5" customFormat="1" ht="17.45" customHeight="1">
      <c r="A20" s="51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5"/>
      <c r="S20" s="45"/>
      <c r="T20" s="45"/>
      <c r="U20" s="47"/>
    </row>
    <row r="21" spans="1:21" s="5" customFormat="1" ht="17.45" customHeight="1">
      <c r="A21" s="51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5"/>
      <c r="S21" s="45"/>
      <c r="T21" s="45"/>
      <c r="U21" s="47"/>
    </row>
    <row r="22" spans="1:21" s="5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7"/>
    </row>
    <row r="23" spans="1:21" s="5" customFormat="1" ht="15" customHeight="1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59"/>
      <c r="S23" s="60"/>
      <c r="T23" s="60"/>
      <c r="U23" s="60"/>
    </row>
    <row r="24" spans="1:21" s="5" customFormat="1" ht="15" customHeight="1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59"/>
      <c r="S24" s="60"/>
      <c r="T24" s="60"/>
      <c r="U24" s="60"/>
    </row>
    <row r="25" spans="1:21" s="5" customFormat="1" ht="15" customHeight="1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59"/>
      <c r="S25" s="60"/>
      <c r="T25" s="60"/>
      <c r="U25" s="60"/>
    </row>
    <row r="26" spans="1:21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59"/>
      <c r="S26" s="60"/>
      <c r="T26" s="60"/>
      <c r="U26" s="61"/>
    </row>
    <row r="27" spans="1:2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59"/>
      <c r="S27" s="60"/>
      <c r="T27" s="60"/>
      <c r="U27" s="61"/>
    </row>
    <row r="28" spans="1:21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10" t="s">
        <v>25</v>
      </c>
    </row>
    <row r="72" spans="2:2">
      <c r="B72" s="11" t="s">
        <v>27</v>
      </c>
    </row>
    <row r="73" spans="2:2">
      <c r="B73" s="12" t="s">
        <v>31</v>
      </c>
    </row>
    <row r="74" spans="2:2">
      <c r="B74" s="13"/>
    </row>
    <row r="76" spans="2:2">
      <c r="B76" s="10" t="s">
        <v>25</v>
      </c>
    </row>
    <row r="77" spans="2:2">
      <c r="B77" s="11" t="s">
        <v>28</v>
      </c>
    </row>
    <row r="78" spans="2:2">
      <c r="B78" s="12" t="s">
        <v>32</v>
      </c>
    </row>
    <row r="79" spans="2:2">
      <c r="B79" s="13"/>
    </row>
    <row r="81" spans="2:2">
      <c r="B81" s="10" t="s">
        <v>33</v>
      </c>
    </row>
    <row r="82" spans="2:2">
      <c r="B82" s="11" t="s">
        <v>21</v>
      </c>
    </row>
    <row r="83" spans="2:2">
      <c r="B83" s="12" t="s">
        <v>29</v>
      </c>
    </row>
    <row r="84" spans="2:2">
      <c r="B84" s="12" t="s">
        <v>34</v>
      </c>
    </row>
    <row r="85" spans="2:2">
      <c r="B85" s="12" t="s">
        <v>35</v>
      </c>
    </row>
    <row r="86" spans="2:2">
      <c r="B86" s="12" t="s">
        <v>36</v>
      </c>
    </row>
    <row r="87" spans="2:2">
      <c r="B87" s="13" t="s">
        <v>37</v>
      </c>
    </row>
    <row r="88" spans="2:2">
      <c r="B88" s="3"/>
    </row>
    <row r="89" spans="2:2">
      <c r="B89" s="10" t="s">
        <v>38</v>
      </c>
    </row>
    <row r="90" spans="2:2">
      <c r="B90" s="14">
        <v>23</v>
      </c>
    </row>
    <row r="91" spans="2:2">
      <c r="B91" s="15">
        <v>27</v>
      </c>
    </row>
    <row r="92" spans="2:2">
      <c r="B92" s="15">
        <v>31</v>
      </c>
    </row>
    <row r="93" spans="2:2">
      <c r="B93" s="15">
        <v>41</v>
      </c>
    </row>
    <row r="94" spans="2:2">
      <c r="B94" s="16" t="s">
        <v>39</v>
      </c>
    </row>
    <row r="95" spans="2:2">
      <c r="B95" s="16" t="s">
        <v>40</v>
      </c>
    </row>
    <row r="96" spans="2:2">
      <c r="B96" s="16" t="s">
        <v>30</v>
      </c>
    </row>
    <row r="97" spans="2:2">
      <c r="B97" s="17" t="s">
        <v>41</v>
      </c>
    </row>
    <row r="98" spans="2:2">
      <c r="B98" s="3"/>
    </row>
    <row r="99" spans="2:2">
      <c r="B99" s="10" t="s">
        <v>26</v>
      </c>
    </row>
    <row r="100" spans="2:2">
      <c r="B100" s="18">
        <v>190</v>
      </c>
    </row>
    <row r="101" spans="2:2">
      <c r="B101" s="19">
        <v>217</v>
      </c>
    </row>
    <row r="102" spans="2:2">
      <c r="B102" s="19">
        <v>250</v>
      </c>
    </row>
    <row r="103" spans="2:2">
      <c r="B103" s="19">
        <v>254</v>
      </c>
    </row>
    <row r="104" spans="2:2">
      <c r="B104" s="19">
        <v>271</v>
      </c>
    </row>
    <row r="105" spans="2:2">
      <c r="B105" s="19">
        <v>304</v>
      </c>
    </row>
    <row r="106" spans="2:2">
      <c r="B106" s="19">
        <v>317</v>
      </c>
    </row>
    <row r="107" spans="2:2">
      <c r="B107" s="19">
        <v>362</v>
      </c>
    </row>
    <row r="108" spans="2:2">
      <c r="B108" s="20"/>
    </row>
    <row r="109" spans="2:2">
      <c r="B109" s="3"/>
    </row>
    <row r="110" spans="2:2">
      <c r="B110" s="10" t="s">
        <v>42</v>
      </c>
    </row>
    <row r="111" spans="2:2">
      <c r="B111" s="11" t="s">
        <v>43</v>
      </c>
    </row>
    <row r="112" spans="2:2">
      <c r="B112" s="12" t="s">
        <v>44</v>
      </c>
    </row>
    <row r="113" spans="2:2">
      <c r="B113" s="12" t="s">
        <v>45</v>
      </c>
    </row>
    <row r="114" spans="2:2">
      <c r="B114" s="13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EC252"/>
  <sheetViews>
    <sheetView tabSelected="1" zoomScale="95" zoomScaleNormal="95" workbookViewId="0">
      <pane xSplit="13" ySplit="4" topLeftCell="N5" activePane="bottomRight" state="frozen"/>
      <selection pane="topRight" activeCell="K1" sqref="K1"/>
      <selection pane="bottomLeft" activeCell="A12" sqref="A12"/>
      <selection pane="bottomRight" activeCell="F30" sqref="F30"/>
    </sheetView>
  </sheetViews>
  <sheetFormatPr baseColWidth="10" defaultRowHeight="15"/>
  <cols>
    <col min="1" max="1" width="6.875" customWidth="1"/>
    <col min="2" max="2" width="7.375" customWidth="1"/>
    <col min="3" max="3" width="6.125" customWidth="1"/>
    <col min="4" max="4" width="8.375" bestFit="1" customWidth="1"/>
    <col min="5" max="5" width="10.5" style="1" customWidth="1"/>
    <col min="6" max="6" width="11.75" style="138" customWidth="1"/>
    <col min="7" max="7" width="8.75" style="1" customWidth="1"/>
    <col min="8" max="10" width="9.75" style="22" customWidth="1"/>
    <col min="11" max="11" width="10.625" style="22" customWidth="1"/>
    <col min="12" max="12" width="10.375" style="4" customWidth="1"/>
    <col min="13" max="13" width="10.5" style="4" customWidth="1"/>
    <col min="14" max="14" width="7.625" style="1" customWidth="1"/>
    <col min="15" max="21" width="7.625" style="2" customWidth="1"/>
    <col min="22" max="23" width="7.625" style="1" customWidth="1"/>
    <col min="24" max="25" width="11" style="6"/>
    <col min="26" max="26" width="14.375" style="6" customWidth="1"/>
    <col min="27" max="27" width="13.875" style="6" customWidth="1"/>
    <col min="28" max="133" width="11" style="6"/>
  </cols>
  <sheetData>
    <row r="1" spans="1:133" ht="30" customHeight="1" thickBot="1">
      <c r="E1" s="239" t="s">
        <v>18</v>
      </c>
      <c r="F1" s="239"/>
      <c r="G1" s="239"/>
      <c r="H1" s="239"/>
      <c r="I1" s="239"/>
      <c r="J1" s="227"/>
      <c r="K1" s="242" t="s">
        <v>127</v>
      </c>
      <c r="L1" s="242"/>
      <c r="M1" s="242"/>
      <c r="N1" s="9"/>
      <c r="Y1" s="6">
        <f>70*23/60</f>
        <v>26.833333333333332</v>
      </c>
      <c r="AA1" s="6">
        <f>26+25</f>
        <v>51</v>
      </c>
      <c r="AH1" s="6">
        <f>34*70/60</f>
        <v>39.666666666666664</v>
      </c>
    </row>
    <row r="2" spans="1:133" ht="22.5" customHeight="1" thickBot="1">
      <c r="E2" s="240" t="s">
        <v>19</v>
      </c>
      <c r="F2" s="240"/>
      <c r="G2" s="240"/>
      <c r="H2" s="240"/>
      <c r="I2" s="240"/>
      <c r="J2" s="228"/>
      <c r="K2" s="242"/>
      <c r="L2" s="242"/>
      <c r="M2" s="242"/>
      <c r="N2" s="248" t="s">
        <v>73</v>
      </c>
      <c r="O2" s="249"/>
      <c r="P2" s="251" t="s">
        <v>55</v>
      </c>
      <c r="Q2" s="251"/>
      <c r="R2" s="251"/>
      <c r="S2" s="251"/>
      <c r="T2" s="251"/>
      <c r="U2" s="256"/>
      <c r="V2" s="250" t="s">
        <v>73</v>
      </c>
      <c r="W2" s="251"/>
      <c r="X2" s="231" t="s">
        <v>115</v>
      </c>
      <c r="Y2" s="232"/>
      <c r="Z2" s="232"/>
      <c r="AA2" s="232"/>
      <c r="AB2" s="233" t="s">
        <v>80</v>
      </c>
      <c r="AC2" s="233"/>
      <c r="AD2" s="237" t="s">
        <v>81</v>
      </c>
      <c r="AE2" s="237"/>
      <c r="AF2" s="237"/>
      <c r="AG2" s="237"/>
      <c r="AH2" s="23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</row>
    <row r="3" spans="1:133" ht="27" customHeight="1">
      <c r="E3" s="241" t="s">
        <v>125</v>
      </c>
      <c r="F3" s="241"/>
      <c r="G3" s="241"/>
      <c r="H3" s="241"/>
      <c r="I3" s="241"/>
      <c r="J3" s="229"/>
      <c r="K3" s="243"/>
      <c r="L3" s="243"/>
      <c r="M3" s="243"/>
      <c r="N3" s="246" t="s">
        <v>116</v>
      </c>
      <c r="O3" s="247"/>
      <c r="P3" s="252" t="s">
        <v>70</v>
      </c>
      <c r="Q3" s="253"/>
      <c r="R3" s="252" t="s">
        <v>98</v>
      </c>
      <c r="S3" s="253"/>
      <c r="T3" s="254" t="s">
        <v>97</v>
      </c>
      <c r="U3" s="255"/>
      <c r="V3" s="244" t="s">
        <v>117</v>
      </c>
      <c r="W3" s="245"/>
      <c r="X3" s="234" t="s">
        <v>82</v>
      </c>
      <c r="Y3" s="235"/>
      <c r="Z3" s="188" t="s">
        <v>83</v>
      </c>
      <c r="AA3" s="188" t="s">
        <v>84</v>
      </c>
      <c r="AB3" s="189" t="s">
        <v>85</v>
      </c>
      <c r="AC3" s="189" t="s">
        <v>86</v>
      </c>
      <c r="AD3" s="236" t="s">
        <v>87</v>
      </c>
      <c r="AE3" s="236"/>
      <c r="AF3" s="236" t="s">
        <v>83</v>
      </c>
      <c r="AG3" s="236"/>
      <c r="AH3" s="190" t="s">
        <v>84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</row>
    <row r="4" spans="1:133" ht="30">
      <c r="A4" s="191" t="s">
        <v>25</v>
      </c>
      <c r="B4" s="192" t="s">
        <v>118</v>
      </c>
      <c r="C4" s="192" t="s">
        <v>119</v>
      </c>
      <c r="D4" s="192" t="s">
        <v>20</v>
      </c>
      <c r="E4" s="192" t="s">
        <v>1</v>
      </c>
      <c r="F4" s="193" t="s">
        <v>120</v>
      </c>
      <c r="G4" s="193" t="s">
        <v>5</v>
      </c>
      <c r="H4" s="193" t="s">
        <v>54</v>
      </c>
      <c r="I4" s="193" t="s">
        <v>62</v>
      </c>
      <c r="J4" s="193" t="s">
        <v>121</v>
      </c>
      <c r="K4" s="193" t="s">
        <v>22</v>
      </c>
      <c r="L4" s="193" t="s">
        <v>23</v>
      </c>
      <c r="M4" s="194" t="s">
        <v>122</v>
      </c>
      <c r="N4" s="195" t="s">
        <v>17</v>
      </c>
      <c r="O4" s="196" t="s">
        <v>2</v>
      </c>
      <c r="P4" s="196" t="s">
        <v>17</v>
      </c>
      <c r="Q4" s="196" t="s">
        <v>2</v>
      </c>
      <c r="R4" s="196" t="s">
        <v>17</v>
      </c>
      <c r="S4" s="196" t="s">
        <v>2</v>
      </c>
      <c r="T4" s="196" t="s">
        <v>17</v>
      </c>
      <c r="U4" s="196" t="s">
        <v>2</v>
      </c>
      <c r="V4" s="196" t="s">
        <v>17</v>
      </c>
      <c r="W4" s="197" t="s">
        <v>2</v>
      </c>
      <c r="X4" s="198" t="s">
        <v>88</v>
      </c>
      <c r="Y4" s="199" t="s">
        <v>89</v>
      </c>
      <c r="Z4" s="199" t="s">
        <v>88</v>
      </c>
      <c r="AA4" s="200" t="s">
        <v>90</v>
      </c>
      <c r="AB4" s="201" t="s">
        <v>91</v>
      </c>
      <c r="AC4" s="202" t="s">
        <v>92</v>
      </c>
      <c r="AD4" s="203" t="s">
        <v>88</v>
      </c>
      <c r="AE4" s="203" t="s">
        <v>89</v>
      </c>
      <c r="AF4" s="203" t="s">
        <v>88</v>
      </c>
      <c r="AG4" s="203" t="s">
        <v>93</v>
      </c>
      <c r="AH4" s="204" t="s">
        <v>90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</row>
    <row r="5" spans="1:133">
      <c r="A5" s="205" t="s">
        <v>123</v>
      </c>
      <c r="B5">
        <v>114.3</v>
      </c>
      <c r="C5" s="226">
        <v>6.88</v>
      </c>
      <c r="D5" s="187" t="s">
        <v>124</v>
      </c>
      <c r="E5" s="140">
        <v>42639</v>
      </c>
      <c r="F5" s="149" t="s">
        <v>77</v>
      </c>
      <c r="G5" s="141">
        <v>1478</v>
      </c>
      <c r="H5" s="150">
        <v>12740</v>
      </c>
      <c r="I5" s="44">
        <v>1884801</v>
      </c>
      <c r="J5" s="185" t="s">
        <v>126</v>
      </c>
      <c r="K5" s="150">
        <v>48</v>
      </c>
      <c r="L5" s="131">
        <v>0.34</v>
      </c>
      <c r="M5" s="151">
        <v>5</v>
      </c>
      <c r="N5" s="157">
        <v>89.1</v>
      </c>
      <c r="O5" s="152">
        <v>105.4</v>
      </c>
      <c r="P5" s="152">
        <v>86.2</v>
      </c>
      <c r="Q5" s="152">
        <v>103.9</v>
      </c>
      <c r="R5" s="152">
        <v>86.7</v>
      </c>
      <c r="S5" s="152">
        <v>104.6</v>
      </c>
      <c r="T5" s="152">
        <v>85.8</v>
      </c>
      <c r="U5" s="152">
        <v>104.3</v>
      </c>
      <c r="V5" s="152">
        <v>92.2</v>
      </c>
      <c r="W5" s="152">
        <v>108</v>
      </c>
      <c r="X5" s="153">
        <v>930</v>
      </c>
      <c r="Y5" s="154">
        <v>900</v>
      </c>
      <c r="Z5" s="155">
        <v>970</v>
      </c>
      <c r="AA5" s="155">
        <v>75</v>
      </c>
      <c r="AB5" s="156">
        <v>0.33</v>
      </c>
      <c r="AC5" s="156">
        <v>1050</v>
      </c>
      <c r="AD5" s="155">
        <v>605</v>
      </c>
      <c r="AE5" s="155">
        <v>550</v>
      </c>
      <c r="AF5" s="155">
        <v>610</v>
      </c>
      <c r="AG5" s="156">
        <v>610</v>
      </c>
      <c r="AH5" s="206">
        <v>75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</row>
    <row r="6" spans="1:133">
      <c r="A6" s="205" t="s">
        <v>123</v>
      </c>
      <c r="B6">
        <v>114.3</v>
      </c>
      <c r="C6" s="226">
        <v>6.88</v>
      </c>
      <c r="D6" s="187" t="s">
        <v>124</v>
      </c>
      <c r="E6" s="140">
        <v>42639</v>
      </c>
      <c r="F6" s="149" t="s">
        <v>77</v>
      </c>
      <c r="G6" s="141">
        <v>1478</v>
      </c>
      <c r="H6" s="150">
        <v>12740</v>
      </c>
      <c r="I6" s="44">
        <v>1884801</v>
      </c>
      <c r="J6" s="185" t="s">
        <v>126</v>
      </c>
      <c r="K6" s="150">
        <v>48</v>
      </c>
      <c r="L6" s="131">
        <v>0.34</v>
      </c>
      <c r="M6" s="147">
        <v>109</v>
      </c>
      <c r="N6" s="160">
        <v>93</v>
      </c>
      <c r="O6" s="24">
        <v>107.9</v>
      </c>
      <c r="P6" s="24">
        <v>85.6</v>
      </c>
      <c r="Q6" s="24">
        <v>104.2</v>
      </c>
      <c r="R6" s="24">
        <v>84.2</v>
      </c>
      <c r="S6" s="24">
        <v>103.5</v>
      </c>
      <c r="T6" s="24">
        <v>84.8</v>
      </c>
      <c r="U6" s="24">
        <v>103.3</v>
      </c>
      <c r="V6" s="24">
        <v>86.5</v>
      </c>
      <c r="W6" s="24">
        <v>105</v>
      </c>
      <c r="X6" s="153">
        <v>930</v>
      </c>
      <c r="Y6" s="154">
        <v>900</v>
      </c>
      <c r="Z6" s="155">
        <v>970</v>
      </c>
      <c r="AA6" s="155">
        <v>75</v>
      </c>
      <c r="AB6" s="156">
        <v>0.33</v>
      </c>
      <c r="AC6" s="156">
        <v>1050</v>
      </c>
      <c r="AD6" s="155">
        <v>605</v>
      </c>
      <c r="AE6" s="155">
        <v>550</v>
      </c>
      <c r="AF6" s="155">
        <v>610</v>
      </c>
      <c r="AG6" s="156">
        <v>610</v>
      </c>
      <c r="AH6" s="206">
        <v>75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</row>
    <row r="7" spans="1:133">
      <c r="A7" s="205" t="s">
        <v>123</v>
      </c>
      <c r="B7">
        <v>114.3</v>
      </c>
      <c r="C7" s="226">
        <v>6.88</v>
      </c>
      <c r="D7" s="187" t="s">
        <v>124</v>
      </c>
      <c r="E7" s="140">
        <v>42639</v>
      </c>
      <c r="F7" s="149" t="s">
        <v>101</v>
      </c>
      <c r="G7" s="23">
        <v>1479</v>
      </c>
      <c r="H7" s="21">
        <v>12755</v>
      </c>
      <c r="I7" s="44">
        <v>1884801</v>
      </c>
      <c r="J7" s="185" t="s">
        <v>126</v>
      </c>
      <c r="K7" s="150">
        <v>53</v>
      </c>
      <c r="L7" s="131">
        <v>1.96</v>
      </c>
      <c r="M7" s="147">
        <v>8</v>
      </c>
      <c r="N7" s="145">
        <v>88.4</v>
      </c>
      <c r="O7" s="24">
        <v>104.6</v>
      </c>
      <c r="P7" s="24">
        <v>89</v>
      </c>
      <c r="Q7" s="24">
        <v>104.3</v>
      </c>
      <c r="R7" s="24">
        <v>88</v>
      </c>
      <c r="S7" s="24">
        <v>103.2</v>
      </c>
      <c r="T7" s="24">
        <v>89.2</v>
      </c>
      <c r="U7" s="24">
        <v>106.1</v>
      </c>
      <c r="V7" s="24">
        <v>85.4</v>
      </c>
      <c r="W7" s="24">
        <v>104.9</v>
      </c>
      <c r="X7" s="153">
        <v>930</v>
      </c>
      <c r="Y7" s="154">
        <v>900</v>
      </c>
      <c r="Z7" s="155">
        <v>970</v>
      </c>
      <c r="AA7" s="155">
        <v>75</v>
      </c>
      <c r="AB7" s="156">
        <v>0.33</v>
      </c>
      <c r="AC7" s="156">
        <v>1050</v>
      </c>
      <c r="AD7" s="155">
        <v>615</v>
      </c>
      <c r="AE7" s="155">
        <v>560</v>
      </c>
      <c r="AF7" s="155">
        <v>620</v>
      </c>
      <c r="AG7" s="156">
        <v>620</v>
      </c>
      <c r="AH7" s="206">
        <v>75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</row>
    <row r="8" spans="1:133">
      <c r="A8" s="205" t="s">
        <v>123</v>
      </c>
      <c r="B8">
        <v>114.3</v>
      </c>
      <c r="C8" s="226">
        <v>6.88</v>
      </c>
      <c r="D8" s="187" t="s">
        <v>124</v>
      </c>
      <c r="E8" s="140">
        <v>42639</v>
      </c>
      <c r="F8" s="149" t="s">
        <v>101</v>
      </c>
      <c r="G8" s="23">
        <v>1479</v>
      </c>
      <c r="H8" s="21">
        <v>12755</v>
      </c>
      <c r="I8" s="44">
        <v>1884801</v>
      </c>
      <c r="J8" s="185" t="s">
        <v>126</v>
      </c>
      <c r="K8" s="150">
        <v>53</v>
      </c>
      <c r="L8" s="131">
        <v>1.96</v>
      </c>
      <c r="M8" s="147">
        <v>95</v>
      </c>
      <c r="N8" s="145">
        <v>93.4</v>
      </c>
      <c r="O8" s="24">
        <v>107.2</v>
      </c>
      <c r="P8" s="24">
        <v>90.9</v>
      </c>
      <c r="Q8" s="24">
        <v>106.7</v>
      </c>
      <c r="R8" s="24">
        <v>89.2</v>
      </c>
      <c r="S8" s="24">
        <v>104.4</v>
      </c>
      <c r="T8" s="24">
        <v>90</v>
      </c>
      <c r="U8" s="24">
        <v>106</v>
      </c>
      <c r="V8" s="24">
        <v>95.4</v>
      </c>
      <c r="W8" s="24">
        <v>108.9</v>
      </c>
      <c r="X8" s="153">
        <v>930</v>
      </c>
      <c r="Y8" s="154">
        <v>900</v>
      </c>
      <c r="Z8" s="155">
        <v>970</v>
      </c>
      <c r="AA8" s="155">
        <v>75</v>
      </c>
      <c r="AB8" s="156">
        <v>0.33</v>
      </c>
      <c r="AC8" s="156">
        <v>1050</v>
      </c>
      <c r="AD8" s="155">
        <v>615</v>
      </c>
      <c r="AE8" s="155">
        <v>560</v>
      </c>
      <c r="AF8" s="155">
        <v>620</v>
      </c>
      <c r="AG8" s="156">
        <v>620</v>
      </c>
      <c r="AH8" s="206">
        <v>75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</row>
    <row r="9" spans="1:133" ht="15.75">
      <c r="A9" s="205" t="s">
        <v>123</v>
      </c>
      <c r="B9">
        <v>114.3</v>
      </c>
      <c r="C9" s="226">
        <v>6.88</v>
      </c>
      <c r="D9" s="187" t="s">
        <v>124</v>
      </c>
      <c r="E9" s="140">
        <v>42661</v>
      </c>
      <c r="F9" s="149" t="s">
        <v>101</v>
      </c>
      <c r="G9" s="23">
        <v>1532</v>
      </c>
      <c r="H9" s="21">
        <v>12753</v>
      </c>
      <c r="I9" s="44">
        <v>1884801</v>
      </c>
      <c r="J9" s="185" t="s">
        <v>126</v>
      </c>
      <c r="K9" s="150">
        <v>52</v>
      </c>
      <c r="L9" s="131">
        <v>0.31</v>
      </c>
      <c r="M9" s="147">
        <v>10</v>
      </c>
      <c r="N9" s="145">
        <v>82.1</v>
      </c>
      <c r="O9" s="161">
        <v>98.4</v>
      </c>
      <c r="P9" s="24"/>
      <c r="Q9" s="24"/>
      <c r="R9" s="24">
        <v>85.1</v>
      </c>
      <c r="S9" s="162">
        <v>100.3</v>
      </c>
      <c r="T9" s="24"/>
      <c r="U9" s="24"/>
      <c r="V9" s="24">
        <v>81.099999999999994</v>
      </c>
      <c r="W9" s="161">
        <v>99.4</v>
      </c>
      <c r="X9" s="153">
        <v>930</v>
      </c>
      <c r="Y9" s="154">
        <v>900</v>
      </c>
      <c r="Z9" s="155">
        <v>970</v>
      </c>
      <c r="AA9" s="155">
        <v>75</v>
      </c>
      <c r="AB9" s="156">
        <v>0.32</v>
      </c>
      <c r="AC9" s="156">
        <v>1050</v>
      </c>
      <c r="AD9" s="155">
        <v>605</v>
      </c>
      <c r="AE9" s="155">
        <v>510</v>
      </c>
      <c r="AF9" s="155">
        <v>605</v>
      </c>
      <c r="AG9" s="156">
        <v>605</v>
      </c>
      <c r="AH9" s="206">
        <v>75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</row>
    <row r="10" spans="1:133" ht="15.75">
      <c r="A10" s="205" t="s">
        <v>123</v>
      </c>
      <c r="B10">
        <v>114.3</v>
      </c>
      <c r="C10" s="226">
        <v>6.88</v>
      </c>
      <c r="D10" s="187" t="s">
        <v>124</v>
      </c>
      <c r="E10" s="140">
        <v>42661</v>
      </c>
      <c r="F10" s="149" t="s">
        <v>101</v>
      </c>
      <c r="G10" s="23">
        <v>1532</v>
      </c>
      <c r="H10" s="21">
        <v>12753</v>
      </c>
      <c r="I10" s="44">
        <v>1884801</v>
      </c>
      <c r="J10" s="185" t="s">
        <v>126</v>
      </c>
      <c r="K10" s="150">
        <v>52</v>
      </c>
      <c r="L10" s="131">
        <v>0.31</v>
      </c>
      <c r="M10" s="147">
        <v>101</v>
      </c>
      <c r="N10" s="145">
        <v>82.8</v>
      </c>
      <c r="O10" s="161">
        <v>99.7</v>
      </c>
      <c r="P10" s="24"/>
      <c r="Q10" s="24"/>
      <c r="R10" s="24"/>
      <c r="S10" s="24"/>
      <c r="T10" s="24"/>
      <c r="U10" s="24"/>
      <c r="V10" s="24"/>
      <c r="W10" s="24"/>
      <c r="X10" s="153">
        <v>930</v>
      </c>
      <c r="Y10" s="154">
        <v>900</v>
      </c>
      <c r="Z10" s="155">
        <v>970</v>
      </c>
      <c r="AA10" s="155">
        <v>75</v>
      </c>
      <c r="AB10" s="156">
        <v>0.32</v>
      </c>
      <c r="AC10" s="156">
        <v>1050</v>
      </c>
      <c r="AD10" s="155">
        <v>605</v>
      </c>
      <c r="AE10" s="155">
        <v>510</v>
      </c>
      <c r="AF10" s="155">
        <v>605</v>
      </c>
      <c r="AG10" s="156">
        <v>605</v>
      </c>
      <c r="AH10" s="206">
        <v>75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</row>
    <row r="11" spans="1:133" s="181" customFormat="1">
      <c r="A11" s="205" t="s">
        <v>123</v>
      </c>
      <c r="B11">
        <v>114.3</v>
      </c>
      <c r="C11" s="226">
        <v>6.88</v>
      </c>
      <c r="D11" s="187" t="s">
        <v>124</v>
      </c>
      <c r="E11" s="168">
        <v>42661</v>
      </c>
      <c r="F11" s="169" t="s">
        <v>77</v>
      </c>
      <c r="G11" s="170">
        <v>1533</v>
      </c>
      <c r="H11" s="171">
        <v>12737</v>
      </c>
      <c r="I11" s="172">
        <v>1884801</v>
      </c>
      <c r="J11" s="185" t="s">
        <v>126</v>
      </c>
      <c r="K11" s="171">
        <v>50</v>
      </c>
      <c r="L11" s="173">
        <v>1.1100000000000001</v>
      </c>
      <c r="M11" s="174">
        <v>10</v>
      </c>
      <c r="N11" s="175">
        <v>91</v>
      </c>
      <c r="O11" s="176">
        <v>105.9</v>
      </c>
      <c r="P11" s="176">
        <v>89.5</v>
      </c>
      <c r="Q11" s="176">
        <v>105.5</v>
      </c>
      <c r="R11" s="176">
        <v>89.1</v>
      </c>
      <c r="S11" s="176">
        <v>105.9</v>
      </c>
      <c r="T11" s="176">
        <v>91.8</v>
      </c>
      <c r="U11" s="176">
        <v>106.9</v>
      </c>
      <c r="V11" s="176">
        <v>91.9</v>
      </c>
      <c r="W11" s="176">
        <v>106.6</v>
      </c>
      <c r="X11" s="177">
        <v>930</v>
      </c>
      <c r="Y11" s="178">
        <v>900</v>
      </c>
      <c r="Z11" s="179">
        <v>970</v>
      </c>
      <c r="AA11" s="179">
        <v>75</v>
      </c>
      <c r="AB11" s="179">
        <v>0.32</v>
      </c>
      <c r="AC11" s="179">
        <v>1050</v>
      </c>
      <c r="AD11" s="179">
        <v>605</v>
      </c>
      <c r="AE11" s="179">
        <v>510</v>
      </c>
      <c r="AF11" s="179">
        <v>605</v>
      </c>
      <c r="AG11" s="179">
        <v>605</v>
      </c>
      <c r="AH11" s="207">
        <v>75</v>
      </c>
      <c r="AI11" s="180" t="s">
        <v>49</v>
      </c>
    </row>
    <row r="12" spans="1:133" s="181" customFormat="1">
      <c r="A12" s="205" t="s">
        <v>123</v>
      </c>
      <c r="B12">
        <v>114.3</v>
      </c>
      <c r="C12" s="226">
        <v>6.88</v>
      </c>
      <c r="D12" s="187" t="s">
        <v>124</v>
      </c>
      <c r="E12" s="168">
        <v>42661</v>
      </c>
      <c r="F12" s="169" t="s">
        <v>77</v>
      </c>
      <c r="G12" s="170">
        <v>1533</v>
      </c>
      <c r="H12" s="171">
        <v>12737</v>
      </c>
      <c r="I12" s="172">
        <v>1884801</v>
      </c>
      <c r="J12" s="185" t="s">
        <v>126</v>
      </c>
      <c r="K12" s="171">
        <v>50</v>
      </c>
      <c r="L12" s="173">
        <v>1.1100000000000001</v>
      </c>
      <c r="M12" s="174">
        <v>101</v>
      </c>
      <c r="N12" s="175">
        <v>90.3</v>
      </c>
      <c r="O12" s="176">
        <v>105.7</v>
      </c>
      <c r="P12" s="176">
        <v>88.6</v>
      </c>
      <c r="Q12" s="176">
        <v>105.4</v>
      </c>
      <c r="R12" s="176">
        <v>87.7</v>
      </c>
      <c r="S12" s="176">
        <v>104.9</v>
      </c>
      <c r="T12" s="176">
        <v>91.7</v>
      </c>
      <c r="U12" s="176">
        <v>108.1</v>
      </c>
      <c r="V12" s="176">
        <v>93.7</v>
      </c>
      <c r="W12" s="176">
        <v>108.8</v>
      </c>
      <c r="X12" s="177">
        <v>930</v>
      </c>
      <c r="Y12" s="178">
        <v>900</v>
      </c>
      <c r="Z12" s="179">
        <v>970</v>
      </c>
      <c r="AA12" s="179">
        <v>75</v>
      </c>
      <c r="AB12" s="179">
        <v>0.32</v>
      </c>
      <c r="AC12" s="179">
        <v>1050</v>
      </c>
      <c r="AD12" s="179">
        <v>605</v>
      </c>
      <c r="AE12" s="179">
        <v>510</v>
      </c>
      <c r="AF12" s="179">
        <v>605</v>
      </c>
      <c r="AG12" s="179">
        <v>605</v>
      </c>
      <c r="AH12" s="207">
        <v>75</v>
      </c>
    </row>
    <row r="13" spans="1:133" ht="15.75">
      <c r="A13" s="205" t="s">
        <v>123</v>
      </c>
      <c r="B13">
        <v>114.3</v>
      </c>
      <c r="C13" s="226">
        <v>6.88</v>
      </c>
      <c r="D13" s="187" t="s">
        <v>124</v>
      </c>
      <c r="E13" s="140">
        <v>42671</v>
      </c>
      <c r="F13" s="149" t="s">
        <v>101</v>
      </c>
      <c r="G13" s="23">
        <v>1606</v>
      </c>
      <c r="H13" s="21">
        <v>12753</v>
      </c>
      <c r="I13" s="44">
        <v>1884801</v>
      </c>
      <c r="J13" s="185" t="s">
        <v>126</v>
      </c>
      <c r="K13" s="150">
        <v>52</v>
      </c>
      <c r="L13" s="131">
        <v>0.31</v>
      </c>
      <c r="M13" s="147">
        <v>124</v>
      </c>
      <c r="N13" s="145">
        <v>88.4</v>
      </c>
      <c r="O13" s="24">
        <v>104.1</v>
      </c>
      <c r="P13" s="24">
        <v>91.4</v>
      </c>
      <c r="Q13" s="24">
        <v>107</v>
      </c>
      <c r="R13" s="24">
        <v>91.2</v>
      </c>
      <c r="S13" s="24">
        <v>105.3</v>
      </c>
      <c r="T13" s="24">
        <v>101.1</v>
      </c>
      <c r="U13" s="24">
        <v>115.6</v>
      </c>
      <c r="V13" s="24">
        <v>96.7</v>
      </c>
      <c r="W13" s="24">
        <v>111.7</v>
      </c>
      <c r="X13" s="163">
        <v>930</v>
      </c>
      <c r="Y13" s="164">
        <v>900</v>
      </c>
      <c r="Z13" s="165">
        <v>970</v>
      </c>
      <c r="AA13" s="165">
        <v>70</v>
      </c>
      <c r="AB13" s="166">
        <v>0.25</v>
      </c>
      <c r="AC13" s="166">
        <v>1250</v>
      </c>
      <c r="AD13" s="167">
        <f>605-20</f>
        <v>585</v>
      </c>
      <c r="AE13" s="167">
        <v>485</v>
      </c>
      <c r="AF13" s="167">
        <v>585</v>
      </c>
      <c r="AG13" s="166">
        <v>585</v>
      </c>
      <c r="AH13" s="208">
        <v>70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</row>
    <row r="14" spans="1:133" ht="15.75">
      <c r="A14" s="205" t="s">
        <v>123</v>
      </c>
      <c r="B14">
        <v>114.3</v>
      </c>
      <c r="C14" s="226">
        <v>6.88</v>
      </c>
      <c r="D14" s="187" t="s">
        <v>124</v>
      </c>
      <c r="E14" s="140">
        <v>42671</v>
      </c>
      <c r="F14" s="149" t="s">
        <v>101</v>
      </c>
      <c r="G14" s="23">
        <v>1606</v>
      </c>
      <c r="H14" s="21">
        <v>12753</v>
      </c>
      <c r="I14" s="44">
        <v>1884801</v>
      </c>
      <c r="J14" s="185" t="s">
        <v>126</v>
      </c>
      <c r="K14" s="150">
        <v>52</v>
      </c>
      <c r="L14" s="131">
        <v>0.31</v>
      </c>
      <c r="M14" s="147">
        <v>174</v>
      </c>
      <c r="N14" s="145">
        <v>96.9</v>
      </c>
      <c r="O14" s="24">
        <v>110</v>
      </c>
      <c r="P14" s="24">
        <v>89.2</v>
      </c>
      <c r="Q14" s="24">
        <v>107.8</v>
      </c>
      <c r="R14" s="24">
        <v>87.8</v>
      </c>
      <c r="S14" s="24">
        <v>105.5</v>
      </c>
      <c r="T14" s="24">
        <v>94.7</v>
      </c>
      <c r="U14" s="24">
        <v>108.8</v>
      </c>
      <c r="V14" s="24">
        <v>90.6</v>
      </c>
      <c r="W14" s="24">
        <v>108.8</v>
      </c>
      <c r="X14" s="163">
        <v>930</v>
      </c>
      <c r="Y14" s="164">
        <v>900</v>
      </c>
      <c r="Z14" s="165">
        <v>970</v>
      </c>
      <c r="AA14" s="165">
        <v>70</v>
      </c>
      <c r="AB14" s="166">
        <v>0.25</v>
      </c>
      <c r="AC14" s="166">
        <v>1250</v>
      </c>
      <c r="AD14" s="167">
        <f>605-20</f>
        <v>585</v>
      </c>
      <c r="AE14" s="167">
        <v>485</v>
      </c>
      <c r="AF14" s="167">
        <v>585</v>
      </c>
      <c r="AG14" s="166">
        <v>585</v>
      </c>
      <c r="AH14" s="208">
        <v>70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</row>
    <row r="15" spans="1:133" ht="15.75">
      <c r="A15" s="205" t="s">
        <v>123</v>
      </c>
      <c r="B15">
        <v>114.3</v>
      </c>
      <c r="C15" s="226">
        <v>6.88</v>
      </c>
      <c r="D15" s="187" t="s">
        <v>124</v>
      </c>
      <c r="E15" s="140">
        <v>42703</v>
      </c>
      <c r="F15" s="149" t="s">
        <v>101</v>
      </c>
      <c r="G15" s="23">
        <v>1738</v>
      </c>
      <c r="H15" s="21">
        <v>12753</v>
      </c>
      <c r="I15" s="44">
        <v>1884801</v>
      </c>
      <c r="J15" s="185" t="s">
        <v>126</v>
      </c>
      <c r="K15" s="150">
        <v>52</v>
      </c>
      <c r="L15" s="131">
        <v>0.31</v>
      </c>
      <c r="M15" s="147">
        <v>240</v>
      </c>
      <c r="N15" s="145">
        <v>101</v>
      </c>
      <c r="O15" s="24">
        <v>118.6</v>
      </c>
      <c r="P15" s="24">
        <v>102.3</v>
      </c>
      <c r="Q15" s="24">
        <v>116.6</v>
      </c>
      <c r="R15" s="24">
        <v>102.6</v>
      </c>
      <c r="S15" s="24">
        <v>114.1</v>
      </c>
      <c r="T15" s="24">
        <v>99.6</v>
      </c>
      <c r="U15" s="24">
        <v>116.9</v>
      </c>
      <c r="V15" s="24">
        <v>99.2</v>
      </c>
      <c r="W15" s="24">
        <v>120.8</v>
      </c>
      <c r="X15" s="163">
        <v>930</v>
      </c>
      <c r="Y15" s="164">
        <v>900</v>
      </c>
      <c r="Z15" s="165">
        <v>970</v>
      </c>
      <c r="AA15" s="165">
        <v>52</v>
      </c>
      <c r="AB15" s="166">
        <v>0.25</v>
      </c>
      <c r="AC15" s="166">
        <v>1300</v>
      </c>
      <c r="AD15" s="167">
        <v>560</v>
      </c>
      <c r="AE15" s="167">
        <v>480</v>
      </c>
      <c r="AF15" s="167">
        <v>565</v>
      </c>
      <c r="AG15" s="166">
        <v>565</v>
      </c>
      <c r="AH15" s="208">
        <v>52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</row>
    <row r="16" spans="1:133" ht="15.75">
      <c r="A16" s="205" t="s">
        <v>123</v>
      </c>
      <c r="B16">
        <v>114.3</v>
      </c>
      <c r="C16" s="226">
        <v>6.88</v>
      </c>
      <c r="D16" s="187" t="s">
        <v>124</v>
      </c>
      <c r="E16" s="25">
        <v>42752</v>
      </c>
      <c r="F16" s="149" t="s">
        <v>101</v>
      </c>
      <c r="G16" s="23">
        <v>1920</v>
      </c>
      <c r="H16" s="21">
        <v>12753</v>
      </c>
      <c r="I16" s="44">
        <v>1884801</v>
      </c>
      <c r="J16" s="185" t="s">
        <v>126</v>
      </c>
      <c r="K16" s="150">
        <v>52</v>
      </c>
      <c r="L16" s="131">
        <v>0.31</v>
      </c>
      <c r="M16" s="147">
        <v>262</v>
      </c>
      <c r="N16" s="145">
        <v>104.8</v>
      </c>
      <c r="O16" s="24">
        <v>115.9</v>
      </c>
      <c r="P16" s="24">
        <v>84.9</v>
      </c>
      <c r="Q16" s="24">
        <v>106</v>
      </c>
      <c r="R16" s="24">
        <v>98.5</v>
      </c>
      <c r="S16" s="24">
        <v>115.8</v>
      </c>
      <c r="T16" s="24">
        <v>101.3</v>
      </c>
      <c r="U16" s="24">
        <v>116.9</v>
      </c>
      <c r="V16" s="24">
        <v>100.8</v>
      </c>
      <c r="W16" s="24">
        <v>120.3</v>
      </c>
      <c r="X16" s="163">
        <v>930</v>
      </c>
      <c r="Y16" s="164">
        <v>900</v>
      </c>
      <c r="Z16" s="165">
        <v>970</v>
      </c>
      <c r="AA16" s="165">
        <v>52</v>
      </c>
      <c r="AB16" s="166">
        <v>0.25</v>
      </c>
      <c r="AC16" s="166">
        <v>1300</v>
      </c>
      <c r="AD16" s="167">
        <v>560</v>
      </c>
      <c r="AE16" s="167">
        <v>480</v>
      </c>
      <c r="AF16" s="167">
        <v>565</v>
      </c>
      <c r="AG16" s="166">
        <v>565</v>
      </c>
      <c r="AH16" s="208">
        <v>52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</row>
    <row r="17" spans="1:34" customFormat="1">
      <c r="A17" s="205" t="s">
        <v>123</v>
      </c>
      <c r="B17">
        <v>114.3</v>
      </c>
      <c r="C17" s="226">
        <v>6.88</v>
      </c>
      <c r="D17" s="187" t="s">
        <v>124</v>
      </c>
      <c r="E17" s="25">
        <v>42752</v>
      </c>
      <c r="F17" s="139" t="s">
        <v>77</v>
      </c>
      <c r="G17" s="23">
        <v>1921</v>
      </c>
      <c r="H17" s="21">
        <v>12738</v>
      </c>
      <c r="I17" s="44">
        <v>2007301</v>
      </c>
      <c r="J17" s="185" t="s">
        <v>126</v>
      </c>
      <c r="K17" s="21">
        <v>48</v>
      </c>
      <c r="L17" s="131">
        <v>0.33</v>
      </c>
      <c r="M17" s="147">
        <v>10</v>
      </c>
      <c r="N17" s="160">
        <v>91.8</v>
      </c>
      <c r="O17" s="24">
        <v>107.9</v>
      </c>
      <c r="P17" s="24">
        <v>84.9</v>
      </c>
      <c r="Q17" s="24">
        <v>106</v>
      </c>
      <c r="R17" s="24">
        <v>86.8</v>
      </c>
      <c r="S17" s="24">
        <v>105.5</v>
      </c>
      <c r="T17" s="24">
        <v>83.9</v>
      </c>
      <c r="U17" s="24">
        <v>105.6</v>
      </c>
      <c r="V17" s="24">
        <v>90</v>
      </c>
      <c r="W17" s="24">
        <v>107.3</v>
      </c>
      <c r="X17" s="153">
        <v>930</v>
      </c>
      <c r="Y17" s="154">
        <v>900</v>
      </c>
      <c r="Z17" s="155">
        <v>970</v>
      </c>
      <c r="AA17" s="155">
        <v>70</v>
      </c>
      <c r="AB17" s="156">
        <v>0.25</v>
      </c>
      <c r="AC17" s="156">
        <v>1300</v>
      </c>
      <c r="AD17" s="155">
        <v>605</v>
      </c>
      <c r="AE17" s="155">
        <v>550</v>
      </c>
      <c r="AF17" s="155">
        <v>605</v>
      </c>
      <c r="AG17" s="156">
        <v>605</v>
      </c>
      <c r="AH17" s="206">
        <v>70</v>
      </c>
    </row>
    <row r="18" spans="1:34" customFormat="1">
      <c r="A18" s="205" t="s">
        <v>123</v>
      </c>
      <c r="B18">
        <v>114.3</v>
      </c>
      <c r="C18" s="226">
        <v>6.88</v>
      </c>
      <c r="D18" s="187" t="s">
        <v>124</v>
      </c>
      <c r="E18" s="25">
        <v>42752</v>
      </c>
      <c r="F18" s="139" t="s">
        <v>77</v>
      </c>
      <c r="G18" s="23">
        <v>1922</v>
      </c>
      <c r="H18" s="21">
        <v>12738</v>
      </c>
      <c r="I18" s="44">
        <v>2007301</v>
      </c>
      <c r="J18" s="185" t="s">
        <v>126</v>
      </c>
      <c r="K18" s="21">
        <v>48</v>
      </c>
      <c r="L18" s="131">
        <v>0.33</v>
      </c>
      <c r="M18" s="147">
        <v>401</v>
      </c>
      <c r="N18" s="145">
        <v>88.9</v>
      </c>
      <c r="O18" s="24">
        <v>107.1</v>
      </c>
      <c r="P18" s="24">
        <v>86</v>
      </c>
      <c r="Q18" s="24">
        <v>104.2</v>
      </c>
      <c r="R18" s="24">
        <v>88.9</v>
      </c>
      <c r="S18" s="24">
        <v>107.1</v>
      </c>
      <c r="T18" s="24">
        <v>87</v>
      </c>
      <c r="U18" s="24">
        <v>106.8</v>
      </c>
      <c r="V18" s="24">
        <v>91.4</v>
      </c>
      <c r="W18" s="24">
        <v>109.1</v>
      </c>
      <c r="X18" s="153">
        <v>930</v>
      </c>
      <c r="Y18" s="154">
        <v>900</v>
      </c>
      <c r="Z18" s="155">
        <v>970</v>
      </c>
      <c r="AA18" s="155">
        <v>70</v>
      </c>
      <c r="AB18" s="156">
        <v>0.25</v>
      </c>
      <c r="AC18" s="156">
        <v>1300</v>
      </c>
      <c r="AD18" s="155">
        <v>605</v>
      </c>
      <c r="AE18" s="155">
        <v>550</v>
      </c>
      <c r="AF18" s="155">
        <v>605</v>
      </c>
      <c r="AG18" s="156">
        <v>605</v>
      </c>
      <c r="AH18" s="206">
        <v>70</v>
      </c>
    </row>
    <row r="19" spans="1:34" customFormat="1">
      <c r="A19" s="205" t="s">
        <v>123</v>
      </c>
      <c r="B19">
        <v>114.3</v>
      </c>
      <c r="C19" s="226">
        <v>6.88</v>
      </c>
      <c r="D19" s="187" t="s">
        <v>124</v>
      </c>
      <c r="E19" s="25">
        <v>42752</v>
      </c>
      <c r="F19" s="139" t="s">
        <v>77</v>
      </c>
      <c r="G19" s="23">
        <v>1923</v>
      </c>
      <c r="H19" s="21">
        <v>12737</v>
      </c>
      <c r="I19" s="44">
        <v>2007301</v>
      </c>
      <c r="J19" s="185" t="s">
        <v>126</v>
      </c>
      <c r="K19" s="21">
        <v>50</v>
      </c>
      <c r="L19" s="131">
        <v>1.1100000000000001</v>
      </c>
      <c r="M19" s="147">
        <v>1</v>
      </c>
      <c r="N19" s="145">
        <v>92.6</v>
      </c>
      <c r="O19" s="24">
        <v>109.5</v>
      </c>
      <c r="P19" s="24">
        <v>87.3</v>
      </c>
      <c r="Q19" s="24">
        <v>107.3</v>
      </c>
      <c r="R19" s="24">
        <v>89.7</v>
      </c>
      <c r="S19" s="24">
        <v>108.9</v>
      </c>
      <c r="T19" s="24">
        <v>89</v>
      </c>
      <c r="U19" s="24">
        <v>109.3</v>
      </c>
      <c r="V19" s="24">
        <v>92.8</v>
      </c>
      <c r="W19" s="24">
        <v>110.2</v>
      </c>
      <c r="X19" s="153">
        <v>930</v>
      </c>
      <c r="Y19" s="154">
        <v>900</v>
      </c>
      <c r="Z19" s="155">
        <v>970</v>
      </c>
      <c r="AA19" s="155">
        <v>70</v>
      </c>
      <c r="AB19" s="156">
        <v>0.25</v>
      </c>
      <c r="AC19" s="156">
        <v>1300</v>
      </c>
      <c r="AD19" s="183">
        <v>595</v>
      </c>
      <c r="AE19" s="155">
        <v>545</v>
      </c>
      <c r="AF19" s="155">
        <v>595</v>
      </c>
      <c r="AG19" s="156">
        <v>595</v>
      </c>
      <c r="AH19" s="206">
        <v>70</v>
      </c>
    </row>
    <row r="20" spans="1:34" customFormat="1">
      <c r="A20" s="205" t="s">
        <v>123</v>
      </c>
      <c r="B20">
        <v>114.3</v>
      </c>
      <c r="C20" s="226">
        <v>6.88</v>
      </c>
      <c r="D20" s="187" t="s">
        <v>124</v>
      </c>
      <c r="E20" s="25">
        <v>42754</v>
      </c>
      <c r="F20" s="139" t="s">
        <v>77</v>
      </c>
      <c r="G20" s="23">
        <v>1932</v>
      </c>
      <c r="H20" s="21">
        <v>12740</v>
      </c>
      <c r="I20" s="44">
        <v>2007301</v>
      </c>
      <c r="J20" s="185" t="s">
        <v>126</v>
      </c>
      <c r="K20" s="21">
        <v>48</v>
      </c>
      <c r="L20" s="131">
        <v>0.34</v>
      </c>
      <c r="M20" s="147">
        <v>10</v>
      </c>
      <c r="N20" s="145">
        <v>88.8</v>
      </c>
      <c r="O20" s="24">
        <v>105.4</v>
      </c>
      <c r="P20" s="24">
        <v>85.8</v>
      </c>
      <c r="Q20" s="24">
        <v>104.9</v>
      </c>
      <c r="R20" s="24">
        <v>84.9</v>
      </c>
      <c r="S20" s="24">
        <v>104.5</v>
      </c>
      <c r="T20" s="24">
        <v>86.8</v>
      </c>
      <c r="U20" s="24">
        <v>104.8</v>
      </c>
      <c r="V20" s="24">
        <v>86.5</v>
      </c>
      <c r="W20" s="24">
        <v>106.2</v>
      </c>
      <c r="X20" s="153">
        <v>930</v>
      </c>
      <c r="Y20" s="154">
        <v>900</v>
      </c>
      <c r="Z20" s="155">
        <v>970</v>
      </c>
      <c r="AA20" s="155">
        <v>70</v>
      </c>
      <c r="AB20" s="156">
        <v>0.25</v>
      </c>
      <c r="AC20" s="156">
        <v>1300</v>
      </c>
      <c r="AD20" s="155">
        <v>605</v>
      </c>
      <c r="AE20" s="155">
        <v>550</v>
      </c>
      <c r="AF20" s="155">
        <v>605</v>
      </c>
      <c r="AG20" s="156">
        <v>605</v>
      </c>
      <c r="AH20" s="206">
        <v>70</v>
      </c>
    </row>
    <row r="21" spans="1:34" customFormat="1">
      <c r="A21" s="205" t="s">
        <v>123</v>
      </c>
      <c r="B21">
        <v>114.3</v>
      </c>
      <c r="C21" s="226">
        <v>6.88</v>
      </c>
      <c r="D21" s="187" t="s">
        <v>124</v>
      </c>
      <c r="E21" s="25">
        <v>42754</v>
      </c>
      <c r="F21" s="139" t="s">
        <v>77</v>
      </c>
      <c r="G21" s="23">
        <v>1933</v>
      </c>
      <c r="H21" s="21">
        <v>12740</v>
      </c>
      <c r="I21" s="44">
        <v>2007301</v>
      </c>
      <c r="J21" s="185" t="s">
        <v>126</v>
      </c>
      <c r="K21" s="21">
        <v>48</v>
      </c>
      <c r="L21" s="131">
        <v>0.34</v>
      </c>
      <c r="M21" s="147">
        <v>410</v>
      </c>
      <c r="N21" s="145">
        <v>87.9</v>
      </c>
      <c r="O21" s="24">
        <v>107.1</v>
      </c>
      <c r="P21" s="24">
        <v>90.9</v>
      </c>
      <c r="Q21" s="24">
        <v>108</v>
      </c>
      <c r="R21" s="24">
        <v>84.8</v>
      </c>
      <c r="S21" s="24">
        <v>105.5</v>
      </c>
      <c r="T21" s="24">
        <v>89.5</v>
      </c>
      <c r="U21" s="24">
        <v>107.4</v>
      </c>
      <c r="V21" s="24">
        <v>86.8</v>
      </c>
      <c r="W21" s="24">
        <v>106.6</v>
      </c>
      <c r="X21" s="153">
        <v>930</v>
      </c>
      <c r="Y21" s="154">
        <v>900</v>
      </c>
      <c r="Z21" s="155">
        <v>970</v>
      </c>
      <c r="AA21" s="155">
        <v>70</v>
      </c>
      <c r="AB21" s="156">
        <v>0.25</v>
      </c>
      <c r="AC21" s="156">
        <v>1300</v>
      </c>
      <c r="AD21" s="155">
        <v>605</v>
      </c>
      <c r="AE21" s="155">
        <v>550</v>
      </c>
      <c r="AF21" s="155">
        <v>605</v>
      </c>
      <c r="AG21" s="156">
        <v>605</v>
      </c>
      <c r="AH21" s="206">
        <v>70</v>
      </c>
    </row>
    <row r="22" spans="1:34" customFormat="1">
      <c r="A22" s="205" t="s">
        <v>123</v>
      </c>
      <c r="B22">
        <v>114.3</v>
      </c>
      <c r="C22" s="226">
        <v>6.88</v>
      </c>
      <c r="D22" s="187" t="s">
        <v>124</v>
      </c>
      <c r="E22" s="25">
        <v>42754</v>
      </c>
      <c r="F22" s="139" t="s">
        <v>77</v>
      </c>
      <c r="G22" s="23">
        <v>1934</v>
      </c>
      <c r="H22" s="21">
        <v>12732</v>
      </c>
      <c r="I22" s="44">
        <v>2007301</v>
      </c>
      <c r="J22" s="185" t="s">
        <v>126</v>
      </c>
      <c r="K22" s="21">
        <v>51</v>
      </c>
      <c r="L22" s="131">
        <v>0.28999999999999998</v>
      </c>
      <c r="M22" s="147">
        <v>1</v>
      </c>
      <c r="N22" s="145">
        <v>93.4</v>
      </c>
      <c r="O22" s="24">
        <v>110</v>
      </c>
      <c r="P22" s="24">
        <v>91.4</v>
      </c>
      <c r="Q22" s="24">
        <v>107.8</v>
      </c>
      <c r="R22" s="24">
        <v>83.8</v>
      </c>
      <c r="S22" s="24">
        <v>105.8</v>
      </c>
      <c r="T22" s="24">
        <v>87.8</v>
      </c>
      <c r="U22" s="24">
        <v>109.4</v>
      </c>
      <c r="V22" s="24">
        <v>82.6</v>
      </c>
      <c r="W22" s="24">
        <v>105.5</v>
      </c>
      <c r="X22" s="153">
        <v>930</v>
      </c>
      <c r="Y22" s="154">
        <v>900</v>
      </c>
      <c r="Z22" s="155">
        <v>970</v>
      </c>
      <c r="AA22" s="155">
        <v>70</v>
      </c>
      <c r="AB22" s="156">
        <v>0.25</v>
      </c>
      <c r="AC22" s="156">
        <v>1300</v>
      </c>
      <c r="AD22" s="137">
        <v>590</v>
      </c>
      <c r="AE22" s="137">
        <v>510</v>
      </c>
      <c r="AF22" s="137">
        <v>590</v>
      </c>
      <c r="AG22" s="136">
        <v>590</v>
      </c>
      <c r="AH22" s="206">
        <v>70</v>
      </c>
    </row>
    <row r="23" spans="1:34" customFormat="1">
      <c r="A23" s="205" t="s">
        <v>123</v>
      </c>
      <c r="B23">
        <v>114.3</v>
      </c>
      <c r="C23" s="226">
        <v>6.88</v>
      </c>
      <c r="D23" s="187" t="s">
        <v>124</v>
      </c>
      <c r="E23" s="25">
        <v>42754</v>
      </c>
      <c r="F23" s="139" t="s">
        <v>77</v>
      </c>
      <c r="G23" s="23">
        <v>1934</v>
      </c>
      <c r="H23" s="21">
        <v>12732</v>
      </c>
      <c r="I23" s="44">
        <v>2007301</v>
      </c>
      <c r="J23" s="185" t="s">
        <v>126</v>
      </c>
      <c r="K23" s="21">
        <v>51</v>
      </c>
      <c r="L23" s="131">
        <v>0.28999999999999998</v>
      </c>
      <c r="M23" s="147">
        <v>1</v>
      </c>
      <c r="N23" s="145">
        <v>93.4</v>
      </c>
      <c r="O23" s="24">
        <v>110</v>
      </c>
      <c r="P23" s="24">
        <v>91.4</v>
      </c>
      <c r="Q23" s="24">
        <v>107.8</v>
      </c>
      <c r="R23" s="24">
        <v>83.8</v>
      </c>
      <c r="S23" s="24">
        <v>105.8</v>
      </c>
      <c r="T23" s="24">
        <v>87.8</v>
      </c>
      <c r="U23" s="24">
        <v>109.4</v>
      </c>
      <c r="V23" s="24">
        <v>82.6</v>
      </c>
      <c r="W23" s="24">
        <v>105.5</v>
      </c>
      <c r="X23" s="153">
        <v>930</v>
      </c>
      <c r="Y23" s="154">
        <v>900</v>
      </c>
      <c r="Z23" s="155">
        <v>970</v>
      </c>
      <c r="AA23" s="155">
        <v>70</v>
      </c>
      <c r="AB23" s="156">
        <v>0.25</v>
      </c>
      <c r="AC23" s="156">
        <v>1300</v>
      </c>
      <c r="AD23" s="137">
        <v>590</v>
      </c>
      <c r="AE23" s="137">
        <v>510</v>
      </c>
      <c r="AF23" s="137">
        <v>590</v>
      </c>
      <c r="AG23" s="136">
        <v>590</v>
      </c>
      <c r="AH23" s="206">
        <v>70</v>
      </c>
    </row>
    <row r="24" spans="1:34" customFormat="1">
      <c r="A24" s="205" t="s">
        <v>123</v>
      </c>
      <c r="B24">
        <v>114.3</v>
      </c>
      <c r="C24" s="226">
        <v>6.88</v>
      </c>
      <c r="D24" s="187" t="s">
        <v>124</v>
      </c>
      <c r="E24" s="25">
        <v>42864</v>
      </c>
      <c r="F24" s="139" t="s">
        <v>77</v>
      </c>
      <c r="G24" s="23">
        <v>2684</v>
      </c>
      <c r="H24" s="21">
        <v>12740</v>
      </c>
      <c r="I24" s="44">
        <v>2098901</v>
      </c>
      <c r="J24" s="185" t="s">
        <v>126</v>
      </c>
      <c r="K24" s="21">
        <v>48</v>
      </c>
      <c r="L24" s="131">
        <v>0.34</v>
      </c>
      <c r="M24" s="147">
        <v>30</v>
      </c>
      <c r="N24" s="145">
        <v>93.1</v>
      </c>
      <c r="O24" s="24">
        <v>109.1</v>
      </c>
      <c r="P24" s="24">
        <v>96.8</v>
      </c>
      <c r="Q24" s="24">
        <v>112.5</v>
      </c>
      <c r="R24" s="24">
        <v>96.2</v>
      </c>
      <c r="S24" s="24">
        <v>112.1</v>
      </c>
      <c r="T24" s="24">
        <v>92.6</v>
      </c>
      <c r="U24" s="24">
        <v>111.6</v>
      </c>
      <c r="V24" s="24">
        <v>96.2</v>
      </c>
      <c r="W24" s="24">
        <v>111.6</v>
      </c>
      <c r="X24" s="153">
        <v>940</v>
      </c>
      <c r="Y24" s="154">
        <v>910</v>
      </c>
      <c r="Z24" s="155">
        <v>970</v>
      </c>
      <c r="AA24" s="155">
        <v>70</v>
      </c>
      <c r="AB24" s="156">
        <v>0.25</v>
      </c>
      <c r="AC24" s="156">
        <v>1300</v>
      </c>
      <c r="AD24" s="137">
        <v>590</v>
      </c>
      <c r="AE24" s="137">
        <v>510</v>
      </c>
      <c r="AF24" s="137">
        <v>590</v>
      </c>
      <c r="AG24" s="136">
        <v>590</v>
      </c>
      <c r="AH24" s="206">
        <v>70</v>
      </c>
    </row>
    <row r="25" spans="1:34" customFormat="1">
      <c r="A25" s="205" t="s">
        <v>123</v>
      </c>
      <c r="B25">
        <v>114.3</v>
      </c>
      <c r="C25" s="226">
        <v>6.88</v>
      </c>
      <c r="D25" s="187" t="s">
        <v>124</v>
      </c>
      <c r="E25" s="25">
        <v>42864</v>
      </c>
      <c r="F25" s="139" t="s">
        <v>77</v>
      </c>
      <c r="G25" s="23">
        <v>2685</v>
      </c>
      <c r="H25" s="21">
        <v>12760</v>
      </c>
      <c r="I25" s="44">
        <v>2098901</v>
      </c>
      <c r="J25" s="185" t="s">
        <v>126</v>
      </c>
      <c r="K25" s="21">
        <v>54</v>
      </c>
      <c r="L25" s="131">
        <v>1.75</v>
      </c>
      <c r="M25" s="147">
        <v>26</v>
      </c>
      <c r="N25" s="145">
        <v>102.5</v>
      </c>
      <c r="O25" s="24">
        <v>115.1</v>
      </c>
      <c r="P25" s="24">
        <v>100</v>
      </c>
      <c r="Q25" s="24">
        <v>113</v>
      </c>
      <c r="R25" s="24">
        <v>102.8</v>
      </c>
      <c r="S25" s="24">
        <v>114.2</v>
      </c>
      <c r="T25" s="24">
        <v>101.8</v>
      </c>
      <c r="U25" s="24">
        <v>113</v>
      </c>
      <c r="V25" s="24">
        <v>100.6</v>
      </c>
      <c r="W25" s="24">
        <v>112.7</v>
      </c>
      <c r="X25" s="153">
        <v>940</v>
      </c>
      <c r="Y25" s="154">
        <v>910</v>
      </c>
      <c r="Z25" s="155">
        <v>970</v>
      </c>
      <c r="AA25" s="155">
        <v>70</v>
      </c>
      <c r="AB25" s="156">
        <v>0.25</v>
      </c>
      <c r="AC25" s="156">
        <v>1300</v>
      </c>
      <c r="AD25" s="137">
        <v>590</v>
      </c>
      <c r="AE25" s="137">
        <v>510</v>
      </c>
      <c r="AF25" s="137">
        <v>590</v>
      </c>
      <c r="AG25" s="136">
        <v>590</v>
      </c>
      <c r="AH25" s="206">
        <v>70</v>
      </c>
    </row>
    <row r="26" spans="1:34" customFormat="1">
      <c r="A26" s="205" t="s">
        <v>123</v>
      </c>
      <c r="B26">
        <v>114.3</v>
      </c>
      <c r="C26" s="226">
        <v>6.88</v>
      </c>
      <c r="D26" s="187" t="s">
        <v>124</v>
      </c>
      <c r="E26" s="25">
        <v>42906</v>
      </c>
      <c r="F26" s="139" t="s">
        <v>77</v>
      </c>
      <c r="G26" s="23">
        <v>2962</v>
      </c>
      <c r="H26" s="21">
        <v>12760</v>
      </c>
      <c r="I26" s="44">
        <v>2098901</v>
      </c>
      <c r="J26" s="185" t="s">
        <v>126</v>
      </c>
      <c r="K26" s="21">
        <v>54</v>
      </c>
      <c r="L26" s="131">
        <v>1.75</v>
      </c>
      <c r="M26" s="147">
        <v>398</v>
      </c>
      <c r="N26" s="145">
        <v>90.4</v>
      </c>
      <c r="O26" s="24">
        <v>103.1</v>
      </c>
      <c r="P26" s="24">
        <v>90.5</v>
      </c>
      <c r="Q26" s="24">
        <v>103.6</v>
      </c>
      <c r="R26" s="24">
        <v>91.3</v>
      </c>
      <c r="S26" s="24">
        <v>104.9</v>
      </c>
      <c r="T26" s="24">
        <v>92.1</v>
      </c>
      <c r="U26" s="24">
        <v>104.8</v>
      </c>
      <c r="V26" s="24">
        <v>88.6</v>
      </c>
      <c r="W26" s="24">
        <v>102.6</v>
      </c>
      <c r="X26" s="153">
        <v>940</v>
      </c>
      <c r="Y26" s="154">
        <v>910</v>
      </c>
      <c r="Z26" s="155">
        <v>970</v>
      </c>
      <c r="AA26" s="155">
        <v>70</v>
      </c>
      <c r="AB26" s="156">
        <v>0.25</v>
      </c>
      <c r="AC26" s="156">
        <v>1300</v>
      </c>
      <c r="AD26" s="137">
        <v>590</v>
      </c>
      <c r="AE26" s="137">
        <v>510</v>
      </c>
      <c r="AF26" s="137">
        <v>590</v>
      </c>
      <c r="AG26" s="136">
        <v>590</v>
      </c>
      <c r="AH26" s="206">
        <v>70</v>
      </c>
    </row>
    <row r="27" spans="1:34" customFormat="1">
      <c r="A27" s="209"/>
      <c r="E27" s="25"/>
      <c r="F27" s="139"/>
      <c r="G27" s="23"/>
      <c r="H27" s="21"/>
      <c r="I27" s="44"/>
      <c r="J27" s="44"/>
      <c r="K27" s="21"/>
      <c r="L27" s="131"/>
      <c r="M27" s="147"/>
      <c r="N27" s="145"/>
      <c r="O27" s="24"/>
      <c r="P27" s="24"/>
      <c r="Q27" s="24"/>
      <c r="R27" s="24"/>
      <c r="S27" s="24"/>
      <c r="T27" s="24"/>
      <c r="U27" s="24"/>
      <c r="V27" s="24"/>
      <c r="W27" s="24"/>
      <c r="X27" s="134"/>
      <c r="Y27" s="135"/>
      <c r="Z27" s="137"/>
      <c r="AA27" s="137"/>
      <c r="AB27" s="136"/>
      <c r="AC27" s="136"/>
      <c r="AD27" s="137"/>
      <c r="AE27" s="137"/>
      <c r="AF27" s="137"/>
      <c r="AG27" s="136"/>
      <c r="AH27" s="210"/>
    </row>
    <row r="28" spans="1:34" customFormat="1">
      <c r="A28" s="209"/>
      <c r="E28" s="25"/>
      <c r="F28" s="139"/>
      <c r="G28" s="23"/>
      <c r="H28" s="21"/>
      <c r="I28" s="44"/>
      <c r="J28" s="44"/>
      <c r="K28" s="21"/>
      <c r="L28" s="131"/>
      <c r="M28" s="147"/>
      <c r="N28" s="145"/>
      <c r="O28" s="24"/>
      <c r="P28" s="24"/>
      <c r="Q28" s="24"/>
      <c r="R28" s="24"/>
      <c r="S28" s="24"/>
      <c r="T28" s="24"/>
      <c r="U28" s="24"/>
      <c r="V28" s="24"/>
      <c r="W28" s="24"/>
      <c r="X28" s="134"/>
      <c r="Y28" s="135"/>
      <c r="Z28" s="137"/>
      <c r="AA28" s="137"/>
      <c r="AB28" s="136"/>
      <c r="AC28" s="136"/>
      <c r="AD28" s="137"/>
      <c r="AE28" s="137"/>
      <c r="AF28" s="137"/>
      <c r="AG28" s="136"/>
      <c r="AH28" s="210"/>
    </row>
    <row r="29" spans="1:34" customFormat="1">
      <c r="A29" s="209"/>
      <c r="E29" s="25"/>
      <c r="F29" s="139"/>
      <c r="G29" s="23"/>
      <c r="H29" s="21"/>
      <c r="I29" s="44"/>
      <c r="J29" s="44"/>
      <c r="K29" s="21"/>
      <c r="L29" s="131"/>
      <c r="M29" s="147"/>
      <c r="N29" s="145"/>
      <c r="O29" s="24"/>
      <c r="P29" s="24"/>
      <c r="Q29" s="24"/>
      <c r="R29" s="24"/>
      <c r="S29" s="24"/>
      <c r="T29" s="24"/>
      <c r="U29" s="24"/>
      <c r="V29" s="24"/>
      <c r="W29" s="24"/>
      <c r="X29" s="134"/>
      <c r="Y29" s="135"/>
      <c r="Z29" s="137"/>
      <c r="AA29" s="137"/>
      <c r="AB29" s="136"/>
      <c r="AC29" s="136"/>
      <c r="AD29" s="137"/>
      <c r="AE29" s="137"/>
      <c r="AF29" s="137"/>
      <c r="AG29" s="136"/>
      <c r="AH29" s="210"/>
    </row>
    <row r="30" spans="1:34" customFormat="1">
      <c r="A30" s="209"/>
      <c r="E30" s="25"/>
      <c r="F30" s="139" t="s">
        <v>128</v>
      </c>
      <c r="G30" s="23"/>
      <c r="H30" s="21"/>
      <c r="I30" s="44"/>
      <c r="J30" s="44"/>
      <c r="K30" s="21"/>
      <c r="L30" s="131"/>
      <c r="M30" s="147"/>
      <c r="N30" s="145"/>
      <c r="O30" s="24"/>
      <c r="P30" s="24"/>
      <c r="Q30" s="24"/>
      <c r="R30" s="24"/>
      <c r="S30" s="24"/>
      <c r="T30" s="24"/>
      <c r="U30" s="24"/>
      <c r="V30" s="24"/>
      <c r="W30" s="24"/>
      <c r="X30" s="134"/>
      <c r="Y30" s="135"/>
      <c r="Z30" s="137"/>
      <c r="AA30" s="137"/>
      <c r="AB30" s="136"/>
      <c r="AC30" s="136"/>
      <c r="AD30" s="137"/>
      <c r="AE30" s="137"/>
      <c r="AF30" s="137"/>
      <c r="AG30" s="136"/>
      <c r="AH30" s="210"/>
    </row>
    <row r="31" spans="1:34" customFormat="1">
      <c r="A31" s="209"/>
      <c r="E31" s="25"/>
      <c r="F31" s="139"/>
      <c r="G31" s="23"/>
      <c r="H31" s="21"/>
      <c r="I31" s="44"/>
      <c r="J31" s="44"/>
      <c r="K31" s="21"/>
      <c r="L31" s="131"/>
      <c r="M31" s="147"/>
      <c r="N31" s="145"/>
      <c r="O31" s="24"/>
      <c r="P31" s="24"/>
      <c r="Q31" s="24"/>
      <c r="R31" s="24"/>
      <c r="S31" s="24"/>
      <c r="T31" s="24"/>
      <c r="U31" s="24"/>
      <c r="V31" s="24"/>
      <c r="W31" s="24"/>
      <c r="X31" s="134"/>
      <c r="Y31" s="135"/>
      <c r="Z31" s="137"/>
      <c r="AA31" s="137"/>
      <c r="AB31" s="136"/>
      <c r="AC31" s="136"/>
      <c r="AD31" s="137"/>
      <c r="AE31" s="137"/>
      <c r="AF31" s="137"/>
      <c r="AG31" s="136"/>
      <c r="AH31" s="210"/>
    </row>
    <row r="32" spans="1:34" customFormat="1">
      <c r="A32" s="209"/>
      <c r="E32" s="25"/>
      <c r="F32" s="139"/>
      <c r="G32" s="23"/>
      <c r="H32" s="21"/>
      <c r="I32" s="44"/>
      <c r="J32" s="44"/>
      <c r="K32" s="21"/>
      <c r="L32" s="131"/>
      <c r="M32" s="147"/>
      <c r="N32" s="145"/>
      <c r="O32" s="24"/>
      <c r="P32" s="24"/>
      <c r="Q32" s="24"/>
      <c r="R32" s="24"/>
      <c r="S32" s="24"/>
      <c r="T32" s="24"/>
      <c r="U32" s="24"/>
      <c r="V32" s="24"/>
      <c r="W32" s="24"/>
      <c r="X32" s="134"/>
      <c r="Y32" s="135"/>
      <c r="Z32" s="137"/>
      <c r="AA32" s="137"/>
      <c r="AB32" s="136"/>
      <c r="AC32" s="136"/>
      <c r="AD32" s="137"/>
      <c r="AE32" s="137"/>
      <c r="AF32" s="137"/>
      <c r="AG32" s="136"/>
      <c r="AH32" s="210"/>
    </row>
    <row r="33" spans="1:34" customFormat="1">
      <c r="A33" s="209"/>
      <c r="E33" s="25"/>
      <c r="F33" s="139"/>
      <c r="G33" s="23"/>
      <c r="H33" s="21"/>
      <c r="I33" s="44"/>
      <c r="J33" s="44"/>
      <c r="K33" s="21"/>
      <c r="L33" s="131"/>
      <c r="M33" s="147"/>
      <c r="N33" s="145"/>
      <c r="O33" s="24"/>
      <c r="P33" s="24"/>
      <c r="Q33" s="24"/>
      <c r="R33" s="24"/>
      <c r="S33" s="24"/>
      <c r="T33" s="24"/>
      <c r="U33" s="24"/>
      <c r="V33" s="24"/>
      <c r="W33" s="24"/>
      <c r="X33" s="134"/>
      <c r="Y33" s="135"/>
      <c r="Z33" s="137"/>
      <c r="AA33" s="137"/>
      <c r="AB33" s="136"/>
      <c r="AC33" s="136"/>
      <c r="AD33" s="137"/>
      <c r="AE33" s="137"/>
      <c r="AF33" s="137"/>
      <c r="AG33" s="136"/>
      <c r="AH33" s="210"/>
    </row>
    <row r="34" spans="1:34" customFormat="1">
      <c r="A34" s="209"/>
      <c r="E34" s="25"/>
      <c r="F34" s="139"/>
      <c r="G34" s="23"/>
      <c r="H34" s="21"/>
      <c r="I34" s="44"/>
      <c r="J34" s="44"/>
      <c r="K34" s="21"/>
      <c r="L34" s="131"/>
      <c r="M34" s="147"/>
      <c r="N34" s="145"/>
      <c r="O34" s="24"/>
      <c r="P34" s="24"/>
      <c r="Q34" s="24"/>
      <c r="R34" s="24"/>
      <c r="S34" s="24"/>
      <c r="T34" s="24"/>
      <c r="U34" s="24"/>
      <c r="V34" s="24"/>
      <c r="W34" s="24"/>
      <c r="X34" s="134"/>
      <c r="Y34" s="135"/>
      <c r="Z34" s="137"/>
      <c r="AA34" s="137"/>
      <c r="AB34" s="136"/>
      <c r="AC34" s="136"/>
      <c r="AD34" s="137"/>
      <c r="AE34" s="137"/>
      <c r="AF34" s="137"/>
      <c r="AG34" s="136"/>
      <c r="AH34" s="210"/>
    </row>
    <row r="35" spans="1:34" customFormat="1">
      <c r="A35" s="209"/>
      <c r="E35" s="25"/>
      <c r="F35" s="139"/>
      <c r="G35" s="23"/>
      <c r="H35" s="21"/>
      <c r="I35" s="44"/>
      <c r="J35" s="44"/>
      <c r="K35" s="21"/>
      <c r="L35" s="131"/>
      <c r="M35" s="147"/>
      <c r="N35" s="145"/>
      <c r="O35" s="24"/>
      <c r="P35" s="24"/>
      <c r="Q35" s="24"/>
      <c r="R35" s="24"/>
      <c r="S35" s="24"/>
      <c r="T35" s="24"/>
      <c r="U35" s="24"/>
      <c r="V35" s="24"/>
      <c r="W35" s="24"/>
      <c r="X35" s="134"/>
      <c r="Y35" s="135"/>
      <c r="Z35" s="137"/>
      <c r="AA35" s="137"/>
      <c r="AB35" s="136"/>
      <c r="AC35" s="136"/>
      <c r="AD35" s="137"/>
      <c r="AE35" s="137"/>
      <c r="AF35" s="137"/>
      <c r="AG35" s="136"/>
      <c r="AH35" s="210"/>
    </row>
    <row r="36" spans="1:34" customFormat="1">
      <c r="A36" s="209"/>
      <c r="E36" s="25"/>
      <c r="F36" s="139"/>
      <c r="G36" s="23"/>
      <c r="H36" s="21"/>
      <c r="I36" s="44"/>
      <c r="J36" s="44"/>
      <c r="K36" s="21"/>
      <c r="L36" s="131"/>
      <c r="M36" s="147"/>
      <c r="N36" s="145"/>
      <c r="O36" s="24"/>
      <c r="P36" s="24"/>
      <c r="Q36" s="24"/>
      <c r="R36" s="24"/>
      <c r="S36" s="24"/>
      <c r="T36" s="24"/>
      <c r="U36" s="24"/>
      <c r="V36" s="24"/>
      <c r="W36" s="24"/>
      <c r="X36" s="134"/>
      <c r="Y36" s="135"/>
      <c r="Z36" s="137"/>
      <c r="AA36" s="137"/>
      <c r="AB36" s="136"/>
      <c r="AC36" s="136"/>
      <c r="AD36" s="137"/>
      <c r="AE36" s="137"/>
      <c r="AF36" s="137"/>
      <c r="AG36" s="136"/>
      <c r="AH36" s="210"/>
    </row>
    <row r="37" spans="1:34" customFormat="1">
      <c r="A37" s="209"/>
      <c r="E37" s="25"/>
      <c r="F37" s="139"/>
      <c r="G37" s="23"/>
      <c r="H37" s="21"/>
      <c r="I37" s="44"/>
      <c r="J37" s="44"/>
      <c r="K37" s="21"/>
      <c r="L37" s="131"/>
      <c r="M37" s="147"/>
      <c r="N37" s="145"/>
      <c r="O37" s="24"/>
      <c r="P37" s="24"/>
      <c r="Q37" s="24"/>
      <c r="R37" s="24"/>
      <c r="S37" s="24"/>
      <c r="T37" s="24"/>
      <c r="U37" s="24"/>
      <c r="V37" s="24"/>
      <c r="W37" s="24"/>
      <c r="X37" s="134"/>
      <c r="Y37" s="135"/>
      <c r="Z37" s="137"/>
      <c r="AA37" s="137"/>
      <c r="AB37" s="136"/>
      <c r="AC37" s="136"/>
      <c r="AD37" s="137"/>
      <c r="AE37" s="137"/>
      <c r="AF37" s="137"/>
      <c r="AG37" s="136"/>
      <c r="AH37" s="210"/>
    </row>
    <row r="38" spans="1:34" customFormat="1">
      <c r="A38" s="209"/>
      <c r="E38" s="25"/>
      <c r="F38" s="139"/>
      <c r="G38" s="23"/>
      <c r="H38" s="21"/>
      <c r="I38" s="44"/>
      <c r="J38" s="44"/>
      <c r="K38" s="21"/>
      <c r="L38" s="131"/>
      <c r="M38" s="147"/>
      <c r="N38" s="145"/>
      <c r="O38" s="24"/>
      <c r="P38" s="24"/>
      <c r="Q38" s="24"/>
      <c r="R38" s="24"/>
      <c r="S38" s="24"/>
      <c r="T38" s="24"/>
      <c r="U38" s="24"/>
      <c r="V38" s="24"/>
      <c r="W38" s="24"/>
      <c r="X38" s="134"/>
      <c r="Y38" s="135"/>
      <c r="Z38" s="137"/>
      <c r="AA38" s="137"/>
      <c r="AB38" s="136"/>
      <c r="AC38" s="136"/>
      <c r="AD38" s="137"/>
      <c r="AE38" s="137"/>
      <c r="AF38" s="137"/>
      <c r="AG38" s="136"/>
      <c r="AH38" s="210"/>
    </row>
    <row r="39" spans="1:34" customFormat="1">
      <c r="A39" s="209"/>
      <c r="E39" s="25"/>
      <c r="F39" s="139"/>
      <c r="G39" s="23"/>
      <c r="H39" s="21"/>
      <c r="I39" s="44"/>
      <c r="J39" s="44"/>
      <c r="K39" s="21"/>
      <c r="L39" s="131"/>
      <c r="M39" s="147"/>
      <c r="N39" s="145"/>
      <c r="O39" s="24"/>
      <c r="P39" s="24"/>
      <c r="Q39" s="24"/>
      <c r="R39" s="24"/>
      <c r="S39" s="24"/>
      <c r="T39" s="24"/>
      <c r="U39" s="24"/>
      <c r="V39" s="24"/>
      <c r="W39" s="24"/>
      <c r="X39" s="134"/>
      <c r="Y39" s="135"/>
      <c r="Z39" s="137"/>
      <c r="AA39" s="137"/>
      <c r="AB39" s="136"/>
      <c r="AC39" s="136"/>
      <c r="AD39" s="137"/>
      <c r="AE39" s="137"/>
      <c r="AF39" s="137"/>
      <c r="AG39" s="136"/>
      <c r="AH39" s="210"/>
    </row>
    <row r="40" spans="1:34" customFormat="1">
      <c r="A40" s="209"/>
      <c r="E40" s="25"/>
      <c r="F40" s="139"/>
      <c r="G40" s="23"/>
      <c r="H40" s="21"/>
      <c r="I40" s="44"/>
      <c r="J40" s="44"/>
      <c r="K40" s="21"/>
      <c r="L40" s="131"/>
      <c r="M40" s="147"/>
      <c r="N40" s="145"/>
      <c r="O40" s="24"/>
      <c r="P40" s="24"/>
      <c r="Q40" s="24"/>
      <c r="R40" s="24"/>
      <c r="S40" s="24"/>
      <c r="T40" s="24"/>
      <c r="U40" s="24"/>
      <c r="V40" s="24"/>
      <c r="W40" s="24"/>
      <c r="X40" s="134"/>
      <c r="Y40" s="135"/>
      <c r="Z40" s="137"/>
      <c r="AA40" s="137"/>
      <c r="AB40" s="136"/>
      <c r="AC40" s="136"/>
      <c r="AD40" s="137"/>
      <c r="AE40" s="137"/>
      <c r="AF40" s="137"/>
      <c r="AG40" s="136"/>
      <c r="AH40" s="210"/>
    </row>
    <row r="41" spans="1:34" customFormat="1">
      <c r="A41" s="209"/>
      <c r="E41" s="25"/>
      <c r="F41" s="139"/>
      <c r="G41" s="23"/>
      <c r="H41" s="21"/>
      <c r="I41" s="44"/>
      <c r="J41" s="44"/>
      <c r="K41" s="21"/>
      <c r="L41" s="131"/>
      <c r="M41" s="147"/>
      <c r="N41" s="145"/>
      <c r="O41" s="24"/>
      <c r="P41" s="24"/>
      <c r="Q41" s="24"/>
      <c r="R41" s="24"/>
      <c r="S41" s="24"/>
      <c r="T41" s="24"/>
      <c r="U41" s="24"/>
      <c r="V41" s="24"/>
      <c r="W41" s="24"/>
      <c r="X41" s="134"/>
      <c r="Y41" s="135"/>
      <c r="Z41" s="137"/>
      <c r="AA41" s="137"/>
      <c r="AB41" s="136"/>
      <c r="AC41" s="136"/>
      <c r="AD41" s="137"/>
      <c r="AE41" s="137"/>
      <c r="AF41" s="137"/>
      <c r="AG41" s="136"/>
      <c r="AH41" s="210"/>
    </row>
    <row r="42" spans="1:34" customFormat="1">
      <c r="A42" s="209"/>
      <c r="E42" s="25"/>
      <c r="F42" s="139"/>
      <c r="G42" s="23"/>
      <c r="H42" s="21"/>
      <c r="I42" s="44"/>
      <c r="J42" s="44"/>
      <c r="K42" s="21"/>
      <c r="L42" s="131"/>
      <c r="M42" s="147"/>
      <c r="N42" s="145"/>
      <c r="O42" s="24"/>
      <c r="P42" s="24"/>
      <c r="Q42" s="24"/>
      <c r="R42" s="24"/>
      <c r="S42" s="24"/>
      <c r="T42" s="24"/>
      <c r="U42" s="24"/>
      <c r="V42" s="24"/>
      <c r="W42" s="24"/>
      <c r="X42" s="134"/>
      <c r="Y42" s="135"/>
      <c r="Z42" s="137"/>
      <c r="AA42" s="137"/>
      <c r="AB42" s="136"/>
      <c r="AC42" s="136"/>
      <c r="AD42" s="137"/>
      <c r="AE42" s="137"/>
      <c r="AF42" s="137"/>
      <c r="AG42" s="136"/>
      <c r="AH42" s="210"/>
    </row>
    <row r="43" spans="1:34" customFormat="1">
      <c r="A43" s="209"/>
      <c r="E43" s="25"/>
      <c r="F43" s="139"/>
      <c r="G43" s="23"/>
      <c r="H43" s="21"/>
      <c r="I43" s="44"/>
      <c r="J43" s="44"/>
      <c r="K43" s="21"/>
      <c r="L43" s="131"/>
      <c r="M43" s="147"/>
      <c r="N43" s="145"/>
      <c r="O43" s="24"/>
      <c r="P43" s="24"/>
      <c r="Q43" s="24"/>
      <c r="R43" s="24"/>
      <c r="S43" s="24"/>
      <c r="T43" s="24"/>
      <c r="U43" s="24"/>
      <c r="V43" s="24"/>
      <c r="W43" s="24"/>
      <c r="X43" s="134"/>
      <c r="Y43" s="135"/>
      <c r="Z43" s="137"/>
      <c r="AA43" s="137"/>
      <c r="AB43" s="136"/>
      <c r="AC43" s="136"/>
      <c r="AD43" s="137"/>
      <c r="AE43" s="137"/>
      <c r="AF43" s="137"/>
      <c r="AG43" s="136"/>
      <c r="AH43" s="210"/>
    </row>
    <row r="44" spans="1:34" customFormat="1">
      <c r="A44" s="209"/>
      <c r="E44" s="25"/>
      <c r="F44" s="139"/>
      <c r="G44" s="23"/>
      <c r="H44" s="21"/>
      <c r="I44" s="44"/>
      <c r="J44" s="44"/>
      <c r="K44" s="21"/>
      <c r="L44" s="131"/>
      <c r="M44" s="147"/>
      <c r="N44" s="145"/>
      <c r="O44" s="24"/>
      <c r="P44" s="24"/>
      <c r="Q44" s="24"/>
      <c r="R44" s="24"/>
      <c r="S44" s="24"/>
      <c r="T44" s="24"/>
      <c r="U44" s="24"/>
      <c r="V44" s="24"/>
      <c r="W44" s="24"/>
      <c r="X44" s="134"/>
      <c r="Y44" s="135"/>
      <c r="Z44" s="137"/>
      <c r="AA44" s="137"/>
      <c r="AB44" s="136"/>
      <c r="AC44" s="136"/>
      <c r="AD44" s="137"/>
      <c r="AE44" s="137"/>
      <c r="AF44" s="137"/>
      <c r="AG44" s="136"/>
      <c r="AH44" s="210"/>
    </row>
    <row r="45" spans="1:34" customFormat="1">
      <c r="A45" s="209"/>
      <c r="E45" s="25"/>
      <c r="F45" s="139"/>
      <c r="G45" s="23"/>
      <c r="H45" s="21"/>
      <c r="I45" s="44"/>
      <c r="J45" s="44"/>
      <c r="K45" s="21"/>
      <c r="L45" s="131"/>
      <c r="M45" s="147"/>
      <c r="N45" s="145"/>
      <c r="O45" s="24"/>
      <c r="P45" s="24"/>
      <c r="Q45" s="24"/>
      <c r="R45" s="24"/>
      <c r="S45" s="24"/>
      <c r="T45" s="24"/>
      <c r="U45" s="24"/>
      <c r="V45" s="24"/>
      <c r="W45" s="24"/>
      <c r="X45" s="134"/>
      <c r="Y45" s="135"/>
      <c r="Z45" s="137"/>
      <c r="AA45" s="137"/>
      <c r="AB45" s="136"/>
      <c r="AC45" s="136"/>
      <c r="AD45" s="137"/>
      <c r="AE45" s="137"/>
      <c r="AF45" s="137"/>
      <c r="AG45" s="136"/>
      <c r="AH45" s="210"/>
    </row>
    <row r="46" spans="1:34" customFormat="1">
      <c r="A46" s="209"/>
      <c r="E46" s="25"/>
      <c r="F46" s="139"/>
      <c r="G46" s="23"/>
      <c r="H46" s="21"/>
      <c r="I46" s="44"/>
      <c r="J46" s="44"/>
      <c r="K46" s="21"/>
      <c r="L46" s="131"/>
      <c r="M46" s="147"/>
      <c r="N46" s="145"/>
      <c r="O46" s="24"/>
      <c r="P46" s="24"/>
      <c r="Q46" s="24"/>
      <c r="R46" s="24"/>
      <c r="S46" s="24"/>
      <c r="T46" s="24"/>
      <c r="U46" s="24"/>
      <c r="V46" s="24"/>
      <c r="W46" s="24"/>
      <c r="X46" s="134"/>
      <c r="Y46" s="135"/>
      <c r="Z46" s="137"/>
      <c r="AA46" s="137"/>
      <c r="AB46" s="136"/>
      <c r="AC46" s="136"/>
      <c r="AD46" s="137"/>
      <c r="AE46" s="137"/>
      <c r="AF46" s="137"/>
      <c r="AG46" s="136"/>
      <c r="AH46" s="210"/>
    </row>
    <row r="47" spans="1:34" customFormat="1">
      <c r="A47" s="209"/>
      <c r="E47" s="25"/>
      <c r="F47" s="139"/>
      <c r="G47" s="23"/>
      <c r="H47" s="21"/>
      <c r="I47" s="44"/>
      <c r="J47" s="44"/>
      <c r="K47" s="21"/>
      <c r="L47" s="131"/>
      <c r="M47" s="147"/>
      <c r="N47" s="145"/>
      <c r="O47" s="24"/>
      <c r="P47" s="24"/>
      <c r="Q47" s="24"/>
      <c r="R47" s="24"/>
      <c r="S47" s="24"/>
      <c r="T47" s="24"/>
      <c r="U47" s="24"/>
      <c r="V47" s="24"/>
      <c r="W47" s="24"/>
      <c r="X47" s="134"/>
      <c r="Y47" s="135"/>
      <c r="Z47" s="137"/>
      <c r="AA47" s="137"/>
      <c r="AB47" s="136"/>
      <c r="AC47" s="136"/>
      <c r="AD47" s="137"/>
      <c r="AE47" s="137"/>
      <c r="AF47" s="137"/>
      <c r="AG47" s="136"/>
      <c r="AH47" s="210"/>
    </row>
    <row r="48" spans="1:34" customFormat="1">
      <c r="A48" s="209"/>
      <c r="E48" s="25"/>
      <c r="F48" s="139"/>
      <c r="G48" s="23"/>
      <c r="H48" s="21"/>
      <c r="I48" s="44"/>
      <c r="J48" s="44"/>
      <c r="K48" s="21"/>
      <c r="L48" s="131"/>
      <c r="M48" s="147"/>
      <c r="N48" s="145"/>
      <c r="O48" s="24"/>
      <c r="P48" s="24"/>
      <c r="Q48" s="24"/>
      <c r="R48" s="24"/>
      <c r="S48" s="24"/>
      <c r="T48" s="24"/>
      <c r="U48" s="24"/>
      <c r="V48" s="24"/>
      <c r="W48" s="24"/>
      <c r="X48" s="134"/>
      <c r="Y48" s="135"/>
      <c r="Z48" s="137"/>
      <c r="AA48" s="137"/>
      <c r="AB48" s="136"/>
      <c r="AC48" s="136"/>
      <c r="AD48" s="137"/>
      <c r="AE48" s="137"/>
      <c r="AF48" s="137"/>
      <c r="AG48" s="136"/>
      <c r="AH48" s="210"/>
    </row>
    <row r="49" spans="1:34" customFormat="1">
      <c r="A49" s="209"/>
      <c r="E49" s="25"/>
      <c r="F49" s="139"/>
      <c r="G49" s="23"/>
      <c r="H49" s="21"/>
      <c r="I49" s="44"/>
      <c r="J49" s="44"/>
      <c r="K49" s="21"/>
      <c r="L49" s="131"/>
      <c r="M49" s="147"/>
      <c r="N49" s="145"/>
      <c r="O49" s="24"/>
      <c r="P49" s="24"/>
      <c r="Q49" s="24"/>
      <c r="R49" s="24"/>
      <c r="S49" s="24"/>
      <c r="T49" s="24"/>
      <c r="U49" s="24"/>
      <c r="V49" s="24"/>
      <c r="W49" s="24"/>
      <c r="X49" s="134"/>
      <c r="Y49" s="135"/>
      <c r="Z49" s="137"/>
      <c r="AA49" s="137"/>
      <c r="AB49" s="136"/>
      <c r="AC49" s="136"/>
      <c r="AD49" s="137"/>
      <c r="AE49" s="137"/>
      <c r="AF49" s="137"/>
      <c r="AG49" s="136"/>
      <c r="AH49" s="210"/>
    </row>
    <row r="50" spans="1:34" customFormat="1">
      <c r="A50" s="209"/>
      <c r="E50" s="25"/>
      <c r="F50" s="139"/>
      <c r="G50" s="23"/>
      <c r="H50" s="21"/>
      <c r="I50" s="44"/>
      <c r="J50" s="44"/>
      <c r="K50" s="21"/>
      <c r="L50" s="131"/>
      <c r="M50" s="147"/>
      <c r="N50" s="145"/>
      <c r="O50" s="24"/>
      <c r="P50" s="24"/>
      <c r="Q50" s="24"/>
      <c r="R50" s="24"/>
      <c r="S50" s="24"/>
      <c r="T50" s="24"/>
      <c r="U50" s="24"/>
      <c r="V50" s="24"/>
      <c r="W50" s="24"/>
      <c r="X50" s="134"/>
      <c r="Y50" s="135"/>
      <c r="Z50" s="137"/>
      <c r="AA50" s="137"/>
      <c r="AB50" s="136"/>
      <c r="AC50" s="136"/>
      <c r="AD50" s="137"/>
      <c r="AE50" s="137"/>
      <c r="AF50" s="137"/>
      <c r="AG50" s="136"/>
      <c r="AH50" s="210"/>
    </row>
    <row r="51" spans="1:34" customFormat="1">
      <c r="A51" s="209"/>
      <c r="E51" s="25"/>
      <c r="F51" s="139"/>
      <c r="G51" s="23"/>
      <c r="H51" s="21"/>
      <c r="I51" s="44"/>
      <c r="J51" s="44"/>
      <c r="K51" s="21"/>
      <c r="L51" s="131"/>
      <c r="M51" s="147"/>
      <c r="N51" s="145"/>
      <c r="O51" s="24"/>
      <c r="P51" s="24"/>
      <c r="Q51" s="24"/>
      <c r="R51" s="24"/>
      <c r="S51" s="24"/>
      <c r="T51" s="24"/>
      <c r="U51" s="24"/>
      <c r="V51" s="24"/>
      <c r="W51" s="24"/>
      <c r="X51" s="134"/>
      <c r="Y51" s="135"/>
      <c r="Z51" s="137"/>
      <c r="AA51" s="137"/>
      <c r="AB51" s="136"/>
      <c r="AC51" s="136"/>
      <c r="AD51" s="137"/>
      <c r="AE51" s="137"/>
      <c r="AF51" s="137"/>
      <c r="AG51" s="136"/>
      <c r="AH51" s="210"/>
    </row>
    <row r="52" spans="1:34" customFormat="1">
      <c r="A52" s="209"/>
      <c r="E52" s="25"/>
      <c r="F52" s="139"/>
      <c r="G52" s="23"/>
      <c r="H52" s="21"/>
      <c r="I52" s="44"/>
      <c r="J52" s="44"/>
      <c r="K52" s="21"/>
      <c r="L52" s="131"/>
      <c r="M52" s="147"/>
      <c r="N52" s="145"/>
      <c r="O52" s="24"/>
      <c r="P52" s="24"/>
      <c r="Q52" s="24"/>
      <c r="R52" s="24"/>
      <c r="S52" s="24"/>
      <c r="T52" s="24"/>
      <c r="U52" s="24"/>
      <c r="V52" s="24"/>
      <c r="W52" s="24"/>
      <c r="X52" s="134"/>
      <c r="Y52" s="135"/>
      <c r="Z52" s="137"/>
      <c r="AA52" s="137"/>
      <c r="AB52" s="136"/>
      <c r="AC52" s="136"/>
      <c r="AD52" s="137"/>
      <c r="AE52" s="137"/>
      <c r="AF52" s="137"/>
      <c r="AG52" s="136"/>
      <c r="AH52" s="210"/>
    </row>
    <row r="53" spans="1:34" customFormat="1">
      <c r="A53" s="209"/>
      <c r="E53" s="25"/>
      <c r="F53" s="139"/>
      <c r="G53" s="23"/>
      <c r="H53" s="21"/>
      <c r="I53" s="44"/>
      <c r="J53" s="44"/>
      <c r="K53" s="21"/>
      <c r="L53" s="131"/>
      <c r="M53" s="147"/>
      <c r="N53" s="145"/>
      <c r="O53" s="24"/>
      <c r="P53" s="24"/>
      <c r="Q53" s="24"/>
      <c r="R53" s="24"/>
      <c r="S53" s="24"/>
      <c r="T53" s="24"/>
      <c r="U53" s="24"/>
      <c r="V53" s="24"/>
      <c r="W53" s="24"/>
      <c r="X53" s="134"/>
      <c r="Y53" s="135"/>
      <c r="Z53" s="137"/>
      <c r="AA53" s="137"/>
      <c r="AB53" s="136"/>
      <c r="AC53" s="136"/>
      <c r="AD53" s="137"/>
      <c r="AE53" s="137"/>
      <c r="AF53" s="137"/>
      <c r="AG53" s="136"/>
      <c r="AH53" s="210"/>
    </row>
    <row r="54" spans="1:34" customFormat="1">
      <c r="A54" s="209"/>
      <c r="E54" s="25"/>
      <c r="F54" s="139"/>
      <c r="G54" s="23"/>
      <c r="H54" s="21"/>
      <c r="I54" s="44"/>
      <c r="J54" s="44"/>
      <c r="K54" s="21"/>
      <c r="L54" s="131"/>
      <c r="M54" s="147"/>
      <c r="N54" s="145"/>
      <c r="O54" s="24"/>
      <c r="P54" s="24"/>
      <c r="Q54" s="24"/>
      <c r="R54" s="24"/>
      <c r="S54" s="24"/>
      <c r="T54" s="24"/>
      <c r="U54" s="24"/>
      <c r="V54" s="24"/>
      <c r="W54" s="24"/>
      <c r="X54" s="134"/>
      <c r="Y54" s="135"/>
      <c r="Z54" s="137"/>
      <c r="AA54" s="137"/>
      <c r="AB54" s="136"/>
      <c r="AC54" s="136"/>
      <c r="AD54" s="137"/>
      <c r="AE54" s="137"/>
      <c r="AF54" s="137"/>
      <c r="AG54" s="136"/>
      <c r="AH54" s="210"/>
    </row>
    <row r="55" spans="1:34" customFormat="1">
      <c r="A55" s="209"/>
      <c r="E55" s="25"/>
      <c r="F55" s="139"/>
      <c r="G55" s="23"/>
      <c r="H55" s="21"/>
      <c r="I55" s="44"/>
      <c r="J55" s="44"/>
      <c r="K55" s="21"/>
      <c r="L55" s="131"/>
      <c r="M55" s="147"/>
      <c r="N55" s="145"/>
      <c r="O55" s="24"/>
      <c r="P55" s="24"/>
      <c r="Q55" s="24"/>
      <c r="R55" s="24"/>
      <c r="S55" s="24"/>
      <c r="T55" s="24"/>
      <c r="U55" s="24"/>
      <c r="V55" s="24"/>
      <c r="W55" s="24"/>
      <c r="X55" s="134"/>
      <c r="Y55" s="135"/>
      <c r="Z55" s="137"/>
      <c r="AA55" s="137"/>
      <c r="AB55" s="136"/>
      <c r="AC55" s="136"/>
      <c r="AD55" s="137"/>
      <c r="AE55" s="137"/>
      <c r="AF55" s="137"/>
      <c r="AG55" s="136"/>
      <c r="AH55" s="210"/>
    </row>
    <row r="56" spans="1:34" customFormat="1">
      <c r="A56" s="209"/>
      <c r="E56" s="25"/>
      <c r="F56" s="139"/>
      <c r="G56" s="23"/>
      <c r="H56" s="21"/>
      <c r="I56" s="44"/>
      <c r="J56" s="44"/>
      <c r="K56" s="21"/>
      <c r="L56" s="131"/>
      <c r="M56" s="147"/>
      <c r="N56" s="145"/>
      <c r="O56" s="24"/>
      <c r="P56" s="24"/>
      <c r="Q56" s="24"/>
      <c r="R56" s="24"/>
      <c r="S56" s="24"/>
      <c r="T56" s="24"/>
      <c r="U56" s="24"/>
      <c r="V56" s="24"/>
      <c r="W56" s="24"/>
      <c r="X56" s="134"/>
      <c r="Y56" s="135"/>
      <c r="Z56" s="137"/>
      <c r="AA56" s="137"/>
      <c r="AB56" s="136"/>
      <c r="AC56" s="136"/>
      <c r="AD56" s="137"/>
      <c r="AE56" s="137"/>
      <c r="AF56" s="137"/>
      <c r="AG56" s="136"/>
      <c r="AH56" s="210"/>
    </row>
    <row r="57" spans="1:34" customFormat="1">
      <c r="A57" s="209"/>
      <c r="E57" s="25"/>
      <c r="F57" s="139"/>
      <c r="G57" s="23"/>
      <c r="H57" s="21"/>
      <c r="I57" s="44"/>
      <c r="J57" s="44"/>
      <c r="K57" s="21"/>
      <c r="L57" s="131"/>
      <c r="M57" s="147"/>
      <c r="N57" s="145"/>
      <c r="O57" s="24"/>
      <c r="P57" s="24"/>
      <c r="Q57" s="24"/>
      <c r="R57" s="24"/>
      <c r="S57" s="24"/>
      <c r="T57" s="24"/>
      <c r="U57" s="24"/>
      <c r="V57" s="24"/>
      <c r="W57" s="24"/>
      <c r="X57" s="134"/>
      <c r="Y57" s="135"/>
      <c r="Z57" s="137"/>
      <c r="AA57" s="137"/>
      <c r="AB57" s="136"/>
      <c r="AC57" s="136"/>
      <c r="AD57" s="137"/>
      <c r="AE57" s="137"/>
      <c r="AF57" s="137"/>
      <c r="AG57" s="136"/>
      <c r="AH57" s="210"/>
    </row>
    <row r="58" spans="1:34" customFormat="1">
      <c r="A58" s="209"/>
      <c r="E58" s="25"/>
      <c r="F58" s="139"/>
      <c r="G58" s="23"/>
      <c r="H58" s="21"/>
      <c r="I58" s="44"/>
      <c r="J58" s="44"/>
      <c r="K58" s="21"/>
      <c r="L58" s="131"/>
      <c r="M58" s="147"/>
      <c r="N58" s="145"/>
      <c r="O58" s="24"/>
      <c r="P58" s="24"/>
      <c r="Q58" s="24"/>
      <c r="R58" s="24"/>
      <c r="S58" s="24"/>
      <c r="T58" s="24"/>
      <c r="U58" s="24"/>
      <c r="V58" s="24"/>
      <c r="W58" s="24"/>
      <c r="X58" s="134"/>
      <c r="Y58" s="135"/>
      <c r="Z58" s="137"/>
      <c r="AA58" s="137"/>
      <c r="AB58" s="136"/>
      <c r="AC58" s="136"/>
      <c r="AD58" s="137"/>
      <c r="AE58" s="137"/>
      <c r="AF58" s="137"/>
      <c r="AG58" s="136"/>
      <c r="AH58" s="210"/>
    </row>
    <row r="59" spans="1:34" customFormat="1">
      <c r="A59" s="209"/>
      <c r="E59" s="25"/>
      <c r="F59" s="139"/>
      <c r="G59" s="23"/>
      <c r="H59" s="21"/>
      <c r="I59" s="44"/>
      <c r="J59" s="44"/>
      <c r="K59" s="21"/>
      <c r="L59" s="131"/>
      <c r="M59" s="147"/>
      <c r="N59" s="145"/>
      <c r="O59" s="24"/>
      <c r="P59" s="24"/>
      <c r="Q59" s="24"/>
      <c r="R59" s="24"/>
      <c r="S59" s="24"/>
      <c r="T59" s="24"/>
      <c r="U59" s="24"/>
      <c r="V59" s="24"/>
      <c r="W59" s="24"/>
      <c r="X59" s="134"/>
      <c r="Y59" s="135"/>
      <c r="Z59" s="137"/>
      <c r="AA59" s="137"/>
      <c r="AB59" s="136"/>
      <c r="AC59" s="136"/>
      <c r="AD59" s="137"/>
      <c r="AE59" s="137"/>
      <c r="AF59" s="137"/>
      <c r="AG59" s="136"/>
      <c r="AH59" s="210"/>
    </row>
    <row r="60" spans="1:34" customFormat="1">
      <c r="A60" s="209"/>
      <c r="E60" s="25"/>
      <c r="F60" s="139"/>
      <c r="G60" s="23"/>
      <c r="H60" s="21"/>
      <c r="I60" s="44"/>
      <c r="J60" s="44"/>
      <c r="K60" s="21"/>
      <c r="L60" s="131"/>
      <c r="M60" s="147"/>
      <c r="N60" s="145"/>
      <c r="O60" s="24"/>
      <c r="P60" s="24"/>
      <c r="Q60" s="24"/>
      <c r="R60" s="24"/>
      <c r="S60" s="24"/>
      <c r="T60" s="24"/>
      <c r="U60" s="24"/>
      <c r="V60" s="24"/>
      <c r="W60" s="24"/>
      <c r="X60" s="134"/>
      <c r="Y60" s="135"/>
      <c r="Z60" s="137"/>
      <c r="AA60" s="137"/>
      <c r="AB60" s="136"/>
      <c r="AC60" s="136"/>
      <c r="AD60" s="137"/>
      <c r="AE60" s="137"/>
      <c r="AF60" s="137"/>
      <c r="AG60" s="136"/>
      <c r="AH60" s="210"/>
    </row>
    <row r="61" spans="1:34" customFormat="1">
      <c r="A61" s="209"/>
      <c r="E61" s="25"/>
      <c r="F61" s="139"/>
      <c r="G61" s="23"/>
      <c r="H61" s="21"/>
      <c r="I61" s="44"/>
      <c r="J61" s="44"/>
      <c r="K61" s="21"/>
      <c r="L61" s="131"/>
      <c r="M61" s="147"/>
      <c r="N61" s="145"/>
      <c r="O61" s="24"/>
      <c r="P61" s="24"/>
      <c r="Q61" s="24"/>
      <c r="R61" s="24"/>
      <c r="S61" s="24"/>
      <c r="T61" s="24"/>
      <c r="U61" s="24"/>
      <c r="V61" s="24"/>
      <c r="W61" s="24"/>
      <c r="X61" s="134"/>
      <c r="Y61" s="135"/>
      <c r="Z61" s="137"/>
      <c r="AA61" s="137"/>
      <c r="AB61" s="136"/>
      <c r="AC61" s="136"/>
      <c r="AD61" s="137"/>
      <c r="AE61" s="137"/>
      <c r="AF61" s="137"/>
      <c r="AG61" s="136"/>
      <c r="AH61" s="210"/>
    </row>
    <row r="62" spans="1:34" customFormat="1">
      <c r="A62" s="209"/>
      <c r="E62" s="25"/>
      <c r="F62" s="139"/>
      <c r="G62" s="23"/>
      <c r="H62" s="21"/>
      <c r="I62" s="44"/>
      <c r="J62" s="44"/>
      <c r="K62" s="21"/>
      <c r="L62" s="131"/>
      <c r="M62" s="147"/>
      <c r="N62" s="145"/>
      <c r="O62" s="24"/>
      <c r="P62" s="24"/>
      <c r="Q62" s="24"/>
      <c r="R62" s="24"/>
      <c r="S62" s="24"/>
      <c r="T62" s="24"/>
      <c r="U62" s="24"/>
      <c r="V62" s="24"/>
      <c r="W62" s="24"/>
      <c r="X62" s="134"/>
      <c r="Y62" s="135"/>
      <c r="Z62" s="137"/>
      <c r="AA62" s="137"/>
      <c r="AB62" s="136"/>
      <c r="AC62" s="136"/>
      <c r="AD62" s="137"/>
      <c r="AE62" s="137"/>
      <c r="AF62" s="137"/>
      <c r="AG62" s="136"/>
      <c r="AH62" s="210"/>
    </row>
    <row r="63" spans="1:34" customFormat="1">
      <c r="A63" s="209"/>
      <c r="E63" s="25"/>
      <c r="F63" s="139"/>
      <c r="G63" s="23"/>
      <c r="H63" s="21"/>
      <c r="I63" s="44"/>
      <c r="J63" s="44"/>
      <c r="K63" s="21"/>
      <c r="L63" s="131"/>
      <c r="M63" s="147"/>
      <c r="N63" s="145"/>
      <c r="O63" s="24"/>
      <c r="P63" s="24"/>
      <c r="Q63" s="24"/>
      <c r="R63" s="24"/>
      <c r="S63" s="24"/>
      <c r="T63" s="24"/>
      <c r="U63" s="24"/>
      <c r="V63" s="24"/>
      <c r="W63" s="24"/>
      <c r="X63" s="134"/>
      <c r="Y63" s="135"/>
      <c r="Z63" s="137"/>
      <c r="AA63" s="137"/>
      <c r="AB63" s="136"/>
      <c r="AC63" s="136"/>
      <c r="AD63" s="137"/>
      <c r="AE63" s="137"/>
      <c r="AF63" s="137"/>
      <c r="AG63" s="136"/>
      <c r="AH63" s="210"/>
    </row>
    <row r="64" spans="1:34" customFormat="1">
      <c r="A64" s="209"/>
      <c r="E64" s="25"/>
      <c r="F64" s="139"/>
      <c r="G64" s="23"/>
      <c r="H64" s="21"/>
      <c r="I64" s="44"/>
      <c r="J64" s="44"/>
      <c r="K64" s="21"/>
      <c r="L64" s="131"/>
      <c r="M64" s="147"/>
      <c r="N64" s="145"/>
      <c r="O64" s="24"/>
      <c r="P64" s="24"/>
      <c r="Q64" s="24"/>
      <c r="R64" s="24"/>
      <c r="S64" s="24"/>
      <c r="T64" s="24"/>
      <c r="U64" s="24"/>
      <c r="V64" s="24"/>
      <c r="W64" s="24"/>
      <c r="X64" s="134"/>
      <c r="Y64" s="135"/>
      <c r="Z64" s="137"/>
      <c r="AA64" s="137"/>
      <c r="AB64" s="136"/>
      <c r="AC64" s="136"/>
      <c r="AD64" s="137"/>
      <c r="AE64" s="137"/>
      <c r="AF64" s="137"/>
      <c r="AG64" s="136"/>
      <c r="AH64" s="210"/>
    </row>
    <row r="65" spans="1:34" customFormat="1">
      <c r="A65" s="209"/>
      <c r="E65" s="25"/>
      <c r="F65" s="139"/>
      <c r="G65" s="23"/>
      <c r="H65" s="21"/>
      <c r="I65" s="44"/>
      <c r="J65" s="44"/>
      <c r="K65" s="21"/>
      <c r="L65" s="131"/>
      <c r="M65" s="147"/>
      <c r="N65" s="145"/>
      <c r="O65" s="24"/>
      <c r="P65" s="24"/>
      <c r="Q65" s="24"/>
      <c r="R65" s="24"/>
      <c r="S65" s="24"/>
      <c r="T65" s="24"/>
      <c r="U65" s="24"/>
      <c r="V65" s="24"/>
      <c r="W65" s="24"/>
      <c r="X65" s="134"/>
      <c r="Y65" s="135"/>
      <c r="Z65" s="137"/>
      <c r="AA65" s="137"/>
      <c r="AB65" s="136"/>
      <c r="AC65" s="136"/>
      <c r="AD65" s="137"/>
      <c r="AE65" s="137"/>
      <c r="AF65" s="137"/>
      <c r="AG65" s="136"/>
      <c r="AH65" s="210"/>
    </row>
    <row r="66" spans="1:34" customFormat="1">
      <c r="A66" s="209"/>
      <c r="E66" s="25"/>
      <c r="F66" s="139"/>
      <c r="G66" s="23"/>
      <c r="H66" s="21"/>
      <c r="I66" s="44"/>
      <c r="J66" s="44"/>
      <c r="K66" s="21"/>
      <c r="L66" s="131"/>
      <c r="M66" s="147"/>
      <c r="N66" s="145"/>
      <c r="O66" s="24"/>
      <c r="P66" s="24"/>
      <c r="Q66" s="24"/>
      <c r="R66" s="24"/>
      <c r="S66" s="24"/>
      <c r="T66" s="24"/>
      <c r="U66" s="24"/>
      <c r="V66" s="24"/>
      <c r="W66" s="24"/>
      <c r="X66" s="134"/>
      <c r="Y66" s="135"/>
      <c r="Z66" s="137"/>
      <c r="AA66" s="137"/>
      <c r="AB66" s="136"/>
      <c r="AC66" s="136"/>
      <c r="AD66" s="137"/>
      <c r="AE66" s="137"/>
      <c r="AF66" s="137"/>
      <c r="AG66" s="136"/>
      <c r="AH66" s="210"/>
    </row>
    <row r="67" spans="1:34" customFormat="1">
      <c r="A67" s="209"/>
      <c r="E67" s="25"/>
      <c r="F67" s="139"/>
      <c r="G67" s="23"/>
      <c r="H67" s="21"/>
      <c r="I67" s="44"/>
      <c r="J67" s="44"/>
      <c r="K67" s="21"/>
      <c r="L67" s="131"/>
      <c r="M67" s="147"/>
      <c r="N67" s="145"/>
      <c r="O67" s="24"/>
      <c r="P67" s="24"/>
      <c r="Q67" s="24"/>
      <c r="R67" s="24"/>
      <c r="S67" s="24"/>
      <c r="T67" s="24"/>
      <c r="U67" s="24"/>
      <c r="V67" s="24"/>
      <c r="W67" s="24"/>
      <c r="X67" s="134"/>
      <c r="Y67" s="135"/>
      <c r="Z67" s="137"/>
      <c r="AA67" s="137"/>
      <c r="AB67" s="136"/>
      <c r="AC67" s="136"/>
      <c r="AD67" s="137"/>
      <c r="AE67" s="137"/>
      <c r="AF67" s="137"/>
      <c r="AG67" s="136"/>
      <c r="AH67" s="210"/>
    </row>
    <row r="68" spans="1:34" customFormat="1">
      <c r="A68" s="209"/>
      <c r="E68" s="25"/>
      <c r="F68" s="139"/>
      <c r="G68" s="23"/>
      <c r="H68" s="21"/>
      <c r="I68" s="44"/>
      <c r="J68" s="44"/>
      <c r="K68" s="21"/>
      <c r="L68" s="131"/>
      <c r="M68" s="147"/>
      <c r="N68" s="145"/>
      <c r="O68" s="24"/>
      <c r="P68" s="24"/>
      <c r="Q68" s="24"/>
      <c r="R68" s="24"/>
      <c r="S68" s="24"/>
      <c r="T68" s="24"/>
      <c r="U68" s="24"/>
      <c r="V68" s="24"/>
      <c r="W68" s="24"/>
      <c r="X68" s="134"/>
      <c r="Y68" s="135"/>
      <c r="Z68" s="137"/>
      <c r="AA68" s="137"/>
      <c r="AB68" s="136"/>
      <c r="AC68" s="136"/>
      <c r="AD68" s="137"/>
      <c r="AE68" s="137"/>
      <c r="AF68" s="137"/>
      <c r="AG68" s="136"/>
      <c r="AH68" s="210"/>
    </row>
    <row r="69" spans="1:34" customFormat="1">
      <c r="A69" s="209"/>
      <c r="E69" s="25"/>
      <c r="F69" s="139"/>
      <c r="G69" s="23"/>
      <c r="H69" s="21"/>
      <c r="I69" s="44"/>
      <c r="J69" s="44"/>
      <c r="K69" s="21"/>
      <c r="L69" s="131"/>
      <c r="M69" s="147"/>
      <c r="N69" s="145"/>
      <c r="O69" s="24"/>
      <c r="P69" s="24"/>
      <c r="Q69" s="24"/>
      <c r="R69" s="24"/>
      <c r="S69" s="24"/>
      <c r="T69" s="24"/>
      <c r="U69" s="24"/>
      <c r="V69" s="24"/>
      <c r="W69" s="24"/>
      <c r="X69" s="134"/>
      <c r="Y69" s="135"/>
      <c r="Z69" s="137"/>
      <c r="AA69" s="137"/>
      <c r="AB69" s="136"/>
      <c r="AC69" s="136"/>
      <c r="AD69" s="137"/>
      <c r="AE69" s="137"/>
      <c r="AF69" s="137"/>
      <c r="AG69" s="136"/>
      <c r="AH69" s="210"/>
    </row>
    <row r="70" spans="1:34" customFormat="1">
      <c r="A70" s="209"/>
      <c r="E70" s="25"/>
      <c r="F70" s="139"/>
      <c r="G70" s="23"/>
      <c r="H70" s="21"/>
      <c r="I70" s="44"/>
      <c r="J70" s="44"/>
      <c r="K70" s="21"/>
      <c r="L70" s="131"/>
      <c r="M70" s="147"/>
      <c r="N70" s="145"/>
      <c r="O70" s="24"/>
      <c r="P70" s="24"/>
      <c r="Q70" s="24"/>
      <c r="R70" s="24"/>
      <c r="S70" s="24"/>
      <c r="T70" s="24"/>
      <c r="U70" s="24"/>
      <c r="V70" s="24"/>
      <c r="W70" s="24"/>
      <c r="X70" s="134"/>
      <c r="Y70" s="135"/>
      <c r="Z70" s="137"/>
      <c r="AA70" s="137"/>
      <c r="AB70" s="136"/>
      <c r="AC70" s="136"/>
      <c r="AD70" s="137"/>
      <c r="AE70" s="137"/>
      <c r="AF70" s="137"/>
      <c r="AG70" s="136"/>
      <c r="AH70" s="210"/>
    </row>
    <row r="71" spans="1:34" customFormat="1">
      <c r="A71" s="209"/>
      <c r="E71" s="25"/>
      <c r="F71" s="139"/>
      <c r="G71" s="23"/>
      <c r="H71" s="21"/>
      <c r="I71" s="44"/>
      <c r="J71" s="44"/>
      <c r="K71" s="21"/>
      <c r="L71" s="131"/>
      <c r="M71" s="147"/>
      <c r="N71" s="145"/>
      <c r="O71" s="24"/>
      <c r="P71" s="24"/>
      <c r="Q71" s="24"/>
      <c r="R71" s="24"/>
      <c r="S71" s="24"/>
      <c r="T71" s="24"/>
      <c r="U71" s="24"/>
      <c r="V71" s="24"/>
      <c r="W71" s="24"/>
      <c r="X71" s="134"/>
      <c r="Y71" s="135"/>
      <c r="Z71" s="137"/>
      <c r="AA71" s="137"/>
      <c r="AB71" s="136"/>
      <c r="AC71" s="136"/>
      <c r="AD71" s="137"/>
      <c r="AE71" s="137"/>
      <c r="AF71" s="137"/>
      <c r="AG71" s="136"/>
      <c r="AH71" s="210"/>
    </row>
    <row r="72" spans="1:34" customFormat="1">
      <c r="A72" s="209"/>
      <c r="E72" s="25"/>
      <c r="F72" s="139"/>
      <c r="G72" s="23"/>
      <c r="H72" s="21"/>
      <c r="I72" s="44"/>
      <c r="J72" s="44"/>
      <c r="K72" s="21"/>
      <c r="L72" s="131"/>
      <c r="M72" s="147"/>
      <c r="N72" s="145"/>
      <c r="O72" s="24"/>
      <c r="P72" s="24"/>
      <c r="Q72" s="24"/>
      <c r="R72" s="24"/>
      <c r="S72" s="24"/>
      <c r="T72" s="24"/>
      <c r="U72" s="24"/>
      <c r="V72" s="24"/>
      <c r="W72" s="24"/>
      <c r="X72" s="134"/>
      <c r="Y72" s="135"/>
      <c r="Z72" s="137"/>
      <c r="AA72" s="137"/>
      <c r="AB72" s="136"/>
      <c r="AC72" s="136"/>
      <c r="AD72" s="137"/>
      <c r="AE72" s="137"/>
      <c r="AF72" s="137"/>
      <c r="AG72" s="136"/>
      <c r="AH72" s="210"/>
    </row>
    <row r="73" spans="1:34" customFormat="1">
      <c r="A73" s="209"/>
      <c r="E73" s="25"/>
      <c r="F73" s="139"/>
      <c r="G73" s="23"/>
      <c r="H73" s="21"/>
      <c r="I73" s="44"/>
      <c r="J73" s="44"/>
      <c r="K73" s="21"/>
      <c r="L73" s="131"/>
      <c r="M73" s="147"/>
      <c r="N73" s="145"/>
      <c r="O73" s="24"/>
      <c r="P73" s="24"/>
      <c r="Q73" s="24"/>
      <c r="R73" s="24"/>
      <c r="S73" s="24"/>
      <c r="T73" s="24"/>
      <c r="U73" s="24"/>
      <c r="V73" s="24"/>
      <c r="W73" s="24"/>
      <c r="X73" s="134"/>
      <c r="Y73" s="135"/>
      <c r="Z73" s="137"/>
      <c r="AA73" s="137"/>
      <c r="AB73" s="136"/>
      <c r="AC73" s="136"/>
      <c r="AD73" s="137"/>
      <c r="AE73" s="137"/>
      <c r="AF73" s="137"/>
      <c r="AG73" s="136"/>
      <c r="AH73" s="210"/>
    </row>
    <row r="74" spans="1:34" customFormat="1">
      <c r="A74" s="209"/>
      <c r="E74" s="25"/>
      <c r="F74" s="139"/>
      <c r="G74" s="23"/>
      <c r="H74" s="21"/>
      <c r="I74" s="44"/>
      <c r="J74" s="44"/>
      <c r="K74" s="21"/>
      <c r="L74" s="131"/>
      <c r="M74" s="147"/>
      <c r="N74" s="145"/>
      <c r="O74" s="24"/>
      <c r="P74" s="24"/>
      <c r="Q74" s="24"/>
      <c r="R74" s="24"/>
      <c r="S74" s="24"/>
      <c r="T74" s="24"/>
      <c r="U74" s="24"/>
      <c r="V74" s="24"/>
      <c r="W74" s="24"/>
      <c r="X74" s="134"/>
      <c r="Y74" s="135"/>
      <c r="Z74" s="137"/>
      <c r="AA74" s="137"/>
      <c r="AB74" s="136"/>
      <c r="AC74" s="136"/>
      <c r="AD74" s="137"/>
      <c r="AE74" s="137"/>
      <c r="AF74" s="137"/>
      <c r="AG74" s="136"/>
      <c r="AH74" s="210"/>
    </row>
    <row r="75" spans="1:34" customFormat="1">
      <c r="A75" s="209"/>
      <c r="E75" s="25"/>
      <c r="F75" s="139"/>
      <c r="G75" s="23"/>
      <c r="H75" s="21"/>
      <c r="I75" s="44"/>
      <c r="J75" s="44"/>
      <c r="K75" s="21"/>
      <c r="L75" s="131"/>
      <c r="M75" s="147"/>
      <c r="N75" s="145"/>
      <c r="O75" s="24"/>
      <c r="P75" s="24"/>
      <c r="Q75" s="24"/>
      <c r="R75" s="24"/>
      <c r="S75" s="24"/>
      <c r="T75" s="24"/>
      <c r="U75" s="24"/>
      <c r="V75" s="24"/>
      <c r="W75" s="24"/>
      <c r="X75" s="134"/>
      <c r="Y75" s="135"/>
      <c r="Z75" s="137"/>
      <c r="AA75" s="137"/>
      <c r="AB75" s="136"/>
      <c r="AC75" s="136"/>
      <c r="AD75" s="137"/>
      <c r="AE75" s="137"/>
      <c r="AF75" s="137"/>
      <c r="AG75" s="136"/>
      <c r="AH75" s="210"/>
    </row>
    <row r="76" spans="1:34" customFormat="1">
      <c r="A76" s="209"/>
      <c r="E76" s="25"/>
      <c r="F76" s="139"/>
      <c r="G76" s="23"/>
      <c r="H76" s="21"/>
      <c r="I76" s="44"/>
      <c r="J76" s="44"/>
      <c r="K76" s="21"/>
      <c r="L76" s="131"/>
      <c r="M76" s="147"/>
      <c r="N76" s="145"/>
      <c r="O76" s="24"/>
      <c r="P76" s="24"/>
      <c r="Q76" s="24"/>
      <c r="R76" s="24"/>
      <c r="S76" s="24"/>
      <c r="T76" s="24"/>
      <c r="U76" s="24"/>
      <c r="V76" s="24"/>
      <c r="W76" s="24"/>
      <c r="X76" s="134"/>
      <c r="Y76" s="135"/>
      <c r="Z76" s="137"/>
      <c r="AA76" s="137"/>
      <c r="AB76" s="136"/>
      <c r="AC76" s="136"/>
      <c r="AD76" s="137"/>
      <c r="AE76" s="137"/>
      <c r="AF76" s="137"/>
      <c r="AG76" s="136"/>
      <c r="AH76" s="210"/>
    </row>
    <row r="77" spans="1:34">
      <c r="A77" s="209"/>
      <c r="E77" s="211"/>
      <c r="F77" s="212"/>
      <c r="G77" s="211"/>
      <c r="H77" s="186"/>
      <c r="I77" s="146"/>
      <c r="J77" s="186"/>
      <c r="K77" s="186"/>
      <c r="L77" s="213"/>
      <c r="M77" s="213"/>
      <c r="N77" s="211"/>
      <c r="O77" s="214"/>
      <c r="P77" s="214"/>
      <c r="Q77" s="214"/>
      <c r="R77" s="214"/>
      <c r="S77" s="214"/>
      <c r="T77" s="214"/>
      <c r="U77" s="214"/>
      <c r="V77" s="211"/>
      <c r="W77" s="211"/>
      <c r="AH77" s="215"/>
    </row>
    <row r="78" spans="1:34">
      <c r="A78" s="209"/>
      <c r="E78" s="211"/>
      <c r="F78" s="212"/>
      <c r="G78" s="211"/>
      <c r="H78" s="186"/>
      <c r="I78" s="186"/>
      <c r="J78" s="186"/>
      <c r="K78" s="186"/>
      <c r="L78" s="213"/>
      <c r="M78" s="213"/>
      <c r="N78" s="211"/>
      <c r="O78" s="214"/>
      <c r="P78" s="214"/>
      <c r="Q78" s="214"/>
      <c r="R78" s="214"/>
      <c r="S78" s="214"/>
      <c r="T78" s="214"/>
      <c r="U78" s="214"/>
      <c r="V78" s="211"/>
      <c r="W78" s="211"/>
      <c r="AH78" s="215"/>
    </row>
    <row r="79" spans="1:34">
      <c r="A79" s="209"/>
      <c r="E79" s="211"/>
      <c r="F79" s="212"/>
      <c r="G79" s="211"/>
      <c r="H79" s="186"/>
      <c r="I79" s="186"/>
      <c r="J79" s="186"/>
      <c r="K79" s="186"/>
      <c r="L79" s="213"/>
      <c r="M79" s="213"/>
      <c r="N79" s="211"/>
      <c r="O79" s="214"/>
      <c r="P79" s="214"/>
      <c r="Q79" s="214"/>
      <c r="R79" s="214"/>
      <c r="S79" s="214"/>
      <c r="T79" s="214"/>
      <c r="U79" s="214"/>
      <c r="V79" s="211"/>
      <c r="W79" s="211"/>
      <c r="AH79" s="215"/>
    </row>
    <row r="80" spans="1:34">
      <c r="A80" s="209"/>
      <c r="G80" s="211"/>
      <c r="O80" s="216"/>
      <c r="P80" s="216"/>
      <c r="Q80" s="216"/>
      <c r="R80" s="216"/>
      <c r="S80" s="216"/>
      <c r="T80" s="216"/>
      <c r="U80" s="216"/>
      <c r="AH80" s="215"/>
    </row>
    <row r="81" spans="1:34">
      <c r="A81" s="209"/>
      <c r="O81" s="216"/>
      <c r="P81" s="216"/>
      <c r="Q81" s="216"/>
      <c r="R81" s="216"/>
      <c r="S81" s="216"/>
      <c r="T81" s="216"/>
      <c r="U81" s="216"/>
      <c r="AH81" s="215"/>
    </row>
    <row r="82" spans="1:34">
      <c r="A82" s="209"/>
      <c r="O82" s="216"/>
      <c r="P82" s="216"/>
      <c r="Q82" s="216"/>
      <c r="R82" s="216"/>
      <c r="S82" s="216"/>
      <c r="T82" s="216"/>
      <c r="U82" s="216"/>
      <c r="AH82" s="215"/>
    </row>
    <row r="83" spans="1:34">
      <c r="A83" s="209"/>
      <c r="O83" s="216"/>
      <c r="P83" s="216"/>
      <c r="Q83" s="216"/>
      <c r="R83" s="216"/>
      <c r="S83" s="216"/>
      <c r="T83" s="216"/>
      <c r="U83" s="216"/>
      <c r="AH83" s="215"/>
    </row>
    <row r="84" spans="1:34">
      <c r="A84" s="209"/>
      <c r="O84" s="216"/>
      <c r="P84" s="216"/>
      <c r="Q84" s="216"/>
      <c r="R84" s="216"/>
      <c r="S84" s="216"/>
      <c r="T84" s="216"/>
      <c r="U84" s="216"/>
      <c r="AH84" s="215"/>
    </row>
    <row r="85" spans="1:34">
      <c r="A85" s="209"/>
      <c r="O85" s="216"/>
      <c r="P85" s="216"/>
      <c r="Q85" s="216"/>
      <c r="R85" s="216"/>
      <c r="S85" s="216"/>
      <c r="T85" s="216"/>
      <c r="U85" s="216"/>
      <c r="AH85" s="215"/>
    </row>
    <row r="86" spans="1:34">
      <c r="A86" s="209"/>
      <c r="O86" s="216"/>
      <c r="P86" s="216"/>
      <c r="Q86" s="216"/>
      <c r="R86" s="216"/>
      <c r="S86" s="216"/>
      <c r="T86" s="216"/>
      <c r="U86" s="216"/>
      <c r="AH86" s="215"/>
    </row>
    <row r="87" spans="1:34">
      <c r="A87" s="209"/>
      <c r="O87" s="216"/>
      <c r="P87" s="216"/>
      <c r="Q87" s="216"/>
      <c r="R87" s="216"/>
      <c r="S87" s="216"/>
      <c r="T87" s="216"/>
      <c r="U87" s="216"/>
      <c r="AH87" s="215"/>
    </row>
    <row r="88" spans="1:34">
      <c r="A88" s="209"/>
      <c r="O88" s="216"/>
      <c r="P88" s="216"/>
      <c r="Q88" s="216"/>
      <c r="R88" s="216"/>
      <c r="S88" s="216"/>
      <c r="T88" s="216"/>
      <c r="U88" s="216"/>
      <c r="AH88" s="215"/>
    </row>
    <row r="89" spans="1:34">
      <c r="A89" s="209"/>
      <c r="O89" s="216"/>
      <c r="P89" s="216"/>
      <c r="Q89" s="216"/>
      <c r="R89" s="216"/>
      <c r="S89" s="216"/>
      <c r="T89" s="216"/>
      <c r="U89" s="216"/>
      <c r="AH89" s="215"/>
    </row>
    <row r="90" spans="1:34">
      <c r="A90" s="209"/>
      <c r="O90" s="216"/>
      <c r="P90" s="216"/>
      <c r="Q90" s="216"/>
      <c r="R90" s="216"/>
      <c r="S90" s="216"/>
      <c r="T90" s="216"/>
      <c r="U90" s="216"/>
      <c r="AH90" s="215"/>
    </row>
    <row r="91" spans="1:34">
      <c r="A91" s="209"/>
      <c r="O91" s="216"/>
      <c r="P91" s="216"/>
      <c r="Q91" s="216"/>
      <c r="R91" s="216"/>
      <c r="S91" s="216"/>
      <c r="T91" s="216"/>
      <c r="U91" s="216"/>
      <c r="AH91" s="215"/>
    </row>
    <row r="92" spans="1:34">
      <c r="A92" s="209"/>
      <c r="O92" s="216"/>
      <c r="P92" s="216"/>
      <c r="Q92" s="216"/>
      <c r="R92" s="216"/>
      <c r="S92" s="216"/>
      <c r="T92" s="216"/>
      <c r="U92" s="216"/>
      <c r="AH92" s="215"/>
    </row>
    <row r="93" spans="1:34">
      <c r="A93" s="209"/>
      <c r="O93" s="216"/>
      <c r="P93" s="216"/>
      <c r="Q93" s="216"/>
      <c r="R93" s="216"/>
      <c r="S93" s="216"/>
      <c r="T93" s="216"/>
      <c r="U93" s="216"/>
      <c r="AH93" s="215"/>
    </row>
    <row r="94" spans="1:34">
      <c r="A94" s="209"/>
      <c r="O94" s="216"/>
      <c r="P94" s="216"/>
      <c r="Q94" s="216"/>
      <c r="R94" s="216"/>
      <c r="S94" s="216"/>
      <c r="T94" s="216"/>
      <c r="U94" s="216"/>
      <c r="AH94" s="215"/>
    </row>
    <row r="95" spans="1:34">
      <c r="A95" s="209"/>
      <c r="O95" s="216"/>
      <c r="P95" s="216"/>
      <c r="Q95" s="216"/>
      <c r="R95" s="216"/>
      <c r="S95" s="216"/>
      <c r="T95" s="216"/>
      <c r="U95" s="216"/>
      <c r="AH95" s="215"/>
    </row>
    <row r="96" spans="1:34">
      <c r="A96" s="209"/>
      <c r="O96" s="216"/>
      <c r="P96" s="216"/>
      <c r="Q96" s="216"/>
      <c r="R96" s="216"/>
      <c r="S96" s="216"/>
      <c r="T96" s="216"/>
      <c r="U96" s="216"/>
      <c r="AH96" s="215"/>
    </row>
    <row r="97" spans="1:34">
      <c r="A97" s="209"/>
      <c r="O97" s="216"/>
      <c r="P97" s="216"/>
      <c r="Q97" s="216"/>
      <c r="R97" s="216"/>
      <c r="S97" s="216"/>
      <c r="T97" s="216"/>
      <c r="U97" s="216"/>
      <c r="AH97" s="215"/>
    </row>
    <row r="98" spans="1:34">
      <c r="A98" s="209"/>
      <c r="O98" s="216"/>
      <c r="P98" s="216"/>
      <c r="Q98" s="216"/>
      <c r="R98" s="216"/>
      <c r="S98" s="216"/>
      <c r="T98" s="216"/>
      <c r="U98" s="216"/>
      <c r="AH98" s="215"/>
    </row>
    <row r="99" spans="1:34">
      <c r="A99" s="209"/>
      <c r="O99" s="216"/>
      <c r="P99" s="216"/>
      <c r="Q99" s="216"/>
      <c r="R99" s="216"/>
      <c r="S99" s="216"/>
      <c r="T99" s="216"/>
      <c r="U99" s="216"/>
      <c r="AH99" s="215"/>
    </row>
    <row r="100" spans="1:34">
      <c r="A100" s="209"/>
      <c r="O100" s="216"/>
      <c r="P100" s="216"/>
      <c r="Q100" s="216"/>
      <c r="R100" s="216"/>
      <c r="S100" s="216"/>
      <c r="T100" s="216"/>
      <c r="U100" s="216"/>
      <c r="AH100" s="215"/>
    </row>
    <row r="101" spans="1:34">
      <c r="A101" s="209"/>
      <c r="O101" s="216"/>
      <c r="P101" s="216"/>
      <c r="Q101" s="216"/>
      <c r="R101" s="216"/>
      <c r="S101" s="216"/>
      <c r="T101" s="216"/>
      <c r="U101" s="216"/>
      <c r="AH101" s="215"/>
    </row>
    <row r="102" spans="1:34">
      <c r="A102" s="209"/>
      <c r="O102" s="216"/>
      <c r="P102" s="216"/>
      <c r="Q102" s="216"/>
      <c r="R102" s="216"/>
      <c r="S102" s="216"/>
      <c r="T102" s="216"/>
      <c r="U102" s="216"/>
      <c r="AH102" s="215"/>
    </row>
    <row r="103" spans="1:34">
      <c r="A103" s="209"/>
      <c r="O103" s="216"/>
      <c r="P103" s="216"/>
      <c r="Q103" s="216"/>
      <c r="R103" s="216"/>
      <c r="S103" s="216"/>
      <c r="T103" s="216"/>
      <c r="U103" s="216"/>
      <c r="AH103" s="215"/>
    </row>
    <row r="104" spans="1:34">
      <c r="A104" s="209"/>
      <c r="O104" s="216"/>
      <c r="P104" s="216"/>
      <c r="Q104" s="216"/>
      <c r="R104" s="216"/>
      <c r="S104" s="216"/>
      <c r="T104" s="216"/>
      <c r="U104" s="216"/>
      <c r="AH104" s="215"/>
    </row>
    <row r="105" spans="1:34">
      <c r="A105" s="209"/>
      <c r="O105" s="216"/>
      <c r="P105" s="216"/>
      <c r="Q105" s="216"/>
      <c r="R105" s="216"/>
      <c r="S105" s="216"/>
      <c r="T105" s="216"/>
      <c r="U105" s="216"/>
      <c r="AH105" s="215"/>
    </row>
    <row r="106" spans="1:34">
      <c r="A106" s="209"/>
      <c r="O106" s="216"/>
      <c r="P106" s="216"/>
      <c r="Q106" s="216"/>
      <c r="R106" s="216"/>
      <c r="S106" s="216"/>
      <c r="T106" s="216"/>
      <c r="U106" s="216"/>
      <c r="AH106" s="215"/>
    </row>
    <row r="107" spans="1:34">
      <c r="A107" s="209"/>
      <c r="O107" s="216"/>
      <c r="P107" s="216"/>
      <c r="Q107" s="216"/>
      <c r="R107" s="216"/>
      <c r="S107" s="216"/>
      <c r="T107" s="216"/>
      <c r="U107" s="216"/>
      <c r="AH107" s="215"/>
    </row>
    <row r="108" spans="1:34">
      <c r="A108" s="209"/>
      <c r="O108" s="216"/>
      <c r="P108" s="216"/>
      <c r="Q108" s="216"/>
      <c r="R108" s="216"/>
      <c r="S108" s="216"/>
      <c r="T108" s="216"/>
      <c r="U108" s="216"/>
      <c r="AH108" s="215"/>
    </row>
    <row r="109" spans="1:34">
      <c r="A109" s="209"/>
      <c r="O109" s="216"/>
      <c r="P109" s="216"/>
      <c r="Q109" s="216"/>
      <c r="R109" s="216"/>
      <c r="S109" s="216"/>
      <c r="T109" s="216"/>
      <c r="U109" s="216"/>
      <c r="AH109" s="215"/>
    </row>
    <row r="110" spans="1:34">
      <c r="A110" s="209"/>
      <c r="O110" s="216"/>
      <c r="P110" s="216"/>
      <c r="Q110" s="216"/>
      <c r="R110" s="216"/>
      <c r="S110" s="216"/>
      <c r="T110" s="216"/>
      <c r="U110" s="216"/>
      <c r="AH110" s="215"/>
    </row>
    <row r="111" spans="1:34">
      <c r="A111" s="209"/>
      <c r="O111" s="216"/>
      <c r="P111" s="216"/>
      <c r="Q111" s="216"/>
      <c r="R111" s="216"/>
      <c r="S111" s="216"/>
      <c r="T111" s="216"/>
      <c r="U111" s="216"/>
      <c r="AH111" s="215"/>
    </row>
    <row r="112" spans="1:34">
      <c r="A112" s="209"/>
      <c r="O112" s="216"/>
      <c r="P112" s="216"/>
      <c r="Q112" s="216"/>
      <c r="R112" s="216"/>
      <c r="S112" s="216"/>
      <c r="T112" s="216"/>
      <c r="U112" s="216"/>
      <c r="AH112" s="215"/>
    </row>
    <row r="113" spans="1:34">
      <c r="A113" s="209"/>
      <c r="O113" s="216"/>
      <c r="P113" s="216"/>
      <c r="Q113" s="216"/>
      <c r="R113" s="216"/>
      <c r="S113" s="216"/>
      <c r="T113" s="216"/>
      <c r="U113" s="216"/>
      <c r="AH113" s="215"/>
    </row>
    <row r="114" spans="1:34">
      <c r="A114" s="209"/>
      <c r="O114" s="216"/>
      <c r="P114" s="216"/>
      <c r="Q114" s="216"/>
      <c r="R114" s="216"/>
      <c r="S114" s="216"/>
      <c r="T114" s="216"/>
      <c r="U114" s="216"/>
      <c r="AH114" s="215"/>
    </row>
    <row r="115" spans="1:34">
      <c r="A115" s="209"/>
      <c r="O115" s="216"/>
      <c r="P115" s="216"/>
      <c r="Q115" s="216"/>
      <c r="R115" s="216"/>
      <c r="S115" s="216"/>
      <c r="T115" s="216"/>
      <c r="U115" s="216"/>
      <c r="AH115" s="215"/>
    </row>
    <row r="116" spans="1:34">
      <c r="A116" s="209"/>
      <c r="O116" s="216"/>
      <c r="P116" s="216"/>
      <c r="Q116" s="216"/>
      <c r="R116" s="216"/>
      <c r="S116" s="216"/>
      <c r="T116" s="216"/>
      <c r="U116" s="216"/>
      <c r="AH116" s="215"/>
    </row>
    <row r="117" spans="1:34">
      <c r="A117" s="209"/>
      <c r="O117" s="216"/>
      <c r="P117" s="216"/>
      <c r="Q117" s="216"/>
      <c r="R117" s="216"/>
      <c r="S117" s="216"/>
      <c r="T117" s="216"/>
      <c r="U117" s="216"/>
      <c r="AH117" s="215"/>
    </row>
    <row r="118" spans="1:34">
      <c r="A118" s="209"/>
      <c r="O118" s="216"/>
      <c r="P118" s="216"/>
      <c r="Q118" s="216"/>
      <c r="R118" s="216"/>
      <c r="S118" s="216"/>
      <c r="T118" s="216"/>
      <c r="U118" s="216"/>
      <c r="AH118" s="215"/>
    </row>
    <row r="119" spans="1:34">
      <c r="A119" s="209"/>
      <c r="O119" s="216"/>
      <c r="P119" s="216"/>
      <c r="Q119" s="216"/>
      <c r="R119" s="216"/>
      <c r="S119" s="216"/>
      <c r="T119" s="216"/>
      <c r="U119" s="216"/>
      <c r="AH119" s="215"/>
    </row>
    <row r="120" spans="1:34">
      <c r="A120" s="209"/>
      <c r="O120" s="216"/>
      <c r="P120" s="216"/>
      <c r="Q120" s="216"/>
      <c r="R120" s="216"/>
      <c r="S120" s="216"/>
      <c r="T120" s="216"/>
      <c r="U120" s="216"/>
      <c r="AH120" s="215"/>
    </row>
    <row r="121" spans="1:34">
      <c r="A121" s="209"/>
      <c r="O121" s="216"/>
      <c r="P121" s="216"/>
      <c r="Q121" s="216"/>
      <c r="R121" s="216"/>
      <c r="S121" s="216"/>
      <c r="T121" s="216"/>
      <c r="U121" s="216"/>
      <c r="AH121" s="215"/>
    </row>
    <row r="122" spans="1:34">
      <c r="A122" s="209"/>
      <c r="O122" s="216"/>
      <c r="P122" s="216"/>
      <c r="Q122" s="216"/>
      <c r="R122" s="216"/>
      <c r="S122" s="216"/>
      <c r="T122" s="216"/>
      <c r="U122" s="216"/>
      <c r="AH122" s="215"/>
    </row>
    <row r="123" spans="1:34">
      <c r="A123" s="209"/>
      <c r="O123" s="216"/>
      <c r="P123" s="216"/>
      <c r="Q123" s="216"/>
      <c r="R123" s="216"/>
      <c r="S123" s="216"/>
      <c r="T123" s="216"/>
      <c r="U123" s="216"/>
      <c r="AH123" s="215"/>
    </row>
    <row r="124" spans="1:34">
      <c r="A124" s="209"/>
      <c r="O124" s="216"/>
      <c r="P124" s="216"/>
      <c r="Q124" s="216"/>
      <c r="R124" s="216"/>
      <c r="S124" s="216"/>
      <c r="T124" s="216"/>
      <c r="U124" s="216"/>
      <c r="AH124" s="215"/>
    </row>
    <row r="125" spans="1:34">
      <c r="A125" s="209"/>
      <c r="O125" s="216"/>
      <c r="P125" s="216"/>
      <c r="Q125" s="216"/>
      <c r="R125" s="216"/>
      <c r="S125" s="216"/>
      <c r="T125" s="216"/>
      <c r="U125" s="216"/>
      <c r="AH125" s="215"/>
    </row>
    <row r="126" spans="1:34">
      <c r="A126" s="209"/>
      <c r="O126" s="216"/>
      <c r="P126" s="216"/>
      <c r="Q126" s="216"/>
      <c r="R126" s="216"/>
      <c r="S126" s="216"/>
      <c r="T126" s="216"/>
      <c r="U126" s="216"/>
      <c r="AH126" s="215"/>
    </row>
    <row r="127" spans="1:34">
      <c r="A127" s="209"/>
      <c r="O127" s="216"/>
      <c r="P127" s="216"/>
      <c r="Q127" s="216"/>
      <c r="R127" s="216"/>
      <c r="S127" s="216"/>
      <c r="T127" s="216"/>
      <c r="U127" s="216"/>
      <c r="AH127" s="215"/>
    </row>
    <row r="128" spans="1:34">
      <c r="A128" s="209"/>
      <c r="O128" s="216"/>
      <c r="P128" s="216"/>
      <c r="Q128" s="216"/>
      <c r="R128" s="216"/>
      <c r="S128" s="216"/>
      <c r="T128" s="216"/>
      <c r="U128" s="216"/>
      <c r="AH128" s="215"/>
    </row>
    <row r="129" spans="1:34">
      <c r="A129" s="209"/>
      <c r="O129" s="216"/>
      <c r="P129" s="216"/>
      <c r="Q129" s="216"/>
      <c r="R129" s="216"/>
      <c r="S129" s="216"/>
      <c r="T129" s="216"/>
      <c r="U129" s="216"/>
      <c r="AH129" s="215"/>
    </row>
    <row r="130" spans="1:34">
      <c r="A130" s="209"/>
      <c r="O130" s="216"/>
      <c r="P130" s="216"/>
      <c r="Q130" s="216"/>
      <c r="R130" s="216"/>
      <c r="S130" s="216"/>
      <c r="T130" s="216"/>
      <c r="U130" s="216"/>
      <c r="AH130" s="215"/>
    </row>
    <row r="131" spans="1:34">
      <c r="A131" s="209"/>
      <c r="O131" s="216"/>
      <c r="P131" s="216"/>
      <c r="Q131" s="216"/>
      <c r="R131" s="216"/>
      <c r="S131" s="216"/>
      <c r="T131" s="216"/>
      <c r="U131" s="216"/>
      <c r="AH131" s="215"/>
    </row>
    <row r="132" spans="1:34">
      <c r="A132" s="209"/>
      <c r="O132" s="216"/>
      <c r="P132" s="216"/>
      <c r="Q132" s="216"/>
      <c r="R132" s="216"/>
      <c r="S132" s="216"/>
      <c r="T132" s="216"/>
      <c r="U132" s="216"/>
      <c r="AH132" s="215"/>
    </row>
    <row r="133" spans="1:34">
      <c r="A133" s="209"/>
      <c r="O133" s="216"/>
      <c r="P133" s="216"/>
      <c r="Q133" s="216"/>
      <c r="R133" s="216"/>
      <c r="S133" s="216"/>
      <c r="T133" s="216"/>
      <c r="U133" s="216"/>
      <c r="AH133" s="215"/>
    </row>
    <row r="134" spans="1:34">
      <c r="A134" s="209"/>
      <c r="O134" s="216"/>
      <c r="P134" s="216"/>
      <c r="Q134" s="216"/>
      <c r="R134" s="216"/>
      <c r="S134" s="216"/>
      <c r="T134" s="216"/>
      <c r="U134" s="216"/>
      <c r="AH134" s="215"/>
    </row>
    <row r="135" spans="1:34">
      <c r="A135" s="209"/>
      <c r="O135" s="216"/>
      <c r="P135" s="216"/>
      <c r="Q135" s="216"/>
      <c r="R135" s="216"/>
      <c r="S135" s="216"/>
      <c r="T135" s="216"/>
      <c r="U135" s="216"/>
      <c r="AH135" s="215"/>
    </row>
    <row r="136" spans="1:34">
      <c r="A136" s="209"/>
      <c r="O136" s="216"/>
      <c r="P136" s="216"/>
      <c r="Q136" s="216"/>
      <c r="R136" s="216"/>
      <c r="S136" s="216"/>
      <c r="T136" s="216"/>
      <c r="U136" s="216"/>
      <c r="AH136" s="215"/>
    </row>
    <row r="137" spans="1:34">
      <c r="A137" s="209"/>
      <c r="O137" s="216"/>
      <c r="P137" s="216"/>
      <c r="Q137" s="216"/>
      <c r="R137" s="216"/>
      <c r="S137" s="216"/>
      <c r="T137" s="216"/>
      <c r="U137" s="216"/>
      <c r="AH137" s="215"/>
    </row>
    <row r="138" spans="1:34">
      <c r="A138" s="209"/>
      <c r="O138" s="216"/>
      <c r="P138" s="216"/>
      <c r="Q138" s="216"/>
      <c r="R138" s="216"/>
      <c r="S138" s="216"/>
      <c r="T138" s="216"/>
      <c r="U138" s="216"/>
      <c r="AH138" s="215"/>
    </row>
    <row r="139" spans="1:34">
      <c r="A139" s="209"/>
      <c r="O139" s="216"/>
      <c r="P139" s="216"/>
      <c r="Q139" s="216"/>
      <c r="R139" s="216"/>
      <c r="S139" s="216"/>
      <c r="T139" s="216"/>
      <c r="U139" s="216"/>
      <c r="AH139" s="215"/>
    </row>
    <row r="140" spans="1:34">
      <c r="A140" s="209"/>
      <c r="O140" s="216"/>
      <c r="P140" s="216"/>
      <c r="Q140" s="216"/>
      <c r="R140" s="216"/>
      <c r="S140" s="216"/>
      <c r="T140" s="216"/>
      <c r="U140" s="216"/>
      <c r="AH140" s="215"/>
    </row>
    <row r="141" spans="1:34">
      <c r="A141" s="209"/>
      <c r="O141" s="216"/>
      <c r="P141" s="216"/>
      <c r="Q141" s="216"/>
      <c r="R141" s="216"/>
      <c r="S141" s="216"/>
      <c r="T141" s="216"/>
      <c r="U141" s="216"/>
      <c r="AH141" s="215"/>
    </row>
    <row r="142" spans="1:34">
      <c r="A142" s="209"/>
      <c r="O142" s="216"/>
      <c r="P142" s="216"/>
      <c r="Q142" s="216"/>
      <c r="R142" s="216"/>
      <c r="S142" s="216"/>
      <c r="T142" s="216"/>
      <c r="U142" s="216"/>
      <c r="AH142" s="215"/>
    </row>
    <row r="143" spans="1:34">
      <c r="A143" s="209"/>
      <c r="O143" s="216"/>
      <c r="P143" s="216"/>
      <c r="Q143" s="216"/>
      <c r="R143" s="216"/>
      <c r="S143" s="216"/>
      <c r="T143" s="216"/>
      <c r="U143" s="216"/>
      <c r="AH143" s="215"/>
    </row>
    <row r="144" spans="1:34">
      <c r="A144" s="209"/>
      <c r="O144" s="216"/>
      <c r="P144" s="216"/>
      <c r="Q144" s="216"/>
      <c r="R144" s="216"/>
      <c r="S144" s="216"/>
      <c r="T144" s="216"/>
      <c r="U144" s="216"/>
      <c r="AH144" s="215"/>
    </row>
    <row r="145" spans="1:34">
      <c r="A145" s="209"/>
      <c r="O145" s="216"/>
      <c r="P145" s="216"/>
      <c r="Q145" s="216"/>
      <c r="R145" s="216"/>
      <c r="S145" s="216"/>
      <c r="T145" s="216"/>
      <c r="U145" s="216"/>
      <c r="AH145" s="215"/>
    </row>
    <row r="146" spans="1:34">
      <c r="A146" s="209"/>
      <c r="O146" s="216"/>
      <c r="P146" s="216"/>
      <c r="Q146" s="216"/>
      <c r="R146" s="216"/>
      <c r="S146" s="216"/>
      <c r="T146" s="216"/>
      <c r="U146" s="216"/>
      <c r="AH146" s="215"/>
    </row>
    <row r="147" spans="1:34">
      <c r="A147" s="209"/>
      <c r="O147" s="216"/>
      <c r="P147" s="216"/>
      <c r="Q147" s="216"/>
      <c r="R147" s="216"/>
      <c r="S147" s="216"/>
      <c r="T147" s="216"/>
      <c r="U147" s="216"/>
      <c r="AH147" s="215"/>
    </row>
    <row r="148" spans="1:34">
      <c r="A148" s="209"/>
      <c r="O148" s="216"/>
      <c r="P148" s="216"/>
      <c r="Q148" s="216"/>
      <c r="R148" s="216"/>
      <c r="S148" s="216"/>
      <c r="T148" s="216"/>
      <c r="U148" s="216"/>
      <c r="AH148" s="215"/>
    </row>
    <row r="149" spans="1:34">
      <c r="A149" s="209"/>
      <c r="O149" s="216"/>
      <c r="P149" s="216"/>
      <c r="Q149" s="216"/>
      <c r="R149" s="216"/>
      <c r="S149" s="216"/>
      <c r="T149" s="216"/>
      <c r="U149" s="216"/>
      <c r="AH149" s="215"/>
    </row>
    <row r="150" spans="1:34">
      <c r="A150" s="209"/>
      <c r="O150" s="216"/>
      <c r="P150" s="216"/>
      <c r="Q150" s="216"/>
      <c r="R150" s="216"/>
      <c r="S150" s="216"/>
      <c r="T150" s="216"/>
      <c r="U150" s="216"/>
      <c r="AH150" s="215"/>
    </row>
    <row r="151" spans="1:34">
      <c r="A151" s="209"/>
      <c r="O151" s="216"/>
      <c r="P151" s="216"/>
      <c r="Q151" s="216"/>
      <c r="R151" s="216"/>
      <c r="S151" s="216"/>
      <c r="T151" s="216"/>
      <c r="U151" s="216"/>
      <c r="AH151" s="215"/>
    </row>
    <row r="152" spans="1:34">
      <c r="A152" s="209"/>
      <c r="O152" s="216"/>
      <c r="P152" s="216"/>
      <c r="Q152" s="216"/>
      <c r="R152" s="216"/>
      <c r="S152" s="216"/>
      <c r="T152" s="216"/>
      <c r="U152" s="216"/>
      <c r="AH152" s="215"/>
    </row>
    <row r="153" spans="1:34">
      <c r="A153" s="209"/>
      <c r="O153" s="216"/>
      <c r="P153" s="216"/>
      <c r="Q153" s="216"/>
      <c r="R153" s="216"/>
      <c r="S153" s="216"/>
      <c r="T153" s="216"/>
      <c r="U153" s="216"/>
      <c r="AH153" s="215"/>
    </row>
    <row r="154" spans="1:34">
      <c r="A154" s="209"/>
      <c r="O154" s="216"/>
      <c r="P154" s="216"/>
      <c r="Q154" s="216"/>
      <c r="R154" s="216"/>
      <c r="S154" s="216"/>
      <c r="T154" s="216"/>
      <c r="U154" s="216"/>
      <c r="AH154" s="215"/>
    </row>
    <row r="155" spans="1:34">
      <c r="A155" s="209"/>
      <c r="O155" s="216"/>
      <c r="P155" s="216"/>
      <c r="Q155" s="216"/>
      <c r="R155" s="216"/>
      <c r="S155" s="216"/>
      <c r="T155" s="216"/>
      <c r="U155" s="216"/>
      <c r="AH155" s="215"/>
    </row>
    <row r="156" spans="1:34">
      <c r="A156" s="209"/>
      <c r="O156" s="216"/>
      <c r="P156" s="216"/>
      <c r="Q156" s="216"/>
      <c r="R156" s="216"/>
      <c r="S156" s="216"/>
      <c r="T156" s="216"/>
      <c r="U156" s="216"/>
      <c r="AH156" s="215"/>
    </row>
    <row r="157" spans="1:34">
      <c r="A157" s="209"/>
      <c r="O157" s="216"/>
      <c r="P157" s="216"/>
      <c r="Q157" s="216"/>
      <c r="R157" s="216"/>
      <c r="S157" s="216"/>
      <c r="T157" s="216"/>
      <c r="U157" s="216"/>
      <c r="AH157" s="215"/>
    </row>
    <row r="158" spans="1:34">
      <c r="A158" s="209"/>
      <c r="O158" s="216"/>
      <c r="P158" s="216"/>
      <c r="Q158" s="216"/>
      <c r="R158" s="216"/>
      <c r="S158" s="216"/>
      <c r="T158" s="216"/>
      <c r="U158" s="216"/>
      <c r="AH158" s="215"/>
    </row>
    <row r="159" spans="1:34">
      <c r="A159" s="209"/>
      <c r="O159" s="216"/>
      <c r="P159" s="216"/>
      <c r="Q159" s="216"/>
      <c r="R159" s="216"/>
      <c r="S159" s="216"/>
      <c r="T159" s="216"/>
      <c r="U159" s="216"/>
      <c r="AH159" s="215"/>
    </row>
    <row r="160" spans="1:34">
      <c r="A160" s="209"/>
      <c r="O160" s="216"/>
      <c r="P160" s="216"/>
      <c r="Q160" s="216"/>
      <c r="R160" s="216"/>
      <c r="S160" s="216"/>
      <c r="T160" s="216"/>
      <c r="U160" s="216"/>
      <c r="AH160" s="215"/>
    </row>
    <row r="161" spans="1:34">
      <c r="A161" s="209"/>
      <c r="O161" s="216"/>
      <c r="P161" s="216"/>
      <c r="Q161" s="216"/>
      <c r="R161" s="216"/>
      <c r="S161" s="216"/>
      <c r="T161" s="216"/>
      <c r="U161" s="216"/>
      <c r="AH161" s="215"/>
    </row>
    <row r="162" spans="1:34">
      <c r="A162" s="209"/>
      <c r="O162" s="216"/>
      <c r="P162" s="216"/>
      <c r="Q162" s="216"/>
      <c r="R162" s="216"/>
      <c r="S162" s="216"/>
      <c r="T162" s="216"/>
      <c r="U162" s="216"/>
      <c r="AH162" s="215"/>
    </row>
    <row r="163" spans="1:34">
      <c r="A163" s="209"/>
      <c r="O163" s="216"/>
      <c r="P163" s="216"/>
      <c r="Q163" s="216"/>
      <c r="R163" s="216"/>
      <c r="S163" s="216"/>
      <c r="T163" s="216"/>
      <c r="U163" s="216"/>
      <c r="AH163" s="215"/>
    </row>
    <row r="164" spans="1:34">
      <c r="A164" s="209"/>
      <c r="O164" s="216"/>
      <c r="P164" s="216"/>
      <c r="Q164" s="216"/>
      <c r="R164" s="216"/>
      <c r="S164" s="216"/>
      <c r="T164" s="216"/>
      <c r="U164" s="216"/>
      <c r="AH164" s="215"/>
    </row>
    <row r="165" spans="1:34">
      <c r="A165" s="209"/>
      <c r="O165" s="216"/>
      <c r="P165" s="216"/>
      <c r="Q165" s="216"/>
      <c r="R165" s="216"/>
      <c r="S165" s="216"/>
      <c r="T165" s="216"/>
      <c r="U165" s="216"/>
      <c r="AH165" s="215"/>
    </row>
    <row r="166" spans="1:34">
      <c r="A166" s="209"/>
      <c r="O166" s="216"/>
      <c r="P166" s="216"/>
      <c r="Q166" s="216"/>
      <c r="R166" s="216"/>
      <c r="S166" s="216"/>
      <c r="T166" s="216"/>
      <c r="U166" s="216"/>
      <c r="AH166" s="215"/>
    </row>
    <row r="167" spans="1:34">
      <c r="A167" s="209"/>
      <c r="O167" s="216"/>
      <c r="P167" s="216"/>
      <c r="Q167" s="216"/>
      <c r="R167" s="216"/>
      <c r="S167" s="216"/>
      <c r="T167" s="216"/>
      <c r="U167" s="216"/>
      <c r="AH167" s="215"/>
    </row>
    <row r="168" spans="1:34">
      <c r="A168" s="209"/>
      <c r="O168" s="216"/>
      <c r="P168" s="216"/>
      <c r="Q168" s="216"/>
      <c r="R168" s="216"/>
      <c r="S168" s="216"/>
      <c r="T168" s="216"/>
      <c r="U168" s="216"/>
      <c r="AH168" s="215"/>
    </row>
    <row r="169" spans="1:34">
      <c r="A169" s="209"/>
      <c r="O169" s="216"/>
      <c r="P169" s="216"/>
      <c r="Q169" s="216"/>
      <c r="R169" s="216"/>
      <c r="S169" s="216"/>
      <c r="T169" s="216"/>
      <c r="U169" s="216"/>
      <c r="AH169" s="215"/>
    </row>
    <row r="170" spans="1:34">
      <c r="A170" s="209"/>
      <c r="O170" s="216"/>
      <c r="P170" s="216"/>
      <c r="Q170" s="216"/>
      <c r="R170" s="216"/>
      <c r="S170" s="216"/>
      <c r="T170" s="216"/>
      <c r="U170" s="216"/>
      <c r="AH170" s="215"/>
    </row>
    <row r="171" spans="1:34">
      <c r="A171" s="209"/>
      <c r="O171" s="216"/>
      <c r="P171" s="216"/>
      <c r="Q171" s="216"/>
      <c r="R171" s="216"/>
      <c r="S171" s="216"/>
      <c r="T171" s="216"/>
      <c r="U171" s="216"/>
      <c r="AH171" s="215"/>
    </row>
    <row r="172" spans="1:34">
      <c r="A172" s="209"/>
      <c r="O172" s="216"/>
      <c r="P172" s="216"/>
      <c r="Q172" s="216"/>
      <c r="R172" s="216"/>
      <c r="S172" s="216"/>
      <c r="T172" s="216"/>
      <c r="U172" s="216"/>
      <c r="AH172" s="215"/>
    </row>
    <row r="173" spans="1:34">
      <c r="A173" s="209"/>
      <c r="O173" s="216"/>
      <c r="P173" s="216"/>
      <c r="Q173" s="216"/>
      <c r="R173" s="216"/>
      <c r="S173" s="216"/>
      <c r="T173" s="216"/>
      <c r="U173" s="216"/>
      <c r="AH173" s="215"/>
    </row>
    <row r="174" spans="1:34">
      <c r="A174" s="209"/>
      <c r="O174" s="216"/>
      <c r="P174" s="216"/>
      <c r="Q174" s="216"/>
      <c r="R174" s="216"/>
      <c r="S174" s="216"/>
      <c r="T174" s="216"/>
      <c r="U174" s="216"/>
      <c r="AH174" s="215"/>
    </row>
    <row r="175" spans="1:34">
      <c r="A175" s="209"/>
      <c r="O175" s="216"/>
      <c r="P175" s="216"/>
      <c r="Q175" s="216"/>
      <c r="R175" s="216"/>
      <c r="S175" s="216"/>
      <c r="T175" s="216"/>
      <c r="U175" s="216"/>
      <c r="AH175" s="215"/>
    </row>
    <row r="176" spans="1:34">
      <c r="A176" s="209"/>
      <c r="O176" s="216"/>
      <c r="P176" s="216"/>
      <c r="Q176" s="216"/>
      <c r="R176" s="216"/>
      <c r="S176" s="216"/>
      <c r="T176" s="216"/>
      <c r="U176" s="216"/>
      <c r="AH176" s="215"/>
    </row>
    <row r="177" spans="1:34">
      <c r="A177" s="209"/>
      <c r="O177" s="216"/>
      <c r="P177" s="216"/>
      <c r="Q177" s="216"/>
      <c r="R177" s="216"/>
      <c r="S177" s="216"/>
      <c r="T177" s="216"/>
      <c r="U177" s="216"/>
      <c r="AH177" s="215"/>
    </row>
    <row r="178" spans="1:34">
      <c r="A178" s="209"/>
      <c r="O178" s="216"/>
      <c r="P178" s="216"/>
      <c r="Q178" s="216"/>
      <c r="R178" s="216"/>
      <c r="S178" s="216"/>
      <c r="T178" s="216"/>
      <c r="U178" s="216"/>
      <c r="AH178" s="215"/>
    </row>
    <row r="179" spans="1:34">
      <c r="A179" s="209"/>
      <c r="O179" s="216"/>
      <c r="P179" s="216"/>
      <c r="Q179" s="216"/>
      <c r="R179" s="216"/>
      <c r="S179" s="216"/>
      <c r="T179" s="216"/>
      <c r="U179" s="216"/>
      <c r="AH179" s="215"/>
    </row>
    <row r="180" spans="1:34">
      <c r="A180" s="209"/>
      <c r="O180" s="216"/>
      <c r="P180" s="216"/>
      <c r="Q180" s="216"/>
      <c r="R180" s="216"/>
      <c r="S180" s="216"/>
      <c r="T180" s="216"/>
      <c r="U180" s="216"/>
      <c r="AH180" s="215"/>
    </row>
    <row r="181" spans="1:34">
      <c r="A181" s="209"/>
      <c r="O181" s="216"/>
      <c r="P181" s="216"/>
      <c r="Q181" s="216"/>
      <c r="R181" s="216"/>
      <c r="S181" s="216"/>
      <c r="T181" s="216"/>
      <c r="U181" s="216"/>
      <c r="AH181" s="215"/>
    </row>
    <row r="182" spans="1:34">
      <c r="A182" s="209"/>
      <c r="O182" s="216"/>
      <c r="P182" s="216"/>
      <c r="Q182" s="216"/>
      <c r="R182" s="216"/>
      <c r="S182" s="216"/>
      <c r="T182" s="216"/>
      <c r="U182" s="216"/>
      <c r="AH182" s="215"/>
    </row>
    <row r="183" spans="1:34">
      <c r="A183" s="209"/>
      <c r="O183" s="216"/>
      <c r="P183" s="216"/>
      <c r="Q183" s="216"/>
      <c r="R183" s="216"/>
      <c r="S183" s="216"/>
      <c r="T183" s="216"/>
      <c r="U183" s="216"/>
      <c r="AH183" s="215"/>
    </row>
    <row r="184" spans="1:34">
      <c r="A184" s="209"/>
      <c r="O184" s="216"/>
      <c r="P184" s="216"/>
      <c r="Q184" s="216"/>
      <c r="R184" s="216"/>
      <c r="S184" s="216"/>
      <c r="T184" s="216"/>
      <c r="U184" s="216"/>
      <c r="AH184" s="215"/>
    </row>
    <row r="185" spans="1:34">
      <c r="A185" s="209"/>
      <c r="O185" s="216"/>
      <c r="P185" s="216"/>
      <c r="Q185" s="216"/>
      <c r="R185" s="216"/>
      <c r="S185" s="216"/>
      <c r="T185" s="216"/>
      <c r="U185" s="216"/>
      <c r="AH185" s="215"/>
    </row>
    <row r="186" spans="1:34">
      <c r="A186" s="209"/>
      <c r="O186" s="216"/>
      <c r="P186" s="216"/>
      <c r="Q186" s="216"/>
      <c r="R186" s="216"/>
      <c r="S186" s="216"/>
      <c r="T186" s="216"/>
      <c r="U186" s="216"/>
      <c r="AH186" s="215"/>
    </row>
    <row r="187" spans="1:34">
      <c r="A187" s="209"/>
      <c r="O187" s="216"/>
      <c r="P187" s="216"/>
      <c r="Q187" s="216"/>
      <c r="R187" s="216"/>
      <c r="S187" s="216"/>
      <c r="T187" s="216"/>
      <c r="U187" s="216"/>
      <c r="AH187" s="215"/>
    </row>
    <row r="188" spans="1:34">
      <c r="A188" s="209"/>
      <c r="O188" s="216"/>
      <c r="P188" s="216"/>
      <c r="Q188" s="216"/>
      <c r="R188" s="216"/>
      <c r="S188" s="216"/>
      <c r="T188" s="216"/>
      <c r="U188" s="216"/>
      <c r="AH188" s="215"/>
    </row>
    <row r="189" spans="1:34">
      <c r="A189" s="209"/>
      <c r="O189" s="216"/>
      <c r="P189" s="216"/>
      <c r="Q189" s="216"/>
      <c r="R189" s="216"/>
      <c r="S189" s="216"/>
      <c r="T189" s="216"/>
      <c r="U189" s="216"/>
      <c r="AH189" s="215"/>
    </row>
    <row r="190" spans="1:34">
      <c r="A190" s="209"/>
      <c r="O190" s="216"/>
      <c r="P190" s="216"/>
      <c r="Q190" s="216"/>
      <c r="R190" s="216"/>
      <c r="S190" s="216"/>
      <c r="T190" s="216"/>
      <c r="U190" s="216"/>
      <c r="AH190" s="215"/>
    </row>
    <row r="191" spans="1:34">
      <c r="A191" s="209"/>
      <c r="O191" s="216"/>
      <c r="P191" s="216"/>
      <c r="Q191" s="216"/>
      <c r="R191" s="216"/>
      <c r="S191" s="216"/>
      <c r="T191" s="216"/>
      <c r="U191" s="216"/>
      <c r="AH191" s="215"/>
    </row>
    <row r="192" spans="1:34">
      <c r="A192" s="209"/>
      <c r="O192" s="216"/>
      <c r="P192" s="216"/>
      <c r="Q192" s="216"/>
      <c r="R192" s="216"/>
      <c r="S192" s="216"/>
      <c r="T192" s="216"/>
      <c r="U192" s="216"/>
      <c r="AH192" s="215"/>
    </row>
    <row r="193" spans="1:34">
      <c r="A193" s="209"/>
      <c r="O193" s="216"/>
      <c r="P193" s="216"/>
      <c r="Q193" s="216"/>
      <c r="R193" s="216"/>
      <c r="S193" s="216"/>
      <c r="T193" s="216"/>
      <c r="U193" s="216"/>
      <c r="AH193" s="215"/>
    </row>
    <row r="194" spans="1:34">
      <c r="A194" s="209"/>
      <c r="O194" s="216"/>
      <c r="P194" s="216"/>
      <c r="Q194" s="216"/>
      <c r="R194" s="216"/>
      <c r="S194" s="216"/>
      <c r="T194" s="216"/>
      <c r="U194" s="216"/>
      <c r="AH194" s="215"/>
    </row>
    <row r="195" spans="1:34">
      <c r="A195" s="209"/>
      <c r="O195" s="216"/>
      <c r="P195" s="216"/>
      <c r="Q195" s="216"/>
      <c r="R195" s="216"/>
      <c r="S195" s="216"/>
      <c r="T195" s="216"/>
      <c r="U195" s="216"/>
      <c r="AH195" s="215"/>
    </row>
    <row r="196" spans="1:34">
      <c r="A196" s="209"/>
      <c r="O196" s="216"/>
      <c r="P196" s="216"/>
      <c r="Q196" s="216"/>
      <c r="R196" s="216"/>
      <c r="S196" s="216"/>
      <c r="T196" s="216"/>
      <c r="U196" s="216"/>
      <c r="AH196" s="215"/>
    </row>
    <row r="197" spans="1:34">
      <c r="A197" s="209"/>
      <c r="O197" s="216"/>
      <c r="P197" s="216"/>
      <c r="Q197" s="216"/>
      <c r="R197" s="216"/>
      <c r="S197" s="216"/>
      <c r="T197" s="216"/>
      <c r="U197" s="216"/>
      <c r="AH197" s="215"/>
    </row>
    <row r="198" spans="1:34">
      <c r="A198" s="209"/>
      <c r="O198" s="216"/>
      <c r="P198" s="216"/>
      <c r="Q198" s="216"/>
      <c r="R198" s="216"/>
      <c r="S198" s="216"/>
      <c r="T198" s="216"/>
      <c r="U198" s="216"/>
      <c r="AH198" s="215"/>
    </row>
    <row r="199" spans="1:34">
      <c r="A199" s="209"/>
      <c r="O199" s="216"/>
      <c r="P199" s="216"/>
      <c r="Q199" s="216"/>
      <c r="R199" s="216"/>
      <c r="S199" s="216"/>
      <c r="T199" s="216"/>
      <c r="U199" s="216"/>
      <c r="AH199" s="215"/>
    </row>
    <row r="200" spans="1:34">
      <c r="A200" s="209"/>
      <c r="O200" s="216"/>
      <c r="P200" s="216"/>
      <c r="Q200" s="216"/>
      <c r="R200" s="216"/>
      <c r="S200" s="216"/>
      <c r="T200" s="216"/>
      <c r="U200" s="216"/>
      <c r="AH200" s="215"/>
    </row>
    <row r="201" spans="1:34">
      <c r="A201" s="209"/>
      <c r="O201" s="216"/>
      <c r="P201" s="216"/>
      <c r="Q201" s="216"/>
      <c r="R201" s="216"/>
      <c r="S201" s="216"/>
      <c r="T201" s="216"/>
      <c r="U201" s="216"/>
      <c r="AH201" s="215"/>
    </row>
    <row r="202" spans="1:34">
      <c r="A202" s="209"/>
      <c r="O202" s="216"/>
      <c r="P202" s="216"/>
      <c r="Q202" s="216"/>
      <c r="R202" s="216"/>
      <c r="S202" s="216"/>
      <c r="T202" s="216"/>
      <c r="U202" s="216"/>
      <c r="AH202" s="215"/>
    </row>
    <row r="203" spans="1:34">
      <c r="A203" s="209"/>
      <c r="O203" s="216"/>
      <c r="P203" s="216"/>
      <c r="Q203" s="216"/>
      <c r="R203" s="216"/>
      <c r="S203" s="216"/>
      <c r="T203" s="216"/>
      <c r="U203" s="216"/>
      <c r="AH203" s="215"/>
    </row>
    <row r="204" spans="1:34">
      <c r="A204" s="209"/>
      <c r="O204" s="216"/>
      <c r="P204" s="216"/>
      <c r="Q204" s="216"/>
      <c r="R204" s="216"/>
      <c r="S204" s="216"/>
      <c r="T204" s="216"/>
      <c r="U204" s="216"/>
      <c r="AH204" s="215"/>
    </row>
    <row r="205" spans="1:34">
      <c r="A205" s="209"/>
      <c r="O205" s="216"/>
      <c r="P205" s="216"/>
      <c r="Q205" s="216"/>
      <c r="R205" s="216"/>
      <c r="S205" s="216"/>
      <c r="T205" s="216"/>
      <c r="U205" s="216"/>
      <c r="AH205" s="215"/>
    </row>
    <row r="206" spans="1:34">
      <c r="A206" s="209"/>
      <c r="O206" s="216"/>
      <c r="P206" s="216"/>
      <c r="Q206" s="216"/>
      <c r="R206" s="216"/>
      <c r="S206" s="216"/>
      <c r="T206" s="216"/>
      <c r="U206" s="216"/>
      <c r="AH206" s="215"/>
    </row>
    <row r="207" spans="1:34">
      <c r="A207" s="209"/>
      <c r="O207" s="216"/>
      <c r="P207" s="216"/>
      <c r="Q207" s="216"/>
      <c r="R207" s="216"/>
      <c r="S207" s="216"/>
      <c r="T207" s="216"/>
      <c r="U207" s="216"/>
      <c r="AH207" s="215"/>
    </row>
    <row r="208" spans="1:34">
      <c r="A208" s="209"/>
      <c r="O208" s="216"/>
      <c r="P208" s="216"/>
      <c r="Q208" s="216"/>
      <c r="R208" s="216"/>
      <c r="S208" s="216"/>
      <c r="T208" s="216"/>
      <c r="U208" s="216"/>
      <c r="AH208" s="215"/>
    </row>
    <row r="209" spans="1:34">
      <c r="A209" s="209"/>
      <c r="O209" s="216"/>
      <c r="P209" s="216"/>
      <c r="Q209" s="216"/>
      <c r="R209" s="216"/>
      <c r="S209" s="216"/>
      <c r="T209" s="216"/>
      <c r="U209" s="216"/>
      <c r="AH209" s="215"/>
    </row>
    <row r="210" spans="1:34">
      <c r="A210" s="209"/>
      <c r="O210" s="216"/>
      <c r="P210" s="216"/>
      <c r="Q210" s="216"/>
      <c r="R210" s="216"/>
      <c r="S210" s="216"/>
      <c r="T210" s="216"/>
      <c r="U210" s="216"/>
      <c r="AH210" s="215"/>
    </row>
    <row r="211" spans="1:34">
      <c r="A211" s="209"/>
      <c r="O211" s="216"/>
      <c r="P211" s="216"/>
      <c r="Q211" s="216"/>
      <c r="R211" s="216"/>
      <c r="S211" s="216"/>
      <c r="T211" s="216"/>
      <c r="U211" s="216"/>
      <c r="AH211" s="215"/>
    </row>
    <row r="212" spans="1:34">
      <c r="A212" s="209"/>
      <c r="O212" s="216"/>
      <c r="P212" s="216"/>
      <c r="Q212" s="216"/>
      <c r="R212" s="216"/>
      <c r="S212" s="216"/>
      <c r="T212" s="216"/>
      <c r="U212" s="216"/>
      <c r="AH212" s="215"/>
    </row>
    <row r="213" spans="1:34">
      <c r="A213" s="209"/>
      <c r="O213" s="216"/>
      <c r="P213" s="216"/>
      <c r="Q213" s="216"/>
      <c r="R213" s="216"/>
      <c r="S213" s="216"/>
      <c r="T213" s="216"/>
      <c r="U213" s="216"/>
      <c r="AH213" s="215"/>
    </row>
    <row r="214" spans="1:34">
      <c r="A214" s="209"/>
      <c r="O214" s="216"/>
      <c r="P214" s="216"/>
      <c r="Q214" s="216"/>
      <c r="R214" s="216"/>
      <c r="S214" s="216"/>
      <c r="T214" s="216"/>
      <c r="U214" s="216"/>
      <c r="AH214" s="215"/>
    </row>
    <row r="215" spans="1:34">
      <c r="A215" s="209"/>
      <c r="O215" s="216"/>
      <c r="P215" s="216"/>
      <c r="Q215" s="216"/>
      <c r="R215" s="216"/>
      <c r="S215" s="216"/>
      <c r="T215" s="216"/>
      <c r="U215" s="216"/>
      <c r="AH215" s="215"/>
    </row>
    <row r="216" spans="1:34">
      <c r="A216" s="209"/>
      <c r="O216" s="216"/>
      <c r="P216" s="216"/>
      <c r="Q216" s="216"/>
      <c r="R216" s="216"/>
      <c r="S216" s="216"/>
      <c r="T216" s="216"/>
      <c r="U216" s="216"/>
      <c r="AH216" s="215"/>
    </row>
    <row r="217" spans="1:34">
      <c r="A217" s="209"/>
      <c r="O217" s="216"/>
      <c r="P217" s="216"/>
      <c r="Q217" s="216"/>
      <c r="R217" s="216"/>
      <c r="S217" s="216"/>
      <c r="T217" s="216"/>
      <c r="U217" s="216"/>
      <c r="AH217" s="215"/>
    </row>
    <row r="218" spans="1:34">
      <c r="A218" s="209"/>
      <c r="O218" s="216"/>
      <c r="P218" s="216"/>
      <c r="Q218" s="216"/>
      <c r="R218" s="216"/>
      <c r="S218" s="216"/>
      <c r="T218" s="216"/>
      <c r="U218" s="216"/>
      <c r="AH218" s="215"/>
    </row>
    <row r="219" spans="1:34">
      <c r="A219" s="209"/>
      <c r="O219" s="216"/>
      <c r="P219" s="216"/>
      <c r="Q219" s="216"/>
      <c r="R219" s="216"/>
      <c r="S219" s="216"/>
      <c r="T219" s="216"/>
      <c r="U219" s="216"/>
      <c r="AH219" s="215"/>
    </row>
    <row r="220" spans="1:34">
      <c r="A220" s="209"/>
      <c r="O220" s="216"/>
      <c r="P220" s="216"/>
      <c r="Q220" s="216"/>
      <c r="R220" s="216"/>
      <c r="S220" s="216"/>
      <c r="T220" s="216"/>
      <c r="U220" s="216"/>
      <c r="AH220" s="215"/>
    </row>
    <row r="221" spans="1:34">
      <c r="A221" s="209"/>
      <c r="O221" s="216"/>
      <c r="P221" s="216"/>
      <c r="Q221" s="216"/>
      <c r="R221" s="216"/>
      <c r="S221" s="216"/>
      <c r="T221" s="216"/>
      <c r="U221" s="216"/>
      <c r="AH221" s="215"/>
    </row>
    <row r="222" spans="1:34">
      <c r="A222" s="209"/>
      <c r="O222" s="216"/>
      <c r="P222" s="216"/>
      <c r="Q222" s="216"/>
      <c r="R222" s="216"/>
      <c r="S222" s="216"/>
      <c r="T222" s="216"/>
      <c r="U222" s="216"/>
      <c r="AH222" s="215"/>
    </row>
    <row r="223" spans="1:34">
      <c r="A223" s="209"/>
      <c r="O223" s="216"/>
      <c r="P223" s="216"/>
      <c r="Q223" s="216"/>
      <c r="R223" s="216"/>
      <c r="S223" s="216"/>
      <c r="T223" s="216"/>
      <c r="U223" s="216"/>
      <c r="AH223" s="215"/>
    </row>
    <row r="224" spans="1:34">
      <c r="A224" s="209"/>
      <c r="O224" s="216"/>
      <c r="P224" s="216"/>
      <c r="Q224" s="216"/>
      <c r="R224" s="216"/>
      <c r="S224" s="216"/>
      <c r="T224" s="216"/>
      <c r="U224" s="216"/>
      <c r="AH224" s="215"/>
    </row>
    <row r="225" spans="1:34">
      <c r="A225" s="209"/>
      <c r="O225" s="216"/>
      <c r="P225" s="216"/>
      <c r="Q225" s="216"/>
      <c r="R225" s="216"/>
      <c r="S225" s="216"/>
      <c r="T225" s="216"/>
      <c r="U225" s="216"/>
      <c r="AH225" s="215"/>
    </row>
    <row r="226" spans="1:34">
      <c r="A226" s="209"/>
      <c r="O226" s="216"/>
      <c r="P226" s="216"/>
      <c r="Q226" s="216"/>
      <c r="R226" s="216"/>
      <c r="S226" s="216"/>
      <c r="T226" s="216"/>
      <c r="U226" s="216"/>
      <c r="AH226" s="215"/>
    </row>
    <row r="227" spans="1:34">
      <c r="A227" s="209"/>
      <c r="O227" s="216"/>
      <c r="P227" s="216"/>
      <c r="Q227" s="216"/>
      <c r="R227" s="216"/>
      <c r="S227" s="216"/>
      <c r="T227" s="216"/>
      <c r="U227" s="216"/>
      <c r="AH227" s="215"/>
    </row>
    <row r="228" spans="1:34">
      <c r="A228" s="209"/>
      <c r="O228" s="216"/>
      <c r="P228" s="216"/>
      <c r="Q228" s="216"/>
      <c r="R228" s="216"/>
      <c r="S228" s="216"/>
      <c r="T228" s="216"/>
      <c r="U228" s="216"/>
      <c r="AH228" s="215"/>
    </row>
    <row r="229" spans="1:34">
      <c r="A229" s="209"/>
      <c r="O229" s="216"/>
      <c r="P229" s="216"/>
      <c r="Q229" s="216"/>
      <c r="R229" s="216"/>
      <c r="S229" s="216"/>
      <c r="T229" s="216"/>
      <c r="U229" s="216"/>
      <c r="AH229" s="215"/>
    </row>
    <row r="230" spans="1:34">
      <c r="A230" s="209"/>
      <c r="O230" s="216"/>
      <c r="P230" s="216"/>
      <c r="Q230" s="216"/>
      <c r="R230" s="216"/>
      <c r="S230" s="216"/>
      <c r="T230" s="216"/>
      <c r="U230" s="216"/>
      <c r="AH230" s="215"/>
    </row>
    <row r="231" spans="1:34">
      <c r="A231" s="209"/>
      <c r="O231" s="216"/>
      <c r="P231" s="216"/>
      <c r="Q231" s="216"/>
      <c r="R231" s="216"/>
      <c r="S231" s="216"/>
      <c r="T231" s="216"/>
      <c r="U231" s="216"/>
      <c r="AH231" s="215"/>
    </row>
    <row r="232" spans="1:34">
      <c r="A232" s="209"/>
      <c r="O232" s="216"/>
      <c r="P232" s="216"/>
      <c r="Q232" s="216"/>
      <c r="R232" s="216"/>
      <c r="S232" s="216"/>
      <c r="T232" s="216"/>
      <c r="U232" s="216"/>
      <c r="AH232" s="215"/>
    </row>
    <row r="233" spans="1:34">
      <c r="A233" s="209"/>
      <c r="O233" s="216"/>
      <c r="P233" s="216"/>
      <c r="Q233" s="216"/>
      <c r="R233" s="216"/>
      <c r="S233" s="216"/>
      <c r="T233" s="216"/>
      <c r="U233" s="216"/>
      <c r="AH233" s="215"/>
    </row>
    <row r="234" spans="1:34">
      <c r="A234" s="209"/>
      <c r="O234" s="216"/>
      <c r="P234" s="216"/>
      <c r="Q234" s="216"/>
      <c r="R234" s="216"/>
      <c r="S234" s="216"/>
      <c r="T234" s="216"/>
      <c r="U234" s="216"/>
      <c r="AH234" s="215"/>
    </row>
    <row r="235" spans="1:34">
      <c r="A235" s="209"/>
      <c r="O235" s="216"/>
      <c r="P235" s="216"/>
      <c r="Q235" s="216"/>
      <c r="R235" s="216"/>
      <c r="S235" s="216"/>
      <c r="T235" s="216"/>
      <c r="U235" s="216"/>
      <c r="AH235" s="215"/>
    </row>
    <row r="236" spans="1:34">
      <c r="A236" s="209"/>
      <c r="O236" s="216"/>
      <c r="P236" s="216"/>
      <c r="Q236" s="216"/>
      <c r="R236" s="216"/>
      <c r="S236" s="216"/>
      <c r="T236" s="216"/>
      <c r="U236" s="216"/>
      <c r="AH236" s="215"/>
    </row>
    <row r="237" spans="1:34">
      <c r="A237" s="209"/>
      <c r="O237" s="216"/>
      <c r="P237" s="216"/>
      <c r="Q237" s="216"/>
      <c r="R237" s="216"/>
      <c r="S237" s="216"/>
      <c r="T237" s="216"/>
      <c r="U237" s="216"/>
      <c r="AH237" s="215"/>
    </row>
    <row r="238" spans="1:34">
      <c r="A238" s="209"/>
      <c r="O238" s="216"/>
      <c r="P238" s="216"/>
      <c r="Q238" s="216"/>
      <c r="R238" s="216"/>
      <c r="S238" s="216"/>
      <c r="T238" s="216"/>
      <c r="U238" s="216"/>
      <c r="AH238" s="215"/>
    </row>
    <row r="239" spans="1:34">
      <c r="A239" s="209"/>
      <c r="O239" s="216"/>
      <c r="P239" s="216"/>
      <c r="Q239" s="216"/>
      <c r="R239" s="216"/>
      <c r="S239" s="216"/>
      <c r="T239" s="216"/>
      <c r="U239" s="216"/>
      <c r="AH239" s="215"/>
    </row>
    <row r="240" spans="1:34">
      <c r="A240" s="209"/>
      <c r="O240" s="216"/>
      <c r="P240" s="216"/>
      <c r="Q240" s="216"/>
      <c r="R240" s="216"/>
      <c r="S240" s="216"/>
      <c r="T240" s="216"/>
      <c r="U240" s="216"/>
      <c r="AH240" s="215"/>
    </row>
    <row r="241" spans="1:34">
      <c r="A241" s="209"/>
      <c r="O241" s="216"/>
      <c r="P241" s="216"/>
      <c r="Q241" s="216"/>
      <c r="R241" s="216"/>
      <c r="S241" s="216"/>
      <c r="T241" s="216"/>
      <c r="U241" s="216"/>
      <c r="AH241" s="215"/>
    </row>
    <row r="242" spans="1:34">
      <c r="A242" s="209"/>
      <c r="O242" s="216"/>
      <c r="P242" s="216"/>
      <c r="Q242" s="216"/>
      <c r="R242" s="216"/>
      <c r="S242" s="216"/>
      <c r="T242" s="216"/>
      <c r="U242" s="216"/>
      <c r="AH242" s="215"/>
    </row>
    <row r="243" spans="1:34">
      <c r="A243" s="209"/>
      <c r="O243" s="216"/>
      <c r="P243" s="216"/>
      <c r="Q243" s="216"/>
      <c r="R243" s="216"/>
      <c r="S243" s="216"/>
      <c r="T243" s="216"/>
      <c r="U243" s="216"/>
      <c r="AH243" s="215"/>
    </row>
    <row r="244" spans="1:34">
      <c r="A244" s="209"/>
      <c r="O244" s="216"/>
      <c r="P244" s="216"/>
      <c r="Q244" s="216"/>
      <c r="R244" s="216"/>
      <c r="S244" s="216"/>
      <c r="T244" s="216"/>
      <c r="U244" s="216"/>
      <c r="AH244" s="215"/>
    </row>
    <row r="245" spans="1:34">
      <c r="A245" s="209"/>
      <c r="O245" s="216"/>
      <c r="P245" s="216"/>
      <c r="Q245" s="216"/>
      <c r="R245" s="216"/>
      <c r="S245" s="216"/>
      <c r="T245" s="216"/>
      <c r="U245" s="216"/>
      <c r="AH245" s="215"/>
    </row>
    <row r="246" spans="1:34">
      <c r="A246" s="209"/>
      <c r="O246" s="216"/>
      <c r="P246" s="216"/>
      <c r="Q246" s="216"/>
      <c r="R246" s="216"/>
      <c r="S246" s="216"/>
      <c r="T246" s="216"/>
      <c r="U246" s="216"/>
      <c r="AH246" s="215"/>
    </row>
    <row r="247" spans="1:34">
      <c r="A247" s="209"/>
      <c r="O247" s="216"/>
      <c r="P247" s="216"/>
      <c r="Q247" s="216"/>
      <c r="R247" s="216"/>
      <c r="S247" s="216"/>
      <c r="T247" s="216"/>
      <c r="U247" s="216"/>
      <c r="AH247" s="215"/>
    </row>
    <row r="248" spans="1:34">
      <c r="A248" s="209"/>
      <c r="O248" s="216"/>
      <c r="P248" s="216"/>
      <c r="Q248" s="216"/>
      <c r="R248" s="216"/>
      <c r="S248" s="216"/>
      <c r="T248" s="216"/>
      <c r="U248" s="216"/>
      <c r="AH248" s="215"/>
    </row>
    <row r="249" spans="1:34">
      <c r="A249" s="209"/>
      <c r="O249" s="216"/>
      <c r="P249" s="216"/>
      <c r="Q249" s="216"/>
      <c r="R249" s="216"/>
      <c r="S249" s="216"/>
      <c r="T249" s="216"/>
      <c r="U249" s="216"/>
      <c r="AH249" s="215"/>
    </row>
    <row r="250" spans="1:34">
      <c r="A250" s="209"/>
      <c r="O250" s="216"/>
      <c r="P250" s="216"/>
      <c r="Q250" s="216"/>
      <c r="R250" s="216"/>
      <c r="S250" s="216"/>
      <c r="T250" s="216"/>
      <c r="U250" s="216"/>
      <c r="AH250" s="215"/>
    </row>
    <row r="251" spans="1:34">
      <c r="A251" s="209"/>
      <c r="O251" s="216"/>
      <c r="P251" s="216"/>
      <c r="Q251" s="216"/>
      <c r="R251" s="216"/>
      <c r="S251" s="216"/>
      <c r="T251" s="216"/>
      <c r="U251" s="216"/>
      <c r="AH251" s="215"/>
    </row>
    <row r="252" spans="1:34">
      <c r="A252" s="217"/>
      <c r="B252" s="218"/>
      <c r="C252" s="218"/>
      <c r="D252" s="218"/>
      <c r="E252" s="219"/>
      <c r="F252" s="220"/>
      <c r="G252" s="219"/>
      <c r="H252" s="221"/>
      <c r="I252" s="221"/>
      <c r="J252" s="221"/>
      <c r="K252" s="221"/>
      <c r="L252" s="222"/>
      <c r="M252" s="222"/>
      <c r="N252" s="219"/>
      <c r="O252" s="223"/>
      <c r="P252" s="223"/>
      <c r="Q252" s="223"/>
      <c r="R252" s="223"/>
      <c r="S252" s="223"/>
      <c r="T252" s="223"/>
      <c r="U252" s="223"/>
      <c r="V252" s="219"/>
      <c r="W252" s="219"/>
      <c r="X252" s="224"/>
      <c r="Y252" s="224"/>
      <c r="Z252" s="224"/>
      <c r="AA252" s="224"/>
      <c r="AB252" s="224"/>
      <c r="AC252" s="224"/>
      <c r="AD252" s="224"/>
      <c r="AE252" s="224"/>
      <c r="AF252" s="224"/>
      <c r="AG252" s="224"/>
      <c r="AH252" s="225"/>
    </row>
  </sheetData>
  <protectedRanges>
    <protectedRange sqref="H5:K5 H27:K76 H19:H26 K19:K26 H6:I16 K6:K16 J6:J26" name="Rango1_1"/>
    <protectedRange sqref="H17:I18 I19:I26 K17:K18" name="Rango1_1_4"/>
  </protectedRanges>
  <autoFilter ref="A4:EC4"/>
  <mergeCells count="18">
    <mergeCell ref="E1:I1"/>
    <mergeCell ref="E2:I2"/>
    <mergeCell ref="E3:I3"/>
    <mergeCell ref="K1:M3"/>
    <mergeCell ref="V3:W3"/>
    <mergeCell ref="N3:O3"/>
    <mergeCell ref="N2:O2"/>
    <mergeCell ref="V2:W2"/>
    <mergeCell ref="P3:Q3"/>
    <mergeCell ref="T3:U3"/>
    <mergeCell ref="P2:U2"/>
    <mergeCell ref="R3:S3"/>
    <mergeCell ref="X2:AA2"/>
    <mergeCell ref="AB2:AC2"/>
    <mergeCell ref="X3:Y3"/>
    <mergeCell ref="AD3:AE3"/>
    <mergeCell ref="AF3:AG3"/>
    <mergeCell ref="AD2:AH2"/>
  </mergeCells>
  <phoneticPr fontId="0" type="noConversion"/>
  <conditionalFormatting sqref="E5:F12 E16 E27:F76 E20:F23">
    <cfRule type="expression" dxfId="70" priority="252" stopIfTrue="1">
      <formula>"SEVERSTAL"</formula>
    </cfRule>
  </conditionalFormatting>
  <conditionalFormatting sqref="H5:K5 H27:K76 H19:H23 K19:K23 H6:I12 K6:K12 J6:J26">
    <cfRule type="cellIs" dxfId="69" priority="253" stopIfTrue="1" operator="equal">
      <formula>"APROBADO"</formula>
    </cfRule>
    <cfRule type="cellIs" dxfId="68" priority="254" stopIfTrue="1" operator="equal">
      <formula>"ESPERA"</formula>
    </cfRule>
    <cfRule type="cellIs" dxfId="67" priority="255" stopIfTrue="1" operator="equal">
      <formula>"RECHAZADO"</formula>
    </cfRule>
  </conditionalFormatting>
  <conditionalFormatting sqref="E13:F15">
    <cfRule type="expression" dxfId="66" priority="37" stopIfTrue="1">
      <formula>"SEVERSTAL"</formula>
    </cfRule>
  </conditionalFormatting>
  <conditionalFormatting sqref="H13:I15">
    <cfRule type="cellIs" dxfId="65" priority="38" stopIfTrue="1" operator="equal">
      <formula>"APROBADO"</formula>
    </cfRule>
    <cfRule type="cellIs" dxfId="64" priority="39" stopIfTrue="1" operator="equal">
      <formula>"ESPERA"</formula>
    </cfRule>
    <cfRule type="cellIs" dxfId="63" priority="40" stopIfTrue="1" operator="equal">
      <formula>"RECHAZADO"</formula>
    </cfRule>
  </conditionalFormatting>
  <conditionalFormatting sqref="K13:K15">
    <cfRule type="cellIs" dxfId="62" priority="34" stopIfTrue="1" operator="equal">
      <formula>"APROBADO"</formula>
    </cfRule>
    <cfRule type="cellIs" dxfId="61" priority="35" stopIfTrue="1" operator="equal">
      <formula>"ESPERA"</formula>
    </cfRule>
    <cfRule type="cellIs" dxfId="60" priority="36" stopIfTrue="1" operator="equal">
      <formula>"RECHAZADO"</formula>
    </cfRule>
  </conditionalFormatting>
  <conditionalFormatting sqref="F16">
    <cfRule type="expression" dxfId="59" priority="30" stopIfTrue="1">
      <formula>"SEVERSTAL"</formula>
    </cfRule>
  </conditionalFormatting>
  <conditionalFormatting sqref="H16:I16">
    <cfRule type="cellIs" dxfId="58" priority="31" stopIfTrue="1" operator="equal">
      <formula>"APROBADO"</formula>
    </cfRule>
    <cfRule type="cellIs" dxfId="57" priority="32" stopIfTrue="1" operator="equal">
      <formula>"ESPERA"</formula>
    </cfRule>
    <cfRule type="cellIs" dxfId="56" priority="33" stopIfTrue="1" operator="equal">
      <formula>"RECHAZADO"</formula>
    </cfRule>
  </conditionalFormatting>
  <conditionalFormatting sqref="K16">
    <cfRule type="cellIs" dxfId="55" priority="27" stopIfTrue="1" operator="equal">
      <formula>"APROBADO"</formula>
    </cfRule>
    <cfRule type="cellIs" dxfId="54" priority="28" stopIfTrue="1" operator="equal">
      <formula>"ESPERA"</formula>
    </cfRule>
    <cfRule type="cellIs" dxfId="53" priority="29" stopIfTrue="1" operator="equal">
      <formula>"RECHAZADO"</formula>
    </cfRule>
  </conditionalFormatting>
  <conditionalFormatting sqref="E17:F19">
    <cfRule type="expression" dxfId="52" priority="23" stopIfTrue="1">
      <formula>"SEVERSTAL"</formula>
    </cfRule>
  </conditionalFormatting>
  <conditionalFormatting sqref="H17:I18 I19:I23 K17:K18">
    <cfRule type="cellIs" dxfId="51" priority="24" stopIfTrue="1" operator="equal">
      <formula>"APROBADO"</formula>
    </cfRule>
    <cfRule type="cellIs" dxfId="50" priority="25" stopIfTrue="1" operator="equal">
      <formula>"ESPERA"</formula>
    </cfRule>
    <cfRule type="cellIs" dxfId="49" priority="26" stopIfTrue="1" operator="equal">
      <formula>"RECHAZADO"</formula>
    </cfRule>
  </conditionalFormatting>
  <conditionalFormatting sqref="E24:F26">
    <cfRule type="expression" dxfId="48" priority="4" stopIfTrue="1">
      <formula>"SEVERSTAL"</formula>
    </cfRule>
  </conditionalFormatting>
  <conditionalFormatting sqref="H24:H26 K24:K26">
    <cfRule type="cellIs" dxfId="47" priority="5" stopIfTrue="1" operator="equal">
      <formula>"APROBADO"</formula>
    </cfRule>
    <cfRule type="cellIs" dxfId="46" priority="6" stopIfTrue="1" operator="equal">
      <formula>"ESPERA"</formula>
    </cfRule>
    <cfRule type="cellIs" dxfId="45" priority="7" stopIfTrue="1" operator="equal">
      <formula>"RECHAZADO"</formula>
    </cfRule>
  </conditionalFormatting>
  <conditionalFormatting sqref="I24:I26">
    <cfRule type="cellIs" dxfId="44" priority="1" stopIfTrue="1" operator="equal">
      <formula>"APROBADO"</formula>
    </cfRule>
    <cfRule type="cellIs" dxfId="43" priority="2" stopIfTrue="1" operator="equal">
      <formula>"ESPERA"</formula>
    </cfRule>
    <cfRule type="cellIs" dxfId="4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66"/>
  <sheetViews>
    <sheetView showGridLines="0" zoomScale="90" zoomScaleNormal="90" workbookViewId="0">
      <pane xSplit="7" ySplit="5" topLeftCell="N18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125" style="27" customWidth="1"/>
    <col min="2" max="2" width="7.125" style="27" customWidth="1"/>
    <col min="3" max="3" width="9.375" style="27" customWidth="1"/>
    <col min="4" max="4" width="8.625" style="41" customWidth="1"/>
    <col min="5" max="5" width="15.625" style="41" customWidth="1"/>
    <col min="6" max="6" width="7.75" style="27" customWidth="1"/>
    <col min="7" max="7" width="6.75" style="27" customWidth="1"/>
    <col min="8" max="8" width="12.5" style="27" customWidth="1"/>
    <col min="9" max="9" width="5.875" style="27" customWidth="1"/>
    <col min="10" max="10" width="7.875" style="27" customWidth="1"/>
    <col min="11" max="11" width="7" style="27" customWidth="1"/>
    <col min="12" max="13" width="5.25" style="27" customWidth="1"/>
    <col min="14" max="14" width="5.875" style="27" customWidth="1"/>
    <col min="15" max="15" width="6.875" style="27" customWidth="1"/>
    <col min="16" max="16" width="6.625" style="27" customWidth="1"/>
    <col min="17" max="17" width="8.75" style="27" customWidth="1"/>
    <col min="18" max="18" width="5.25" style="27" customWidth="1"/>
    <col min="19" max="19" width="6" style="27" customWidth="1"/>
    <col min="20" max="20" width="4.5" style="27" customWidth="1"/>
    <col min="21" max="21" width="5.625" style="27" customWidth="1"/>
    <col min="22" max="22" width="8.25" style="27" customWidth="1"/>
    <col min="23" max="23" width="6.875" style="27" customWidth="1"/>
    <col min="24" max="24" width="9" style="27" customWidth="1"/>
    <col min="25" max="25" width="8.375" style="27" customWidth="1"/>
    <col min="26" max="27" width="9.625" style="27" customWidth="1"/>
    <col min="28" max="28" width="8" style="27" customWidth="1"/>
    <col min="29" max="29" width="7.25" style="27" customWidth="1"/>
    <col min="30" max="30" width="7.5" style="27" customWidth="1"/>
    <col min="31" max="31" width="6.625" style="27" customWidth="1"/>
    <col min="32" max="32" width="6.875" style="27" customWidth="1"/>
    <col min="33" max="34" width="8.25" style="41" customWidth="1"/>
    <col min="35" max="16384" width="11" style="27"/>
  </cols>
  <sheetData>
    <row r="1" spans="1:34" ht="27" customHeight="1">
      <c r="A1" s="26"/>
      <c r="B1" s="26"/>
      <c r="C1" s="26"/>
      <c r="D1" s="26"/>
      <c r="E1" s="26"/>
      <c r="F1" s="26"/>
      <c r="G1" s="26" t="s">
        <v>59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</row>
    <row r="2" spans="1:34" ht="23.25" customHeight="1">
      <c r="A2" s="28"/>
      <c r="B2" s="28"/>
      <c r="C2" s="28"/>
      <c r="D2" s="43"/>
      <c r="E2" s="43"/>
      <c r="F2" s="266"/>
      <c r="G2" s="266"/>
      <c r="H2" s="1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6"/>
      <c r="Y2" s="29"/>
      <c r="Z2" s="29"/>
      <c r="AA2" s="29"/>
      <c r="AB2" s="29"/>
      <c r="AC2" s="29"/>
      <c r="AD2" s="29"/>
      <c r="AE2" s="29"/>
      <c r="AF2" s="30" t="s">
        <v>24</v>
      </c>
      <c r="AG2" s="31" t="s">
        <v>96</v>
      </c>
      <c r="AH2" s="31" t="s">
        <v>79</v>
      </c>
    </row>
    <row r="3" spans="1:34" ht="29.25" customHeight="1">
      <c r="B3" s="267" t="s">
        <v>100</v>
      </c>
      <c r="C3" s="267"/>
      <c r="D3" s="267"/>
      <c r="E3" s="267"/>
      <c r="F3" s="32"/>
      <c r="I3" s="260" t="s">
        <v>60</v>
      </c>
      <c r="J3" s="260"/>
      <c r="K3" s="260"/>
      <c r="L3" s="260"/>
      <c r="M3" s="260"/>
      <c r="N3" s="260"/>
      <c r="O3" s="260"/>
      <c r="P3" s="116"/>
      <c r="Q3" s="259" t="s">
        <v>61</v>
      </c>
      <c r="R3" s="259"/>
      <c r="S3" s="259"/>
      <c r="T3" s="259"/>
      <c r="U3" s="259"/>
      <c r="V3" s="259"/>
      <c r="W3" s="116"/>
      <c r="X3" s="26"/>
      <c r="Y3" s="33"/>
      <c r="Z3" s="33"/>
      <c r="AA3" s="33"/>
      <c r="AB3" s="33"/>
      <c r="AC3" s="33"/>
      <c r="AD3" s="33"/>
      <c r="AE3" s="34" t="s">
        <v>56</v>
      </c>
      <c r="AF3" s="35">
        <v>52</v>
      </c>
      <c r="AG3" s="35">
        <f>23*AF3/60</f>
        <v>19.933333333333334</v>
      </c>
      <c r="AH3" s="35">
        <f>3600/AF3</f>
        <v>69.230769230769226</v>
      </c>
    </row>
    <row r="4" spans="1:34" ht="33.75" customHeight="1">
      <c r="A4" s="36"/>
      <c r="B4" s="267"/>
      <c r="C4" s="267"/>
      <c r="D4" s="267"/>
      <c r="E4" s="267"/>
      <c r="F4" s="37"/>
      <c r="G4" s="38"/>
      <c r="H4" s="28"/>
      <c r="I4" s="258" t="s">
        <v>8</v>
      </c>
      <c r="J4" s="261"/>
      <c r="K4" s="257" t="s">
        <v>9</v>
      </c>
      <c r="L4" s="258"/>
      <c r="M4" s="258"/>
      <c r="N4" s="258"/>
      <c r="O4" s="261"/>
      <c r="P4" s="129"/>
      <c r="Q4" s="257" t="s">
        <v>13</v>
      </c>
      <c r="R4" s="261"/>
      <c r="S4" s="257" t="s">
        <v>9</v>
      </c>
      <c r="T4" s="258"/>
      <c r="U4" s="258"/>
      <c r="V4" s="258"/>
      <c r="W4" s="117"/>
      <c r="X4" s="39"/>
      <c r="Y4" s="33"/>
      <c r="Z4" s="33"/>
      <c r="AA4" s="33"/>
      <c r="AB4" s="33"/>
      <c r="AC4" s="33"/>
      <c r="AD4" s="33"/>
      <c r="AE4" s="34" t="s">
        <v>57</v>
      </c>
      <c r="AF4" s="35">
        <v>52</v>
      </c>
      <c r="AG4" s="35">
        <f>35*AF4/60</f>
        <v>30.333333333333332</v>
      </c>
      <c r="AH4" s="35">
        <f>3600/AF4</f>
        <v>69.230769230769226</v>
      </c>
    </row>
    <row r="5" spans="1:34" s="132" customFormat="1" ht="73.5" customHeight="1">
      <c r="A5" s="133" t="s">
        <v>1</v>
      </c>
      <c r="B5" s="133" t="s">
        <v>4</v>
      </c>
      <c r="C5" s="133" t="s">
        <v>62</v>
      </c>
      <c r="D5" s="133" t="s">
        <v>3</v>
      </c>
      <c r="E5" s="133" t="s">
        <v>76</v>
      </c>
      <c r="F5" s="133" t="s">
        <v>5</v>
      </c>
      <c r="G5" s="133" t="s">
        <v>12</v>
      </c>
      <c r="H5" s="133" t="s">
        <v>99</v>
      </c>
      <c r="I5" s="142" t="s">
        <v>7</v>
      </c>
      <c r="J5" s="143" t="s">
        <v>66</v>
      </c>
      <c r="K5" s="142" t="s">
        <v>65</v>
      </c>
      <c r="L5" s="142" t="s">
        <v>10</v>
      </c>
      <c r="M5" s="142" t="s">
        <v>11</v>
      </c>
      <c r="N5" s="142" t="s">
        <v>16</v>
      </c>
      <c r="O5" s="142" t="s">
        <v>67</v>
      </c>
      <c r="P5" s="142" t="s">
        <v>75</v>
      </c>
      <c r="Q5" s="142" t="s">
        <v>68</v>
      </c>
      <c r="R5" s="142" t="s">
        <v>7</v>
      </c>
      <c r="S5" s="142" t="s">
        <v>10</v>
      </c>
      <c r="T5" s="142" t="s">
        <v>11</v>
      </c>
      <c r="U5" s="142" t="s">
        <v>74</v>
      </c>
      <c r="V5" s="142" t="s">
        <v>69</v>
      </c>
      <c r="W5" s="142" t="s">
        <v>65</v>
      </c>
      <c r="X5" s="142" t="s">
        <v>0</v>
      </c>
      <c r="Y5" s="142" t="s">
        <v>6</v>
      </c>
      <c r="Z5" s="142" t="s">
        <v>78</v>
      </c>
      <c r="AA5" s="142" t="s">
        <v>94</v>
      </c>
      <c r="AB5" s="142" t="s">
        <v>64</v>
      </c>
      <c r="AC5" s="142" t="s">
        <v>72</v>
      </c>
      <c r="AD5" s="142" t="s">
        <v>107</v>
      </c>
      <c r="AE5" s="142" t="s">
        <v>63</v>
      </c>
      <c r="AF5" s="142" t="s">
        <v>53</v>
      </c>
      <c r="AG5" s="142" t="s">
        <v>58</v>
      </c>
      <c r="AH5" s="142" t="s">
        <v>58</v>
      </c>
    </row>
    <row r="6" spans="1:34" s="41" customFormat="1">
      <c r="A6" s="144">
        <v>42639</v>
      </c>
      <c r="B6" s="42">
        <v>1</v>
      </c>
      <c r="C6" s="42">
        <v>1884801</v>
      </c>
      <c r="D6" s="119">
        <v>12740</v>
      </c>
      <c r="E6" s="119" t="s">
        <v>77</v>
      </c>
      <c r="F6" s="42">
        <v>1478</v>
      </c>
      <c r="G6" s="120">
        <v>52</v>
      </c>
      <c r="H6" s="262" t="s">
        <v>102</v>
      </c>
      <c r="I6" s="121">
        <v>0</v>
      </c>
      <c r="J6" s="122">
        <v>1</v>
      </c>
      <c r="K6" s="128">
        <v>0</v>
      </c>
      <c r="L6" s="123">
        <v>0</v>
      </c>
      <c r="M6" s="121">
        <v>0</v>
      </c>
      <c r="N6" s="124">
        <v>0</v>
      </c>
      <c r="O6" s="120">
        <v>0</v>
      </c>
      <c r="P6" s="125">
        <v>0</v>
      </c>
      <c r="Q6" s="123">
        <v>1</v>
      </c>
      <c r="R6" s="120">
        <v>0</v>
      </c>
      <c r="S6" s="123">
        <v>0</v>
      </c>
      <c r="T6" s="121">
        <v>0</v>
      </c>
      <c r="U6" s="130">
        <v>0</v>
      </c>
      <c r="V6" s="123">
        <v>0</v>
      </c>
      <c r="W6" s="123">
        <v>0</v>
      </c>
      <c r="X6" s="40">
        <f t="shared" ref="X6:X36" si="0">+G6-(SUM(I6:W6))</f>
        <v>50</v>
      </c>
      <c r="Y6" s="126"/>
      <c r="Z6" s="126"/>
      <c r="AA6" s="126"/>
      <c r="AB6" s="126"/>
      <c r="AC6" s="126"/>
      <c r="AD6" s="126"/>
      <c r="AE6" s="148">
        <f t="shared" ref="AE6:AE66" si="1">X6-SUM(AA6:AD6)</f>
        <v>50</v>
      </c>
      <c r="AF6" s="127"/>
      <c r="AG6" s="119"/>
      <c r="AH6" s="119"/>
    </row>
    <row r="7" spans="1:34" s="41" customFormat="1">
      <c r="A7" s="144">
        <v>42639</v>
      </c>
      <c r="B7" s="42">
        <v>2</v>
      </c>
      <c r="C7" s="42">
        <v>1884801</v>
      </c>
      <c r="D7" s="119">
        <v>12740</v>
      </c>
      <c r="E7" s="119" t="s">
        <v>77</v>
      </c>
      <c r="F7" s="42">
        <v>1478</v>
      </c>
      <c r="G7" s="120">
        <v>58</v>
      </c>
      <c r="H7" s="263"/>
      <c r="I7" s="121">
        <v>0</v>
      </c>
      <c r="J7" s="122">
        <v>0</v>
      </c>
      <c r="K7" s="128">
        <v>0</v>
      </c>
      <c r="L7" s="123">
        <v>0</v>
      </c>
      <c r="M7" s="121">
        <v>0</v>
      </c>
      <c r="N7" s="124">
        <v>0</v>
      </c>
      <c r="O7" s="120">
        <v>0</v>
      </c>
      <c r="P7" s="125">
        <v>0</v>
      </c>
      <c r="Q7" s="123">
        <v>1</v>
      </c>
      <c r="R7" s="120">
        <v>0</v>
      </c>
      <c r="S7" s="123">
        <v>0</v>
      </c>
      <c r="T7" s="121">
        <v>0</v>
      </c>
      <c r="U7" s="130">
        <v>0</v>
      </c>
      <c r="V7" s="123">
        <v>0</v>
      </c>
      <c r="W7" s="123">
        <v>0</v>
      </c>
      <c r="X7" s="40">
        <f t="shared" si="0"/>
        <v>57</v>
      </c>
      <c r="Y7" s="126"/>
      <c r="Z7" s="126"/>
      <c r="AA7" s="126"/>
      <c r="AB7" s="126"/>
      <c r="AC7" s="126"/>
      <c r="AD7" s="126"/>
      <c r="AE7" s="148">
        <f t="shared" si="1"/>
        <v>57</v>
      </c>
      <c r="AF7" s="127"/>
      <c r="AG7" s="119"/>
      <c r="AH7" s="119"/>
    </row>
    <row r="8" spans="1:34" s="41" customFormat="1">
      <c r="A8" s="144">
        <v>42639</v>
      </c>
      <c r="B8" s="42">
        <v>2</v>
      </c>
      <c r="C8" s="42">
        <v>1884801</v>
      </c>
      <c r="D8" s="150">
        <v>12755</v>
      </c>
      <c r="E8" s="149" t="s">
        <v>101</v>
      </c>
      <c r="F8" s="141">
        <v>1479</v>
      </c>
      <c r="G8" s="120">
        <v>98</v>
      </c>
      <c r="H8" s="124" t="s">
        <v>103</v>
      </c>
      <c r="I8" s="121">
        <v>0</v>
      </c>
      <c r="J8" s="122">
        <v>1</v>
      </c>
      <c r="K8" s="128">
        <v>0</v>
      </c>
      <c r="L8" s="123">
        <v>0</v>
      </c>
      <c r="M8" s="121">
        <v>0</v>
      </c>
      <c r="N8" s="124">
        <v>0</v>
      </c>
      <c r="O8" s="120">
        <v>0</v>
      </c>
      <c r="P8" s="125">
        <v>0</v>
      </c>
      <c r="Q8" s="123">
        <v>2</v>
      </c>
      <c r="R8" s="120">
        <v>0</v>
      </c>
      <c r="S8" s="123">
        <v>0</v>
      </c>
      <c r="T8" s="121">
        <v>0</v>
      </c>
      <c r="U8" s="130">
        <v>0</v>
      </c>
      <c r="V8" s="123">
        <v>0</v>
      </c>
      <c r="W8" s="123">
        <v>0</v>
      </c>
      <c r="X8" s="40">
        <f t="shared" si="0"/>
        <v>95</v>
      </c>
      <c r="Y8" s="126"/>
      <c r="Z8" s="126"/>
      <c r="AA8" s="126"/>
      <c r="AB8" s="126"/>
      <c r="AC8" s="126"/>
      <c r="AD8" s="126"/>
      <c r="AE8" s="148">
        <f t="shared" si="1"/>
        <v>95</v>
      </c>
      <c r="AF8" s="127"/>
      <c r="AG8" s="119"/>
      <c r="AH8" s="119"/>
    </row>
    <row r="9" spans="1:34" s="41" customFormat="1">
      <c r="A9" s="144">
        <v>42661</v>
      </c>
      <c r="B9" s="42">
        <v>1</v>
      </c>
      <c r="C9" s="42">
        <v>1884801</v>
      </c>
      <c r="D9" s="150">
        <v>12753</v>
      </c>
      <c r="E9" s="149" t="s">
        <v>101</v>
      </c>
      <c r="F9" s="141">
        <v>1532</v>
      </c>
      <c r="G9" s="120">
        <v>51</v>
      </c>
      <c r="H9" s="262" t="s">
        <v>105</v>
      </c>
      <c r="I9" s="121">
        <v>0</v>
      </c>
      <c r="J9" s="122">
        <v>0</v>
      </c>
      <c r="K9" s="128">
        <v>0</v>
      </c>
      <c r="L9" s="123">
        <v>0</v>
      </c>
      <c r="M9" s="121">
        <v>0</v>
      </c>
      <c r="N9" s="124">
        <v>0</v>
      </c>
      <c r="O9" s="120">
        <v>0</v>
      </c>
      <c r="P9" s="125">
        <v>0</v>
      </c>
      <c r="Q9" s="123">
        <v>1</v>
      </c>
      <c r="R9" s="120">
        <v>0</v>
      </c>
      <c r="S9" s="123">
        <v>0</v>
      </c>
      <c r="T9" s="121">
        <v>0</v>
      </c>
      <c r="U9" s="130">
        <v>0</v>
      </c>
      <c r="V9" s="123">
        <v>0</v>
      </c>
      <c r="W9" s="123">
        <v>0</v>
      </c>
      <c r="X9" s="40">
        <f t="shared" si="0"/>
        <v>50</v>
      </c>
      <c r="Y9" s="126"/>
      <c r="Z9" s="126"/>
      <c r="AA9" s="126"/>
      <c r="AB9" s="126"/>
      <c r="AC9" s="126"/>
      <c r="AD9" s="126"/>
      <c r="AE9" s="148">
        <f t="shared" si="1"/>
        <v>50</v>
      </c>
      <c r="AF9" s="127"/>
      <c r="AG9" s="119"/>
      <c r="AH9" s="119"/>
    </row>
    <row r="10" spans="1:34" s="41" customFormat="1">
      <c r="A10" s="144">
        <v>42661</v>
      </c>
      <c r="B10" s="42">
        <v>2</v>
      </c>
      <c r="C10" s="42">
        <v>1884801</v>
      </c>
      <c r="D10" s="150">
        <v>12753</v>
      </c>
      <c r="E10" s="149" t="s">
        <v>101</v>
      </c>
      <c r="F10" s="141">
        <v>1532</v>
      </c>
      <c r="G10" s="120">
        <v>53</v>
      </c>
      <c r="H10" s="263"/>
      <c r="I10" s="121">
        <v>0</v>
      </c>
      <c r="J10" s="122">
        <v>0</v>
      </c>
      <c r="K10" s="128">
        <v>0</v>
      </c>
      <c r="L10" s="123">
        <v>0</v>
      </c>
      <c r="M10" s="121">
        <v>0</v>
      </c>
      <c r="N10" s="124">
        <v>0</v>
      </c>
      <c r="O10" s="120">
        <v>0</v>
      </c>
      <c r="P10" s="125">
        <v>0</v>
      </c>
      <c r="Q10" s="123">
        <v>1</v>
      </c>
      <c r="R10" s="120">
        <v>0</v>
      </c>
      <c r="S10" s="123">
        <v>0</v>
      </c>
      <c r="T10" s="121">
        <v>0</v>
      </c>
      <c r="U10" s="130">
        <v>0</v>
      </c>
      <c r="V10" s="123">
        <v>0</v>
      </c>
      <c r="W10" s="123">
        <v>0</v>
      </c>
      <c r="X10" s="40">
        <f t="shared" si="0"/>
        <v>52</v>
      </c>
      <c r="Y10" s="126"/>
      <c r="Z10" s="126"/>
      <c r="AA10" s="126"/>
      <c r="AB10" s="126"/>
      <c r="AC10" s="126"/>
      <c r="AD10" s="126"/>
      <c r="AE10" s="148">
        <f t="shared" si="1"/>
        <v>52</v>
      </c>
      <c r="AF10" s="127"/>
      <c r="AG10" s="119"/>
      <c r="AH10" s="119"/>
    </row>
    <row r="11" spans="1:34" s="41" customFormat="1">
      <c r="A11" s="144">
        <v>42661</v>
      </c>
      <c r="B11" s="42">
        <v>2</v>
      </c>
      <c r="C11" s="42">
        <v>1884801</v>
      </c>
      <c r="D11" s="150">
        <v>12737</v>
      </c>
      <c r="E11" s="149" t="s">
        <v>77</v>
      </c>
      <c r="F11" s="141">
        <v>1533</v>
      </c>
      <c r="G11" s="120">
        <v>103</v>
      </c>
      <c r="H11" s="124" t="s">
        <v>104</v>
      </c>
      <c r="I11" s="121">
        <v>0</v>
      </c>
      <c r="J11" s="122">
        <v>0</v>
      </c>
      <c r="K11" s="128">
        <v>0</v>
      </c>
      <c r="L11" s="123">
        <v>0</v>
      </c>
      <c r="M11" s="121">
        <v>0</v>
      </c>
      <c r="N11" s="124">
        <v>0</v>
      </c>
      <c r="O11" s="120">
        <v>1</v>
      </c>
      <c r="P11" s="125">
        <v>0</v>
      </c>
      <c r="Q11" s="123">
        <v>1</v>
      </c>
      <c r="R11" s="120">
        <v>0</v>
      </c>
      <c r="S11" s="123">
        <v>0</v>
      </c>
      <c r="T11" s="121">
        <v>0</v>
      </c>
      <c r="U11" s="130">
        <v>0</v>
      </c>
      <c r="V11" s="123">
        <v>0</v>
      </c>
      <c r="W11" s="123">
        <v>0</v>
      </c>
      <c r="X11" s="40">
        <f t="shared" si="0"/>
        <v>101</v>
      </c>
      <c r="Y11" s="126"/>
      <c r="Z11" s="126"/>
      <c r="AA11" s="126"/>
      <c r="AB11" s="126"/>
      <c r="AC11" s="126"/>
      <c r="AD11" s="126"/>
      <c r="AE11" s="148">
        <f t="shared" si="1"/>
        <v>101</v>
      </c>
      <c r="AF11" s="127"/>
      <c r="AG11" s="119"/>
      <c r="AH11" s="119"/>
    </row>
    <row r="12" spans="1:34" s="41" customFormat="1">
      <c r="A12" s="144">
        <v>42671</v>
      </c>
      <c r="B12" s="42">
        <v>3</v>
      </c>
      <c r="C12" s="42">
        <v>1884801</v>
      </c>
      <c r="D12" s="150">
        <v>12753</v>
      </c>
      <c r="E12" s="149" t="s">
        <v>101</v>
      </c>
      <c r="F12" s="141">
        <v>1606</v>
      </c>
      <c r="G12" s="120">
        <v>102</v>
      </c>
      <c r="H12" s="124"/>
      <c r="I12" s="121">
        <v>0</v>
      </c>
      <c r="J12" s="122">
        <v>0</v>
      </c>
      <c r="K12" s="128">
        <v>0</v>
      </c>
      <c r="L12" s="123">
        <v>0</v>
      </c>
      <c r="M12" s="121">
        <v>0</v>
      </c>
      <c r="N12" s="124">
        <v>0</v>
      </c>
      <c r="O12" s="120">
        <v>1</v>
      </c>
      <c r="P12" s="125">
        <v>1</v>
      </c>
      <c r="Q12" s="123">
        <v>2</v>
      </c>
      <c r="R12" s="120">
        <v>0</v>
      </c>
      <c r="S12" s="123">
        <v>0</v>
      </c>
      <c r="T12" s="121">
        <v>0</v>
      </c>
      <c r="U12" s="130">
        <v>0</v>
      </c>
      <c r="V12" s="123">
        <v>0</v>
      </c>
      <c r="W12" s="123">
        <v>0</v>
      </c>
      <c r="X12" s="40">
        <f t="shared" si="0"/>
        <v>98</v>
      </c>
      <c r="Y12" s="126"/>
      <c r="Z12" s="126"/>
      <c r="AA12" s="126"/>
      <c r="AB12" s="126"/>
      <c r="AC12" s="126"/>
      <c r="AD12" s="126"/>
      <c r="AE12" s="148">
        <f t="shared" si="1"/>
        <v>98</v>
      </c>
      <c r="AF12" s="127"/>
      <c r="AG12" s="119"/>
      <c r="AH12" s="119"/>
    </row>
    <row r="13" spans="1:34" s="41" customFormat="1">
      <c r="A13" s="118">
        <v>42703</v>
      </c>
      <c r="B13" s="42">
        <v>3</v>
      </c>
      <c r="C13" s="42">
        <v>1884801</v>
      </c>
      <c r="D13" s="150">
        <v>12753</v>
      </c>
      <c r="E13" s="149" t="s">
        <v>101</v>
      </c>
      <c r="F13" s="42">
        <v>1738</v>
      </c>
      <c r="G13" s="120">
        <v>48</v>
      </c>
      <c r="H13" s="124"/>
      <c r="I13" s="121">
        <v>0</v>
      </c>
      <c r="J13" s="122">
        <v>1</v>
      </c>
      <c r="K13" s="128">
        <v>0</v>
      </c>
      <c r="L13" s="123">
        <v>0</v>
      </c>
      <c r="M13" s="121">
        <v>0</v>
      </c>
      <c r="N13" s="124">
        <v>0</v>
      </c>
      <c r="O13" s="120">
        <v>0</v>
      </c>
      <c r="P13" s="125">
        <v>0</v>
      </c>
      <c r="Q13" s="123">
        <v>2</v>
      </c>
      <c r="R13" s="120">
        <v>0</v>
      </c>
      <c r="S13" s="123">
        <v>0</v>
      </c>
      <c r="T13" s="121">
        <v>0</v>
      </c>
      <c r="U13" s="130">
        <v>0</v>
      </c>
      <c r="V13" s="123">
        <v>0</v>
      </c>
      <c r="W13" s="123">
        <v>0</v>
      </c>
      <c r="X13" s="40">
        <f t="shared" si="0"/>
        <v>45</v>
      </c>
      <c r="Y13" s="126"/>
      <c r="Z13" s="126"/>
      <c r="AA13" s="126"/>
      <c r="AB13" s="126"/>
      <c r="AC13" s="126"/>
      <c r="AD13" s="123">
        <v>1</v>
      </c>
      <c r="AE13" s="148">
        <f t="shared" si="1"/>
        <v>44</v>
      </c>
      <c r="AF13" s="127"/>
      <c r="AG13" s="119"/>
      <c r="AH13" s="119"/>
    </row>
    <row r="14" spans="1:34" s="41" customFormat="1">
      <c r="A14" s="118">
        <v>42752</v>
      </c>
      <c r="B14" s="42">
        <v>2</v>
      </c>
      <c r="C14" s="44">
        <v>1884801</v>
      </c>
      <c r="D14" s="21">
        <v>12753</v>
      </c>
      <c r="E14" s="149" t="s">
        <v>101</v>
      </c>
      <c r="F14" s="42">
        <v>1920</v>
      </c>
      <c r="G14" s="120">
        <v>50</v>
      </c>
      <c r="H14" s="124"/>
      <c r="I14" s="121">
        <v>0</v>
      </c>
      <c r="J14" s="122">
        <v>0</v>
      </c>
      <c r="K14" s="128">
        <v>0</v>
      </c>
      <c r="L14" s="123">
        <v>0</v>
      </c>
      <c r="M14" s="121">
        <v>0</v>
      </c>
      <c r="N14" s="124">
        <v>0</v>
      </c>
      <c r="O14" s="120">
        <v>1</v>
      </c>
      <c r="P14" s="125">
        <v>0</v>
      </c>
      <c r="Q14" s="123">
        <v>1</v>
      </c>
      <c r="R14" s="120">
        <v>0</v>
      </c>
      <c r="S14" s="123">
        <v>0</v>
      </c>
      <c r="T14" s="121">
        <v>0</v>
      </c>
      <c r="U14" s="130">
        <v>0</v>
      </c>
      <c r="V14" s="123">
        <v>0</v>
      </c>
      <c r="W14" s="123">
        <v>0</v>
      </c>
      <c r="X14" s="40">
        <f t="shared" si="0"/>
        <v>48</v>
      </c>
      <c r="Y14" s="126"/>
      <c r="Z14" s="126"/>
      <c r="AA14" s="126"/>
      <c r="AB14" s="126"/>
      <c r="AC14" s="126"/>
      <c r="AD14" s="121">
        <v>5</v>
      </c>
      <c r="AE14" s="148">
        <f t="shared" si="1"/>
        <v>43</v>
      </c>
      <c r="AF14" s="127"/>
      <c r="AG14" s="119"/>
      <c r="AH14" s="119"/>
    </row>
    <row r="15" spans="1:34" s="41" customFormat="1">
      <c r="A15" s="118">
        <v>42752</v>
      </c>
      <c r="B15" s="42">
        <v>2</v>
      </c>
      <c r="C15" s="44">
        <v>2007301</v>
      </c>
      <c r="D15" s="21">
        <v>12738</v>
      </c>
      <c r="E15" s="149" t="s">
        <v>77</v>
      </c>
      <c r="F15" s="42">
        <v>1921</v>
      </c>
      <c r="G15" s="159">
        <v>77</v>
      </c>
      <c r="H15" s="268" t="s">
        <v>106</v>
      </c>
      <c r="I15" s="121">
        <v>0</v>
      </c>
      <c r="J15" s="122">
        <v>0</v>
      </c>
      <c r="K15" s="128">
        <v>0</v>
      </c>
      <c r="L15" s="123">
        <v>0</v>
      </c>
      <c r="M15" s="121">
        <v>0</v>
      </c>
      <c r="N15" s="124">
        <v>0</v>
      </c>
      <c r="O15" s="120">
        <v>1</v>
      </c>
      <c r="P15" s="125">
        <v>0</v>
      </c>
      <c r="Q15" s="123">
        <v>1</v>
      </c>
      <c r="R15" s="120">
        <v>0</v>
      </c>
      <c r="S15" s="123">
        <v>0</v>
      </c>
      <c r="T15" s="121">
        <v>0</v>
      </c>
      <c r="U15" s="130">
        <v>0</v>
      </c>
      <c r="V15" s="123">
        <v>0</v>
      </c>
      <c r="W15" s="123">
        <v>0</v>
      </c>
      <c r="X15" s="40">
        <f t="shared" si="0"/>
        <v>75</v>
      </c>
      <c r="Y15" s="126"/>
      <c r="Z15" s="126"/>
      <c r="AA15" s="126"/>
      <c r="AB15" s="126"/>
      <c r="AC15" s="126"/>
      <c r="AD15" s="126"/>
      <c r="AE15" s="148">
        <f t="shared" si="1"/>
        <v>75</v>
      </c>
      <c r="AF15" s="127"/>
      <c r="AG15" s="119"/>
      <c r="AH15" s="119"/>
    </row>
    <row r="16" spans="1:34" s="41" customFormat="1">
      <c r="A16" s="118">
        <v>42752</v>
      </c>
      <c r="B16" s="42">
        <v>3</v>
      </c>
      <c r="C16" s="44">
        <v>2007301</v>
      </c>
      <c r="D16" s="21">
        <v>12738</v>
      </c>
      <c r="E16" s="149" t="s">
        <v>77</v>
      </c>
      <c r="F16" s="42">
        <v>1921</v>
      </c>
      <c r="G16" s="182">
        <v>323</v>
      </c>
      <c r="H16" s="269"/>
      <c r="I16" s="121">
        <v>0</v>
      </c>
      <c r="J16" s="122">
        <v>0</v>
      </c>
      <c r="K16" s="128">
        <v>0</v>
      </c>
      <c r="L16" s="123">
        <v>0</v>
      </c>
      <c r="M16" s="121">
        <v>0</v>
      </c>
      <c r="N16" s="124">
        <v>0</v>
      </c>
      <c r="O16" s="120">
        <v>0</v>
      </c>
      <c r="P16" s="125">
        <v>3</v>
      </c>
      <c r="Q16" s="123">
        <v>0</v>
      </c>
      <c r="R16" s="120">
        <v>0</v>
      </c>
      <c r="S16" s="123">
        <v>0</v>
      </c>
      <c r="T16" s="121">
        <v>0</v>
      </c>
      <c r="U16" s="130">
        <v>0</v>
      </c>
      <c r="V16" s="123">
        <v>0</v>
      </c>
      <c r="W16" s="123">
        <v>0</v>
      </c>
      <c r="X16" s="40">
        <f t="shared" si="0"/>
        <v>320</v>
      </c>
      <c r="Y16" s="126"/>
      <c r="Z16" s="126"/>
      <c r="AA16" s="126"/>
      <c r="AB16" s="126"/>
      <c r="AC16" s="126"/>
      <c r="AD16" s="126"/>
      <c r="AE16" s="148">
        <f t="shared" si="1"/>
        <v>320</v>
      </c>
      <c r="AF16" s="127"/>
      <c r="AG16" s="119"/>
      <c r="AH16" s="119"/>
    </row>
    <row r="17" spans="1:34" s="41" customFormat="1">
      <c r="A17" s="118">
        <v>42752</v>
      </c>
      <c r="B17" s="42">
        <v>3</v>
      </c>
      <c r="C17" s="44">
        <v>2007301</v>
      </c>
      <c r="D17" s="21">
        <v>12738</v>
      </c>
      <c r="E17" s="149" t="s">
        <v>77</v>
      </c>
      <c r="F17" s="42">
        <v>1922</v>
      </c>
      <c r="G17" s="120">
        <v>75</v>
      </c>
      <c r="H17" s="264" t="s">
        <v>108</v>
      </c>
      <c r="I17" s="121">
        <v>0</v>
      </c>
      <c r="J17" s="122">
        <v>0</v>
      </c>
      <c r="K17" s="128">
        <v>0</v>
      </c>
      <c r="L17" s="123">
        <v>0</v>
      </c>
      <c r="M17" s="121">
        <v>0</v>
      </c>
      <c r="N17" s="124">
        <v>0</v>
      </c>
      <c r="O17" s="120">
        <v>0</v>
      </c>
      <c r="P17" s="125">
        <v>0</v>
      </c>
      <c r="Q17" s="123">
        <v>0</v>
      </c>
      <c r="R17" s="120">
        <v>0</v>
      </c>
      <c r="S17" s="123">
        <v>0</v>
      </c>
      <c r="T17" s="121">
        <v>0</v>
      </c>
      <c r="U17" s="130">
        <v>0</v>
      </c>
      <c r="V17" s="123">
        <v>0</v>
      </c>
      <c r="W17" s="123">
        <v>0</v>
      </c>
      <c r="X17" s="40">
        <f t="shared" si="0"/>
        <v>75</v>
      </c>
      <c r="Y17" s="126"/>
      <c r="Z17" s="126"/>
      <c r="AA17" s="126"/>
      <c r="AB17" s="126"/>
      <c r="AC17" s="126"/>
      <c r="AD17" s="126"/>
      <c r="AE17" s="148">
        <f t="shared" si="1"/>
        <v>75</v>
      </c>
      <c r="AF17" s="127"/>
      <c r="AG17" s="119"/>
      <c r="AH17" s="119"/>
    </row>
    <row r="18" spans="1:34" s="41" customFormat="1">
      <c r="A18" s="118">
        <v>42753</v>
      </c>
      <c r="B18" s="42">
        <v>1</v>
      </c>
      <c r="C18" s="44">
        <v>2007301</v>
      </c>
      <c r="D18" s="21">
        <v>12738</v>
      </c>
      <c r="E18" s="149" t="s">
        <v>77</v>
      </c>
      <c r="F18" s="42">
        <v>1922</v>
      </c>
      <c r="G18" s="120">
        <v>75</v>
      </c>
      <c r="H18" s="265"/>
      <c r="I18" s="121">
        <v>0</v>
      </c>
      <c r="J18" s="122">
        <v>0</v>
      </c>
      <c r="K18" s="128">
        <v>0</v>
      </c>
      <c r="L18" s="123">
        <v>0</v>
      </c>
      <c r="M18" s="121">
        <v>0</v>
      </c>
      <c r="N18" s="124">
        <v>0</v>
      </c>
      <c r="O18" s="120">
        <v>0</v>
      </c>
      <c r="P18" s="125">
        <v>1</v>
      </c>
      <c r="Q18" s="123">
        <v>1</v>
      </c>
      <c r="R18" s="120">
        <v>0</v>
      </c>
      <c r="S18" s="123">
        <v>0</v>
      </c>
      <c r="T18" s="121">
        <v>0</v>
      </c>
      <c r="U18" s="130">
        <v>0</v>
      </c>
      <c r="V18" s="123">
        <v>0</v>
      </c>
      <c r="W18" s="123">
        <v>0</v>
      </c>
      <c r="X18" s="40">
        <f t="shared" ref="X18" si="2">+G18-(SUM(I18:W18))</f>
        <v>73</v>
      </c>
      <c r="Y18" s="126"/>
      <c r="Z18" s="126"/>
      <c r="AA18" s="126"/>
      <c r="AB18" s="126"/>
      <c r="AC18" s="126"/>
      <c r="AD18" s="126"/>
      <c r="AE18" s="148">
        <f t="shared" si="1"/>
        <v>73</v>
      </c>
      <c r="AF18" s="127"/>
      <c r="AG18" s="119"/>
      <c r="AH18" s="119"/>
    </row>
    <row r="19" spans="1:34" s="41" customFormat="1">
      <c r="A19" s="118">
        <v>42753</v>
      </c>
      <c r="B19" s="42">
        <v>1</v>
      </c>
      <c r="C19" s="44">
        <v>2007301</v>
      </c>
      <c r="D19" s="21">
        <v>12737</v>
      </c>
      <c r="E19" s="149" t="s">
        <v>77</v>
      </c>
      <c r="F19" s="42">
        <v>1923</v>
      </c>
      <c r="G19" s="120">
        <v>316</v>
      </c>
      <c r="H19" s="124" t="s">
        <v>109</v>
      </c>
      <c r="I19" s="121">
        <v>0</v>
      </c>
      <c r="J19" s="122">
        <v>1</v>
      </c>
      <c r="K19" s="128">
        <v>0</v>
      </c>
      <c r="L19" s="123">
        <v>0</v>
      </c>
      <c r="M19" s="121">
        <v>0</v>
      </c>
      <c r="N19" s="124">
        <v>0</v>
      </c>
      <c r="O19" s="120">
        <v>0</v>
      </c>
      <c r="P19" s="125">
        <v>3</v>
      </c>
      <c r="Q19" s="123">
        <v>1</v>
      </c>
      <c r="R19" s="120">
        <v>0</v>
      </c>
      <c r="S19" s="123">
        <v>0</v>
      </c>
      <c r="T19" s="121">
        <v>0</v>
      </c>
      <c r="U19" s="130">
        <v>0</v>
      </c>
      <c r="V19" s="123">
        <v>0</v>
      </c>
      <c r="W19" s="123">
        <v>0</v>
      </c>
      <c r="X19" s="40">
        <f t="shared" ref="X19" si="3">+G19-(SUM(I19:W19))</f>
        <v>311</v>
      </c>
      <c r="Y19" s="126"/>
      <c r="Z19" s="126"/>
      <c r="AA19" s="126"/>
      <c r="AB19" s="126"/>
      <c r="AC19" s="126"/>
      <c r="AD19" s="126"/>
      <c r="AE19" s="148">
        <f t="shared" si="1"/>
        <v>311</v>
      </c>
      <c r="AF19" s="127"/>
      <c r="AG19" s="119"/>
      <c r="AH19" s="119"/>
    </row>
    <row r="20" spans="1:34" s="41" customFormat="1">
      <c r="A20" s="25">
        <v>42754</v>
      </c>
      <c r="B20" s="42">
        <v>2</v>
      </c>
      <c r="C20" s="44">
        <v>2007301</v>
      </c>
      <c r="D20" s="119">
        <v>12740</v>
      </c>
      <c r="E20" s="119" t="s">
        <v>77</v>
      </c>
      <c r="F20" s="21">
        <v>1932</v>
      </c>
      <c r="G20" s="120">
        <v>202</v>
      </c>
      <c r="H20" s="262" t="s">
        <v>106</v>
      </c>
      <c r="I20" s="121">
        <v>0</v>
      </c>
      <c r="J20" s="122">
        <v>0</v>
      </c>
      <c r="K20" s="128">
        <v>0</v>
      </c>
      <c r="L20" s="123">
        <v>0</v>
      </c>
      <c r="M20" s="121">
        <v>0</v>
      </c>
      <c r="N20" s="124">
        <v>0</v>
      </c>
      <c r="O20" s="120">
        <v>0</v>
      </c>
      <c r="P20" s="125">
        <v>1</v>
      </c>
      <c r="Q20" s="123">
        <v>1</v>
      </c>
      <c r="R20" s="120">
        <v>0</v>
      </c>
      <c r="S20" s="123">
        <v>0</v>
      </c>
      <c r="T20" s="121">
        <v>0</v>
      </c>
      <c r="U20" s="130">
        <v>0</v>
      </c>
      <c r="V20" s="123">
        <v>0</v>
      </c>
      <c r="W20" s="123">
        <v>0</v>
      </c>
      <c r="X20" s="40">
        <f t="shared" si="0"/>
        <v>200</v>
      </c>
      <c r="Y20" s="126"/>
      <c r="Z20" s="126"/>
      <c r="AA20" s="126"/>
      <c r="AB20" s="126"/>
      <c r="AC20" s="126"/>
      <c r="AD20" s="126"/>
      <c r="AE20" s="148">
        <f t="shared" si="1"/>
        <v>200</v>
      </c>
      <c r="AF20" s="127"/>
      <c r="AG20" s="119"/>
      <c r="AH20" s="119"/>
    </row>
    <row r="21" spans="1:34" s="41" customFormat="1">
      <c r="A21" s="25">
        <v>42754</v>
      </c>
      <c r="B21" s="42">
        <v>3</v>
      </c>
      <c r="C21" s="44">
        <v>2007301</v>
      </c>
      <c r="D21" s="119">
        <v>12740</v>
      </c>
      <c r="E21" s="119" t="s">
        <v>77</v>
      </c>
      <c r="F21" s="21">
        <v>1932</v>
      </c>
      <c r="G21" s="120">
        <v>198</v>
      </c>
      <c r="H21" s="263"/>
      <c r="I21" s="121">
        <v>0</v>
      </c>
      <c r="J21" s="122">
        <v>1</v>
      </c>
      <c r="K21" s="128">
        <v>0</v>
      </c>
      <c r="L21" s="123">
        <v>0</v>
      </c>
      <c r="M21" s="121">
        <v>0</v>
      </c>
      <c r="N21" s="124">
        <v>0</v>
      </c>
      <c r="O21" s="120">
        <v>0</v>
      </c>
      <c r="P21" s="125">
        <v>2</v>
      </c>
      <c r="Q21" s="123">
        <v>0</v>
      </c>
      <c r="R21" s="120">
        <v>0</v>
      </c>
      <c r="S21" s="123">
        <v>0</v>
      </c>
      <c r="T21" s="121">
        <v>0</v>
      </c>
      <c r="U21" s="130">
        <v>0</v>
      </c>
      <c r="V21" s="123">
        <v>0</v>
      </c>
      <c r="W21" s="123">
        <v>0</v>
      </c>
      <c r="X21" s="40">
        <f t="shared" si="0"/>
        <v>195</v>
      </c>
      <c r="Y21" s="126"/>
      <c r="Z21" s="126"/>
      <c r="AA21" s="126"/>
      <c r="AB21" s="126"/>
      <c r="AC21" s="126"/>
      <c r="AD21" s="126"/>
      <c r="AE21" s="148">
        <f t="shared" si="1"/>
        <v>195</v>
      </c>
      <c r="AF21" s="127"/>
      <c r="AG21" s="119"/>
      <c r="AH21" s="119"/>
    </row>
    <row r="22" spans="1:34" s="41" customFormat="1">
      <c r="A22" s="25">
        <v>42754</v>
      </c>
      <c r="B22" s="42">
        <v>3</v>
      </c>
      <c r="C22" s="44">
        <v>2007301</v>
      </c>
      <c r="D22" s="119">
        <v>12740</v>
      </c>
      <c r="E22" s="119" t="s">
        <v>77</v>
      </c>
      <c r="F22" s="42">
        <v>1933</v>
      </c>
      <c r="G22" s="120">
        <v>228</v>
      </c>
      <c r="H22" s="264" t="s">
        <v>110</v>
      </c>
      <c r="I22" s="121">
        <v>0</v>
      </c>
      <c r="J22" s="122">
        <v>0</v>
      </c>
      <c r="K22" s="128">
        <v>0</v>
      </c>
      <c r="L22" s="123">
        <v>0</v>
      </c>
      <c r="M22" s="121">
        <v>0</v>
      </c>
      <c r="N22" s="124">
        <v>0</v>
      </c>
      <c r="O22" s="120">
        <v>0</v>
      </c>
      <c r="P22" s="125">
        <v>2</v>
      </c>
      <c r="Q22" s="123">
        <v>1</v>
      </c>
      <c r="R22" s="120">
        <v>0</v>
      </c>
      <c r="S22" s="123">
        <v>0</v>
      </c>
      <c r="T22" s="121">
        <v>0</v>
      </c>
      <c r="U22" s="130">
        <v>0</v>
      </c>
      <c r="V22" s="123">
        <v>0</v>
      </c>
      <c r="W22" s="123">
        <v>0</v>
      </c>
      <c r="X22" s="40">
        <f t="shared" si="0"/>
        <v>225</v>
      </c>
      <c r="Y22" s="126"/>
      <c r="Z22" s="126"/>
      <c r="AA22" s="126"/>
      <c r="AB22" s="126"/>
      <c r="AC22" s="126"/>
      <c r="AD22" s="126"/>
      <c r="AE22" s="148">
        <f t="shared" si="1"/>
        <v>225</v>
      </c>
      <c r="AF22" s="127"/>
      <c r="AG22" s="119"/>
      <c r="AH22" s="119"/>
    </row>
    <row r="23" spans="1:34" s="41" customFormat="1">
      <c r="A23" s="25">
        <v>42755</v>
      </c>
      <c r="B23" s="42">
        <v>1</v>
      </c>
      <c r="C23" s="44">
        <v>2007301</v>
      </c>
      <c r="D23" s="119">
        <v>12740</v>
      </c>
      <c r="E23" s="119" t="s">
        <v>77</v>
      </c>
      <c r="F23" s="42">
        <v>1933</v>
      </c>
      <c r="G23" s="120">
        <v>15</v>
      </c>
      <c r="H23" s="265"/>
      <c r="I23" s="121">
        <v>0</v>
      </c>
      <c r="J23" s="122">
        <v>0</v>
      </c>
      <c r="K23" s="128">
        <v>0</v>
      </c>
      <c r="L23" s="123">
        <v>0</v>
      </c>
      <c r="M23" s="121">
        <v>0</v>
      </c>
      <c r="N23" s="124">
        <v>0</v>
      </c>
      <c r="O23" s="120">
        <v>0</v>
      </c>
      <c r="P23" s="125">
        <v>0</v>
      </c>
      <c r="Q23" s="123">
        <v>0</v>
      </c>
      <c r="R23" s="120">
        <v>0</v>
      </c>
      <c r="S23" s="123">
        <v>0</v>
      </c>
      <c r="T23" s="121">
        <v>0</v>
      </c>
      <c r="U23" s="130">
        <v>0</v>
      </c>
      <c r="V23" s="123">
        <v>0</v>
      </c>
      <c r="W23" s="123">
        <v>0</v>
      </c>
      <c r="X23" s="40">
        <f t="shared" ref="X23" si="4">+G23-(SUM(I23:W23))</f>
        <v>15</v>
      </c>
      <c r="Y23" s="126"/>
      <c r="Z23" s="126"/>
      <c r="AA23" s="126"/>
      <c r="AB23" s="126"/>
      <c r="AC23" s="126"/>
      <c r="AD23" s="126"/>
      <c r="AE23" s="148">
        <f t="shared" si="1"/>
        <v>15</v>
      </c>
      <c r="AF23" s="127"/>
      <c r="AG23" s="119"/>
      <c r="AH23" s="119"/>
    </row>
    <row r="24" spans="1:34" s="41" customFormat="1">
      <c r="A24" s="25">
        <v>42755</v>
      </c>
      <c r="B24" s="42">
        <v>1</v>
      </c>
      <c r="C24" s="44">
        <v>2007301</v>
      </c>
      <c r="D24" s="119">
        <v>12732</v>
      </c>
      <c r="E24" s="119" t="s">
        <v>77</v>
      </c>
      <c r="F24" s="42">
        <v>1934</v>
      </c>
      <c r="G24" s="120">
        <v>306</v>
      </c>
      <c r="H24" s="184" t="s">
        <v>111</v>
      </c>
      <c r="I24" s="121">
        <v>0</v>
      </c>
      <c r="J24" s="122">
        <v>1</v>
      </c>
      <c r="K24" s="128">
        <v>0</v>
      </c>
      <c r="L24" s="123">
        <v>0</v>
      </c>
      <c r="M24" s="121">
        <v>0</v>
      </c>
      <c r="N24" s="124">
        <v>0</v>
      </c>
      <c r="O24" s="120">
        <v>0</v>
      </c>
      <c r="P24" s="125">
        <v>3</v>
      </c>
      <c r="Q24" s="123">
        <v>1</v>
      </c>
      <c r="R24" s="120">
        <v>0</v>
      </c>
      <c r="S24" s="123">
        <v>0</v>
      </c>
      <c r="T24" s="121">
        <v>0</v>
      </c>
      <c r="U24" s="130">
        <v>0</v>
      </c>
      <c r="V24" s="123">
        <v>0</v>
      </c>
      <c r="W24" s="123">
        <v>0</v>
      </c>
      <c r="X24" s="40">
        <f t="shared" ref="X24" si="5">+G24-(SUM(I24:W24))</f>
        <v>301</v>
      </c>
      <c r="Y24" s="126"/>
      <c r="Z24" s="126"/>
      <c r="AA24" s="126"/>
      <c r="AB24" s="126"/>
      <c r="AC24" s="126"/>
      <c r="AD24" s="126">
        <v>1</v>
      </c>
      <c r="AE24" s="148">
        <f t="shared" si="1"/>
        <v>300</v>
      </c>
      <c r="AF24" s="127"/>
      <c r="AG24" s="119"/>
      <c r="AH24" s="119"/>
    </row>
    <row r="25" spans="1:34" s="41" customFormat="1">
      <c r="A25" s="25">
        <v>42865</v>
      </c>
      <c r="B25" s="42">
        <v>1</v>
      </c>
      <c r="C25" s="44">
        <v>2098901</v>
      </c>
      <c r="D25" s="119">
        <v>12740</v>
      </c>
      <c r="E25" s="119" t="s">
        <v>77</v>
      </c>
      <c r="F25" s="42">
        <v>2684</v>
      </c>
      <c r="G25" s="120">
        <v>323</v>
      </c>
      <c r="H25" s="124" t="s">
        <v>112</v>
      </c>
      <c r="I25" s="121">
        <v>0</v>
      </c>
      <c r="J25" s="122">
        <v>1</v>
      </c>
      <c r="K25" s="128">
        <v>0</v>
      </c>
      <c r="L25" s="123">
        <v>0</v>
      </c>
      <c r="M25" s="121">
        <v>0</v>
      </c>
      <c r="N25" s="124">
        <v>0</v>
      </c>
      <c r="O25" s="120">
        <v>0</v>
      </c>
      <c r="P25" s="125">
        <v>3</v>
      </c>
      <c r="Q25" s="123">
        <v>1</v>
      </c>
      <c r="R25" s="120">
        <v>0</v>
      </c>
      <c r="S25" s="123">
        <v>0</v>
      </c>
      <c r="T25" s="121">
        <v>0</v>
      </c>
      <c r="U25" s="130">
        <v>0</v>
      </c>
      <c r="V25" s="123">
        <v>0</v>
      </c>
      <c r="W25" s="123">
        <v>0</v>
      </c>
      <c r="X25" s="40">
        <f t="shared" si="0"/>
        <v>318</v>
      </c>
      <c r="Y25" s="126"/>
      <c r="Z25" s="126"/>
      <c r="AA25" s="126"/>
      <c r="AB25" s="126"/>
      <c r="AC25" s="126"/>
      <c r="AD25" s="126"/>
      <c r="AE25" s="148">
        <f t="shared" si="1"/>
        <v>318</v>
      </c>
      <c r="AF25" s="127"/>
      <c r="AG25" s="119"/>
      <c r="AH25" s="119"/>
    </row>
    <row r="26" spans="1:34" s="41" customFormat="1">
      <c r="A26" s="25">
        <v>42865</v>
      </c>
      <c r="B26" s="42">
        <v>1</v>
      </c>
      <c r="C26" s="44">
        <v>2098901</v>
      </c>
      <c r="D26" s="119">
        <v>12760</v>
      </c>
      <c r="E26" s="119" t="s">
        <v>77</v>
      </c>
      <c r="F26" s="42">
        <v>2685</v>
      </c>
      <c r="G26" s="120">
        <v>28</v>
      </c>
      <c r="H26" s="262" t="s">
        <v>113</v>
      </c>
      <c r="I26" s="121">
        <v>0</v>
      </c>
      <c r="J26" s="122">
        <v>1</v>
      </c>
      <c r="K26" s="128">
        <v>0</v>
      </c>
      <c r="L26" s="123">
        <v>0</v>
      </c>
      <c r="M26" s="121">
        <v>0</v>
      </c>
      <c r="N26" s="124">
        <v>0</v>
      </c>
      <c r="O26" s="120">
        <v>0</v>
      </c>
      <c r="P26" s="125">
        <v>0</v>
      </c>
      <c r="Q26" s="123">
        <v>1</v>
      </c>
      <c r="R26" s="120">
        <v>0</v>
      </c>
      <c r="S26" s="123">
        <v>0</v>
      </c>
      <c r="T26" s="121">
        <v>0</v>
      </c>
      <c r="U26" s="130">
        <v>0</v>
      </c>
      <c r="V26" s="123">
        <v>0</v>
      </c>
      <c r="W26" s="123">
        <v>0</v>
      </c>
      <c r="X26" s="40">
        <f t="shared" si="0"/>
        <v>26</v>
      </c>
      <c r="Y26" s="126"/>
      <c r="Z26" s="126"/>
      <c r="AA26" s="126"/>
      <c r="AB26" s="126">
        <v>1</v>
      </c>
      <c r="AC26" s="126"/>
      <c r="AD26" s="126"/>
      <c r="AE26" s="148">
        <f t="shared" si="1"/>
        <v>25</v>
      </c>
      <c r="AF26" s="127"/>
      <c r="AG26" s="119"/>
      <c r="AH26" s="119"/>
    </row>
    <row r="27" spans="1:34" s="41" customFormat="1">
      <c r="A27" s="25">
        <v>42865</v>
      </c>
      <c r="B27" s="42">
        <v>2</v>
      </c>
      <c r="C27" s="44">
        <v>2098901</v>
      </c>
      <c r="D27" s="119">
        <v>12760</v>
      </c>
      <c r="E27" s="119" t="s">
        <v>77</v>
      </c>
      <c r="F27" s="42">
        <v>2685</v>
      </c>
      <c r="G27" s="120">
        <v>343</v>
      </c>
      <c r="H27" s="263"/>
      <c r="I27" s="121">
        <v>0</v>
      </c>
      <c r="J27" s="122">
        <v>0</v>
      </c>
      <c r="K27" s="128">
        <v>0</v>
      </c>
      <c r="L27" s="123">
        <v>0</v>
      </c>
      <c r="M27" s="121">
        <v>0</v>
      </c>
      <c r="N27" s="124">
        <v>0</v>
      </c>
      <c r="O27" s="120">
        <v>0</v>
      </c>
      <c r="P27" s="125">
        <v>3</v>
      </c>
      <c r="Q27" s="123">
        <v>0</v>
      </c>
      <c r="R27" s="120">
        <v>0</v>
      </c>
      <c r="S27" s="123">
        <v>0</v>
      </c>
      <c r="T27" s="121">
        <v>0</v>
      </c>
      <c r="U27" s="130">
        <v>0</v>
      </c>
      <c r="V27" s="123">
        <v>0</v>
      </c>
      <c r="W27" s="123">
        <v>0</v>
      </c>
      <c r="X27" s="40">
        <f t="shared" si="0"/>
        <v>340</v>
      </c>
      <c r="Y27" s="126"/>
      <c r="Z27" s="126"/>
      <c r="AA27" s="126"/>
      <c r="AB27" s="126">
        <v>10</v>
      </c>
      <c r="AC27" s="126"/>
      <c r="AD27" s="126"/>
      <c r="AE27" s="148">
        <f t="shared" si="1"/>
        <v>330</v>
      </c>
      <c r="AF27" s="127"/>
      <c r="AG27" s="119"/>
      <c r="AH27" s="119"/>
    </row>
    <row r="28" spans="1:34" s="41" customFormat="1">
      <c r="A28" s="25">
        <v>42906</v>
      </c>
      <c r="B28" s="42">
        <v>1</v>
      </c>
      <c r="C28" s="44">
        <v>2098901</v>
      </c>
      <c r="D28" s="119">
        <v>12760</v>
      </c>
      <c r="E28" s="119" t="s">
        <v>77</v>
      </c>
      <c r="F28" s="42">
        <v>2962</v>
      </c>
      <c r="G28" s="120">
        <v>44</v>
      </c>
      <c r="H28" s="124" t="s">
        <v>114</v>
      </c>
      <c r="I28" s="121">
        <v>0</v>
      </c>
      <c r="J28" s="122">
        <v>0</v>
      </c>
      <c r="K28" s="128">
        <v>0</v>
      </c>
      <c r="L28" s="123">
        <v>0</v>
      </c>
      <c r="M28" s="121">
        <v>0</v>
      </c>
      <c r="N28" s="124">
        <v>0</v>
      </c>
      <c r="O28" s="120">
        <v>1</v>
      </c>
      <c r="P28" s="125">
        <v>0</v>
      </c>
      <c r="Q28" s="123">
        <v>1</v>
      </c>
      <c r="R28" s="120">
        <v>0</v>
      </c>
      <c r="S28" s="123">
        <v>0</v>
      </c>
      <c r="T28" s="121">
        <v>0</v>
      </c>
      <c r="U28" s="130">
        <v>0</v>
      </c>
      <c r="V28" s="123">
        <v>0</v>
      </c>
      <c r="W28" s="123">
        <v>0</v>
      </c>
      <c r="X28" s="40">
        <f t="shared" ref="X28" si="6">+G28-(SUM(I28:W28))</f>
        <v>42</v>
      </c>
      <c r="Y28" s="126"/>
      <c r="Z28" s="126"/>
      <c r="AA28" s="126"/>
      <c r="AB28" s="126"/>
      <c r="AC28" s="126"/>
      <c r="AD28" s="126"/>
      <c r="AE28" s="148">
        <f t="shared" ref="AE28" si="7">X28-SUM(AA28:AD28)</f>
        <v>42</v>
      </c>
      <c r="AF28" s="127"/>
      <c r="AG28" s="119"/>
      <c r="AH28" s="119"/>
    </row>
    <row r="29" spans="1:34" s="41" customFormat="1">
      <c r="A29" s="118"/>
      <c r="B29" s="42"/>
      <c r="C29" s="42"/>
      <c r="D29" s="119"/>
      <c r="E29" s="119"/>
      <c r="F29" s="42"/>
      <c r="G29" s="120"/>
      <c r="H29" s="124"/>
      <c r="I29" s="121">
        <v>0</v>
      </c>
      <c r="J29" s="122">
        <v>0</v>
      </c>
      <c r="K29" s="128">
        <v>0</v>
      </c>
      <c r="L29" s="123">
        <v>0</v>
      </c>
      <c r="M29" s="121">
        <v>0</v>
      </c>
      <c r="N29" s="124">
        <v>0</v>
      </c>
      <c r="O29" s="120">
        <v>0</v>
      </c>
      <c r="P29" s="125">
        <v>0</v>
      </c>
      <c r="Q29" s="123">
        <v>0</v>
      </c>
      <c r="R29" s="120">
        <v>0</v>
      </c>
      <c r="S29" s="123">
        <v>0</v>
      </c>
      <c r="T29" s="121">
        <v>0</v>
      </c>
      <c r="U29" s="130">
        <v>0</v>
      </c>
      <c r="V29" s="123">
        <v>0</v>
      </c>
      <c r="W29" s="123">
        <v>0</v>
      </c>
      <c r="X29" s="40">
        <f t="shared" si="0"/>
        <v>0</v>
      </c>
      <c r="Y29" s="126"/>
      <c r="Z29" s="126"/>
      <c r="AA29" s="126"/>
      <c r="AB29" s="126"/>
      <c r="AC29" s="126"/>
      <c r="AD29" s="126"/>
      <c r="AE29" s="148">
        <f t="shared" si="1"/>
        <v>0</v>
      </c>
      <c r="AF29" s="127"/>
      <c r="AG29" s="119"/>
      <c r="AH29" s="119"/>
    </row>
    <row r="30" spans="1:34" s="41" customFormat="1">
      <c r="A30" s="118"/>
      <c r="B30" s="42"/>
      <c r="C30" s="42"/>
      <c r="D30" s="119"/>
      <c r="E30" s="119"/>
      <c r="F30" s="42"/>
      <c r="G30" s="120"/>
      <c r="H30" s="124"/>
      <c r="I30" s="121">
        <v>0</v>
      </c>
      <c r="J30" s="122">
        <v>0</v>
      </c>
      <c r="K30" s="128">
        <v>0</v>
      </c>
      <c r="L30" s="123">
        <v>0</v>
      </c>
      <c r="M30" s="121">
        <v>0</v>
      </c>
      <c r="N30" s="124">
        <v>0</v>
      </c>
      <c r="O30" s="120">
        <v>0</v>
      </c>
      <c r="P30" s="125">
        <v>0</v>
      </c>
      <c r="Q30" s="123">
        <v>0</v>
      </c>
      <c r="R30" s="120">
        <v>0</v>
      </c>
      <c r="S30" s="123">
        <v>0</v>
      </c>
      <c r="T30" s="121">
        <v>0</v>
      </c>
      <c r="U30" s="130">
        <v>0</v>
      </c>
      <c r="V30" s="123">
        <v>0</v>
      </c>
      <c r="W30" s="123">
        <v>0</v>
      </c>
      <c r="X30" s="40">
        <f t="shared" si="0"/>
        <v>0</v>
      </c>
      <c r="Y30" s="126"/>
      <c r="Z30" s="126"/>
      <c r="AA30" s="126"/>
      <c r="AB30" s="126"/>
      <c r="AC30" s="126"/>
      <c r="AD30" s="126"/>
      <c r="AE30" s="148">
        <f t="shared" si="1"/>
        <v>0</v>
      </c>
      <c r="AF30" s="127"/>
      <c r="AG30" s="119"/>
      <c r="AH30" s="119"/>
    </row>
    <row r="31" spans="1:34" s="41" customFormat="1">
      <c r="A31" s="118"/>
      <c r="B31" s="42"/>
      <c r="C31" s="42"/>
      <c r="D31" s="119"/>
      <c r="E31" s="119"/>
      <c r="F31" s="42"/>
      <c r="G31" s="120"/>
      <c r="H31" s="124"/>
      <c r="I31" s="121">
        <v>0</v>
      </c>
      <c r="J31" s="122">
        <v>0</v>
      </c>
      <c r="K31" s="128">
        <v>0</v>
      </c>
      <c r="L31" s="123">
        <v>0</v>
      </c>
      <c r="M31" s="121">
        <v>0</v>
      </c>
      <c r="N31" s="124">
        <v>0</v>
      </c>
      <c r="O31" s="120">
        <v>0</v>
      </c>
      <c r="P31" s="125">
        <v>0</v>
      </c>
      <c r="Q31" s="123">
        <v>0</v>
      </c>
      <c r="R31" s="120">
        <v>0</v>
      </c>
      <c r="S31" s="123">
        <v>0</v>
      </c>
      <c r="T31" s="121">
        <v>0</v>
      </c>
      <c r="U31" s="130">
        <v>0</v>
      </c>
      <c r="V31" s="123">
        <v>0</v>
      </c>
      <c r="W31" s="123">
        <v>0</v>
      </c>
      <c r="X31" s="40">
        <f t="shared" si="0"/>
        <v>0</v>
      </c>
      <c r="Y31" s="126"/>
      <c r="Z31" s="126"/>
      <c r="AA31" s="126"/>
      <c r="AB31" s="126"/>
      <c r="AC31" s="126"/>
      <c r="AD31" s="126"/>
      <c r="AE31" s="148">
        <f t="shared" si="1"/>
        <v>0</v>
      </c>
      <c r="AF31" s="127"/>
      <c r="AG31" s="119"/>
      <c r="AH31" s="119"/>
    </row>
    <row r="32" spans="1:34" s="41" customFormat="1">
      <c r="A32" s="118"/>
      <c r="B32" s="42"/>
      <c r="C32" s="42"/>
      <c r="D32" s="119"/>
      <c r="E32" s="119"/>
      <c r="F32" s="42"/>
      <c r="G32" s="120"/>
      <c r="H32" s="124"/>
      <c r="I32" s="121">
        <v>0</v>
      </c>
      <c r="J32" s="122">
        <v>0</v>
      </c>
      <c r="K32" s="128">
        <v>0</v>
      </c>
      <c r="L32" s="123">
        <v>0</v>
      </c>
      <c r="M32" s="121">
        <v>0</v>
      </c>
      <c r="N32" s="124">
        <v>0</v>
      </c>
      <c r="O32" s="120">
        <v>0</v>
      </c>
      <c r="P32" s="125">
        <v>0</v>
      </c>
      <c r="Q32" s="123">
        <v>0</v>
      </c>
      <c r="R32" s="120">
        <v>0</v>
      </c>
      <c r="S32" s="123">
        <v>0</v>
      </c>
      <c r="T32" s="121">
        <v>0</v>
      </c>
      <c r="U32" s="130">
        <v>0</v>
      </c>
      <c r="V32" s="123">
        <v>0</v>
      </c>
      <c r="W32" s="123">
        <v>0</v>
      </c>
      <c r="X32" s="40">
        <f t="shared" si="0"/>
        <v>0</v>
      </c>
      <c r="Y32" s="126"/>
      <c r="Z32" s="126"/>
      <c r="AA32" s="126"/>
      <c r="AB32" s="126"/>
      <c r="AC32" s="126"/>
      <c r="AD32" s="126"/>
      <c r="AE32" s="148">
        <f t="shared" si="1"/>
        <v>0</v>
      </c>
      <c r="AF32" s="127"/>
      <c r="AG32" s="119"/>
      <c r="AH32" s="119"/>
    </row>
    <row r="33" spans="1:34" s="41" customFormat="1">
      <c r="A33" s="118"/>
      <c r="B33" s="42"/>
      <c r="C33" s="42"/>
      <c r="D33" s="119"/>
      <c r="E33" s="119"/>
      <c r="F33" s="42"/>
      <c r="G33" s="120"/>
      <c r="H33" s="124"/>
      <c r="I33" s="121">
        <v>0</v>
      </c>
      <c r="J33" s="122">
        <v>0</v>
      </c>
      <c r="K33" s="128">
        <v>0</v>
      </c>
      <c r="L33" s="123">
        <v>0</v>
      </c>
      <c r="M33" s="121">
        <v>0</v>
      </c>
      <c r="N33" s="124">
        <v>0</v>
      </c>
      <c r="O33" s="120">
        <v>0</v>
      </c>
      <c r="P33" s="125">
        <v>0</v>
      </c>
      <c r="Q33" s="123">
        <v>0</v>
      </c>
      <c r="R33" s="120">
        <v>0</v>
      </c>
      <c r="S33" s="123">
        <v>0</v>
      </c>
      <c r="T33" s="121">
        <v>0</v>
      </c>
      <c r="U33" s="130">
        <v>0</v>
      </c>
      <c r="V33" s="123">
        <v>0</v>
      </c>
      <c r="W33" s="123">
        <v>0</v>
      </c>
      <c r="X33" s="40">
        <f t="shared" si="0"/>
        <v>0</v>
      </c>
      <c r="Y33" s="126"/>
      <c r="Z33" s="126"/>
      <c r="AA33" s="126"/>
      <c r="AB33" s="126"/>
      <c r="AC33" s="126"/>
      <c r="AD33" s="126"/>
      <c r="AE33" s="148">
        <f t="shared" si="1"/>
        <v>0</v>
      </c>
      <c r="AF33" s="127"/>
      <c r="AG33" s="119"/>
      <c r="AH33" s="119"/>
    </row>
    <row r="34" spans="1:34" s="41" customFormat="1">
      <c r="A34" s="118"/>
      <c r="B34" s="42"/>
      <c r="C34" s="42"/>
      <c r="D34" s="119"/>
      <c r="E34" s="119"/>
      <c r="F34" s="42"/>
      <c r="G34" s="120"/>
      <c r="H34" s="124"/>
      <c r="I34" s="121">
        <v>0</v>
      </c>
      <c r="J34" s="122">
        <v>0</v>
      </c>
      <c r="K34" s="128">
        <v>0</v>
      </c>
      <c r="L34" s="123">
        <v>0</v>
      </c>
      <c r="M34" s="121">
        <v>0</v>
      </c>
      <c r="N34" s="124">
        <v>0</v>
      </c>
      <c r="O34" s="120">
        <v>0</v>
      </c>
      <c r="P34" s="125">
        <v>0</v>
      </c>
      <c r="Q34" s="123">
        <v>0</v>
      </c>
      <c r="R34" s="120">
        <v>0</v>
      </c>
      <c r="S34" s="123">
        <v>0</v>
      </c>
      <c r="T34" s="121">
        <v>0</v>
      </c>
      <c r="U34" s="130">
        <v>0</v>
      </c>
      <c r="V34" s="123">
        <v>0</v>
      </c>
      <c r="W34" s="123">
        <v>0</v>
      </c>
      <c r="X34" s="40">
        <f t="shared" si="0"/>
        <v>0</v>
      </c>
      <c r="Y34" s="126"/>
      <c r="Z34" s="126"/>
      <c r="AA34" s="126"/>
      <c r="AB34" s="126"/>
      <c r="AC34" s="126"/>
      <c r="AD34" s="126"/>
      <c r="AE34" s="148">
        <f t="shared" si="1"/>
        <v>0</v>
      </c>
      <c r="AF34" s="127"/>
      <c r="AG34" s="119"/>
      <c r="AH34" s="119"/>
    </row>
    <row r="35" spans="1:34" s="41" customFormat="1">
      <c r="A35" s="118"/>
      <c r="B35" s="42"/>
      <c r="C35" s="42"/>
      <c r="D35" s="119"/>
      <c r="E35" s="119"/>
      <c r="F35" s="42"/>
      <c r="G35" s="120"/>
      <c r="H35" s="124"/>
      <c r="I35" s="121">
        <v>0</v>
      </c>
      <c r="J35" s="122">
        <v>0</v>
      </c>
      <c r="K35" s="128">
        <v>0</v>
      </c>
      <c r="L35" s="123">
        <v>0</v>
      </c>
      <c r="M35" s="121">
        <v>0</v>
      </c>
      <c r="N35" s="124">
        <v>0</v>
      </c>
      <c r="O35" s="120">
        <v>0</v>
      </c>
      <c r="P35" s="125">
        <v>0</v>
      </c>
      <c r="Q35" s="123">
        <v>0</v>
      </c>
      <c r="R35" s="120">
        <v>0</v>
      </c>
      <c r="S35" s="123">
        <v>0</v>
      </c>
      <c r="T35" s="121">
        <v>0</v>
      </c>
      <c r="U35" s="130">
        <v>0</v>
      </c>
      <c r="V35" s="123">
        <v>0</v>
      </c>
      <c r="W35" s="123">
        <v>0</v>
      </c>
      <c r="X35" s="40">
        <f t="shared" si="0"/>
        <v>0</v>
      </c>
      <c r="Y35" s="126"/>
      <c r="Z35" s="126"/>
      <c r="AA35" s="126"/>
      <c r="AB35" s="126"/>
      <c r="AC35" s="126"/>
      <c r="AD35" s="126"/>
      <c r="AE35" s="148">
        <f t="shared" si="1"/>
        <v>0</v>
      </c>
      <c r="AF35" s="127"/>
      <c r="AG35" s="119"/>
      <c r="AH35" s="119"/>
    </row>
    <row r="36" spans="1:34" s="41" customFormat="1">
      <c r="A36" s="118"/>
      <c r="B36" s="42"/>
      <c r="C36" s="42"/>
      <c r="D36" s="119"/>
      <c r="E36" s="119"/>
      <c r="F36" s="42"/>
      <c r="G36" s="120"/>
      <c r="H36" s="124"/>
      <c r="I36" s="121">
        <v>0</v>
      </c>
      <c r="J36" s="122">
        <v>0</v>
      </c>
      <c r="K36" s="128">
        <v>0</v>
      </c>
      <c r="L36" s="123">
        <v>0</v>
      </c>
      <c r="M36" s="121">
        <v>0</v>
      </c>
      <c r="N36" s="124">
        <v>0</v>
      </c>
      <c r="O36" s="120">
        <v>0</v>
      </c>
      <c r="P36" s="125">
        <v>0</v>
      </c>
      <c r="Q36" s="123">
        <v>0</v>
      </c>
      <c r="R36" s="120">
        <v>0</v>
      </c>
      <c r="S36" s="123">
        <v>0</v>
      </c>
      <c r="T36" s="121">
        <v>0</v>
      </c>
      <c r="U36" s="130">
        <v>0</v>
      </c>
      <c r="V36" s="123">
        <v>0</v>
      </c>
      <c r="W36" s="123">
        <v>0</v>
      </c>
      <c r="X36" s="40">
        <f t="shared" si="0"/>
        <v>0</v>
      </c>
      <c r="Y36" s="126"/>
      <c r="Z36" s="126"/>
      <c r="AA36" s="126"/>
      <c r="AB36" s="126"/>
      <c r="AC36" s="126"/>
      <c r="AD36" s="126"/>
      <c r="AE36" s="148">
        <f t="shared" si="1"/>
        <v>0</v>
      </c>
      <c r="AF36" s="127"/>
      <c r="AG36" s="119"/>
      <c r="AH36" s="119"/>
    </row>
    <row r="37" spans="1:34" s="41" customFormat="1">
      <c r="A37" s="118"/>
      <c r="B37" s="42"/>
      <c r="C37" s="42"/>
      <c r="D37" s="119"/>
      <c r="E37" s="119"/>
      <c r="F37" s="42"/>
      <c r="G37" s="120"/>
      <c r="H37" s="124"/>
      <c r="I37" s="121">
        <v>0</v>
      </c>
      <c r="J37" s="122">
        <v>0</v>
      </c>
      <c r="K37" s="128">
        <v>0</v>
      </c>
      <c r="L37" s="123">
        <v>0</v>
      </c>
      <c r="M37" s="121">
        <v>0</v>
      </c>
      <c r="N37" s="124">
        <v>0</v>
      </c>
      <c r="O37" s="120">
        <v>0</v>
      </c>
      <c r="P37" s="125">
        <v>0</v>
      </c>
      <c r="Q37" s="123">
        <v>0</v>
      </c>
      <c r="R37" s="120">
        <v>0</v>
      </c>
      <c r="S37" s="123">
        <v>0</v>
      </c>
      <c r="T37" s="121">
        <v>0</v>
      </c>
      <c r="U37" s="130">
        <v>0</v>
      </c>
      <c r="V37" s="123">
        <v>0</v>
      </c>
      <c r="W37" s="123">
        <v>0</v>
      </c>
      <c r="X37" s="40">
        <f t="shared" ref="X37:X66" si="8">+G37-(SUM(I37:W37))</f>
        <v>0</v>
      </c>
      <c r="Y37" s="126"/>
      <c r="Z37" s="126"/>
      <c r="AA37" s="126"/>
      <c r="AB37" s="126"/>
      <c r="AC37" s="126"/>
      <c r="AD37" s="126"/>
      <c r="AE37" s="148">
        <f t="shared" si="1"/>
        <v>0</v>
      </c>
      <c r="AF37" s="127"/>
      <c r="AG37" s="119"/>
      <c r="AH37" s="119"/>
    </row>
    <row r="38" spans="1:34" s="41" customFormat="1">
      <c r="A38" s="118"/>
      <c r="B38" s="42"/>
      <c r="C38" s="42"/>
      <c r="D38" s="119"/>
      <c r="E38" s="119"/>
      <c r="F38" s="42"/>
      <c r="G38" s="120"/>
      <c r="H38" s="124"/>
      <c r="I38" s="121">
        <v>0</v>
      </c>
      <c r="J38" s="122">
        <v>0</v>
      </c>
      <c r="K38" s="128">
        <v>0</v>
      </c>
      <c r="L38" s="123">
        <v>0</v>
      </c>
      <c r="M38" s="121">
        <v>0</v>
      </c>
      <c r="N38" s="124">
        <v>0</v>
      </c>
      <c r="O38" s="120">
        <v>0</v>
      </c>
      <c r="P38" s="125">
        <v>0</v>
      </c>
      <c r="Q38" s="123">
        <v>0</v>
      </c>
      <c r="R38" s="120">
        <v>0</v>
      </c>
      <c r="S38" s="123">
        <v>0</v>
      </c>
      <c r="T38" s="121">
        <v>0</v>
      </c>
      <c r="U38" s="130">
        <v>0</v>
      </c>
      <c r="V38" s="123">
        <v>0</v>
      </c>
      <c r="W38" s="123">
        <v>0</v>
      </c>
      <c r="X38" s="40">
        <f t="shared" si="8"/>
        <v>0</v>
      </c>
      <c r="Y38" s="126"/>
      <c r="Z38" s="126"/>
      <c r="AA38" s="126"/>
      <c r="AB38" s="126"/>
      <c r="AC38" s="126"/>
      <c r="AD38" s="126"/>
      <c r="AE38" s="148">
        <f t="shared" si="1"/>
        <v>0</v>
      </c>
      <c r="AF38" s="127"/>
      <c r="AG38" s="119"/>
      <c r="AH38" s="119"/>
    </row>
    <row r="39" spans="1:34" s="41" customFormat="1">
      <c r="A39" s="118"/>
      <c r="B39" s="42"/>
      <c r="C39" s="42"/>
      <c r="D39" s="119"/>
      <c r="E39" s="119"/>
      <c r="F39" s="42"/>
      <c r="G39" s="120"/>
      <c r="H39" s="124"/>
      <c r="I39" s="121">
        <v>0</v>
      </c>
      <c r="J39" s="122">
        <v>0</v>
      </c>
      <c r="K39" s="128">
        <v>0</v>
      </c>
      <c r="L39" s="123">
        <v>0</v>
      </c>
      <c r="M39" s="121">
        <v>0</v>
      </c>
      <c r="N39" s="124">
        <v>0</v>
      </c>
      <c r="O39" s="120">
        <v>0</v>
      </c>
      <c r="P39" s="125">
        <v>0</v>
      </c>
      <c r="Q39" s="123">
        <v>0</v>
      </c>
      <c r="R39" s="120">
        <v>0</v>
      </c>
      <c r="S39" s="123">
        <v>0</v>
      </c>
      <c r="T39" s="121">
        <v>0</v>
      </c>
      <c r="U39" s="130">
        <v>0</v>
      </c>
      <c r="V39" s="123">
        <v>0</v>
      </c>
      <c r="W39" s="123">
        <v>0</v>
      </c>
      <c r="X39" s="40">
        <f t="shared" si="8"/>
        <v>0</v>
      </c>
      <c r="Y39" s="126"/>
      <c r="Z39" s="126"/>
      <c r="AA39" s="126"/>
      <c r="AB39" s="126"/>
      <c r="AC39" s="126"/>
      <c r="AD39" s="126"/>
      <c r="AE39" s="148">
        <f t="shared" si="1"/>
        <v>0</v>
      </c>
      <c r="AF39" s="127"/>
      <c r="AG39" s="119"/>
      <c r="AH39" s="119"/>
    </row>
    <row r="40" spans="1:34" s="41" customFormat="1">
      <c r="A40" s="118"/>
      <c r="B40" s="42"/>
      <c r="C40" s="42"/>
      <c r="D40" s="119"/>
      <c r="E40" s="119"/>
      <c r="F40" s="42"/>
      <c r="G40" s="120"/>
      <c r="H40" s="124"/>
      <c r="I40" s="121">
        <v>0</v>
      </c>
      <c r="J40" s="122">
        <v>0</v>
      </c>
      <c r="K40" s="128">
        <v>0</v>
      </c>
      <c r="L40" s="123">
        <v>0</v>
      </c>
      <c r="M40" s="121">
        <v>0</v>
      </c>
      <c r="N40" s="124">
        <v>0</v>
      </c>
      <c r="O40" s="120">
        <v>0</v>
      </c>
      <c r="P40" s="125">
        <v>0</v>
      </c>
      <c r="Q40" s="123">
        <v>0</v>
      </c>
      <c r="R40" s="120">
        <v>0</v>
      </c>
      <c r="S40" s="123">
        <v>0</v>
      </c>
      <c r="T40" s="121">
        <v>0</v>
      </c>
      <c r="U40" s="130">
        <v>0</v>
      </c>
      <c r="V40" s="123">
        <v>0</v>
      </c>
      <c r="W40" s="123">
        <v>0</v>
      </c>
      <c r="X40" s="40">
        <f t="shared" si="8"/>
        <v>0</v>
      </c>
      <c r="Y40" s="126"/>
      <c r="Z40" s="126"/>
      <c r="AA40" s="126"/>
      <c r="AB40" s="126"/>
      <c r="AC40" s="126"/>
      <c r="AD40" s="126"/>
      <c r="AE40" s="148">
        <f t="shared" si="1"/>
        <v>0</v>
      </c>
      <c r="AF40" s="127"/>
      <c r="AG40" s="119"/>
      <c r="AH40" s="119"/>
    </row>
    <row r="41" spans="1:34" s="41" customFormat="1">
      <c r="A41" s="118"/>
      <c r="B41" s="42"/>
      <c r="C41" s="42"/>
      <c r="D41" s="119"/>
      <c r="E41" s="119"/>
      <c r="F41" s="42"/>
      <c r="G41" s="120"/>
      <c r="H41" s="124"/>
      <c r="I41" s="121">
        <v>0</v>
      </c>
      <c r="J41" s="122">
        <v>0</v>
      </c>
      <c r="K41" s="128">
        <v>0</v>
      </c>
      <c r="L41" s="123">
        <v>0</v>
      </c>
      <c r="M41" s="121">
        <v>0</v>
      </c>
      <c r="N41" s="124">
        <v>0</v>
      </c>
      <c r="O41" s="120">
        <v>0</v>
      </c>
      <c r="P41" s="125">
        <v>0</v>
      </c>
      <c r="Q41" s="123">
        <v>0</v>
      </c>
      <c r="R41" s="120">
        <v>0</v>
      </c>
      <c r="S41" s="123">
        <v>0</v>
      </c>
      <c r="T41" s="121">
        <v>0</v>
      </c>
      <c r="U41" s="130">
        <v>0</v>
      </c>
      <c r="V41" s="123">
        <v>0</v>
      </c>
      <c r="W41" s="123">
        <v>0</v>
      </c>
      <c r="X41" s="40">
        <f t="shared" si="8"/>
        <v>0</v>
      </c>
      <c r="Y41" s="126"/>
      <c r="Z41" s="126"/>
      <c r="AA41" s="126"/>
      <c r="AB41" s="126"/>
      <c r="AC41" s="126"/>
      <c r="AD41" s="126"/>
      <c r="AE41" s="148">
        <f t="shared" si="1"/>
        <v>0</v>
      </c>
      <c r="AF41" s="127"/>
      <c r="AG41" s="119"/>
      <c r="AH41" s="119"/>
    </row>
    <row r="42" spans="1:34" s="41" customFormat="1">
      <c r="A42" s="118"/>
      <c r="B42" s="42"/>
      <c r="C42" s="42"/>
      <c r="D42" s="119"/>
      <c r="E42" s="119"/>
      <c r="F42" s="42"/>
      <c r="G42" s="120"/>
      <c r="H42" s="124"/>
      <c r="I42" s="121">
        <v>0</v>
      </c>
      <c r="J42" s="122">
        <v>0</v>
      </c>
      <c r="K42" s="128">
        <v>0</v>
      </c>
      <c r="L42" s="123">
        <v>0</v>
      </c>
      <c r="M42" s="121">
        <v>0</v>
      </c>
      <c r="N42" s="124">
        <v>0</v>
      </c>
      <c r="O42" s="120">
        <v>0</v>
      </c>
      <c r="P42" s="125">
        <v>0</v>
      </c>
      <c r="Q42" s="123">
        <v>0</v>
      </c>
      <c r="R42" s="120">
        <v>0</v>
      </c>
      <c r="S42" s="123">
        <v>0</v>
      </c>
      <c r="T42" s="121">
        <v>0</v>
      </c>
      <c r="U42" s="130">
        <v>0</v>
      </c>
      <c r="V42" s="123">
        <v>0</v>
      </c>
      <c r="W42" s="123">
        <v>0</v>
      </c>
      <c r="X42" s="40">
        <f t="shared" si="8"/>
        <v>0</v>
      </c>
      <c r="Y42" s="126"/>
      <c r="Z42" s="126"/>
      <c r="AA42" s="126"/>
      <c r="AB42" s="126"/>
      <c r="AC42" s="126"/>
      <c r="AD42" s="126"/>
      <c r="AE42" s="148">
        <f t="shared" si="1"/>
        <v>0</v>
      </c>
      <c r="AF42" s="127"/>
      <c r="AG42" s="119"/>
      <c r="AH42" s="119"/>
    </row>
    <row r="43" spans="1:34" s="41" customFormat="1">
      <c r="A43" s="118"/>
      <c r="B43" s="42"/>
      <c r="C43" s="42"/>
      <c r="D43" s="119"/>
      <c r="E43" s="119"/>
      <c r="F43" s="42"/>
      <c r="G43" s="120"/>
      <c r="H43" s="124"/>
      <c r="I43" s="121">
        <v>0</v>
      </c>
      <c r="J43" s="122">
        <v>0</v>
      </c>
      <c r="K43" s="128">
        <v>0</v>
      </c>
      <c r="L43" s="123">
        <v>0</v>
      </c>
      <c r="M43" s="121">
        <v>0</v>
      </c>
      <c r="N43" s="124">
        <v>0</v>
      </c>
      <c r="O43" s="120">
        <v>0</v>
      </c>
      <c r="P43" s="125">
        <v>0</v>
      </c>
      <c r="Q43" s="123">
        <v>0</v>
      </c>
      <c r="R43" s="120">
        <v>0</v>
      </c>
      <c r="S43" s="123">
        <v>0</v>
      </c>
      <c r="T43" s="121">
        <v>0</v>
      </c>
      <c r="U43" s="130">
        <v>0</v>
      </c>
      <c r="V43" s="123">
        <v>0</v>
      </c>
      <c r="W43" s="123">
        <v>0</v>
      </c>
      <c r="X43" s="40">
        <f t="shared" si="8"/>
        <v>0</v>
      </c>
      <c r="Y43" s="126"/>
      <c r="Z43" s="126"/>
      <c r="AA43" s="126"/>
      <c r="AB43" s="126"/>
      <c r="AC43" s="126"/>
      <c r="AD43" s="126"/>
      <c r="AE43" s="148">
        <f t="shared" si="1"/>
        <v>0</v>
      </c>
      <c r="AF43" s="127"/>
      <c r="AG43" s="119"/>
      <c r="AH43" s="119"/>
    </row>
    <row r="44" spans="1:34" s="41" customFormat="1">
      <c r="A44" s="118"/>
      <c r="B44" s="42"/>
      <c r="C44" s="42"/>
      <c r="D44" s="119"/>
      <c r="E44" s="119"/>
      <c r="F44" s="42"/>
      <c r="G44" s="120"/>
      <c r="H44" s="124"/>
      <c r="I44" s="121">
        <v>0</v>
      </c>
      <c r="J44" s="122">
        <v>0</v>
      </c>
      <c r="K44" s="128">
        <v>0</v>
      </c>
      <c r="L44" s="123">
        <v>0</v>
      </c>
      <c r="M44" s="121">
        <v>0</v>
      </c>
      <c r="N44" s="124">
        <v>0</v>
      </c>
      <c r="O44" s="120">
        <v>0</v>
      </c>
      <c r="P44" s="125">
        <v>0</v>
      </c>
      <c r="Q44" s="123">
        <v>0</v>
      </c>
      <c r="R44" s="120">
        <v>0</v>
      </c>
      <c r="S44" s="123">
        <v>0</v>
      </c>
      <c r="T44" s="121">
        <v>0</v>
      </c>
      <c r="U44" s="130">
        <v>0</v>
      </c>
      <c r="V44" s="123">
        <v>0</v>
      </c>
      <c r="W44" s="123">
        <v>0</v>
      </c>
      <c r="X44" s="40">
        <f t="shared" si="8"/>
        <v>0</v>
      </c>
      <c r="Y44" s="126"/>
      <c r="Z44" s="126"/>
      <c r="AA44" s="126"/>
      <c r="AB44" s="126"/>
      <c r="AC44" s="126"/>
      <c r="AD44" s="126"/>
      <c r="AE44" s="148">
        <f t="shared" si="1"/>
        <v>0</v>
      </c>
      <c r="AF44" s="127"/>
      <c r="AG44" s="119"/>
      <c r="AH44" s="119"/>
    </row>
    <row r="45" spans="1:34" s="41" customFormat="1">
      <c r="A45" s="118"/>
      <c r="B45" s="42"/>
      <c r="C45" s="42"/>
      <c r="D45" s="119"/>
      <c r="E45" s="119"/>
      <c r="F45" s="42"/>
      <c r="G45" s="120"/>
      <c r="H45" s="124"/>
      <c r="I45" s="121">
        <v>0</v>
      </c>
      <c r="J45" s="122">
        <v>0</v>
      </c>
      <c r="K45" s="128">
        <v>0</v>
      </c>
      <c r="L45" s="123">
        <v>0</v>
      </c>
      <c r="M45" s="121">
        <v>0</v>
      </c>
      <c r="N45" s="124">
        <v>0</v>
      </c>
      <c r="O45" s="120">
        <v>0</v>
      </c>
      <c r="P45" s="125">
        <v>0</v>
      </c>
      <c r="Q45" s="123">
        <v>0</v>
      </c>
      <c r="R45" s="120">
        <v>0</v>
      </c>
      <c r="S45" s="123">
        <v>0</v>
      </c>
      <c r="T45" s="121">
        <v>0</v>
      </c>
      <c r="U45" s="130">
        <v>0</v>
      </c>
      <c r="V45" s="123">
        <v>0</v>
      </c>
      <c r="W45" s="123">
        <v>0</v>
      </c>
      <c r="X45" s="40">
        <f t="shared" si="8"/>
        <v>0</v>
      </c>
      <c r="Y45" s="126"/>
      <c r="Z45" s="126"/>
      <c r="AA45" s="126"/>
      <c r="AB45" s="126"/>
      <c r="AC45" s="126"/>
      <c r="AD45" s="126"/>
      <c r="AE45" s="148">
        <f t="shared" si="1"/>
        <v>0</v>
      </c>
      <c r="AF45" s="127"/>
      <c r="AG45" s="119"/>
      <c r="AH45" s="119"/>
    </row>
    <row r="46" spans="1:34" s="41" customFormat="1">
      <c r="A46" s="118"/>
      <c r="B46" s="42"/>
      <c r="C46" s="42"/>
      <c r="D46" s="119"/>
      <c r="E46" s="119"/>
      <c r="F46" s="42"/>
      <c r="G46" s="120"/>
      <c r="H46" s="124"/>
      <c r="I46" s="121">
        <v>0</v>
      </c>
      <c r="J46" s="122">
        <v>0</v>
      </c>
      <c r="K46" s="128">
        <v>0</v>
      </c>
      <c r="L46" s="123">
        <v>0</v>
      </c>
      <c r="M46" s="121">
        <v>0</v>
      </c>
      <c r="N46" s="124">
        <v>0</v>
      </c>
      <c r="O46" s="120">
        <v>0</v>
      </c>
      <c r="P46" s="125">
        <v>0</v>
      </c>
      <c r="Q46" s="123">
        <v>0</v>
      </c>
      <c r="R46" s="120">
        <v>0</v>
      </c>
      <c r="S46" s="123">
        <v>0</v>
      </c>
      <c r="T46" s="121">
        <v>0</v>
      </c>
      <c r="U46" s="130">
        <v>0</v>
      </c>
      <c r="V46" s="123">
        <v>0</v>
      </c>
      <c r="W46" s="123">
        <v>0</v>
      </c>
      <c r="X46" s="40">
        <f t="shared" si="8"/>
        <v>0</v>
      </c>
      <c r="Y46" s="126"/>
      <c r="Z46" s="126"/>
      <c r="AA46" s="126"/>
      <c r="AB46" s="126"/>
      <c r="AC46" s="126"/>
      <c r="AD46" s="126"/>
      <c r="AE46" s="148">
        <f t="shared" si="1"/>
        <v>0</v>
      </c>
      <c r="AF46" s="127"/>
      <c r="AG46" s="119"/>
      <c r="AH46" s="119"/>
    </row>
    <row r="47" spans="1:34" s="41" customFormat="1">
      <c r="A47" s="118"/>
      <c r="B47" s="42"/>
      <c r="C47" s="42"/>
      <c r="D47" s="119"/>
      <c r="E47" s="119"/>
      <c r="F47" s="42"/>
      <c r="G47" s="120"/>
      <c r="H47" s="124"/>
      <c r="I47" s="121">
        <v>0</v>
      </c>
      <c r="J47" s="122">
        <v>0</v>
      </c>
      <c r="K47" s="128">
        <v>0</v>
      </c>
      <c r="L47" s="123">
        <v>0</v>
      </c>
      <c r="M47" s="121">
        <v>0</v>
      </c>
      <c r="N47" s="124">
        <v>0</v>
      </c>
      <c r="O47" s="120">
        <v>0</v>
      </c>
      <c r="P47" s="125">
        <v>0</v>
      </c>
      <c r="Q47" s="123">
        <v>0</v>
      </c>
      <c r="R47" s="120">
        <v>0</v>
      </c>
      <c r="S47" s="123">
        <v>0</v>
      </c>
      <c r="T47" s="121">
        <v>0</v>
      </c>
      <c r="U47" s="130">
        <v>0</v>
      </c>
      <c r="V47" s="123">
        <v>0</v>
      </c>
      <c r="W47" s="123">
        <v>0</v>
      </c>
      <c r="X47" s="40">
        <f t="shared" si="8"/>
        <v>0</v>
      </c>
      <c r="Y47" s="126"/>
      <c r="Z47" s="126"/>
      <c r="AA47" s="126"/>
      <c r="AB47" s="126"/>
      <c r="AC47" s="126"/>
      <c r="AD47" s="126"/>
      <c r="AE47" s="148">
        <f t="shared" si="1"/>
        <v>0</v>
      </c>
      <c r="AF47" s="127"/>
      <c r="AG47" s="119"/>
      <c r="AH47" s="119"/>
    </row>
    <row r="48" spans="1:34" s="41" customFormat="1">
      <c r="A48" s="118"/>
      <c r="B48" s="42"/>
      <c r="C48" s="42"/>
      <c r="D48" s="119"/>
      <c r="E48" s="119"/>
      <c r="F48" s="42"/>
      <c r="G48" s="120"/>
      <c r="H48" s="124"/>
      <c r="I48" s="121">
        <v>0</v>
      </c>
      <c r="J48" s="122">
        <v>0</v>
      </c>
      <c r="K48" s="128">
        <v>0</v>
      </c>
      <c r="L48" s="123">
        <v>0</v>
      </c>
      <c r="M48" s="121">
        <v>0</v>
      </c>
      <c r="N48" s="124">
        <v>0</v>
      </c>
      <c r="O48" s="120">
        <v>0</v>
      </c>
      <c r="P48" s="125">
        <v>0</v>
      </c>
      <c r="Q48" s="123">
        <v>0</v>
      </c>
      <c r="R48" s="120">
        <v>0</v>
      </c>
      <c r="S48" s="123">
        <v>0</v>
      </c>
      <c r="T48" s="121">
        <v>0</v>
      </c>
      <c r="U48" s="130">
        <v>0</v>
      </c>
      <c r="V48" s="123">
        <v>0</v>
      </c>
      <c r="W48" s="123">
        <v>0</v>
      </c>
      <c r="X48" s="40">
        <f t="shared" si="8"/>
        <v>0</v>
      </c>
      <c r="Y48" s="126"/>
      <c r="Z48" s="126"/>
      <c r="AA48" s="126"/>
      <c r="AB48" s="126"/>
      <c r="AC48" s="126"/>
      <c r="AD48" s="126"/>
      <c r="AE48" s="148">
        <f t="shared" si="1"/>
        <v>0</v>
      </c>
      <c r="AF48" s="127"/>
      <c r="AG48" s="119"/>
      <c r="AH48" s="119"/>
    </row>
    <row r="49" spans="1:34" s="41" customFormat="1">
      <c r="A49" s="118"/>
      <c r="B49" s="42"/>
      <c r="C49" s="42"/>
      <c r="D49" s="119"/>
      <c r="E49" s="119"/>
      <c r="F49" s="42"/>
      <c r="G49" s="120"/>
      <c r="H49" s="124"/>
      <c r="I49" s="121">
        <v>0</v>
      </c>
      <c r="J49" s="122">
        <v>0</v>
      </c>
      <c r="K49" s="128">
        <v>0</v>
      </c>
      <c r="L49" s="123">
        <v>0</v>
      </c>
      <c r="M49" s="121">
        <v>0</v>
      </c>
      <c r="N49" s="124">
        <v>0</v>
      </c>
      <c r="O49" s="120">
        <v>0</v>
      </c>
      <c r="P49" s="125">
        <v>0</v>
      </c>
      <c r="Q49" s="123">
        <v>0</v>
      </c>
      <c r="R49" s="120">
        <v>0</v>
      </c>
      <c r="S49" s="123">
        <v>0</v>
      </c>
      <c r="T49" s="121">
        <v>0</v>
      </c>
      <c r="U49" s="130">
        <v>0</v>
      </c>
      <c r="V49" s="123">
        <v>0</v>
      </c>
      <c r="W49" s="123">
        <v>0</v>
      </c>
      <c r="X49" s="40">
        <f t="shared" si="8"/>
        <v>0</v>
      </c>
      <c r="Y49" s="126"/>
      <c r="Z49" s="126"/>
      <c r="AA49" s="126"/>
      <c r="AB49" s="126"/>
      <c r="AC49" s="126"/>
      <c r="AD49" s="126"/>
      <c r="AE49" s="148">
        <f t="shared" si="1"/>
        <v>0</v>
      </c>
      <c r="AF49" s="127"/>
      <c r="AG49" s="119"/>
      <c r="AH49" s="119"/>
    </row>
    <row r="50" spans="1:34" s="41" customFormat="1">
      <c r="A50" s="118"/>
      <c r="B50" s="42"/>
      <c r="C50" s="42"/>
      <c r="D50" s="119"/>
      <c r="E50" s="119"/>
      <c r="F50" s="42"/>
      <c r="G50" s="120"/>
      <c r="H50" s="124"/>
      <c r="I50" s="121">
        <v>0</v>
      </c>
      <c r="J50" s="122">
        <v>0</v>
      </c>
      <c r="K50" s="128">
        <v>0</v>
      </c>
      <c r="L50" s="123">
        <v>0</v>
      </c>
      <c r="M50" s="121">
        <v>0</v>
      </c>
      <c r="N50" s="124">
        <v>0</v>
      </c>
      <c r="O50" s="120">
        <v>0</v>
      </c>
      <c r="P50" s="125">
        <v>0</v>
      </c>
      <c r="Q50" s="123">
        <v>0</v>
      </c>
      <c r="R50" s="120">
        <v>0</v>
      </c>
      <c r="S50" s="123">
        <v>0</v>
      </c>
      <c r="T50" s="121">
        <v>0</v>
      </c>
      <c r="U50" s="130">
        <v>0</v>
      </c>
      <c r="V50" s="123">
        <v>0</v>
      </c>
      <c r="W50" s="123">
        <v>0</v>
      </c>
      <c r="X50" s="40">
        <f t="shared" si="8"/>
        <v>0</v>
      </c>
      <c r="Y50" s="126"/>
      <c r="Z50" s="126"/>
      <c r="AA50" s="126"/>
      <c r="AB50" s="126"/>
      <c r="AC50" s="126"/>
      <c r="AD50" s="126"/>
      <c r="AE50" s="148">
        <f t="shared" si="1"/>
        <v>0</v>
      </c>
      <c r="AF50" s="127"/>
      <c r="AG50" s="119"/>
      <c r="AH50" s="119"/>
    </row>
    <row r="51" spans="1:34" s="41" customFormat="1">
      <c r="A51" s="118"/>
      <c r="B51" s="42"/>
      <c r="C51" s="42"/>
      <c r="D51" s="119"/>
      <c r="E51" s="119"/>
      <c r="F51" s="42"/>
      <c r="G51" s="120"/>
      <c r="H51" s="124"/>
      <c r="I51" s="121">
        <v>0</v>
      </c>
      <c r="J51" s="122">
        <v>0</v>
      </c>
      <c r="K51" s="128">
        <v>0</v>
      </c>
      <c r="L51" s="123">
        <v>0</v>
      </c>
      <c r="M51" s="121">
        <v>0</v>
      </c>
      <c r="N51" s="124">
        <v>0</v>
      </c>
      <c r="O51" s="120">
        <v>0</v>
      </c>
      <c r="P51" s="125">
        <v>0</v>
      </c>
      <c r="Q51" s="123">
        <v>0</v>
      </c>
      <c r="R51" s="120">
        <v>0</v>
      </c>
      <c r="S51" s="123">
        <v>0</v>
      </c>
      <c r="T51" s="121">
        <v>0</v>
      </c>
      <c r="U51" s="130">
        <v>0</v>
      </c>
      <c r="V51" s="123">
        <v>0</v>
      </c>
      <c r="W51" s="123">
        <v>0</v>
      </c>
      <c r="X51" s="40">
        <f t="shared" si="8"/>
        <v>0</v>
      </c>
      <c r="Y51" s="126"/>
      <c r="Z51" s="126"/>
      <c r="AA51" s="126"/>
      <c r="AB51" s="126"/>
      <c r="AC51" s="126"/>
      <c r="AD51" s="126"/>
      <c r="AE51" s="148">
        <f t="shared" si="1"/>
        <v>0</v>
      </c>
      <c r="AF51" s="127"/>
      <c r="AG51" s="119"/>
      <c r="AH51" s="119"/>
    </row>
    <row r="52" spans="1:34" s="41" customFormat="1">
      <c r="A52" s="118"/>
      <c r="B52" s="42"/>
      <c r="C52" s="42"/>
      <c r="D52" s="119"/>
      <c r="E52" s="119"/>
      <c r="F52" s="42"/>
      <c r="G52" s="120"/>
      <c r="H52" s="124"/>
      <c r="I52" s="121">
        <v>0</v>
      </c>
      <c r="J52" s="122">
        <v>0</v>
      </c>
      <c r="K52" s="128">
        <v>0</v>
      </c>
      <c r="L52" s="123">
        <v>0</v>
      </c>
      <c r="M52" s="121">
        <v>0</v>
      </c>
      <c r="N52" s="124">
        <v>0</v>
      </c>
      <c r="O52" s="120">
        <v>0</v>
      </c>
      <c r="P52" s="125">
        <v>0</v>
      </c>
      <c r="Q52" s="123">
        <v>0</v>
      </c>
      <c r="R52" s="120">
        <v>0</v>
      </c>
      <c r="S52" s="123">
        <v>0</v>
      </c>
      <c r="T52" s="121">
        <v>0</v>
      </c>
      <c r="U52" s="130">
        <v>0</v>
      </c>
      <c r="V52" s="123">
        <v>0</v>
      </c>
      <c r="W52" s="123">
        <v>0</v>
      </c>
      <c r="X52" s="40">
        <f t="shared" si="8"/>
        <v>0</v>
      </c>
      <c r="Y52" s="126"/>
      <c r="Z52" s="126"/>
      <c r="AA52" s="126"/>
      <c r="AB52" s="126"/>
      <c r="AC52" s="126"/>
      <c r="AD52" s="126"/>
      <c r="AE52" s="148">
        <f t="shared" si="1"/>
        <v>0</v>
      </c>
      <c r="AF52" s="127"/>
      <c r="AG52" s="119"/>
      <c r="AH52" s="119"/>
    </row>
    <row r="53" spans="1:34" s="41" customFormat="1">
      <c r="A53" s="118"/>
      <c r="B53" s="42"/>
      <c r="C53" s="42"/>
      <c r="D53" s="119"/>
      <c r="E53" s="119"/>
      <c r="F53" s="42"/>
      <c r="G53" s="120"/>
      <c r="H53" s="124"/>
      <c r="I53" s="121">
        <v>0</v>
      </c>
      <c r="J53" s="122">
        <v>0</v>
      </c>
      <c r="K53" s="128">
        <v>0</v>
      </c>
      <c r="L53" s="123">
        <v>0</v>
      </c>
      <c r="M53" s="121">
        <v>0</v>
      </c>
      <c r="N53" s="124">
        <v>0</v>
      </c>
      <c r="O53" s="120">
        <v>0</v>
      </c>
      <c r="P53" s="125">
        <v>0</v>
      </c>
      <c r="Q53" s="123">
        <v>0</v>
      </c>
      <c r="R53" s="120">
        <v>0</v>
      </c>
      <c r="S53" s="123">
        <v>0</v>
      </c>
      <c r="T53" s="121">
        <v>0</v>
      </c>
      <c r="U53" s="130">
        <v>0</v>
      </c>
      <c r="V53" s="123">
        <v>0</v>
      </c>
      <c r="W53" s="123">
        <v>0</v>
      </c>
      <c r="X53" s="40">
        <f t="shared" si="8"/>
        <v>0</v>
      </c>
      <c r="Y53" s="126"/>
      <c r="Z53" s="126"/>
      <c r="AA53" s="126"/>
      <c r="AB53" s="126"/>
      <c r="AC53" s="126"/>
      <c r="AD53" s="126"/>
      <c r="AE53" s="148">
        <f t="shared" si="1"/>
        <v>0</v>
      </c>
      <c r="AF53" s="127"/>
      <c r="AG53" s="119"/>
      <c r="AH53" s="119"/>
    </row>
    <row r="54" spans="1:34" s="41" customFormat="1">
      <c r="A54" s="118"/>
      <c r="B54" s="42"/>
      <c r="C54" s="42"/>
      <c r="D54" s="119"/>
      <c r="E54" s="119"/>
      <c r="F54" s="42"/>
      <c r="G54" s="120"/>
      <c r="H54" s="124"/>
      <c r="I54" s="121">
        <v>0</v>
      </c>
      <c r="J54" s="122">
        <v>0</v>
      </c>
      <c r="K54" s="128">
        <v>0</v>
      </c>
      <c r="L54" s="123">
        <v>0</v>
      </c>
      <c r="M54" s="121">
        <v>0</v>
      </c>
      <c r="N54" s="124">
        <v>0</v>
      </c>
      <c r="O54" s="120">
        <v>0</v>
      </c>
      <c r="P54" s="125">
        <v>0</v>
      </c>
      <c r="Q54" s="123">
        <v>0</v>
      </c>
      <c r="R54" s="120">
        <v>0</v>
      </c>
      <c r="S54" s="123">
        <v>0</v>
      </c>
      <c r="T54" s="121">
        <v>0</v>
      </c>
      <c r="U54" s="130">
        <v>0</v>
      </c>
      <c r="V54" s="123">
        <v>0</v>
      </c>
      <c r="W54" s="123">
        <v>0</v>
      </c>
      <c r="X54" s="40">
        <f t="shared" si="8"/>
        <v>0</v>
      </c>
      <c r="Y54" s="126"/>
      <c r="Z54" s="126"/>
      <c r="AA54" s="126"/>
      <c r="AB54" s="126"/>
      <c r="AC54" s="126"/>
      <c r="AD54" s="126"/>
      <c r="AE54" s="148">
        <f t="shared" si="1"/>
        <v>0</v>
      </c>
      <c r="AF54" s="127"/>
      <c r="AG54" s="119"/>
      <c r="AH54" s="119"/>
    </row>
    <row r="55" spans="1:34" s="41" customFormat="1">
      <c r="A55" s="118"/>
      <c r="B55" s="42"/>
      <c r="C55" s="42"/>
      <c r="D55" s="119"/>
      <c r="E55" s="119"/>
      <c r="F55" s="42"/>
      <c r="G55" s="120"/>
      <c r="H55" s="124"/>
      <c r="I55" s="121">
        <v>0</v>
      </c>
      <c r="J55" s="122">
        <v>0</v>
      </c>
      <c r="K55" s="128">
        <v>0</v>
      </c>
      <c r="L55" s="123">
        <v>0</v>
      </c>
      <c r="M55" s="121">
        <v>0</v>
      </c>
      <c r="N55" s="124">
        <v>0</v>
      </c>
      <c r="O55" s="120">
        <v>0</v>
      </c>
      <c r="P55" s="125">
        <v>0</v>
      </c>
      <c r="Q55" s="123">
        <v>0</v>
      </c>
      <c r="R55" s="120">
        <v>0</v>
      </c>
      <c r="S55" s="123">
        <v>0</v>
      </c>
      <c r="T55" s="121">
        <v>0</v>
      </c>
      <c r="U55" s="130">
        <v>0</v>
      </c>
      <c r="V55" s="123">
        <v>0</v>
      </c>
      <c r="W55" s="123">
        <v>0</v>
      </c>
      <c r="X55" s="40">
        <f t="shared" si="8"/>
        <v>0</v>
      </c>
      <c r="Y55" s="126"/>
      <c r="Z55" s="126"/>
      <c r="AA55" s="126"/>
      <c r="AB55" s="126"/>
      <c r="AC55" s="126"/>
      <c r="AD55" s="126"/>
      <c r="AE55" s="148">
        <f t="shared" si="1"/>
        <v>0</v>
      </c>
      <c r="AF55" s="127"/>
      <c r="AG55" s="119"/>
      <c r="AH55" s="119"/>
    </row>
    <row r="56" spans="1:34" s="41" customFormat="1">
      <c r="A56" s="118"/>
      <c r="B56" s="42"/>
      <c r="C56" s="42"/>
      <c r="D56" s="119"/>
      <c r="E56" s="119"/>
      <c r="F56" s="42"/>
      <c r="G56" s="120"/>
      <c r="H56" s="124"/>
      <c r="I56" s="121">
        <v>0</v>
      </c>
      <c r="J56" s="122">
        <v>0</v>
      </c>
      <c r="K56" s="128">
        <v>0</v>
      </c>
      <c r="L56" s="123">
        <v>0</v>
      </c>
      <c r="M56" s="121">
        <v>0</v>
      </c>
      <c r="N56" s="124">
        <v>0</v>
      </c>
      <c r="O56" s="120">
        <v>0</v>
      </c>
      <c r="P56" s="125">
        <v>0</v>
      </c>
      <c r="Q56" s="123">
        <v>0</v>
      </c>
      <c r="R56" s="120">
        <v>0</v>
      </c>
      <c r="S56" s="123">
        <v>0</v>
      </c>
      <c r="T56" s="121">
        <v>0</v>
      </c>
      <c r="U56" s="130">
        <v>0</v>
      </c>
      <c r="V56" s="123">
        <v>0</v>
      </c>
      <c r="W56" s="123">
        <v>0</v>
      </c>
      <c r="X56" s="40">
        <f t="shared" si="8"/>
        <v>0</v>
      </c>
      <c r="Y56" s="126"/>
      <c r="Z56" s="126"/>
      <c r="AA56" s="126"/>
      <c r="AB56" s="126"/>
      <c r="AC56" s="126"/>
      <c r="AD56" s="126"/>
      <c r="AE56" s="148">
        <f t="shared" si="1"/>
        <v>0</v>
      </c>
      <c r="AF56" s="127"/>
      <c r="AG56" s="119"/>
      <c r="AH56" s="119"/>
    </row>
    <row r="57" spans="1:34" s="41" customFormat="1">
      <c r="A57" s="118"/>
      <c r="B57" s="42"/>
      <c r="C57" s="42"/>
      <c r="D57" s="119"/>
      <c r="E57" s="119"/>
      <c r="F57" s="42"/>
      <c r="G57" s="120"/>
      <c r="H57" s="124"/>
      <c r="I57" s="121">
        <v>0</v>
      </c>
      <c r="J57" s="122">
        <v>0</v>
      </c>
      <c r="K57" s="128">
        <v>0</v>
      </c>
      <c r="L57" s="123">
        <v>0</v>
      </c>
      <c r="M57" s="121">
        <v>0</v>
      </c>
      <c r="N57" s="124">
        <v>0</v>
      </c>
      <c r="O57" s="120">
        <v>0</v>
      </c>
      <c r="P57" s="125">
        <v>0</v>
      </c>
      <c r="Q57" s="123">
        <v>0</v>
      </c>
      <c r="R57" s="120">
        <v>0</v>
      </c>
      <c r="S57" s="123">
        <v>0</v>
      </c>
      <c r="T57" s="121">
        <v>0</v>
      </c>
      <c r="U57" s="130">
        <v>0</v>
      </c>
      <c r="V57" s="123">
        <v>0</v>
      </c>
      <c r="W57" s="123">
        <v>0</v>
      </c>
      <c r="X57" s="40">
        <f t="shared" si="8"/>
        <v>0</v>
      </c>
      <c r="Y57" s="126"/>
      <c r="Z57" s="126"/>
      <c r="AA57" s="126"/>
      <c r="AB57" s="126"/>
      <c r="AC57" s="126"/>
      <c r="AD57" s="126"/>
      <c r="AE57" s="148">
        <f t="shared" si="1"/>
        <v>0</v>
      </c>
      <c r="AF57" s="127"/>
      <c r="AG57" s="119"/>
      <c r="AH57" s="119"/>
    </row>
    <row r="58" spans="1:34" s="41" customFormat="1">
      <c r="A58" s="118"/>
      <c r="B58" s="42"/>
      <c r="C58" s="42"/>
      <c r="D58" s="119"/>
      <c r="E58" s="119"/>
      <c r="F58" s="42"/>
      <c r="G58" s="120"/>
      <c r="H58" s="124"/>
      <c r="I58" s="121">
        <v>0</v>
      </c>
      <c r="J58" s="122">
        <v>0</v>
      </c>
      <c r="K58" s="128">
        <v>0</v>
      </c>
      <c r="L58" s="123">
        <v>0</v>
      </c>
      <c r="M58" s="121">
        <v>0</v>
      </c>
      <c r="N58" s="124">
        <v>0</v>
      </c>
      <c r="O58" s="120">
        <v>0</v>
      </c>
      <c r="P58" s="125">
        <v>0</v>
      </c>
      <c r="Q58" s="123">
        <v>0</v>
      </c>
      <c r="R58" s="120">
        <v>0</v>
      </c>
      <c r="S58" s="123">
        <v>0</v>
      </c>
      <c r="T58" s="121">
        <v>0</v>
      </c>
      <c r="U58" s="130">
        <v>0</v>
      </c>
      <c r="V58" s="123">
        <v>0</v>
      </c>
      <c r="W58" s="123">
        <v>0</v>
      </c>
      <c r="X58" s="40">
        <f t="shared" si="8"/>
        <v>0</v>
      </c>
      <c r="Y58" s="126"/>
      <c r="Z58" s="126"/>
      <c r="AA58" s="126"/>
      <c r="AB58" s="126"/>
      <c r="AC58" s="126"/>
      <c r="AD58" s="126"/>
      <c r="AE58" s="148">
        <f t="shared" si="1"/>
        <v>0</v>
      </c>
      <c r="AF58" s="127"/>
      <c r="AG58" s="119"/>
      <c r="AH58" s="119"/>
    </row>
    <row r="59" spans="1:34" s="41" customFormat="1">
      <c r="A59" s="118"/>
      <c r="B59" s="42"/>
      <c r="C59" s="42"/>
      <c r="D59" s="119"/>
      <c r="E59" s="119"/>
      <c r="F59" s="42"/>
      <c r="G59" s="120"/>
      <c r="H59" s="124"/>
      <c r="I59" s="121">
        <v>0</v>
      </c>
      <c r="J59" s="122">
        <v>0</v>
      </c>
      <c r="K59" s="128">
        <v>0</v>
      </c>
      <c r="L59" s="123">
        <v>0</v>
      </c>
      <c r="M59" s="121">
        <v>0</v>
      </c>
      <c r="N59" s="124">
        <v>0</v>
      </c>
      <c r="O59" s="120">
        <v>0</v>
      </c>
      <c r="P59" s="125">
        <v>0</v>
      </c>
      <c r="Q59" s="123">
        <v>0</v>
      </c>
      <c r="R59" s="120">
        <v>0</v>
      </c>
      <c r="S59" s="123">
        <v>0</v>
      </c>
      <c r="T59" s="121">
        <v>0</v>
      </c>
      <c r="U59" s="130">
        <v>0</v>
      </c>
      <c r="V59" s="123">
        <v>0</v>
      </c>
      <c r="W59" s="123">
        <v>0</v>
      </c>
      <c r="X59" s="40">
        <f t="shared" si="8"/>
        <v>0</v>
      </c>
      <c r="Y59" s="126"/>
      <c r="Z59" s="126"/>
      <c r="AA59" s="126"/>
      <c r="AB59" s="126"/>
      <c r="AC59" s="126"/>
      <c r="AD59" s="126"/>
      <c r="AE59" s="148">
        <f t="shared" si="1"/>
        <v>0</v>
      </c>
      <c r="AF59" s="127"/>
      <c r="AG59" s="119"/>
      <c r="AH59" s="119"/>
    </row>
    <row r="60" spans="1:34" s="41" customFormat="1">
      <c r="A60" s="118"/>
      <c r="B60" s="42"/>
      <c r="C60" s="42"/>
      <c r="D60" s="119"/>
      <c r="E60" s="119"/>
      <c r="F60" s="42"/>
      <c r="G60" s="120"/>
      <c r="H60" s="124"/>
      <c r="I60" s="121">
        <v>0</v>
      </c>
      <c r="J60" s="122">
        <v>0</v>
      </c>
      <c r="K60" s="128">
        <v>0</v>
      </c>
      <c r="L60" s="123">
        <v>0</v>
      </c>
      <c r="M60" s="121">
        <v>0</v>
      </c>
      <c r="N60" s="124">
        <v>0</v>
      </c>
      <c r="O60" s="120">
        <v>0</v>
      </c>
      <c r="P60" s="125">
        <v>0</v>
      </c>
      <c r="Q60" s="123">
        <v>0</v>
      </c>
      <c r="R60" s="120">
        <v>0</v>
      </c>
      <c r="S60" s="123">
        <v>0</v>
      </c>
      <c r="T60" s="121">
        <v>0</v>
      </c>
      <c r="U60" s="130">
        <v>0</v>
      </c>
      <c r="V60" s="123">
        <v>0</v>
      </c>
      <c r="W60" s="123">
        <v>0</v>
      </c>
      <c r="X60" s="40">
        <f t="shared" si="8"/>
        <v>0</v>
      </c>
      <c r="Y60" s="126"/>
      <c r="Z60" s="126"/>
      <c r="AA60" s="126"/>
      <c r="AB60" s="126"/>
      <c r="AC60" s="126"/>
      <c r="AD60" s="126"/>
      <c r="AE60" s="148">
        <f t="shared" si="1"/>
        <v>0</v>
      </c>
      <c r="AF60" s="127"/>
      <c r="AG60" s="119"/>
      <c r="AH60" s="119"/>
    </row>
    <row r="61" spans="1:34" s="41" customFormat="1">
      <c r="A61" s="118"/>
      <c r="B61" s="42"/>
      <c r="C61" s="42"/>
      <c r="D61" s="119"/>
      <c r="E61" s="119"/>
      <c r="F61" s="42"/>
      <c r="G61" s="120"/>
      <c r="H61" s="124"/>
      <c r="I61" s="121">
        <v>0</v>
      </c>
      <c r="J61" s="122">
        <v>0</v>
      </c>
      <c r="K61" s="128">
        <v>0</v>
      </c>
      <c r="L61" s="123">
        <v>0</v>
      </c>
      <c r="M61" s="121">
        <v>0</v>
      </c>
      <c r="N61" s="124">
        <v>0</v>
      </c>
      <c r="O61" s="120">
        <v>0</v>
      </c>
      <c r="P61" s="125">
        <v>0</v>
      </c>
      <c r="Q61" s="123">
        <v>0</v>
      </c>
      <c r="R61" s="120">
        <v>0</v>
      </c>
      <c r="S61" s="123">
        <v>0</v>
      </c>
      <c r="T61" s="121">
        <v>0</v>
      </c>
      <c r="U61" s="130">
        <v>0</v>
      </c>
      <c r="V61" s="123">
        <v>0</v>
      </c>
      <c r="W61" s="123">
        <v>0</v>
      </c>
      <c r="X61" s="40">
        <f t="shared" si="8"/>
        <v>0</v>
      </c>
      <c r="Y61" s="126"/>
      <c r="Z61" s="126"/>
      <c r="AA61" s="126"/>
      <c r="AB61" s="126"/>
      <c r="AC61" s="126"/>
      <c r="AD61" s="126"/>
      <c r="AE61" s="148">
        <f t="shared" si="1"/>
        <v>0</v>
      </c>
      <c r="AF61" s="127"/>
      <c r="AG61" s="119"/>
      <c r="AH61" s="119"/>
    </row>
    <row r="62" spans="1:34" s="41" customFormat="1">
      <c r="A62" s="118"/>
      <c r="B62" s="42"/>
      <c r="C62" s="42"/>
      <c r="D62" s="119"/>
      <c r="E62" s="119"/>
      <c r="F62" s="42"/>
      <c r="G62" s="120"/>
      <c r="H62" s="124"/>
      <c r="I62" s="121">
        <v>0</v>
      </c>
      <c r="J62" s="122">
        <v>0</v>
      </c>
      <c r="K62" s="128">
        <v>0</v>
      </c>
      <c r="L62" s="123">
        <v>0</v>
      </c>
      <c r="M62" s="121">
        <v>0</v>
      </c>
      <c r="N62" s="124">
        <v>0</v>
      </c>
      <c r="O62" s="120">
        <v>0</v>
      </c>
      <c r="P62" s="125">
        <v>0</v>
      </c>
      <c r="Q62" s="123">
        <v>0</v>
      </c>
      <c r="R62" s="120">
        <v>0</v>
      </c>
      <c r="S62" s="123">
        <v>0</v>
      </c>
      <c r="T62" s="121">
        <v>0</v>
      </c>
      <c r="U62" s="130">
        <v>0</v>
      </c>
      <c r="V62" s="123">
        <v>0</v>
      </c>
      <c r="W62" s="123">
        <v>0</v>
      </c>
      <c r="X62" s="40">
        <f t="shared" si="8"/>
        <v>0</v>
      </c>
      <c r="Y62" s="126"/>
      <c r="Z62" s="126"/>
      <c r="AA62" s="126"/>
      <c r="AB62" s="126"/>
      <c r="AC62" s="126"/>
      <c r="AD62" s="126"/>
      <c r="AE62" s="148">
        <f t="shared" si="1"/>
        <v>0</v>
      </c>
      <c r="AF62" s="127"/>
      <c r="AG62" s="119"/>
      <c r="AH62" s="119"/>
    </row>
    <row r="63" spans="1:34" s="41" customFormat="1">
      <c r="A63" s="118"/>
      <c r="B63" s="42"/>
      <c r="C63" s="42"/>
      <c r="D63" s="119"/>
      <c r="E63" s="119"/>
      <c r="F63" s="42"/>
      <c r="G63" s="120"/>
      <c r="H63" s="124"/>
      <c r="I63" s="121">
        <v>0</v>
      </c>
      <c r="J63" s="122">
        <v>0</v>
      </c>
      <c r="K63" s="128">
        <v>0</v>
      </c>
      <c r="L63" s="123">
        <v>0</v>
      </c>
      <c r="M63" s="121">
        <v>0</v>
      </c>
      <c r="N63" s="124">
        <v>0</v>
      </c>
      <c r="O63" s="120">
        <v>0</v>
      </c>
      <c r="P63" s="125">
        <v>0</v>
      </c>
      <c r="Q63" s="123">
        <v>0</v>
      </c>
      <c r="R63" s="120">
        <v>0</v>
      </c>
      <c r="S63" s="123">
        <v>0</v>
      </c>
      <c r="T63" s="121">
        <v>0</v>
      </c>
      <c r="U63" s="130">
        <v>0</v>
      </c>
      <c r="V63" s="123">
        <v>0</v>
      </c>
      <c r="W63" s="123">
        <v>0</v>
      </c>
      <c r="X63" s="40">
        <f t="shared" si="8"/>
        <v>0</v>
      </c>
      <c r="Y63" s="126"/>
      <c r="Z63" s="126"/>
      <c r="AA63" s="126"/>
      <c r="AB63" s="126"/>
      <c r="AC63" s="126"/>
      <c r="AD63" s="126"/>
      <c r="AE63" s="148">
        <f t="shared" si="1"/>
        <v>0</v>
      </c>
      <c r="AF63" s="127"/>
      <c r="AG63" s="119"/>
      <c r="AH63" s="119"/>
    </row>
    <row r="64" spans="1:34" s="41" customFormat="1">
      <c r="A64" s="118"/>
      <c r="B64" s="42"/>
      <c r="C64" s="42"/>
      <c r="D64" s="119"/>
      <c r="E64" s="119"/>
      <c r="F64" s="42"/>
      <c r="G64" s="120"/>
      <c r="H64" s="124"/>
      <c r="I64" s="121">
        <v>0</v>
      </c>
      <c r="J64" s="122">
        <v>0</v>
      </c>
      <c r="K64" s="128">
        <v>0</v>
      </c>
      <c r="L64" s="123">
        <v>0</v>
      </c>
      <c r="M64" s="121">
        <v>0</v>
      </c>
      <c r="N64" s="124">
        <v>0</v>
      </c>
      <c r="O64" s="120">
        <v>0</v>
      </c>
      <c r="P64" s="125">
        <v>0</v>
      </c>
      <c r="Q64" s="123">
        <v>0</v>
      </c>
      <c r="R64" s="120">
        <v>0</v>
      </c>
      <c r="S64" s="123">
        <v>0</v>
      </c>
      <c r="T64" s="121">
        <v>0</v>
      </c>
      <c r="U64" s="130">
        <v>0</v>
      </c>
      <c r="V64" s="123">
        <v>0</v>
      </c>
      <c r="W64" s="123">
        <v>0</v>
      </c>
      <c r="X64" s="40">
        <f t="shared" si="8"/>
        <v>0</v>
      </c>
      <c r="Y64" s="126"/>
      <c r="Z64" s="126"/>
      <c r="AA64" s="126"/>
      <c r="AB64" s="126"/>
      <c r="AC64" s="126"/>
      <c r="AD64" s="126"/>
      <c r="AE64" s="148">
        <f t="shared" si="1"/>
        <v>0</v>
      </c>
      <c r="AF64" s="127"/>
      <c r="AG64" s="119"/>
      <c r="AH64" s="119"/>
    </row>
    <row r="65" spans="1:34" s="41" customFormat="1">
      <c r="A65" s="118"/>
      <c r="B65" s="42"/>
      <c r="C65" s="42"/>
      <c r="D65" s="119"/>
      <c r="E65" s="119"/>
      <c r="F65" s="42"/>
      <c r="G65" s="120"/>
      <c r="H65" s="124"/>
      <c r="I65" s="121">
        <v>0</v>
      </c>
      <c r="J65" s="122">
        <v>0</v>
      </c>
      <c r="K65" s="128">
        <v>0</v>
      </c>
      <c r="L65" s="123">
        <v>0</v>
      </c>
      <c r="M65" s="121">
        <v>0</v>
      </c>
      <c r="N65" s="124">
        <v>0</v>
      </c>
      <c r="O65" s="120">
        <v>0</v>
      </c>
      <c r="P65" s="125">
        <v>0</v>
      </c>
      <c r="Q65" s="123">
        <v>0</v>
      </c>
      <c r="R65" s="120">
        <v>0</v>
      </c>
      <c r="S65" s="123">
        <v>0</v>
      </c>
      <c r="T65" s="121">
        <v>0</v>
      </c>
      <c r="U65" s="130">
        <v>0</v>
      </c>
      <c r="V65" s="123">
        <v>0</v>
      </c>
      <c r="W65" s="123">
        <v>0</v>
      </c>
      <c r="X65" s="40">
        <f t="shared" si="8"/>
        <v>0</v>
      </c>
      <c r="Y65" s="126"/>
      <c r="Z65" s="126"/>
      <c r="AA65" s="126"/>
      <c r="AB65" s="126"/>
      <c r="AC65" s="126"/>
      <c r="AD65" s="126"/>
      <c r="AE65" s="148">
        <f t="shared" si="1"/>
        <v>0</v>
      </c>
      <c r="AF65" s="127"/>
      <c r="AG65" s="119"/>
      <c r="AH65" s="119"/>
    </row>
    <row r="66" spans="1:34" s="41" customFormat="1">
      <c r="A66" s="118"/>
      <c r="B66" s="42"/>
      <c r="C66" s="42"/>
      <c r="D66" s="119"/>
      <c r="E66" s="119"/>
      <c r="F66" s="42"/>
      <c r="G66" s="120"/>
      <c r="H66" s="124"/>
      <c r="I66" s="121">
        <v>0</v>
      </c>
      <c r="J66" s="122">
        <v>0</v>
      </c>
      <c r="K66" s="128">
        <v>0</v>
      </c>
      <c r="L66" s="123">
        <v>0</v>
      </c>
      <c r="M66" s="121">
        <v>0</v>
      </c>
      <c r="N66" s="124">
        <v>0</v>
      </c>
      <c r="O66" s="120">
        <v>0</v>
      </c>
      <c r="P66" s="125">
        <v>0</v>
      </c>
      <c r="Q66" s="123">
        <v>0</v>
      </c>
      <c r="R66" s="120">
        <v>0</v>
      </c>
      <c r="S66" s="123">
        <v>0</v>
      </c>
      <c r="T66" s="121">
        <v>0</v>
      </c>
      <c r="U66" s="130">
        <v>0</v>
      </c>
      <c r="V66" s="123">
        <v>0</v>
      </c>
      <c r="W66" s="123">
        <v>0</v>
      </c>
      <c r="X66" s="40">
        <f t="shared" si="8"/>
        <v>0</v>
      </c>
      <c r="Y66" s="126"/>
      <c r="Z66" s="126"/>
      <c r="AA66" s="126"/>
      <c r="AB66" s="126"/>
      <c r="AC66" s="126"/>
      <c r="AD66" s="126"/>
      <c r="AE66" s="148">
        <f t="shared" si="1"/>
        <v>0</v>
      </c>
      <c r="AF66" s="127"/>
      <c r="AG66" s="119"/>
      <c r="AH66" s="119"/>
    </row>
  </sheetData>
  <sheetProtection selectLockedCells="1"/>
  <protectedRanges>
    <protectedRange sqref="G6:W6 G17:H17 G8:H14 G7:N7 B6:E7 B8:C13 B29:E66 O7:W17 AD13:AD14 I8:N17 G18:W66 AG6:AH66 B14:B28 D20:E28" name="Rango1"/>
    <protectedRange sqref="AF6:AF66" name="Rango1_2"/>
    <protectedRange sqref="F6:F7 A6:A19 F13:F19 A29:A66 F22:F66" name="Rango1_1"/>
    <protectedRange sqref="D8:D13" name="Rango1_1_1"/>
    <protectedRange sqref="C14:D14" name="Rango1_1_2"/>
    <protectedRange sqref="C15:D19 F20:F21 C20:C28" name="Rango1_1_4"/>
    <protectedRange sqref="AE6:AE66" name="Rango1_2_1"/>
  </protectedRanges>
  <autoFilter ref="A5:AH66"/>
  <mergeCells count="15">
    <mergeCell ref="H26:H27"/>
    <mergeCell ref="H20:H21"/>
    <mergeCell ref="H22:H23"/>
    <mergeCell ref="F2:G2"/>
    <mergeCell ref="B3:E4"/>
    <mergeCell ref="H17:H18"/>
    <mergeCell ref="H15:H16"/>
    <mergeCell ref="H9:H10"/>
    <mergeCell ref="H6:H7"/>
    <mergeCell ref="S4:V4"/>
    <mergeCell ref="Q3:V3"/>
    <mergeCell ref="I3:O3"/>
    <mergeCell ref="K4:O4"/>
    <mergeCell ref="Q4:R4"/>
    <mergeCell ref="I4:J4"/>
  </mergeCells>
  <phoneticPr fontId="0" type="noConversion"/>
  <conditionalFormatting sqref="F13:H14 F17:H17 F6:I6 F7:G7 G8:H9 G10 G11:H12 A6:C11 F15:F16 F18:G18 I7:I18 F19:I19 A12:B19 A29:C66 G20:I20 G21 I21 F22:I22 F23:G23 I23 B21:B25 A20:A25 F24:I26 A26:B27 Y6:AD27 L6:W27 F29:I66 F27:G27 I27 L29:W66 Y29:AD66">
    <cfRule type="expression" dxfId="41" priority="586" stopIfTrue="1">
      <formula>"SEVERSTAL"</formula>
    </cfRule>
  </conditionalFormatting>
  <conditionalFormatting sqref="D6:E7 D29:E66 C15:C26 D26 C27:D27 AF6:AH27 AF29:AH66">
    <cfRule type="cellIs" dxfId="40" priority="587" stopIfTrue="1" operator="equal">
      <formula>"APROBADO"</formula>
    </cfRule>
    <cfRule type="cellIs" dxfId="39" priority="588" stopIfTrue="1" operator="equal">
      <formula>"ESPERA"</formula>
    </cfRule>
    <cfRule type="cellIs" dxfId="38" priority="589" stopIfTrue="1" operator="equal">
      <formula>"RECHAZADO"</formula>
    </cfRule>
  </conditionalFormatting>
  <conditionalFormatting sqref="E8:E11 E15:E19">
    <cfRule type="expression" dxfId="37" priority="71" stopIfTrue="1">
      <formula>"SEVERSTAL"</formula>
    </cfRule>
  </conditionalFormatting>
  <conditionalFormatting sqref="D8:D11">
    <cfRule type="cellIs" dxfId="36" priority="68" stopIfTrue="1" operator="equal">
      <formula>"APROBADO"</formula>
    </cfRule>
    <cfRule type="cellIs" dxfId="35" priority="69" stopIfTrue="1" operator="equal">
      <formula>"ESPERA"</formula>
    </cfRule>
    <cfRule type="cellIs" dxfId="34" priority="70" stopIfTrue="1" operator="equal">
      <formula>"RECHAZADO"</formula>
    </cfRule>
  </conditionalFormatting>
  <conditionalFormatting sqref="C12:C13">
    <cfRule type="expression" dxfId="33" priority="53" stopIfTrue="1">
      <formula>"SEVERSTAL"</formula>
    </cfRule>
  </conditionalFormatting>
  <conditionalFormatting sqref="E12:E14">
    <cfRule type="expression" dxfId="32" priority="52" stopIfTrue="1">
      <formula>"SEVERSTAL"</formula>
    </cfRule>
  </conditionalFormatting>
  <conditionalFormatting sqref="D12:D13">
    <cfRule type="cellIs" dxfId="31" priority="49" stopIfTrue="1" operator="equal">
      <formula>"APROBADO"</formula>
    </cfRule>
    <cfRule type="cellIs" dxfId="30" priority="50" stopIfTrue="1" operator="equal">
      <formula>"ESPERA"</formula>
    </cfRule>
    <cfRule type="cellIs" dxfId="29" priority="51" stopIfTrue="1" operator="equal">
      <formula>"RECHAZADO"</formula>
    </cfRule>
  </conditionalFormatting>
  <conditionalFormatting sqref="F20:F21">
    <cfRule type="cellIs" dxfId="28" priority="38" stopIfTrue="1" operator="equal">
      <formula>"APROBADO"</formula>
    </cfRule>
    <cfRule type="cellIs" dxfId="27" priority="39" stopIfTrue="1" operator="equal">
      <formula>"ESPERA"</formula>
    </cfRule>
    <cfRule type="cellIs" dxfId="26" priority="40" stopIfTrue="1" operator="equal">
      <formula>"RECHAZADO"</formula>
    </cfRule>
  </conditionalFormatting>
  <conditionalFormatting sqref="C14">
    <cfRule type="cellIs" dxfId="25" priority="34" stopIfTrue="1" operator="equal">
      <formula>"APROBADO"</formula>
    </cfRule>
    <cfRule type="cellIs" dxfId="24" priority="35" stopIfTrue="1" operator="equal">
      <formula>"ESPERA"</formula>
    </cfRule>
    <cfRule type="cellIs" dxfId="23" priority="36" stopIfTrue="1" operator="equal">
      <formula>"RECHAZADO"</formula>
    </cfRule>
  </conditionalFormatting>
  <conditionalFormatting sqref="D14">
    <cfRule type="cellIs" dxfId="22" priority="28" stopIfTrue="1" operator="equal">
      <formula>"APROBADO"</formula>
    </cfRule>
    <cfRule type="cellIs" dxfId="21" priority="29" stopIfTrue="1" operator="equal">
      <formula>"ESPERA"</formula>
    </cfRule>
    <cfRule type="cellIs" dxfId="20" priority="30" stopIfTrue="1" operator="equal">
      <formula>"RECHAZADO"</formula>
    </cfRule>
  </conditionalFormatting>
  <conditionalFormatting sqref="D15:D19">
    <cfRule type="cellIs" dxfId="19" priority="25" stopIfTrue="1" operator="equal">
      <formula>"APROBADO"</formula>
    </cfRule>
    <cfRule type="cellIs" dxfId="18" priority="26" stopIfTrue="1" operator="equal">
      <formula>"ESPERA"</formula>
    </cfRule>
    <cfRule type="cellIs" dxfId="17" priority="27" stopIfTrue="1" operator="equal">
      <formula>"RECHAZADO"</formula>
    </cfRule>
  </conditionalFormatting>
  <conditionalFormatting sqref="B20">
    <cfRule type="expression" dxfId="16" priority="17" stopIfTrue="1">
      <formula>"SEVERSTAL"</formula>
    </cfRule>
  </conditionalFormatting>
  <conditionalFormatting sqref="D20:E25 E26:E27">
    <cfRule type="cellIs" dxfId="15" priority="14" stopIfTrue="1" operator="equal">
      <formula>"APROBADO"</formula>
    </cfRule>
    <cfRule type="cellIs" dxfId="14" priority="15" stopIfTrue="1" operator="equal">
      <formula>"ESPERA"</formula>
    </cfRule>
    <cfRule type="cellIs" dxfId="13" priority="16" stopIfTrue="1" operator="equal">
      <formula>"RECHAZADO"</formula>
    </cfRule>
  </conditionalFormatting>
  <conditionalFormatting sqref="AE6:AE27 AE29:AE66">
    <cfRule type="cellIs" dxfId="12" priority="11" stopIfTrue="1" operator="equal">
      <formula>"APROBADO"</formula>
    </cfRule>
    <cfRule type="cellIs" dxfId="11" priority="12" stopIfTrue="1" operator="equal">
      <formula>"ESPERA"</formula>
    </cfRule>
    <cfRule type="cellIs" dxfId="10" priority="13" stopIfTrue="1" operator="equal">
      <formula>"RECHAZADO"</formula>
    </cfRule>
  </conditionalFormatting>
  <conditionalFormatting sqref="A28:B28 Y28:AD28 L28:W28 F28:G28 I28">
    <cfRule type="expression" dxfId="9" priority="7" stopIfTrue="1">
      <formula>"SEVERSTAL"</formula>
    </cfRule>
  </conditionalFormatting>
  <conditionalFormatting sqref="C28:D28 AF28:AH28">
    <cfRule type="cellIs" dxfId="8" priority="8" stopIfTrue="1" operator="equal">
      <formula>"APROBADO"</formula>
    </cfRule>
    <cfRule type="cellIs" dxfId="7" priority="9" stopIfTrue="1" operator="equal">
      <formula>"ESPERA"</formula>
    </cfRule>
    <cfRule type="cellIs" dxfId="6" priority="10" stopIfTrue="1" operator="equal">
      <formula>"RECHAZADO"</formula>
    </cfRule>
  </conditionalFormatting>
  <conditionalFormatting sqref="E28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AE28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2024-09-27T13:05:35Z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