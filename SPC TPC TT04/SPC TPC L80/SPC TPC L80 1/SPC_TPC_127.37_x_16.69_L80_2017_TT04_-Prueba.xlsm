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3C7FB8D2-7695-4BB9-9CDD-D11FA30DD6E9}" xr6:coauthVersionLast="47" xr6:coauthVersionMax="47" xr10:uidLastSave="{00000000-0000-0000-0000-000000000000}"/>
  <bookViews>
    <workbookView showSheetTabs="0" xWindow="24030" yWindow="354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5" l="1"/>
  <c r="W22" i="5" l="1"/>
  <c r="W23" i="5"/>
  <c r="W24" i="5"/>
  <c r="W25" i="5"/>
  <c r="W26" i="5"/>
  <c r="Z3" i="5"/>
  <c r="W21" i="5" l="1"/>
  <c r="W20" i="5" l="1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W19" i="5" l="1"/>
  <c r="W14" i="5" l="1"/>
  <c r="W15" i="5"/>
  <c r="W16" i="5"/>
  <c r="W17" i="5"/>
  <c r="W18" i="5"/>
  <c r="W13" i="5" l="1"/>
  <c r="AD13" i="5" l="1"/>
  <c r="AD14" i="5"/>
  <c r="AD15" i="5"/>
  <c r="AD16" i="5"/>
  <c r="AD17" i="5"/>
  <c r="AD18" i="5"/>
  <c r="AD19" i="5"/>
  <c r="AD20" i="5"/>
  <c r="AD21" i="5"/>
  <c r="AD22" i="5"/>
  <c r="W9" i="5" l="1"/>
  <c r="AD9" i="5" s="1"/>
  <c r="W10" i="5"/>
  <c r="AD10" i="5" s="1"/>
  <c r="W11" i="5"/>
  <c r="AD11" i="5" s="1"/>
  <c r="W12" i="5"/>
  <c r="AD12" i="5" s="1"/>
  <c r="W8" i="5" l="1"/>
  <c r="AD8" i="5" s="1"/>
  <c r="W7" i="5" l="1"/>
  <c r="AD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Z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Tuberia de prueba para buscar condiciones de TPC L80 ( la OP pertenece a P110 ICY ), con EE B7, se enviaran a reproceso para P110 ICY.</t>
        </r>
      </text>
    </comment>
  </commentList>
</comments>
</file>

<file path=xl/sharedStrings.xml><?xml version="1.0" encoding="utf-8"?>
<sst xmlns="http://schemas.openxmlformats.org/spreadsheetml/2006/main" count="144" uniqueCount="110">
  <si>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</si>
  <si>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</si>
  <si>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</si>
  <si>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</si>
  <si>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</si>
  <si>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</si>
  <si>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</si>
  <si>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</si>
  <si>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</si>
  <si>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</si>
  <si>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</si>
  <si>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</si>
  <si>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</si>
  <si>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</si>
  <si>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</si>
  <si>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</si>
  <si>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</si>
  <si>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</si>
  <si>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</si>
  <si>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</si>
  <si>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</si>
  <si>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</si>
  <si>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</si>
  <si>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</si>
  <si>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</si>
  <si>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</si>
  <si>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</si>
  <si>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</si>
  <si>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</si>
  <si>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</si>
  <si>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</si>
  <si>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</si>
  <si>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</si>
  <si>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</si>
  <si>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</si>
  <si>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</si>
  <si>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</si>
  <si>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</si>
  <si>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</si>
  <si>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</si>
  <si>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</si>
  <si>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</si>
  <si>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</si>
  <si>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</si>
  <si>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</si>
  <si>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</si>
  <si>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</si>
  <si>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</si>
  <si>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</si>
  <si>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</si>
  <si>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</si>
  <si>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</si>
  <si>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</si>
  <si>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</si>
  <si>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</si>
  <si>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</si>
  <si>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</si>
  <si>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</si>
  <si>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</si>
  <si>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</si>
  <si>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</si>
  <si>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</si>
  <si>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</si>
  <si>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</si>
  <si>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</si>
  <si>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</si>
  <si>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</si>
  <si>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</si>
  <si>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</si>
  <si>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</si>
  <si>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</si>
  <si>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</si>
  <si>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</si>
  <si>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</si>
  <si>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</si>
  <si>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</si>
  <si>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</si>
  <si>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</si>
  <si>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</si>
  <si>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</si>
  <si>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</si>
  <si>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</si>
  <si>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</si>
  <si>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</si>
  <si>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</si>
  <si>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</si>
  <si>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</si>
  <si>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</si>
  <si>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</si>
  <si>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</si>
  <si>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</si>
  <si>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</si>
  <si>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 xml:space="preserve">SUR </t>
  </si>
  <si>
    <t>P1</t>
  </si>
  <si>
    <t>Centro</t>
  </si>
  <si>
    <t>Clave</t>
  </si>
  <si>
    <t>L80 127,37 x 16,69 mm TPC</t>
  </si>
  <si>
    <t>140 Seg</t>
  </si>
  <si>
    <t>69 al 128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</si>
  <si>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</si>
  <si>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</si>
  <si>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</si>
  <si>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</si>
  <si>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</si>
  <si>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</si>
  <si>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</si>
  <si>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</si>
  <si>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</si>
  <si>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127,37 x 16,69</t>
  </si>
  <si>
    <t xml:space="preserve">PROVEEDOR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</si>
</sst>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43" fillId="0" borderId="0" xfId="0" applyFont="1" applyFill="1" applyBorder="1" applyAlignment="1"/>
    <xf numFmtId="0" fontId="44" fillId="0" borderId="0" xfId="0" applyFont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Fill="1" applyBorder="1" applyAlignment="1"/>
    <xf numFmtId="14" fontId="47" fillId="0" borderId="0" xfId="0" quotePrefix="1" applyNumberFormat="1" applyFont="1" applyFill="1" applyBorder="1" applyAlignment="1"/>
    <xf numFmtId="14" fontId="47" fillId="0" borderId="0" xfId="0" applyNumberFormat="1" applyFont="1" applyFill="1" applyBorder="1" applyAlignment="1"/>
    <xf numFmtId="0" fontId="49" fillId="0" borderId="0" xfId="0" applyFont="1" applyFill="1" applyBorder="1" applyAlignment="1">
      <alignment horizontal="center"/>
    </xf>
    <xf numFmtId="0" fontId="48" fillId="2" borderId="0" xfId="0" applyFont="1" applyFill="1" applyAlignment="1">
      <alignment horizontal="center"/>
    </xf>
    <xf numFmtId="0" fontId="50" fillId="2" borderId="0" xfId="0" applyFont="1" applyFill="1" applyAlignment="1">
      <alignment horizontal="center"/>
    </xf>
    <xf numFmtId="0" fontId="51" fillId="2" borderId="0" xfId="0" applyFont="1" applyFill="1" applyBorder="1" applyAlignment="1">
      <alignment horizontal="center"/>
    </xf>
    <xf numFmtId="165" fontId="44" fillId="0" borderId="0" xfId="0" applyNumberFormat="1" applyFont="1" applyAlignment="1">
      <alignment horizontal="center"/>
    </xf>
    <xf numFmtId="0" fontId="52" fillId="2" borderId="0" xfId="0" applyFont="1" applyFill="1" applyAlignment="1">
      <alignment horizontal="center"/>
    </xf>
    <xf numFmtId="0" fontId="53" fillId="2" borderId="0" xfId="0" applyFont="1" applyFill="1" applyBorder="1" applyAlignment="1">
      <alignment horizontal="right"/>
    </xf>
    <xf numFmtId="165" fontId="51" fillId="2" borderId="0" xfId="0" applyNumberFormat="1" applyFont="1" applyFill="1" applyBorder="1" applyAlignment="1">
      <alignment horizontal="center"/>
    </xf>
    <xf numFmtId="0" fontId="49" fillId="0" borderId="22" xfId="0" applyFont="1" applyFill="1" applyBorder="1" applyAlignment="1"/>
    <xf numFmtId="165" fontId="49" fillId="0" borderId="22" xfId="0" applyNumberFormat="1" applyFont="1" applyFill="1" applyBorder="1" applyAlignment="1">
      <alignment horizontal="center"/>
    </xf>
    <xf numFmtId="0" fontId="49" fillId="0" borderId="2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3" fontId="56" fillId="0" borderId="5" xfId="0" applyNumberFormat="1" applyFont="1" applyFill="1" applyBorder="1" applyAlignment="1">
      <alignment horizontal="center"/>
    </xf>
    <xf numFmtId="0" fontId="56" fillId="0" borderId="2" xfId="0" applyFont="1" applyFill="1" applyBorder="1" applyAlignment="1" applyProtection="1">
      <alignment horizontal="center"/>
      <protection locked="0"/>
    </xf>
    <xf numFmtId="0" fontId="51" fillId="0" borderId="0" xfId="0" applyFont="1" applyFill="1" applyBorder="1" applyAlignment="1">
      <alignment horizontal="center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Border="1" applyAlignment="1" applyProtection="1">
      <alignment vertical="center"/>
      <protection hidden="1"/>
    </xf>
    <xf numFmtId="0" fontId="1" fillId="6" borderId="0" xfId="0" applyFont="1" applyFill="1" applyBorder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28" fillId="6" borderId="0" xfId="0" applyNumberFormat="1" applyFont="1" applyFill="1" applyBorder="1" applyAlignment="1" applyProtection="1">
      <alignment horizontal="center" vertical="center"/>
      <protection hidden="1"/>
    </xf>
    <xf numFmtId="21" fontId="40" fillId="6" borderId="0" xfId="0" applyNumberFormat="1" applyFont="1" applyFill="1" applyBorder="1" applyAlignment="1" applyProtection="1">
      <alignment horizontal="center" vertical="center"/>
      <protection hidden="1"/>
    </xf>
    <xf numFmtId="0" fontId="16" fillId="6" borderId="0" xfId="0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Border="1" applyAlignment="1" applyProtection="1">
      <alignment horizontal="center" vertical="center"/>
      <protection hidden="1"/>
    </xf>
    <xf numFmtId="0" fontId="35" fillId="6" borderId="0" xfId="0" applyFont="1" applyFill="1" applyBorder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1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3" fillId="5" borderId="0" xfId="0" applyFont="1" applyFill="1" applyBorder="1" applyAlignment="1" applyProtection="1">
      <alignment horizontal="left" vertical="center"/>
      <protection hidden="1"/>
    </xf>
    <xf numFmtId="0" fontId="18" fillId="5" borderId="0" xfId="0" applyFont="1" applyFill="1" applyBorder="1" applyAlignment="1" applyProtection="1">
      <alignment horizontal="left" vertical="center"/>
      <protection hidden="1"/>
    </xf>
    <xf numFmtId="0" fontId="21" fillId="5" borderId="0" xfId="0" applyFont="1" applyFill="1" applyBorder="1" applyAlignment="1" applyProtection="1">
      <alignment horizontal="left" vertical="center"/>
      <protection hidden="1"/>
    </xf>
    <xf numFmtId="15" fontId="4" fillId="5" borderId="0" xfId="0" applyNumberFormat="1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21" fontId="6" fillId="5" borderId="0" xfId="0" applyNumberFormat="1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22" fillId="5" borderId="0" xfId="0" applyFont="1" applyFill="1" applyBorder="1" applyAlignment="1" applyProtection="1">
      <alignment horizontal="right" vertical="center"/>
      <protection hidden="1"/>
    </xf>
    <xf numFmtId="0" fontId="22" fillId="5" borderId="0" xfId="0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23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Border="1" applyAlignment="1" applyProtection="1">
      <alignment vertical="center"/>
      <protection hidden="1"/>
    </xf>
    <xf numFmtId="0" fontId="39" fillId="5" borderId="0" xfId="0" applyFont="1" applyFill="1" applyBorder="1" applyAlignment="1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6" fillId="5" borderId="0" xfId="0" applyFont="1" applyFill="1" applyBorder="1" applyAlignment="1" applyProtection="1">
      <alignment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9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9" fillId="5" borderId="0" xfId="0" quotePrefix="1" applyFont="1" applyFill="1" applyBorder="1" applyAlignment="1" applyProtection="1">
      <alignment vertical="center"/>
      <protection hidden="1"/>
    </xf>
    <xf numFmtId="0" fontId="12" fillId="5" borderId="0" xfId="0" applyFont="1" applyFill="1" applyBorder="1" applyAlignment="1" applyProtection="1">
      <alignment vertical="center"/>
      <protection hidden="1"/>
    </xf>
    <xf numFmtId="21" fontId="30" fillId="5" borderId="0" xfId="0" applyNumberFormat="1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vertical="center"/>
      <protection hidden="1"/>
    </xf>
    <xf numFmtId="0" fontId="31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41" fillId="5" borderId="0" xfId="0" applyFont="1" applyFill="1" applyBorder="1" applyAlignment="1" applyProtection="1">
      <alignment vertical="center"/>
      <protection hidden="1"/>
    </xf>
    <xf numFmtId="21" fontId="31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17" xfId="0" applyFill="1" applyBorder="1" applyAlignment="1" applyProtection="1">
      <alignment vertical="center"/>
      <protection hidden="1"/>
    </xf>
    <xf numFmtId="0" fontId="1" fillId="5" borderId="17" xfId="0" applyFont="1" applyFill="1" applyBorder="1" applyAlignment="1" applyProtection="1">
      <alignment vertical="center"/>
      <protection hidden="1"/>
    </xf>
    <xf numFmtId="0" fontId="1" fillId="5" borderId="19" xfId="0" applyFont="1" applyFill="1" applyBorder="1" applyAlignment="1" applyProtection="1">
      <alignment vertical="center"/>
      <protection hidden="1"/>
    </xf>
    <xf numFmtId="0" fontId="0" fillId="5" borderId="21" xfId="0" applyFill="1" applyBorder="1" applyAlignment="1" applyProtection="1">
      <alignment vertical="center"/>
      <protection hidden="1"/>
    </xf>
    <xf numFmtId="0" fontId="1" fillId="5" borderId="23" xfId="0" applyFont="1" applyFill="1" applyBorder="1" applyAlignment="1" applyProtection="1">
      <alignment vertical="center"/>
      <protection hidden="1"/>
    </xf>
    <xf numFmtId="21" fontId="23" fillId="5" borderId="23" xfId="0" applyNumberFormat="1" applyFont="1" applyFill="1" applyBorder="1" applyAlignment="1" applyProtection="1">
      <alignment horizontal="center" vertical="center"/>
      <protection hidden="1"/>
    </xf>
    <xf numFmtId="0" fontId="8" fillId="5" borderId="21" xfId="0" applyFont="1" applyFill="1" applyBorder="1" applyAlignment="1" applyProtection="1">
      <alignment horizontal="center" vertical="center"/>
      <protection hidden="1"/>
    </xf>
    <xf numFmtId="0" fontId="9" fillId="5" borderId="21" xfId="0" applyFont="1" applyFill="1" applyBorder="1" applyAlignment="1" applyProtection="1">
      <alignment vertical="center"/>
      <protection hidden="1"/>
    </xf>
    <xf numFmtId="0" fontId="10" fillId="5" borderId="21" xfId="0" applyFont="1" applyFill="1" applyBorder="1" applyAlignment="1" applyProtection="1">
      <alignment vertical="center"/>
      <protection hidden="1"/>
    </xf>
    <xf numFmtId="0" fontId="25" fillId="5" borderId="23" xfId="0" applyFont="1" applyFill="1" applyBorder="1" applyAlignment="1" applyProtection="1">
      <alignment vertical="center"/>
      <protection hidden="1"/>
    </xf>
    <xf numFmtId="21" fontId="28" fillId="5" borderId="23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vertical="center"/>
      <protection hidden="1"/>
    </xf>
    <xf numFmtId="0" fontId="9" fillId="5" borderId="22" xfId="0" applyFont="1" applyFill="1" applyBorder="1" applyAlignment="1" applyProtection="1">
      <alignment vertical="center"/>
      <protection hidden="1"/>
    </xf>
    <xf numFmtId="0" fontId="25" fillId="5" borderId="22" xfId="0" applyFont="1" applyFill="1" applyBorder="1" applyAlignment="1" applyProtection="1">
      <alignment vertical="center"/>
      <protection hidden="1"/>
    </xf>
    <xf numFmtId="0" fontId="41" fillId="5" borderId="22" xfId="0" applyFont="1" applyFill="1" applyBorder="1" applyAlignment="1" applyProtection="1">
      <alignment vertical="center"/>
      <protection hidden="1"/>
    </xf>
    <xf numFmtId="0" fontId="40" fillId="5" borderId="22" xfId="0" applyFont="1" applyFill="1" applyBorder="1" applyAlignment="1" applyProtection="1">
      <alignment vertical="center"/>
      <protection hidden="1"/>
    </xf>
    <xf numFmtId="21" fontId="40" fillId="5" borderId="22" xfId="0" applyNumberFormat="1" applyFont="1" applyFill="1" applyBorder="1" applyAlignment="1" applyProtection="1">
      <alignment horizontal="center" vertical="center"/>
      <protection hidden="1"/>
    </xf>
    <xf numFmtId="21" fontId="31" fillId="5" borderId="22" xfId="0" applyNumberFormat="1" applyFont="1" applyFill="1" applyBorder="1" applyAlignment="1" applyProtection="1">
      <alignment horizontal="center" vertical="center"/>
      <protection hidden="1"/>
    </xf>
    <xf numFmtId="21" fontId="28" fillId="5" borderId="20" xfId="0" applyNumberFormat="1" applyFont="1" applyFill="1" applyBorder="1" applyAlignment="1" applyProtection="1">
      <alignment horizontal="center" vertical="center"/>
      <protection hidden="1"/>
    </xf>
    <xf numFmtId="15" fontId="55" fillId="0" borderId="5" xfId="0" applyNumberFormat="1" applyFont="1" applyFill="1" applyBorder="1" applyAlignment="1">
      <alignment horizontal="center"/>
    </xf>
    <xf numFmtId="0" fontId="56" fillId="0" borderId="2" xfId="3" applyFont="1" applyBorder="1" applyAlignment="1">
      <alignment horizontal="center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0" fontId="56" fillId="0" borderId="3" xfId="0" applyFont="1" applyFill="1" applyBorder="1" applyAlignment="1">
      <alignment horizontal="center"/>
    </xf>
    <xf numFmtId="3" fontId="56" fillId="0" borderId="5" xfId="2" applyNumberFormat="1" applyFont="1" applyFill="1" applyBorder="1" applyAlignment="1" applyProtection="1">
      <alignment horizontal="center"/>
      <protection locked="0"/>
    </xf>
    <xf numFmtId="3" fontId="56" fillId="0" borderId="25" xfId="2" applyNumberFormat="1" applyFont="1" applyFill="1" applyBorder="1" applyAlignment="1" applyProtection="1">
      <alignment horizontal="center"/>
      <protection locked="0"/>
    </xf>
    <xf numFmtId="3" fontId="57" fillId="0" borderId="2" xfId="0" applyNumberFormat="1" applyFont="1" applyFill="1" applyBorder="1" applyAlignment="1" applyProtection="1">
      <alignment horizontal="center"/>
    </xf>
    <xf numFmtId="0" fontId="59" fillId="0" borderId="2" xfId="0" applyFont="1" applyFill="1" applyBorder="1" applyAlignment="1" applyProtection="1">
      <alignment horizontal="center"/>
      <protection locked="0"/>
    </xf>
    <xf numFmtId="0" fontId="56" fillId="0" borderId="26" xfId="0" applyFont="1" applyBorder="1" applyAlignment="1">
      <alignment horizontal="center"/>
    </xf>
    <xf numFmtId="0" fontId="56" fillId="0" borderId="26" xfId="0" applyFont="1" applyFill="1" applyBorder="1" applyAlignment="1">
      <alignment horizontal="center"/>
    </xf>
    <xf numFmtId="15" fontId="55" fillId="0" borderId="4" xfId="0" applyNumberFormat="1" applyFont="1" applyFill="1" applyBorder="1" applyAlignment="1">
      <alignment horizontal="center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3" fontId="63" fillId="0" borderId="25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  <protection locked="0"/>
    </xf>
    <xf numFmtId="0" fontId="58" fillId="8" borderId="0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 vertical="center" wrapText="1"/>
    </xf>
    <xf numFmtId="0" fontId="42" fillId="9" borderId="0" xfId="0" applyFont="1" applyFill="1" applyAlignment="1">
      <alignment horizontal="center" vertical="center" wrapText="1"/>
    </xf>
    <xf numFmtId="0" fontId="64" fillId="9" borderId="0" xfId="0" applyFont="1" applyFill="1" applyAlignment="1">
      <alignment horizontal="center" vertical="center" wrapText="1"/>
    </xf>
    <xf numFmtId="0" fontId="42" fillId="9" borderId="0" xfId="0" applyFont="1" applyFill="1" applyAlignment="1">
      <alignment horizontal="center"/>
    </xf>
    <xf numFmtId="15" fontId="20" fillId="3" borderId="30" xfId="0" applyNumberFormat="1" applyFont="1" applyFill="1" applyBorder="1" applyAlignment="1">
      <alignment horizontal="center"/>
    </xf>
    <xf numFmtId="0" fontId="37" fillId="0" borderId="30" xfId="0" applyFont="1" applyFill="1" applyBorder="1" applyAlignment="1">
      <alignment horizontal="center"/>
    </xf>
    <xf numFmtId="0" fontId="20" fillId="0" borderId="30" xfId="3" applyFont="1" applyBorder="1" applyAlignment="1">
      <alignment horizontal="center"/>
    </xf>
    <xf numFmtId="165" fontId="37" fillId="0" borderId="30" xfId="2" applyNumberFormat="1" applyFont="1" applyFill="1" applyBorder="1" applyAlignment="1">
      <alignment horizontal="center"/>
    </xf>
    <xf numFmtId="165" fontId="37" fillId="0" borderId="30" xfId="0" applyNumberFormat="1" applyFont="1" applyFill="1" applyBorder="1" applyAlignment="1">
      <alignment horizontal="center"/>
    </xf>
    <xf numFmtId="0" fontId="1" fillId="0" borderId="30" xfId="0" applyFont="1" applyFill="1" applyBorder="1"/>
    <xf numFmtId="0" fontId="0" fillId="0" borderId="30" xfId="0" applyFill="1" applyBorder="1"/>
    <xf numFmtId="15" fontId="20" fillId="6" borderId="30" xfId="0" applyNumberFormat="1" applyFont="1" applyFill="1" applyBorder="1" applyAlignment="1">
      <alignment horizontal="center"/>
    </xf>
    <xf numFmtId="0" fontId="38" fillId="0" borderId="30" xfId="0" applyFont="1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72" fillId="7" borderId="32" xfId="4" applyFont="1" applyFill="1" applyBorder="1" applyAlignment="1">
      <alignment horizontal="center"/>
    </xf>
    <xf numFmtId="0" fontId="72" fillId="11" borderId="32" xfId="4" applyFont="1" applyFill="1" applyBorder="1" applyAlignment="1">
      <alignment horizontal="center"/>
    </xf>
    <xf numFmtId="0" fontId="72" fillId="12" borderId="33" xfId="4" applyFont="1" applyFill="1" applyBorder="1" applyAlignment="1">
      <alignment horizontal="center"/>
    </xf>
    <xf numFmtId="0" fontId="73" fillId="14" borderId="30" xfId="4" applyFont="1" applyFill="1" applyBorder="1" applyAlignment="1">
      <alignment horizontal="center" vertical="center" wrapText="1"/>
    </xf>
    <xf numFmtId="0" fontId="73" fillId="10" borderId="30" xfId="4" applyFont="1" applyFill="1" applyBorder="1" applyAlignment="1">
      <alignment horizontal="center" vertical="center" wrapText="1"/>
    </xf>
    <xf numFmtId="0" fontId="72" fillId="7" borderId="30" xfId="4" applyFont="1" applyFill="1" applyBorder="1" applyAlignment="1">
      <alignment horizontal="center" vertical="center" wrapText="1"/>
    </xf>
    <xf numFmtId="0" fontId="72" fillId="11" borderId="30" xfId="4" applyFont="1" applyFill="1" applyBorder="1" applyAlignment="1">
      <alignment horizontal="center" vertical="center" wrapText="1"/>
    </xf>
    <xf numFmtId="0" fontId="72" fillId="12" borderId="30" xfId="4" applyFont="1" applyFill="1" applyBorder="1" applyAlignment="1">
      <alignment horizontal="center" vertical="center" wrapText="1"/>
    </xf>
    <xf numFmtId="0" fontId="56" fillId="0" borderId="30" xfId="0" applyFont="1" applyFill="1" applyBorder="1" applyAlignment="1" applyProtection="1">
      <alignment horizontal="center"/>
      <protection locked="0"/>
    </xf>
    <xf numFmtId="0" fontId="76" fillId="14" borderId="30" xfId="4" applyFont="1" applyFill="1" applyBorder="1" applyAlignment="1">
      <alignment horizontal="center" vertical="center" wrapText="1"/>
    </xf>
    <xf numFmtId="0" fontId="60" fillId="5" borderId="0" xfId="0" applyFont="1" applyFill="1" applyBorder="1" applyAlignment="1" applyProtection="1">
      <alignment horizontal="center" vertical="center"/>
      <protection hidden="1"/>
    </xf>
    <xf numFmtId="0" fontId="72" fillId="12" borderId="32" xfId="4" applyFont="1" applyFill="1" applyBorder="1" applyAlignment="1">
      <alignment horizontal="center"/>
    </xf>
    <xf numFmtId="0" fontId="70" fillId="11" borderId="28" xfId="4" applyFont="1" applyFill="1" applyBorder="1" applyAlignment="1">
      <alignment horizontal="center"/>
    </xf>
    <xf numFmtId="0" fontId="69" fillId="7" borderId="27" xfId="4" applyFont="1" applyFill="1" applyBorder="1" applyAlignment="1">
      <alignment horizontal="center"/>
    </xf>
    <xf numFmtId="0" fontId="69" fillId="7" borderId="28" xfId="4" applyFont="1" applyFill="1" applyBorder="1" applyAlignment="1">
      <alignment horizontal="center"/>
    </xf>
    <xf numFmtId="0" fontId="70" fillId="12" borderId="28" xfId="4" applyFont="1" applyFill="1" applyBorder="1" applyAlignment="1">
      <alignment horizontal="center"/>
    </xf>
    <xf numFmtId="0" fontId="70" fillId="12" borderId="29" xfId="4" applyFont="1" applyFill="1" applyBorder="1" applyAlignment="1">
      <alignment horizontal="center"/>
    </xf>
    <xf numFmtId="0" fontId="72" fillId="7" borderId="31" xfId="4" applyFont="1" applyFill="1" applyBorder="1" applyAlignment="1">
      <alignment horizontal="center"/>
    </xf>
    <xf numFmtId="0" fontId="72" fillId="7" borderId="32" xfId="4" applyFont="1" applyFill="1" applyBorder="1" applyAlignment="1">
      <alignment horizontal="center"/>
    </xf>
    <xf numFmtId="0" fontId="74" fillId="0" borderId="22" xfId="0" applyFont="1" applyFill="1" applyBorder="1" applyAlignment="1">
      <alignment horizontal="center" vertical="center"/>
    </xf>
    <xf numFmtId="0" fontId="75" fillId="0" borderId="22" xfId="0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68" fillId="10" borderId="8" xfId="4" applyFont="1" applyFill="1" applyBorder="1" applyAlignment="1">
      <alignment horizontal="center" vertical="center"/>
    </xf>
    <xf numFmtId="0" fontId="68" fillId="10" borderId="17" xfId="4" applyFont="1" applyFill="1" applyBorder="1" applyAlignment="1">
      <alignment horizontal="center" vertical="center"/>
    </xf>
    <xf numFmtId="0" fontId="68" fillId="10" borderId="6" xfId="4" applyFont="1" applyFill="1" applyBorder="1" applyAlignment="1">
      <alignment horizontal="center" vertical="center"/>
    </xf>
    <xf numFmtId="0" fontId="68" fillId="10" borderId="18" xfId="4" applyFont="1" applyFill="1" applyBorder="1" applyAlignment="1">
      <alignment horizontal="center" vertical="center"/>
    </xf>
    <xf numFmtId="0" fontId="71" fillId="10" borderId="8" xfId="4" applyFont="1" applyFill="1" applyBorder="1" applyAlignment="1">
      <alignment horizontal="center" vertical="center" shrinkToFit="1"/>
    </xf>
    <xf numFmtId="0" fontId="71" fillId="10" borderId="17" xfId="4" applyFont="1" applyFill="1" applyBorder="1" applyAlignment="1">
      <alignment horizontal="center" vertical="center" shrinkToFit="1"/>
    </xf>
    <xf numFmtId="0" fontId="71" fillId="13" borderId="11" xfId="4" applyFont="1" applyFill="1" applyBorder="1" applyAlignment="1">
      <alignment horizontal="center" vertical="center" shrinkToFit="1"/>
    </xf>
    <xf numFmtId="0" fontId="71" fillId="13" borderId="10" xfId="4" applyFont="1" applyFill="1" applyBorder="1" applyAlignment="1">
      <alignment horizontal="center" vertical="center" shrinkToFit="1"/>
    </xf>
    <xf numFmtId="0" fontId="71" fillId="13" borderId="12" xfId="4" applyFont="1" applyFill="1" applyBorder="1" applyAlignment="1">
      <alignment horizontal="center" vertical="center" shrinkToFit="1"/>
    </xf>
    <xf numFmtId="0" fontId="71" fillId="13" borderId="13" xfId="4" applyFont="1" applyFill="1" applyBorder="1" applyAlignment="1">
      <alignment horizontal="center" vertical="center" shrinkToFit="1"/>
    </xf>
    <xf numFmtId="0" fontId="71" fillId="13" borderId="17" xfId="4" applyFont="1" applyFill="1" applyBorder="1" applyAlignment="1">
      <alignment horizontal="center" vertical="center" shrinkToFit="1"/>
    </xf>
    <xf numFmtId="0" fontId="71" fillId="13" borderId="19" xfId="4" applyFont="1" applyFill="1" applyBorder="1" applyAlignment="1">
      <alignment horizontal="center" vertical="center" shrinkToFit="1"/>
    </xf>
    <xf numFmtId="0" fontId="68" fillId="10" borderId="9" xfId="4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/>
    </xf>
    <xf numFmtId="0" fontId="58" fillId="8" borderId="22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2" fillId="8" borderId="8" xfId="0" applyFont="1" applyFill="1" applyBorder="1" applyAlignment="1">
      <alignment horizontal="center" vertical="center" wrapText="1"/>
    </xf>
    <xf numFmtId="0" fontId="42" fillId="8" borderId="17" xfId="0" applyFont="1" applyFill="1" applyBorder="1" applyAlignment="1">
      <alignment horizontal="center" vertical="center" wrapText="1"/>
    </xf>
    <xf numFmtId="0" fontId="42" fillId="8" borderId="1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3F5-49DC-ADB2-F49EE1B42F2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3F5-49DC-ADB2-F49EE1B42F24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3F5-49DC-ADB2-F49EE1B42F24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3F5-49DC-ADB2-F49EE1B42F24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3F5-49DC-ADB2-F49EE1B42F24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3F5-49DC-ADB2-F49EE1B42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2608"/>
        <c:axId val="181623000"/>
      </c:barChart>
      <c:catAx>
        <c:axId val="1816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16230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1623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16226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A9A-4D0A-A698-497EC9A2AA0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A-4D0A-A698-497EC9A2AA0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A9A-4D0A-A698-497EC9A2AA0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A9A-4D0A-A698-497EC9A2AA0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A9A-4D0A-A698-497EC9A2AA0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A9A-4D0A-A698-497EC9A2AA0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A9A-4D0A-A698-497EC9A2AA0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A9A-4D0A-A698-497EC9A2AA0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A9A-4D0A-A698-497EC9A2AA0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A9A-4D0A-A698-497EC9A2AA0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A9A-4D0A-A698-497EC9A2A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00864"/>
        <c:axId val="266901256"/>
      </c:lineChart>
      <c:catAx>
        <c:axId val="2669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690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6901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69008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34-4D7E-9488-B38B337C1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34-4D7E-9488-B38B337C1B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34-4D7E-9488-B38B337C1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4-4D7E-9488-B38B337C1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34-4D7E-9488-B38B337C1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34-4D7E-9488-B38B337C1B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34-4D7E-9488-B38B337C1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34-4D7E-9488-B38B337C1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34-4D7E-9488-B38B337C1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34-4D7E-9488-B38B337C1B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34-4D7E-9488-B38B337C1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34-4D7E-9488-B38B337C1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34-4D7E-9488-B38B337C1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34-4D7E-9488-B38B337C1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524768"/>
        <c:axId val="307525160"/>
      </c:barChart>
      <c:catAx>
        <c:axId val="30752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5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7525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4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B2-4338-A1D2-5D61BC9EC4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B2-4338-A1D2-5D61BC9EC4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B2-4338-A1D2-5D61BC9EC4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B2-4338-A1D2-5D61BC9EC4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B2-4338-A1D2-5D61BC9EC4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B2-4338-A1D2-5D61BC9EC4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B2-4338-A1D2-5D61BC9EC4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B2-4338-A1D2-5D61BC9EC4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B2-4338-A1D2-5D61BC9EC4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B2-4338-A1D2-5D61BC9EC4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B2-4338-A1D2-5D61BC9EC4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B2-4338-A1D2-5D61BC9EC4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B2-4338-A1D2-5D61BC9EC4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B2-4338-A1D2-5D61BC9EC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525944"/>
        <c:axId val="307526336"/>
      </c:barChart>
      <c:catAx>
        <c:axId val="307525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6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7526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5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20-4E85-8B1E-6EDE5C33D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20-4E85-8B1E-6EDE5C33D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20-4E85-8B1E-6EDE5C33D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20-4E85-8B1E-6EDE5C33D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20-4E85-8B1E-6EDE5C33D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20-4E85-8B1E-6EDE5C33D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20-4E85-8B1E-6EDE5C33D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20-4E85-8B1E-6EDE5C33D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20-4E85-8B1E-6EDE5C33D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20-4E85-8B1E-6EDE5C33D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20-4E85-8B1E-6EDE5C33D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20-4E85-8B1E-6EDE5C33D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20-4E85-8B1E-6EDE5C33D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20-4E85-8B1E-6EDE5C33D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527120"/>
        <c:axId val="307527512"/>
      </c:barChart>
      <c:catAx>
        <c:axId val="30752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7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7527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7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AC-4F34-816D-DC86695B12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AC-4F34-816D-DC86695B12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AC-4F34-816D-DC86695B12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AC-4F34-816D-DC86695B12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AC-4F34-816D-DC86695B12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AC-4F34-816D-DC86695B12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AC-4F34-816D-DC86695B12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AC-4F34-816D-DC86695B12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AC-4F34-816D-DC86695B12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AC-4F34-816D-DC86695B12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AC-4F34-816D-DC86695B12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AC-4F34-816D-DC86695B12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AC-4F34-816D-DC86695B12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AC-4F34-816D-DC86695B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528296"/>
        <c:axId val="307528688"/>
      </c:barChart>
      <c:catAx>
        <c:axId val="307528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8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7528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8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E1-42E2-AFA9-9CA89F27AC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E1-42E2-AFA9-9CA89F27AC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E1-42E2-AFA9-9CA89F27AC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E1-42E2-AFA9-9CA89F27AC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E1-42E2-AFA9-9CA89F27AC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E1-42E2-AFA9-9CA89F27AC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E1-42E2-AFA9-9CA89F27AC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E1-42E2-AFA9-9CA89F27AC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E1-42E2-AFA9-9CA89F27AC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E1-42E2-AFA9-9CA89F27AC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E1-42E2-AFA9-9CA89F27AC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E1-42E2-AFA9-9CA89F27AC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E1-42E2-AFA9-9CA89F27AC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E1-42E2-AFA9-9CA89F27A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529472"/>
        <c:axId val="307529864"/>
      </c:barChart>
      <c:catAx>
        <c:axId val="30752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9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7529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29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6D-4038-8847-6CD4ED78A4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6D-4038-8847-6CD4ED78A4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6D-4038-8847-6CD4ED78A4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6D-4038-8847-6CD4ED78A4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6D-4038-8847-6CD4ED78A4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6D-4038-8847-6CD4ED78A4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6D-4038-8847-6CD4ED78A4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6D-4038-8847-6CD4ED78A4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6D-4038-8847-6CD4ED78A4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6D-4038-8847-6CD4ED78A4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6D-4038-8847-6CD4ED78A4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6D-4038-8847-6CD4ED78A4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6D-4038-8847-6CD4ED78A4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6D-4038-8847-6CD4ED78A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530648"/>
        <c:axId val="307531040"/>
      </c:barChart>
      <c:catAx>
        <c:axId val="30753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3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7531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7530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8B-45EC-967C-13F3C620F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8B-45EC-967C-13F3C620F3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8B-45EC-967C-13F3C620F3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8B-45EC-967C-13F3C620F3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8B-45EC-967C-13F3C620F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8B-45EC-967C-13F3C620F3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8B-45EC-967C-13F3C620F3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8B-45EC-967C-13F3C620F3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8B-45EC-967C-13F3C620F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8B-45EC-967C-13F3C620F3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8B-45EC-967C-13F3C620F3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8B-45EC-967C-13F3C620F3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8B-45EC-967C-13F3C620F3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8B-45EC-967C-13F3C620F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58992"/>
        <c:axId val="308359384"/>
      </c:barChart>
      <c:catAx>
        <c:axId val="30835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5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35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5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75-4779-8128-3C4DB7CAA5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675-4779-8128-3C4DB7CAA5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75-4779-8128-3C4DB7CAA5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75-4779-8128-3C4DB7CAA5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75-4779-8128-3C4DB7CAA5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675-4779-8128-3C4DB7CAA5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75-4779-8128-3C4DB7CAA5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75-4779-8128-3C4DB7CAA5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75-4779-8128-3C4DB7CAA5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675-4779-8128-3C4DB7CAA5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75-4779-8128-3C4DB7CAA5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75-4779-8128-3C4DB7CAA5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75-4779-8128-3C4DB7CAA5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675-4779-8128-3C4DB7CAA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60168"/>
        <c:axId val="308360560"/>
      </c:barChart>
      <c:catAx>
        <c:axId val="30836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36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4D-4D48-84DE-B089110CE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4D-4D48-84DE-B089110CE7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4D-4D48-84DE-B089110CE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4D-4D48-84DE-B089110CE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4D-4D48-84DE-B089110CE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4D-4D48-84DE-B089110CE7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4D-4D48-84DE-B089110CE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4D-4D48-84DE-B089110CE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4D-4D48-84DE-B089110CE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4D-4D48-84DE-B089110CE7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4D-4D48-84DE-B089110CE7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4D-4D48-84DE-B089110CE7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4D-4D48-84DE-B089110CE7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4D-4D48-84DE-B089110CE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61344"/>
        <c:axId val="308361736"/>
      </c:barChart>
      <c:catAx>
        <c:axId val="30836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36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7A-4273-99C8-0AF24C165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7A-4273-99C8-0AF24C1657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7A-4273-99C8-0AF24C165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7A-4273-99C8-0AF24C165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7A-4273-99C8-0AF24C165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7A-4273-99C8-0AF24C1657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7A-4273-99C8-0AF24C165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7A-4273-99C8-0AF24C165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7A-4273-99C8-0AF24C165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7A-4273-99C8-0AF24C1657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7A-4273-99C8-0AF24C165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7A-4273-99C8-0AF24C165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7A-4273-99C8-0AF24C165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7A-4273-99C8-0AF24C165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62520"/>
        <c:axId val="308362912"/>
      </c:barChart>
      <c:catAx>
        <c:axId val="30836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36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15-4169-BF41-73A6821703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15-4169-BF41-73A6821703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15-4169-BF41-73A6821703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15-4169-BF41-73A6821703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15-4169-BF41-73A6821703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15-4169-BF41-73A6821703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15-4169-BF41-73A6821703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15-4169-BF41-73A6821703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15-4169-BF41-73A6821703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15-4169-BF41-73A6821703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15-4169-BF41-73A6821703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15-4169-BF41-73A6821703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15-4169-BF41-73A6821703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15-4169-BF41-73A682170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63696"/>
        <c:axId val="308364088"/>
      </c:barChart>
      <c:catAx>
        <c:axId val="30836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36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1-4EA9-A91E-94EBCC3B97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1-4EA9-A91E-94EBCC3B97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1-4EA9-A91E-94EBCC3B97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1-4EA9-A91E-94EBCC3B97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1-4EA9-A91E-94EBCC3B97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1-4EA9-A91E-94EBCC3B97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1-4EA9-A91E-94EBCC3B97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1-4EA9-A91E-94EBCC3B97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1-4EA9-A91E-94EBCC3B97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1-4EA9-A91E-94EBCC3B97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1-4EA9-A91E-94EBCC3B97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1-4EA9-A91E-94EBCC3B97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1-4EA9-A91E-94EBCC3B97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1-4EA9-A91E-94EBCC3B9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64872"/>
        <c:axId val="308365264"/>
      </c:barChart>
      <c:catAx>
        <c:axId val="308364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5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365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4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1-4414-A74F-BF9084DD91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1-4414-A74F-BF9084DD91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1-4414-A74F-BF9084DD91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1-4414-A74F-BF9084DD91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1-4414-A74F-BF9084DD91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1-4414-A74F-BF9084DD91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1-4414-A74F-BF9084DD91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1-4414-A74F-BF9084DD91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1-4414-A74F-BF9084DD91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1-4414-A74F-BF9084DD91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1-4414-A74F-BF9084DD91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1-4414-A74F-BF9084DD91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1-4414-A74F-BF9084DD91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1-4414-A74F-BF9084DD9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66048"/>
        <c:axId val="296955432"/>
      </c:barChart>
      <c:catAx>
        <c:axId val="30836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5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55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8366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16-4E21-8992-ACA7470DE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16-4E21-8992-ACA7470DED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16-4E21-8992-ACA7470DED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16-4E21-8992-ACA7470DED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16-4E21-8992-ACA7470DE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16-4E21-8992-ACA7470DED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16-4E21-8992-ACA7470DED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16-4E21-8992-ACA7470DED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16-4E21-8992-ACA7470DE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16-4E21-8992-ACA7470DED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16-4E21-8992-ACA7470DED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16-4E21-8992-ACA7470DED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16-4E21-8992-ACA7470DE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16-4E21-8992-ACA7470DE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56216"/>
        <c:axId val="296956608"/>
      </c:barChart>
      <c:catAx>
        <c:axId val="29695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5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6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AE-4224-A1DF-783253A973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AE-4224-A1DF-783253A9731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E-4224-A1DF-783253A973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E-4224-A1DF-783253A973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E-4224-A1DF-783253A973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AE-4224-A1DF-783253A9731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AE-4224-A1DF-783253A973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AE-4224-A1DF-783253A973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AE-4224-A1DF-783253A973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AE-4224-A1DF-783253A9731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AE-4224-A1DF-783253A973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AE-4224-A1DF-783253A973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AE-4224-A1DF-783253A973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AE-4224-A1DF-783253A9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57392"/>
        <c:axId val="296957784"/>
      </c:barChart>
      <c:catAx>
        <c:axId val="29695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5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83-4A93-AE47-EB00D9C432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83-4A93-AE47-EB00D9C4320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83-4A93-AE47-EB00D9C432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83-4A93-AE47-EB00D9C432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83-4A93-AE47-EB00D9C432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83-4A93-AE47-EB00D9C4320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83-4A93-AE47-EB00D9C432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83-4A93-AE47-EB00D9C432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83-4A93-AE47-EB00D9C432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83-4A93-AE47-EB00D9C4320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83-4A93-AE47-EB00D9C432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83-4A93-AE47-EB00D9C432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83-4A93-AE47-EB00D9C432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83-4A93-AE47-EB00D9C43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58568"/>
        <c:axId val="296958960"/>
      </c:barChart>
      <c:catAx>
        <c:axId val="296958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8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58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8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ED-4903-A625-A9B411E29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ED-4903-A625-A9B411E29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ED-4903-A625-A9B411E29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ED-4903-A625-A9B411E29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ED-4903-A625-A9B411E29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ED-4903-A625-A9B411E29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ED-4903-A625-A9B411E29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ED-4903-A625-A9B411E29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ED-4903-A625-A9B411E29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ED-4903-A625-A9B411E29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ED-4903-A625-A9B411E29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ED-4903-A625-A9B411E29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ED-4903-A625-A9B411E29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ED-4903-A625-A9B411E29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59744"/>
        <c:axId val="296960136"/>
      </c:barChart>
      <c:catAx>
        <c:axId val="29695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60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60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59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58-4668-AA0C-2AE56B774C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58-4668-AA0C-2AE56B774C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58-4668-AA0C-2AE56B774C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8-4668-AA0C-2AE56B774C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58-4668-AA0C-2AE56B774C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58-4668-AA0C-2AE56B774C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58-4668-AA0C-2AE56B774C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8-4668-AA0C-2AE56B774C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58-4668-AA0C-2AE56B774C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58-4668-AA0C-2AE56B774C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58-4668-AA0C-2AE56B774C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58-4668-AA0C-2AE56B774C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58-4668-AA0C-2AE56B774C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58-4668-AA0C-2AE56B774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60920"/>
        <c:axId val="296961312"/>
      </c:barChart>
      <c:catAx>
        <c:axId val="29696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61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61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60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10-4620-8E12-0FD916FB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10-4620-8E12-0FD916FBE3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10-4620-8E12-0FD916FBE3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10-4620-8E12-0FD916FBE3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10-4620-8E12-0FD916FB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10-4620-8E12-0FD916FBE3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10-4620-8E12-0FD916FBE3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10-4620-8E12-0FD916FBE3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10-4620-8E12-0FD916FB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10-4620-8E12-0FD916FBE3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10-4620-8E12-0FD916FBE3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10-4620-8E12-0FD916FBE3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10-4620-8E12-0FD916FBE3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10-4620-8E12-0FD916FBE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62096"/>
        <c:axId val="296962488"/>
      </c:barChart>
      <c:catAx>
        <c:axId val="29696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62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6962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B7-4EA4-8857-F8ABF4917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B7-4EA4-8857-F8ABF4917E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B7-4EA4-8857-F8ABF4917E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B7-4EA4-8857-F8ABF4917E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B7-4EA4-8857-F8ABF4917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B7-4EA4-8857-F8ABF4917E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B7-4EA4-8857-F8ABF4917E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B7-4EA4-8857-F8ABF4917E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B7-4EA4-8857-F8ABF4917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B7-4EA4-8857-F8ABF4917E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B7-4EA4-8857-F8ABF4917E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B7-4EA4-8857-F8ABF4917E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B7-4EA4-8857-F8ABF4917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B7-4EA4-8857-F8ABF4917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073672"/>
        <c:axId val="298074064"/>
      </c:barChart>
      <c:catAx>
        <c:axId val="298073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4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074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3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78-4C17-B7A3-13F0C3050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78-4C17-B7A3-13F0C30501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78-4C17-B7A3-13F0C3050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78-4C17-B7A3-13F0C3050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78-4C17-B7A3-13F0C3050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78-4C17-B7A3-13F0C30501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78-4C17-B7A3-13F0C3050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78-4C17-B7A3-13F0C3050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78-4C17-B7A3-13F0C3050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78-4C17-B7A3-13F0C30501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78-4C17-B7A3-13F0C3050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78-4C17-B7A3-13F0C3050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78-4C17-B7A3-13F0C3050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78-4C17-B7A3-13F0C3050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074848"/>
        <c:axId val="298075240"/>
      </c:barChart>
      <c:catAx>
        <c:axId val="29807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5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075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4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D0-4A51-B1EF-49400D435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D0-4A51-B1EF-49400D435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D0-4A51-B1EF-49400D435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D0-4A51-B1EF-49400D435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D0-4A51-B1EF-49400D435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D0-4A51-B1EF-49400D435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D0-4A51-B1EF-49400D435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D0-4A51-B1EF-49400D435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D0-4A51-B1EF-49400D435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D0-4A51-B1EF-49400D435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D0-4A51-B1EF-49400D435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D0-4A51-B1EF-49400D435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D0-4A51-B1EF-49400D435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D0-4A51-B1EF-49400D43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076024"/>
        <c:axId val="298076416"/>
      </c:barChart>
      <c:catAx>
        <c:axId val="29807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076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6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7A-426A-8409-CB61ED9B2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7A-426A-8409-CB61ED9B21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7A-426A-8409-CB61ED9B2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7A-426A-8409-CB61ED9B2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7A-426A-8409-CB61ED9B2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7A-426A-8409-CB61ED9B21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7A-426A-8409-CB61ED9B2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7A-426A-8409-CB61ED9B2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7A-426A-8409-CB61ED9B2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7A-426A-8409-CB61ED9B21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7A-426A-8409-CB61ED9B2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7A-426A-8409-CB61ED9B2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7A-426A-8409-CB61ED9B2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7A-426A-8409-CB61ED9B2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077200"/>
        <c:axId val="298077592"/>
      </c:barChart>
      <c:catAx>
        <c:axId val="29807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7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077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7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BE-4234-B3B6-255EA89D88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BE-4234-B3B6-255EA89D88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BE-4234-B3B6-255EA89D88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BE-4234-B3B6-255EA89D88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BE-4234-B3B6-255EA89D88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BE-4234-B3B6-255EA89D88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BE-4234-B3B6-255EA89D88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BE-4234-B3B6-255EA89D88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BE-4234-B3B6-255EA89D88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BE-4234-B3B6-255EA89D88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BE-4234-B3B6-255EA89D88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BE-4234-B3B6-255EA89D88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BE-4234-B3B6-255EA89D88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BE-4234-B3B6-255EA89D8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078376"/>
        <c:axId val="298078768"/>
      </c:barChart>
      <c:catAx>
        <c:axId val="298078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8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078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8078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169811</xdr:colOff>
      <xdr:row>0</xdr:row>
      <xdr:rowOff>89310</xdr:rowOff>
    </xdr:from>
    <xdr:to>
      <xdr:col>2</xdr:col>
      <xdr:colOff>48992</xdr:colOff>
      <xdr:row>2</xdr:row>
      <xdr:rowOff>163871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811" y="89310"/>
          <a:ext cx="893133" cy="8017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174113</xdr:colOff>
      <xdr:row>0</xdr:row>
      <xdr:rowOff>122904</xdr:rowOff>
    </xdr:from>
    <xdr:to>
      <xdr:col>3</xdr:col>
      <xdr:colOff>325387</xdr:colOff>
      <xdr:row>2</xdr:row>
      <xdr:rowOff>153917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88065" y="122904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40">
        <v>777</v>
      </c>
      <c r="B1" s="41" t="s">
        <v>14</v>
      </c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2"/>
      <c r="W1" s="2"/>
    </row>
    <row r="2" spans="1:23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  <c r="V2" s="2"/>
      <c r="W2" s="2"/>
    </row>
    <row r="3" spans="1:23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  <c r="V3" s="2"/>
      <c r="W3" s="2"/>
    </row>
    <row r="4" spans="1:23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  <c r="V4" s="2"/>
      <c r="W4" s="2"/>
    </row>
    <row r="5" spans="1:23" ht="32.25" customHeight="1">
      <c r="A5" s="45"/>
      <c r="B5" s="98"/>
      <c r="C5" s="66"/>
      <c r="D5" s="66"/>
      <c r="E5" s="160" t="s">
        <v>71</v>
      </c>
      <c r="F5" s="160"/>
      <c r="G5" s="160"/>
      <c r="H5" s="160"/>
      <c r="I5" s="160"/>
      <c r="J5" s="160"/>
      <c r="K5" s="160"/>
      <c r="L5" s="160"/>
      <c r="M5" s="160"/>
      <c r="N5" s="67"/>
      <c r="O5" s="60"/>
      <c r="P5" s="60"/>
      <c r="Q5" s="99"/>
      <c r="R5" s="42"/>
      <c r="S5" s="42"/>
      <c r="T5" s="42"/>
      <c r="U5" s="43"/>
      <c r="V5" s="2"/>
      <c r="W5" s="2"/>
    </row>
    <row r="6" spans="1:23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  <c r="V6" s="2"/>
      <c r="W6" s="2"/>
    </row>
    <row r="7" spans="1:23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  <c r="V7" s="2"/>
      <c r="W7" s="2"/>
    </row>
    <row r="8" spans="1:23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  <c r="V8" s="2"/>
      <c r="W8" s="2"/>
    </row>
    <row r="9" spans="1:23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  <c r="V9" s="2"/>
      <c r="W9" s="2"/>
    </row>
    <row r="10" spans="1:23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  <c r="V10" s="2"/>
      <c r="W10" s="2"/>
    </row>
    <row r="11" spans="1:23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  <c r="V11" s="2"/>
      <c r="W11" s="2"/>
    </row>
    <row r="12" spans="1:23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  <c r="V12" s="2"/>
      <c r="W12" s="2"/>
    </row>
    <row r="13" spans="1:23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  <c r="V13" s="2"/>
      <c r="W13" s="2"/>
    </row>
    <row r="14" spans="1:23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  <c r="V14" s="2"/>
      <c r="W14" s="2"/>
    </row>
    <row r="15" spans="1:23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  <c r="V15" s="2"/>
      <c r="W15" s="2"/>
    </row>
    <row r="16" spans="1:23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  <c r="V16" s="2"/>
      <c r="W16" s="2"/>
    </row>
    <row r="17" spans="1:23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  <c r="V17" s="2"/>
      <c r="W17" s="2"/>
    </row>
    <row r="18" spans="1:23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  <c r="V18" s="2"/>
      <c r="W18" s="2"/>
    </row>
    <row r="19" spans="1:23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  <c r="V19" s="2"/>
      <c r="W19" s="2"/>
    </row>
    <row r="20" spans="1:23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  <c r="V20" s="2"/>
      <c r="W20" s="2"/>
    </row>
    <row r="21" spans="1:23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  <c r="V21" s="2"/>
      <c r="W21" s="2"/>
    </row>
    <row r="22" spans="1:23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  <c r="V22" s="2"/>
      <c r="W22" s="2"/>
    </row>
    <row r="23" spans="1:23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  <c r="V23" s="2"/>
      <c r="W23" s="2"/>
    </row>
    <row r="24" spans="1:23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  <c r="V24" s="2"/>
      <c r="W24" s="2"/>
    </row>
    <row r="25" spans="1:23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  <c r="V25" s="2"/>
      <c r="W25" s="2"/>
    </row>
    <row r="26" spans="1:23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3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25</v>
      </c>
    </row>
    <row r="72" spans="2:2">
      <c r="B72" s="9" t="s">
        <v>27</v>
      </c>
    </row>
    <row r="73" spans="2:2">
      <c r="B73" s="10" t="s">
        <v>31</v>
      </c>
    </row>
    <row r="74" spans="2:2">
      <c r="B74" s="11"/>
    </row>
    <row r="76" spans="2:2">
      <c r="B76" s="8" t="s">
        <v>25</v>
      </c>
    </row>
    <row r="77" spans="2:2">
      <c r="B77" s="9" t="s">
        <v>28</v>
      </c>
    </row>
    <row r="78" spans="2:2">
      <c r="B78" s="10" t="s">
        <v>32</v>
      </c>
    </row>
    <row r="79" spans="2:2">
      <c r="B79" s="11"/>
    </row>
    <row r="81" spans="2:2">
      <c r="B81" s="8" t="s">
        <v>33</v>
      </c>
    </row>
    <row r="82" spans="2:2">
      <c r="B82" s="9" t="s">
        <v>21</v>
      </c>
    </row>
    <row r="83" spans="2:2">
      <c r="B83" s="10" t="s">
        <v>29</v>
      </c>
    </row>
    <row r="84" spans="2:2">
      <c r="B84" s="10" t="s">
        <v>34</v>
      </c>
    </row>
    <row r="85" spans="2:2">
      <c r="B85" s="10" t="s">
        <v>35</v>
      </c>
    </row>
    <row r="86" spans="2:2">
      <c r="B86" s="10" t="s">
        <v>36</v>
      </c>
    </row>
    <row r="87" spans="2:2">
      <c r="B87" s="11" t="s">
        <v>37</v>
      </c>
    </row>
    <row r="88" spans="2:2">
      <c r="B88" s="1"/>
    </row>
    <row r="89" spans="2:2">
      <c r="B89" s="8" t="s">
        <v>38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39</v>
      </c>
    </row>
    <row r="95" spans="2:2">
      <c r="B95" s="14" t="s">
        <v>40</v>
      </c>
    </row>
    <row r="96" spans="2:2">
      <c r="B96" s="14" t="s">
        <v>30</v>
      </c>
    </row>
    <row r="97" spans="2:2">
      <c r="B97" s="15" t="s">
        <v>41</v>
      </c>
    </row>
    <row r="98" spans="2:2">
      <c r="B98" s="1"/>
    </row>
    <row r="99" spans="2:2">
      <c r="B99" s="8" t="s">
        <v>26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42</v>
      </c>
    </row>
    <row r="111" spans="2:2">
      <c r="B111" s="9" t="s">
        <v>43</v>
      </c>
    </row>
    <row r="112" spans="2:2">
      <c r="B112" s="10" t="s">
        <v>44</v>
      </c>
    </row>
    <row r="113" spans="2:2">
      <c r="B113" s="10" t="s">
        <v>45</v>
      </c>
    </row>
    <row r="114" spans="2:2">
      <c r="B114" s="11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H6"/>
  <sheetViews>
    <sheetView showGridLines="0" tabSelected="1" zoomScale="93" zoomScaleNormal="100" workbookViewId="0">
      <pane xSplit="13" ySplit="4" topLeftCell="X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4.25" customHeight="1"/>
  <cols>
    <col min="1" max="1" width="5.5" customWidth="1"/>
    <col min="2" max="2" width="7.75" customWidth="1"/>
    <col min="3" max="3" width="9.125" customWidth="1"/>
    <col min="4" max="4" width="10.625" bestFit="1" customWidth="1"/>
    <col min="5" max="5" width="10.5" customWidth="1"/>
    <col min="6" max="6" width="13.37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E1" s="169" t="s">
        <v>18</v>
      </c>
      <c r="F1" s="169"/>
      <c r="G1" s="169"/>
      <c r="H1" s="169"/>
      <c r="I1" s="169"/>
      <c r="J1" s="169"/>
      <c r="K1" s="169"/>
      <c r="L1" s="169"/>
      <c r="M1" s="169"/>
      <c r="N1" s="7"/>
      <c r="O1" s="171"/>
      <c r="P1" s="171"/>
      <c r="Q1" s="171"/>
      <c r="R1" s="171"/>
      <c r="S1" s="171"/>
      <c r="T1" s="171"/>
      <c r="U1" s="171"/>
      <c r="V1" s="171"/>
      <c r="W1" s="171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69" t="s">
        <v>19</v>
      </c>
      <c r="F2" s="169"/>
      <c r="G2" s="169"/>
      <c r="H2" s="169"/>
      <c r="I2" s="169"/>
      <c r="J2" s="169"/>
      <c r="K2" s="169"/>
      <c r="L2" s="169"/>
      <c r="M2" s="169"/>
      <c r="N2" s="172" t="s">
        <v>99</v>
      </c>
      <c r="O2" s="173"/>
      <c r="P2" s="175" t="s">
        <v>100</v>
      </c>
      <c r="Q2" s="175"/>
      <c r="R2" s="175"/>
      <c r="S2" s="175"/>
      <c r="T2" s="175"/>
      <c r="U2" s="184"/>
      <c r="V2" s="174" t="s">
        <v>99</v>
      </c>
      <c r="W2" s="175"/>
      <c r="X2" s="163" t="s">
        <v>84</v>
      </c>
      <c r="Y2" s="164"/>
      <c r="Z2" s="164"/>
      <c r="AA2" s="164"/>
      <c r="AB2" s="162" t="s">
        <v>83</v>
      </c>
      <c r="AC2" s="162"/>
      <c r="AD2" s="165" t="s">
        <v>85</v>
      </c>
      <c r="AE2" s="165"/>
      <c r="AF2" s="165"/>
      <c r="AG2" s="165"/>
      <c r="AH2" s="166"/>
    </row>
    <row r="3" spans="1:34" ht="23.25">
      <c r="E3" s="170" t="s">
        <v>108</v>
      </c>
      <c r="F3" s="170"/>
      <c r="G3" s="170"/>
      <c r="H3" s="170"/>
      <c r="I3" s="170"/>
      <c r="J3" s="170"/>
      <c r="K3" s="170"/>
      <c r="L3" s="170"/>
      <c r="M3" s="170"/>
      <c r="N3" s="178" t="s">
        <v>101</v>
      </c>
      <c r="O3" s="179"/>
      <c r="P3" s="180" t="s">
        <v>70</v>
      </c>
      <c r="Q3" s="181"/>
      <c r="R3" s="180" t="s">
        <v>94</v>
      </c>
      <c r="S3" s="181"/>
      <c r="T3" s="182" t="s">
        <v>93</v>
      </c>
      <c r="U3" s="183"/>
      <c r="V3" s="176" t="s">
        <v>92</v>
      </c>
      <c r="W3" s="177"/>
      <c r="X3" s="167" t="s">
        <v>80</v>
      </c>
      <c r="Y3" s="168"/>
      <c r="Z3" s="150" t="s">
        <v>81</v>
      </c>
      <c r="AA3" s="150" t="s">
        <v>75</v>
      </c>
      <c r="AB3" s="151" t="s">
        <v>77</v>
      </c>
      <c r="AC3" s="151" t="s">
        <v>79</v>
      </c>
      <c r="AD3" s="161" t="s">
        <v>82</v>
      </c>
      <c r="AE3" s="161"/>
      <c r="AF3" s="161" t="s">
        <v>81</v>
      </c>
      <c r="AG3" s="161"/>
      <c r="AH3" s="152" t="s">
        <v>75</v>
      </c>
    </row>
    <row r="4" spans="1:34" ht="30">
      <c r="A4" s="153" t="s">
        <v>25</v>
      </c>
      <c r="B4" s="159" t="s">
        <v>102</v>
      </c>
      <c r="C4" s="153" t="s">
        <v>103</v>
      </c>
      <c r="D4" s="153" t="s">
        <v>20</v>
      </c>
      <c r="E4" s="153" t="s">
        <v>1</v>
      </c>
      <c r="F4" s="153" t="s">
        <v>104</v>
      </c>
      <c r="G4" s="153" t="s">
        <v>5</v>
      </c>
      <c r="H4" s="153" t="s">
        <v>105</v>
      </c>
      <c r="I4" s="153" t="s">
        <v>61</v>
      </c>
      <c r="J4" s="153" t="s">
        <v>95</v>
      </c>
      <c r="K4" s="153" t="s">
        <v>22</v>
      </c>
      <c r="L4" s="153" t="s">
        <v>23</v>
      </c>
      <c r="M4" s="153" t="s">
        <v>106</v>
      </c>
      <c r="N4" s="154" t="s">
        <v>17</v>
      </c>
      <c r="O4" s="154" t="s">
        <v>2</v>
      </c>
      <c r="P4" s="154" t="s">
        <v>17</v>
      </c>
      <c r="Q4" s="154" t="s">
        <v>2</v>
      </c>
      <c r="R4" s="154" t="s">
        <v>17</v>
      </c>
      <c r="S4" s="154" t="s">
        <v>2</v>
      </c>
      <c r="T4" s="154" t="s">
        <v>17</v>
      </c>
      <c r="U4" s="154" t="s">
        <v>2</v>
      </c>
      <c r="V4" s="154" t="s">
        <v>17</v>
      </c>
      <c r="W4" s="154" t="s">
        <v>2</v>
      </c>
      <c r="X4" s="155" t="s">
        <v>86</v>
      </c>
      <c r="Y4" s="155" t="s">
        <v>87</v>
      </c>
      <c r="Z4" s="155" t="s">
        <v>86</v>
      </c>
      <c r="AA4" s="155" t="s">
        <v>76</v>
      </c>
      <c r="AB4" s="156" t="s">
        <v>78</v>
      </c>
      <c r="AC4" s="156" t="s">
        <v>88</v>
      </c>
      <c r="AD4" s="157" t="s">
        <v>86</v>
      </c>
      <c r="AE4" s="157" t="s">
        <v>87</v>
      </c>
      <c r="AF4" s="157" t="s">
        <v>86</v>
      </c>
      <c r="AG4" s="157" t="s">
        <v>89</v>
      </c>
      <c r="AH4" s="157" t="s">
        <v>76</v>
      </c>
    </row>
    <row r="5" spans="1:34" ht="15.75">
      <c r="A5" s="142" t="s">
        <v>107</v>
      </c>
      <c r="B5" s="143">
        <v>127.37</v>
      </c>
      <c r="C5" s="143">
        <v>16.690000000000001</v>
      </c>
      <c r="D5" s="142" t="s">
        <v>21</v>
      </c>
      <c r="E5" s="144">
        <v>42950</v>
      </c>
      <c r="F5" s="137" t="s">
        <v>91</v>
      </c>
      <c r="G5" s="138">
        <v>3248</v>
      </c>
      <c r="H5" s="139">
        <v>90388</v>
      </c>
      <c r="I5" s="139">
        <v>2137490</v>
      </c>
      <c r="J5" s="145">
        <v>364</v>
      </c>
      <c r="K5" s="139">
        <v>54</v>
      </c>
      <c r="L5" s="138">
        <v>3.38</v>
      </c>
      <c r="M5" s="138">
        <v>80</v>
      </c>
      <c r="N5" s="141">
        <v>85.3</v>
      </c>
      <c r="O5" s="140">
        <v>101</v>
      </c>
      <c r="P5" s="140">
        <v>87.3</v>
      </c>
      <c r="Q5" s="140">
        <v>103.3</v>
      </c>
      <c r="R5" s="140">
        <v>89.8</v>
      </c>
      <c r="S5" s="140">
        <v>105.1</v>
      </c>
      <c r="T5" s="140">
        <v>88.1</v>
      </c>
      <c r="U5" s="140">
        <v>103.4</v>
      </c>
      <c r="V5" s="138">
        <v>85.2</v>
      </c>
      <c r="W5" s="141">
        <v>101.3</v>
      </c>
      <c r="X5" s="146">
        <v>880</v>
      </c>
      <c r="Y5" s="146">
        <v>800</v>
      </c>
      <c r="Z5" s="147">
        <v>930</v>
      </c>
      <c r="AA5" s="147">
        <v>140</v>
      </c>
      <c r="AB5" s="148">
        <v>0.12</v>
      </c>
      <c r="AC5" s="147">
        <v>1700</v>
      </c>
      <c r="AD5" s="149">
        <v>710</v>
      </c>
      <c r="AE5" s="149">
        <v>660</v>
      </c>
      <c r="AF5" s="149">
        <v>710</v>
      </c>
      <c r="AG5" s="149">
        <v>710</v>
      </c>
      <c r="AH5" s="147">
        <v>140</v>
      </c>
    </row>
    <row r="6" spans="1:34" ht="15.75">
      <c r="A6" s="142" t="s">
        <v>107</v>
      </c>
      <c r="B6" s="143">
        <v>127.37</v>
      </c>
      <c r="C6" s="143">
        <v>16.690000000000001</v>
      </c>
      <c r="D6" s="142" t="s">
        <v>21</v>
      </c>
      <c r="E6" s="144">
        <v>42950</v>
      </c>
      <c r="F6" s="137" t="s">
        <v>91</v>
      </c>
      <c r="G6" s="138">
        <v>3248</v>
      </c>
      <c r="H6" s="139">
        <v>90388</v>
      </c>
      <c r="I6" s="139">
        <v>2137490</v>
      </c>
      <c r="J6" s="145">
        <v>364</v>
      </c>
      <c r="K6" s="139">
        <v>54</v>
      </c>
      <c r="L6" s="138">
        <v>3.38</v>
      </c>
      <c r="M6" s="138">
        <v>124</v>
      </c>
      <c r="N6" s="141">
        <v>83.3</v>
      </c>
      <c r="O6" s="140">
        <v>99.5</v>
      </c>
      <c r="P6" s="140">
        <v>83.6</v>
      </c>
      <c r="Q6" s="140">
        <v>99.6</v>
      </c>
      <c r="R6" s="140">
        <v>87.8</v>
      </c>
      <c r="S6" s="140">
        <v>103.9</v>
      </c>
      <c r="T6" s="140">
        <v>83.9</v>
      </c>
      <c r="U6" s="140">
        <v>100.1</v>
      </c>
      <c r="V6" s="138">
        <v>84.4</v>
      </c>
      <c r="W6" s="141">
        <v>100.8</v>
      </c>
      <c r="X6" s="146">
        <v>880</v>
      </c>
      <c r="Y6" s="146">
        <v>800</v>
      </c>
      <c r="Z6" s="147">
        <v>930</v>
      </c>
      <c r="AA6" s="147">
        <v>140</v>
      </c>
      <c r="AB6" s="148">
        <v>0.12</v>
      </c>
      <c r="AC6" s="147">
        <v>1700</v>
      </c>
      <c r="AD6" s="149">
        <v>710</v>
      </c>
      <c r="AE6" s="149">
        <v>660</v>
      </c>
      <c r="AF6" s="149">
        <v>710</v>
      </c>
      <c r="AG6" s="149">
        <v>710</v>
      </c>
      <c r="AH6" s="147">
        <v>140</v>
      </c>
    </row>
  </sheetData>
  <protectedRanges>
    <protectedRange sqref="H5:I15 K7:K15" name="Rango1_1"/>
    <protectedRange sqref="K5:K6" name="Rango1_1_2"/>
  </protectedRanges>
  <autoFilter ref="A4:AH4" xr:uid="{00000000-0001-0000-0100-000000000000}"/>
  <mergeCells count="18">
    <mergeCell ref="E1:M1"/>
    <mergeCell ref="E2:M2"/>
    <mergeCell ref="E3:M3"/>
    <mergeCell ref="O1:W1"/>
    <mergeCell ref="N2:O2"/>
    <mergeCell ref="V2:W2"/>
    <mergeCell ref="V3:W3"/>
    <mergeCell ref="N3:O3"/>
    <mergeCell ref="P3:Q3"/>
    <mergeCell ref="R3:S3"/>
    <mergeCell ref="T3:U3"/>
    <mergeCell ref="P2:U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6">
    <cfRule type="expression" dxfId="22" priority="97" stopIfTrue="1">
      <formula>"SEVERSTAL"</formula>
    </cfRule>
  </conditionalFormatting>
  <conditionalFormatting sqref="H5:I6">
    <cfRule type="cellIs" dxfId="21" priority="98" stopIfTrue="1" operator="equal">
      <formula>"APROBADO"</formula>
    </cfRule>
    <cfRule type="cellIs" dxfId="20" priority="99" stopIfTrue="1" operator="equal">
      <formula>"ESPERA"</formula>
    </cfRule>
    <cfRule type="cellIs" dxfId="19" priority="100" stopIfTrue="1" operator="equal">
      <formula>"RECHAZADO"</formula>
    </cfRule>
  </conditionalFormatting>
  <conditionalFormatting sqref="K5:K6">
    <cfRule type="cellIs" dxfId="18" priority="1" stopIfTrue="1" operator="equal">
      <formula>"APROBADO"</formula>
    </cfRule>
    <cfRule type="cellIs" dxfId="17" priority="2" stopIfTrue="1" operator="equal">
      <formula>"ESPERA"</formula>
    </cfRule>
    <cfRule type="cellIs" dxfId="1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46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29" width="11.75" customWidth="1"/>
    <col min="30" max="30" width="14" customWidth="1"/>
    <col min="31" max="31" width="8.5" customWidth="1"/>
    <col min="33" max="33" width="8.25" customWidth="1"/>
  </cols>
  <sheetData>
    <row r="1" spans="1:33" ht="27" customHeight="1">
      <c r="A1" s="19"/>
      <c r="B1" s="19"/>
      <c r="C1" s="19"/>
      <c r="D1" s="19"/>
      <c r="E1" s="19"/>
      <c r="F1" s="19"/>
      <c r="G1" s="19" t="s">
        <v>58</v>
      </c>
      <c r="H1" s="126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</row>
    <row r="2" spans="1:33" ht="30.75">
      <c r="A2" s="20"/>
      <c r="B2" s="21"/>
      <c r="C2" s="21"/>
      <c r="D2" s="21"/>
      <c r="E2" s="19"/>
      <c r="F2" s="22"/>
      <c r="G2" s="22"/>
      <c r="H2" s="127"/>
      <c r="I2" s="23"/>
      <c r="J2" s="24" t="s">
        <v>96</v>
      </c>
      <c r="K2" s="24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19"/>
      <c r="X2" s="19"/>
      <c r="Y2" s="19"/>
      <c r="Z2" s="19"/>
      <c r="AA2" s="19"/>
      <c r="AB2" s="19"/>
      <c r="AC2" s="19"/>
      <c r="AD2" s="19"/>
      <c r="AE2" s="19"/>
      <c r="AF2" s="20"/>
      <c r="AG2" s="19"/>
    </row>
    <row r="3" spans="1:33" ht="16.5" customHeight="1">
      <c r="A3" s="25"/>
      <c r="B3" s="25"/>
      <c r="C3" s="25"/>
      <c r="D3" s="25"/>
      <c r="E3" s="39"/>
      <c r="F3" s="185"/>
      <c r="G3" s="185"/>
      <c r="H3" s="128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19"/>
      <c r="X3" s="26"/>
      <c r="Y3" s="26"/>
      <c r="Z3" s="26">
        <f>3600/140</f>
        <v>25.714285714285715</v>
      </c>
      <c r="AA3" s="26"/>
      <c r="AB3" s="26"/>
      <c r="AC3" s="26"/>
      <c r="AD3" s="26"/>
      <c r="AE3" s="27" t="s">
        <v>24</v>
      </c>
      <c r="AF3" s="20" t="s">
        <v>97</v>
      </c>
      <c r="AG3" s="28"/>
    </row>
    <row r="4" spans="1:33" ht="26.25" customHeight="1">
      <c r="A4" s="20"/>
      <c r="B4" s="20"/>
      <c r="C4" s="20"/>
      <c r="D4" s="20"/>
      <c r="E4" s="20"/>
      <c r="F4" s="29"/>
      <c r="G4" s="20"/>
      <c r="H4" s="129"/>
      <c r="I4" s="187" t="s">
        <v>59</v>
      </c>
      <c r="J4" s="187"/>
      <c r="K4" s="187"/>
      <c r="L4" s="187"/>
      <c r="M4" s="187"/>
      <c r="N4" s="187"/>
      <c r="O4" s="187"/>
      <c r="P4" s="186" t="s">
        <v>60</v>
      </c>
      <c r="Q4" s="186"/>
      <c r="R4" s="186"/>
      <c r="S4" s="186"/>
      <c r="T4" s="186"/>
      <c r="U4" s="186"/>
      <c r="V4" s="132"/>
      <c r="W4" s="19"/>
      <c r="X4" s="30"/>
      <c r="Y4" s="30"/>
      <c r="Z4" s="30"/>
      <c r="AA4" s="30"/>
      <c r="AB4" s="30"/>
      <c r="AC4" s="30"/>
      <c r="AD4" s="31" t="s">
        <v>55</v>
      </c>
      <c r="AE4" s="32"/>
      <c r="AF4" s="20"/>
      <c r="AG4" s="32"/>
    </row>
    <row r="5" spans="1:33" ht="21" customHeight="1">
      <c r="A5" s="33"/>
      <c r="B5" s="20"/>
      <c r="C5" s="20"/>
      <c r="D5" s="20"/>
      <c r="E5" s="20"/>
      <c r="F5" s="34"/>
      <c r="G5" s="35"/>
      <c r="H5" s="128"/>
      <c r="I5" s="189" t="s">
        <v>8</v>
      </c>
      <c r="J5" s="190"/>
      <c r="K5" s="188" t="s">
        <v>9</v>
      </c>
      <c r="L5" s="189"/>
      <c r="M5" s="189"/>
      <c r="N5" s="189"/>
      <c r="O5" s="190"/>
      <c r="P5" s="188" t="s">
        <v>13</v>
      </c>
      <c r="Q5" s="190"/>
      <c r="R5" s="188" t="s">
        <v>9</v>
      </c>
      <c r="S5" s="189"/>
      <c r="T5" s="189"/>
      <c r="U5" s="189"/>
      <c r="V5" s="133"/>
      <c r="W5" s="36"/>
      <c r="X5" s="30"/>
      <c r="Y5" s="30"/>
      <c r="Z5" s="30"/>
      <c r="AA5" s="30"/>
      <c r="AB5" s="30"/>
      <c r="AC5" s="30"/>
      <c r="AD5" s="31" t="s">
        <v>56</v>
      </c>
      <c r="AE5" s="32"/>
      <c r="AF5" s="20"/>
      <c r="AG5" s="32"/>
    </row>
    <row r="6" spans="1:33" ht="56.25" customHeight="1">
      <c r="A6" s="134" t="s">
        <v>1</v>
      </c>
      <c r="B6" s="134" t="s">
        <v>4</v>
      </c>
      <c r="C6" s="134" t="s">
        <v>61</v>
      </c>
      <c r="D6" s="134" t="s">
        <v>109</v>
      </c>
      <c r="E6" s="134" t="s">
        <v>3</v>
      </c>
      <c r="F6" s="134" t="s">
        <v>5</v>
      </c>
      <c r="G6" s="134" t="s">
        <v>12</v>
      </c>
      <c r="H6" s="135" t="s">
        <v>73</v>
      </c>
      <c r="I6" s="134" t="s">
        <v>7</v>
      </c>
      <c r="J6" s="134" t="s">
        <v>66</v>
      </c>
      <c r="K6" s="134" t="s">
        <v>65</v>
      </c>
      <c r="L6" s="134" t="s">
        <v>10</v>
      </c>
      <c r="M6" s="134" t="s">
        <v>11</v>
      </c>
      <c r="N6" s="134" t="s">
        <v>16</v>
      </c>
      <c r="O6" s="134" t="s">
        <v>67</v>
      </c>
      <c r="P6" s="134" t="s">
        <v>68</v>
      </c>
      <c r="Q6" s="134" t="s">
        <v>7</v>
      </c>
      <c r="R6" s="134" t="s">
        <v>10</v>
      </c>
      <c r="S6" s="134" t="s">
        <v>11</v>
      </c>
      <c r="T6" s="134" t="s">
        <v>16</v>
      </c>
      <c r="U6" s="134" t="s">
        <v>69</v>
      </c>
      <c r="V6" s="134" t="s">
        <v>65</v>
      </c>
      <c r="W6" s="134" t="s">
        <v>0</v>
      </c>
      <c r="X6" s="134" t="s">
        <v>6</v>
      </c>
      <c r="Y6" s="134" t="s">
        <v>54</v>
      </c>
      <c r="Z6" s="134" t="s">
        <v>64</v>
      </c>
      <c r="AA6" s="134" t="s">
        <v>90</v>
      </c>
      <c r="AB6" s="134" t="s">
        <v>72</v>
      </c>
      <c r="AC6" s="134" t="s">
        <v>63</v>
      </c>
      <c r="AD6" s="134" t="s">
        <v>62</v>
      </c>
      <c r="AE6" s="134" t="s">
        <v>53</v>
      </c>
      <c r="AF6" s="136" t="s">
        <v>74</v>
      </c>
      <c r="AG6" s="134" t="s">
        <v>57</v>
      </c>
    </row>
    <row r="7" spans="1:33" ht="15.75">
      <c r="A7" s="125">
        <v>42950</v>
      </c>
      <c r="B7" s="38">
        <v>2</v>
      </c>
      <c r="C7" s="38">
        <v>2137490</v>
      </c>
      <c r="D7" s="137" t="s">
        <v>91</v>
      </c>
      <c r="E7" s="115">
        <v>90388</v>
      </c>
      <c r="F7" s="38">
        <v>3248</v>
      </c>
      <c r="G7" s="116">
        <v>60</v>
      </c>
      <c r="H7" s="130" t="s">
        <v>98</v>
      </c>
      <c r="I7" s="117">
        <v>0</v>
      </c>
      <c r="J7" s="118">
        <v>0</v>
      </c>
      <c r="K7" s="124">
        <v>0</v>
      </c>
      <c r="L7" s="119">
        <v>0</v>
      </c>
      <c r="M7" s="117">
        <v>0</v>
      </c>
      <c r="N7" s="120">
        <v>0</v>
      </c>
      <c r="O7" s="116">
        <v>0</v>
      </c>
      <c r="P7" s="119">
        <v>2</v>
      </c>
      <c r="Q7" s="116">
        <v>0</v>
      </c>
      <c r="R7" s="119">
        <v>0</v>
      </c>
      <c r="S7" s="117">
        <v>0</v>
      </c>
      <c r="T7" s="120">
        <v>0</v>
      </c>
      <c r="U7" s="119">
        <v>0</v>
      </c>
      <c r="V7" s="119">
        <v>0</v>
      </c>
      <c r="W7" s="37">
        <f t="shared" ref="W7:W20" si="0">+G7-(SUM(I7:N7,P7,Q7,R7,S7,T7,V7))</f>
        <v>58</v>
      </c>
      <c r="X7" s="121"/>
      <c r="Y7" s="121"/>
      <c r="Z7" s="121">
        <v>58</v>
      </c>
      <c r="AA7" s="121"/>
      <c r="AB7" s="121"/>
      <c r="AC7" s="121"/>
      <c r="AD7" s="131">
        <f>W7-SUM(Y7:AC7)</f>
        <v>0</v>
      </c>
      <c r="AE7" s="122"/>
      <c r="AF7" s="123"/>
      <c r="AG7" s="115"/>
    </row>
    <row r="8" spans="1:33" ht="15.75">
      <c r="A8" s="125"/>
      <c r="B8" s="38"/>
      <c r="C8" s="38"/>
      <c r="D8" s="158"/>
      <c r="E8" s="115"/>
      <c r="F8" s="38"/>
      <c r="G8" s="116"/>
      <c r="H8" s="130"/>
      <c r="I8" s="117">
        <v>0</v>
      </c>
      <c r="J8" s="118">
        <v>0</v>
      </c>
      <c r="K8" s="124">
        <v>0</v>
      </c>
      <c r="L8" s="119">
        <v>0</v>
      </c>
      <c r="M8" s="117">
        <v>0</v>
      </c>
      <c r="N8" s="120">
        <v>0</v>
      </c>
      <c r="O8" s="116">
        <v>0</v>
      </c>
      <c r="P8" s="119">
        <v>0</v>
      </c>
      <c r="Q8" s="116">
        <v>0</v>
      </c>
      <c r="R8" s="119">
        <v>0</v>
      </c>
      <c r="S8" s="117">
        <v>0</v>
      </c>
      <c r="T8" s="120">
        <v>0</v>
      </c>
      <c r="U8" s="119">
        <v>0</v>
      </c>
      <c r="V8" s="119">
        <v>0</v>
      </c>
      <c r="W8" s="37">
        <f t="shared" si="0"/>
        <v>0</v>
      </c>
      <c r="X8" s="121"/>
      <c r="Y8" s="121"/>
      <c r="Z8" s="121"/>
      <c r="AA8" s="121"/>
      <c r="AB8" s="121"/>
      <c r="AC8" s="121"/>
      <c r="AD8" s="131">
        <f t="shared" ref="AD8:AD22" si="1">W8-SUM(Y8:AC8)</f>
        <v>0</v>
      </c>
      <c r="AE8" s="122"/>
      <c r="AF8" s="123"/>
      <c r="AG8" s="115"/>
    </row>
    <row r="9" spans="1:33" ht="15.75">
      <c r="A9" s="125"/>
      <c r="B9" s="38"/>
      <c r="C9" s="38"/>
      <c r="D9" s="158"/>
      <c r="E9" s="115"/>
      <c r="F9" s="38"/>
      <c r="G9" s="116"/>
      <c r="H9" s="130"/>
      <c r="I9" s="117">
        <v>0</v>
      </c>
      <c r="J9" s="118">
        <v>0</v>
      </c>
      <c r="K9" s="124">
        <v>0</v>
      </c>
      <c r="L9" s="119">
        <v>0</v>
      </c>
      <c r="M9" s="117">
        <v>0</v>
      </c>
      <c r="N9" s="120">
        <v>0</v>
      </c>
      <c r="O9" s="116">
        <v>0</v>
      </c>
      <c r="P9" s="119">
        <v>0</v>
      </c>
      <c r="Q9" s="116">
        <v>0</v>
      </c>
      <c r="R9" s="119">
        <v>0</v>
      </c>
      <c r="S9" s="117">
        <v>0</v>
      </c>
      <c r="T9" s="120">
        <v>0</v>
      </c>
      <c r="U9" s="119">
        <v>0</v>
      </c>
      <c r="V9" s="119">
        <v>0</v>
      </c>
      <c r="W9" s="37">
        <f t="shared" si="0"/>
        <v>0</v>
      </c>
      <c r="X9" s="121"/>
      <c r="Y9" s="121"/>
      <c r="Z9" s="121"/>
      <c r="AA9" s="121"/>
      <c r="AB9" s="121"/>
      <c r="AC9" s="121"/>
      <c r="AD9" s="131">
        <f t="shared" si="1"/>
        <v>0</v>
      </c>
      <c r="AE9" s="122"/>
      <c r="AF9" s="123"/>
      <c r="AG9" s="115"/>
    </row>
    <row r="10" spans="1:33" ht="15.75">
      <c r="A10" s="125"/>
      <c r="B10" s="38"/>
      <c r="C10" s="38"/>
      <c r="D10" s="158"/>
      <c r="E10" s="115"/>
      <c r="F10" s="38"/>
      <c r="G10" s="116"/>
      <c r="H10" s="130"/>
      <c r="I10" s="117">
        <v>0</v>
      </c>
      <c r="J10" s="118">
        <v>0</v>
      </c>
      <c r="K10" s="124">
        <v>0</v>
      </c>
      <c r="L10" s="119">
        <v>0</v>
      </c>
      <c r="M10" s="117">
        <v>0</v>
      </c>
      <c r="N10" s="120">
        <v>0</v>
      </c>
      <c r="O10" s="116">
        <v>0</v>
      </c>
      <c r="P10" s="119">
        <v>0</v>
      </c>
      <c r="Q10" s="116">
        <v>0</v>
      </c>
      <c r="R10" s="119">
        <v>0</v>
      </c>
      <c r="S10" s="117">
        <v>0</v>
      </c>
      <c r="T10" s="120">
        <v>0</v>
      </c>
      <c r="U10" s="119">
        <v>0</v>
      </c>
      <c r="V10" s="119">
        <v>0</v>
      </c>
      <c r="W10" s="37">
        <f t="shared" si="0"/>
        <v>0</v>
      </c>
      <c r="X10" s="121"/>
      <c r="Y10" s="121"/>
      <c r="Z10" s="121"/>
      <c r="AA10" s="121"/>
      <c r="AB10" s="121"/>
      <c r="AC10" s="121"/>
      <c r="AD10" s="131">
        <f t="shared" si="1"/>
        <v>0</v>
      </c>
      <c r="AE10" s="122"/>
      <c r="AF10" s="123"/>
      <c r="AG10" s="115"/>
    </row>
    <row r="11" spans="1:33" ht="15.75">
      <c r="A11" s="125"/>
      <c r="B11" s="38"/>
      <c r="C11" s="38"/>
      <c r="D11" s="158"/>
      <c r="E11" s="115"/>
      <c r="F11" s="38"/>
      <c r="G11" s="116"/>
      <c r="H11" s="130"/>
      <c r="I11" s="117">
        <v>0</v>
      </c>
      <c r="J11" s="118">
        <v>0</v>
      </c>
      <c r="K11" s="124">
        <v>0</v>
      </c>
      <c r="L11" s="119">
        <v>0</v>
      </c>
      <c r="M11" s="117">
        <v>0</v>
      </c>
      <c r="N11" s="120">
        <v>0</v>
      </c>
      <c r="O11" s="116">
        <v>0</v>
      </c>
      <c r="P11" s="119">
        <v>0</v>
      </c>
      <c r="Q11" s="116">
        <v>0</v>
      </c>
      <c r="R11" s="119">
        <v>0</v>
      </c>
      <c r="S11" s="117">
        <v>0</v>
      </c>
      <c r="T11" s="120">
        <v>0</v>
      </c>
      <c r="U11" s="119">
        <v>0</v>
      </c>
      <c r="V11" s="119">
        <v>0</v>
      </c>
      <c r="W11" s="37">
        <f t="shared" si="0"/>
        <v>0</v>
      </c>
      <c r="X11" s="121"/>
      <c r="Y11" s="121"/>
      <c r="Z11" s="121"/>
      <c r="AA11" s="121"/>
      <c r="AB11" s="121"/>
      <c r="AC11" s="121"/>
      <c r="AD11" s="131">
        <f t="shared" si="1"/>
        <v>0</v>
      </c>
      <c r="AE11" s="122"/>
      <c r="AF11" s="123"/>
      <c r="AG11" s="115"/>
    </row>
    <row r="12" spans="1:33" ht="15.75">
      <c r="A12" s="125"/>
      <c r="B12" s="38"/>
      <c r="C12" s="38"/>
      <c r="D12" s="158"/>
      <c r="E12" s="115"/>
      <c r="F12" s="38"/>
      <c r="G12" s="116"/>
      <c r="H12" s="130"/>
      <c r="I12" s="117">
        <v>0</v>
      </c>
      <c r="J12" s="118">
        <v>0</v>
      </c>
      <c r="K12" s="124">
        <v>0</v>
      </c>
      <c r="L12" s="119">
        <v>0</v>
      </c>
      <c r="M12" s="117">
        <v>0</v>
      </c>
      <c r="N12" s="120">
        <v>0</v>
      </c>
      <c r="O12" s="116">
        <v>0</v>
      </c>
      <c r="P12" s="119">
        <v>0</v>
      </c>
      <c r="Q12" s="116">
        <v>0</v>
      </c>
      <c r="R12" s="119">
        <v>0</v>
      </c>
      <c r="S12" s="117">
        <v>0</v>
      </c>
      <c r="T12" s="120">
        <v>0</v>
      </c>
      <c r="U12" s="119">
        <v>0</v>
      </c>
      <c r="V12" s="119">
        <v>0</v>
      </c>
      <c r="W12" s="37">
        <f t="shared" si="0"/>
        <v>0</v>
      </c>
      <c r="X12" s="121"/>
      <c r="Y12" s="121"/>
      <c r="Z12" s="121"/>
      <c r="AA12" s="121"/>
      <c r="AB12" s="121"/>
      <c r="AC12" s="121"/>
      <c r="AD12" s="131">
        <f t="shared" si="1"/>
        <v>0</v>
      </c>
      <c r="AE12" s="122"/>
      <c r="AF12" s="123"/>
      <c r="AG12" s="115"/>
    </row>
    <row r="13" spans="1:33" ht="15.75">
      <c r="A13" s="125"/>
      <c r="B13" s="38"/>
      <c r="C13" s="38"/>
      <c r="D13" s="158"/>
      <c r="E13" s="115"/>
      <c r="F13" s="38"/>
      <c r="G13" s="116"/>
      <c r="H13" s="130"/>
      <c r="I13" s="117">
        <v>0</v>
      </c>
      <c r="J13" s="118">
        <v>0</v>
      </c>
      <c r="K13" s="124">
        <v>0</v>
      </c>
      <c r="L13" s="119">
        <v>0</v>
      </c>
      <c r="M13" s="117">
        <v>0</v>
      </c>
      <c r="N13" s="120">
        <v>0</v>
      </c>
      <c r="O13" s="116">
        <v>0</v>
      </c>
      <c r="P13" s="119">
        <v>0</v>
      </c>
      <c r="Q13" s="116">
        <v>0</v>
      </c>
      <c r="R13" s="119">
        <v>0</v>
      </c>
      <c r="S13" s="117">
        <v>0</v>
      </c>
      <c r="T13" s="120">
        <v>0</v>
      </c>
      <c r="U13" s="119">
        <v>0</v>
      </c>
      <c r="V13" s="119">
        <v>0</v>
      </c>
      <c r="W13" s="37">
        <f t="shared" si="0"/>
        <v>0</v>
      </c>
      <c r="X13" s="121"/>
      <c r="Y13" s="121"/>
      <c r="Z13" s="121"/>
      <c r="AA13" s="121"/>
      <c r="AB13" s="121"/>
      <c r="AC13" s="121"/>
      <c r="AD13" s="131">
        <f t="shared" si="1"/>
        <v>0</v>
      </c>
      <c r="AE13" s="122"/>
      <c r="AF13" s="123"/>
      <c r="AG13" s="115"/>
    </row>
    <row r="14" spans="1:33" ht="15.75">
      <c r="A14" s="125"/>
      <c r="B14" s="38"/>
      <c r="C14" s="38"/>
      <c r="D14" s="158"/>
      <c r="E14" s="115"/>
      <c r="F14" s="38"/>
      <c r="G14" s="116"/>
      <c r="H14" s="130"/>
      <c r="I14" s="117">
        <v>0</v>
      </c>
      <c r="J14" s="118">
        <v>0</v>
      </c>
      <c r="K14" s="124">
        <v>0</v>
      </c>
      <c r="L14" s="119">
        <v>0</v>
      </c>
      <c r="M14" s="117">
        <v>0</v>
      </c>
      <c r="N14" s="120">
        <v>0</v>
      </c>
      <c r="O14" s="116">
        <v>0</v>
      </c>
      <c r="P14" s="119">
        <v>0</v>
      </c>
      <c r="Q14" s="116">
        <v>0</v>
      </c>
      <c r="R14" s="119">
        <v>0</v>
      </c>
      <c r="S14" s="117">
        <v>0</v>
      </c>
      <c r="T14" s="120">
        <v>0</v>
      </c>
      <c r="U14" s="119">
        <v>0</v>
      </c>
      <c r="V14" s="119">
        <v>0</v>
      </c>
      <c r="W14" s="37">
        <f t="shared" si="0"/>
        <v>0</v>
      </c>
      <c r="X14" s="121"/>
      <c r="Y14" s="121"/>
      <c r="Z14" s="121"/>
      <c r="AA14" s="121"/>
      <c r="AB14" s="121"/>
      <c r="AC14" s="121"/>
      <c r="AD14" s="131">
        <f t="shared" si="1"/>
        <v>0</v>
      </c>
      <c r="AE14" s="122"/>
      <c r="AF14" s="123"/>
      <c r="AG14" s="115"/>
    </row>
    <row r="15" spans="1:33" ht="15.75">
      <c r="A15" s="125"/>
      <c r="B15" s="38"/>
      <c r="C15" s="38"/>
      <c r="D15" s="158"/>
      <c r="E15" s="115"/>
      <c r="F15" s="38"/>
      <c r="G15" s="116"/>
      <c r="H15" s="130"/>
      <c r="I15" s="117">
        <v>0</v>
      </c>
      <c r="J15" s="118">
        <v>0</v>
      </c>
      <c r="K15" s="124">
        <v>0</v>
      </c>
      <c r="L15" s="119">
        <v>0</v>
      </c>
      <c r="M15" s="117">
        <v>0</v>
      </c>
      <c r="N15" s="120">
        <v>0</v>
      </c>
      <c r="O15" s="116">
        <v>0</v>
      </c>
      <c r="P15" s="119">
        <v>0</v>
      </c>
      <c r="Q15" s="116">
        <v>0</v>
      </c>
      <c r="R15" s="119">
        <v>0</v>
      </c>
      <c r="S15" s="117">
        <v>0</v>
      </c>
      <c r="T15" s="120">
        <v>0</v>
      </c>
      <c r="U15" s="119">
        <v>0</v>
      </c>
      <c r="V15" s="119">
        <v>0</v>
      </c>
      <c r="W15" s="37">
        <f t="shared" si="0"/>
        <v>0</v>
      </c>
      <c r="X15" s="121"/>
      <c r="Y15" s="121"/>
      <c r="Z15" s="121"/>
      <c r="AA15" s="121"/>
      <c r="AB15" s="121"/>
      <c r="AC15" s="121"/>
      <c r="AD15" s="131">
        <f t="shared" si="1"/>
        <v>0</v>
      </c>
      <c r="AE15" s="122"/>
      <c r="AF15" s="123"/>
      <c r="AG15" s="115"/>
    </row>
    <row r="16" spans="1:33" ht="15.75">
      <c r="A16" s="125"/>
      <c r="B16" s="38"/>
      <c r="C16" s="38"/>
      <c r="D16" s="158"/>
      <c r="E16" s="115"/>
      <c r="F16" s="38"/>
      <c r="G16" s="116"/>
      <c r="H16" s="130"/>
      <c r="I16" s="117">
        <v>0</v>
      </c>
      <c r="J16" s="118">
        <v>0</v>
      </c>
      <c r="K16" s="124">
        <v>0</v>
      </c>
      <c r="L16" s="119">
        <v>0</v>
      </c>
      <c r="M16" s="117">
        <v>0</v>
      </c>
      <c r="N16" s="120">
        <v>0</v>
      </c>
      <c r="O16" s="116">
        <v>0</v>
      </c>
      <c r="P16" s="119">
        <v>0</v>
      </c>
      <c r="Q16" s="116">
        <v>0</v>
      </c>
      <c r="R16" s="119">
        <v>0</v>
      </c>
      <c r="S16" s="117">
        <v>0</v>
      </c>
      <c r="T16" s="120">
        <v>0</v>
      </c>
      <c r="U16" s="119">
        <v>0</v>
      </c>
      <c r="V16" s="119">
        <v>0</v>
      </c>
      <c r="W16" s="37">
        <f t="shared" si="0"/>
        <v>0</v>
      </c>
      <c r="X16" s="121"/>
      <c r="Y16" s="121"/>
      <c r="Z16" s="121"/>
      <c r="AA16" s="121"/>
      <c r="AB16" s="121"/>
      <c r="AC16" s="121"/>
      <c r="AD16" s="131">
        <f t="shared" si="1"/>
        <v>0</v>
      </c>
      <c r="AE16" s="122"/>
      <c r="AF16" s="123"/>
      <c r="AG16" s="115"/>
    </row>
    <row r="17" spans="1:33" ht="15.75">
      <c r="A17" s="125"/>
      <c r="B17" s="38"/>
      <c r="C17" s="38"/>
      <c r="D17" s="158"/>
      <c r="E17" s="115"/>
      <c r="F17" s="38"/>
      <c r="G17" s="116"/>
      <c r="H17" s="130"/>
      <c r="I17" s="117">
        <v>0</v>
      </c>
      <c r="J17" s="118">
        <v>0</v>
      </c>
      <c r="K17" s="124">
        <v>0</v>
      </c>
      <c r="L17" s="119">
        <v>0</v>
      </c>
      <c r="M17" s="117">
        <v>0</v>
      </c>
      <c r="N17" s="120">
        <v>0</v>
      </c>
      <c r="O17" s="116">
        <v>0</v>
      </c>
      <c r="P17" s="119">
        <v>0</v>
      </c>
      <c r="Q17" s="116">
        <v>0</v>
      </c>
      <c r="R17" s="119">
        <v>0</v>
      </c>
      <c r="S17" s="117">
        <v>0</v>
      </c>
      <c r="T17" s="120">
        <v>0</v>
      </c>
      <c r="U17" s="119">
        <v>0</v>
      </c>
      <c r="V17" s="119">
        <v>0</v>
      </c>
      <c r="W17" s="37">
        <f t="shared" si="0"/>
        <v>0</v>
      </c>
      <c r="X17" s="121"/>
      <c r="Y17" s="121"/>
      <c r="Z17" s="121"/>
      <c r="AA17" s="121"/>
      <c r="AB17" s="121"/>
      <c r="AC17" s="121"/>
      <c r="AD17" s="131">
        <f t="shared" si="1"/>
        <v>0</v>
      </c>
      <c r="AE17" s="122"/>
      <c r="AF17" s="123"/>
      <c r="AG17" s="115"/>
    </row>
    <row r="18" spans="1:33" ht="15.75">
      <c r="A18" s="125"/>
      <c r="B18" s="38"/>
      <c r="C18" s="38"/>
      <c r="D18" s="158"/>
      <c r="E18" s="115"/>
      <c r="F18" s="38"/>
      <c r="G18" s="116"/>
      <c r="H18" s="130"/>
      <c r="I18" s="117">
        <v>0</v>
      </c>
      <c r="J18" s="118">
        <v>0</v>
      </c>
      <c r="K18" s="124">
        <v>0</v>
      </c>
      <c r="L18" s="119">
        <v>0</v>
      </c>
      <c r="M18" s="117">
        <v>0</v>
      </c>
      <c r="N18" s="120">
        <v>0</v>
      </c>
      <c r="O18" s="116">
        <v>0</v>
      </c>
      <c r="P18" s="119">
        <v>0</v>
      </c>
      <c r="Q18" s="116">
        <v>0</v>
      </c>
      <c r="R18" s="119">
        <v>0</v>
      </c>
      <c r="S18" s="117">
        <v>0</v>
      </c>
      <c r="T18" s="120">
        <v>0</v>
      </c>
      <c r="U18" s="119">
        <v>0</v>
      </c>
      <c r="V18" s="119">
        <v>0</v>
      </c>
      <c r="W18" s="37">
        <f t="shared" si="0"/>
        <v>0</v>
      </c>
      <c r="X18" s="121"/>
      <c r="Y18" s="121"/>
      <c r="Z18" s="121"/>
      <c r="AA18" s="121"/>
      <c r="AB18" s="121"/>
      <c r="AC18" s="121"/>
      <c r="AD18" s="131">
        <f t="shared" si="1"/>
        <v>0</v>
      </c>
      <c r="AE18" s="122"/>
      <c r="AF18" s="123"/>
      <c r="AG18" s="115"/>
    </row>
    <row r="19" spans="1:33" ht="15.75">
      <c r="A19" s="114"/>
      <c r="B19" s="38"/>
      <c r="C19" s="38"/>
      <c r="D19" s="158"/>
      <c r="E19" s="115"/>
      <c r="F19" s="38"/>
      <c r="G19" s="116"/>
      <c r="H19" s="130"/>
      <c r="I19" s="117">
        <v>0</v>
      </c>
      <c r="J19" s="118">
        <v>0</v>
      </c>
      <c r="K19" s="124">
        <v>0</v>
      </c>
      <c r="L19" s="119">
        <v>0</v>
      </c>
      <c r="M19" s="117">
        <v>0</v>
      </c>
      <c r="N19" s="120">
        <v>0</v>
      </c>
      <c r="O19" s="116">
        <v>0</v>
      </c>
      <c r="P19" s="119">
        <v>0</v>
      </c>
      <c r="Q19" s="116">
        <v>0</v>
      </c>
      <c r="R19" s="119">
        <v>0</v>
      </c>
      <c r="S19" s="117">
        <v>0</v>
      </c>
      <c r="T19" s="120">
        <v>0</v>
      </c>
      <c r="U19" s="119">
        <v>0</v>
      </c>
      <c r="V19" s="119">
        <v>0</v>
      </c>
      <c r="W19" s="37">
        <f t="shared" si="0"/>
        <v>0</v>
      </c>
      <c r="X19" s="121"/>
      <c r="Y19" s="121"/>
      <c r="Z19" s="121"/>
      <c r="AA19" s="121"/>
      <c r="AB19" s="121"/>
      <c r="AC19" s="121"/>
      <c r="AD19" s="131">
        <f t="shared" si="1"/>
        <v>0</v>
      </c>
      <c r="AE19" s="122"/>
      <c r="AF19" s="123"/>
      <c r="AG19" s="115"/>
    </row>
    <row r="20" spans="1:33" ht="15.75">
      <c r="A20" s="114"/>
      <c r="B20" s="38"/>
      <c r="C20" s="38"/>
      <c r="D20" s="158"/>
      <c r="E20" s="115"/>
      <c r="F20" s="38"/>
      <c r="G20" s="116"/>
      <c r="H20" s="130"/>
      <c r="I20" s="117">
        <v>0</v>
      </c>
      <c r="J20" s="118">
        <v>0</v>
      </c>
      <c r="K20" s="124">
        <v>0</v>
      </c>
      <c r="L20" s="119">
        <v>0</v>
      </c>
      <c r="M20" s="117">
        <v>0</v>
      </c>
      <c r="N20" s="120">
        <v>0</v>
      </c>
      <c r="O20" s="116">
        <v>0</v>
      </c>
      <c r="P20" s="119">
        <v>0</v>
      </c>
      <c r="Q20" s="116">
        <v>0</v>
      </c>
      <c r="R20" s="119">
        <v>0</v>
      </c>
      <c r="S20" s="117">
        <v>0</v>
      </c>
      <c r="T20" s="120">
        <v>0</v>
      </c>
      <c r="U20" s="119">
        <v>0</v>
      </c>
      <c r="V20" s="119">
        <v>0</v>
      </c>
      <c r="W20" s="37">
        <f t="shared" si="0"/>
        <v>0</v>
      </c>
      <c r="X20" s="121"/>
      <c r="Y20" s="121"/>
      <c r="Z20" s="121"/>
      <c r="AA20" s="121"/>
      <c r="AB20" s="121"/>
      <c r="AC20" s="121"/>
      <c r="AD20" s="131">
        <f t="shared" si="1"/>
        <v>0</v>
      </c>
      <c r="AE20" s="122"/>
      <c r="AF20" s="123"/>
      <c r="AG20" s="115"/>
    </row>
    <row r="21" spans="1:33" ht="15.75">
      <c r="A21" s="114"/>
      <c r="B21" s="38"/>
      <c r="C21" s="38"/>
      <c r="D21" s="158"/>
      <c r="E21" s="115"/>
      <c r="F21" s="38"/>
      <c r="G21" s="116"/>
      <c r="H21" s="130"/>
      <c r="I21" s="117">
        <v>0</v>
      </c>
      <c r="J21" s="118">
        <v>0</v>
      </c>
      <c r="K21" s="124">
        <v>0</v>
      </c>
      <c r="L21" s="119">
        <v>0</v>
      </c>
      <c r="M21" s="117">
        <v>0</v>
      </c>
      <c r="N21" s="120">
        <v>0</v>
      </c>
      <c r="O21" s="116">
        <v>0</v>
      </c>
      <c r="P21" s="119">
        <v>0</v>
      </c>
      <c r="Q21" s="116">
        <v>0</v>
      </c>
      <c r="R21" s="119">
        <v>0</v>
      </c>
      <c r="S21" s="117">
        <v>0</v>
      </c>
      <c r="T21" s="120">
        <v>0</v>
      </c>
      <c r="U21" s="119">
        <v>0</v>
      </c>
      <c r="V21" s="119">
        <v>0</v>
      </c>
      <c r="W21" s="37">
        <f t="shared" ref="W21:W27" si="2">+G21-(SUM(I21:N21,P21,Q21,R21,S21,T21,V21))</f>
        <v>0</v>
      </c>
      <c r="X21" s="121"/>
      <c r="Y21" s="121"/>
      <c r="Z21" s="121"/>
      <c r="AA21" s="121"/>
      <c r="AB21" s="121"/>
      <c r="AC21" s="121"/>
      <c r="AD21" s="131">
        <f t="shared" si="1"/>
        <v>0</v>
      </c>
      <c r="AE21" s="122"/>
      <c r="AF21" s="123"/>
      <c r="AG21" s="115"/>
    </row>
    <row r="22" spans="1:33" ht="15.75">
      <c r="A22" s="114"/>
      <c r="B22" s="38"/>
      <c r="C22" s="38"/>
      <c r="D22" s="158"/>
      <c r="E22" s="115"/>
      <c r="F22" s="38"/>
      <c r="G22" s="116"/>
      <c r="H22" s="130"/>
      <c r="I22" s="117">
        <v>0</v>
      </c>
      <c r="J22" s="118">
        <v>0</v>
      </c>
      <c r="K22" s="124">
        <v>0</v>
      </c>
      <c r="L22" s="119">
        <v>0</v>
      </c>
      <c r="M22" s="117">
        <v>0</v>
      </c>
      <c r="N22" s="120">
        <v>0</v>
      </c>
      <c r="O22" s="116">
        <v>0</v>
      </c>
      <c r="P22" s="119">
        <v>0</v>
      </c>
      <c r="Q22" s="116">
        <v>0</v>
      </c>
      <c r="R22" s="119">
        <v>0</v>
      </c>
      <c r="S22" s="117">
        <v>0</v>
      </c>
      <c r="T22" s="120">
        <v>0</v>
      </c>
      <c r="U22" s="119">
        <v>0</v>
      </c>
      <c r="V22" s="119">
        <v>0</v>
      </c>
      <c r="W22" s="37">
        <f t="shared" si="2"/>
        <v>0</v>
      </c>
      <c r="X22" s="121"/>
      <c r="Y22" s="121"/>
      <c r="Z22" s="121"/>
      <c r="AA22" s="121"/>
      <c r="AB22" s="121"/>
      <c r="AC22" s="121"/>
      <c r="AD22" s="131">
        <f t="shared" si="1"/>
        <v>0</v>
      </c>
      <c r="AE22" s="122"/>
      <c r="AF22" s="123"/>
      <c r="AG22" s="115"/>
    </row>
    <row r="23" spans="1:33" ht="15.75">
      <c r="A23" s="114"/>
      <c r="B23" s="38"/>
      <c r="C23" s="38"/>
      <c r="D23" s="158"/>
      <c r="E23" s="115"/>
      <c r="F23" s="38"/>
      <c r="G23" s="116"/>
      <c r="H23" s="130"/>
      <c r="I23" s="117">
        <v>0</v>
      </c>
      <c r="J23" s="118">
        <v>0</v>
      </c>
      <c r="K23" s="124">
        <v>0</v>
      </c>
      <c r="L23" s="119">
        <v>0</v>
      </c>
      <c r="M23" s="117">
        <v>0</v>
      </c>
      <c r="N23" s="120">
        <v>0</v>
      </c>
      <c r="O23" s="116">
        <v>0</v>
      </c>
      <c r="P23" s="119">
        <v>0</v>
      </c>
      <c r="Q23" s="116">
        <v>0</v>
      </c>
      <c r="R23" s="119">
        <v>0</v>
      </c>
      <c r="S23" s="117">
        <v>0</v>
      </c>
      <c r="T23" s="120">
        <v>0</v>
      </c>
      <c r="U23" s="119">
        <v>0</v>
      </c>
      <c r="V23" s="119">
        <v>0</v>
      </c>
      <c r="W23" s="37">
        <f t="shared" si="2"/>
        <v>0</v>
      </c>
      <c r="X23" s="121"/>
      <c r="Y23" s="121"/>
      <c r="Z23" s="121"/>
      <c r="AA23" s="121"/>
      <c r="AB23" s="121"/>
      <c r="AC23" s="121"/>
      <c r="AD23" s="131">
        <f t="shared" ref="AD23:AD46" si="3">W23-SUM(Y23:AC23)</f>
        <v>0</v>
      </c>
      <c r="AE23" s="122"/>
      <c r="AF23" s="123"/>
      <c r="AG23" s="115"/>
    </row>
    <row r="24" spans="1:33" ht="15.75">
      <c r="A24" s="114"/>
      <c r="B24" s="38"/>
      <c r="C24" s="38"/>
      <c r="D24" s="158"/>
      <c r="E24" s="115"/>
      <c r="F24" s="38"/>
      <c r="G24" s="116"/>
      <c r="H24" s="130"/>
      <c r="I24" s="117">
        <v>0</v>
      </c>
      <c r="J24" s="118">
        <v>0</v>
      </c>
      <c r="K24" s="124">
        <v>0</v>
      </c>
      <c r="L24" s="119">
        <v>0</v>
      </c>
      <c r="M24" s="117">
        <v>0</v>
      </c>
      <c r="N24" s="120">
        <v>0</v>
      </c>
      <c r="O24" s="116">
        <v>0</v>
      </c>
      <c r="P24" s="119">
        <v>0</v>
      </c>
      <c r="Q24" s="116">
        <v>0</v>
      </c>
      <c r="R24" s="119">
        <v>0</v>
      </c>
      <c r="S24" s="117">
        <v>0</v>
      </c>
      <c r="T24" s="120">
        <v>0</v>
      </c>
      <c r="U24" s="119">
        <v>0</v>
      </c>
      <c r="V24" s="119">
        <v>0</v>
      </c>
      <c r="W24" s="37">
        <f t="shared" si="2"/>
        <v>0</v>
      </c>
      <c r="X24" s="121"/>
      <c r="Y24" s="121"/>
      <c r="Z24" s="121"/>
      <c r="AA24" s="121"/>
      <c r="AB24" s="121"/>
      <c r="AC24" s="121"/>
      <c r="AD24" s="131">
        <f t="shared" si="3"/>
        <v>0</v>
      </c>
      <c r="AE24" s="122"/>
      <c r="AF24" s="123"/>
      <c r="AG24" s="115"/>
    </row>
    <row r="25" spans="1:33" ht="15.75">
      <c r="A25" s="114"/>
      <c r="B25" s="38"/>
      <c r="C25" s="38"/>
      <c r="D25" s="158"/>
      <c r="E25" s="115"/>
      <c r="F25" s="38"/>
      <c r="G25" s="116"/>
      <c r="H25" s="130"/>
      <c r="I25" s="117">
        <v>0</v>
      </c>
      <c r="J25" s="118">
        <v>0</v>
      </c>
      <c r="K25" s="124">
        <v>0</v>
      </c>
      <c r="L25" s="119">
        <v>0</v>
      </c>
      <c r="M25" s="117">
        <v>0</v>
      </c>
      <c r="N25" s="120">
        <v>0</v>
      </c>
      <c r="O25" s="116">
        <v>0</v>
      </c>
      <c r="P25" s="119">
        <v>0</v>
      </c>
      <c r="Q25" s="116">
        <v>0</v>
      </c>
      <c r="R25" s="119">
        <v>0</v>
      </c>
      <c r="S25" s="117">
        <v>0</v>
      </c>
      <c r="T25" s="120">
        <v>0</v>
      </c>
      <c r="U25" s="119">
        <v>0</v>
      </c>
      <c r="V25" s="119">
        <v>0</v>
      </c>
      <c r="W25" s="37">
        <f t="shared" si="2"/>
        <v>0</v>
      </c>
      <c r="X25" s="121"/>
      <c r="Y25" s="121"/>
      <c r="Z25" s="121"/>
      <c r="AA25" s="121"/>
      <c r="AB25" s="121"/>
      <c r="AC25" s="121"/>
      <c r="AD25" s="131">
        <f t="shared" si="3"/>
        <v>0</v>
      </c>
      <c r="AE25" s="122"/>
      <c r="AF25" s="123"/>
      <c r="AG25" s="115"/>
    </row>
    <row r="26" spans="1:33" ht="15.75">
      <c r="A26" s="114"/>
      <c r="B26" s="38"/>
      <c r="C26" s="38"/>
      <c r="D26" s="158"/>
      <c r="E26" s="115"/>
      <c r="F26" s="38"/>
      <c r="G26" s="116"/>
      <c r="H26" s="130"/>
      <c r="I26" s="117">
        <v>0</v>
      </c>
      <c r="J26" s="118">
        <v>0</v>
      </c>
      <c r="K26" s="124">
        <v>0</v>
      </c>
      <c r="L26" s="119">
        <v>0</v>
      </c>
      <c r="M26" s="117">
        <v>0</v>
      </c>
      <c r="N26" s="120">
        <v>0</v>
      </c>
      <c r="O26" s="116">
        <v>0</v>
      </c>
      <c r="P26" s="119">
        <v>0</v>
      </c>
      <c r="Q26" s="116">
        <v>0</v>
      </c>
      <c r="R26" s="119">
        <v>0</v>
      </c>
      <c r="S26" s="117">
        <v>0</v>
      </c>
      <c r="T26" s="120">
        <v>0</v>
      </c>
      <c r="U26" s="119">
        <v>0</v>
      </c>
      <c r="V26" s="119">
        <v>0</v>
      </c>
      <c r="W26" s="37">
        <f t="shared" si="2"/>
        <v>0</v>
      </c>
      <c r="X26" s="121"/>
      <c r="Y26" s="121"/>
      <c r="Z26" s="121"/>
      <c r="AA26" s="121"/>
      <c r="AB26" s="121"/>
      <c r="AC26" s="121"/>
      <c r="AD26" s="131">
        <f t="shared" si="3"/>
        <v>0</v>
      </c>
      <c r="AE26" s="122"/>
      <c r="AF26" s="123"/>
      <c r="AG26" s="115"/>
    </row>
    <row r="27" spans="1:33" ht="15.75">
      <c r="A27" s="114"/>
      <c r="B27" s="38"/>
      <c r="C27" s="38"/>
      <c r="D27" s="158"/>
      <c r="E27" s="115"/>
      <c r="F27" s="38"/>
      <c r="G27" s="116"/>
      <c r="H27" s="130"/>
      <c r="I27" s="117">
        <v>0</v>
      </c>
      <c r="J27" s="118">
        <v>0</v>
      </c>
      <c r="K27" s="124">
        <v>0</v>
      </c>
      <c r="L27" s="119">
        <v>0</v>
      </c>
      <c r="M27" s="117">
        <v>0</v>
      </c>
      <c r="N27" s="120">
        <v>0</v>
      </c>
      <c r="O27" s="116">
        <v>0</v>
      </c>
      <c r="P27" s="119">
        <v>0</v>
      </c>
      <c r="Q27" s="116">
        <v>0</v>
      </c>
      <c r="R27" s="119">
        <v>0</v>
      </c>
      <c r="S27" s="117">
        <v>0</v>
      </c>
      <c r="T27" s="120">
        <v>0</v>
      </c>
      <c r="U27" s="119">
        <v>0</v>
      </c>
      <c r="V27" s="119">
        <v>0</v>
      </c>
      <c r="W27" s="37">
        <f t="shared" si="2"/>
        <v>0</v>
      </c>
      <c r="X27" s="121"/>
      <c r="Y27" s="121"/>
      <c r="Z27" s="121"/>
      <c r="AA27" s="121"/>
      <c r="AB27" s="121"/>
      <c r="AC27" s="121"/>
      <c r="AD27" s="131">
        <f t="shared" si="3"/>
        <v>0</v>
      </c>
      <c r="AE27" s="122"/>
      <c r="AF27" s="123"/>
      <c r="AG27" s="115"/>
    </row>
    <row r="28" spans="1:33" ht="15.75">
      <c r="A28" s="114"/>
      <c r="B28" s="38"/>
      <c r="C28" s="38"/>
      <c r="D28" s="158"/>
      <c r="E28" s="115"/>
      <c r="F28" s="38"/>
      <c r="G28" s="116"/>
      <c r="H28" s="130"/>
      <c r="I28" s="117"/>
      <c r="J28" s="118"/>
      <c r="K28" s="124"/>
      <c r="L28" s="119"/>
      <c r="M28" s="117"/>
      <c r="N28" s="120"/>
      <c r="O28" s="116"/>
      <c r="P28" s="119"/>
      <c r="Q28" s="116"/>
      <c r="R28" s="119"/>
      <c r="S28" s="117"/>
      <c r="T28" s="120"/>
      <c r="U28" s="119"/>
      <c r="V28" s="119"/>
      <c r="W28" s="37"/>
      <c r="X28" s="121"/>
      <c r="Y28" s="121"/>
      <c r="Z28" s="121"/>
      <c r="AA28" s="121"/>
      <c r="AB28" s="121"/>
      <c r="AC28" s="121"/>
      <c r="AD28" s="131">
        <f t="shared" si="3"/>
        <v>0</v>
      </c>
      <c r="AE28" s="122"/>
      <c r="AF28" s="123"/>
      <c r="AG28" s="115"/>
    </row>
    <row r="29" spans="1:33" ht="15.75">
      <c r="A29" s="114"/>
      <c r="B29" s="38"/>
      <c r="C29" s="38"/>
      <c r="D29" s="158"/>
      <c r="E29" s="115"/>
      <c r="F29" s="38"/>
      <c r="G29" s="116"/>
      <c r="H29" s="130"/>
      <c r="I29" s="117"/>
      <c r="J29" s="118"/>
      <c r="K29" s="124"/>
      <c r="L29" s="119"/>
      <c r="M29" s="117"/>
      <c r="N29" s="120"/>
      <c r="O29" s="116"/>
      <c r="P29" s="119"/>
      <c r="Q29" s="116"/>
      <c r="R29" s="119"/>
      <c r="S29" s="117"/>
      <c r="T29" s="120"/>
      <c r="U29" s="119"/>
      <c r="V29" s="119"/>
      <c r="W29" s="37"/>
      <c r="X29" s="121"/>
      <c r="Y29" s="121"/>
      <c r="Z29" s="121"/>
      <c r="AA29" s="121"/>
      <c r="AB29" s="121"/>
      <c r="AC29" s="121"/>
      <c r="AD29" s="131">
        <f t="shared" si="3"/>
        <v>0</v>
      </c>
      <c r="AE29" s="122"/>
      <c r="AF29" s="123"/>
      <c r="AG29" s="115"/>
    </row>
    <row r="30" spans="1:33" ht="15.75">
      <c r="A30" s="114"/>
      <c r="B30" s="38"/>
      <c r="C30" s="38"/>
      <c r="D30" s="158"/>
      <c r="E30" s="115"/>
      <c r="F30" s="38"/>
      <c r="G30" s="116"/>
      <c r="H30" s="130"/>
      <c r="I30" s="117"/>
      <c r="J30" s="118"/>
      <c r="K30" s="124"/>
      <c r="L30" s="119"/>
      <c r="M30" s="117"/>
      <c r="N30" s="120"/>
      <c r="O30" s="116"/>
      <c r="P30" s="119"/>
      <c r="Q30" s="116"/>
      <c r="R30" s="119"/>
      <c r="S30" s="117"/>
      <c r="T30" s="120"/>
      <c r="U30" s="119"/>
      <c r="V30" s="119"/>
      <c r="W30" s="37"/>
      <c r="X30" s="121"/>
      <c r="Y30" s="121"/>
      <c r="Z30" s="121"/>
      <c r="AA30" s="121"/>
      <c r="AB30" s="121"/>
      <c r="AC30" s="121"/>
      <c r="AD30" s="131">
        <f t="shared" si="3"/>
        <v>0</v>
      </c>
      <c r="AE30" s="122"/>
      <c r="AF30" s="123"/>
      <c r="AG30" s="115"/>
    </row>
    <row r="31" spans="1:33" ht="15.75">
      <c r="A31" s="114"/>
      <c r="B31" s="38"/>
      <c r="C31" s="38"/>
      <c r="D31" s="158"/>
      <c r="E31" s="115"/>
      <c r="F31" s="38"/>
      <c r="G31" s="116"/>
      <c r="H31" s="130"/>
      <c r="I31" s="117"/>
      <c r="J31" s="118"/>
      <c r="K31" s="124"/>
      <c r="L31" s="119"/>
      <c r="M31" s="117"/>
      <c r="N31" s="120"/>
      <c r="O31" s="116"/>
      <c r="P31" s="119"/>
      <c r="Q31" s="116"/>
      <c r="R31" s="119"/>
      <c r="S31" s="117"/>
      <c r="T31" s="120"/>
      <c r="U31" s="119"/>
      <c r="V31" s="119"/>
      <c r="W31" s="37"/>
      <c r="X31" s="121"/>
      <c r="Y31" s="121"/>
      <c r="Z31" s="121"/>
      <c r="AA31" s="121"/>
      <c r="AB31" s="121"/>
      <c r="AC31" s="121"/>
      <c r="AD31" s="131">
        <f t="shared" si="3"/>
        <v>0</v>
      </c>
      <c r="AE31" s="122"/>
      <c r="AF31" s="123"/>
      <c r="AG31" s="115"/>
    </row>
    <row r="32" spans="1:33" ht="15.75">
      <c r="A32" s="114"/>
      <c r="B32" s="38"/>
      <c r="C32" s="38"/>
      <c r="D32" s="158"/>
      <c r="E32" s="115"/>
      <c r="F32" s="38"/>
      <c r="G32" s="116"/>
      <c r="H32" s="130"/>
      <c r="I32" s="117"/>
      <c r="J32" s="118"/>
      <c r="K32" s="124"/>
      <c r="L32" s="119"/>
      <c r="M32" s="117"/>
      <c r="N32" s="120"/>
      <c r="O32" s="116"/>
      <c r="P32" s="119"/>
      <c r="Q32" s="116"/>
      <c r="R32" s="119"/>
      <c r="S32" s="117"/>
      <c r="T32" s="120"/>
      <c r="U32" s="119"/>
      <c r="V32" s="119"/>
      <c r="W32" s="37"/>
      <c r="X32" s="121"/>
      <c r="Y32" s="121"/>
      <c r="Z32" s="121"/>
      <c r="AA32" s="121"/>
      <c r="AB32" s="121"/>
      <c r="AC32" s="121"/>
      <c r="AD32" s="131">
        <f t="shared" si="3"/>
        <v>0</v>
      </c>
      <c r="AE32" s="122"/>
      <c r="AF32" s="123"/>
      <c r="AG32" s="115"/>
    </row>
    <row r="33" spans="1:33" ht="15.75">
      <c r="A33" s="114"/>
      <c r="B33" s="38"/>
      <c r="C33" s="38"/>
      <c r="D33" s="158"/>
      <c r="E33" s="115"/>
      <c r="F33" s="38"/>
      <c r="G33" s="116"/>
      <c r="H33" s="130"/>
      <c r="I33" s="117"/>
      <c r="J33" s="118"/>
      <c r="K33" s="124"/>
      <c r="L33" s="119"/>
      <c r="M33" s="117"/>
      <c r="N33" s="120"/>
      <c r="O33" s="116"/>
      <c r="P33" s="119"/>
      <c r="Q33" s="116"/>
      <c r="R33" s="119"/>
      <c r="S33" s="117"/>
      <c r="T33" s="120"/>
      <c r="U33" s="119"/>
      <c r="V33" s="119"/>
      <c r="W33" s="37"/>
      <c r="X33" s="121"/>
      <c r="Y33" s="121"/>
      <c r="Z33" s="121"/>
      <c r="AA33" s="121"/>
      <c r="AB33" s="121"/>
      <c r="AC33" s="121"/>
      <c r="AD33" s="131">
        <f t="shared" si="3"/>
        <v>0</v>
      </c>
      <c r="AE33" s="122"/>
      <c r="AF33" s="123"/>
      <c r="AG33" s="115"/>
    </row>
    <row r="34" spans="1:33" ht="15.75">
      <c r="A34" s="114"/>
      <c r="B34" s="38"/>
      <c r="C34" s="38"/>
      <c r="D34" s="158"/>
      <c r="E34" s="115"/>
      <c r="F34" s="38"/>
      <c r="G34" s="116"/>
      <c r="H34" s="130"/>
      <c r="I34" s="117"/>
      <c r="J34" s="118"/>
      <c r="K34" s="124"/>
      <c r="L34" s="119"/>
      <c r="M34" s="117"/>
      <c r="N34" s="120"/>
      <c r="O34" s="116"/>
      <c r="P34" s="119"/>
      <c r="Q34" s="116"/>
      <c r="R34" s="119"/>
      <c r="S34" s="117"/>
      <c r="T34" s="120"/>
      <c r="U34" s="119"/>
      <c r="V34" s="119"/>
      <c r="W34" s="37"/>
      <c r="X34" s="121"/>
      <c r="Y34" s="121"/>
      <c r="Z34" s="121"/>
      <c r="AA34" s="121"/>
      <c r="AB34" s="121"/>
      <c r="AC34" s="121"/>
      <c r="AD34" s="131">
        <f t="shared" si="3"/>
        <v>0</v>
      </c>
      <c r="AE34" s="122"/>
      <c r="AF34" s="123"/>
      <c r="AG34" s="115"/>
    </row>
    <row r="35" spans="1:33" ht="15.75">
      <c r="A35" s="114"/>
      <c r="B35" s="38"/>
      <c r="C35" s="38"/>
      <c r="D35" s="158"/>
      <c r="E35" s="115"/>
      <c r="F35" s="38"/>
      <c r="G35" s="116"/>
      <c r="H35" s="130"/>
      <c r="I35" s="117"/>
      <c r="J35" s="118"/>
      <c r="K35" s="124"/>
      <c r="L35" s="119"/>
      <c r="M35" s="117"/>
      <c r="N35" s="120"/>
      <c r="O35" s="116"/>
      <c r="P35" s="119"/>
      <c r="Q35" s="116"/>
      <c r="R35" s="119"/>
      <c r="S35" s="117"/>
      <c r="T35" s="120"/>
      <c r="U35" s="119"/>
      <c r="V35" s="119"/>
      <c r="W35" s="37"/>
      <c r="X35" s="121"/>
      <c r="Y35" s="121"/>
      <c r="Z35" s="121"/>
      <c r="AA35" s="121"/>
      <c r="AB35" s="121"/>
      <c r="AC35" s="121"/>
      <c r="AD35" s="131">
        <f t="shared" si="3"/>
        <v>0</v>
      </c>
      <c r="AE35" s="122"/>
      <c r="AF35" s="123"/>
      <c r="AG35" s="115"/>
    </row>
    <row r="36" spans="1:33" ht="15.75">
      <c r="A36" s="114"/>
      <c r="B36" s="38"/>
      <c r="C36" s="38"/>
      <c r="D36" s="158"/>
      <c r="E36" s="115"/>
      <c r="F36" s="38"/>
      <c r="G36" s="116"/>
      <c r="H36" s="130"/>
      <c r="I36" s="117"/>
      <c r="J36" s="118"/>
      <c r="K36" s="124"/>
      <c r="L36" s="119"/>
      <c r="M36" s="117"/>
      <c r="N36" s="120"/>
      <c r="O36" s="116"/>
      <c r="P36" s="119"/>
      <c r="Q36" s="116"/>
      <c r="R36" s="119"/>
      <c r="S36" s="117"/>
      <c r="T36" s="120"/>
      <c r="U36" s="119"/>
      <c r="V36" s="119"/>
      <c r="W36" s="37"/>
      <c r="X36" s="121"/>
      <c r="Y36" s="121"/>
      <c r="Z36" s="121"/>
      <c r="AA36" s="121"/>
      <c r="AB36" s="121"/>
      <c r="AC36" s="121"/>
      <c r="AD36" s="131">
        <f t="shared" si="3"/>
        <v>0</v>
      </c>
      <c r="AE36" s="122"/>
      <c r="AF36" s="123"/>
      <c r="AG36" s="115"/>
    </row>
    <row r="37" spans="1:33" ht="15.75">
      <c r="A37" s="114"/>
      <c r="B37" s="38"/>
      <c r="C37" s="38"/>
      <c r="D37" s="158"/>
      <c r="E37" s="115"/>
      <c r="F37" s="38"/>
      <c r="G37" s="116"/>
      <c r="H37" s="130"/>
      <c r="I37" s="117"/>
      <c r="J37" s="118"/>
      <c r="K37" s="124"/>
      <c r="L37" s="119"/>
      <c r="M37" s="117"/>
      <c r="N37" s="120"/>
      <c r="O37" s="116"/>
      <c r="P37" s="119"/>
      <c r="Q37" s="116"/>
      <c r="R37" s="119"/>
      <c r="S37" s="117"/>
      <c r="T37" s="120"/>
      <c r="U37" s="119"/>
      <c r="V37" s="119"/>
      <c r="W37" s="37"/>
      <c r="X37" s="121"/>
      <c r="Y37" s="121"/>
      <c r="Z37" s="121"/>
      <c r="AA37" s="121"/>
      <c r="AB37" s="121"/>
      <c r="AC37" s="121"/>
      <c r="AD37" s="131">
        <f t="shared" si="3"/>
        <v>0</v>
      </c>
      <c r="AE37" s="122"/>
      <c r="AF37" s="123"/>
      <c r="AG37" s="115"/>
    </row>
    <row r="38" spans="1:33" ht="15.75">
      <c r="A38" s="114"/>
      <c r="B38" s="38"/>
      <c r="C38" s="38"/>
      <c r="D38" s="158"/>
      <c r="E38" s="115"/>
      <c r="F38" s="38"/>
      <c r="G38" s="116"/>
      <c r="H38" s="130"/>
      <c r="I38" s="117"/>
      <c r="J38" s="118"/>
      <c r="K38" s="124"/>
      <c r="L38" s="119"/>
      <c r="M38" s="117"/>
      <c r="N38" s="120"/>
      <c r="O38" s="116"/>
      <c r="P38" s="119"/>
      <c r="Q38" s="116"/>
      <c r="R38" s="119"/>
      <c r="S38" s="117"/>
      <c r="T38" s="120"/>
      <c r="U38" s="119"/>
      <c r="V38" s="119"/>
      <c r="W38" s="37"/>
      <c r="X38" s="121"/>
      <c r="Y38" s="121"/>
      <c r="Z38" s="121"/>
      <c r="AA38" s="121"/>
      <c r="AB38" s="121"/>
      <c r="AC38" s="121"/>
      <c r="AD38" s="131">
        <f t="shared" si="3"/>
        <v>0</v>
      </c>
      <c r="AE38" s="122"/>
      <c r="AF38" s="123"/>
      <c r="AG38" s="115"/>
    </row>
    <row r="39" spans="1:33" ht="15.75">
      <c r="A39" s="114"/>
      <c r="B39" s="38"/>
      <c r="C39" s="38"/>
      <c r="D39" s="158"/>
      <c r="E39" s="115"/>
      <c r="F39" s="38"/>
      <c r="G39" s="116"/>
      <c r="H39" s="130"/>
      <c r="I39" s="117"/>
      <c r="J39" s="118"/>
      <c r="K39" s="124"/>
      <c r="L39" s="119"/>
      <c r="M39" s="117"/>
      <c r="N39" s="120"/>
      <c r="O39" s="116"/>
      <c r="P39" s="119"/>
      <c r="Q39" s="116"/>
      <c r="R39" s="119"/>
      <c r="S39" s="117"/>
      <c r="T39" s="120"/>
      <c r="U39" s="119"/>
      <c r="V39" s="119"/>
      <c r="W39" s="37"/>
      <c r="X39" s="121"/>
      <c r="Y39" s="121"/>
      <c r="Z39" s="121"/>
      <c r="AA39" s="121"/>
      <c r="AB39" s="121"/>
      <c r="AC39" s="121"/>
      <c r="AD39" s="131">
        <f t="shared" si="3"/>
        <v>0</v>
      </c>
      <c r="AE39" s="122"/>
      <c r="AF39" s="123"/>
      <c r="AG39" s="115"/>
    </row>
    <row r="40" spans="1:33" ht="15.75">
      <c r="A40" s="114"/>
      <c r="B40" s="38"/>
      <c r="C40" s="38"/>
      <c r="D40" s="158"/>
      <c r="E40" s="115"/>
      <c r="F40" s="38"/>
      <c r="G40" s="116"/>
      <c r="H40" s="130"/>
      <c r="I40" s="117"/>
      <c r="J40" s="118"/>
      <c r="K40" s="124"/>
      <c r="L40" s="119"/>
      <c r="M40" s="117"/>
      <c r="N40" s="120"/>
      <c r="O40" s="116"/>
      <c r="P40" s="119"/>
      <c r="Q40" s="116"/>
      <c r="R40" s="119"/>
      <c r="S40" s="117"/>
      <c r="T40" s="120"/>
      <c r="U40" s="119"/>
      <c r="V40" s="119"/>
      <c r="W40" s="37"/>
      <c r="X40" s="121"/>
      <c r="Y40" s="121"/>
      <c r="Z40" s="121"/>
      <c r="AA40" s="121"/>
      <c r="AB40" s="121"/>
      <c r="AC40" s="121"/>
      <c r="AD40" s="131">
        <f t="shared" si="3"/>
        <v>0</v>
      </c>
      <c r="AE40" s="122"/>
      <c r="AF40" s="123"/>
      <c r="AG40" s="115"/>
    </row>
    <row r="41" spans="1:33" ht="15.75">
      <c r="A41" s="114"/>
      <c r="B41" s="38"/>
      <c r="C41" s="38"/>
      <c r="D41" s="158"/>
      <c r="E41" s="115"/>
      <c r="F41" s="38"/>
      <c r="G41" s="116"/>
      <c r="H41" s="130"/>
      <c r="I41" s="117"/>
      <c r="J41" s="118"/>
      <c r="K41" s="124"/>
      <c r="L41" s="119"/>
      <c r="M41" s="117"/>
      <c r="N41" s="120"/>
      <c r="O41" s="116"/>
      <c r="P41" s="119"/>
      <c r="Q41" s="116"/>
      <c r="R41" s="119"/>
      <c r="S41" s="117"/>
      <c r="T41" s="120"/>
      <c r="U41" s="119"/>
      <c r="V41" s="119"/>
      <c r="W41" s="37"/>
      <c r="X41" s="121"/>
      <c r="Y41" s="121"/>
      <c r="Z41" s="121"/>
      <c r="AA41" s="121"/>
      <c r="AB41" s="121"/>
      <c r="AC41" s="121"/>
      <c r="AD41" s="131">
        <f t="shared" si="3"/>
        <v>0</v>
      </c>
      <c r="AE41" s="122"/>
      <c r="AF41" s="123"/>
      <c r="AG41" s="115"/>
    </row>
    <row r="42" spans="1:33" ht="15.75">
      <c r="A42" s="114"/>
      <c r="B42" s="38"/>
      <c r="C42" s="38"/>
      <c r="D42" s="158"/>
      <c r="E42" s="115"/>
      <c r="F42" s="38"/>
      <c r="G42" s="116"/>
      <c r="H42" s="130"/>
      <c r="I42" s="117"/>
      <c r="J42" s="118"/>
      <c r="K42" s="124"/>
      <c r="L42" s="119"/>
      <c r="M42" s="117"/>
      <c r="N42" s="120"/>
      <c r="O42" s="116"/>
      <c r="P42" s="119"/>
      <c r="Q42" s="116"/>
      <c r="R42" s="119"/>
      <c r="S42" s="117"/>
      <c r="T42" s="120"/>
      <c r="U42" s="119"/>
      <c r="V42" s="119"/>
      <c r="W42" s="37"/>
      <c r="X42" s="121"/>
      <c r="Y42" s="121"/>
      <c r="Z42" s="121"/>
      <c r="AA42" s="121"/>
      <c r="AB42" s="121"/>
      <c r="AC42" s="121"/>
      <c r="AD42" s="131">
        <f t="shared" si="3"/>
        <v>0</v>
      </c>
      <c r="AE42" s="122"/>
      <c r="AF42" s="123"/>
      <c r="AG42" s="115"/>
    </row>
    <row r="43" spans="1:33" ht="15.75">
      <c r="A43" s="114"/>
      <c r="B43" s="38"/>
      <c r="C43" s="38"/>
      <c r="D43" s="158"/>
      <c r="E43" s="115"/>
      <c r="F43" s="38"/>
      <c r="G43" s="116"/>
      <c r="H43" s="130"/>
      <c r="I43" s="117"/>
      <c r="J43" s="118"/>
      <c r="K43" s="124"/>
      <c r="L43" s="119"/>
      <c r="M43" s="117"/>
      <c r="N43" s="120"/>
      <c r="O43" s="116"/>
      <c r="P43" s="119"/>
      <c r="Q43" s="116"/>
      <c r="R43" s="119"/>
      <c r="S43" s="117"/>
      <c r="T43" s="120"/>
      <c r="U43" s="119"/>
      <c r="V43" s="119"/>
      <c r="W43" s="37"/>
      <c r="X43" s="121"/>
      <c r="Y43" s="121"/>
      <c r="Z43" s="121"/>
      <c r="AA43" s="121"/>
      <c r="AB43" s="121"/>
      <c r="AC43" s="121"/>
      <c r="AD43" s="131">
        <f t="shared" si="3"/>
        <v>0</v>
      </c>
      <c r="AE43" s="122"/>
      <c r="AF43" s="123"/>
      <c r="AG43" s="115"/>
    </row>
    <row r="44" spans="1:33" ht="15.75">
      <c r="A44" s="114"/>
      <c r="B44" s="38"/>
      <c r="C44" s="38"/>
      <c r="D44" s="158"/>
      <c r="E44" s="115"/>
      <c r="F44" s="38"/>
      <c r="G44" s="116"/>
      <c r="H44" s="130"/>
      <c r="I44" s="117"/>
      <c r="J44" s="118"/>
      <c r="K44" s="124"/>
      <c r="L44" s="119"/>
      <c r="M44" s="117"/>
      <c r="N44" s="120"/>
      <c r="O44" s="116"/>
      <c r="P44" s="119"/>
      <c r="Q44" s="116"/>
      <c r="R44" s="119"/>
      <c r="S44" s="117"/>
      <c r="T44" s="120"/>
      <c r="U44" s="119"/>
      <c r="V44" s="119"/>
      <c r="W44" s="37"/>
      <c r="X44" s="121"/>
      <c r="Y44" s="121"/>
      <c r="Z44" s="121"/>
      <c r="AA44" s="121"/>
      <c r="AB44" s="121"/>
      <c r="AC44" s="121"/>
      <c r="AD44" s="131">
        <f t="shared" si="3"/>
        <v>0</v>
      </c>
      <c r="AE44" s="122"/>
      <c r="AF44" s="123"/>
      <c r="AG44" s="115"/>
    </row>
    <row r="45" spans="1:33" ht="15.75">
      <c r="A45" s="114"/>
      <c r="B45" s="38"/>
      <c r="C45" s="38"/>
      <c r="D45" s="158"/>
      <c r="E45" s="115"/>
      <c r="F45" s="38"/>
      <c r="G45" s="116"/>
      <c r="H45" s="130"/>
      <c r="I45" s="117"/>
      <c r="J45" s="118"/>
      <c r="K45" s="124"/>
      <c r="L45" s="119"/>
      <c r="M45" s="117"/>
      <c r="N45" s="120"/>
      <c r="O45" s="116"/>
      <c r="P45" s="119"/>
      <c r="Q45" s="116"/>
      <c r="R45" s="119"/>
      <c r="S45" s="117"/>
      <c r="T45" s="120"/>
      <c r="U45" s="119"/>
      <c r="V45" s="119"/>
      <c r="W45" s="37"/>
      <c r="X45" s="121"/>
      <c r="Y45" s="121"/>
      <c r="Z45" s="121"/>
      <c r="AA45" s="121"/>
      <c r="AB45" s="121"/>
      <c r="AC45" s="121"/>
      <c r="AD45" s="131">
        <f t="shared" si="3"/>
        <v>0</v>
      </c>
      <c r="AE45" s="122"/>
      <c r="AF45" s="123"/>
      <c r="AG45" s="115"/>
    </row>
    <row r="46" spans="1:33" ht="15.75">
      <c r="A46" s="114"/>
      <c r="B46" s="38"/>
      <c r="C46" s="38"/>
      <c r="D46" s="158"/>
      <c r="E46" s="115"/>
      <c r="F46" s="38"/>
      <c r="G46" s="116"/>
      <c r="H46" s="130"/>
      <c r="I46" s="117"/>
      <c r="J46" s="118"/>
      <c r="K46" s="124"/>
      <c r="L46" s="119"/>
      <c r="M46" s="117"/>
      <c r="N46" s="120"/>
      <c r="O46" s="116"/>
      <c r="P46" s="119"/>
      <c r="Q46" s="116"/>
      <c r="R46" s="119"/>
      <c r="S46" s="117"/>
      <c r="T46" s="120"/>
      <c r="U46" s="119"/>
      <c r="V46" s="119"/>
      <c r="W46" s="37"/>
      <c r="X46" s="121"/>
      <c r="Y46" s="121"/>
      <c r="Z46" s="121"/>
      <c r="AA46" s="121"/>
      <c r="AB46" s="121"/>
      <c r="AC46" s="121"/>
      <c r="AD46" s="131">
        <f t="shared" si="3"/>
        <v>0</v>
      </c>
      <c r="AE46" s="122"/>
      <c r="AF46" s="123"/>
      <c r="AG46" s="115"/>
    </row>
  </sheetData>
  <sheetProtection selectLockedCells="1"/>
  <protectedRanges>
    <protectedRange sqref="AG7:AG46 B8:E46 G7:V46 B7:C7 E7" name="Rango1"/>
    <protectedRange sqref="AE7:AE46" name="Rango1_2"/>
    <protectedRange sqref="F7:F46 A7:A46" name="Rango1_1"/>
    <protectedRange sqref="AD7:AD46" name="Rango1_2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8 G16 F9:G15 X7:AC46 L7:V46 F23:I46 A8:D46 A7:B7 F17:G22 H9:I22">
    <cfRule type="expression" dxfId="15" priority="249" stopIfTrue="1">
      <formula>"SEVERSTAL"</formula>
    </cfRule>
  </conditionalFormatting>
  <conditionalFormatting sqref="E8:E15 AG7:AG46 AE7:AE46 E18:E46">
    <cfRule type="cellIs" dxfId="14" priority="250" stopIfTrue="1" operator="equal">
      <formula>"APROBADO"</formula>
    </cfRule>
    <cfRule type="cellIs" dxfId="13" priority="251" stopIfTrue="1" operator="equal">
      <formula>"ESPERA"</formula>
    </cfRule>
    <cfRule type="cellIs" dxfId="12" priority="252" stopIfTrue="1" operator="equal">
      <formula>"RECHAZADO"</formula>
    </cfRule>
  </conditionalFormatting>
  <conditionalFormatting sqref="F16">
    <cfRule type="expression" dxfId="11" priority="9" stopIfTrue="1">
      <formula>"SEVERSTAL"</formula>
    </cfRule>
  </conditionalFormatting>
  <conditionalFormatting sqref="E16:E17">
    <cfRule type="cellIs" dxfId="10" priority="10" stopIfTrue="1" operator="equal">
      <formula>"APROBADO"</formula>
    </cfRule>
    <cfRule type="cellIs" dxfId="9" priority="11" stopIfTrue="1" operator="equal">
      <formula>"ESPERA"</formula>
    </cfRule>
    <cfRule type="cellIs" dxfId="8" priority="12" stopIfTrue="1" operator="equal">
      <formula>"RECHAZADO"</formula>
    </cfRule>
  </conditionalFormatting>
  <conditionalFormatting sqref="AD7:AD46">
    <cfRule type="cellIs" dxfId="7" priority="6" stopIfTrue="1" operator="equal">
      <formula>"APROBADO"</formula>
    </cfRule>
    <cfRule type="cellIs" dxfId="6" priority="7" stopIfTrue="1" operator="equal">
      <formula>"ESPERA"</formula>
    </cfRule>
    <cfRule type="cellIs" dxfId="5" priority="8" stopIfTrue="1" operator="equal">
      <formula>"RECHAZADO"</formula>
    </cfRule>
  </conditionalFormatting>
  <conditionalFormatting sqref="C7">
    <cfRule type="expression" dxfId="4" priority="2" stopIfTrue="1">
      <formula>"SEVERSTAL"</formula>
    </cfRule>
  </conditionalFormatting>
  <conditionalFormatting sqref="E7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2022-10-03T16:45:29Z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