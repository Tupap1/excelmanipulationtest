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C28207F8-3CC6-4ED8-B972-FFF42973646F}" xr6:coauthVersionLast="47" xr6:coauthVersionMax="47" xr10:uidLastSave="{00000000-0000-0000-0000-000000000000}"/>
  <bookViews>
    <workbookView showSheetTabs="0" xWindow="24420" yWindow="393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" i="5" l="1"/>
  <c r="AD9" i="5" s="1"/>
  <c r="AD4" i="5" l="1"/>
  <c r="AE4" i="5" s="1"/>
  <c r="AF3" i="5"/>
  <c r="AG3" i="5" s="1"/>
  <c r="AE3" i="5"/>
  <c r="AF4" i="5" l="1"/>
  <c r="AG4" i="5" s="1"/>
  <c r="W7" i="5" l="1"/>
  <c r="AD7" i="5" s="1"/>
  <c r="W6" i="5"/>
  <c r="AD6" i="5" s="1"/>
  <c r="W8" i="5" l="1"/>
  <c r="AD8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AC11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" authorId="0" shapeId="0" xr:uid="{00000000-0006-0000-0200-000002000000}">
      <text>
        <r>
          <rPr>
            <b/>
            <sz val="10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Alta temperatura de Quench.
Se reprocesa en el lote 5942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<sst xmlns="http://schemas.openxmlformats.org/spreadsheetml/2006/main" count="180" uniqueCount="117">
  <si>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</si>
  <si>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</si>
  <si>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</si>
  <si>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</si>
  <si>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</si>
  <si>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</si>
  <si>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</si>
  <si>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</si>
  <si>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</si>
  <si>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</si>
  <si>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</si>
  <si>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</si>
  <si>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</si>
  <si>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</si>
  <si>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</si>
  <si>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</si>
  <si>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</si>
  <si>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</si>
  <si>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</si>
  <si>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</si>
  <si>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</si>
  <si>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</si>
  <si>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</si>
  <si>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</si>
  <si>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</si>
  <si>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</si>
  <si>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</si>
  <si>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</si>
  <si>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</si>
  <si>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</si>
  <si>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</si>
  <si>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</si>
  <si>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</si>
  <si>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</si>
  <si>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</si>
  <si>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</si>
  <si>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</si>
  <si>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</si>
  <si>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</si>
  <si>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</si>
  <si>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</si>
  <si>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</si>
  <si>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</si>
  <si>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</si>
  <si>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</si>
  <si>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</si>
  <si>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</si>
  <si>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</si>
  <si>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</si>
  <si>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</si>
  <si>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</si>
  <si>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</si>
  <si>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</si>
  <si>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</si>
  <si>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</si>
  <si>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</si>
  <si>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</si>
  <si>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</si>
  <si>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</si>
  <si>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</si>
  <si>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</si>
  <si>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</si>
  <si>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</si>
  <si>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</si>
  <si>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</si>
  <si>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</si>
  <si>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</si>
  <si>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</si>
  <si>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</si>
  <si>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</si>
  <si>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</si>
  <si>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</si>
  <si>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</si>
  <si>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</si>
  <si>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</si>
  <si>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</si>
  <si>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</si>
  <si>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</si>
  <si>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</si>
  <si>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</si>
  <si>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</si>
  <si>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</si>
  <si>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</si>
  <si>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</si>
  <si>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</si>
  <si>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</si>
  <si>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</si>
  <si>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</si>
  <si>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</si>
  <si>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</si>
  <si>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</si>
  <si>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</si>
  <si>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r>
      <t xml:space="preserve">TCP 195.44 mm - 20 mm L80 D10 </t>
    </r>
    <r>
      <rPr>
        <b/>
        <sz val="12"/>
        <color indexed="8"/>
        <rFont val="Frutiger 45 Light"/>
        <family val="2"/>
      </rPr>
      <t>( Cupla 7 )</t>
    </r>
  </si>
  <si>
    <t>1 al 80</t>
  </si>
  <si>
    <t>81 al 104</t>
  </si>
  <si>
    <t>Ciclo</t>
  </si>
  <si>
    <t>Res.</t>
  </si>
  <si>
    <t>T/Hr</t>
  </si>
  <si>
    <t>Tubos x Turno</t>
  </si>
  <si>
    <t xml:space="preserve"> H. Temple</t>
  </si>
  <si>
    <t xml:space="preserve"> H. Revenido</t>
  </si>
  <si>
    <t>Prom.Temp. Tubo</t>
  </si>
  <si>
    <t>°C</t>
  </si>
  <si>
    <t>1 al 100</t>
  </si>
  <si>
    <t>101 al 112</t>
  </si>
  <si>
    <t>1 al 71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</si>
  <si>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</si>
  <si>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</si>
  <si>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</si>
  <si>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</si>
  <si>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</si>
  <si>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</si>
  <si>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</si>
  <si>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</si>
  <si>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</si>
  <si>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proveedor </t>
  </si>
  <si>
    <t>195,4 x 20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</si>
</sst>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1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8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3" xfId="0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2" xfId="0" applyFont="1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0" fontId="0" fillId="7" borderId="26" xfId="0" applyFill="1" applyBorder="1" applyAlignment="1" applyProtection="1">
      <alignment vertical="center"/>
      <protection hidden="1"/>
    </xf>
    <xf numFmtId="0" fontId="1" fillId="7" borderId="31" xfId="0" applyFont="1" applyFill="1" applyBorder="1" applyAlignment="1" applyProtection="1">
      <alignment vertical="center"/>
      <protection hidden="1"/>
    </xf>
    <xf numFmtId="21" fontId="23" fillId="7" borderId="31" xfId="0" applyNumberFormat="1" applyFont="1" applyFill="1" applyBorder="1" applyAlignment="1" applyProtection="1">
      <alignment horizontal="center" vertical="center"/>
      <protection hidden="1"/>
    </xf>
    <xf numFmtId="0" fontId="8" fillId="7" borderId="26" xfId="0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10" fillId="7" borderId="26" xfId="0" applyFont="1" applyFill="1" applyBorder="1" applyAlignment="1" applyProtection="1">
      <alignment vertical="center"/>
      <protection hidden="1"/>
    </xf>
    <xf numFmtId="0" fontId="25" fillId="7" borderId="31" xfId="0" applyFont="1" applyFill="1" applyBorder="1" applyAlignment="1" applyProtection="1">
      <alignment vertical="center"/>
      <protection hidden="1"/>
    </xf>
    <xf numFmtId="21" fontId="28" fillId="7" borderId="31" xfId="0" applyNumberFormat="1" applyFont="1" applyFill="1" applyBorder="1" applyAlignment="1" applyProtection="1">
      <alignment horizontal="center" vertical="center"/>
      <protection hidden="1"/>
    </xf>
    <xf numFmtId="0" fontId="9" fillId="7" borderId="32" xfId="0" applyFont="1" applyFill="1" applyBorder="1" applyAlignment="1" applyProtection="1">
      <alignment vertical="center"/>
      <protection hidden="1"/>
    </xf>
    <xf numFmtId="0" fontId="9" fillId="7" borderId="27" xfId="0" applyFont="1" applyFill="1" applyBorder="1" applyAlignment="1" applyProtection="1">
      <alignment vertical="center"/>
      <protection hidden="1"/>
    </xf>
    <xf numFmtId="0" fontId="25" fillId="7" borderId="27" xfId="0" applyFont="1" applyFill="1" applyBorder="1" applyAlignment="1" applyProtection="1">
      <alignment vertical="center"/>
      <protection hidden="1"/>
    </xf>
    <xf numFmtId="0" fontId="40" fillId="7" borderId="27" xfId="0" applyFont="1" applyFill="1" applyBorder="1" applyAlignment="1" applyProtection="1">
      <alignment vertical="center"/>
      <protection hidden="1"/>
    </xf>
    <xf numFmtId="0" fontId="39" fillId="7" borderId="27" xfId="0" applyFont="1" applyFill="1" applyBorder="1" applyAlignment="1" applyProtection="1">
      <alignment vertical="center"/>
      <protection hidden="1"/>
    </xf>
    <xf numFmtId="21" fontId="39" fillId="7" borderId="27" xfId="0" applyNumberFormat="1" applyFont="1" applyFill="1" applyBorder="1" applyAlignment="1" applyProtection="1">
      <alignment horizontal="center" vertical="center"/>
      <protection hidden="1"/>
    </xf>
    <xf numFmtId="21" fontId="31" fillId="7" borderId="27" xfId="0" applyNumberFormat="1" applyFont="1" applyFill="1" applyBorder="1" applyAlignment="1" applyProtection="1">
      <alignment horizontal="center" vertical="center"/>
      <protection hidden="1"/>
    </xf>
    <xf numFmtId="21" fontId="28" fillId="7" borderId="25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8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34" xfId="0" applyFont="1" applyBorder="1" applyAlignment="1">
      <alignment horizontal="center"/>
    </xf>
    <xf numFmtId="15" fontId="53" fillId="0" borderId="7" xfId="0" applyNumberFormat="1" applyFont="1" applyFill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33" xfId="2" applyNumberFormat="1" applyFont="1" applyFill="1" applyBorder="1" applyAlignment="1" applyProtection="1">
      <alignment horizontal="center"/>
      <protection locked="0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61" fillId="0" borderId="36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37" xfId="0" applyFont="1" applyFill="1" applyBorder="1" applyAlignment="1">
      <alignment horizontal="center"/>
    </xf>
    <xf numFmtId="3" fontId="54" fillId="0" borderId="7" xfId="2" applyNumberFormat="1" applyFont="1" applyFill="1" applyBorder="1" applyAlignment="1" applyProtection="1">
      <alignment horizontal="center"/>
      <protection locked="0"/>
    </xf>
    <xf numFmtId="3" fontId="54" fillId="0" borderId="36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31" xfId="0" applyFont="1" applyFill="1" applyBorder="1" applyAlignment="1">
      <alignment horizontal="center"/>
    </xf>
    <xf numFmtId="0" fontId="41" fillId="5" borderId="12" xfId="0" applyFont="1" applyFill="1" applyBorder="1" applyAlignment="1">
      <alignment horizontal="center" vertical="center" wrapText="1"/>
    </xf>
    <xf numFmtId="0" fontId="62" fillId="5" borderId="12" xfId="0" applyFont="1" applyFill="1" applyBorder="1" applyAlignment="1">
      <alignment horizontal="center" vertical="center" wrapText="1"/>
    </xf>
    <xf numFmtId="0" fontId="41" fillId="6" borderId="23" xfId="0" applyFont="1" applyFill="1" applyBorder="1" applyAlignment="1">
      <alignment horizontal="center" vertical="center" wrapText="1"/>
    </xf>
    <xf numFmtId="3" fontId="54" fillId="0" borderId="38" xfId="2" applyNumberFormat="1" applyFont="1" applyFill="1" applyBorder="1" applyAlignment="1" applyProtection="1">
      <alignment horizontal="center"/>
      <protection locked="0"/>
    </xf>
    <xf numFmtId="0" fontId="41" fillId="5" borderId="19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12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5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0" fontId="72" fillId="10" borderId="35" xfId="4" applyFont="1" applyFill="1" applyBorder="1" applyAlignment="1">
      <alignment horizontal="center"/>
    </xf>
    <xf numFmtId="0" fontId="72" fillId="13" borderId="35" xfId="4" applyFont="1" applyFill="1" applyBorder="1" applyAlignment="1">
      <alignment horizontal="center"/>
    </xf>
    <xf numFmtId="0" fontId="72" fillId="14" borderId="30" xfId="4" applyFont="1" applyFill="1" applyBorder="1" applyAlignment="1">
      <alignment horizontal="center"/>
    </xf>
    <xf numFmtId="0" fontId="73" fillId="16" borderId="15" xfId="4" applyFont="1" applyFill="1" applyBorder="1" applyAlignment="1">
      <alignment horizontal="center" vertical="center" wrapText="1"/>
    </xf>
    <xf numFmtId="0" fontId="73" fillId="16" borderId="16" xfId="4" applyFont="1" applyFill="1" applyBorder="1" applyAlignment="1">
      <alignment horizontal="center" vertical="center" wrapText="1"/>
    </xf>
    <xf numFmtId="0" fontId="72" fillId="10" borderId="42" xfId="4" applyFont="1" applyFill="1" applyBorder="1" applyAlignment="1">
      <alignment horizontal="center" vertical="center" wrapText="1"/>
    </xf>
    <xf numFmtId="0" fontId="72" fillId="10" borderId="19" xfId="4" applyFont="1" applyFill="1" applyBorder="1" applyAlignment="1">
      <alignment horizontal="center" vertical="center" wrapText="1"/>
    </xf>
    <xf numFmtId="0" fontId="72" fillId="10" borderId="13" xfId="4" applyFont="1" applyFill="1" applyBorder="1" applyAlignment="1">
      <alignment horizontal="center" vertical="center" wrapText="1"/>
    </xf>
    <xf numFmtId="0" fontId="72" fillId="13" borderId="19" xfId="4" applyFont="1" applyFill="1" applyBorder="1" applyAlignment="1">
      <alignment horizontal="center" vertical="center" wrapText="1"/>
    </xf>
    <xf numFmtId="0" fontId="72" fillId="13" borderId="22" xfId="4" applyFont="1" applyFill="1" applyBorder="1" applyAlignment="1">
      <alignment horizontal="center" vertical="center" wrapText="1"/>
    </xf>
    <xf numFmtId="0" fontId="72" fillId="14" borderId="19" xfId="4" applyFont="1" applyFill="1" applyBorder="1" applyAlignment="1">
      <alignment horizontal="center" vertical="center" wrapText="1"/>
    </xf>
    <xf numFmtId="0" fontId="73" fillId="16" borderId="17" xfId="4" applyFont="1" applyFill="1" applyBorder="1" applyAlignment="1">
      <alignment horizontal="center" vertical="center" wrapText="1"/>
    </xf>
    <xf numFmtId="0" fontId="73" fillId="12" borderId="17" xfId="4" applyFont="1" applyFill="1" applyBorder="1" applyAlignment="1">
      <alignment horizontal="center" vertical="center" wrapText="1"/>
    </xf>
    <xf numFmtId="0" fontId="73" fillId="12" borderId="15" xfId="4" applyFont="1" applyFill="1" applyBorder="1" applyAlignment="1">
      <alignment horizontal="center" vertical="center" wrapText="1"/>
    </xf>
    <xf numFmtId="0" fontId="73" fillId="12" borderId="18" xfId="4" applyFont="1" applyFill="1" applyBorder="1" applyAlignment="1">
      <alignment horizontal="center" vertical="center" wrapText="1"/>
    </xf>
    <xf numFmtId="0" fontId="72" fillId="14" borderId="13" xfId="4" applyFont="1" applyFill="1" applyBorder="1" applyAlignment="1">
      <alignment horizontal="center" vertical="center" wrapText="1"/>
    </xf>
    <xf numFmtId="15" fontId="20" fillId="3" borderId="43" xfId="0" applyNumberFormat="1" applyFont="1" applyFill="1" applyBorder="1" applyAlignment="1">
      <alignment horizontal="center"/>
    </xf>
    <xf numFmtId="0" fontId="37" fillId="0" borderId="43" xfId="0" applyFont="1" applyFill="1" applyBorder="1" applyAlignment="1">
      <alignment horizontal="center"/>
    </xf>
    <xf numFmtId="0" fontId="20" fillId="0" borderId="43" xfId="3" applyFont="1" applyBorder="1" applyAlignment="1">
      <alignment horizontal="center"/>
    </xf>
    <xf numFmtId="2" fontId="37" fillId="0" borderId="43" xfId="0" applyNumberFormat="1" applyFont="1" applyFill="1" applyBorder="1" applyAlignment="1">
      <alignment horizontal="center"/>
    </xf>
    <xf numFmtId="165" fontId="37" fillId="0" borderId="43" xfId="2" applyNumberFormat="1" applyFont="1" applyFill="1" applyBorder="1" applyAlignment="1">
      <alignment horizontal="center"/>
    </xf>
    <xf numFmtId="0" fontId="0" fillId="0" borderId="43" xfId="0" applyFill="1" applyBorder="1"/>
    <xf numFmtId="15" fontId="20" fillId="8" borderId="43" xfId="0" applyNumberFormat="1" applyFont="1" applyFill="1" applyBorder="1" applyAlignment="1">
      <alignment horizontal="center"/>
    </xf>
    <xf numFmtId="165" fontId="20" fillId="0" borderId="43" xfId="0" applyNumberFormat="1" applyFont="1" applyFill="1" applyBorder="1" applyAlignment="1">
      <alignment horizontal="center"/>
    </xf>
    <xf numFmtId="165" fontId="37" fillId="0" borderId="43" xfId="0" applyNumberFormat="1" applyFont="1" applyFill="1" applyBorder="1" applyAlignment="1">
      <alignment horizontal="center"/>
    </xf>
    <xf numFmtId="2" fontId="20" fillId="0" borderId="43" xfId="3" applyNumberFormat="1" applyFont="1" applyBorder="1" applyAlignment="1">
      <alignment horizontal="center"/>
    </xf>
    <xf numFmtId="0" fontId="20" fillId="8" borderId="43" xfId="3" applyFont="1" applyFill="1" applyBorder="1" applyAlignment="1">
      <alignment horizontal="center"/>
    </xf>
    <xf numFmtId="1" fontId="37" fillId="0" borderId="43" xfId="0" applyNumberFormat="1" applyFont="1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20" fillId="8" borderId="44" xfId="3" applyFont="1" applyFill="1" applyBorder="1" applyAlignment="1">
      <alignment horizontal="center"/>
    </xf>
    <xf numFmtId="0" fontId="1" fillId="11" borderId="43" xfId="0" applyFont="1" applyFill="1" applyBorder="1" applyAlignment="1">
      <alignment horizontal="center" wrapText="1"/>
    </xf>
    <xf numFmtId="0" fontId="1" fillId="11" borderId="43" xfId="0" applyFont="1" applyFill="1" applyBorder="1" applyAlignment="1">
      <alignment horizontal="center"/>
    </xf>
    <xf numFmtId="0" fontId="20" fillId="0" borderId="43" xfId="3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/>
    </xf>
    <xf numFmtId="0" fontId="54" fillId="0" borderId="43" xfId="0" applyFont="1" applyFill="1" applyBorder="1" applyAlignment="1" applyProtection="1">
      <alignment horizontal="center"/>
      <protection locked="0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74" fillId="0" borderId="27" xfId="0" applyFont="1" applyFill="1" applyBorder="1" applyAlignment="1">
      <alignment horizontal="center" vertical="center"/>
    </xf>
    <xf numFmtId="0" fontId="75" fillId="0" borderId="27" xfId="0" applyFont="1" applyFill="1" applyBorder="1" applyAlignment="1">
      <alignment horizontal="center" vertical="center"/>
    </xf>
    <xf numFmtId="0" fontId="70" fillId="13" borderId="40" xfId="4" applyFont="1" applyFill="1" applyBorder="1" applyAlignment="1">
      <alignment horizontal="center"/>
    </xf>
    <xf numFmtId="0" fontId="69" fillId="10" borderId="39" xfId="4" applyFont="1" applyFill="1" applyBorder="1" applyAlignment="1">
      <alignment horizontal="center"/>
    </xf>
    <xf numFmtId="0" fontId="69" fillId="10" borderId="40" xfId="4" applyFont="1" applyFill="1" applyBorder="1" applyAlignment="1">
      <alignment horizontal="center"/>
    </xf>
    <xf numFmtId="0" fontId="13" fillId="0" borderId="27" xfId="0" applyFont="1" applyFill="1" applyBorder="1" applyAlignment="1">
      <alignment horizontal="center" vertical="center"/>
    </xf>
    <xf numFmtId="0" fontId="68" fillId="12" borderId="13" xfId="4" applyFont="1" applyFill="1" applyBorder="1" applyAlignment="1">
      <alignment horizontal="center" vertical="center"/>
    </xf>
    <xf numFmtId="0" fontId="68" fillId="12" borderId="22" xfId="4" applyFont="1" applyFill="1" applyBorder="1" applyAlignment="1">
      <alignment horizontal="center" vertical="center"/>
    </xf>
    <xf numFmtId="0" fontId="71" fillId="15" borderId="5" xfId="4" applyFont="1" applyFill="1" applyBorder="1" applyAlignment="1">
      <alignment horizontal="center" vertical="center" shrinkToFit="1"/>
    </xf>
    <xf numFmtId="0" fontId="71" fillId="15" borderId="6" xfId="4" applyFont="1" applyFill="1" applyBorder="1" applyAlignment="1">
      <alignment horizontal="center" vertical="center" shrinkToFit="1"/>
    </xf>
    <xf numFmtId="0" fontId="70" fillId="14" borderId="40" xfId="4" applyFont="1" applyFill="1" applyBorder="1" applyAlignment="1">
      <alignment horizontal="center"/>
    </xf>
    <xf numFmtId="0" fontId="70" fillId="14" borderId="29" xfId="4" applyFont="1" applyFill="1" applyBorder="1" applyAlignment="1">
      <alignment horizontal="center"/>
    </xf>
    <xf numFmtId="0" fontId="72" fillId="10" borderId="41" xfId="4" applyFont="1" applyFill="1" applyBorder="1" applyAlignment="1">
      <alignment horizontal="center"/>
    </xf>
    <xf numFmtId="0" fontId="72" fillId="10" borderId="35" xfId="4" applyFont="1" applyFill="1" applyBorder="1" applyAlignment="1">
      <alignment horizontal="center"/>
    </xf>
    <xf numFmtId="0" fontId="72" fillId="14" borderId="35" xfId="4" applyFont="1" applyFill="1" applyBorder="1" applyAlignment="1">
      <alignment horizontal="center"/>
    </xf>
    <xf numFmtId="0" fontId="71" fillId="15" borderId="28" xfId="4" applyFont="1" applyFill="1" applyBorder="1" applyAlignment="1">
      <alignment horizontal="center" vertical="center" shrinkToFit="1"/>
    </xf>
    <xf numFmtId="0" fontId="71" fillId="15" borderId="11" xfId="4" applyFont="1" applyFill="1" applyBorder="1" applyAlignment="1">
      <alignment horizontal="center" vertical="center" shrinkToFit="1"/>
    </xf>
    <xf numFmtId="0" fontId="71" fillId="15" borderId="23" xfId="4" applyFont="1" applyFill="1" applyBorder="1" applyAlignment="1">
      <alignment horizontal="center" vertical="center" shrinkToFit="1"/>
    </xf>
    <xf numFmtId="0" fontId="71" fillId="15" borderId="14" xfId="4" applyFont="1" applyFill="1" applyBorder="1" applyAlignment="1">
      <alignment horizontal="center" vertical="center" shrinkToFit="1"/>
    </xf>
    <xf numFmtId="0" fontId="68" fillId="12" borderId="23" xfId="4" applyFont="1" applyFill="1" applyBorder="1" applyAlignment="1">
      <alignment horizontal="center" vertical="center"/>
    </xf>
    <xf numFmtId="0" fontId="68" fillId="12" borderId="14" xfId="4" applyFont="1" applyFill="1" applyBorder="1" applyAlignment="1">
      <alignment horizontal="center" vertical="center"/>
    </xf>
    <xf numFmtId="0" fontId="68" fillId="12" borderId="9" xfId="4" applyFont="1" applyFill="1" applyBorder="1" applyAlignment="1">
      <alignment horizontal="center" vertical="center"/>
    </xf>
    <xf numFmtId="0" fontId="71" fillId="12" borderId="9" xfId="4" applyFont="1" applyFill="1" applyBorder="1" applyAlignment="1">
      <alignment horizontal="center" vertical="center" shrinkToFit="1"/>
    </xf>
    <xf numFmtId="0" fontId="71" fillId="12" borderId="23" xfId="4" applyFont="1" applyFill="1" applyBorder="1" applyAlignment="1">
      <alignment horizontal="center" vertical="center" shrinkToFit="1"/>
    </xf>
    <xf numFmtId="3" fontId="61" fillId="0" borderId="10" xfId="2" applyNumberFormat="1" applyFont="1" applyFill="1" applyBorder="1" applyAlignment="1" applyProtection="1">
      <alignment horizontal="center" vertical="center"/>
      <protection locked="0"/>
    </xf>
    <xf numFmtId="3" fontId="61" fillId="0" borderId="7" xfId="2" applyNumberFormat="1" applyFont="1" applyFill="1" applyBorder="1" applyAlignment="1" applyProtection="1">
      <alignment horizontal="center" vertical="center"/>
      <protection locked="0"/>
    </xf>
    <xf numFmtId="0" fontId="56" fillId="6" borderId="27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13" xfId="0" applyFont="1" applyFill="1" applyBorder="1" applyAlignment="1">
      <alignment horizontal="center" vertical="center" wrapText="1"/>
    </xf>
    <xf numFmtId="0" fontId="41" fillId="6" borderId="22" xfId="0" applyFont="1" applyFill="1" applyBorder="1" applyAlignment="1">
      <alignment horizontal="center" vertical="center" wrapText="1"/>
    </xf>
    <xf numFmtId="0" fontId="41" fillId="6" borderId="24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3610-4852-A075-B8531C865CC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3610-4852-A075-B8531C865CC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3610-4852-A075-B8531C865CC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3610-4852-A075-B8531C865CC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3610-4852-A075-B8531C865CC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3610-4852-A075-B8531C865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936576"/>
        <c:axId val="512523224"/>
      </c:barChart>
      <c:catAx>
        <c:axId val="35493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32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12523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936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AE5-44ED-92C6-C74107F1495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AE5-44ED-92C6-C74107F1495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AE5-44ED-92C6-C74107F1495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AE5-44ED-92C6-C74107F1495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AE5-44ED-92C6-C74107F1495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AE5-44ED-92C6-C74107F1495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AE5-44ED-92C6-C74107F1495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AE5-44ED-92C6-C74107F1495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AE5-44ED-92C6-C74107F1495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AE5-44ED-92C6-C74107F1495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AE5-44ED-92C6-C74107F1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522440"/>
        <c:axId val="512522048"/>
      </c:lineChart>
      <c:catAx>
        <c:axId val="512522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2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22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24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2A-4F3A-80DA-64E0FBF66B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2A-4F3A-80DA-64E0FBF66B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2A-4F3A-80DA-64E0FBF66B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2A-4F3A-80DA-64E0FBF66B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2A-4F3A-80DA-64E0FBF66B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2A-4F3A-80DA-64E0FBF66B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2A-4F3A-80DA-64E0FBF66B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2A-4F3A-80DA-64E0FBF66B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2A-4F3A-80DA-64E0FBF66B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2A-4F3A-80DA-64E0FBF66B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2A-4F3A-80DA-64E0FBF66B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2A-4F3A-80DA-64E0FBF66B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2A-4F3A-80DA-64E0FBF66B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2A-4F3A-80DA-64E0FBF6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25184"/>
        <c:axId val="512525576"/>
      </c:barChart>
      <c:catAx>
        <c:axId val="5125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5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25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5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4-4479-90FE-3E6179C761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84-4479-90FE-3E6179C761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4-4479-90FE-3E6179C761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4-4479-90FE-3E6179C761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4-4479-90FE-3E6179C761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84-4479-90FE-3E6179C761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4-4479-90FE-3E6179C761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4-4479-90FE-3E6179C761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84-4479-90FE-3E6179C761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84-4479-90FE-3E6179C761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84-4479-90FE-3E6179C761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84-4479-90FE-3E6179C761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84-4479-90FE-3E6179C761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84-4479-90FE-3E6179C76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26360"/>
        <c:axId val="364082136"/>
      </c:barChart>
      <c:catAx>
        <c:axId val="51252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408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082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2526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AC-410E-BD38-592488EB4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AC-410E-BD38-592488EB46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AC-410E-BD38-592488EB4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AC-410E-BD38-592488EB4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AC-410E-BD38-592488EB4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AC-410E-BD38-592488EB46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AC-410E-BD38-592488EB4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AC-410E-BD38-592488EB4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AC-410E-BD38-592488EB4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AC-410E-BD38-592488EB46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AC-410E-BD38-592488EB4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AC-410E-BD38-592488EB4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AC-410E-BD38-592488EB4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AC-410E-BD38-592488EB4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366256"/>
        <c:axId val="215365080"/>
      </c:barChart>
      <c:catAx>
        <c:axId val="21536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5365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5365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5366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BF-4377-8364-859850D05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BF-4377-8364-859850D052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BF-4377-8364-859850D05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BF-4377-8364-859850D05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BF-4377-8364-859850D05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BF-4377-8364-859850D052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BF-4377-8364-859850D05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BF-4377-8364-859850D05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BF-4377-8364-859850D05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BF-4377-8364-859850D052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BF-4377-8364-859850D052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BF-4377-8364-859850D052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BF-4377-8364-859850D052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BF-4377-8364-859850D05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244880"/>
        <c:axId val="468245272"/>
      </c:barChart>
      <c:catAx>
        <c:axId val="46824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5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245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4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15-4DFA-BC89-017867EB4F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15-4DFA-BC89-017867EB4F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15-4DFA-BC89-017867EB4F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15-4DFA-BC89-017867EB4F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15-4DFA-BC89-017867EB4F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15-4DFA-BC89-017867EB4F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15-4DFA-BC89-017867EB4F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15-4DFA-BC89-017867EB4F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15-4DFA-BC89-017867EB4F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15-4DFA-BC89-017867EB4F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15-4DFA-BC89-017867EB4F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15-4DFA-BC89-017867EB4F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15-4DFA-BC89-017867EB4F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15-4DFA-BC89-017867EB4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246056"/>
        <c:axId val="468246448"/>
      </c:barChart>
      <c:catAx>
        <c:axId val="46824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6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246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6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04-47A2-B4A9-9C82D5733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04-47A2-B4A9-9C82D57337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04-47A2-B4A9-9C82D5733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04-47A2-B4A9-9C82D5733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04-47A2-B4A9-9C82D5733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04-47A2-B4A9-9C82D57337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04-47A2-B4A9-9C82D5733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04-47A2-B4A9-9C82D5733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04-47A2-B4A9-9C82D5733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04-47A2-B4A9-9C82D57337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04-47A2-B4A9-9C82D57337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04-47A2-B4A9-9C82D57337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04-47A2-B4A9-9C82D57337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04-47A2-B4A9-9C82D5733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247232"/>
        <c:axId val="468247624"/>
      </c:barChart>
      <c:catAx>
        <c:axId val="46824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7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247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7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DE-4FA3-91E1-57912A5E7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DE-4FA3-91E1-57912A5E7B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E-4FA3-91E1-57912A5E7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E-4FA3-91E1-57912A5E7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DE-4FA3-91E1-57912A5E7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DE-4FA3-91E1-57912A5E7B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DE-4FA3-91E1-57912A5E7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DE-4FA3-91E1-57912A5E7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DE-4FA3-91E1-57912A5E7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DE-4FA3-91E1-57912A5E7B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DE-4FA3-91E1-57912A5E7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DE-4FA3-91E1-57912A5E7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DE-4FA3-91E1-57912A5E7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DE-4FA3-91E1-57912A5E7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248408"/>
        <c:axId val="356263160"/>
      </c:barChart>
      <c:catAx>
        <c:axId val="46824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3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263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8248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12-4804-A9CC-8E6B9060C6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12-4804-A9CC-8E6B9060C6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12-4804-A9CC-8E6B9060C6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12-4804-A9CC-8E6B9060C6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12-4804-A9CC-8E6B9060C6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12-4804-A9CC-8E6B9060C6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12-4804-A9CC-8E6B9060C6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12-4804-A9CC-8E6B9060C6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12-4804-A9CC-8E6B9060C6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12-4804-A9CC-8E6B9060C6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12-4804-A9CC-8E6B9060C6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12-4804-A9CC-8E6B9060C6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12-4804-A9CC-8E6B9060C6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12-4804-A9CC-8E6B9060C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263944"/>
        <c:axId val="356264336"/>
      </c:barChart>
      <c:catAx>
        <c:axId val="356263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4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264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3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B-4879-B068-E5D55B048F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B-4879-B068-E5D55B048F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B-4879-B068-E5D55B048F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B-4879-B068-E5D55B048F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B-4879-B068-E5D55B048F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B-4879-B068-E5D55B048F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B-4879-B068-E5D55B048F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B-4879-B068-E5D55B048F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B-4879-B068-E5D55B048F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B-4879-B068-E5D55B048F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B-4879-B068-E5D55B048F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B-4879-B068-E5D55B048F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B-4879-B068-E5D55B048F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B-4879-B068-E5D55B04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265120"/>
        <c:axId val="356265512"/>
      </c:barChart>
      <c:catAx>
        <c:axId val="35626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5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265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5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5F-42AA-9163-5475B8FD8F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5F-42AA-9163-5475B8FD8F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5F-42AA-9163-5475B8FD8F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5F-42AA-9163-5475B8FD8F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5F-42AA-9163-5475B8FD8F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5F-42AA-9163-5475B8FD8F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5F-42AA-9163-5475B8FD8F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5F-42AA-9163-5475B8FD8F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5F-42AA-9163-5475B8FD8F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5F-42AA-9163-5475B8FD8F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5F-42AA-9163-5475B8FD8F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5F-42AA-9163-5475B8FD8F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5F-42AA-9163-5475B8FD8F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5F-42AA-9163-5475B8FD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266296"/>
        <c:axId val="356266688"/>
      </c:barChart>
      <c:catAx>
        <c:axId val="356266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6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266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266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37-445F-8FAB-2455B1AE2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37-445F-8FAB-2455B1AE22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37-445F-8FAB-2455B1AE2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37-445F-8FAB-2455B1AE2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37-445F-8FAB-2455B1AE2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37-445F-8FAB-2455B1AE22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37-445F-8FAB-2455B1AE2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37-445F-8FAB-2455B1AE2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37-445F-8FAB-2455B1AE2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37-445F-8FAB-2455B1AE22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37-445F-8FAB-2455B1AE22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37-445F-8FAB-2455B1AE22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37-445F-8FAB-2455B1AE22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37-445F-8FAB-2455B1AE2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254104"/>
        <c:axId val="536254496"/>
      </c:barChart>
      <c:catAx>
        <c:axId val="536254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4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254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4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F3-4085-8A77-8DDCCE34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F3-4085-8A77-8DDCCE34FF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F3-4085-8A77-8DDCCE34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F3-4085-8A77-8DDCCE34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F3-4085-8A77-8DDCCE34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F3-4085-8A77-8DDCCE34FF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F3-4085-8A77-8DDCCE34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F3-4085-8A77-8DDCCE34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F3-4085-8A77-8DDCCE34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F3-4085-8A77-8DDCCE34FF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F3-4085-8A77-8DDCCE34FF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F3-4085-8A77-8DDCCE34FF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F3-4085-8A77-8DDCCE34FF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F3-4085-8A77-8DDCCE34F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255280"/>
        <c:axId val="536255672"/>
      </c:barChart>
      <c:catAx>
        <c:axId val="53625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5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255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5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B7-470E-96B8-D356CBD3DC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B7-470E-96B8-D356CBD3DC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B7-470E-96B8-D356CBD3DC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B7-470E-96B8-D356CBD3DC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B7-470E-96B8-D356CBD3DC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B7-470E-96B8-D356CBD3DC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B7-470E-96B8-D356CBD3DC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B7-470E-96B8-D356CBD3DC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B7-470E-96B8-D356CBD3DC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B7-470E-96B8-D356CBD3DC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7-470E-96B8-D356CBD3DC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7-470E-96B8-D356CBD3DC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7-470E-96B8-D356CBD3DC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B7-470E-96B8-D356CBD3D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256456"/>
        <c:axId val="536256848"/>
      </c:barChart>
      <c:catAx>
        <c:axId val="536256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6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256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6256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F9-4662-B08D-1B1483AF7C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F9-4662-B08D-1B1483AF7C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F9-4662-B08D-1B1483AF7C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F9-4662-B08D-1B1483AF7C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F9-4662-B08D-1B1483AF7C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F9-4662-B08D-1B1483AF7C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F9-4662-B08D-1B1483AF7C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F9-4662-B08D-1B1483AF7C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F9-4662-B08D-1B1483AF7C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F9-4662-B08D-1B1483AF7C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F9-4662-B08D-1B1483AF7C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F9-4662-B08D-1B1483AF7C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F9-4662-B08D-1B1483AF7C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F9-4662-B08D-1B1483AF7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76360"/>
        <c:axId val="355876752"/>
      </c:barChart>
      <c:catAx>
        <c:axId val="35587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76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6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A8-4F4D-B03A-B146221A39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A8-4F4D-B03A-B146221A39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A8-4F4D-B03A-B146221A39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A8-4F4D-B03A-B146221A39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A8-4F4D-B03A-B146221A39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A8-4F4D-B03A-B146221A39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A8-4F4D-B03A-B146221A39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A8-4F4D-B03A-B146221A39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A8-4F4D-B03A-B146221A39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A8-4F4D-B03A-B146221A39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A8-4F4D-B03A-B146221A39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A8-4F4D-B03A-B146221A39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A8-4F4D-B03A-B146221A39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A8-4F4D-B03A-B146221A3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77536"/>
        <c:axId val="355877928"/>
      </c:barChart>
      <c:catAx>
        <c:axId val="35587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7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77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7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EA-48BE-B3EF-7FEC1E516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EA-48BE-B3EF-7FEC1E516E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EA-48BE-B3EF-7FEC1E516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EA-48BE-B3EF-7FEC1E516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EA-48BE-B3EF-7FEC1E516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EA-48BE-B3EF-7FEC1E516E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EA-48BE-B3EF-7FEC1E516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EA-48BE-B3EF-7FEC1E516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EA-48BE-B3EF-7FEC1E516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EA-48BE-B3EF-7FEC1E516E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EA-48BE-B3EF-7FEC1E516E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EA-48BE-B3EF-7FEC1E516E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EA-48BE-B3EF-7FEC1E516E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EA-48BE-B3EF-7FEC1E516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78712"/>
        <c:axId val="355879104"/>
      </c:barChart>
      <c:catAx>
        <c:axId val="35587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79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8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F69-8D00-EF4CDDB6A5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F69-8D00-EF4CDDB6A5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F69-8D00-EF4CDDB6A5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F69-8D00-EF4CDDB6A5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F69-8D00-EF4CDDB6A5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F69-8D00-EF4CDDB6A5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F69-8D00-EF4CDDB6A5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F69-8D00-EF4CDDB6A5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F69-8D00-EF4CDDB6A5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F69-8D00-EF4CDDB6A5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F69-8D00-EF4CDDB6A5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F69-8D00-EF4CDDB6A5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F69-8D00-EF4CDDB6A5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F69-8D00-EF4CDDB6A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79888"/>
        <c:axId val="366395544"/>
      </c:barChart>
      <c:catAx>
        <c:axId val="35587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5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395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79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A5-4061-B81C-245A02D1A7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A5-4061-B81C-245A02D1A7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A5-4061-B81C-245A02D1A7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A5-4061-B81C-245A02D1A7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A5-4061-B81C-245A02D1A7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A5-4061-B81C-245A02D1A7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A5-4061-B81C-245A02D1A7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A5-4061-B81C-245A02D1A7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A5-4061-B81C-245A02D1A7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A5-4061-B81C-245A02D1A7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A5-4061-B81C-245A02D1A7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A5-4061-B81C-245A02D1A7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A5-4061-B81C-245A02D1A7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A5-4061-B81C-245A02D1A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396328"/>
        <c:axId val="366396720"/>
      </c:barChart>
      <c:catAx>
        <c:axId val="366396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6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396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6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66-4A0B-B2CA-AC33FDDD0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66-4A0B-B2CA-AC33FDDD04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66-4A0B-B2CA-AC33FDDD0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66-4A0B-B2CA-AC33FDDD0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66-4A0B-B2CA-AC33FDDD0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A66-4A0B-B2CA-AC33FDDD04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66-4A0B-B2CA-AC33FDDD0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66-4A0B-B2CA-AC33FDDD0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66-4A0B-B2CA-AC33FDDD0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A66-4A0B-B2CA-AC33FDDD04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66-4A0B-B2CA-AC33FDDD0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66-4A0B-B2CA-AC33FDDD0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66-4A0B-B2CA-AC33FDDD0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66-4A0B-B2CA-AC33FDDD0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397504"/>
        <c:axId val="366397896"/>
      </c:barChart>
      <c:catAx>
        <c:axId val="36639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7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397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7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5-4021-8530-78C5312A4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5-4021-8530-78C5312A4D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5-4021-8530-78C5312A4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5-4021-8530-78C5312A4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5-4021-8530-78C5312A4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5-4021-8530-78C5312A4D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5-4021-8530-78C5312A4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5-4021-8530-78C5312A4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5-4021-8530-78C5312A4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5-4021-8530-78C5312A4D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5-4021-8530-78C5312A4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5-4021-8530-78C5312A4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5-4021-8530-78C5312A4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5-4021-8530-78C5312A4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398680"/>
        <c:axId val="366399072"/>
      </c:barChart>
      <c:catAx>
        <c:axId val="366398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399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6398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ED-40F2-B0D2-53FE04B65C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ED-40F2-B0D2-53FE04B65C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ED-40F2-B0D2-53FE04B65C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ED-40F2-B0D2-53FE04B65C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ED-40F2-B0D2-53FE04B65C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ED-40F2-B0D2-53FE04B65C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ED-40F2-B0D2-53FE04B65C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ED-40F2-B0D2-53FE04B65C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ED-40F2-B0D2-53FE04B65C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ED-40F2-B0D2-53FE04B65C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ED-40F2-B0D2-53FE04B65C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ED-40F2-B0D2-53FE04B65C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ED-40F2-B0D2-53FE04B65C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ED-40F2-B0D2-53FE04B6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219504"/>
        <c:axId val="351219896"/>
      </c:barChart>
      <c:catAx>
        <c:axId val="35121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1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219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19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3-4352-AEB8-11F0ECF7C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3-4352-AEB8-11F0ECF7C8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3-4352-AEB8-11F0ECF7C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3-4352-AEB8-11F0ECF7C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3-4352-AEB8-11F0ECF7C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3-4352-AEB8-11F0ECF7C8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3-4352-AEB8-11F0ECF7C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3-4352-AEB8-11F0ECF7C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3-4352-AEB8-11F0ECF7C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3-4352-AEB8-11F0ECF7C8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3-4352-AEB8-11F0ECF7C8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3-4352-AEB8-11F0ECF7C8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3-4352-AEB8-11F0ECF7C8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3-4352-AEB8-11F0ECF7C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220680"/>
        <c:axId val="351221072"/>
      </c:barChart>
      <c:catAx>
        <c:axId val="35122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21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221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2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0C-43D3-9108-6D0B8AC6EB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0C-43D3-9108-6D0B8AC6EB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0C-43D3-9108-6D0B8AC6EB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C-43D3-9108-6D0B8AC6EB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0C-43D3-9108-6D0B8AC6EB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0C-43D3-9108-6D0B8AC6EB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0C-43D3-9108-6D0B8AC6EB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0C-43D3-9108-6D0B8AC6EB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0C-43D3-9108-6D0B8AC6EB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0C-43D3-9108-6D0B8AC6EB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0C-43D3-9108-6D0B8AC6EB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0C-43D3-9108-6D0B8AC6EB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0C-43D3-9108-6D0B8AC6EB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0C-43D3-9108-6D0B8AC6E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221856"/>
        <c:axId val="351222248"/>
      </c:barChart>
      <c:catAx>
        <c:axId val="35122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22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222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221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14-4208-9E93-F602AB46BB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14-4208-9E93-F602AB46BB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14-4208-9E93-F602AB46BB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14-4208-9E93-F602AB46BB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14-4208-9E93-F602AB46BB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14-4208-9E93-F602AB46BB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14-4208-9E93-F602AB46BB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14-4208-9E93-F602AB46BB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14-4208-9E93-F602AB46BB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14-4208-9E93-F602AB46BB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14-4208-9E93-F602AB46BB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14-4208-9E93-F602AB46BB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14-4208-9E93-F602AB46BB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14-4208-9E93-F602AB46B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393856"/>
        <c:axId val="428394248"/>
      </c:barChart>
      <c:catAx>
        <c:axId val="42839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39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394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393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91255</xdr:colOff>
      <xdr:row>0</xdr:row>
      <xdr:rowOff>102419</xdr:rowOff>
    </xdr:from>
    <xdr:to>
      <xdr:col>1</xdr:col>
      <xdr:colOff>409678</xdr:colOff>
      <xdr:row>2</xdr:row>
      <xdr:rowOff>162640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55" y="102419"/>
          <a:ext cx="748584" cy="8181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20484</xdr:colOff>
      <xdr:row>0</xdr:row>
      <xdr:rowOff>153629</xdr:rowOff>
    </xdr:from>
    <xdr:to>
      <xdr:col>4</xdr:col>
      <xdr:colOff>59096</xdr:colOff>
      <xdr:row>2</xdr:row>
      <xdr:rowOff>153916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952500" y="153629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175683</xdr:colOff>
      <xdr:row>0</xdr:row>
      <xdr:rowOff>254000</xdr:rowOff>
    </xdr:from>
    <xdr:to>
      <xdr:col>1</xdr:col>
      <xdr:colOff>120650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83" y="2540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0"/>
      <c r="B1" s="31"/>
      <c r="C1" s="31"/>
      <c r="D1" s="31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/>
      <c r="V1" s="2"/>
      <c r="W1" s="2"/>
    </row>
    <row r="2" spans="1:23" ht="17.45" customHeight="1">
      <c r="A2" s="34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2"/>
      <c r="S2" s="32"/>
      <c r="T2" s="32"/>
      <c r="U2" s="33"/>
      <c r="V2" s="2"/>
      <c r="W2" s="2"/>
    </row>
    <row r="3" spans="1:23" ht="17.45" customHeight="1">
      <c r="A3" s="34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2"/>
      <c r="S3" s="32"/>
      <c r="T3" s="32"/>
      <c r="U3" s="33"/>
      <c r="V3" s="2"/>
      <c r="W3" s="2"/>
    </row>
    <row r="4" spans="1:23" ht="10.5" customHeight="1">
      <c r="A4" s="34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2"/>
      <c r="S4" s="32"/>
      <c r="T4" s="32"/>
      <c r="U4" s="33"/>
      <c r="V4" s="2"/>
      <c r="W4" s="2"/>
    </row>
    <row r="5" spans="1:23" ht="32.25" customHeight="1">
      <c r="A5" s="35"/>
      <c r="B5" s="88"/>
      <c r="C5" s="56"/>
      <c r="D5" s="56"/>
      <c r="E5" s="179" t="s">
        <v>65</v>
      </c>
      <c r="F5" s="179"/>
      <c r="G5" s="179"/>
      <c r="H5" s="179"/>
      <c r="I5" s="179"/>
      <c r="J5" s="179"/>
      <c r="K5" s="179"/>
      <c r="L5" s="179"/>
      <c r="M5" s="179"/>
      <c r="N5" s="57"/>
      <c r="O5" s="50"/>
      <c r="P5" s="50"/>
      <c r="Q5" s="89"/>
      <c r="R5" s="32"/>
      <c r="S5" s="32"/>
      <c r="T5" s="32"/>
      <c r="U5" s="33"/>
      <c r="V5" s="2"/>
      <c r="W5" s="2"/>
    </row>
    <row r="6" spans="1:23" ht="17.45" customHeight="1">
      <c r="A6" s="34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2"/>
      <c r="S6" s="32"/>
      <c r="T6" s="32"/>
      <c r="U6" s="33"/>
      <c r="V6" s="2"/>
      <c r="W6" s="2"/>
    </row>
    <row r="7" spans="1:23" ht="17.45" customHeight="1">
      <c r="A7" s="34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2"/>
      <c r="S7" s="32"/>
      <c r="T7" s="32"/>
      <c r="U7" s="33"/>
      <c r="V7" s="2"/>
      <c r="W7" s="2"/>
    </row>
    <row r="8" spans="1:23" ht="17.45" customHeight="1">
      <c r="A8" s="34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2"/>
      <c r="S8" s="32"/>
      <c r="T8" s="32"/>
      <c r="U8" s="33"/>
      <c r="V8" s="2"/>
      <c r="W8" s="2"/>
    </row>
    <row r="9" spans="1:23" ht="17.45" customHeight="1">
      <c r="A9" s="34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2"/>
      <c r="S9" s="32"/>
      <c r="T9" s="32"/>
      <c r="U9" s="33"/>
      <c r="V9" s="2"/>
      <c r="W9" s="2"/>
    </row>
    <row r="10" spans="1:23" ht="17.45" customHeight="1">
      <c r="A10" s="34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2"/>
      <c r="S10" s="32"/>
      <c r="T10" s="32"/>
      <c r="U10" s="33"/>
      <c r="V10" s="2"/>
      <c r="W10" s="2"/>
    </row>
    <row r="11" spans="1:23" ht="12" customHeight="1">
      <c r="A11" s="34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2"/>
      <c r="S11" s="32"/>
      <c r="T11" s="32"/>
      <c r="U11" s="33"/>
      <c r="V11" s="2"/>
      <c r="W11" s="2"/>
    </row>
    <row r="12" spans="1:23" ht="17.45" customHeight="1">
      <c r="A12" s="34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2"/>
      <c r="S12" s="32"/>
      <c r="T12" s="32"/>
      <c r="U12" s="33"/>
      <c r="V12" s="2"/>
      <c r="W12" s="2"/>
    </row>
    <row r="13" spans="1:23" ht="17.25" customHeight="1">
      <c r="A13" s="34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2"/>
      <c r="S13" s="32"/>
      <c r="T13" s="32"/>
      <c r="U13" s="33"/>
      <c r="V13" s="2"/>
      <c r="W13" s="2"/>
    </row>
    <row r="14" spans="1:23" ht="17.25" customHeight="1">
      <c r="A14" s="34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2"/>
      <c r="S14" s="32"/>
      <c r="T14" s="32"/>
      <c r="U14" s="33"/>
      <c r="V14" s="2"/>
      <c r="W14" s="2"/>
    </row>
    <row r="15" spans="1:23" ht="17.45" customHeight="1">
      <c r="A15" s="38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2"/>
      <c r="S15" s="32"/>
      <c r="T15" s="32"/>
      <c r="U15" s="33"/>
      <c r="V15" s="2"/>
      <c r="W15" s="2"/>
    </row>
    <row r="16" spans="1:23" ht="17.45" customHeight="1">
      <c r="A16" s="38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2"/>
      <c r="S16" s="32"/>
      <c r="T16" s="32"/>
      <c r="U16" s="33"/>
      <c r="V16" s="2"/>
      <c r="W16" s="2"/>
    </row>
    <row r="17" spans="1:23" ht="17.45" customHeight="1">
      <c r="A17" s="38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2"/>
      <c r="S17" s="32"/>
      <c r="T17" s="32"/>
      <c r="U17" s="33"/>
      <c r="V17" s="2"/>
      <c r="W17" s="2"/>
    </row>
    <row r="18" spans="1:23" ht="17.25" customHeight="1">
      <c r="A18" s="38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2"/>
      <c r="S18" s="32"/>
      <c r="T18" s="32"/>
      <c r="U18" s="33"/>
      <c r="V18" s="2"/>
      <c r="W18" s="2"/>
    </row>
    <row r="19" spans="1:23" ht="17.45" customHeight="1">
      <c r="A19" s="38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2"/>
      <c r="S19" s="32"/>
      <c r="T19" s="32"/>
      <c r="U19" s="33"/>
      <c r="V19" s="2"/>
      <c r="W19" s="2"/>
    </row>
    <row r="20" spans="1:23" ht="17.45" customHeight="1">
      <c r="A20" s="38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2"/>
      <c r="S20" s="32"/>
      <c r="T20" s="32"/>
      <c r="U20" s="33"/>
      <c r="V20" s="2"/>
      <c r="W20" s="2"/>
    </row>
    <row r="21" spans="1:23" ht="17.45" customHeight="1">
      <c r="A21" s="38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2"/>
      <c r="S21" s="32"/>
      <c r="T21" s="32"/>
      <c r="U21" s="33"/>
      <c r="V21" s="2"/>
      <c r="W21" s="2"/>
    </row>
    <row r="22" spans="1:23" ht="17.45" customHeight="1">
      <c r="A22" s="38"/>
      <c r="B22" s="43"/>
      <c r="C22" s="44"/>
      <c r="D22" s="44"/>
      <c r="E22" s="45"/>
      <c r="F22" s="36"/>
      <c r="G22" s="36"/>
      <c r="H22" s="36"/>
      <c r="I22" s="36"/>
      <c r="J22" s="36"/>
      <c r="K22" s="36"/>
      <c r="L22" s="39"/>
      <c r="M22" s="37"/>
      <c r="N22" s="37"/>
      <c r="O22" s="42"/>
      <c r="P22" s="40"/>
      <c r="Q22" s="41"/>
      <c r="R22" s="32"/>
      <c r="S22" s="32"/>
      <c r="T22" s="32"/>
      <c r="U22" s="33"/>
      <c r="V22" s="2"/>
      <c r="W22" s="2"/>
    </row>
    <row r="23" spans="1:23" ht="15" customHeight="1">
      <c r="A23" s="46"/>
      <c r="B23" s="47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7"/>
      <c r="R23" s="46"/>
      <c r="S23" s="47"/>
      <c r="T23" s="48"/>
      <c r="U23" s="47"/>
      <c r="V23" s="2"/>
      <c r="W23" s="2"/>
    </row>
    <row r="24" spans="1:23" ht="15" customHeight="1">
      <c r="A24" s="46"/>
      <c r="B24" s="4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7"/>
      <c r="R24" s="46"/>
      <c r="S24" s="47"/>
      <c r="T24" s="48"/>
      <c r="U24" s="47"/>
      <c r="V24" s="2"/>
      <c r="W24" s="2"/>
    </row>
    <row r="25" spans="1:23" ht="15" customHeight="1">
      <c r="A25" s="46"/>
      <c r="B25" s="47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7"/>
      <c r="R25" s="46"/>
      <c r="S25" s="47"/>
      <c r="T25" s="48"/>
      <c r="U25" s="47"/>
      <c r="V25" s="2"/>
      <c r="W25" s="2"/>
    </row>
    <row r="26" spans="1:23">
      <c r="A26" s="46"/>
      <c r="B26" s="47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7"/>
      <c r="R26" s="46"/>
      <c r="S26" s="47"/>
      <c r="T26" s="48"/>
      <c r="U26" s="49"/>
    </row>
    <row r="27" spans="1:23">
      <c r="A27" s="46"/>
      <c r="B27" s="47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7"/>
      <c r="R27" s="46"/>
      <c r="S27" s="47"/>
      <c r="T27" s="48"/>
      <c r="U27" s="49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I16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6"/>
    </sheetView>
  </sheetViews>
  <sheetFormatPr baseColWidth="10" defaultRowHeight="14.25" customHeight="1"/>
  <cols>
    <col min="1" max="1" width="5.625" customWidth="1"/>
    <col min="2" max="2" width="6.625" customWidth="1"/>
    <col min="3" max="3" width="5.5" customWidth="1"/>
    <col min="4" max="4" width="5.1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</cols>
  <sheetData>
    <row r="1" spans="1:35" ht="30" customHeight="1" thickBot="1">
      <c r="E1" s="180" t="s">
        <v>17</v>
      </c>
      <c r="F1" s="180"/>
      <c r="G1" s="180"/>
      <c r="H1" s="180"/>
      <c r="I1" s="180"/>
      <c r="J1" s="180"/>
      <c r="K1" s="180"/>
      <c r="L1" s="180"/>
      <c r="M1" s="180"/>
      <c r="N1" s="7"/>
      <c r="O1" s="185"/>
      <c r="P1" s="185"/>
      <c r="Q1" s="185"/>
      <c r="R1" s="185"/>
      <c r="S1" s="185"/>
      <c r="T1" s="185"/>
      <c r="U1" s="185"/>
      <c r="V1" s="185"/>
      <c r="W1" s="185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35" ht="30" thickBot="1">
      <c r="E2" s="180" t="s">
        <v>18</v>
      </c>
      <c r="F2" s="180"/>
      <c r="G2" s="180"/>
      <c r="H2" s="180"/>
      <c r="I2" s="180"/>
      <c r="J2" s="180"/>
      <c r="K2" s="180"/>
      <c r="L2" s="180"/>
      <c r="M2" s="180"/>
      <c r="N2" s="186" t="s">
        <v>106</v>
      </c>
      <c r="O2" s="187"/>
      <c r="P2" s="199" t="s">
        <v>107</v>
      </c>
      <c r="Q2" s="199"/>
      <c r="R2" s="199"/>
      <c r="S2" s="199"/>
      <c r="T2" s="199"/>
      <c r="U2" s="200"/>
      <c r="V2" s="201" t="s">
        <v>106</v>
      </c>
      <c r="W2" s="199"/>
      <c r="X2" s="183" t="s">
        <v>78</v>
      </c>
      <c r="Y2" s="184"/>
      <c r="Z2" s="184"/>
      <c r="AA2" s="184"/>
      <c r="AB2" s="182" t="s">
        <v>77</v>
      </c>
      <c r="AC2" s="182"/>
      <c r="AD2" s="190" t="s">
        <v>79</v>
      </c>
      <c r="AE2" s="190"/>
      <c r="AF2" s="190"/>
      <c r="AG2" s="190"/>
      <c r="AH2" s="191"/>
      <c r="AI2" s="174" t="s">
        <v>101</v>
      </c>
    </row>
    <row r="3" spans="1:35" ht="23.25">
      <c r="E3" s="181" t="s">
        <v>116</v>
      </c>
      <c r="F3" s="181"/>
      <c r="G3" s="181"/>
      <c r="H3" s="181"/>
      <c r="I3" s="181"/>
      <c r="J3" s="181"/>
      <c r="K3" s="181"/>
      <c r="L3" s="181"/>
      <c r="M3" s="181"/>
      <c r="N3" s="188" t="s">
        <v>88</v>
      </c>
      <c r="O3" s="189"/>
      <c r="P3" s="195" t="s">
        <v>64</v>
      </c>
      <c r="Q3" s="196"/>
      <c r="R3" s="195" t="s">
        <v>85</v>
      </c>
      <c r="S3" s="196"/>
      <c r="T3" s="197" t="s">
        <v>87</v>
      </c>
      <c r="U3" s="198"/>
      <c r="V3" s="202" t="s">
        <v>86</v>
      </c>
      <c r="W3" s="203"/>
      <c r="X3" s="192" t="s">
        <v>74</v>
      </c>
      <c r="Y3" s="193"/>
      <c r="Z3" s="144" t="s">
        <v>75</v>
      </c>
      <c r="AA3" s="144" t="s">
        <v>69</v>
      </c>
      <c r="AB3" s="145" t="s">
        <v>71</v>
      </c>
      <c r="AC3" s="145" t="s">
        <v>73</v>
      </c>
      <c r="AD3" s="194" t="s">
        <v>76</v>
      </c>
      <c r="AE3" s="194"/>
      <c r="AF3" s="194" t="s">
        <v>75</v>
      </c>
      <c r="AG3" s="194"/>
      <c r="AH3" s="146" t="s">
        <v>69</v>
      </c>
      <c r="AI3" s="174"/>
    </row>
    <row r="4" spans="1:35" ht="45">
      <c r="A4" s="155" t="s">
        <v>23</v>
      </c>
      <c r="B4" s="155" t="s">
        <v>108</v>
      </c>
      <c r="C4" s="155" t="s">
        <v>109</v>
      </c>
      <c r="D4" s="155" t="s">
        <v>19</v>
      </c>
      <c r="E4" s="155" t="s">
        <v>1</v>
      </c>
      <c r="F4" s="147" t="s">
        <v>110</v>
      </c>
      <c r="G4" s="147" t="s">
        <v>5</v>
      </c>
      <c r="H4" s="147" t="s">
        <v>111</v>
      </c>
      <c r="I4" s="147" t="s">
        <v>56</v>
      </c>
      <c r="J4" s="147" t="s">
        <v>112</v>
      </c>
      <c r="K4" s="147" t="s">
        <v>21</v>
      </c>
      <c r="L4" s="147" t="s">
        <v>22</v>
      </c>
      <c r="M4" s="148" t="s">
        <v>113</v>
      </c>
      <c r="N4" s="156" t="s">
        <v>16</v>
      </c>
      <c r="O4" s="157" t="s">
        <v>2</v>
      </c>
      <c r="P4" s="157" t="s">
        <v>16</v>
      </c>
      <c r="Q4" s="157" t="s">
        <v>2</v>
      </c>
      <c r="R4" s="157" t="s">
        <v>16</v>
      </c>
      <c r="S4" s="157" t="s">
        <v>2</v>
      </c>
      <c r="T4" s="157" t="s">
        <v>16</v>
      </c>
      <c r="U4" s="157" t="s">
        <v>2</v>
      </c>
      <c r="V4" s="157" t="s">
        <v>16</v>
      </c>
      <c r="W4" s="158" t="s">
        <v>2</v>
      </c>
      <c r="X4" s="149" t="s">
        <v>80</v>
      </c>
      <c r="Y4" s="150" t="s">
        <v>81</v>
      </c>
      <c r="Z4" s="150" t="s">
        <v>80</v>
      </c>
      <c r="AA4" s="151" t="s">
        <v>70</v>
      </c>
      <c r="AB4" s="152" t="s">
        <v>72</v>
      </c>
      <c r="AC4" s="153" t="s">
        <v>82</v>
      </c>
      <c r="AD4" s="154" t="s">
        <v>80</v>
      </c>
      <c r="AE4" s="154" t="s">
        <v>81</v>
      </c>
      <c r="AF4" s="154" t="s">
        <v>80</v>
      </c>
      <c r="AG4" s="154" t="s">
        <v>83</v>
      </c>
      <c r="AH4" s="159" t="s">
        <v>70</v>
      </c>
      <c r="AI4" s="175" t="s">
        <v>102</v>
      </c>
    </row>
    <row r="5" spans="1:35" ht="15">
      <c r="A5" s="177" t="s">
        <v>114</v>
      </c>
      <c r="B5" s="172">
        <v>195.44</v>
      </c>
      <c r="C5" s="172">
        <v>20</v>
      </c>
      <c r="D5" s="177" t="s">
        <v>20</v>
      </c>
      <c r="E5" s="166">
        <v>42899</v>
      </c>
      <c r="F5" s="160" t="s">
        <v>91</v>
      </c>
      <c r="G5" s="161">
        <v>5941</v>
      </c>
      <c r="H5" s="162">
        <v>90571</v>
      </c>
      <c r="I5" s="162">
        <v>2640267</v>
      </c>
      <c r="J5" s="162">
        <v>776</v>
      </c>
      <c r="K5" s="162">
        <v>61</v>
      </c>
      <c r="L5" s="163">
        <v>2.67</v>
      </c>
      <c r="M5" s="161">
        <v>7</v>
      </c>
      <c r="N5" s="167">
        <v>89.6</v>
      </c>
      <c r="O5" s="164">
        <v>103.5</v>
      </c>
      <c r="P5" s="164">
        <v>93.7</v>
      </c>
      <c r="Q5" s="164">
        <v>104.9</v>
      </c>
      <c r="R5" s="164">
        <v>91.4</v>
      </c>
      <c r="S5" s="164">
        <v>105.4</v>
      </c>
      <c r="T5" s="164">
        <v>92</v>
      </c>
      <c r="U5" s="164">
        <v>105.6</v>
      </c>
      <c r="V5" s="161">
        <v>87.8</v>
      </c>
      <c r="W5" s="168">
        <v>102.1</v>
      </c>
      <c r="X5" s="162">
        <v>880</v>
      </c>
      <c r="Y5" s="162">
        <v>780</v>
      </c>
      <c r="Z5" s="162">
        <v>925</v>
      </c>
      <c r="AA5" s="162">
        <v>225</v>
      </c>
      <c r="AB5" s="169">
        <v>0.1</v>
      </c>
      <c r="AC5" s="162">
        <v>1600</v>
      </c>
      <c r="AD5" s="170">
        <v>732</v>
      </c>
      <c r="AE5" s="170">
        <v>640</v>
      </c>
      <c r="AF5" s="170">
        <v>732</v>
      </c>
      <c r="AG5" s="170">
        <v>732</v>
      </c>
      <c r="AH5" s="173">
        <v>225</v>
      </c>
      <c r="AI5" s="176"/>
    </row>
    <row r="6" spans="1:35" ht="15" customHeight="1">
      <c r="A6" s="177" t="s">
        <v>114</v>
      </c>
      <c r="B6" s="172">
        <v>195.44</v>
      </c>
      <c r="C6" s="172">
        <v>20</v>
      </c>
      <c r="D6" s="177" t="s">
        <v>20</v>
      </c>
      <c r="E6" s="166">
        <v>42899</v>
      </c>
      <c r="F6" s="160" t="s">
        <v>91</v>
      </c>
      <c r="G6" s="161">
        <v>5941</v>
      </c>
      <c r="H6" s="162">
        <v>90571</v>
      </c>
      <c r="I6" s="162">
        <v>2640267</v>
      </c>
      <c r="J6" s="171">
        <v>776</v>
      </c>
      <c r="K6" s="162">
        <v>61</v>
      </c>
      <c r="L6" s="163">
        <v>2.67</v>
      </c>
      <c r="M6" s="161">
        <v>40</v>
      </c>
      <c r="N6" s="167">
        <v>89.7</v>
      </c>
      <c r="O6" s="164">
        <v>103.9</v>
      </c>
      <c r="P6" s="164"/>
      <c r="Q6" s="164"/>
      <c r="R6" s="164"/>
      <c r="S6" s="164"/>
      <c r="T6" s="164"/>
      <c r="U6" s="164"/>
      <c r="V6" s="161"/>
      <c r="W6" s="168"/>
      <c r="X6" s="162">
        <v>880</v>
      </c>
      <c r="Y6" s="162">
        <v>780</v>
      </c>
      <c r="Z6" s="162">
        <v>925</v>
      </c>
      <c r="AA6" s="162">
        <v>225</v>
      </c>
      <c r="AB6" s="169">
        <v>0.1</v>
      </c>
      <c r="AC6" s="162">
        <v>1600</v>
      </c>
      <c r="AD6" s="170">
        <v>732</v>
      </c>
      <c r="AE6" s="170">
        <v>640</v>
      </c>
      <c r="AF6" s="170">
        <v>732</v>
      </c>
      <c r="AG6" s="170">
        <v>732</v>
      </c>
      <c r="AH6" s="173">
        <v>225</v>
      </c>
      <c r="AI6" s="176"/>
    </row>
    <row r="7" spans="1:35" ht="15">
      <c r="A7" s="177" t="s">
        <v>114</v>
      </c>
      <c r="B7" s="172">
        <v>195.44</v>
      </c>
      <c r="C7" s="172">
        <v>20</v>
      </c>
      <c r="D7" s="177" t="s">
        <v>20</v>
      </c>
      <c r="E7" s="166">
        <v>42899</v>
      </c>
      <c r="F7" s="160" t="s">
        <v>91</v>
      </c>
      <c r="G7" s="161">
        <v>5941</v>
      </c>
      <c r="H7" s="162">
        <v>90571</v>
      </c>
      <c r="I7" s="162">
        <v>2640267</v>
      </c>
      <c r="J7" s="171">
        <v>776</v>
      </c>
      <c r="K7" s="162">
        <v>61</v>
      </c>
      <c r="L7" s="163">
        <v>2.67</v>
      </c>
      <c r="M7" s="161">
        <v>65</v>
      </c>
      <c r="N7" s="167">
        <v>87.8</v>
      </c>
      <c r="O7" s="164">
        <v>102.4</v>
      </c>
      <c r="P7" s="164">
        <v>89</v>
      </c>
      <c r="Q7" s="164">
        <v>103.6</v>
      </c>
      <c r="R7" s="164">
        <v>90</v>
      </c>
      <c r="S7" s="164">
        <v>105.8</v>
      </c>
      <c r="T7" s="164">
        <v>89.2</v>
      </c>
      <c r="U7" s="164">
        <v>104.1</v>
      </c>
      <c r="V7" s="161">
        <v>90.9</v>
      </c>
      <c r="W7" s="168">
        <v>103.4</v>
      </c>
      <c r="X7" s="162">
        <v>880</v>
      </c>
      <c r="Y7" s="162">
        <v>780</v>
      </c>
      <c r="Z7" s="162">
        <v>925</v>
      </c>
      <c r="AA7" s="162">
        <v>225</v>
      </c>
      <c r="AB7" s="169">
        <v>0.1</v>
      </c>
      <c r="AC7" s="162">
        <v>1600</v>
      </c>
      <c r="AD7" s="170">
        <v>732</v>
      </c>
      <c r="AE7" s="170">
        <v>640</v>
      </c>
      <c r="AF7" s="170">
        <v>732</v>
      </c>
      <c r="AG7" s="170">
        <v>732</v>
      </c>
      <c r="AH7" s="173">
        <v>225</v>
      </c>
      <c r="AI7" s="165"/>
    </row>
    <row r="8" spans="1:35" ht="15">
      <c r="A8" s="177" t="s">
        <v>114</v>
      </c>
      <c r="B8" s="172">
        <v>195.44</v>
      </c>
      <c r="C8" s="172">
        <v>20</v>
      </c>
      <c r="D8" s="177" t="s">
        <v>20</v>
      </c>
      <c r="E8" s="166">
        <v>42899</v>
      </c>
      <c r="F8" s="160" t="s">
        <v>91</v>
      </c>
      <c r="G8" s="161">
        <v>5941</v>
      </c>
      <c r="H8" s="162">
        <v>90571</v>
      </c>
      <c r="I8" s="162">
        <v>2640267</v>
      </c>
      <c r="J8" s="171">
        <v>776</v>
      </c>
      <c r="K8" s="162">
        <v>61</v>
      </c>
      <c r="L8" s="163">
        <v>2.67</v>
      </c>
      <c r="M8" s="161">
        <v>71</v>
      </c>
      <c r="N8" s="167">
        <v>88.5</v>
      </c>
      <c r="O8" s="164">
        <v>100.9</v>
      </c>
      <c r="P8" s="164"/>
      <c r="Q8" s="164"/>
      <c r="R8" s="164"/>
      <c r="S8" s="164"/>
      <c r="T8" s="164"/>
      <c r="U8" s="164"/>
      <c r="V8" s="161">
        <v>89.8</v>
      </c>
      <c r="W8" s="168">
        <v>102.4</v>
      </c>
      <c r="X8" s="162">
        <v>880</v>
      </c>
      <c r="Y8" s="162">
        <v>780</v>
      </c>
      <c r="Z8" s="162">
        <v>925</v>
      </c>
      <c r="AA8" s="162">
        <v>225</v>
      </c>
      <c r="AB8" s="169">
        <v>0.1</v>
      </c>
      <c r="AC8" s="162">
        <v>1600</v>
      </c>
      <c r="AD8" s="170">
        <v>732</v>
      </c>
      <c r="AE8" s="170">
        <v>640</v>
      </c>
      <c r="AF8" s="170">
        <v>732</v>
      </c>
      <c r="AG8" s="170">
        <v>732</v>
      </c>
      <c r="AH8" s="173">
        <v>225</v>
      </c>
      <c r="AI8" s="165"/>
    </row>
    <row r="9" spans="1:35" ht="15">
      <c r="A9" s="177" t="s">
        <v>114</v>
      </c>
      <c r="B9" s="172">
        <v>195.44</v>
      </c>
      <c r="C9" s="172">
        <v>20</v>
      </c>
      <c r="D9" s="177" t="s">
        <v>20</v>
      </c>
      <c r="E9" s="166">
        <v>42900</v>
      </c>
      <c r="F9" s="160" t="s">
        <v>91</v>
      </c>
      <c r="G9" s="161">
        <v>5942</v>
      </c>
      <c r="H9" s="162">
        <v>90571</v>
      </c>
      <c r="I9" s="162">
        <v>2640267</v>
      </c>
      <c r="J9" s="171">
        <v>776</v>
      </c>
      <c r="K9" s="162">
        <v>61</v>
      </c>
      <c r="L9" s="163">
        <v>2.67</v>
      </c>
      <c r="M9" s="161">
        <v>85</v>
      </c>
      <c r="N9" s="167">
        <v>90.8</v>
      </c>
      <c r="O9" s="164">
        <v>102.8</v>
      </c>
      <c r="P9" s="164"/>
      <c r="Q9" s="164"/>
      <c r="R9" s="164"/>
      <c r="S9" s="164"/>
      <c r="T9" s="164"/>
      <c r="U9" s="164"/>
      <c r="V9" s="161"/>
      <c r="W9" s="168"/>
      <c r="X9" s="162">
        <v>880</v>
      </c>
      <c r="Y9" s="162">
        <v>780</v>
      </c>
      <c r="Z9" s="162">
        <v>925</v>
      </c>
      <c r="AA9" s="162">
        <v>225</v>
      </c>
      <c r="AB9" s="169">
        <v>0.1</v>
      </c>
      <c r="AC9" s="162">
        <v>1600</v>
      </c>
      <c r="AD9" s="170">
        <v>732</v>
      </c>
      <c r="AE9" s="170">
        <v>640</v>
      </c>
      <c r="AF9" s="170">
        <v>732</v>
      </c>
      <c r="AG9" s="170">
        <v>732</v>
      </c>
      <c r="AH9" s="173">
        <v>225</v>
      </c>
      <c r="AI9" s="165"/>
    </row>
    <row r="10" spans="1:35" ht="15">
      <c r="A10" s="177" t="s">
        <v>114</v>
      </c>
      <c r="B10" s="172">
        <v>195.44</v>
      </c>
      <c r="C10" s="172">
        <v>20</v>
      </c>
      <c r="D10" s="177" t="s">
        <v>20</v>
      </c>
      <c r="E10" s="166">
        <v>42900</v>
      </c>
      <c r="F10" s="160" t="s">
        <v>91</v>
      </c>
      <c r="G10" s="161">
        <v>5942</v>
      </c>
      <c r="H10" s="162">
        <v>90571</v>
      </c>
      <c r="I10" s="162">
        <v>2640267</v>
      </c>
      <c r="J10" s="171">
        <v>776</v>
      </c>
      <c r="K10" s="162">
        <v>61</v>
      </c>
      <c r="L10" s="163">
        <v>2.67</v>
      </c>
      <c r="M10" s="161">
        <v>99</v>
      </c>
      <c r="N10" s="167"/>
      <c r="O10" s="164"/>
      <c r="P10" s="164"/>
      <c r="Q10" s="164"/>
      <c r="R10" s="164"/>
      <c r="S10" s="164"/>
      <c r="T10" s="164"/>
      <c r="U10" s="164"/>
      <c r="V10" s="161">
        <v>87.4</v>
      </c>
      <c r="W10" s="168">
        <v>103.2</v>
      </c>
      <c r="X10" s="162">
        <v>880</v>
      </c>
      <c r="Y10" s="162">
        <v>780</v>
      </c>
      <c r="Z10" s="162">
        <v>925</v>
      </c>
      <c r="AA10" s="162">
        <v>225</v>
      </c>
      <c r="AB10" s="169">
        <v>0.1</v>
      </c>
      <c r="AC10" s="162">
        <v>1600</v>
      </c>
      <c r="AD10" s="170">
        <v>732</v>
      </c>
      <c r="AE10" s="170">
        <v>640</v>
      </c>
      <c r="AF10" s="170">
        <v>732</v>
      </c>
      <c r="AG10" s="170">
        <v>732</v>
      </c>
      <c r="AH10" s="173">
        <v>225</v>
      </c>
      <c r="AI10" s="165"/>
    </row>
    <row r="11" spans="1:35" ht="15">
      <c r="A11" s="177" t="s">
        <v>114</v>
      </c>
      <c r="B11" s="172">
        <v>195.44</v>
      </c>
      <c r="C11" s="172">
        <v>20</v>
      </c>
      <c r="D11" s="177" t="s">
        <v>20</v>
      </c>
      <c r="E11" s="166">
        <v>43013</v>
      </c>
      <c r="F11" s="160" t="s">
        <v>91</v>
      </c>
      <c r="G11" s="161">
        <v>6788</v>
      </c>
      <c r="H11" s="162">
        <v>91063</v>
      </c>
      <c r="I11" s="162">
        <v>2725130</v>
      </c>
      <c r="J11" s="171">
        <v>776</v>
      </c>
      <c r="K11" s="162">
        <v>61</v>
      </c>
      <c r="L11" s="163">
        <v>2.8</v>
      </c>
      <c r="M11" s="161">
        <v>8</v>
      </c>
      <c r="N11" s="167">
        <v>86.3</v>
      </c>
      <c r="O11" s="164">
        <v>103.2</v>
      </c>
      <c r="P11" s="164"/>
      <c r="Q11" s="164"/>
      <c r="R11" s="164"/>
      <c r="S11" s="164"/>
      <c r="T11" s="164"/>
      <c r="U11" s="164"/>
      <c r="V11" s="161">
        <v>86.6</v>
      </c>
      <c r="W11" s="168">
        <v>103</v>
      </c>
      <c r="X11" s="162">
        <v>880</v>
      </c>
      <c r="Y11" s="162">
        <v>780</v>
      </c>
      <c r="Z11" s="162">
        <v>925</v>
      </c>
      <c r="AA11" s="162">
        <v>225</v>
      </c>
      <c r="AB11" s="169">
        <v>0.1</v>
      </c>
      <c r="AC11" s="162">
        <v>1800</v>
      </c>
      <c r="AD11" s="170">
        <v>732</v>
      </c>
      <c r="AE11" s="170">
        <v>640</v>
      </c>
      <c r="AF11" s="170">
        <v>732</v>
      </c>
      <c r="AG11" s="170">
        <v>732</v>
      </c>
      <c r="AH11" s="173">
        <v>225</v>
      </c>
      <c r="AI11" s="170">
        <v>700</v>
      </c>
    </row>
    <row r="12" spans="1:35" ht="15">
      <c r="A12" s="177" t="s">
        <v>114</v>
      </c>
      <c r="B12" s="172">
        <v>195.44</v>
      </c>
      <c r="C12" s="172">
        <v>20</v>
      </c>
      <c r="D12" s="177" t="s">
        <v>20</v>
      </c>
      <c r="E12" s="166">
        <v>43013</v>
      </c>
      <c r="F12" s="160" t="s">
        <v>91</v>
      </c>
      <c r="G12" s="161">
        <v>6788</v>
      </c>
      <c r="H12" s="162">
        <v>91063</v>
      </c>
      <c r="I12" s="162">
        <v>2725130</v>
      </c>
      <c r="J12" s="171">
        <v>776</v>
      </c>
      <c r="K12" s="162">
        <v>61</v>
      </c>
      <c r="L12" s="163">
        <v>2.8</v>
      </c>
      <c r="M12" s="161">
        <v>53</v>
      </c>
      <c r="N12" s="167">
        <v>87</v>
      </c>
      <c r="O12" s="164">
        <v>103.8</v>
      </c>
      <c r="P12" s="164"/>
      <c r="Q12" s="164"/>
      <c r="R12" s="164"/>
      <c r="S12" s="164"/>
      <c r="T12" s="164"/>
      <c r="U12" s="164"/>
      <c r="V12" s="161">
        <v>87.2</v>
      </c>
      <c r="W12" s="168">
        <v>102.9</v>
      </c>
      <c r="X12" s="162">
        <v>880</v>
      </c>
      <c r="Y12" s="162">
        <v>780</v>
      </c>
      <c r="Z12" s="162">
        <v>925</v>
      </c>
      <c r="AA12" s="162">
        <v>225</v>
      </c>
      <c r="AB12" s="169">
        <v>0.1</v>
      </c>
      <c r="AC12" s="162">
        <v>1800</v>
      </c>
      <c r="AD12" s="170">
        <v>732</v>
      </c>
      <c r="AE12" s="170">
        <v>640</v>
      </c>
      <c r="AF12" s="170">
        <v>732</v>
      </c>
      <c r="AG12" s="170">
        <v>732</v>
      </c>
      <c r="AH12" s="173">
        <v>225</v>
      </c>
      <c r="AI12" s="165"/>
    </row>
    <row r="13" spans="1:35" ht="15">
      <c r="A13" s="177" t="s">
        <v>114</v>
      </c>
      <c r="B13" s="172">
        <v>195.44</v>
      </c>
      <c r="C13" s="172">
        <v>20</v>
      </c>
      <c r="D13" s="177" t="s">
        <v>20</v>
      </c>
      <c r="E13" s="166">
        <v>43013</v>
      </c>
      <c r="F13" s="160" t="s">
        <v>91</v>
      </c>
      <c r="G13" s="161">
        <v>6788</v>
      </c>
      <c r="H13" s="162">
        <v>91063</v>
      </c>
      <c r="I13" s="162">
        <v>2725130</v>
      </c>
      <c r="J13" s="171">
        <v>776</v>
      </c>
      <c r="K13" s="162">
        <v>61</v>
      </c>
      <c r="L13" s="163">
        <v>2.8</v>
      </c>
      <c r="M13" s="161">
        <v>100</v>
      </c>
      <c r="N13" s="167"/>
      <c r="O13" s="164"/>
      <c r="P13" s="164"/>
      <c r="Q13" s="164"/>
      <c r="R13" s="164"/>
      <c r="S13" s="164"/>
      <c r="T13" s="164"/>
      <c r="U13" s="164"/>
      <c r="V13" s="161">
        <v>87.1</v>
      </c>
      <c r="W13" s="168">
        <v>103.7</v>
      </c>
      <c r="X13" s="162">
        <v>880</v>
      </c>
      <c r="Y13" s="162">
        <v>780</v>
      </c>
      <c r="Z13" s="162">
        <v>925</v>
      </c>
      <c r="AA13" s="162">
        <v>225</v>
      </c>
      <c r="AB13" s="169">
        <v>0.1</v>
      </c>
      <c r="AC13" s="162">
        <v>1800</v>
      </c>
      <c r="AD13" s="170">
        <v>732</v>
      </c>
      <c r="AE13" s="170">
        <v>640</v>
      </c>
      <c r="AF13" s="170">
        <v>732</v>
      </c>
      <c r="AG13" s="170">
        <v>732</v>
      </c>
      <c r="AH13" s="173">
        <v>225</v>
      </c>
      <c r="AI13" s="165"/>
    </row>
    <row r="14" spans="1:35" ht="15">
      <c r="A14" s="177" t="s">
        <v>114</v>
      </c>
      <c r="B14" s="172">
        <v>195.44</v>
      </c>
      <c r="C14" s="172">
        <v>20</v>
      </c>
      <c r="D14" s="177" t="s">
        <v>20</v>
      </c>
      <c r="E14" s="166">
        <v>43013</v>
      </c>
      <c r="F14" s="160" t="s">
        <v>91</v>
      </c>
      <c r="G14" s="161">
        <v>6788</v>
      </c>
      <c r="H14" s="162">
        <v>91063</v>
      </c>
      <c r="I14" s="162">
        <v>2725130</v>
      </c>
      <c r="J14" s="171">
        <v>776</v>
      </c>
      <c r="K14" s="162">
        <v>61</v>
      </c>
      <c r="L14" s="163">
        <v>2.8</v>
      </c>
      <c r="M14" s="161">
        <v>102</v>
      </c>
      <c r="N14" s="167">
        <v>87.7</v>
      </c>
      <c r="O14" s="164">
        <v>104.4</v>
      </c>
      <c r="P14" s="164"/>
      <c r="Q14" s="164"/>
      <c r="R14" s="164"/>
      <c r="S14" s="164"/>
      <c r="T14" s="164"/>
      <c r="U14" s="164"/>
      <c r="V14" s="161"/>
      <c r="W14" s="168"/>
      <c r="X14" s="162">
        <v>880</v>
      </c>
      <c r="Y14" s="162">
        <v>780</v>
      </c>
      <c r="Z14" s="162">
        <v>925</v>
      </c>
      <c r="AA14" s="162">
        <v>225</v>
      </c>
      <c r="AB14" s="169">
        <v>0.1</v>
      </c>
      <c r="AC14" s="162">
        <v>1800</v>
      </c>
      <c r="AD14" s="170">
        <v>732</v>
      </c>
      <c r="AE14" s="170">
        <v>640</v>
      </c>
      <c r="AF14" s="170">
        <v>732</v>
      </c>
      <c r="AG14" s="170">
        <v>732</v>
      </c>
      <c r="AH14" s="173">
        <v>225</v>
      </c>
      <c r="AI14" s="165"/>
    </row>
    <row r="15" spans="1:35" ht="15">
      <c r="A15" s="177" t="s">
        <v>114</v>
      </c>
      <c r="B15" s="172">
        <v>195.44</v>
      </c>
      <c r="C15" s="172">
        <v>20</v>
      </c>
      <c r="D15" s="177" t="s">
        <v>20</v>
      </c>
      <c r="E15" s="166">
        <v>43013</v>
      </c>
      <c r="F15" s="160" t="s">
        <v>91</v>
      </c>
      <c r="G15" s="161">
        <v>6789</v>
      </c>
      <c r="H15" s="162">
        <v>91062</v>
      </c>
      <c r="I15" s="162">
        <v>2725130</v>
      </c>
      <c r="J15" s="171">
        <v>776</v>
      </c>
      <c r="K15" s="162">
        <v>60</v>
      </c>
      <c r="L15" s="163">
        <v>2.41</v>
      </c>
      <c r="M15" s="161">
        <v>7</v>
      </c>
      <c r="N15" s="167"/>
      <c r="O15" s="164"/>
      <c r="P15" s="164"/>
      <c r="Q15" s="164"/>
      <c r="R15" s="164"/>
      <c r="S15" s="164"/>
      <c r="T15" s="164"/>
      <c r="U15" s="164"/>
      <c r="V15" s="161">
        <v>87.3</v>
      </c>
      <c r="W15" s="168">
        <v>102.6</v>
      </c>
      <c r="X15" s="162">
        <v>880</v>
      </c>
      <c r="Y15" s="162">
        <v>780</v>
      </c>
      <c r="Z15" s="162">
        <v>925</v>
      </c>
      <c r="AA15" s="162">
        <v>225</v>
      </c>
      <c r="AB15" s="169">
        <v>0.1</v>
      </c>
      <c r="AC15" s="162">
        <v>1800</v>
      </c>
      <c r="AD15" s="170">
        <v>732</v>
      </c>
      <c r="AE15" s="170">
        <v>640</v>
      </c>
      <c r="AF15" s="170">
        <v>732</v>
      </c>
      <c r="AG15" s="170">
        <v>732</v>
      </c>
      <c r="AH15" s="173">
        <v>225</v>
      </c>
      <c r="AI15" s="165"/>
    </row>
    <row r="16" spans="1:35" ht="15">
      <c r="A16" s="177" t="s">
        <v>114</v>
      </c>
      <c r="B16" s="172">
        <v>195.44</v>
      </c>
      <c r="C16" s="172">
        <v>20</v>
      </c>
      <c r="D16" s="177" t="s">
        <v>20</v>
      </c>
      <c r="E16" s="166">
        <v>43013</v>
      </c>
      <c r="F16" s="160" t="s">
        <v>91</v>
      </c>
      <c r="G16" s="161">
        <v>6789</v>
      </c>
      <c r="H16" s="162">
        <v>91062</v>
      </c>
      <c r="I16" s="162">
        <v>2725130</v>
      </c>
      <c r="J16" s="171">
        <v>776</v>
      </c>
      <c r="K16" s="162">
        <v>60</v>
      </c>
      <c r="L16" s="163">
        <v>2.41</v>
      </c>
      <c r="M16" s="161">
        <v>50</v>
      </c>
      <c r="N16" s="167">
        <v>86.9</v>
      </c>
      <c r="O16" s="164">
        <v>103.3</v>
      </c>
      <c r="P16" s="164"/>
      <c r="Q16" s="164"/>
      <c r="R16" s="164"/>
      <c r="S16" s="164"/>
      <c r="T16" s="164"/>
      <c r="U16" s="164"/>
      <c r="V16" s="161"/>
      <c r="W16" s="168"/>
      <c r="X16" s="162">
        <v>880</v>
      </c>
      <c r="Y16" s="162">
        <v>780</v>
      </c>
      <c r="Z16" s="162">
        <v>925</v>
      </c>
      <c r="AA16" s="162">
        <v>225</v>
      </c>
      <c r="AB16" s="169">
        <v>0.1</v>
      </c>
      <c r="AC16" s="162">
        <v>1800</v>
      </c>
      <c r="AD16" s="170">
        <v>732</v>
      </c>
      <c r="AE16" s="170">
        <v>640</v>
      </c>
      <c r="AF16" s="170">
        <v>732</v>
      </c>
      <c r="AG16" s="170">
        <v>732</v>
      </c>
      <c r="AH16" s="173">
        <v>225</v>
      </c>
      <c r="AI16" s="165"/>
    </row>
  </sheetData>
  <protectedRanges>
    <protectedRange sqref="H5:I44 K5:K44" name="Rango1_1"/>
  </protectedRanges>
  <autoFilter ref="A4:AI4" xr:uid="{00000000-0001-0000-0200-000000000000}"/>
  <mergeCells count="18">
    <mergeCell ref="AD2:AH2"/>
    <mergeCell ref="X3:Y3"/>
    <mergeCell ref="AF3:AG3"/>
    <mergeCell ref="AD3:AE3"/>
    <mergeCell ref="R3:S3"/>
    <mergeCell ref="T3:U3"/>
    <mergeCell ref="P2:U2"/>
    <mergeCell ref="V2:W2"/>
    <mergeCell ref="V3:W3"/>
    <mergeCell ref="P3:Q3"/>
    <mergeCell ref="E1:M1"/>
    <mergeCell ref="E2:M2"/>
    <mergeCell ref="E3:M3"/>
    <mergeCell ref="AB2:AC2"/>
    <mergeCell ref="X2:AA2"/>
    <mergeCell ref="O1:W1"/>
    <mergeCell ref="N2:O2"/>
    <mergeCell ref="N3:O3"/>
  </mergeCells>
  <phoneticPr fontId="0" type="noConversion"/>
  <conditionalFormatting sqref="E5:F16">
    <cfRule type="expression" dxfId="21" priority="119" stopIfTrue="1">
      <formula>"SEVERSTAL"</formula>
    </cfRule>
  </conditionalFormatting>
  <conditionalFormatting sqref="X5:AC5 J5 H5:I16 K5:K16">
    <cfRule type="cellIs" dxfId="20" priority="120" stopIfTrue="1" operator="equal">
      <formula>"APROBADO"</formula>
    </cfRule>
    <cfRule type="cellIs" dxfId="19" priority="121" stopIfTrue="1" operator="equal">
      <formula>"ESPERA"</formula>
    </cfRule>
    <cfRule type="cellIs" dxfId="18" priority="122" stopIfTrue="1" operator="equal">
      <formula>"RECHAZADO"</formula>
    </cfRule>
  </conditionalFormatting>
  <conditionalFormatting sqref="AI11 AD5:AH16">
    <cfRule type="cellIs" dxfId="17" priority="11" stopIfTrue="1" operator="equal">
      <formula>"APROBADO"</formula>
    </cfRule>
    <cfRule type="cellIs" dxfId="16" priority="12" stopIfTrue="1" operator="equal">
      <formula>"ESPERA"</formula>
    </cfRule>
    <cfRule type="cellIs" dxfId="15" priority="13" stopIfTrue="1" operator="equal">
      <formula>"RECHAZADO"</formula>
    </cfRule>
  </conditionalFormatting>
  <conditionalFormatting sqref="X6:AC16">
    <cfRule type="cellIs" dxfId="14" priority="4" stopIfTrue="1" operator="equal">
      <formula>"APROBADO"</formula>
    </cfRule>
    <cfRule type="cellIs" dxfId="13" priority="5" stopIfTrue="1" operator="equal">
      <formula>"ESPERA"</formula>
    </cfRule>
    <cfRule type="cellIs" dxfId="12" priority="6" stopIfTrue="1" operator="equal">
      <formula>"RECHAZADO"</formula>
    </cfRule>
  </conditionalFormatting>
  <conditionalFormatting sqref="AI5:AI6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4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0.3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19"/>
      <c r="B1" s="19"/>
      <c r="C1" s="19"/>
      <c r="D1" s="19"/>
      <c r="E1" s="19"/>
      <c r="F1" s="19"/>
      <c r="G1" s="19" t="s">
        <v>53</v>
      </c>
      <c r="H1" s="112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</row>
    <row r="2" spans="1:33" ht="30.75">
      <c r="A2" s="20"/>
      <c r="B2" s="21"/>
      <c r="C2" s="21"/>
      <c r="D2" s="21"/>
      <c r="E2" s="19"/>
      <c r="F2" s="22"/>
      <c r="G2" s="22"/>
      <c r="H2" s="113"/>
      <c r="I2" s="23"/>
      <c r="J2" s="24" t="s">
        <v>92</v>
      </c>
      <c r="K2" s="24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19"/>
      <c r="X2" s="19"/>
      <c r="Y2" s="19"/>
      <c r="Z2" s="19"/>
      <c r="AA2" s="135"/>
      <c r="AB2" s="136"/>
      <c r="AC2" s="136"/>
      <c r="AD2" s="137" t="s">
        <v>95</v>
      </c>
      <c r="AE2" s="137" t="s">
        <v>96</v>
      </c>
      <c r="AF2" s="137" t="s">
        <v>97</v>
      </c>
      <c r="AG2" s="138" t="s">
        <v>98</v>
      </c>
    </row>
    <row r="3" spans="1:33" ht="26.25" customHeight="1">
      <c r="A3" s="20"/>
      <c r="B3" s="20"/>
      <c r="C3" s="20"/>
      <c r="D3" s="20"/>
      <c r="E3" s="20"/>
      <c r="F3" s="25"/>
      <c r="G3" s="20"/>
      <c r="H3" s="115"/>
      <c r="I3" s="207" t="s">
        <v>54</v>
      </c>
      <c r="J3" s="207"/>
      <c r="K3" s="207"/>
      <c r="L3" s="207"/>
      <c r="M3" s="207"/>
      <c r="N3" s="207"/>
      <c r="O3" s="207"/>
      <c r="P3" s="206" t="s">
        <v>55</v>
      </c>
      <c r="Q3" s="206"/>
      <c r="R3" s="206"/>
      <c r="S3" s="206"/>
      <c r="T3" s="206"/>
      <c r="U3" s="206"/>
      <c r="V3" s="104"/>
      <c r="W3" s="19"/>
      <c r="X3" s="26"/>
      <c r="Y3" s="19"/>
      <c r="Z3" s="19"/>
      <c r="AA3" s="139"/>
      <c r="AB3" s="139"/>
      <c r="AC3" s="140" t="s">
        <v>99</v>
      </c>
      <c r="AD3" s="141">
        <v>180</v>
      </c>
      <c r="AE3" s="142">
        <f>22*AD3/60</f>
        <v>66</v>
      </c>
      <c r="AF3" s="142">
        <f>3600/AD3</f>
        <v>20</v>
      </c>
      <c r="AG3" s="143">
        <f>AF3*8</f>
        <v>160</v>
      </c>
    </row>
    <row r="4" spans="1:33" ht="21" customHeight="1">
      <c r="A4" s="125"/>
      <c r="B4" s="20"/>
      <c r="C4" s="20"/>
      <c r="D4" s="20"/>
      <c r="E4" s="20"/>
      <c r="F4" s="126"/>
      <c r="G4" s="127"/>
      <c r="H4" s="114"/>
      <c r="I4" s="209" t="s">
        <v>8</v>
      </c>
      <c r="J4" s="210"/>
      <c r="K4" s="208" t="s">
        <v>9</v>
      </c>
      <c r="L4" s="209"/>
      <c r="M4" s="209"/>
      <c r="N4" s="209"/>
      <c r="O4" s="210"/>
      <c r="P4" s="208" t="s">
        <v>13</v>
      </c>
      <c r="Q4" s="210"/>
      <c r="R4" s="208" t="s">
        <v>9</v>
      </c>
      <c r="S4" s="209"/>
      <c r="T4" s="209"/>
      <c r="U4" s="209"/>
      <c r="V4" s="130"/>
      <c r="W4" s="27"/>
      <c r="X4" s="26"/>
      <c r="Y4" s="19"/>
      <c r="Z4" s="19"/>
      <c r="AA4" s="139"/>
      <c r="AB4" s="139"/>
      <c r="AC4" s="140" t="s">
        <v>100</v>
      </c>
      <c r="AD4" s="141">
        <f>AD3</f>
        <v>180</v>
      </c>
      <c r="AE4" s="142">
        <f>34*AD4/60</f>
        <v>102</v>
      </c>
      <c r="AF4" s="142">
        <f>3600/AD4</f>
        <v>20</v>
      </c>
      <c r="AG4" s="143">
        <f>AF4*8</f>
        <v>160</v>
      </c>
    </row>
    <row r="5" spans="1:33" ht="56.25" customHeight="1">
      <c r="A5" s="128" t="s">
        <v>1</v>
      </c>
      <c r="B5" s="128" t="s">
        <v>4</v>
      </c>
      <c r="C5" s="128" t="s">
        <v>56</v>
      </c>
      <c r="D5" s="128" t="s">
        <v>115</v>
      </c>
      <c r="E5" s="128" t="s">
        <v>3</v>
      </c>
      <c r="F5" s="128" t="s">
        <v>5</v>
      </c>
      <c r="G5" s="128" t="s">
        <v>12</v>
      </c>
      <c r="H5" s="129" t="s">
        <v>67</v>
      </c>
      <c r="I5" s="128" t="s">
        <v>7</v>
      </c>
      <c r="J5" s="128" t="s">
        <v>60</v>
      </c>
      <c r="K5" s="128" t="s">
        <v>59</v>
      </c>
      <c r="L5" s="128" t="s">
        <v>10</v>
      </c>
      <c r="M5" s="128" t="s">
        <v>11</v>
      </c>
      <c r="N5" s="128" t="s">
        <v>15</v>
      </c>
      <c r="O5" s="128" t="s">
        <v>61</v>
      </c>
      <c r="P5" s="128" t="s">
        <v>62</v>
      </c>
      <c r="Q5" s="128" t="s">
        <v>7</v>
      </c>
      <c r="R5" s="128" t="s">
        <v>10</v>
      </c>
      <c r="S5" s="128" t="s">
        <v>11</v>
      </c>
      <c r="T5" s="128" t="s">
        <v>15</v>
      </c>
      <c r="U5" s="132" t="s">
        <v>63</v>
      </c>
      <c r="V5" s="128" t="s">
        <v>59</v>
      </c>
      <c r="W5" s="128" t="s">
        <v>0</v>
      </c>
      <c r="X5" s="128" t="s">
        <v>6</v>
      </c>
      <c r="Y5" s="128" t="s">
        <v>89</v>
      </c>
      <c r="Z5" s="128" t="s">
        <v>58</v>
      </c>
      <c r="AA5" s="128" t="s">
        <v>84</v>
      </c>
      <c r="AB5" s="128" t="s">
        <v>66</v>
      </c>
      <c r="AC5" s="128" t="s">
        <v>57</v>
      </c>
      <c r="AD5" s="128" t="s">
        <v>90</v>
      </c>
      <c r="AE5" s="128" t="s">
        <v>51</v>
      </c>
      <c r="AF5" s="134" t="s">
        <v>68</v>
      </c>
      <c r="AG5" s="128" t="s">
        <v>52</v>
      </c>
    </row>
    <row r="6" spans="1:33" ht="15.75">
      <c r="A6" s="111">
        <v>43265</v>
      </c>
      <c r="B6" s="29">
        <v>1</v>
      </c>
      <c r="C6" s="29">
        <v>2640267</v>
      </c>
      <c r="D6" s="178"/>
      <c r="E6" s="106">
        <v>90571</v>
      </c>
      <c r="F6" s="29">
        <v>5941</v>
      </c>
      <c r="G6" s="107">
        <v>80</v>
      </c>
      <c r="H6" s="119" t="s">
        <v>93</v>
      </c>
      <c r="I6" s="120">
        <v>0</v>
      </c>
      <c r="J6" s="121">
        <v>0</v>
      </c>
      <c r="K6" s="122">
        <v>0</v>
      </c>
      <c r="L6" s="123">
        <v>0</v>
      </c>
      <c r="M6" s="120">
        <v>0</v>
      </c>
      <c r="N6" s="124">
        <v>0</v>
      </c>
      <c r="O6" s="118">
        <v>0</v>
      </c>
      <c r="P6" s="123">
        <v>2</v>
      </c>
      <c r="Q6" s="118">
        <v>0</v>
      </c>
      <c r="R6" s="123">
        <v>0</v>
      </c>
      <c r="S6" s="120">
        <v>0</v>
      </c>
      <c r="T6" s="124">
        <v>0</v>
      </c>
      <c r="U6" s="120">
        <v>0</v>
      </c>
      <c r="V6" s="131">
        <v>0</v>
      </c>
      <c r="W6" s="28">
        <f t="shared" ref="W6" si="0">+G6-(SUM(I6:N6,P6,Q6,R6,S6,T6,V6))</f>
        <v>78</v>
      </c>
      <c r="X6" s="108"/>
      <c r="Y6" s="108"/>
      <c r="Z6" s="108">
        <v>1</v>
      </c>
      <c r="AA6" s="108"/>
      <c r="AB6" s="108"/>
      <c r="AC6" s="108"/>
      <c r="AD6" s="133">
        <f t="shared" ref="AD6" si="1">W6-SUM(Y6:Z6)</f>
        <v>77</v>
      </c>
      <c r="AE6" s="109"/>
      <c r="AF6" s="110"/>
      <c r="AG6" s="106"/>
    </row>
    <row r="7" spans="1:33" ht="15.75">
      <c r="A7" s="111">
        <v>43265</v>
      </c>
      <c r="B7" s="29">
        <v>1</v>
      </c>
      <c r="C7" s="29">
        <v>2640267</v>
      </c>
      <c r="D7" s="178"/>
      <c r="E7" s="106">
        <v>90571</v>
      </c>
      <c r="F7" s="29">
        <v>5942</v>
      </c>
      <c r="G7" s="107">
        <v>24</v>
      </c>
      <c r="H7" s="119" t="s">
        <v>94</v>
      </c>
      <c r="I7" s="120">
        <v>0</v>
      </c>
      <c r="J7" s="121">
        <v>0</v>
      </c>
      <c r="K7" s="122">
        <v>0</v>
      </c>
      <c r="L7" s="123">
        <v>0</v>
      </c>
      <c r="M7" s="120">
        <v>0</v>
      </c>
      <c r="N7" s="124">
        <v>0</v>
      </c>
      <c r="O7" s="118">
        <v>0</v>
      </c>
      <c r="P7" s="123">
        <v>0</v>
      </c>
      <c r="Q7" s="118">
        <v>0</v>
      </c>
      <c r="R7" s="123">
        <v>0</v>
      </c>
      <c r="S7" s="120">
        <v>0</v>
      </c>
      <c r="T7" s="124">
        <v>0</v>
      </c>
      <c r="U7" s="120">
        <v>0</v>
      </c>
      <c r="V7" s="131">
        <v>0</v>
      </c>
      <c r="W7" s="28">
        <f t="shared" ref="W7" si="2">+G7-(SUM(I7:N7,P7,Q7,R7,S7,T7,V7))</f>
        <v>24</v>
      </c>
      <c r="X7" s="108"/>
      <c r="Y7" s="108"/>
      <c r="Z7" s="108"/>
      <c r="AA7" s="108"/>
      <c r="AB7" s="108"/>
      <c r="AC7" s="108"/>
      <c r="AD7" s="133">
        <f t="shared" ref="AD7" si="3">W7-SUM(Y7:Z7)</f>
        <v>24</v>
      </c>
      <c r="AE7" s="109"/>
      <c r="AF7" s="110"/>
      <c r="AG7" s="106"/>
    </row>
    <row r="8" spans="1:33" ht="15.75">
      <c r="A8" s="111">
        <v>43378</v>
      </c>
      <c r="B8" s="29">
        <v>3</v>
      </c>
      <c r="C8" s="117">
        <v>2725130</v>
      </c>
      <c r="D8" s="117"/>
      <c r="E8" s="106">
        <v>91063</v>
      </c>
      <c r="F8" s="29">
        <v>6788</v>
      </c>
      <c r="G8" s="107">
        <v>42</v>
      </c>
      <c r="H8" s="204" t="s">
        <v>103</v>
      </c>
      <c r="I8" s="120">
        <v>0</v>
      </c>
      <c r="J8" s="121">
        <v>0</v>
      </c>
      <c r="K8" s="122">
        <v>0</v>
      </c>
      <c r="L8" s="123">
        <v>0</v>
      </c>
      <c r="M8" s="120">
        <v>0</v>
      </c>
      <c r="N8" s="124">
        <v>0</v>
      </c>
      <c r="O8" s="118">
        <v>0</v>
      </c>
      <c r="P8" s="123">
        <v>0</v>
      </c>
      <c r="Q8" s="118">
        <v>0</v>
      </c>
      <c r="R8" s="123">
        <v>0</v>
      </c>
      <c r="S8" s="120">
        <v>0</v>
      </c>
      <c r="T8" s="124">
        <v>0</v>
      </c>
      <c r="U8" s="120">
        <v>0</v>
      </c>
      <c r="V8" s="131">
        <v>0</v>
      </c>
      <c r="W8" s="28">
        <f t="shared" ref="W8:W60" si="4">+G8-(SUM(I8:N8,P8,Q8,R8,S8,T8,V8))</f>
        <v>42</v>
      </c>
      <c r="X8" s="108"/>
      <c r="Y8" s="108"/>
      <c r="Z8" s="108"/>
      <c r="AA8" s="108"/>
      <c r="AB8" s="108"/>
      <c r="AC8" s="108"/>
      <c r="AD8" s="133">
        <f t="shared" ref="AD8:AD52" si="5">W8-SUM(Y8:Z8)</f>
        <v>42</v>
      </c>
      <c r="AE8" s="109"/>
      <c r="AF8" s="110"/>
      <c r="AG8" s="106"/>
    </row>
    <row r="9" spans="1:33" ht="15.75">
      <c r="A9" s="111">
        <v>43379</v>
      </c>
      <c r="B9" s="29">
        <v>1</v>
      </c>
      <c r="C9" s="117">
        <v>2725130</v>
      </c>
      <c r="D9" s="117"/>
      <c r="E9" s="106">
        <v>91063</v>
      </c>
      <c r="F9" s="29">
        <v>6788</v>
      </c>
      <c r="G9" s="107">
        <v>58</v>
      </c>
      <c r="H9" s="205"/>
      <c r="I9" s="120">
        <v>0</v>
      </c>
      <c r="J9" s="121">
        <v>0</v>
      </c>
      <c r="K9" s="122">
        <v>0</v>
      </c>
      <c r="L9" s="123">
        <v>0</v>
      </c>
      <c r="M9" s="120">
        <v>0</v>
      </c>
      <c r="N9" s="124">
        <v>0</v>
      </c>
      <c r="O9" s="118">
        <v>0</v>
      </c>
      <c r="P9" s="123">
        <v>0</v>
      </c>
      <c r="Q9" s="118">
        <v>0</v>
      </c>
      <c r="R9" s="123">
        <v>0</v>
      </c>
      <c r="S9" s="120">
        <v>0</v>
      </c>
      <c r="T9" s="124">
        <v>0</v>
      </c>
      <c r="U9" s="120">
        <v>0</v>
      </c>
      <c r="V9" s="131">
        <v>0</v>
      </c>
      <c r="W9" s="28">
        <f t="shared" ref="W9" si="6">+G9-(SUM(I9:N9,P9,Q9,R9,S9,T9,V9))</f>
        <v>58</v>
      </c>
      <c r="X9" s="108"/>
      <c r="Y9" s="108"/>
      <c r="Z9" s="108"/>
      <c r="AA9" s="108"/>
      <c r="AB9" s="108"/>
      <c r="AC9" s="108"/>
      <c r="AD9" s="133">
        <f t="shared" ref="AD9" si="7">W9-SUM(Y9:Z9)</f>
        <v>58</v>
      </c>
      <c r="AE9" s="109"/>
      <c r="AF9" s="110"/>
      <c r="AG9" s="106"/>
    </row>
    <row r="10" spans="1:33" ht="15.75">
      <c r="A10" s="111">
        <v>43379</v>
      </c>
      <c r="B10" s="29">
        <v>1</v>
      </c>
      <c r="C10" s="117">
        <v>2725130</v>
      </c>
      <c r="D10" s="117"/>
      <c r="E10" s="106">
        <v>91063</v>
      </c>
      <c r="F10" s="29"/>
      <c r="G10" s="107">
        <v>12</v>
      </c>
      <c r="H10" s="119" t="s">
        <v>104</v>
      </c>
      <c r="I10" s="120">
        <v>0</v>
      </c>
      <c r="J10" s="121">
        <v>0</v>
      </c>
      <c r="K10" s="122">
        <v>0</v>
      </c>
      <c r="L10" s="123">
        <v>0</v>
      </c>
      <c r="M10" s="120">
        <v>0</v>
      </c>
      <c r="N10" s="124">
        <v>0</v>
      </c>
      <c r="O10" s="118">
        <v>0</v>
      </c>
      <c r="P10" s="123">
        <v>0</v>
      </c>
      <c r="Q10" s="118">
        <v>0</v>
      </c>
      <c r="R10" s="123">
        <v>0</v>
      </c>
      <c r="S10" s="120">
        <v>0</v>
      </c>
      <c r="T10" s="124">
        <v>0</v>
      </c>
      <c r="U10" s="120">
        <v>0</v>
      </c>
      <c r="V10" s="131">
        <v>0</v>
      </c>
      <c r="W10" s="28">
        <f t="shared" si="4"/>
        <v>12</v>
      </c>
      <c r="X10" s="108"/>
      <c r="Y10" s="108"/>
      <c r="Z10" s="108"/>
      <c r="AA10" s="108"/>
      <c r="AB10" s="108"/>
      <c r="AC10" s="108"/>
      <c r="AD10" s="133">
        <f t="shared" si="5"/>
        <v>12</v>
      </c>
      <c r="AE10" s="109"/>
      <c r="AF10" s="110"/>
      <c r="AG10" s="106"/>
    </row>
    <row r="11" spans="1:33" ht="15.75">
      <c r="A11" s="111">
        <v>43379</v>
      </c>
      <c r="B11" s="29">
        <v>1</v>
      </c>
      <c r="C11" s="117">
        <v>2725130</v>
      </c>
      <c r="D11" s="117"/>
      <c r="E11" s="106">
        <v>91062</v>
      </c>
      <c r="F11" s="29">
        <v>6789</v>
      </c>
      <c r="G11" s="107">
        <v>71</v>
      </c>
      <c r="H11" s="116" t="s">
        <v>105</v>
      </c>
      <c r="I11" s="120">
        <v>0</v>
      </c>
      <c r="J11" s="121">
        <v>0</v>
      </c>
      <c r="K11" s="122">
        <v>0</v>
      </c>
      <c r="L11" s="123">
        <v>0</v>
      </c>
      <c r="M11" s="120">
        <v>0</v>
      </c>
      <c r="N11" s="124">
        <v>0</v>
      </c>
      <c r="O11" s="118">
        <v>0</v>
      </c>
      <c r="P11" s="123">
        <v>0</v>
      </c>
      <c r="Q11" s="118">
        <v>0</v>
      </c>
      <c r="R11" s="123">
        <v>0</v>
      </c>
      <c r="S11" s="120">
        <v>0</v>
      </c>
      <c r="T11" s="124">
        <v>0</v>
      </c>
      <c r="U11" s="120">
        <v>0</v>
      </c>
      <c r="V11" s="131">
        <v>0</v>
      </c>
      <c r="W11" s="28">
        <f t="shared" si="4"/>
        <v>71</v>
      </c>
      <c r="X11" s="108"/>
      <c r="Y11" s="108"/>
      <c r="Z11" s="108"/>
      <c r="AA11" s="108"/>
      <c r="AB11" s="108"/>
      <c r="AC11" s="108"/>
      <c r="AD11" s="133">
        <f t="shared" si="5"/>
        <v>71</v>
      </c>
      <c r="AE11" s="109"/>
      <c r="AF11" s="110"/>
      <c r="AG11" s="106"/>
    </row>
    <row r="12" spans="1:33" ht="15.75">
      <c r="A12" s="105"/>
      <c r="B12" s="29"/>
      <c r="C12" s="29"/>
      <c r="D12" s="178"/>
      <c r="E12" s="106"/>
      <c r="F12" s="29"/>
      <c r="G12" s="107"/>
      <c r="H12" s="116"/>
      <c r="I12" s="120">
        <v>0</v>
      </c>
      <c r="J12" s="121">
        <v>0</v>
      </c>
      <c r="K12" s="122">
        <v>0</v>
      </c>
      <c r="L12" s="123">
        <v>0</v>
      </c>
      <c r="M12" s="120">
        <v>0</v>
      </c>
      <c r="N12" s="124">
        <v>0</v>
      </c>
      <c r="O12" s="118">
        <v>0</v>
      </c>
      <c r="P12" s="123">
        <v>0</v>
      </c>
      <c r="Q12" s="118">
        <v>0</v>
      </c>
      <c r="R12" s="123">
        <v>0</v>
      </c>
      <c r="S12" s="120">
        <v>0</v>
      </c>
      <c r="T12" s="124">
        <v>0</v>
      </c>
      <c r="U12" s="120">
        <v>0</v>
      </c>
      <c r="V12" s="131">
        <v>0</v>
      </c>
      <c r="W12" s="28">
        <f t="shared" si="4"/>
        <v>0</v>
      </c>
      <c r="X12" s="108"/>
      <c r="Y12" s="108"/>
      <c r="Z12" s="108"/>
      <c r="AA12" s="108"/>
      <c r="AB12" s="108"/>
      <c r="AC12" s="108"/>
      <c r="AD12" s="133">
        <f t="shared" si="5"/>
        <v>0</v>
      </c>
      <c r="AE12" s="109"/>
      <c r="AF12" s="110"/>
      <c r="AG12" s="106"/>
    </row>
    <row r="13" spans="1:33" ht="15.75">
      <c r="A13" s="105"/>
      <c r="B13" s="29"/>
      <c r="C13" s="29"/>
      <c r="D13" s="178"/>
      <c r="E13" s="106"/>
      <c r="F13" s="29"/>
      <c r="G13" s="107"/>
      <c r="H13" s="116"/>
      <c r="I13" s="120">
        <v>0</v>
      </c>
      <c r="J13" s="121">
        <v>0</v>
      </c>
      <c r="K13" s="122">
        <v>0</v>
      </c>
      <c r="L13" s="123">
        <v>0</v>
      </c>
      <c r="M13" s="120">
        <v>0</v>
      </c>
      <c r="N13" s="124">
        <v>0</v>
      </c>
      <c r="O13" s="118">
        <v>0</v>
      </c>
      <c r="P13" s="123">
        <v>0</v>
      </c>
      <c r="Q13" s="118">
        <v>0</v>
      </c>
      <c r="R13" s="123">
        <v>0</v>
      </c>
      <c r="S13" s="120">
        <v>0</v>
      </c>
      <c r="T13" s="124">
        <v>0</v>
      </c>
      <c r="U13" s="120">
        <v>0</v>
      </c>
      <c r="V13" s="131">
        <v>0</v>
      </c>
      <c r="W13" s="28">
        <f t="shared" si="4"/>
        <v>0</v>
      </c>
      <c r="X13" s="108"/>
      <c r="Y13" s="108"/>
      <c r="Z13" s="108"/>
      <c r="AA13" s="108"/>
      <c r="AB13" s="108"/>
      <c r="AC13" s="108"/>
      <c r="AD13" s="133">
        <f t="shared" si="5"/>
        <v>0</v>
      </c>
      <c r="AE13" s="109"/>
      <c r="AF13" s="110"/>
      <c r="AG13" s="106"/>
    </row>
    <row r="14" spans="1:33" ht="15.75">
      <c r="A14" s="105"/>
      <c r="B14" s="29"/>
      <c r="C14" s="29"/>
      <c r="D14" s="178"/>
      <c r="E14" s="106"/>
      <c r="F14" s="29"/>
      <c r="G14" s="107"/>
      <c r="H14" s="116"/>
      <c r="I14" s="120">
        <v>0</v>
      </c>
      <c r="J14" s="121">
        <v>0</v>
      </c>
      <c r="K14" s="122">
        <v>0</v>
      </c>
      <c r="L14" s="123">
        <v>0</v>
      </c>
      <c r="M14" s="120">
        <v>0</v>
      </c>
      <c r="N14" s="124">
        <v>0</v>
      </c>
      <c r="O14" s="118">
        <v>0</v>
      </c>
      <c r="P14" s="123">
        <v>0</v>
      </c>
      <c r="Q14" s="118">
        <v>0</v>
      </c>
      <c r="R14" s="123">
        <v>0</v>
      </c>
      <c r="S14" s="120">
        <v>0</v>
      </c>
      <c r="T14" s="124">
        <v>0</v>
      </c>
      <c r="U14" s="120">
        <v>0</v>
      </c>
      <c r="V14" s="131">
        <v>0</v>
      </c>
      <c r="W14" s="28">
        <f t="shared" si="4"/>
        <v>0</v>
      </c>
      <c r="X14" s="108"/>
      <c r="Y14" s="108"/>
      <c r="Z14" s="108"/>
      <c r="AA14" s="108"/>
      <c r="AB14" s="108"/>
      <c r="AC14" s="108"/>
      <c r="AD14" s="133">
        <f t="shared" si="5"/>
        <v>0</v>
      </c>
      <c r="AE14" s="109"/>
      <c r="AF14" s="110"/>
      <c r="AG14" s="106"/>
    </row>
    <row r="15" spans="1:33" ht="15.75">
      <c r="A15" s="105"/>
      <c r="B15" s="29"/>
      <c r="C15" s="29"/>
      <c r="D15" s="178"/>
      <c r="E15" s="106"/>
      <c r="F15" s="29"/>
      <c r="G15" s="107"/>
      <c r="H15" s="116"/>
      <c r="I15" s="120">
        <v>0</v>
      </c>
      <c r="J15" s="121">
        <v>0</v>
      </c>
      <c r="K15" s="122">
        <v>0</v>
      </c>
      <c r="L15" s="123">
        <v>0</v>
      </c>
      <c r="M15" s="120">
        <v>0</v>
      </c>
      <c r="N15" s="124">
        <v>0</v>
      </c>
      <c r="O15" s="118">
        <v>0</v>
      </c>
      <c r="P15" s="123">
        <v>0</v>
      </c>
      <c r="Q15" s="118">
        <v>0</v>
      </c>
      <c r="R15" s="123">
        <v>0</v>
      </c>
      <c r="S15" s="120">
        <v>0</v>
      </c>
      <c r="T15" s="124">
        <v>0</v>
      </c>
      <c r="U15" s="120">
        <v>0</v>
      </c>
      <c r="V15" s="131">
        <v>0</v>
      </c>
      <c r="W15" s="28">
        <f t="shared" si="4"/>
        <v>0</v>
      </c>
      <c r="X15" s="108"/>
      <c r="Y15" s="108"/>
      <c r="Z15" s="108"/>
      <c r="AA15" s="108"/>
      <c r="AB15" s="108"/>
      <c r="AC15" s="108"/>
      <c r="AD15" s="133">
        <f t="shared" si="5"/>
        <v>0</v>
      </c>
      <c r="AE15" s="109"/>
      <c r="AF15" s="110"/>
      <c r="AG15" s="106"/>
    </row>
    <row r="16" spans="1:33" ht="15.75">
      <c r="A16" s="105"/>
      <c r="B16" s="29"/>
      <c r="C16" s="29"/>
      <c r="D16" s="178"/>
      <c r="E16" s="106"/>
      <c r="F16" s="29"/>
      <c r="G16" s="107"/>
      <c r="H16" s="116"/>
      <c r="I16" s="120">
        <v>0</v>
      </c>
      <c r="J16" s="121">
        <v>0</v>
      </c>
      <c r="K16" s="122">
        <v>0</v>
      </c>
      <c r="L16" s="123">
        <v>0</v>
      </c>
      <c r="M16" s="120">
        <v>0</v>
      </c>
      <c r="N16" s="124">
        <v>0</v>
      </c>
      <c r="O16" s="118">
        <v>0</v>
      </c>
      <c r="P16" s="123">
        <v>0</v>
      </c>
      <c r="Q16" s="118">
        <v>0</v>
      </c>
      <c r="R16" s="123">
        <v>0</v>
      </c>
      <c r="S16" s="120">
        <v>0</v>
      </c>
      <c r="T16" s="124">
        <v>0</v>
      </c>
      <c r="U16" s="120">
        <v>0</v>
      </c>
      <c r="V16" s="131">
        <v>0</v>
      </c>
      <c r="W16" s="28">
        <f t="shared" si="4"/>
        <v>0</v>
      </c>
      <c r="X16" s="108"/>
      <c r="Y16" s="108"/>
      <c r="Z16" s="108"/>
      <c r="AA16" s="108"/>
      <c r="AB16" s="108"/>
      <c r="AC16" s="108"/>
      <c r="AD16" s="133">
        <f t="shared" si="5"/>
        <v>0</v>
      </c>
      <c r="AE16" s="109"/>
      <c r="AF16" s="110"/>
      <c r="AG16" s="106"/>
    </row>
    <row r="17" spans="1:33" ht="15.75">
      <c r="A17" s="105"/>
      <c r="B17" s="29"/>
      <c r="C17" s="29"/>
      <c r="D17" s="178"/>
      <c r="E17" s="106"/>
      <c r="F17" s="29"/>
      <c r="G17" s="107"/>
      <c r="H17" s="116"/>
      <c r="I17" s="120">
        <v>0</v>
      </c>
      <c r="J17" s="121">
        <v>0</v>
      </c>
      <c r="K17" s="122">
        <v>0</v>
      </c>
      <c r="L17" s="123">
        <v>0</v>
      </c>
      <c r="M17" s="120">
        <v>0</v>
      </c>
      <c r="N17" s="124">
        <v>0</v>
      </c>
      <c r="O17" s="118">
        <v>0</v>
      </c>
      <c r="P17" s="123">
        <v>0</v>
      </c>
      <c r="Q17" s="118">
        <v>0</v>
      </c>
      <c r="R17" s="123">
        <v>0</v>
      </c>
      <c r="S17" s="120">
        <v>0</v>
      </c>
      <c r="T17" s="124">
        <v>0</v>
      </c>
      <c r="U17" s="120">
        <v>0</v>
      </c>
      <c r="V17" s="131">
        <v>0</v>
      </c>
      <c r="W17" s="28">
        <f t="shared" si="4"/>
        <v>0</v>
      </c>
      <c r="X17" s="108"/>
      <c r="Y17" s="108"/>
      <c r="Z17" s="108"/>
      <c r="AA17" s="108"/>
      <c r="AB17" s="108"/>
      <c r="AC17" s="108"/>
      <c r="AD17" s="133">
        <f t="shared" si="5"/>
        <v>0</v>
      </c>
      <c r="AE17" s="109"/>
      <c r="AF17" s="110"/>
      <c r="AG17" s="106"/>
    </row>
    <row r="18" spans="1:33" ht="15.75">
      <c r="A18" s="105"/>
      <c r="B18" s="29"/>
      <c r="C18" s="29"/>
      <c r="D18" s="178"/>
      <c r="E18" s="106"/>
      <c r="F18" s="29"/>
      <c r="G18" s="107"/>
      <c r="H18" s="116"/>
      <c r="I18" s="120">
        <v>0</v>
      </c>
      <c r="J18" s="121">
        <v>0</v>
      </c>
      <c r="K18" s="122">
        <v>0</v>
      </c>
      <c r="L18" s="123">
        <v>0</v>
      </c>
      <c r="M18" s="120">
        <v>0</v>
      </c>
      <c r="N18" s="124">
        <v>0</v>
      </c>
      <c r="O18" s="118">
        <v>0</v>
      </c>
      <c r="P18" s="123">
        <v>0</v>
      </c>
      <c r="Q18" s="118">
        <v>0</v>
      </c>
      <c r="R18" s="123">
        <v>0</v>
      </c>
      <c r="S18" s="120">
        <v>0</v>
      </c>
      <c r="T18" s="124">
        <v>0</v>
      </c>
      <c r="U18" s="120">
        <v>0</v>
      </c>
      <c r="V18" s="131">
        <v>0</v>
      </c>
      <c r="W18" s="28">
        <f t="shared" si="4"/>
        <v>0</v>
      </c>
      <c r="X18" s="108"/>
      <c r="Y18" s="108"/>
      <c r="Z18" s="108"/>
      <c r="AA18" s="108"/>
      <c r="AB18" s="108"/>
      <c r="AC18" s="108"/>
      <c r="AD18" s="133">
        <f t="shared" si="5"/>
        <v>0</v>
      </c>
      <c r="AE18" s="109"/>
      <c r="AF18" s="110"/>
      <c r="AG18" s="106"/>
    </row>
    <row r="19" spans="1:33" ht="15.75">
      <c r="A19" s="105"/>
      <c r="B19" s="29"/>
      <c r="C19" s="29"/>
      <c r="D19" s="178"/>
      <c r="E19" s="106"/>
      <c r="F19" s="29"/>
      <c r="G19" s="107"/>
      <c r="H19" s="116"/>
      <c r="I19" s="120">
        <v>0</v>
      </c>
      <c r="J19" s="121">
        <v>0</v>
      </c>
      <c r="K19" s="122">
        <v>0</v>
      </c>
      <c r="L19" s="123">
        <v>0</v>
      </c>
      <c r="M19" s="120">
        <v>0</v>
      </c>
      <c r="N19" s="124">
        <v>0</v>
      </c>
      <c r="O19" s="118">
        <v>0</v>
      </c>
      <c r="P19" s="123">
        <v>0</v>
      </c>
      <c r="Q19" s="118">
        <v>0</v>
      </c>
      <c r="R19" s="123">
        <v>0</v>
      </c>
      <c r="S19" s="120">
        <v>0</v>
      </c>
      <c r="T19" s="124">
        <v>0</v>
      </c>
      <c r="U19" s="120">
        <v>0</v>
      </c>
      <c r="V19" s="131">
        <v>0</v>
      </c>
      <c r="W19" s="28">
        <f t="shared" si="4"/>
        <v>0</v>
      </c>
      <c r="X19" s="108"/>
      <c r="Y19" s="108"/>
      <c r="Z19" s="108"/>
      <c r="AA19" s="108"/>
      <c r="AB19" s="108"/>
      <c r="AC19" s="108"/>
      <c r="AD19" s="133">
        <f t="shared" si="5"/>
        <v>0</v>
      </c>
      <c r="AE19" s="109"/>
      <c r="AF19" s="110"/>
      <c r="AG19" s="106"/>
    </row>
    <row r="20" spans="1:33" ht="15.75">
      <c r="A20" s="105"/>
      <c r="B20" s="29"/>
      <c r="C20" s="29"/>
      <c r="D20" s="178"/>
      <c r="E20" s="106"/>
      <c r="F20" s="29"/>
      <c r="G20" s="107"/>
      <c r="H20" s="116"/>
      <c r="I20" s="120">
        <v>0</v>
      </c>
      <c r="J20" s="121">
        <v>0</v>
      </c>
      <c r="K20" s="122">
        <v>0</v>
      </c>
      <c r="L20" s="123">
        <v>0</v>
      </c>
      <c r="M20" s="120">
        <v>0</v>
      </c>
      <c r="N20" s="124">
        <v>0</v>
      </c>
      <c r="O20" s="118">
        <v>0</v>
      </c>
      <c r="P20" s="123">
        <v>0</v>
      </c>
      <c r="Q20" s="118">
        <v>0</v>
      </c>
      <c r="R20" s="123">
        <v>0</v>
      </c>
      <c r="S20" s="120">
        <v>0</v>
      </c>
      <c r="T20" s="124">
        <v>0</v>
      </c>
      <c r="U20" s="120">
        <v>0</v>
      </c>
      <c r="V20" s="131">
        <v>0</v>
      </c>
      <c r="W20" s="28">
        <f t="shared" si="4"/>
        <v>0</v>
      </c>
      <c r="X20" s="108"/>
      <c r="Y20" s="108"/>
      <c r="Z20" s="108"/>
      <c r="AA20" s="108"/>
      <c r="AB20" s="108"/>
      <c r="AC20" s="108"/>
      <c r="AD20" s="133">
        <f t="shared" si="5"/>
        <v>0</v>
      </c>
      <c r="AE20" s="109"/>
      <c r="AF20" s="110"/>
      <c r="AG20" s="106"/>
    </row>
    <row r="21" spans="1:33" ht="15.75">
      <c r="A21" s="105"/>
      <c r="B21" s="29"/>
      <c r="C21" s="29"/>
      <c r="D21" s="178"/>
      <c r="E21" s="106"/>
      <c r="F21" s="29"/>
      <c r="G21" s="107"/>
      <c r="H21" s="116"/>
      <c r="I21" s="120">
        <v>0</v>
      </c>
      <c r="J21" s="121">
        <v>0</v>
      </c>
      <c r="K21" s="122">
        <v>0</v>
      </c>
      <c r="L21" s="123">
        <v>0</v>
      </c>
      <c r="M21" s="120">
        <v>0</v>
      </c>
      <c r="N21" s="124">
        <v>0</v>
      </c>
      <c r="O21" s="118">
        <v>0</v>
      </c>
      <c r="P21" s="123">
        <v>0</v>
      </c>
      <c r="Q21" s="118">
        <v>0</v>
      </c>
      <c r="R21" s="123">
        <v>0</v>
      </c>
      <c r="S21" s="120">
        <v>0</v>
      </c>
      <c r="T21" s="124">
        <v>0</v>
      </c>
      <c r="U21" s="120">
        <v>0</v>
      </c>
      <c r="V21" s="131">
        <v>0</v>
      </c>
      <c r="W21" s="28">
        <f t="shared" si="4"/>
        <v>0</v>
      </c>
      <c r="X21" s="108"/>
      <c r="Y21" s="108"/>
      <c r="Z21" s="108"/>
      <c r="AA21" s="108"/>
      <c r="AB21" s="108"/>
      <c r="AC21" s="108"/>
      <c r="AD21" s="133">
        <f t="shared" si="5"/>
        <v>0</v>
      </c>
      <c r="AE21" s="109"/>
      <c r="AF21" s="110"/>
      <c r="AG21" s="106"/>
    </row>
    <row r="22" spans="1:33" ht="15.75">
      <c r="A22" s="105"/>
      <c r="B22" s="29"/>
      <c r="C22" s="29"/>
      <c r="D22" s="178"/>
      <c r="E22" s="106"/>
      <c r="F22" s="29"/>
      <c r="G22" s="107"/>
      <c r="H22" s="116"/>
      <c r="I22" s="120">
        <v>0</v>
      </c>
      <c r="J22" s="121">
        <v>0</v>
      </c>
      <c r="K22" s="122">
        <v>0</v>
      </c>
      <c r="L22" s="123">
        <v>0</v>
      </c>
      <c r="M22" s="120">
        <v>0</v>
      </c>
      <c r="N22" s="124">
        <v>0</v>
      </c>
      <c r="O22" s="118">
        <v>0</v>
      </c>
      <c r="P22" s="123">
        <v>0</v>
      </c>
      <c r="Q22" s="118">
        <v>0</v>
      </c>
      <c r="R22" s="123">
        <v>0</v>
      </c>
      <c r="S22" s="120">
        <v>0</v>
      </c>
      <c r="T22" s="124">
        <v>0</v>
      </c>
      <c r="U22" s="120">
        <v>0</v>
      </c>
      <c r="V22" s="131">
        <v>0</v>
      </c>
      <c r="W22" s="28">
        <f t="shared" si="4"/>
        <v>0</v>
      </c>
      <c r="X22" s="108"/>
      <c r="Y22" s="108"/>
      <c r="Z22" s="108"/>
      <c r="AA22" s="108"/>
      <c r="AB22" s="108"/>
      <c r="AC22" s="108"/>
      <c r="AD22" s="133">
        <f t="shared" si="5"/>
        <v>0</v>
      </c>
      <c r="AE22" s="109"/>
      <c r="AF22" s="110"/>
      <c r="AG22" s="106"/>
    </row>
    <row r="23" spans="1:33" ht="15.75">
      <c r="A23" s="105"/>
      <c r="B23" s="29"/>
      <c r="C23" s="29"/>
      <c r="D23" s="178"/>
      <c r="E23" s="106"/>
      <c r="F23" s="29"/>
      <c r="G23" s="107"/>
      <c r="H23" s="116"/>
      <c r="I23" s="120">
        <v>0</v>
      </c>
      <c r="J23" s="121">
        <v>0</v>
      </c>
      <c r="K23" s="122">
        <v>0</v>
      </c>
      <c r="L23" s="123">
        <v>0</v>
      </c>
      <c r="M23" s="120">
        <v>0</v>
      </c>
      <c r="N23" s="124">
        <v>0</v>
      </c>
      <c r="O23" s="118">
        <v>0</v>
      </c>
      <c r="P23" s="123">
        <v>0</v>
      </c>
      <c r="Q23" s="118">
        <v>0</v>
      </c>
      <c r="R23" s="123">
        <v>0</v>
      </c>
      <c r="S23" s="120">
        <v>0</v>
      </c>
      <c r="T23" s="124">
        <v>0</v>
      </c>
      <c r="U23" s="120">
        <v>0</v>
      </c>
      <c r="V23" s="131">
        <v>0</v>
      </c>
      <c r="W23" s="28">
        <f t="shared" si="4"/>
        <v>0</v>
      </c>
      <c r="X23" s="108"/>
      <c r="Y23" s="108"/>
      <c r="Z23" s="108"/>
      <c r="AA23" s="108"/>
      <c r="AB23" s="108"/>
      <c r="AC23" s="108"/>
      <c r="AD23" s="133">
        <f t="shared" si="5"/>
        <v>0</v>
      </c>
      <c r="AE23" s="109"/>
      <c r="AF23" s="110"/>
      <c r="AG23" s="106"/>
    </row>
    <row r="24" spans="1:33" ht="15.75">
      <c r="A24" s="105"/>
      <c r="B24" s="29"/>
      <c r="C24" s="29"/>
      <c r="D24" s="178"/>
      <c r="E24" s="106"/>
      <c r="F24" s="29"/>
      <c r="G24" s="107"/>
      <c r="H24" s="116"/>
      <c r="I24" s="120">
        <v>0</v>
      </c>
      <c r="J24" s="121">
        <v>0</v>
      </c>
      <c r="K24" s="122">
        <v>0</v>
      </c>
      <c r="L24" s="123">
        <v>0</v>
      </c>
      <c r="M24" s="120">
        <v>0</v>
      </c>
      <c r="N24" s="124">
        <v>0</v>
      </c>
      <c r="O24" s="118">
        <v>0</v>
      </c>
      <c r="P24" s="123">
        <v>0</v>
      </c>
      <c r="Q24" s="118">
        <v>0</v>
      </c>
      <c r="R24" s="123">
        <v>0</v>
      </c>
      <c r="S24" s="120">
        <v>0</v>
      </c>
      <c r="T24" s="124">
        <v>0</v>
      </c>
      <c r="U24" s="120">
        <v>0</v>
      </c>
      <c r="V24" s="131">
        <v>0</v>
      </c>
      <c r="W24" s="28">
        <f t="shared" si="4"/>
        <v>0</v>
      </c>
      <c r="X24" s="108"/>
      <c r="Y24" s="108"/>
      <c r="Z24" s="108"/>
      <c r="AA24" s="108"/>
      <c r="AB24" s="108"/>
      <c r="AC24" s="108"/>
      <c r="AD24" s="133">
        <f t="shared" si="5"/>
        <v>0</v>
      </c>
      <c r="AE24" s="109"/>
      <c r="AF24" s="110"/>
      <c r="AG24" s="106"/>
    </row>
    <row r="25" spans="1:33" ht="15.75">
      <c r="A25" s="105"/>
      <c r="B25" s="29"/>
      <c r="C25" s="29"/>
      <c r="D25" s="178"/>
      <c r="E25" s="106"/>
      <c r="F25" s="29"/>
      <c r="G25" s="107"/>
      <c r="H25" s="116"/>
      <c r="I25" s="120">
        <v>0</v>
      </c>
      <c r="J25" s="121">
        <v>0</v>
      </c>
      <c r="K25" s="122">
        <v>0</v>
      </c>
      <c r="L25" s="123">
        <v>0</v>
      </c>
      <c r="M25" s="120">
        <v>0</v>
      </c>
      <c r="N25" s="124">
        <v>0</v>
      </c>
      <c r="O25" s="118">
        <v>0</v>
      </c>
      <c r="P25" s="123">
        <v>0</v>
      </c>
      <c r="Q25" s="118">
        <v>0</v>
      </c>
      <c r="R25" s="123">
        <v>0</v>
      </c>
      <c r="S25" s="120">
        <v>0</v>
      </c>
      <c r="T25" s="124">
        <v>0</v>
      </c>
      <c r="U25" s="120">
        <v>0</v>
      </c>
      <c r="V25" s="131">
        <v>0</v>
      </c>
      <c r="W25" s="28">
        <f t="shared" si="4"/>
        <v>0</v>
      </c>
      <c r="X25" s="108"/>
      <c r="Y25" s="108"/>
      <c r="Z25" s="108"/>
      <c r="AA25" s="108"/>
      <c r="AB25" s="108"/>
      <c r="AC25" s="108"/>
      <c r="AD25" s="133">
        <f t="shared" si="5"/>
        <v>0</v>
      </c>
      <c r="AE25" s="109"/>
      <c r="AF25" s="110"/>
      <c r="AG25" s="106"/>
    </row>
    <row r="26" spans="1:33" ht="15.75">
      <c r="A26" s="105"/>
      <c r="B26" s="29"/>
      <c r="C26" s="29"/>
      <c r="D26" s="178"/>
      <c r="E26" s="106"/>
      <c r="F26" s="29"/>
      <c r="G26" s="107"/>
      <c r="H26" s="116"/>
      <c r="I26" s="120">
        <v>0</v>
      </c>
      <c r="J26" s="121">
        <v>0</v>
      </c>
      <c r="K26" s="122">
        <v>0</v>
      </c>
      <c r="L26" s="123">
        <v>0</v>
      </c>
      <c r="M26" s="120">
        <v>0</v>
      </c>
      <c r="N26" s="124">
        <v>0</v>
      </c>
      <c r="O26" s="118">
        <v>0</v>
      </c>
      <c r="P26" s="123">
        <v>0</v>
      </c>
      <c r="Q26" s="118">
        <v>0</v>
      </c>
      <c r="R26" s="123">
        <v>0</v>
      </c>
      <c r="S26" s="120">
        <v>0</v>
      </c>
      <c r="T26" s="124">
        <v>0</v>
      </c>
      <c r="U26" s="120">
        <v>0</v>
      </c>
      <c r="V26" s="131">
        <v>0</v>
      </c>
      <c r="W26" s="28">
        <f t="shared" si="4"/>
        <v>0</v>
      </c>
      <c r="X26" s="108"/>
      <c r="Y26" s="108"/>
      <c r="Z26" s="108"/>
      <c r="AA26" s="108"/>
      <c r="AB26" s="108"/>
      <c r="AC26" s="108"/>
      <c r="AD26" s="133">
        <f t="shared" si="5"/>
        <v>0</v>
      </c>
      <c r="AE26" s="109"/>
      <c r="AF26" s="110"/>
      <c r="AG26" s="106"/>
    </row>
    <row r="27" spans="1:33" ht="15.75">
      <c r="A27" s="105"/>
      <c r="B27" s="29"/>
      <c r="C27" s="29"/>
      <c r="D27" s="178"/>
      <c r="E27" s="106"/>
      <c r="F27" s="29"/>
      <c r="G27" s="107"/>
      <c r="H27" s="116"/>
      <c r="I27" s="120">
        <v>0</v>
      </c>
      <c r="J27" s="121">
        <v>0</v>
      </c>
      <c r="K27" s="122">
        <v>0</v>
      </c>
      <c r="L27" s="123">
        <v>0</v>
      </c>
      <c r="M27" s="120">
        <v>0</v>
      </c>
      <c r="N27" s="124">
        <v>0</v>
      </c>
      <c r="O27" s="118">
        <v>0</v>
      </c>
      <c r="P27" s="123">
        <v>0</v>
      </c>
      <c r="Q27" s="118">
        <v>0</v>
      </c>
      <c r="R27" s="123">
        <v>0</v>
      </c>
      <c r="S27" s="120">
        <v>0</v>
      </c>
      <c r="T27" s="124">
        <v>0</v>
      </c>
      <c r="U27" s="120">
        <v>0</v>
      </c>
      <c r="V27" s="131">
        <v>0</v>
      </c>
      <c r="W27" s="28">
        <f t="shared" si="4"/>
        <v>0</v>
      </c>
      <c r="X27" s="108"/>
      <c r="Y27" s="108"/>
      <c r="Z27" s="108"/>
      <c r="AA27" s="108"/>
      <c r="AB27" s="108"/>
      <c r="AC27" s="108"/>
      <c r="AD27" s="133">
        <f t="shared" si="5"/>
        <v>0</v>
      </c>
      <c r="AE27" s="109"/>
      <c r="AF27" s="110"/>
      <c r="AG27" s="106"/>
    </row>
    <row r="28" spans="1:33" ht="15.75">
      <c r="A28" s="105"/>
      <c r="B28" s="29"/>
      <c r="C28" s="29"/>
      <c r="D28" s="178"/>
      <c r="E28" s="106"/>
      <c r="F28" s="29"/>
      <c r="G28" s="107"/>
      <c r="H28" s="116"/>
      <c r="I28" s="120">
        <v>0</v>
      </c>
      <c r="J28" s="121">
        <v>0</v>
      </c>
      <c r="K28" s="122">
        <v>0</v>
      </c>
      <c r="L28" s="123">
        <v>0</v>
      </c>
      <c r="M28" s="120">
        <v>0</v>
      </c>
      <c r="N28" s="124">
        <v>0</v>
      </c>
      <c r="O28" s="118">
        <v>0</v>
      </c>
      <c r="P28" s="123">
        <v>0</v>
      </c>
      <c r="Q28" s="118">
        <v>0</v>
      </c>
      <c r="R28" s="123">
        <v>0</v>
      </c>
      <c r="S28" s="120">
        <v>0</v>
      </c>
      <c r="T28" s="124">
        <v>0</v>
      </c>
      <c r="U28" s="120">
        <v>0</v>
      </c>
      <c r="V28" s="131">
        <v>0</v>
      </c>
      <c r="W28" s="28">
        <f t="shared" si="4"/>
        <v>0</v>
      </c>
      <c r="X28" s="108"/>
      <c r="Y28" s="108"/>
      <c r="Z28" s="108"/>
      <c r="AA28" s="108"/>
      <c r="AB28" s="108"/>
      <c r="AC28" s="108"/>
      <c r="AD28" s="133">
        <f t="shared" si="5"/>
        <v>0</v>
      </c>
      <c r="AE28" s="109"/>
      <c r="AF28" s="110"/>
      <c r="AG28" s="106"/>
    </row>
    <row r="29" spans="1:33" ht="15.75">
      <c r="A29" s="105"/>
      <c r="B29" s="29"/>
      <c r="C29" s="29"/>
      <c r="D29" s="178"/>
      <c r="E29" s="106"/>
      <c r="F29" s="29"/>
      <c r="G29" s="107"/>
      <c r="H29" s="116"/>
      <c r="I29" s="120">
        <v>0</v>
      </c>
      <c r="J29" s="121">
        <v>0</v>
      </c>
      <c r="K29" s="122">
        <v>0</v>
      </c>
      <c r="L29" s="123">
        <v>0</v>
      </c>
      <c r="M29" s="120">
        <v>0</v>
      </c>
      <c r="N29" s="124">
        <v>0</v>
      </c>
      <c r="O29" s="118">
        <v>0</v>
      </c>
      <c r="P29" s="123">
        <v>0</v>
      </c>
      <c r="Q29" s="118">
        <v>0</v>
      </c>
      <c r="R29" s="123">
        <v>0</v>
      </c>
      <c r="S29" s="120">
        <v>0</v>
      </c>
      <c r="T29" s="124">
        <v>0</v>
      </c>
      <c r="U29" s="120">
        <v>0</v>
      </c>
      <c r="V29" s="131">
        <v>0</v>
      </c>
      <c r="W29" s="28">
        <f t="shared" si="4"/>
        <v>0</v>
      </c>
      <c r="X29" s="108"/>
      <c r="Y29" s="108"/>
      <c r="Z29" s="108"/>
      <c r="AA29" s="108"/>
      <c r="AB29" s="108"/>
      <c r="AC29" s="108"/>
      <c r="AD29" s="133">
        <f t="shared" si="5"/>
        <v>0</v>
      </c>
      <c r="AE29" s="109"/>
      <c r="AF29" s="110"/>
      <c r="AG29" s="106"/>
    </row>
    <row r="30" spans="1:33" ht="15.75">
      <c r="A30" s="105"/>
      <c r="B30" s="29"/>
      <c r="C30" s="29"/>
      <c r="D30" s="178"/>
      <c r="E30" s="106"/>
      <c r="F30" s="29"/>
      <c r="G30" s="107"/>
      <c r="H30" s="116"/>
      <c r="I30" s="120">
        <v>0</v>
      </c>
      <c r="J30" s="121">
        <v>0</v>
      </c>
      <c r="K30" s="122">
        <v>0</v>
      </c>
      <c r="L30" s="123">
        <v>0</v>
      </c>
      <c r="M30" s="120">
        <v>0</v>
      </c>
      <c r="N30" s="124">
        <v>0</v>
      </c>
      <c r="O30" s="118">
        <v>0</v>
      </c>
      <c r="P30" s="123">
        <v>0</v>
      </c>
      <c r="Q30" s="118">
        <v>0</v>
      </c>
      <c r="R30" s="123">
        <v>0</v>
      </c>
      <c r="S30" s="120">
        <v>0</v>
      </c>
      <c r="T30" s="124">
        <v>0</v>
      </c>
      <c r="U30" s="120">
        <v>0</v>
      </c>
      <c r="V30" s="131">
        <v>0</v>
      </c>
      <c r="W30" s="28">
        <f t="shared" si="4"/>
        <v>0</v>
      </c>
      <c r="X30" s="108"/>
      <c r="Y30" s="108"/>
      <c r="Z30" s="108"/>
      <c r="AA30" s="108"/>
      <c r="AB30" s="108"/>
      <c r="AC30" s="108"/>
      <c r="AD30" s="133">
        <f t="shared" si="5"/>
        <v>0</v>
      </c>
      <c r="AE30" s="109"/>
      <c r="AF30" s="110"/>
      <c r="AG30" s="106"/>
    </row>
    <row r="31" spans="1:33" ht="15.75">
      <c r="A31" s="105"/>
      <c r="B31" s="29"/>
      <c r="C31" s="29"/>
      <c r="D31" s="178"/>
      <c r="E31" s="106"/>
      <c r="F31" s="29"/>
      <c r="G31" s="107"/>
      <c r="H31" s="116"/>
      <c r="I31" s="120">
        <v>0</v>
      </c>
      <c r="J31" s="121">
        <v>0</v>
      </c>
      <c r="K31" s="122">
        <v>0</v>
      </c>
      <c r="L31" s="123">
        <v>0</v>
      </c>
      <c r="M31" s="120">
        <v>0</v>
      </c>
      <c r="N31" s="124">
        <v>0</v>
      </c>
      <c r="O31" s="118">
        <v>0</v>
      </c>
      <c r="P31" s="123">
        <v>0</v>
      </c>
      <c r="Q31" s="118">
        <v>0</v>
      </c>
      <c r="R31" s="123">
        <v>0</v>
      </c>
      <c r="S31" s="120">
        <v>0</v>
      </c>
      <c r="T31" s="124">
        <v>0</v>
      </c>
      <c r="U31" s="120">
        <v>0</v>
      </c>
      <c r="V31" s="131">
        <v>0</v>
      </c>
      <c r="W31" s="28">
        <f t="shared" si="4"/>
        <v>0</v>
      </c>
      <c r="X31" s="108"/>
      <c r="Y31" s="108"/>
      <c r="Z31" s="108"/>
      <c r="AA31" s="108"/>
      <c r="AB31" s="108"/>
      <c r="AC31" s="108"/>
      <c r="AD31" s="133">
        <f t="shared" si="5"/>
        <v>0</v>
      </c>
      <c r="AE31" s="109"/>
      <c r="AF31" s="110"/>
      <c r="AG31" s="106"/>
    </row>
    <row r="32" spans="1:33" ht="15.75">
      <c r="A32" s="105"/>
      <c r="B32" s="29"/>
      <c r="C32" s="29"/>
      <c r="D32" s="178"/>
      <c r="E32" s="106"/>
      <c r="F32" s="29"/>
      <c r="G32" s="107"/>
      <c r="H32" s="116"/>
      <c r="I32" s="120">
        <v>0</v>
      </c>
      <c r="J32" s="121">
        <v>0</v>
      </c>
      <c r="K32" s="122">
        <v>0</v>
      </c>
      <c r="L32" s="123">
        <v>0</v>
      </c>
      <c r="M32" s="120">
        <v>0</v>
      </c>
      <c r="N32" s="124">
        <v>0</v>
      </c>
      <c r="O32" s="118">
        <v>0</v>
      </c>
      <c r="P32" s="123">
        <v>0</v>
      </c>
      <c r="Q32" s="118">
        <v>0</v>
      </c>
      <c r="R32" s="123">
        <v>0</v>
      </c>
      <c r="S32" s="120">
        <v>0</v>
      </c>
      <c r="T32" s="124">
        <v>0</v>
      </c>
      <c r="U32" s="120">
        <v>0</v>
      </c>
      <c r="V32" s="131">
        <v>0</v>
      </c>
      <c r="W32" s="28">
        <f t="shared" si="4"/>
        <v>0</v>
      </c>
      <c r="X32" s="108"/>
      <c r="Y32" s="108"/>
      <c r="Z32" s="108"/>
      <c r="AA32" s="108"/>
      <c r="AB32" s="108"/>
      <c r="AC32" s="108"/>
      <c r="AD32" s="133">
        <f t="shared" si="5"/>
        <v>0</v>
      </c>
      <c r="AE32" s="109"/>
      <c r="AF32" s="110"/>
      <c r="AG32" s="106"/>
    </row>
    <row r="33" spans="1:33" ht="15.75">
      <c r="A33" s="105"/>
      <c r="B33" s="29"/>
      <c r="C33" s="29"/>
      <c r="D33" s="178"/>
      <c r="E33" s="106"/>
      <c r="F33" s="29"/>
      <c r="G33" s="107"/>
      <c r="H33" s="116"/>
      <c r="I33" s="120">
        <v>0</v>
      </c>
      <c r="J33" s="121">
        <v>0</v>
      </c>
      <c r="K33" s="122">
        <v>0</v>
      </c>
      <c r="L33" s="123">
        <v>0</v>
      </c>
      <c r="M33" s="120">
        <v>0</v>
      </c>
      <c r="N33" s="124">
        <v>0</v>
      </c>
      <c r="O33" s="118">
        <v>0</v>
      </c>
      <c r="P33" s="123">
        <v>0</v>
      </c>
      <c r="Q33" s="118">
        <v>0</v>
      </c>
      <c r="R33" s="123">
        <v>0</v>
      </c>
      <c r="S33" s="120">
        <v>0</v>
      </c>
      <c r="T33" s="124">
        <v>0</v>
      </c>
      <c r="U33" s="120">
        <v>0</v>
      </c>
      <c r="V33" s="131">
        <v>0</v>
      </c>
      <c r="W33" s="28">
        <f t="shared" si="4"/>
        <v>0</v>
      </c>
      <c r="X33" s="108"/>
      <c r="Y33" s="108"/>
      <c r="Z33" s="108"/>
      <c r="AA33" s="108"/>
      <c r="AB33" s="108"/>
      <c r="AC33" s="108"/>
      <c r="AD33" s="133">
        <f t="shared" si="5"/>
        <v>0</v>
      </c>
      <c r="AE33" s="109"/>
      <c r="AF33" s="110"/>
      <c r="AG33" s="106"/>
    </row>
    <row r="34" spans="1:33" ht="15.75">
      <c r="A34" s="105"/>
      <c r="B34" s="29"/>
      <c r="C34" s="29"/>
      <c r="D34" s="178"/>
      <c r="E34" s="106"/>
      <c r="F34" s="29"/>
      <c r="G34" s="107"/>
      <c r="H34" s="116"/>
      <c r="I34" s="120">
        <v>0</v>
      </c>
      <c r="J34" s="121">
        <v>0</v>
      </c>
      <c r="K34" s="122">
        <v>0</v>
      </c>
      <c r="L34" s="123">
        <v>0</v>
      </c>
      <c r="M34" s="120">
        <v>0</v>
      </c>
      <c r="N34" s="124">
        <v>0</v>
      </c>
      <c r="O34" s="118">
        <v>0</v>
      </c>
      <c r="P34" s="123">
        <v>0</v>
      </c>
      <c r="Q34" s="118">
        <v>0</v>
      </c>
      <c r="R34" s="123">
        <v>0</v>
      </c>
      <c r="S34" s="120">
        <v>0</v>
      </c>
      <c r="T34" s="124">
        <v>0</v>
      </c>
      <c r="U34" s="120">
        <v>0</v>
      </c>
      <c r="V34" s="131">
        <v>0</v>
      </c>
      <c r="W34" s="28">
        <f t="shared" si="4"/>
        <v>0</v>
      </c>
      <c r="X34" s="108"/>
      <c r="Y34" s="108"/>
      <c r="Z34" s="108"/>
      <c r="AA34" s="108"/>
      <c r="AB34" s="108"/>
      <c r="AC34" s="108"/>
      <c r="AD34" s="133">
        <f t="shared" si="5"/>
        <v>0</v>
      </c>
      <c r="AE34" s="109"/>
      <c r="AF34" s="110"/>
      <c r="AG34" s="106"/>
    </row>
    <row r="35" spans="1:33" ht="15.75">
      <c r="A35" s="105"/>
      <c r="B35" s="29"/>
      <c r="C35" s="29"/>
      <c r="D35" s="178"/>
      <c r="E35" s="106"/>
      <c r="F35" s="29"/>
      <c r="G35" s="107"/>
      <c r="H35" s="116"/>
      <c r="I35" s="120">
        <v>0</v>
      </c>
      <c r="J35" s="121">
        <v>0</v>
      </c>
      <c r="K35" s="122">
        <v>0</v>
      </c>
      <c r="L35" s="123">
        <v>0</v>
      </c>
      <c r="M35" s="120">
        <v>0</v>
      </c>
      <c r="N35" s="124">
        <v>0</v>
      </c>
      <c r="O35" s="118">
        <v>0</v>
      </c>
      <c r="P35" s="123">
        <v>0</v>
      </c>
      <c r="Q35" s="118">
        <v>0</v>
      </c>
      <c r="R35" s="123">
        <v>0</v>
      </c>
      <c r="S35" s="120">
        <v>0</v>
      </c>
      <c r="T35" s="124">
        <v>0</v>
      </c>
      <c r="U35" s="120">
        <v>0</v>
      </c>
      <c r="V35" s="131">
        <v>0</v>
      </c>
      <c r="W35" s="28">
        <f t="shared" si="4"/>
        <v>0</v>
      </c>
      <c r="X35" s="108"/>
      <c r="Y35" s="108"/>
      <c r="Z35" s="108"/>
      <c r="AA35" s="108"/>
      <c r="AB35" s="108"/>
      <c r="AC35" s="108"/>
      <c r="AD35" s="133">
        <f t="shared" si="5"/>
        <v>0</v>
      </c>
      <c r="AE35" s="109"/>
      <c r="AF35" s="110"/>
      <c r="AG35" s="106"/>
    </row>
    <row r="36" spans="1:33" ht="15.75">
      <c r="A36" s="105"/>
      <c r="B36" s="29"/>
      <c r="C36" s="29"/>
      <c r="D36" s="178"/>
      <c r="E36" s="106"/>
      <c r="F36" s="29"/>
      <c r="G36" s="107"/>
      <c r="H36" s="116"/>
      <c r="I36" s="120">
        <v>0</v>
      </c>
      <c r="J36" s="121">
        <v>0</v>
      </c>
      <c r="K36" s="122">
        <v>0</v>
      </c>
      <c r="L36" s="123">
        <v>0</v>
      </c>
      <c r="M36" s="120">
        <v>0</v>
      </c>
      <c r="N36" s="124">
        <v>0</v>
      </c>
      <c r="O36" s="118">
        <v>0</v>
      </c>
      <c r="P36" s="123">
        <v>0</v>
      </c>
      <c r="Q36" s="118">
        <v>0</v>
      </c>
      <c r="R36" s="123">
        <v>0</v>
      </c>
      <c r="S36" s="120">
        <v>0</v>
      </c>
      <c r="T36" s="124">
        <v>0</v>
      </c>
      <c r="U36" s="120">
        <v>0</v>
      </c>
      <c r="V36" s="131">
        <v>0</v>
      </c>
      <c r="W36" s="28">
        <f t="shared" si="4"/>
        <v>0</v>
      </c>
      <c r="X36" s="108"/>
      <c r="Y36" s="108"/>
      <c r="Z36" s="108"/>
      <c r="AA36" s="108"/>
      <c r="AB36" s="108"/>
      <c r="AC36" s="108"/>
      <c r="AD36" s="133">
        <f t="shared" si="5"/>
        <v>0</v>
      </c>
      <c r="AE36" s="109"/>
      <c r="AF36" s="110"/>
      <c r="AG36" s="106"/>
    </row>
    <row r="37" spans="1:33" ht="15.75">
      <c r="A37" s="105"/>
      <c r="B37" s="29"/>
      <c r="C37" s="29"/>
      <c r="D37" s="178"/>
      <c r="E37" s="106"/>
      <c r="F37" s="29"/>
      <c r="G37" s="107"/>
      <c r="H37" s="116"/>
      <c r="I37" s="120">
        <v>0</v>
      </c>
      <c r="J37" s="121">
        <v>0</v>
      </c>
      <c r="K37" s="122">
        <v>0</v>
      </c>
      <c r="L37" s="123">
        <v>0</v>
      </c>
      <c r="M37" s="120">
        <v>0</v>
      </c>
      <c r="N37" s="124">
        <v>0</v>
      </c>
      <c r="O37" s="118">
        <v>0</v>
      </c>
      <c r="P37" s="123">
        <v>0</v>
      </c>
      <c r="Q37" s="118">
        <v>0</v>
      </c>
      <c r="R37" s="123">
        <v>0</v>
      </c>
      <c r="S37" s="120">
        <v>0</v>
      </c>
      <c r="T37" s="124">
        <v>0</v>
      </c>
      <c r="U37" s="120">
        <v>0</v>
      </c>
      <c r="V37" s="131">
        <v>0</v>
      </c>
      <c r="W37" s="28">
        <f t="shared" si="4"/>
        <v>0</v>
      </c>
      <c r="X37" s="108"/>
      <c r="Y37" s="108"/>
      <c r="Z37" s="108"/>
      <c r="AA37" s="108"/>
      <c r="AB37" s="108"/>
      <c r="AC37" s="108"/>
      <c r="AD37" s="133">
        <f t="shared" si="5"/>
        <v>0</v>
      </c>
      <c r="AE37" s="109"/>
      <c r="AF37" s="110"/>
      <c r="AG37" s="106"/>
    </row>
    <row r="38" spans="1:33" ht="15.75">
      <c r="A38" s="105"/>
      <c r="B38" s="29"/>
      <c r="C38" s="29"/>
      <c r="D38" s="178"/>
      <c r="E38" s="106"/>
      <c r="F38" s="29"/>
      <c r="G38" s="107"/>
      <c r="H38" s="116"/>
      <c r="I38" s="120">
        <v>0</v>
      </c>
      <c r="J38" s="121">
        <v>0</v>
      </c>
      <c r="K38" s="122">
        <v>0</v>
      </c>
      <c r="L38" s="123">
        <v>0</v>
      </c>
      <c r="M38" s="120">
        <v>0</v>
      </c>
      <c r="N38" s="124">
        <v>0</v>
      </c>
      <c r="O38" s="118">
        <v>0</v>
      </c>
      <c r="P38" s="123">
        <v>0</v>
      </c>
      <c r="Q38" s="118">
        <v>0</v>
      </c>
      <c r="R38" s="123">
        <v>0</v>
      </c>
      <c r="S38" s="120">
        <v>0</v>
      </c>
      <c r="T38" s="124">
        <v>0</v>
      </c>
      <c r="U38" s="120">
        <v>0</v>
      </c>
      <c r="V38" s="131">
        <v>0</v>
      </c>
      <c r="W38" s="28">
        <f t="shared" si="4"/>
        <v>0</v>
      </c>
      <c r="X38" s="108"/>
      <c r="Y38" s="108"/>
      <c r="Z38" s="108"/>
      <c r="AA38" s="108"/>
      <c r="AB38" s="108"/>
      <c r="AC38" s="108"/>
      <c r="AD38" s="133">
        <f t="shared" si="5"/>
        <v>0</v>
      </c>
      <c r="AE38" s="109"/>
      <c r="AF38" s="110"/>
      <c r="AG38" s="106"/>
    </row>
    <row r="39" spans="1:33" ht="15.75">
      <c r="A39" s="105"/>
      <c r="B39" s="29"/>
      <c r="C39" s="29"/>
      <c r="D39" s="178"/>
      <c r="E39" s="106"/>
      <c r="F39" s="29"/>
      <c r="G39" s="107"/>
      <c r="H39" s="116"/>
      <c r="I39" s="120">
        <v>0</v>
      </c>
      <c r="J39" s="121">
        <v>0</v>
      </c>
      <c r="K39" s="122">
        <v>0</v>
      </c>
      <c r="L39" s="123">
        <v>0</v>
      </c>
      <c r="M39" s="120">
        <v>0</v>
      </c>
      <c r="N39" s="124">
        <v>0</v>
      </c>
      <c r="O39" s="118">
        <v>0</v>
      </c>
      <c r="P39" s="123">
        <v>0</v>
      </c>
      <c r="Q39" s="118">
        <v>0</v>
      </c>
      <c r="R39" s="123">
        <v>0</v>
      </c>
      <c r="S39" s="120">
        <v>0</v>
      </c>
      <c r="T39" s="124">
        <v>0</v>
      </c>
      <c r="U39" s="120">
        <v>0</v>
      </c>
      <c r="V39" s="131">
        <v>0</v>
      </c>
      <c r="W39" s="28">
        <f t="shared" si="4"/>
        <v>0</v>
      </c>
      <c r="X39" s="108"/>
      <c r="Y39" s="108"/>
      <c r="Z39" s="108"/>
      <c r="AA39" s="108"/>
      <c r="AB39" s="108"/>
      <c r="AC39" s="108"/>
      <c r="AD39" s="133">
        <f t="shared" si="5"/>
        <v>0</v>
      </c>
      <c r="AE39" s="109"/>
      <c r="AF39" s="110"/>
      <c r="AG39" s="106"/>
    </row>
    <row r="40" spans="1:33" ht="15.75">
      <c r="A40" s="105"/>
      <c r="B40" s="29"/>
      <c r="C40" s="29"/>
      <c r="D40" s="178"/>
      <c r="E40" s="106"/>
      <c r="F40" s="29"/>
      <c r="G40" s="107"/>
      <c r="H40" s="116"/>
      <c r="I40" s="120">
        <v>0</v>
      </c>
      <c r="J40" s="121">
        <v>0</v>
      </c>
      <c r="K40" s="122">
        <v>0</v>
      </c>
      <c r="L40" s="123">
        <v>0</v>
      </c>
      <c r="M40" s="120">
        <v>0</v>
      </c>
      <c r="N40" s="124">
        <v>0</v>
      </c>
      <c r="O40" s="118">
        <v>0</v>
      </c>
      <c r="P40" s="123">
        <v>0</v>
      </c>
      <c r="Q40" s="118">
        <v>0</v>
      </c>
      <c r="R40" s="123">
        <v>0</v>
      </c>
      <c r="S40" s="120">
        <v>0</v>
      </c>
      <c r="T40" s="124">
        <v>0</v>
      </c>
      <c r="U40" s="120">
        <v>0</v>
      </c>
      <c r="V40" s="131">
        <v>0</v>
      </c>
      <c r="W40" s="28">
        <f t="shared" si="4"/>
        <v>0</v>
      </c>
      <c r="X40" s="108"/>
      <c r="Y40" s="108"/>
      <c r="Z40" s="108"/>
      <c r="AA40" s="108"/>
      <c r="AB40" s="108"/>
      <c r="AC40" s="108"/>
      <c r="AD40" s="133">
        <f t="shared" si="5"/>
        <v>0</v>
      </c>
      <c r="AE40" s="109"/>
      <c r="AF40" s="110"/>
      <c r="AG40" s="106"/>
    </row>
    <row r="41" spans="1:33" ht="15.75">
      <c r="A41" s="105"/>
      <c r="B41" s="29"/>
      <c r="C41" s="29"/>
      <c r="D41" s="178"/>
      <c r="E41" s="106"/>
      <c r="F41" s="29"/>
      <c r="G41" s="107"/>
      <c r="H41" s="116"/>
      <c r="I41" s="120">
        <v>0</v>
      </c>
      <c r="J41" s="121">
        <v>0</v>
      </c>
      <c r="K41" s="122">
        <v>0</v>
      </c>
      <c r="L41" s="123">
        <v>0</v>
      </c>
      <c r="M41" s="120">
        <v>0</v>
      </c>
      <c r="N41" s="124">
        <v>0</v>
      </c>
      <c r="O41" s="118">
        <v>0</v>
      </c>
      <c r="P41" s="123">
        <v>0</v>
      </c>
      <c r="Q41" s="118">
        <v>0</v>
      </c>
      <c r="R41" s="123">
        <v>0</v>
      </c>
      <c r="S41" s="120">
        <v>0</v>
      </c>
      <c r="T41" s="124">
        <v>0</v>
      </c>
      <c r="U41" s="120">
        <v>0</v>
      </c>
      <c r="V41" s="131">
        <v>0</v>
      </c>
      <c r="W41" s="28">
        <f t="shared" si="4"/>
        <v>0</v>
      </c>
      <c r="X41" s="108"/>
      <c r="Y41" s="108"/>
      <c r="Z41" s="108"/>
      <c r="AA41" s="108"/>
      <c r="AB41" s="108"/>
      <c r="AC41" s="108"/>
      <c r="AD41" s="133">
        <f t="shared" si="5"/>
        <v>0</v>
      </c>
      <c r="AE41" s="109"/>
      <c r="AF41" s="110"/>
      <c r="AG41" s="106"/>
    </row>
    <row r="42" spans="1:33" ht="15.75">
      <c r="A42" s="105"/>
      <c r="B42" s="29"/>
      <c r="C42" s="29"/>
      <c r="D42" s="178"/>
      <c r="E42" s="106"/>
      <c r="F42" s="29"/>
      <c r="G42" s="107"/>
      <c r="H42" s="116"/>
      <c r="I42" s="120">
        <v>0</v>
      </c>
      <c r="J42" s="121">
        <v>0</v>
      </c>
      <c r="K42" s="122">
        <v>0</v>
      </c>
      <c r="L42" s="123">
        <v>0</v>
      </c>
      <c r="M42" s="120">
        <v>0</v>
      </c>
      <c r="N42" s="124">
        <v>0</v>
      </c>
      <c r="O42" s="118">
        <v>0</v>
      </c>
      <c r="P42" s="123">
        <v>0</v>
      </c>
      <c r="Q42" s="118">
        <v>0</v>
      </c>
      <c r="R42" s="123">
        <v>0</v>
      </c>
      <c r="S42" s="120">
        <v>0</v>
      </c>
      <c r="T42" s="124">
        <v>0</v>
      </c>
      <c r="U42" s="120">
        <v>0</v>
      </c>
      <c r="V42" s="131">
        <v>0</v>
      </c>
      <c r="W42" s="28">
        <f t="shared" si="4"/>
        <v>0</v>
      </c>
      <c r="X42" s="108"/>
      <c r="Y42" s="108"/>
      <c r="Z42" s="108"/>
      <c r="AA42" s="108"/>
      <c r="AB42" s="108"/>
      <c r="AC42" s="108"/>
      <c r="AD42" s="133">
        <f t="shared" si="5"/>
        <v>0</v>
      </c>
      <c r="AE42" s="109"/>
      <c r="AF42" s="110"/>
      <c r="AG42" s="106"/>
    </row>
    <row r="43" spans="1:33" ht="15.75">
      <c r="A43" s="105"/>
      <c r="B43" s="29"/>
      <c r="C43" s="29"/>
      <c r="D43" s="178"/>
      <c r="E43" s="106"/>
      <c r="F43" s="29"/>
      <c r="G43" s="107"/>
      <c r="H43" s="116"/>
      <c r="I43" s="120">
        <v>0</v>
      </c>
      <c r="J43" s="121">
        <v>0</v>
      </c>
      <c r="K43" s="122">
        <v>0</v>
      </c>
      <c r="L43" s="123">
        <v>0</v>
      </c>
      <c r="M43" s="120">
        <v>0</v>
      </c>
      <c r="N43" s="124">
        <v>0</v>
      </c>
      <c r="O43" s="118">
        <v>0</v>
      </c>
      <c r="P43" s="123">
        <v>0</v>
      </c>
      <c r="Q43" s="118">
        <v>0</v>
      </c>
      <c r="R43" s="123">
        <v>0</v>
      </c>
      <c r="S43" s="120">
        <v>0</v>
      </c>
      <c r="T43" s="124">
        <v>0</v>
      </c>
      <c r="U43" s="120">
        <v>0</v>
      </c>
      <c r="V43" s="131">
        <v>0</v>
      </c>
      <c r="W43" s="28">
        <f t="shared" si="4"/>
        <v>0</v>
      </c>
      <c r="X43" s="108"/>
      <c r="Y43" s="108"/>
      <c r="Z43" s="108"/>
      <c r="AA43" s="108"/>
      <c r="AB43" s="108"/>
      <c r="AC43" s="108"/>
      <c r="AD43" s="133">
        <f t="shared" si="5"/>
        <v>0</v>
      </c>
      <c r="AE43" s="109"/>
      <c r="AF43" s="110"/>
      <c r="AG43" s="106"/>
    </row>
    <row r="44" spans="1:33" ht="15.75">
      <c r="A44" s="105"/>
      <c r="B44" s="29"/>
      <c r="C44" s="29"/>
      <c r="D44" s="178"/>
      <c r="E44" s="106"/>
      <c r="F44" s="29"/>
      <c r="G44" s="107"/>
      <c r="H44" s="116"/>
      <c r="I44" s="120">
        <v>0</v>
      </c>
      <c r="J44" s="121">
        <v>0</v>
      </c>
      <c r="K44" s="122">
        <v>0</v>
      </c>
      <c r="L44" s="123">
        <v>0</v>
      </c>
      <c r="M44" s="120">
        <v>0</v>
      </c>
      <c r="N44" s="124">
        <v>0</v>
      </c>
      <c r="O44" s="118">
        <v>0</v>
      </c>
      <c r="P44" s="123">
        <v>0</v>
      </c>
      <c r="Q44" s="118">
        <v>0</v>
      </c>
      <c r="R44" s="123">
        <v>0</v>
      </c>
      <c r="S44" s="120">
        <v>0</v>
      </c>
      <c r="T44" s="124">
        <v>0</v>
      </c>
      <c r="U44" s="120">
        <v>0</v>
      </c>
      <c r="V44" s="131">
        <v>0</v>
      </c>
      <c r="W44" s="28">
        <f t="shared" si="4"/>
        <v>0</v>
      </c>
      <c r="X44" s="108"/>
      <c r="Y44" s="108"/>
      <c r="Z44" s="108"/>
      <c r="AA44" s="108"/>
      <c r="AB44" s="108"/>
      <c r="AC44" s="108"/>
      <c r="AD44" s="133">
        <f t="shared" si="5"/>
        <v>0</v>
      </c>
      <c r="AE44" s="109"/>
      <c r="AF44" s="110"/>
      <c r="AG44" s="106"/>
    </row>
    <row r="45" spans="1:33" ht="15.75">
      <c r="A45" s="105"/>
      <c r="B45" s="29"/>
      <c r="C45" s="29"/>
      <c r="D45" s="178"/>
      <c r="E45" s="106"/>
      <c r="F45" s="29"/>
      <c r="G45" s="107"/>
      <c r="H45" s="116"/>
      <c r="I45" s="120">
        <v>0</v>
      </c>
      <c r="J45" s="121">
        <v>0</v>
      </c>
      <c r="K45" s="122">
        <v>0</v>
      </c>
      <c r="L45" s="123">
        <v>0</v>
      </c>
      <c r="M45" s="120">
        <v>0</v>
      </c>
      <c r="N45" s="124">
        <v>0</v>
      </c>
      <c r="O45" s="118">
        <v>0</v>
      </c>
      <c r="P45" s="123">
        <v>0</v>
      </c>
      <c r="Q45" s="118">
        <v>0</v>
      </c>
      <c r="R45" s="123">
        <v>0</v>
      </c>
      <c r="S45" s="120">
        <v>0</v>
      </c>
      <c r="T45" s="124">
        <v>0</v>
      </c>
      <c r="U45" s="120">
        <v>0</v>
      </c>
      <c r="V45" s="131">
        <v>0</v>
      </c>
      <c r="W45" s="28">
        <f t="shared" si="4"/>
        <v>0</v>
      </c>
      <c r="X45" s="108"/>
      <c r="Y45" s="108"/>
      <c r="Z45" s="108"/>
      <c r="AA45" s="108"/>
      <c r="AB45" s="108"/>
      <c r="AC45" s="108"/>
      <c r="AD45" s="133">
        <f t="shared" si="5"/>
        <v>0</v>
      </c>
      <c r="AE45" s="109"/>
      <c r="AF45" s="110"/>
      <c r="AG45" s="106"/>
    </row>
    <row r="46" spans="1:33" ht="15.75">
      <c r="A46" s="105"/>
      <c r="B46" s="29"/>
      <c r="C46" s="29"/>
      <c r="D46" s="178"/>
      <c r="E46" s="106"/>
      <c r="F46" s="29"/>
      <c r="G46" s="107"/>
      <c r="H46" s="116"/>
      <c r="I46" s="120">
        <v>0</v>
      </c>
      <c r="J46" s="121">
        <v>0</v>
      </c>
      <c r="K46" s="122">
        <v>0</v>
      </c>
      <c r="L46" s="123">
        <v>0</v>
      </c>
      <c r="M46" s="120">
        <v>0</v>
      </c>
      <c r="N46" s="124">
        <v>0</v>
      </c>
      <c r="O46" s="118">
        <v>0</v>
      </c>
      <c r="P46" s="123">
        <v>0</v>
      </c>
      <c r="Q46" s="118">
        <v>0</v>
      </c>
      <c r="R46" s="123">
        <v>0</v>
      </c>
      <c r="S46" s="120">
        <v>0</v>
      </c>
      <c r="T46" s="124">
        <v>0</v>
      </c>
      <c r="U46" s="120">
        <v>0</v>
      </c>
      <c r="V46" s="131">
        <v>0</v>
      </c>
      <c r="W46" s="28">
        <f t="shared" si="4"/>
        <v>0</v>
      </c>
      <c r="X46" s="108"/>
      <c r="Y46" s="108"/>
      <c r="Z46" s="108"/>
      <c r="AA46" s="108"/>
      <c r="AB46" s="108"/>
      <c r="AC46" s="108"/>
      <c r="AD46" s="133">
        <f t="shared" si="5"/>
        <v>0</v>
      </c>
      <c r="AE46" s="109"/>
      <c r="AF46" s="110"/>
      <c r="AG46" s="106"/>
    </row>
    <row r="47" spans="1:33" ht="15.75">
      <c r="A47" s="105"/>
      <c r="B47" s="29"/>
      <c r="C47" s="29"/>
      <c r="D47" s="178"/>
      <c r="E47" s="106"/>
      <c r="F47" s="29"/>
      <c r="G47" s="107"/>
      <c r="H47" s="116"/>
      <c r="I47" s="120">
        <v>0</v>
      </c>
      <c r="J47" s="121">
        <v>0</v>
      </c>
      <c r="K47" s="122">
        <v>0</v>
      </c>
      <c r="L47" s="123">
        <v>0</v>
      </c>
      <c r="M47" s="120">
        <v>0</v>
      </c>
      <c r="N47" s="124">
        <v>0</v>
      </c>
      <c r="O47" s="118">
        <v>0</v>
      </c>
      <c r="P47" s="123">
        <v>0</v>
      </c>
      <c r="Q47" s="118">
        <v>0</v>
      </c>
      <c r="R47" s="123">
        <v>0</v>
      </c>
      <c r="S47" s="120">
        <v>0</v>
      </c>
      <c r="T47" s="124">
        <v>0</v>
      </c>
      <c r="U47" s="120">
        <v>0</v>
      </c>
      <c r="V47" s="131">
        <v>0</v>
      </c>
      <c r="W47" s="28">
        <f t="shared" si="4"/>
        <v>0</v>
      </c>
      <c r="X47" s="108"/>
      <c r="Y47" s="108"/>
      <c r="Z47" s="108"/>
      <c r="AA47" s="108"/>
      <c r="AB47" s="108"/>
      <c r="AC47" s="108"/>
      <c r="AD47" s="133">
        <f t="shared" si="5"/>
        <v>0</v>
      </c>
      <c r="AE47" s="109"/>
      <c r="AF47" s="110"/>
      <c r="AG47" s="106"/>
    </row>
    <row r="48" spans="1:33" ht="15.75">
      <c r="A48" s="105"/>
      <c r="B48" s="29"/>
      <c r="C48" s="29"/>
      <c r="D48" s="178"/>
      <c r="E48" s="106"/>
      <c r="F48" s="29"/>
      <c r="G48" s="107"/>
      <c r="H48" s="116"/>
      <c r="I48" s="120">
        <v>0</v>
      </c>
      <c r="J48" s="121">
        <v>0</v>
      </c>
      <c r="K48" s="122">
        <v>0</v>
      </c>
      <c r="L48" s="123">
        <v>0</v>
      </c>
      <c r="M48" s="120">
        <v>0</v>
      </c>
      <c r="N48" s="124">
        <v>0</v>
      </c>
      <c r="O48" s="118">
        <v>0</v>
      </c>
      <c r="P48" s="123">
        <v>0</v>
      </c>
      <c r="Q48" s="118">
        <v>0</v>
      </c>
      <c r="R48" s="123">
        <v>0</v>
      </c>
      <c r="S48" s="120">
        <v>0</v>
      </c>
      <c r="T48" s="124">
        <v>0</v>
      </c>
      <c r="U48" s="120">
        <v>0</v>
      </c>
      <c r="V48" s="131">
        <v>0</v>
      </c>
      <c r="W48" s="28">
        <f t="shared" si="4"/>
        <v>0</v>
      </c>
      <c r="X48" s="108"/>
      <c r="Y48" s="108"/>
      <c r="Z48" s="108"/>
      <c r="AA48" s="108"/>
      <c r="AB48" s="108"/>
      <c r="AC48" s="108"/>
      <c r="AD48" s="133">
        <f t="shared" si="5"/>
        <v>0</v>
      </c>
      <c r="AE48" s="109"/>
      <c r="AF48" s="110"/>
      <c r="AG48" s="106"/>
    </row>
    <row r="49" spans="1:33" ht="15.75">
      <c r="A49" s="105"/>
      <c r="B49" s="29"/>
      <c r="C49" s="29"/>
      <c r="D49" s="178"/>
      <c r="E49" s="106"/>
      <c r="F49" s="29"/>
      <c r="G49" s="107"/>
      <c r="H49" s="116"/>
      <c r="I49" s="120">
        <v>0</v>
      </c>
      <c r="J49" s="121">
        <v>0</v>
      </c>
      <c r="K49" s="122">
        <v>0</v>
      </c>
      <c r="L49" s="123">
        <v>0</v>
      </c>
      <c r="M49" s="120">
        <v>0</v>
      </c>
      <c r="N49" s="124">
        <v>0</v>
      </c>
      <c r="O49" s="118">
        <v>0</v>
      </c>
      <c r="P49" s="123">
        <v>0</v>
      </c>
      <c r="Q49" s="118">
        <v>0</v>
      </c>
      <c r="R49" s="123">
        <v>0</v>
      </c>
      <c r="S49" s="120">
        <v>0</v>
      </c>
      <c r="T49" s="124">
        <v>0</v>
      </c>
      <c r="U49" s="120">
        <v>0</v>
      </c>
      <c r="V49" s="131">
        <v>0</v>
      </c>
      <c r="W49" s="28">
        <f t="shared" si="4"/>
        <v>0</v>
      </c>
      <c r="X49" s="108"/>
      <c r="Y49" s="108"/>
      <c r="Z49" s="108"/>
      <c r="AA49" s="108"/>
      <c r="AB49" s="108"/>
      <c r="AC49" s="108"/>
      <c r="AD49" s="133">
        <f t="shared" si="5"/>
        <v>0</v>
      </c>
      <c r="AE49" s="109"/>
      <c r="AF49" s="110"/>
      <c r="AG49" s="106"/>
    </row>
    <row r="50" spans="1:33" ht="15.75">
      <c r="A50" s="105"/>
      <c r="B50" s="29"/>
      <c r="C50" s="29"/>
      <c r="D50" s="178"/>
      <c r="E50" s="106"/>
      <c r="F50" s="29"/>
      <c r="G50" s="107"/>
      <c r="H50" s="116"/>
      <c r="I50" s="120">
        <v>0</v>
      </c>
      <c r="J50" s="121">
        <v>0</v>
      </c>
      <c r="K50" s="122">
        <v>0</v>
      </c>
      <c r="L50" s="123">
        <v>0</v>
      </c>
      <c r="M50" s="120">
        <v>0</v>
      </c>
      <c r="N50" s="124">
        <v>0</v>
      </c>
      <c r="O50" s="118">
        <v>0</v>
      </c>
      <c r="P50" s="123">
        <v>0</v>
      </c>
      <c r="Q50" s="118">
        <v>0</v>
      </c>
      <c r="R50" s="123">
        <v>0</v>
      </c>
      <c r="S50" s="120">
        <v>0</v>
      </c>
      <c r="T50" s="124">
        <v>0</v>
      </c>
      <c r="U50" s="120">
        <v>0</v>
      </c>
      <c r="V50" s="131">
        <v>0</v>
      </c>
      <c r="W50" s="28">
        <f t="shared" si="4"/>
        <v>0</v>
      </c>
      <c r="X50" s="108"/>
      <c r="Y50" s="108"/>
      <c r="Z50" s="108"/>
      <c r="AA50" s="108"/>
      <c r="AB50" s="108"/>
      <c r="AC50" s="108"/>
      <c r="AD50" s="133">
        <f t="shared" si="5"/>
        <v>0</v>
      </c>
      <c r="AE50" s="109"/>
      <c r="AF50" s="110"/>
      <c r="AG50" s="106"/>
    </row>
    <row r="51" spans="1:33" ht="15.75">
      <c r="A51" s="105"/>
      <c r="B51" s="29"/>
      <c r="C51" s="29"/>
      <c r="D51" s="178"/>
      <c r="E51" s="106"/>
      <c r="F51" s="29"/>
      <c r="G51" s="107"/>
      <c r="H51" s="116"/>
      <c r="I51" s="120">
        <v>0</v>
      </c>
      <c r="J51" s="121">
        <v>0</v>
      </c>
      <c r="K51" s="122">
        <v>0</v>
      </c>
      <c r="L51" s="123">
        <v>0</v>
      </c>
      <c r="M51" s="120">
        <v>0</v>
      </c>
      <c r="N51" s="124">
        <v>0</v>
      </c>
      <c r="O51" s="118">
        <v>0</v>
      </c>
      <c r="P51" s="123">
        <v>0</v>
      </c>
      <c r="Q51" s="118">
        <v>0</v>
      </c>
      <c r="R51" s="123">
        <v>0</v>
      </c>
      <c r="S51" s="120">
        <v>0</v>
      </c>
      <c r="T51" s="124">
        <v>0</v>
      </c>
      <c r="U51" s="120">
        <v>0</v>
      </c>
      <c r="V51" s="131">
        <v>0</v>
      </c>
      <c r="W51" s="28">
        <f t="shared" si="4"/>
        <v>0</v>
      </c>
      <c r="X51" s="108"/>
      <c r="Y51" s="108"/>
      <c r="Z51" s="108"/>
      <c r="AA51" s="108"/>
      <c r="AB51" s="108"/>
      <c r="AC51" s="108"/>
      <c r="AD51" s="133">
        <f t="shared" si="5"/>
        <v>0</v>
      </c>
      <c r="AE51" s="109"/>
      <c r="AF51" s="110"/>
      <c r="AG51" s="106"/>
    </row>
    <row r="52" spans="1:33" ht="15.75">
      <c r="A52" s="105"/>
      <c r="B52" s="29"/>
      <c r="C52" s="29"/>
      <c r="D52" s="178"/>
      <c r="E52" s="106"/>
      <c r="F52" s="29"/>
      <c r="G52" s="107"/>
      <c r="H52" s="116"/>
      <c r="I52" s="120">
        <v>0</v>
      </c>
      <c r="J52" s="121">
        <v>0</v>
      </c>
      <c r="K52" s="122">
        <v>0</v>
      </c>
      <c r="L52" s="123">
        <v>0</v>
      </c>
      <c r="M52" s="120">
        <v>0</v>
      </c>
      <c r="N52" s="124">
        <v>0</v>
      </c>
      <c r="O52" s="118">
        <v>0</v>
      </c>
      <c r="P52" s="123">
        <v>0</v>
      </c>
      <c r="Q52" s="118">
        <v>0</v>
      </c>
      <c r="R52" s="123">
        <v>0</v>
      </c>
      <c r="S52" s="120">
        <v>0</v>
      </c>
      <c r="T52" s="124">
        <v>0</v>
      </c>
      <c r="U52" s="120">
        <v>0</v>
      </c>
      <c r="V52" s="131">
        <v>0</v>
      </c>
      <c r="W52" s="28">
        <f t="shared" si="4"/>
        <v>0</v>
      </c>
      <c r="X52" s="108"/>
      <c r="Y52" s="108"/>
      <c r="Z52" s="108"/>
      <c r="AA52" s="108"/>
      <c r="AB52" s="108"/>
      <c r="AC52" s="108"/>
      <c r="AD52" s="133">
        <f t="shared" si="5"/>
        <v>0</v>
      </c>
      <c r="AE52" s="109"/>
      <c r="AF52" s="110"/>
      <c r="AG52" s="106"/>
    </row>
    <row r="53" spans="1:33" ht="15.75">
      <c r="A53" s="105"/>
      <c r="B53" s="29"/>
      <c r="C53" s="29"/>
      <c r="D53" s="178"/>
      <c r="E53" s="106"/>
      <c r="F53" s="29"/>
      <c r="G53" s="107"/>
      <c r="H53" s="116"/>
      <c r="I53" s="120">
        <v>0</v>
      </c>
      <c r="J53" s="121">
        <v>0</v>
      </c>
      <c r="K53" s="122">
        <v>0</v>
      </c>
      <c r="L53" s="123">
        <v>0</v>
      </c>
      <c r="M53" s="120">
        <v>0</v>
      </c>
      <c r="N53" s="124">
        <v>0</v>
      </c>
      <c r="O53" s="118">
        <v>0</v>
      </c>
      <c r="P53" s="123">
        <v>0</v>
      </c>
      <c r="Q53" s="118">
        <v>0</v>
      </c>
      <c r="R53" s="123">
        <v>0</v>
      </c>
      <c r="S53" s="120">
        <v>0</v>
      </c>
      <c r="T53" s="124">
        <v>0</v>
      </c>
      <c r="U53" s="120">
        <v>0</v>
      </c>
      <c r="V53" s="131">
        <v>0</v>
      </c>
      <c r="W53" s="28">
        <f t="shared" si="4"/>
        <v>0</v>
      </c>
      <c r="X53" s="108"/>
      <c r="Y53" s="108"/>
      <c r="Z53" s="108"/>
      <c r="AA53" s="108"/>
      <c r="AB53" s="108"/>
      <c r="AC53" s="108"/>
      <c r="AD53" s="133">
        <f t="shared" ref="AD53:AD84" si="8">W53-SUM(Y53:Z53)</f>
        <v>0</v>
      </c>
      <c r="AE53" s="109"/>
      <c r="AF53" s="110"/>
      <c r="AG53" s="106"/>
    </row>
    <row r="54" spans="1:33" ht="15.75">
      <c r="A54" s="105"/>
      <c r="B54" s="29"/>
      <c r="C54" s="29"/>
      <c r="D54" s="178"/>
      <c r="E54" s="106"/>
      <c r="F54" s="29"/>
      <c r="G54" s="107"/>
      <c r="H54" s="116"/>
      <c r="I54" s="120">
        <v>0</v>
      </c>
      <c r="J54" s="121">
        <v>0</v>
      </c>
      <c r="K54" s="122">
        <v>0</v>
      </c>
      <c r="L54" s="123">
        <v>0</v>
      </c>
      <c r="M54" s="120">
        <v>0</v>
      </c>
      <c r="N54" s="124">
        <v>0</v>
      </c>
      <c r="O54" s="118">
        <v>0</v>
      </c>
      <c r="P54" s="123">
        <v>0</v>
      </c>
      <c r="Q54" s="118">
        <v>0</v>
      </c>
      <c r="R54" s="123">
        <v>0</v>
      </c>
      <c r="S54" s="120">
        <v>0</v>
      </c>
      <c r="T54" s="124">
        <v>0</v>
      </c>
      <c r="U54" s="120">
        <v>0</v>
      </c>
      <c r="V54" s="131">
        <v>0</v>
      </c>
      <c r="W54" s="28">
        <f t="shared" si="4"/>
        <v>0</v>
      </c>
      <c r="X54" s="108"/>
      <c r="Y54" s="108"/>
      <c r="Z54" s="108"/>
      <c r="AA54" s="108"/>
      <c r="AB54" s="108"/>
      <c r="AC54" s="108"/>
      <c r="AD54" s="133">
        <f t="shared" si="8"/>
        <v>0</v>
      </c>
      <c r="AE54" s="109"/>
      <c r="AF54" s="110"/>
      <c r="AG54" s="106"/>
    </row>
    <row r="55" spans="1:33" ht="15.75">
      <c r="A55" s="105"/>
      <c r="B55" s="29"/>
      <c r="C55" s="29"/>
      <c r="D55" s="178"/>
      <c r="E55" s="106"/>
      <c r="F55" s="29"/>
      <c r="G55" s="107"/>
      <c r="H55" s="116"/>
      <c r="I55" s="120">
        <v>0</v>
      </c>
      <c r="J55" s="121">
        <v>0</v>
      </c>
      <c r="K55" s="122">
        <v>0</v>
      </c>
      <c r="L55" s="123">
        <v>0</v>
      </c>
      <c r="M55" s="120">
        <v>0</v>
      </c>
      <c r="N55" s="124">
        <v>0</v>
      </c>
      <c r="O55" s="118">
        <v>0</v>
      </c>
      <c r="P55" s="123">
        <v>0</v>
      </c>
      <c r="Q55" s="118">
        <v>0</v>
      </c>
      <c r="R55" s="123">
        <v>0</v>
      </c>
      <c r="S55" s="120">
        <v>0</v>
      </c>
      <c r="T55" s="124">
        <v>0</v>
      </c>
      <c r="U55" s="120">
        <v>0</v>
      </c>
      <c r="V55" s="131">
        <v>0</v>
      </c>
      <c r="W55" s="28">
        <f t="shared" si="4"/>
        <v>0</v>
      </c>
      <c r="X55" s="108"/>
      <c r="Y55" s="108"/>
      <c r="Z55" s="108"/>
      <c r="AA55" s="108"/>
      <c r="AB55" s="108"/>
      <c r="AC55" s="108"/>
      <c r="AD55" s="133">
        <f t="shared" si="8"/>
        <v>0</v>
      </c>
      <c r="AE55" s="109"/>
      <c r="AF55" s="110"/>
      <c r="AG55" s="106"/>
    </row>
    <row r="56" spans="1:33" ht="15.75">
      <c r="A56" s="105"/>
      <c r="B56" s="29"/>
      <c r="C56" s="29"/>
      <c r="D56" s="178"/>
      <c r="E56" s="106"/>
      <c r="F56" s="29"/>
      <c r="G56" s="107"/>
      <c r="H56" s="116"/>
      <c r="I56" s="120">
        <v>0</v>
      </c>
      <c r="J56" s="121">
        <v>0</v>
      </c>
      <c r="K56" s="122">
        <v>0</v>
      </c>
      <c r="L56" s="123">
        <v>0</v>
      </c>
      <c r="M56" s="120">
        <v>0</v>
      </c>
      <c r="N56" s="124">
        <v>0</v>
      </c>
      <c r="O56" s="118">
        <v>0</v>
      </c>
      <c r="P56" s="123">
        <v>0</v>
      </c>
      <c r="Q56" s="118">
        <v>0</v>
      </c>
      <c r="R56" s="123">
        <v>0</v>
      </c>
      <c r="S56" s="120">
        <v>0</v>
      </c>
      <c r="T56" s="124">
        <v>0</v>
      </c>
      <c r="U56" s="120">
        <v>0</v>
      </c>
      <c r="V56" s="131">
        <v>0</v>
      </c>
      <c r="W56" s="28">
        <f t="shared" si="4"/>
        <v>0</v>
      </c>
      <c r="X56" s="108"/>
      <c r="Y56" s="108"/>
      <c r="Z56" s="108"/>
      <c r="AA56" s="108"/>
      <c r="AB56" s="108"/>
      <c r="AC56" s="108"/>
      <c r="AD56" s="133">
        <f t="shared" si="8"/>
        <v>0</v>
      </c>
      <c r="AE56" s="109"/>
      <c r="AF56" s="110"/>
      <c r="AG56" s="106"/>
    </row>
    <row r="57" spans="1:33" ht="15.75">
      <c r="A57" s="105"/>
      <c r="B57" s="29"/>
      <c r="C57" s="29"/>
      <c r="D57" s="178"/>
      <c r="E57" s="106"/>
      <c r="F57" s="29"/>
      <c r="G57" s="107"/>
      <c r="H57" s="116"/>
      <c r="I57" s="120">
        <v>0</v>
      </c>
      <c r="J57" s="121">
        <v>0</v>
      </c>
      <c r="K57" s="122">
        <v>0</v>
      </c>
      <c r="L57" s="123">
        <v>0</v>
      </c>
      <c r="M57" s="120">
        <v>0</v>
      </c>
      <c r="N57" s="124">
        <v>0</v>
      </c>
      <c r="O57" s="118">
        <v>0</v>
      </c>
      <c r="P57" s="123">
        <v>0</v>
      </c>
      <c r="Q57" s="118">
        <v>0</v>
      </c>
      <c r="R57" s="123">
        <v>0</v>
      </c>
      <c r="S57" s="120">
        <v>0</v>
      </c>
      <c r="T57" s="124">
        <v>0</v>
      </c>
      <c r="U57" s="120">
        <v>0</v>
      </c>
      <c r="V57" s="131">
        <v>0</v>
      </c>
      <c r="W57" s="28">
        <f t="shared" si="4"/>
        <v>0</v>
      </c>
      <c r="X57" s="108"/>
      <c r="Y57" s="108"/>
      <c r="Z57" s="108"/>
      <c r="AA57" s="108"/>
      <c r="AB57" s="108"/>
      <c r="AC57" s="108"/>
      <c r="AD57" s="133">
        <f t="shared" si="8"/>
        <v>0</v>
      </c>
      <c r="AE57" s="109"/>
      <c r="AF57" s="110"/>
      <c r="AG57" s="106"/>
    </row>
    <row r="58" spans="1:33" ht="15.75">
      <c r="A58" s="105"/>
      <c r="B58" s="29"/>
      <c r="C58" s="29"/>
      <c r="D58" s="178"/>
      <c r="E58" s="106"/>
      <c r="F58" s="29"/>
      <c r="G58" s="107"/>
      <c r="H58" s="116"/>
      <c r="I58" s="120">
        <v>0</v>
      </c>
      <c r="J58" s="121">
        <v>0</v>
      </c>
      <c r="K58" s="122">
        <v>0</v>
      </c>
      <c r="L58" s="123">
        <v>0</v>
      </c>
      <c r="M58" s="120">
        <v>0</v>
      </c>
      <c r="N58" s="124">
        <v>0</v>
      </c>
      <c r="O58" s="118">
        <v>0</v>
      </c>
      <c r="P58" s="123">
        <v>0</v>
      </c>
      <c r="Q58" s="118">
        <v>0</v>
      </c>
      <c r="R58" s="123">
        <v>0</v>
      </c>
      <c r="S58" s="120">
        <v>0</v>
      </c>
      <c r="T58" s="124">
        <v>0</v>
      </c>
      <c r="U58" s="120">
        <v>0</v>
      </c>
      <c r="V58" s="131">
        <v>0</v>
      </c>
      <c r="W58" s="28">
        <f t="shared" si="4"/>
        <v>0</v>
      </c>
      <c r="X58" s="108"/>
      <c r="Y58" s="108"/>
      <c r="Z58" s="108"/>
      <c r="AA58" s="108"/>
      <c r="AB58" s="108"/>
      <c r="AC58" s="108"/>
      <c r="AD58" s="133">
        <f t="shared" si="8"/>
        <v>0</v>
      </c>
      <c r="AE58" s="109"/>
      <c r="AF58" s="110"/>
      <c r="AG58" s="106"/>
    </row>
    <row r="59" spans="1:33" ht="15.75">
      <c r="A59" s="105"/>
      <c r="B59" s="29"/>
      <c r="C59" s="29"/>
      <c r="D59" s="178"/>
      <c r="E59" s="106"/>
      <c r="F59" s="29"/>
      <c r="G59" s="107"/>
      <c r="H59" s="116"/>
      <c r="I59" s="120">
        <v>0</v>
      </c>
      <c r="J59" s="121">
        <v>0</v>
      </c>
      <c r="K59" s="122">
        <v>0</v>
      </c>
      <c r="L59" s="123">
        <v>0</v>
      </c>
      <c r="M59" s="120">
        <v>0</v>
      </c>
      <c r="N59" s="124">
        <v>0</v>
      </c>
      <c r="O59" s="118">
        <v>0</v>
      </c>
      <c r="P59" s="123">
        <v>0</v>
      </c>
      <c r="Q59" s="118">
        <v>0</v>
      </c>
      <c r="R59" s="123">
        <v>0</v>
      </c>
      <c r="S59" s="120">
        <v>0</v>
      </c>
      <c r="T59" s="124">
        <v>0</v>
      </c>
      <c r="U59" s="120">
        <v>0</v>
      </c>
      <c r="V59" s="131">
        <v>0</v>
      </c>
      <c r="W59" s="28">
        <f t="shared" si="4"/>
        <v>0</v>
      </c>
      <c r="X59" s="108"/>
      <c r="Y59" s="108"/>
      <c r="Z59" s="108"/>
      <c r="AA59" s="108"/>
      <c r="AB59" s="108"/>
      <c r="AC59" s="108"/>
      <c r="AD59" s="133">
        <f t="shared" si="8"/>
        <v>0</v>
      </c>
      <c r="AE59" s="109"/>
      <c r="AF59" s="110"/>
      <c r="AG59" s="106"/>
    </row>
    <row r="60" spans="1:33" ht="15.75">
      <c r="A60" s="105"/>
      <c r="B60" s="29"/>
      <c r="C60" s="29"/>
      <c r="D60" s="178"/>
      <c r="E60" s="106"/>
      <c r="F60" s="29"/>
      <c r="G60" s="107"/>
      <c r="H60" s="116"/>
      <c r="I60" s="120">
        <v>0</v>
      </c>
      <c r="J60" s="121">
        <v>0</v>
      </c>
      <c r="K60" s="122">
        <v>0</v>
      </c>
      <c r="L60" s="123">
        <v>0</v>
      </c>
      <c r="M60" s="120">
        <v>0</v>
      </c>
      <c r="N60" s="124">
        <v>0</v>
      </c>
      <c r="O60" s="118">
        <v>0</v>
      </c>
      <c r="P60" s="123">
        <v>0</v>
      </c>
      <c r="Q60" s="118">
        <v>0</v>
      </c>
      <c r="R60" s="123">
        <v>0</v>
      </c>
      <c r="S60" s="120">
        <v>0</v>
      </c>
      <c r="T60" s="124">
        <v>0</v>
      </c>
      <c r="U60" s="120">
        <v>0</v>
      </c>
      <c r="V60" s="131">
        <v>0</v>
      </c>
      <c r="W60" s="28">
        <f t="shared" si="4"/>
        <v>0</v>
      </c>
      <c r="X60" s="108"/>
      <c r="Y60" s="108"/>
      <c r="Z60" s="108"/>
      <c r="AA60" s="108"/>
      <c r="AB60" s="108"/>
      <c r="AC60" s="108"/>
      <c r="AD60" s="133">
        <f t="shared" si="8"/>
        <v>0</v>
      </c>
      <c r="AE60" s="109"/>
      <c r="AF60" s="110"/>
      <c r="AG60" s="106"/>
    </row>
    <row r="61" spans="1:33" ht="15.75">
      <c r="A61" s="105"/>
      <c r="B61" s="29"/>
      <c r="C61" s="29"/>
      <c r="D61" s="178"/>
      <c r="E61" s="106"/>
      <c r="F61" s="29"/>
      <c r="G61" s="107"/>
      <c r="H61" s="116"/>
      <c r="I61" s="120">
        <v>0</v>
      </c>
      <c r="J61" s="121">
        <v>0</v>
      </c>
      <c r="K61" s="122">
        <v>0</v>
      </c>
      <c r="L61" s="123">
        <v>0</v>
      </c>
      <c r="M61" s="120">
        <v>0</v>
      </c>
      <c r="N61" s="124">
        <v>0</v>
      </c>
      <c r="O61" s="118">
        <v>0</v>
      </c>
      <c r="P61" s="123">
        <v>0</v>
      </c>
      <c r="Q61" s="118">
        <v>0</v>
      </c>
      <c r="R61" s="123">
        <v>0</v>
      </c>
      <c r="S61" s="120">
        <v>0</v>
      </c>
      <c r="T61" s="124">
        <v>0</v>
      </c>
      <c r="U61" s="120">
        <v>0</v>
      </c>
      <c r="V61" s="131">
        <v>0</v>
      </c>
      <c r="W61" s="28">
        <f t="shared" ref="W61:W84" si="9">+G61-(SUM(I61:N61,P61,Q61,R61,S61,T61,V61))</f>
        <v>0</v>
      </c>
      <c r="X61" s="108"/>
      <c r="Y61" s="108"/>
      <c r="Z61" s="108"/>
      <c r="AA61" s="108"/>
      <c r="AB61" s="108"/>
      <c r="AC61" s="108"/>
      <c r="AD61" s="133">
        <f t="shared" si="8"/>
        <v>0</v>
      </c>
      <c r="AE61" s="109"/>
      <c r="AF61" s="110"/>
      <c r="AG61" s="106"/>
    </row>
    <row r="62" spans="1:33" ht="15.75">
      <c r="A62" s="105"/>
      <c r="B62" s="29"/>
      <c r="C62" s="29"/>
      <c r="D62" s="178"/>
      <c r="E62" s="106"/>
      <c r="F62" s="29"/>
      <c r="G62" s="107"/>
      <c r="H62" s="116"/>
      <c r="I62" s="120">
        <v>0</v>
      </c>
      <c r="J62" s="121">
        <v>0</v>
      </c>
      <c r="K62" s="122">
        <v>0</v>
      </c>
      <c r="L62" s="123">
        <v>0</v>
      </c>
      <c r="M62" s="120">
        <v>0</v>
      </c>
      <c r="N62" s="124">
        <v>0</v>
      </c>
      <c r="O62" s="118">
        <v>0</v>
      </c>
      <c r="P62" s="123">
        <v>0</v>
      </c>
      <c r="Q62" s="118">
        <v>0</v>
      </c>
      <c r="R62" s="123">
        <v>0</v>
      </c>
      <c r="S62" s="120">
        <v>0</v>
      </c>
      <c r="T62" s="124">
        <v>0</v>
      </c>
      <c r="U62" s="120">
        <v>0</v>
      </c>
      <c r="V62" s="131">
        <v>0</v>
      </c>
      <c r="W62" s="28">
        <f t="shared" si="9"/>
        <v>0</v>
      </c>
      <c r="X62" s="108"/>
      <c r="Y62" s="108"/>
      <c r="Z62" s="108"/>
      <c r="AA62" s="108"/>
      <c r="AB62" s="108"/>
      <c r="AC62" s="108"/>
      <c r="AD62" s="133">
        <f t="shared" si="8"/>
        <v>0</v>
      </c>
      <c r="AE62" s="109"/>
      <c r="AF62" s="110"/>
      <c r="AG62" s="106"/>
    </row>
    <row r="63" spans="1:33" ht="15.75">
      <c r="A63" s="105"/>
      <c r="B63" s="29"/>
      <c r="C63" s="29"/>
      <c r="D63" s="178"/>
      <c r="E63" s="106"/>
      <c r="F63" s="29"/>
      <c r="G63" s="107"/>
      <c r="H63" s="116"/>
      <c r="I63" s="120">
        <v>0</v>
      </c>
      <c r="J63" s="121">
        <v>0</v>
      </c>
      <c r="K63" s="122">
        <v>0</v>
      </c>
      <c r="L63" s="123">
        <v>0</v>
      </c>
      <c r="M63" s="120">
        <v>0</v>
      </c>
      <c r="N63" s="124">
        <v>0</v>
      </c>
      <c r="O63" s="118">
        <v>0</v>
      </c>
      <c r="P63" s="123">
        <v>0</v>
      </c>
      <c r="Q63" s="118">
        <v>0</v>
      </c>
      <c r="R63" s="123">
        <v>0</v>
      </c>
      <c r="S63" s="120">
        <v>0</v>
      </c>
      <c r="T63" s="124">
        <v>0</v>
      </c>
      <c r="U63" s="120">
        <v>0</v>
      </c>
      <c r="V63" s="131">
        <v>0</v>
      </c>
      <c r="W63" s="28">
        <f t="shared" si="9"/>
        <v>0</v>
      </c>
      <c r="X63" s="108"/>
      <c r="Y63" s="108"/>
      <c r="Z63" s="108"/>
      <c r="AA63" s="108"/>
      <c r="AB63" s="108"/>
      <c r="AC63" s="108"/>
      <c r="AD63" s="133">
        <f t="shared" si="8"/>
        <v>0</v>
      </c>
      <c r="AE63" s="109"/>
      <c r="AF63" s="110"/>
      <c r="AG63" s="106"/>
    </row>
    <row r="64" spans="1:33" ht="15.75">
      <c r="A64" s="105"/>
      <c r="B64" s="29"/>
      <c r="C64" s="29"/>
      <c r="D64" s="178"/>
      <c r="E64" s="106"/>
      <c r="F64" s="29"/>
      <c r="G64" s="107"/>
      <c r="H64" s="116"/>
      <c r="I64" s="120">
        <v>0</v>
      </c>
      <c r="J64" s="121">
        <v>0</v>
      </c>
      <c r="K64" s="122">
        <v>0</v>
      </c>
      <c r="L64" s="123">
        <v>0</v>
      </c>
      <c r="M64" s="120">
        <v>0</v>
      </c>
      <c r="N64" s="124">
        <v>0</v>
      </c>
      <c r="O64" s="118">
        <v>0</v>
      </c>
      <c r="P64" s="123">
        <v>0</v>
      </c>
      <c r="Q64" s="118">
        <v>0</v>
      </c>
      <c r="R64" s="123">
        <v>0</v>
      </c>
      <c r="S64" s="120">
        <v>0</v>
      </c>
      <c r="T64" s="124">
        <v>0</v>
      </c>
      <c r="U64" s="120">
        <v>0</v>
      </c>
      <c r="V64" s="131">
        <v>0</v>
      </c>
      <c r="W64" s="28">
        <f t="shared" si="9"/>
        <v>0</v>
      </c>
      <c r="X64" s="108"/>
      <c r="Y64" s="108"/>
      <c r="Z64" s="108"/>
      <c r="AA64" s="108"/>
      <c r="AB64" s="108"/>
      <c r="AC64" s="108"/>
      <c r="AD64" s="133">
        <f t="shared" si="8"/>
        <v>0</v>
      </c>
      <c r="AE64" s="109"/>
      <c r="AF64" s="110"/>
      <c r="AG64" s="106"/>
    </row>
    <row r="65" spans="1:33" ht="15.75">
      <c r="A65" s="105"/>
      <c r="B65" s="29"/>
      <c r="C65" s="29"/>
      <c r="D65" s="178"/>
      <c r="E65" s="106"/>
      <c r="F65" s="29"/>
      <c r="G65" s="107"/>
      <c r="H65" s="116"/>
      <c r="I65" s="120">
        <v>0</v>
      </c>
      <c r="J65" s="121">
        <v>0</v>
      </c>
      <c r="K65" s="122">
        <v>0</v>
      </c>
      <c r="L65" s="123">
        <v>0</v>
      </c>
      <c r="M65" s="120">
        <v>0</v>
      </c>
      <c r="N65" s="124">
        <v>0</v>
      </c>
      <c r="O65" s="118">
        <v>0</v>
      </c>
      <c r="P65" s="123">
        <v>0</v>
      </c>
      <c r="Q65" s="118">
        <v>0</v>
      </c>
      <c r="R65" s="123">
        <v>0</v>
      </c>
      <c r="S65" s="120">
        <v>0</v>
      </c>
      <c r="T65" s="124">
        <v>0</v>
      </c>
      <c r="U65" s="120">
        <v>0</v>
      </c>
      <c r="V65" s="131">
        <v>0</v>
      </c>
      <c r="W65" s="28">
        <f t="shared" si="9"/>
        <v>0</v>
      </c>
      <c r="X65" s="108"/>
      <c r="Y65" s="108"/>
      <c r="Z65" s="108"/>
      <c r="AA65" s="108"/>
      <c r="AB65" s="108"/>
      <c r="AC65" s="108"/>
      <c r="AD65" s="133">
        <f t="shared" si="8"/>
        <v>0</v>
      </c>
      <c r="AE65" s="109"/>
      <c r="AF65" s="110"/>
      <c r="AG65" s="106"/>
    </row>
    <row r="66" spans="1:33" ht="15.75">
      <c r="A66" s="105"/>
      <c r="B66" s="29"/>
      <c r="C66" s="29"/>
      <c r="D66" s="178"/>
      <c r="E66" s="106"/>
      <c r="F66" s="29"/>
      <c r="G66" s="107"/>
      <c r="H66" s="116"/>
      <c r="I66" s="120">
        <v>0</v>
      </c>
      <c r="J66" s="121">
        <v>0</v>
      </c>
      <c r="K66" s="122">
        <v>0</v>
      </c>
      <c r="L66" s="123">
        <v>0</v>
      </c>
      <c r="M66" s="120">
        <v>0</v>
      </c>
      <c r="N66" s="124">
        <v>0</v>
      </c>
      <c r="O66" s="118">
        <v>0</v>
      </c>
      <c r="P66" s="123">
        <v>0</v>
      </c>
      <c r="Q66" s="118">
        <v>0</v>
      </c>
      <c r="R66" s="123">
        <v>0</v>
      </c>
      <c r="S66" s="120">
        <v>0</v>
      </c>
      <c r="T66" s="124">
        <v>0</v>
      </c>
      <c r="U66" s="120">
        <v>0</v>
      </c>
      <c r="V66" s="131">
        <v>0</v>
      </c>
      <c r="W66" s="28">
        <f t="shared" si="9"/>
        <v>0</v>
      </c>
      <c r="X66" s="108"/>
      <c r="Y66" s="108"/>
      <c r="Z66" s="108"/>
      <c r="AA66" s="108"/>
      <c r="AB66" s="108"/>
      <c r="AC66" s="108"/>
      <c r="AD66" s="133">
        <f t="shared" si="8"/>
        <v>0</v>
      </c>
      <c r="AE66" s="109"/>
      <c r="AF66" s="110"/>
      <c r="AG66" s="106"/>
    </row>
    <row r="67" spans="1:33" ht="15.75">
      <c r="A67" s="105"/>
      <c r="B67" s="29"/>
      <c r="C67" s="29"/>
      <c r="D67" s="178"/>
      <c r="E67" s="106"/>
      <c r="F67" s="29"/>
      <c r="G67" s="107"/>
      <c r="H67" s="116"/>
      <c r="I67" s="120">
        <v>0</v>
      </c>
      <c r="J67" s="121">
        <v>0</v>
      </c>
      <c r="K67" s="122">
        <v>0</v>
      </c>
      <c r="L67" s="123">
        <v>0</v>
      </c>
      <c r="M67" s="120">
        <v>0</v>
      </c>
      <c r="N67" s="124">
        <v>0</v>
      </c>
      <c r="O67" s="118">
        <v>0</v>
      </c>
      <c r="P67" s="123">
        <v>0</v>
      </c>
      <c r="Q67" s="118">
        <v>0</v>
      </c>
      <c r="R67" s="123">
        <v>0</v>
      </c>
      <c r="S67" s="120">
        <v>0</v>
      </c>
      <c r="T67" s="124">
        <v>0</v>
      </c>
      <c r="U67" s="120">
        <v>0</v>
      </c>
      <c r="V67" s="131">
        <v>0</v>
      </c>
      <c r="W67" s="28">
        <f t="shared" si="9"/>
        <v>0</v>
      </c>
      <c r="X67" s="108"/>
      <c r="Y67" s="108"/>
      <c r="Z67" s="108"/>
      <c r="AA67" s="108"/>
      <c r="AB67" s="108"/>
      <c r="AC67" s="108"/>
      <c r="AD67" s="133">
        <f t="shared" si="8"/>
        <v>0</v>
      </c>
      <c r="AE67" s="109"/>
      <c r="AF67" s="110"/>
      <c r="AG67" s="106"/>
    </row>
    <row r="68" spans="1:33" ht="15.75">
      <c r="A68" s="105"/>
      <c r="B68" s="29"/>
      <c r="C68" s="29"/>
      <c r="D68" s="178"/>
      <c r="E68" s="106"/>
      <c r="F68" s="29"/>
      <c r="G68" s="107"/>
      <c r="H68" s="116"/>
      <c r="I68" s="120">
        <v>0</v>
      </c>
      <c r="J68" s="121">
        <v>0</v>
      </c>
      <c r="K68" s="122">
        <v>0</v>
      </c>
      <c r="L68" s="123">
        <v>0</v>
      </c>
      <c r="M68" s="120">
        <v>0</v>
      </c>
      <c r="N68" s="124">
        <v>0</v>
      </c>
      <c r="O68" s="118">
        <v>0</v>
      </c>
      <c r="P68" s="123">
        <v>0</v>
      </c>
      <c r="Q68" s="118">
        <v>0</v>
      </c>
      <c r="R68" s="123">
        <v>0</v>
      </c>
      <c r="S68" s="120">
        <v>0</v>
      </c>
      <c r="T68" s="124">
        <v>0</v>
      </c>
      <c r="U68" s="120">
        <v>0</v>
      </c>
      <c r="V68" s="131">
        <v>0</v>
      </c>
      <c r="W68" s="28">
        <f t="shared" si="9"/>
        <v>0</v>
      </c>
      <c r="X68" s="108"/>
      <c r="Y68" s="108"/>
      <c r="Z68" s="108"/>
      <c r="AA68" s="108"/>
      <c r="AB68" s="108"/>
      <c r="AC68" s="108"/>
      <c r="AD68" s="133">
        <f t="shared" si="8"/>
        <v>0</v>
      </c>
      <c r="AE68" s="109"/>
      <c r="AF68" s="110"/>
      <c r="AG68" s="106"/>
    </row>
    <row r="69" spans="1:33" ht="15.75">
      <c r="A69" s="105"/>
      <c r="B69" s="29"/>
      <c r="C69" s="29"/>
      <c r="D69" s="178"/>
      <c r="E69" s="106"/>
      <c r="F69" s="29"/>
      <c r="G69" s="107"/>
      <c r="H69" s="116"/>
      <c r="I69" s="120">
        <v>0</v>
      </c>
      <c r="J69" s="121">
        <v>0</v>
      </c>
      <c r="K69" s="122">
        <v>0</v>
      </c>
      <c r="L69" s="123">
        <v>0</v>
      </c>
      <c r="M69" s="120">
        <v>0</v>
      </c>
      <c r="N69" s="124">
        <v>0</v>
      </c>
      <c r="O69" s="118">
        <v>0</v>
      </c>
      <c r="P69" s="123">
        <v>0</v>
      </c>
      <c r="Q69" s="118">
        <v>0</v>
      </c>
      <c r="R69" s="123">
        <v>0</v>
      </c>
      <c r="S69" s="120">
        <v>0</v>
      </c>
      <c r="T69" s="124">
        <v>0</v>
      </c>
      <c r="U69" s="120">
        <v>0</v>
      </c>
      <c r="V69" s="131">
        <v>0</v>
      </c>
      <c r="W69" s="28">
        <f t="shared" si="9"/>
        <v>0</v>
      </c>
      <c r="X69" s="108"/>
      <c r="Y69" s="108"/>
      <c r="Z69" s="108"/>
      <c r="AA69" s="108"/>
      <c r="AB69" s="108"/>
      <c r="AC69" s="108"/>
      <c r="AD69" s="133">
        <f t="shared" si="8"/>
        <v>0</v>
      </c>
      <c r="AE69" s="109"/>
      <c r="AF69" s="110"/>
      <c r="AG69" s="106"/>
    </row>
    <row r="70" spans="1:33" ht="15.75">
      <c r="A70" s="105"/>
      <c r="B70" s="29"/>
      <c r="C70" s="29"/>
      <c r="D70" s="178"/>
      <c r="E70" s="106"/>
      <c r="F70" s="29"/>
      <c r="G70" s="107"/>
      <c r="H70" s="116"/>
      <c r="I70" s="120">
        <v>0</v>
      </c>
      <c r="J70" s="121">
        <v>0</v>
      </c>
      <c r="K70" s="122">
        <v>0</v>
      </c>
      <c r="L70" s="123">
        <v>0</v>
      </c>
      <c r="M70" s="120">
        <v>0</v>
      </c>
      <c r="N70" s="124">
        <v>0</v>
      </c>
      <c r="O70" s="118">
        <v>0</v>
      </c>
      <c r="P70" s="123">
        <v>0</v>
      </c>
      <c r="Q70" s="118">
        <v>0</v>
      </c>
      <c r="R70" s="123">
        <v>0</v>
      </c>
      <c r="S70" s="120">
        <v>0</v>
      </c>
      <c r="T70" s="124">
        <v>0</v>
      </c>
      <c r="U70" s="120">
        <v>0</v>
      </c>
      <c r="V70" s="131">
        <v>0</v>
      </c>
      <c r="W70" s="28">
        <f t="shared" si="9"/>
        <v>0</v>
      </c>
      <c r="X70" s="108"/>
      <c r="Y70" s="108"/>
      <c r="Z70" s="108"/>
      <c r="AA70" s="108"/>
      <c r="AB70" s="108"/>
      <c r="AC70" s="108"/>
      <c r="AD70" s="133">
        <f t="shared" si="8"/>
        <v>0</v>
      </c>
      <c r="AE70" s="109"/>
      <c r="AF70" s="110"/>
      <c r="AG70" s="106"/>
    </row>
    <row r="71" spans="1:33" ht="15.75">
      <c r="A71" s="105"/>
      <c r="B71" s="29"/>
      <c r="C71" s="29"/>
      <c r="D71" s="178"/>
      <c r="E71" s="106"/>
      <c r="F71" s="29"/>
      <c r="G71" s="107"/>
      <c r="H71" s="116"/>
      <c r="I71" s="120">
        <v>0</v>
      </c>
      <c r="J71" s="121">
        <v>0</v>
      </c>
      <c r="K71" s="122">
        <v>0</v>
      </c>
      <c r="L71" s="123">
        <v>0</v>
      </c>
      <c r="M71" s="120">
        <v>0</v>
      </c>
      <c r="N71" s="124">
        <v>0</v>
      </c>
      <c r="O71" s="118">
        <v>0</v>
      </c>
      <c r="P71" s="123">
        <v>0</v>
      </c>
      <c r="Q71" s="118">
        <v>0</v>
      </c>
      <c r="R71" s="123">
        <v>0</v>
      </c>
      <c r="S71" s="120">
        <v>0</v>
      </c>
      <c r="T71" s="124">
        <v>0</v>
      </c>
      <c r="U71" s="120">
        <v>0</v>
      </c>
      <c r="V71" s="131">
        <v>0</v>
      </c>
      <c r="W71" s="28">
        <f t="shared" si="9"/>
        <v>0</v>
      </c>
      <c r="X71" s="108"/>
      <c r="Y71" s="108"/>
      <c r="Z71" s="108"/>
      <c r="AA71" s="108"/>
      <c r="AB71" s="108"/>
      <c r="AC71" s="108"/>
      <c r="AD71" s="133">
        <f t="shared" si="8"/>
        <v>0</v>
      </c>
      <c r="AE71" s="109"/>
      <c r="AF71" s="110"/>
      <c r="AG71" s="106"/>
    </row>
    <row r="72" spans="1:33" ht="15.75">
      <c r="A72" s="105"/>
      <c r="B72" s="29"/>
      <c r="C72" s="29"/>
      <c r="D72" s="178"/>
      <c r="E72" s="106"/>
      <c r="F72" s="29"/>
      <c r="G72" s="107"/>
      <c r="H72" s="116"/>
      <c r="I72" s="120">
        <v>0</v>
      </c>
      <c r="J72" s="121">
        <v>0</v>
      </c>
      <c r="K72" s="122">
        <v>0</v>
      </c>
      <c r="L72" s="123">
        <v>0</v>
      </c>
      <c r="M72" s="120">
        <v>0</v>
      </c>
      <c r="N72" s="124">
        <v>0</v>
      </c>
      <c r="O72" s="118">
        <v>0</v>
      </c>
      <c r="P72" s="123">
        <v>0</v>
      </c>
      <c r="Q72" s="118">
        <v>0</v>
      </c>
      <c r="R72" s="123">
        <v>0</v>
      </c>
      <c r="S72" s="120">
        <v>0</v>
      </c>
      <c r="T72" s="124">
        <v>0</v>
      </c>
      <c r="U72" s="120">
        <v>0</v>
      </c>
      <c r="V72" s="131">
        <v>0</v>
      </c>
      <c r="W72" s="28">
        <f t="shared" si="9"/>
        <v>0</v>
      </c>
      <c r="X72" s="108"/>
      <c r="Y72" s="108"/>
      <c r="Z72" s="108"/>
      <c r="AA72" s="108"/>
      <c r="AB72" s="108"/>
      <c r="AC72" s="108"/>
      <c r="AD72" s="133">
        <f t="shared" si="8"/>
        <v>0</v>
      </c>
      <c r="AE72" s="109"/>
      <c r="AF72" s="110"/>
      <c r="AG72" s="106"/>
    </row>
    <row r="73" spans="1:33" ht="15.75">
      <c r="A73" s="105"/>
      <c r="B73" s="29"/>
      <c r="C73" s="29"/>
      <c r="D73" s="178"/>
      <c r="E73" s="106"/>
      <c r="F73" s="29"/>
      <c r="G73" s="107"/>
      <c r="H73" s="116"/>
      <c r="I73" s="120">
        <v>0</v>
      </c>
      <c r="J73" s="121">
        <v>0</v>
      </c>
      <c r="K73" s="122">
        <v>0</v>
      </c>
      <c r="L73" s="123">
        <v>0</v>
      </c>
      <c r="M73" s="120">
        <v>0</v>
      </c>
      <c r="N73" s="124">
        <v>0</v>
      </c>
      <c r="O73" s="118">
        <v>0</v>
      </c>
      <c r="P73" s="123">
        <v>0</v>
      </c>
      <c r="Q73" s="118">
        <v>0</v>
      </c>
      <c r="R73" s="123">
        <v>0</v>
      </c>
      <c r="S73" s="120">
        <v>0</v>
      </c>
      <c r="T73" s="124">
        <v>0</v>
      </c>
      <c r="U73" s="120">
        <v>0</v>
      </c>
      <c r="V73" s="131">
        <v>0</v>
      </c>
      <c r="W73" s="28">
        <f t="shared" si="9"/>
        <v>0</v>
      </c>
      <c r="X73" s="108"/>
      <c r="Y73" s="108"/>
      <c r="Z73" s="108"/>
      <c r="AA73" s="108"/>
      <c r="AB73" s="108"/>
      <c r="AC73" s="108"/>
      <c r="AD73" s="133">
        <f t="shared" si="8"/>
        <v>0</v>
      </c>
      <c r="AE73" s="109"/>
      <c r="AF73" s="110"/>
      <c r="AG73" s="106"/>
    </row>
    <row r="74" spans="1:33" ht="15.75">
      <c r="A74" s="105"/>
      <c r="B74" s="29"/>
      <c r="C74" s="29"/>
      <c r="D74" s="178"/>
      <c r="E74" s="106"/>
      <c r="F74" s="29"/>
      <c r="G74" s="107"/>
      <c r="H74" s="116"/>
      <c r="I74" s="120">
        <v>0</v>
      </c>
      <c r="J74" s="121">
        <v>0</v>
      </c>
      <c r="K74" s="122">
        <v>0</v>
      </c>
      <c r="L74" s="123">
        <v>0</v>
      </c>
      <c r="M74" s="120">
        <v>0</v>
      </c>
      <c r="N74" s="124">
        <v>0</v>
      </c>
      <c r="O74" s="118">
        <v>0</v>
      </c>
      <c r="P74" s="123">
        <v>0</v>
      </c>
      <c r="Q74" s="118">
        <v>0</v>
      </c>
      <c r="R74" s="123">
        <v>0</v>
      </c>
      <c r="S74" s="120">
        <v>0</v>
      </c>
      <c r="T74" s="124">
        <v>0</v>
      </c>
      <c r="U74" s="120">
        <v>0</v>
      </c>
      <c r="V74" s="131">
        <v>0</v>
      </c>
      <c r="W74" s="28">
        <f t="shared" si="9"/>
        <v>0</v>
      </c>
      <c r="X74" s="108"/>
      <c r="Y74" s="108"/>
      <c r="Z74" s="108"/>
      <c r="AA74" s="108"/>
      <c r="AB74" s="108"/>
      <c r="AC74" s="108"/>
      <c r="AD74" s="133">
        <f t="shared" si="8"/>
        <v>0</v>
      </c>
      <c r="AE74" s="109"/>
      <c r="AF74" s="110"/>
      <c r="AG74" s="106"/>
    </row>
    <row r="75" spans="1:33" ht="15.75">
      <c r="A75" s="105"/>
      <c r="B75" s="29"/>
      <c r="C75" s="29"/>
      <c r="D75" s="178"/>
      <c r="E75" s="106"/>
      <c r="F75" s="29"/>
      <c r="G75" s="107"/>
      <c r="H75" s="116"/>
      <c r="I75" s="120">
        <v>0</v>
      </c>
      <c r="J75" s="121">
        <v>0</v>
      </c>
      <c r="K75" s="122">
        <v>0</v>
      </c>
      <c r="L75" s="123">
        <v>0</v>
      </c>
      <c r="M75" s="120">
        <v>0</v>
      </c>
      <c r="N75" s="124">
        <v>0</v>
      </c>
      <c r="O75" s="118">
        <v>0</v>
      </c>
      <c r="P75" s="123">
        <v>0</v>
      </c>
      <c r="Q75" s="118">
        <v>0</v>
      </c>
      <c r="R75" s="123">
        <v>0</v>
      </c>
      <c r="S75" s="120">
        <v>0</v>
      </c>
      <c r="T75" s="124">
        <v>0</v>
      </c>
      <c r="U75" s="120">
        <v>0</v>
      </c>
      <c r="V75" s="131">
        <v>0</v>
      </c>
      <c r="W75" s="28">
        <f t="shared" si="9"/>
        <v>0</v>
      </c>
      <c r="X75" s="108"/>
      <c r="Y75" s="108"/>
      <c r="Z75" s="108"/>
      <c r="AA75" s="108"/>
      <c r="AB75" s="108"/>
      <c r="AC75" s="108"/>
      <c r="AD75" s="133">
        <f t="shared" si="8"/>
        <v>0</v>
      </c>
      <c r="AE75" s="109"/>
      <c r="AF75" s="110"/>
      <c r="AG75" s="106"/>
    </row>
    <row r="76" spans="1:33" ht="15.75">
      <c r="A76" s="105"/>
      <c r="B76" s="29"/>
      <c r="C76" s="29"/>
      <c r="D76" s="178"/>
      <c r="E76" s="106"/>
      <c r="F76" s="29"/>
      <c r="G76" s="107"/>
      <c r="H76" s="116"/>
      <c r="I76" s="120">
        <v>0</v>
      </c>
      <c r="J76" s="121">
        <v>0</v>
      </c>
      <c r="K76" s="122">
        <v>0</v>
      </c>
      <c r="L76" s="123">
        <v>0</v>
      </c>
      <c r="M76" s="120">
        <v>0</v>
      </c>
      <c r="N76" s="124">
        <v>0</v>
      </c>
      <c r="O76" s="118">
        <v>0</v>
      </c>
      <c r="P76" s="123">
        <v>0</v>
      </c>
      <c r="Q76" s="118">
        <v>0</v>
      </c>
      <c r="R76" s="123">
        <v>0</v>
      </c>
      <c r="S76" s="120">
        <v>0</v>
      </c>
      <c r="T76" s="124">
        <v>0</v>
      </c>
      <c r="U76" s="120">
        <v>0</v>
      </c>
      <c r="V76" s="131">
        <v>0</v>
      </c>
      <c r="W76" s="28">
        <f t="shared" si="9"/>
        <v>0</v>
      </c>
      <c r="X76" s="108"/>
      <c r="Y76" s="108"/>
      <c r="Z76" s="108"/>
      <c r="AA76" s="108"/>
      <c r="AB76" s="108"/>
      <c r="AC76" s="108"/>
      <c r="AD76" s="133">
        <f t="shared" si="8"/>
        <v>0</v>
      </c>
      <c r="AE76" s="109"/>
      <c r="AF76" s="110"/>
      <c r="AG76" s="106"/>
    </row>
    <row r="77" spans="1:33" ht="15.75">
      <c r="A77" s="105"/>
      <c r="B77" s="29"/>
      <c r="C77" s="29"/>
      <c r="D77" s="178"/>
      <c r="E77" s="106"/>
      <c r="F77" s="29"/>
      <c r="G77" s="107"/>
      <c r="H77" s="116"/>
      <c r="I77" s="120">
        <v>0</v>
      </c>
      <c r="J77" s="121">
        <v>0</v>
      </c>
      <c r="K77" s="122">
        <v>0</v>
      </c>
      <c r="L77" s="123">
        <v>0</v>
      </c>
      <c r="M77" s="120">
        <v>0</v>
      </c>
      <c r="N77" s="124">
        <v>0</v>
      </c>
      <c r="O77" s="118">
        <v>0</v>
      </c>
      <c r="P77" s="123">
        <v>0</v>
      </c>
      <c r="Q77" s="118">
        <v>0</v>
      </c>
      <c r="R77" s="123">
        <v>0</v>
      </c>
      <c r="S77" s="120">
        <v>0</v>
      </c>
      <c r="T77" s="124">
        <v>0</v>
      </c>
      <c r="U77" s="120">
        <v>0</v>
      </c>
      <c r="V77" s="131">
        <v>0</v>
      </c>
      <c r="W77" s="28">
        <f t="shared" si="9"/>
        <v>0</v>
      </c>
      <c r="X77" s="108"/>
      <c r="Y77" s="108"/>
      <c r="Z77" s="108"/>
      <c r="AA77" s="108"/>
      <c r="AB77" s="108"/>
      <c r="AC77" s="108"/>
      <c r="AD77" s="133">
        <f t="shared" si="8"/>
        <v>0</v>
      </c>
      <c r="AE77" s="109"/>
      <c r="AF77" s="110"/>
      <c r="AG77" s="106"/>
    </row>
    <row r="78" spans="1:33" ht="15.75">
      <c r="A78" s="105"/>
      <c r="B78" s="29"/>
      <c r="C78" s="29"/>
      <c r="D78" s="178"/>
      <c r="E78" s="106"/>
      <c r="F78" s="29"/>
      <c r="G78" s="107"/>
      <c r="H78" s="116"/>
      <c r="I78" s="120">
        <v>0</v>
      </c>
      <c r="J78" s="121">
        <v>0</v>
      </c>
      <c r="K78" s="122">
        <v>0</v>
      </c>
      <c r="L78" s="123">
        <v>0</v>
      </c>
      <c r="M78" s="120">
        <v>0</v>
      </c>
      <c r="N78" s="124">
        <v>0</v>
      </c>
      <c r="O78" s="118">
        <v>0</v>
      </c>
      <c r="P78" s="123">
        <v>0</v>
      </c>
      <c r="Q78" s="118">
        <v>0</v>
      </c>
      <c r="R78" s="123">
        <v>0</v>
      </c>
      <c r="S78" s="120">
        <v>0</v>
      </c>
      <c r="T78" s="124">
        <v>0</v>
      </c>
      <c r="U78" s="120">
        <v>0</v>
      </c>
      <c r="V78" s="131">
        <v>0</v>
      </c>
      <c r="W78" s="28">
        <f t="shared" si="9"/>
        <v>0</v>
      </c>
      <c r="X78" s="108"/>
      <c r="Y78" s="108"/>
      <c r="Z78" s="108"/>
      <c r="AA78" s="108"/>
      <c r="AB78" s="108"/>
      <c r="AC78" s="108"/>
      <c r="AD78" s="133">
        <f t="shared" si="8"/>
        <v>0</v>
      </c>
      <c r="AE78" s="109"/>
      <c r="AF78" s="110"/>
      <c r="AG78" s="106"/>
    </row>
    <row r="79" spans="1:33" ht="15.75">
      <c r="A79" s="105"/>
      <c r="B79" s="29"/>
      <c r="C79" s="29"/>
      <c r="D79" s="178"/>
      <c r="E79" s="106"/>
      <c r="F79" s="29"/>
      <c r="G79" s="107"/>
      <c r="H79" s="116"/>
      <c r="I79" s="120">
        <v>0</v>
      </c>
      <c r="J79" s="121">
        <v>0</v>
      </c>
      <c r="K79" s="122">
        <v>0</v>
      </c>
      <c r="L79" s="123">
        <v>0</v>
      </c>
      <c r="M79" s="120">
        <v>0</v>
      </c>
      <c r="N79" s="124">
        <v>0</v>
      </c>
      <c r="O79" s="118">
        <v>0</v>
      </c>
      <c r="P79" s="123">
        <v>0</v>
      </c>
      <c r="Q79" s="118">
        <v>0</v>
      </c>
      <c r="R79" s="123">
        <v>0</v>
      </c>
      <c r="S79" s="120">
        <v>0</v>
      </c>
      <c r="T79" s="124">
        <v>0</v>
      </c>
      <c r="U79" s="120">
        <v>0</v>
      </c>
      <c r="V79" s="131">
        <v>0</v>
      </c>
      <c r="W79" s="28">
        <f t="shared" si="9"/>
        <v>0</v>
      </c>
      <c r="X79" s="108"/>
      <c r="Y79" s="108"/>
      <c r="Z79" s="108"/>
      <c r="AA79" s="108"/>
      <c r="AB79" s="108"/>
      <c r="AC79" s="108"/>
      <c r="AD79" s="133">
        <f t="shared" si="8"/>
        <v>0</v>
      </c>
      <c r="AE79" s="109"/>
      <c r="AF79" s="110"/>
      <c r="AG79" s="106"/>
    </row>
    <row r="80" spans="1:33" ht="15.75">
      <c r="A80" s="105"/>
      <c r="B80" s="29"/>
      <c r="C80" s="29"/>
      <c r="D80" s="178"/>
      <c r="E80" s="106"/>
      <c r="F80" s="29"/>
      <c r="G80" s="107"/>
      <c r="H80" s="116"/>
      <c r="I80" s="120">
        <v>0</v>
      </c>
      <c r="J80" s="121">
        <v>0</v>
      </c>
      <c r="K80" s="122">
        <v>0</v>
      </c>
      <c r="L80" s="123">
        <v>0</v>
      </c>
      <c r="M80" s="120">
        <v>0</v>
      </c>
      <c r="N80" s="124">
        <v>0</v>
      </c>
      <c r="O80" s="118">
        <v>0</v>
      </c>
      <c r="P80" s="123">
        <v>0</v>
      </c>
      <c r="Q80" s="118">
        <v>0</v>
      </c>
      <c r="R80" s="123">
        <v>0</v>
      </c>
      <c r="S80" s="120">
        <v>0</v>
      </c>
      <c r="T80" s="124">
        <v>0</v>
      </c>
      <c r="U80" s="120">
        <v>0</v>
      </c>
      <c r="V80" s="131">
        <v>0</v>
      </c>
      <c r="W80" s="28">
        <f t="shared" si="9"/>
        <v>0</v>
      </c>
      <c r="X80" s="108"/>
      <c r="Y80" s="108"/>
      <c r="Z80" s="108"/>
      <c r="AA80" s="108"/>
      <c r="AB80" s="108"/>
      <c r="AC80" s="108"/>
      <c r="AD80" s="133">
        <f t="shared" si="8"/>
        <v>0</v>
      </c>
      <c r="AE80" s="109"/>
      <c r="AF80" s="110"/>
      <c r="AG80" s="106"/>
    </row>
    <row r="81" spans="1:33" ht="15.75">
      <c r="A81" s="105"/>
      <c r="B81" s="29"/>
      <c r="C81" s="29"/>
      <c r="D81" s="178"/>
      <c r="E81" s="106"/>
      <c r="F81" s="29"/>
      <c r="G81" s="107"/>
      <c r="H81" s="116"/>
      <c r="I81" s="120">
        <v>0</v>
      </c>
      <c r="J81" s="121">
        <v>0</v>
      </c>
      <c r="K81" s="122">
        <v>0</v>
      </c>
      <c r="L81" s="123">
        <v>0</v>
      </c>
      <c r="M81" s="120">
        <v>0</v>
      </c>
      <c r="N81" s="124">
        <v>0</v>
      </c>
      <c r="O81" s="118">
        <v>0</v>
      </c>
      <c r="P81" s="123">
        <v>0</v>
      </c>
      <c r="Q81" s="118">
        <v>0</v>
      </c>
      <c r="R81" s="123">
        <v>0</v>
      </c>
      <c r="S81" s="120">
        <v>0</v>
      </c>
      <c r="T81" s="124">
        <v>0</v>
      </c>
      <c r="U81" s="120">
        <v>0</v>
      </c>
      <c r="V81" s="131">
        <v>0</v>
      </c>
      <c r="W81" s="28">
        <f t="shared" si="9"/>
        <v>0</v>
      </c>
      <c r="X81" s="108"/>
      <c r="Y81" s="108"/>
      <c r="Z81" s="108"/>
      <c r="AA81" s="108"/>
      <c r="AB81" s="108"/>
      <c r="AC81" s="108"/>
      <c r="AD81" s="133">
        <f t="shared" si="8"/>
        <v>0</v>
      </c>
      <c r="AE81" s="109"/>
      <c r="AF81" s="110"/>
      <c r="AG81" s="106"/>
    </row>
    <row r="82" spans="1:33" ht="15.75">
      <c r="A82" s="105"/>
      <c r="B82" s="29"/>
      <c r="C82" s="29"/>
      <c r="D82" s="178"/>
      <c r="E82" s="106"/>
      <c r="F82" s="29"/>
      <c r="G82" s="107"/>
      <c r="H82" s="116"/>
      <c r="I82" s="120">
        <v>0</v>
      </c>
      <c r="J82" s="121">
        <v>0</v>
      </c>
      <c r="K82" s="122">
        <v>0</v>
      </c>
      <c r="L82" s="123">
        <v>0</v>
      </c>
      <c r="M82" s="120">
        <v>0</v>
      </c>
      <c r="N82" s="124">
        <v>0</v>
      </c>
      <c r="O82" s="118">
        <v>0</v>
      </c>
      <c r="P82" s="123">
        <v>0</v>
      </c>
      <c r="Q82" s="118">
        <v>0</v>
      </c>
      <c r="R82" s="123">
        <v>0</v>
      </c>
      <c r="S82" s="120">
        <v>0</v>
      </c>
      <c r="T82" s="124">
        <v>0</v>
      </c>
      <c r="U82" s="120">
        <v>0</v>
      </c>
      <c r="V82" s="131">
        <v>0</v>
      </c>
      <c r="W82" s="28">
        <f t="shared" si="9"/>
        <v>0</v>
      </c>
      <c r="X82" s="108"/>
      <c r="Y82" s="108"/>
      <c r="Z82" s="108"/>
      <c r="AA82" s="108"/>
      <c r="AB82" s="108"/>
      <c r="AC82" s="108"/>
      <c r="AD82" s="133">
        <f t="shared" si="8"/>
        <v>0</v>
      </c>
      <c r="AE82" s="109"/>
      <c r="AF82" s="110"/>
      <c r="AG82" s="106"/>
    </row>
    <row r="83" spans="1:33" ht="15.75">
      <c r="A83" s="105"/>
      <c r="B83" s="29"/>
      <c r="C83" s="29"/>
      <c r="D83" s="178"/>
      <c r="E83" s="106"/>
      <c r="F83" s="29"/>
      <c r="G83" s="107"/>
      <c r="H83" s="116"/>
      <c r="I83" s="120">
        <v>0</v>
      </c>
      <c r="J83" s="121">
        <v>0</v>
      </c>
      <c r="K83" s="122">
        <v>0</v>
      </c>
      <c r="L83" s="123">
        <v>0</v>
      </c>
      <c r="M83" s="120">
        <v>0</v>
      </c>
      <c r="N83" s="124">
        <v>0</v>
      </c>
      <c r="O83" s="118">
        <v>0</v>
      </c>
      <c r="P83" s="123">
        <v>0</v>
      </c>
      <c r="Q83" s="118">
        <v>0</v>
      </c>
      <c r="R83" s="123">
        <v>0</v>
      </c>
      <c r="S83" s="120">
        <v>0</v>
      </c>
      <c r="T83" s="124">
        <v>0</v>
      </c>
      <c r="U83" s="120">
        <v>0</v>
      </c>
      <c r="V83" s="131">
        <v>0</v>
      </c>
      <c r="W83" s="28">
        <f t="shared" si="9"/>
        <v>0</v>
      </c>
      <c r="X83" s="108"/>
      <c r="Y83" s="108"/>
      <c r="Z83" s="108"/>
      <c r="AA83" s="108"/>
      <c r="AB83" s="108"/>
      <c r="AC83" s="108"/>
      <c r="AD83" s="133">
        <f t="shared" si="8"/>
        <v>0</v>
      </c>
      <c r="AE83" s="109"/>
      <c r="AF83" s="110"/>
      <c r="AG83" s="106"/>
    </row>
    <row r="84" spans="1:33" ht="15.75">
      <c r="A84" s="105"/>
      <c r="B84" s="29"/>
      <c r="C84" s="29"/>
      <c r="D84" s="178"/>
      <c r="E84" s="106"/>
      <c r="F84" s="29"/>
      <c r="G84" s="107"/>
      <c r="H84" s="116"/>
      <c r="I84" s="120">
        <v>0</v>
      </c>
      <c r="J84" s="121">
        <v>0</v>
      </c>
      <c r="K84" s="122">
        <v>0</v>
      </c>
      <c r="L84" s="123">
        <v>0</v>
      </c>
      <c r="M84" s="120">
        <v>0</v>
      </c>
      <c r="N84" s="124">
        <v>0</v>
      </c>
      <c r="O84" s="118">
        <v>0</v>
      </c>
      <c r="P84" s="123">
        <v>0</v>
      </c>
      <c r="Q84" s="118">
        <v>0</v>
      </c>
      <c r="R84" s="123">
        <v>0</v>
      </c>
      <c r="S84" s="120">
        <v>0</v>
      </c>
      <c r="T84" s="124">
        <v>0</v>
      </c>
      <c r="U84" s="120">
        <v>0</v>
      </c>
      <c r="V84" s="131">
        <v>0</v>
      </c>
      <c r="W84" s="28">
        <f t="shared" si="9"/>
        <v>0</v>
      </c>
      <c r="X84" s="108"/>
      <c r="Y84" s="108"/>
      <c r="Z84" s="108"/>
      <c r="AA84" s="108"/>
      <c r="AB84" s="20"/>
      <c r="AC84" s="108"/>
      <c r="AD84" s="133">
        <f t="shared" si="8"/>
        <v>0</v>
      </c>
      <c r="AE84" s="109"/>
      <c r="AF84" s="110"/>
      <c r="AG84" s="106"/>
    </row>
  </sheetData>
  <sheetProtection selectLockedCells="1"/>
  <protectedRanges>
    <protectedRange sqref="B6:B7 E6:E7 AG6:AG84 G6:V84 B8:E84" name="Rango1"/>
    <protectedRange sqref="AD6:AE84" name="Rango1_2"/>
    <protectedRange sqref="F6:F84 A6:A84" name="Rango1_1"/>
    <protectedRange sqref="C6:D7" name="Rango1_1_1"/>
  </protectedRanges>
  <mergeCells count="7">
    <mergeCell ref="H8:H9"/>
    <mergeCell ref="P3:U3"/>
    <mergeCell ref="I3:O3"/>
    <mergeCell ref="K4:O4"/>
    <mergeCell ref="I4:J4"/>
    <mergeCell ref="R4:U4"/>
    <mergeCell ref="P4:Q4"/>
  </mergeCells>
  <phoneticPr fontId="0" type="noConversion"/>
  <conditionalFormatting sqref="A12:D84 F14:I84 L14:V84 AB10:AB83 AC10:AC84 X10:AA84 X8:AC9 F8:H8 B8:D11 F10:H13 F9:G9">
    <cfRule type="expression" dxfId="8" priority="249" stopIfTrue="1">
      <formula>"SEVERSTAL"</formula>
    </cfRule>
  </conditionalFormatting>
  <conditionalFormatting sqref="AD8:AE84 AG8:AG84 E8:E84">
    <cfRule type="cellIs" dxfId="7" priority="250" stopIfTrue="1" operator="equal">
      <formula>"APROBADO"</formula>
    </cfRule>
    <cfRule type="cellIs" dxfId="6" priority="251" stopIfTrue="1" operator="equal">
      <formula>"ESPERA"</formula>
    </cfRule>
    <cfRule type="cellIs" dxfId="5" priority="252" stopIfTrue="1" operator="equal">
      <formula>"RECHAZADO"</formula>
    </cfRule>
  </conditionalFormatting>
  <conditionalFormatting sqref="X6:AC7 F6:I6 F7:H7 A6:B7 L6:V13 I7:I13 A7:A11">
    <cfRule type="expression" dxfId="4" priority="5" stopIfTrue="1">
      <formula>"SEVERSTAL"</formula>
    </cfRule>
  </conditionalFormatting>
  <conditionalFormatting sqref="AG6:AG7 AD6:AE7 E6:E7">
    <cfRule type="cellIs" dxfId="3" priority="6" stopIfTrue="1" operator="equal">
      <formula>"APROBADO"</formula>
    </cfRule>
    <cfRule type="cellIs" dxfId="2" priority="7" stopIfTrue="1" operator="equal">
      <formula>"ESPERA"</formula>
    </cfRule>
    <cfRule type="cellIs" dxfId="1" priority="8" stopIfTrue="1" operator="equal">
      <formula>"RECHAZADO"</formula>
    </cfRule>
  </conditionalFormatting>
  <conditionalFormatting sqref="C6:D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