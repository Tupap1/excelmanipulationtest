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L80\"/>
    </mc:Choice>
  </mc:AlternateContent>
  <bookViews>
    <workbookView showSheetTabs="0" xWindow="0" yWindow="0" windowWidth="28800" windowHeight="1230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9" i="5" l="1"/>
  <c r="AD9" i="5" s="1"/>
  <c r="W7" i="5" l="1"/>
  <c r="AD7" i="5" s="1"/>
  <c r="W14" i="5" l="1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6" i="5" l="1"/>
  <c r="AD6" i="5" s="1"/>
  <c r="W8" i="5" l="1"/>
  <c r="W10" i="5"/>
  <c r="W11" i="5"/>
  <c r="W12" i="5"/>
  <c r="W13" i="5"/>
  <c r="AD4" i="5"/>
  <c r="AE4" i="5" s="1"/>
  <c r="AF3" i="5"/>
  <c r="AG3" i="5" s="1"/>
  <c r="AE3" i="5"/>
  <c r="AF4" i="5" l="1"/>
  <c r="AG4" i="5" s="1"/>
  <c r="AD8" i="5" l="1"/>
  <c r="AD10" i="5"/>
  <c r="AD11" i="5"/>
  <c r="AD12" i="5"/>
  <c r="AD13" i="5"/>
</calcChain>
</file>

<file path=xl/comments1.xml><?xml version="1.0" encoding="utf-8"?>
<comments xmlns="http://schemas.openxmlformats.org/spreadsheetml/2006/main">
  <authors>
    <author>CAMPO B. Carlos I.      TENARIS</author>
    <author>ARRIETA C. Carlos G. TENARIS</author>
  </authors>
  <commentList>
    <comment ref="AD9" authorId="0" shapeId="0">
      <text>
        <r>
          <rPr>
            <b/>
            <sz val="9"/>
            <color indexed="81"/>
            <rFont val="Tahoma"/>
            <family val="2"/>
          </rPr>
          <t>Zona 1 y 7 = 695</t>
        </r>
      </text>
    </comment>
    <comment ref="AF9" authorId="0" shapeId="0">
      <text>
        <r>
          <rPr>
            <b/>
            <sz val="9"/>
            <color indexed="81"/>
            <rFont val="Tahoma"/>
            <family val="2"/>
          </rPr>
          <t>Zona 1 y 7 = 695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Zona 1 y 7 = 695</t>
        </r>
      </text>
    </comment>
    <comment ref="AD10" authorId="0" shapeId="0">
      <text>
        <r>
          <rPr>
            <b/>
            <sz val="9"/>
            <color indexed="81"/>
            <rFont val="Tahoma"/>
            <family val="2"/>
          </rPr>
          <t>Zona 1 y 7 = 695</t>
        </r>
      </text>
    </comment>
    <comment ref="AF10" authorId="0" shapeId="0">
      <text>
        <r>
          <rPr>
            <b/>
            <sz val="9"/>
            <color indexed="81"/>
            <rFont val="Tahoma"/>
            <family val="2"/>
          </rPr>
          <t>Zona 1 y 7 = 695</t>
        </r>
      </text>
    </comment>
    <comment ref="AG10" authorId="0" shapeId="0">
      <text>
        <r>
          <rPr>
            <b/>
            <sz val="9"/>
            <color indexed="81"/>
            <rFont val="Tahoma"/>
            <family val="2"/>
          </rPr>
          <t>Zona 1 y 7 = 695</t>
        </r>
      </text>
    </comment>
    <comment ref="AD11" authorId="0" shapeId="0">
      <text>
        <r>
          <rPr>
            <b/>
            <sz val="9"/>
            <color indexed="81"/>
            <rFont val="Tahoma"/>
            <family val="2"/>
          </rPr>
          <t>Zona 1 y 7 = 690</t>
        </r>
      </text>
    </comment>
    <comment ref="AF11" authorId="0" shapeId="0">
      <text>
        <r>
          <rPr>
            <b/>
            <sz val="9"/>
            <color indexed="81"/>
            <rFont val="Tahoma"/>
            <family val="2"/>
          </rPr>
          <t>Zona 1 y 7 = 690</t>
        </r>
      </text>
    </comment>
    <comment ref="AG11" authorId="0" shapeId="0">
      <text>
        <r>
          <rPr>
            <b/>
            <sz val="9"/>
            <color indexed="81"/>
            <rFont val="Tahoma"/>
            <family val="2"/>
          </rPr>
          <t>Zona 1 y 7 = 690</t>
        </r>
      </text>
    </comment>
    <comment ref="AD12" authorId="0" shapeId="0">
      <text>
        <r>
          <rPr>
            <b/>
            <sz val="9"/>
            <color indexed="81"/>
            <rFont val="Tahoma"/>
            <family val="2"/>
          </rPr>
          <t>Zona 1 y 7 = 690</t>
        </r>
      </text>
    </comment>
    <comment ref="AF12" authorId="0" shapeId="0">
      <text>
        <r>
          <rPr>
            <b/>
            <sz val="9"/>
            <color indexed="81"/>
            <rFont val="Tahoma"/>
            <family val="2"/>
          </rPr>
          <t>Zona 1 y 7 = 690</t>
        </r>
      </text>
    </comment>
    <comment ref="AG12" authorId="0" shapeId="0">
      <text>
        <r>
          <rPr>
            <b/>
            <sz val="9"/>
            <color indexed="81"/>
            <rFont val="Tahoma"/>
            <family val="2"/>
          </rPr>
          <t>Zona 1 y 7 = 690</t>
        </r>
      </text>
    </comment>
    <comment ref="AD13" authorId="0" shapeId="0">
      <text>
        <r>
          <rPr>
            <b/>
            <sz val="9"/>
            <color indexed="81"/>
            <rFont val="Tahoma"/>
            <family val="2"/>
          </rPr>
          <t>Zona 1 , 8 y 7 = 695</t>
        </r>
      </text>
    </comment>
    <comment ref="AF13" authorId="0" shapeId="0">
      <text>
        <r>
          <rPr>
            <b/>
            <sz val="9"/>
            <color indexed="81"/>
            <rFont val="Tahoma"/>
            <family val="2"/>
          </rPr>
          <t>Zona 1 , 8 y 7 = 695</t>
        </r>
      </text>
    </comment>
    <comment ref="AG13" authorId="0" shapeId="0">
      <text>
        <r>
          <rPr>
            <b/>
            <sz val="9"/>
            <color indexed="81"/>
            <rFont val="Tahoma"/>
            <family val="2"/>
          </rPr>
          <t>Zona 1 , 8 y 7 = 695</t>
        </r>
      </text>
    </comment>
    <comment ref="AD14" authorId="0" shapeId="0">
      <text>
        <r>
          <rPr>
            <b/>
            <sz val="9"/>
            <color indexed="81"/>
            <rFont val="Tahoma"/>
            <family val="2"/>
          </rPr>
          <t>Zona 1 , 8 y 7 = 695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Zona 1 , 8 y 7 = 695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Zona 1 , 8 y 7 = 695</t>
        </r>
      </text>
    </comment>
    <comment ref="AD15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D16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D17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D18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I19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43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Zona 1 , 8 y 7 = 705</t>
        </r>
      </text>
    </comment>
  </commentList>
</comments>
</file>

<file path=xl/comments2.xml><?xml version="1.0" encoding="utf-8"?>
<comments xmlns="http://schemas.openxmlformats.org/spreadsheetml/2006/main">
  <authors>
    <author>LAMBRANO Osbaldo E. TENARIS</author>
    <author>ARRIETA C. Carlos G. TENARIS</author>
  </authors>
  <commentList>
    <comment ref="Z9" authorId="0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Z10" authorId="0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12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" authorId="1" shapeId="0">
      <text>
        <r>
          <rPr>
            <b/>
            <sz val="9"/>
            <color indexed="81"/>
            <rFont val="Tahoma"/>
            <family val="2"/>
          </rPr>
          <t>ARRIETA C. Carlos G. rechazados por baja pirometria salida Horno Revenido, se valida con el tubo # 9 CN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<sst xmlns="http://schemas.openxmlformats.org/spreadsheetml/2006/main" count="198" uniqueCount="119">
  <si>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</si>
  <si>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</si>
  <si>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</si>
  <si>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</si>
  <si>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</si>
  <si>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</si>
  <si>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</si>
  <si>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</si>
  <si>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</si>
  <si>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</si>
  <si>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</si>
  <si>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</si>
  <si>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</si>
  <si>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</si>
  <si>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</si>
  <si>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</si>
  <si>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</si>
  <si>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</si>
  <si>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</si>
  <si>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</si>
  <si>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</si>
  <si>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</si>
  <si>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</si>
  <si>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</si>
  <si>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</si>
  <si>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</si>
  <si>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</si>
  <si>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</si>
  <si>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</si>
  <si>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</si>
  <si>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</si>
  <si>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</si>
  <si>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</si>
  <si>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</si>
  <si>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</si>
  <si>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</si>
  <si>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</si>
  <si>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</si>
  <si>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</si>
  <si>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</si>
  <si>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</si>
  <si>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</si>
  <si>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</si>
  <si>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</si>
  <si>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</si>
  <si>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</si>
  <si>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</si>
  <si>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</si>
  <si>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</si>
  <si>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</si>
  <si>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</si>
  <si>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</si>
  <si>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</si>
  <si>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</si>
  <si>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</si>
  <si>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</si>
  <si>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</si>
  <si>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</si>
  <si>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</si>
  <si>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</si>
  <si>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</si>
  <si>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</si>
  <si>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</si>
  <si>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</si>
  <si>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</si>
  <si>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</si>
  <si>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</si>
  <si>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</si>
  <si>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</si>
  <si>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</si>
  <si>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</si>
  <si>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</si>
  <si>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</si>
  <si>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</si>
  <si>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</si>
  <si>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</si>
  <si>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</si>
  <si>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</si>
  <si>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</si>
  <si>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</si>
  <si>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</si>
  <si>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</si>
  <si>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</si>
  <si>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</si>
  <si>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</si>
  <si>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</si>
  <si>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</si>
  <si>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</si>
  <si>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</si>
  <si>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</si>
  <si>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</si>
  <si>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</si>
  <si>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</si>
  <si>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</si>
  <si>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</si>
  <si>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</si>
  <si>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</si>
  <si>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</si>
  <si>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TPC 160,42  x 17,62 L80 1</t>
  </si>
  <si>
    <t>1 al 50</t>
  </si>
  <si>
    <t>51 al 92</t>
  </si>
  <si>
    <t>94 al 109</t>
  </si>
  <si>
    <t>1 al 11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</si>
  <si>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</si>
  <si>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</si>
  <si>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</si>
  <si>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</si>
  <si>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</si>
  <si>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</si>
  <si>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</si>
  <si>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</si>
  <si>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</si>
  <si>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</si>
  <si>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160,42 x 17,62 L80</t>
  </si>
  <si>
    <t>1 al 10</t>
  </si>
  <si>
    <t>1 al 80</t>
  </si>
  <si>
    <t>9 veri prop.</t>
  </si>
  <si>
    <t>TAMSA</t>
  </si>
  <si>
    <t>1 al 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</si>
</sst>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\-mmm\-yy;@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3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37" fillId="0" borderId="1" xfId="0" applyFont="1" applyFill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0" fontId="43" fillId="4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Fill="1" applyBorder="1" applyAlignment="1"/>
    <xf numFmtId="14" fontId="48" fillId="0" borderId="0" xfId="0" quotePrefix="1" applyNumberFormat="1" applyFont="1" applyFill="1" applyBorder="1" applyAlignment="1"/>
    <xf numFmtId="14" fontId="48" fillId="0" borderId="0" xfId="0" applyNumberFormat="1" applyFont="1" applyFill="1" applyBorder="1" applyAlignment="1"/>
    <xf numFmtId="165" fontId="45" fillId="0" borderId="0" xfId="0" applyNumberFormat="1" applyFont="1" applyAlignment="1">
      <alignment horizontal="center"/>
    </xf>
    <xf numFmtId="0" fontId="50" fillId="0" borderId="20" xfId="0" applyFont="1" applyFill="1" applyBorder="1" applyAlignment="1"/>
    <xf numFmtId="165" fontId="50" fillId="0" borderId="20" xfId="0" applyNumberFormat="1" applyFont="1" applyFill="1" applyBorder="1" applyAlignment="1">
      <alignment horizontal="center"/>
    </xf>
    <xf numFmtId="0" fontId="50" fillId="0" borderId="18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21" fontId="28" fillId="7" borderId="0" xfId="0" applyNumberFormat="1" applyFont="1" applyFill="1" applyBorder="1" applyAlignment="1" applyProtection="1">
      <alignment horizontal="center" vertical="center"/>
      <protection hidden="1"/>
    </xf>
    <xf numFmtId="21" fontId="41" fillId="7" borderId="0" xfId="0" applyNumberFormat="1" applyFont="1" applyFill="1" applyBorder="1" applyAlignment="1" applyProtection="1">
      <alignment horizontal="center" vertical="center"/>
      <protection hidden="1"/>
    </xf>
    <xf numFmtId="0" fontId="16" fillId="7" borderId="0" xfId="0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35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8" fillId="6" borderId="0" xfId="0" applyFont="1" applyFill="1" applyBorder="1" applyAlignment="1" applyProtection="1">
      <alignment horizontal="left" vertical="center"/>
      <protection hidden="1"/>
    </xf>
    <xf numFmtId="0" fontId="21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Border="1" applyAlignment="1" applyProtection="1">
      <alignment horizontal="right" vertical="center"/>
      <protection hidden="1"/>
    </xf>
    <xf numFmtId="0" fontId="22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3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40" fillId="6" borderId="0" xfId="0" applyFont="1" applyFill="1" applyBorder="1" applyAlignment="1" applyProtection="1">
      <alignment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19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2" fillId="6" borderId="0" xfId="0" applyFont="1" applyFill="1" applyBorder="1" applyAlignment="1" applyProtection="1">
      <alignment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Border="1" applyAlignment="1" applyProtection="1">
      <alignment vertical="center"/>
      <protection hidden="1"/>
    </xf>
    <xf numFmtId="0" fontId="31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14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42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6" xfId="0" applyFill="1" applyBorder="1" applyAlignment="1" applyProtection="1">
      <alignment vertical="center"/>
      <protection hidden="1"/>
    </xf>
    <xf numFmtId="0" fontId="0" fillId="6" borderId="15" xfId="0" applyFill="1" applyBorder="1" applyAlignment="1" applyProtection="1">
      <alignment vertical="center"/>
      <protection hidden="1"/>
    </xf>
    <xf numFmtId="0" fontId="1" fillId="6" borderId="15" xfId="0" applyFont="1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21" fontId="23" fillId="6" borderId="21" xfId="0" applyNumberFormat="1" applyFont="1" applyFill="1" applyBorder="1" applyAlignment="1" applyProtection="1">
      <alignment horizontal="center" vertical="center"/>
      <protection hidden="1"/>
    </xf>
    <xf numFmtId="0" fontId="8" fillId="6" borderId="19" xfId="0" applyFont="1" applyFill="1" applyBorder="1" applyAlignment="1" applyProtection="1">
      <alignment horizontal="center"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10" fillId="6" borderId="19" xfId="0" applyFont="1" applyFill="1" applyBorder="1" applyAlignment="1" applyProtection="1">
      <alignment vertical="center"/>
      <protection hidden="1"/>
    </xf>
    <xf numFmtId="0" fontId="25" fillId="6" borderId="21" xfId="0" applyFont="1" applyFill="1" applyBorder="1" applyAlignment="1" applyProtection="1">
      <alignment vertical="center"/>
      <protection hidden="1"/>
    </xf>
    <xf numFmtId="21" fontId="28" fillId="6" borderId="21" xfId="0" applyNumberFormat="1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25" fillId="6" borderId="20" xfId="0" applyFont="1" applyFill="1" applyBorder="1" applyAlignment="1" applyProtection="1">
      <alignment vertical="center"/>
      <protection hidden="1"/>
    </xf>
    <xf numFmtId="0" fontId="42" fillId="6" borderId="20" xfId="0" applyFont="1" applyFill="1" applyBorder="1" applyAlignment="1" applyProtection="1">
      <alignment vertical="center"/>
      <protection hidden="1"/>
    </xf>
    <xf numFmtId="0" fontId="41" fillId="6" borderId="20" xfId="0" applyFont="1" applyFill="1" applyBorder="1" applyAlignment="1" applyProtection="1">
      <alignment vertical="center"/>
      <protection hidden="1"/>
    </xf>
    <xf numFmtId="21" fontId="41" fillId="6" borderId="20" xfId="0" applyNumberFormat="1" applyFont="1" applyFill="1" applyBorder="1" applyAlignment="1" applyProtection="1">
      <alignment horizontal="center" vertical="center"/>
      <protection hidden="1"/>
    </xf>
    <xf numFmtId="21" fontId="31" fillId="6" borderId="20" xfId="0" applyNumberFormat="1" applyFont="1" applyFill="1" applyBorder="1" applyAlignment="1" applyProtection="1">
      <alignment horizontal="center" vertical="center"/>
      <protection hidden="1"/>
    </xf>
    <xf numFmtId="21" fontId="28" fillId="6" borderId="18" xfId="0" applyNumberFormat="1" applyFont="1" applyFill="1" applyBorder="1" applyAlignment="1" applyProtection="1">
      <alignment horizontal="center" vertical="center"/>
      <protection hidden="1"/>
    </xf>
    <xf numFmtId="0" fontId="58" fillId="5" borderId="0" xfId="0" applyFont="1" applyFill="1" applyBorder="1" applyAlignment="1">
      <alignment horizontal="center"/>
    </xf>
    <xf numFmtId="0" fontId="43" fillId="5" borderId="0" xfId="0" applyFont="1" applyFill="1" applyBorder="1" applyAlignment="1">
      <alignment horizontal="center" vertical="center" wrapText="1"/>
    </xf>
    <xf numFmtId="15" fontId="55" fillId="0" borderId="3" xfId="0" applyNumberFormat="1" applyFont="1" applyFill="1" applyBorder="1" applyAlignment="1">
      <alignment horizontal="center"/>
    </xf>
    <xf numFmtId="0" fontId="56" fillId="0" borderId="1" xfId="3" applyFont="1" applyBorder="1" applyAlignment="1">
      <alignment horizontal="center"/>
    </xf>
    <xf numFmtId="3" fontId="56" fillId="0" borderId="2" xfId="2" applyNumberFormat="1" applyFont="1" applyFill="1" applyBorder="1" applyAlignment="1" applyProtection="1">
      <alignment horizontal="center"/>
      <protection locked="0"/>
    </xf>
    <xf numFmtId="3" fontId="57" fillId="0" borderId="1" xfId="0" applyNumberFormat="1" applyFont="1" applyFill="1" applyBorder="1" applyAlignment="1" applyProtection="1">
      <alignment horizontal="center"/>
    </xf>
    <xf numFmtId="0" fontId="59" fillId="0" borderId="1" xfId="0" applyFont="1" applyFill="1" applyBorder="1" applyAlignment="1" applyProtection="1">
      <alignment horizontal="center"/>
      <protection locked="0"/>
    </xf>
    <xf numFmtId="0" fontId="56" fillId="0" borderId="24" xfId="0" applyFont="1" applyBorder="1" applyAlignment="1">
      <alignment horizontal="center"/>
    </xf>
    <xf numFmtId="0" fontId="61" fillId="0" borderId="0" xfId="0" applyFont="1" applyFill="1" applyBorder="1" applyAlignment="1"/>
    <xf numFmtId="0" fontId="62" fillId="0" borderId="0" xfId="0" applyFont="1" applyFill="1" applyBorder="1" applyAlignment="1"/>
    <xf numFmtId="0" fontId="62" fillId="0" borderId="0" xfId="0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0" fontId="64" fillId="4" borderId="0" xfId="0" applyFont="1" applyFill="1" applyAlignment="1">
      <alignment horizontal="center" vertical="center" wrapText="1"/>
    </xf>
    <xf numFmtId="3" fontId="63" fillId="0" borderId="23" xfId="2" applyNumberFormat="1" applyFont="1" applyFill="1" applyBorder="1" applyAlignment="1" applyProtection="1">
      <alignment horizontal="center"/>
      <protection locked="0"/>
    </xf>
    <xf numFmtId="3" fontId="59" fillId="0" borderId="1" xfId="0" applyNumberFormat="1" applyFont="1" applyFill="1" applyBorder="1" applyAlignment="1" applyProtection="1">
      <alignment horizontal="center"/>
      <protection locked="0"/>
    </xf>
    <xf numFmtId="0" fontId="43" fillId="4" borderId="0" xfId="0" applyFont="1" applyFill="1" applyAlignment="1">
      <alignment horizontal="center" vertical="center"/>
    </xf>
    <xf numFmtId="0" fontId="49" fillId="8" borderId="0" xfId="0" applyFont="1" applyFill="1" applyAlignment="1">
      <alignment horizontal="center"/>
    </xf>
    <xf numFmtId="0" fontId="44" fillId="8" borderId="0" xfId="0" applyFont="1" applyFill="1" applyBorder="1" applyAlignment="1"/>
    <xf numFmtId="0" fontId="65" fillId="8" borderId="0" xfId="0" applyFont="1" applyFill="1" applyBorder="1" applyAlignment="1">
      <alignment horizontal="center"/>
    </xf>
    <xf numFmtId="0" fontId="45" fillId="8" borderId="0" xfId="0" applyFont="1" applyFill="1" applyAlignment="1">
      <alignment horizontal="center"/>
    </xf>
    <xf numFmtId="0" fontId="52" fillId="8" borderId="0" xfId="0" applyFont="1" applyFill="1" applyAlignment="1">
      <alignment horizontal="center"/>
    </xf>
    <xf numFmtId="0" fontId="53" fillId="8" borderId="0" xfId="0" applyFont="1" applyFill="1" applyBorder="1" applyAlignment="1">
      <alignment horizontal="right"/>
    </xf>
    <xf numFmtId="1" fontId="51" fillId="7" borderId="0" xfId="0" applyNumberFormat="1" applyFont="1" applyFill="1" applyBorder="1" applyAlignment="1">
      <alignment horizontal="center"/>
    </xf>
    <xf numFmtId="165" fontId="51" fillId="8" borderId="0" xfId="0" applyNumberFormat="1" applyFont="1" applyFill="1" applyBorder="1" applyAlignment="1">
      <alignment horizontal="center"/>
    </xf>
    <xf numFmtId="1" fontId="45" fillId="8" borderId="0" xfId="0" applyNumberFormat="1" applyFont="1" applyFill="1" applyAlignment="1">
      <alignment horizontal="center"/>
    </xf>
    <xf numFmtId="3" fontId="56" fillId="7" borderId="2" xfId="2" applyNumberFormat="1" applyFont="1" applyFill="1" applyBorder="1" applyAlignment="1" applyProtection="1">
      <alignment horizontal="center"/>
      <protection locked="0"/>
    </xf>
    <xf numFmtId="3" fontId="56" fillId="7" borderId="1" xfId="2" applyNumberFormat="1" applyFont="1" applyFill="1" applyBorder="1" applyAlignment="1" applyProtection="1">
      <alignment horizontal="center"/>
      <protection locked="0"/>
    </xf>
    <xf numFmtId="0" fontId="56" fillId="7" borderId="2" xfId="0" applyFont="1" applyFill="1" applyBorder="1" applyAlignment="1">
      <alignment horizontal="center"/>
    </xf>
    <xf numFmtId="0" fontId="56" fillId="7" borderId="24" xfId="0" applyFont="1" applyFill="1" applyBorder="1" applyAlignment="1">
      <alignment horizontal="center"/>
    </xf>
    <xf numFmtId="3" fontId="56" fillId="7" borderId="3" xfId="2" applyNumberFormat="1" applyFont="1" applyFill="1" applyBorder="1" applyAlignment="1" applyProtection="1">
      <alignment horizontal="center"/>
      <protection locked="0"/>
    </xf>
    <xf numFmtId="3" fontId="56" fillId="7" borderId="23" xfId="2" applyNumberFormat="1" applyFont="1" applyFill="1" applyBorder="1" applyAlignment="1" applyProtection="1">
      <alignment horizontal="center"/>
      <protection locked="0"/>
    </xf>
    <xf numFmtId="3" fontId="56" fillId="7" borderId="3" xfId="0" applyNumberFormat="1" applyFont="1" applyFill="1" applyBorder="1" applyAlignment="1">
      <alignment horizontal="center"/>
    </xf>
    <xf numFmtId="165" fontId="37" fillId="0" borderId="1" xfId="0" applyNumberFormat="1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0" fontId="39" fillId="0" borderId="21" xfId="4" applyFont="1" applyBorder="1" applyAlignment="1">
      <alignment wrapText="1"/>
    </xf>
    <xf numFmtId="0" fontId="71" fillId="9" borderId="29" xfId="4" applyFont="1" applyFill="1" applyBorder="1" applyAlignment="1">
      <alignment horizontal="center"/>
    </xf>
    <xf numFmtId="0" fontId="71" fillId="11" borderId="29" xfId="4" applyFont="1" applyFill="1" applyBorder="1" applyAlignment="1">
      <alignment horizontal="center"/>
    </xf>
    <xf numFmtId="0" fontId="71" fillId="12" borderId="30" xfId="4" applyFont="1" applyFill="1" applyBorder="1" applyAlignment="1">
      <alignment horizontal="center"/>
    </xf>
    <xf numFmtId="0" fontId="72" fillId="14" borderId="1" xfId="4" applyFont="1" applyFill="1" applyBorder="1" applyAlignment="1">
      <alignment horizontal="center" vertical="center" wrapText="1"/>
    </xf>
    <xf numFmtId="0" fontId="72" fillId="10" borderId="1" xfId="4" applyFont="1" applyFill="1" applyBorder="1" applyAlignment="1">
      <alignment horizontal="center" vertical="center" wrapText="1"/>
    </xf>
    <xf numFmtId="0" fontId="71" fillId="9" borderId="1" xfId="4" applyFont="1" applyFill="1" applyBorder="1" applyAlignment="1">
      <alignment horizontal="center" vertical="center" wrapText="1"/>
    </xf>
    <xf numFmtId="0" fontId="71" fillId="11" borderId="1" xfId="4" applyFont="1" applyFill="1" applyBorder="1" applyAlignment="1">
      <alignment horizontal="center" vertical="center" wrapText="1"/>
    </xf>
    <xf numFmtId="0" fontId="71" fillId="12" borderId="1" xfId="4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20" fillId="7" borderId="1" xfId="0" applyNumberFormat="1" applyFont="1" applyFill="1" applyBorder="1" applyAlignment="1">
      <alignment horizontal="center"/>
    </xf>
    <xf numFmtId="15" fontId="20" fillId="2" borderId="1" xfId="0" applyNumberFormat="1" applyFont="1" applyFill="1" applyBorder="1" applyAlignment="1">
      <alignment horizontal="center"/>
    </xf>
    <xf numFmtId="1" fontId="37" fillId="0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67" fontId="55" fillId="0" borderId="3" xfId="0" applyNumberFormat="1" applyFont="1" applyFill="1" applyBorder="1" applyAlignment="1">
      <alignment horizontal="center"/>
    </xf>
    <xf numFmtId="0" fontId="60" fillId="6" borderId="0" xfId="0" applyFont="1" applyFill="1" applyBorder="1" applyAlignment="1" applyProtection="1">
      <alignment horizontal="center" vertical="center"/>
      <protection hidden="1"/>
    </xf>
    <xf numFmtId="0" fontId="71" fillId="12" borderId="29" xfId="4" applyFont="1" applyFill="1" applyBorder="1" applyAlignment="1">
      <alignment horizontal="center"/>
    </xf>
    <xf numFmtId="0" fontId="69" fillId="11" borderId="26" xfId="4" applyFont="1" applyFill="1" applyBorder="1" applyAlignment="1">
      <alignment horizontal="center"/>
    </xf>
    <xf numFmtId="0" fontId="68" fillId="9" borderId="25" xfId="4" applyFont="1" applyFill="1" applyBorder="1" applyAlignment="1">
      <alignment horizontal="center"/>
    </xf>
    <xf numFmtId="0" fontId="68" fillId="9" borderId="26" xfId="4" applyFont="1" applyFill="1" applyBorder="1" applyAlignment="1">
      <alignment horizontal="center"/>
    </xf>
    <xf numFmtId="0" fontId="69" fillId="12" borderId="26" xfId="4" applyFont="1" applyFill="1" applyBorder="1" applyAlignment="1">
      <alignment horizontal="center"/>
    </xf>
    <xf numFmtId="0" fontId="69" fillId="12" borderId="27" xfId="4" applyFont="1" applyFill="1" applyBorder="1" applyAlignment="1">
      <alignment horizontal="center"/>
    </xf>
    <xf numFmtId="0" fontId="71" fillId="9" borderId="28" xfId="4" applyFont="1" applyFill="1" applyBorder="1" applyAlignment="1">
      <alignment horizontal="center"/>
    </xf>
    <xf numFmtId="0" fontId="71" fillId="9" borderId="29" xfId="4" applyFont="1" applyFill="1" applyBorder="1" applyAlignment="1">
      <alignment horizontal="center"/>
    </xf>
    <xf numFmtId="0" fontId="73" fillId="0" borderId="20" xfId="0" applyFont="1" applyFill="1" applyBorder="1" applyAlignment="1">
      <alignment horizontal="center" vertical="center"/>
    </xf>
    <xf numFmtId="0" fontId="74" fillId="0" borderId="20" xfId="0" applyFont="1" applyFill="1" applyBorder="1" applyAlignment="1">
      <alignment horizontal="center" vertical="center"/>
    </xf>
    <xf numFmtId="0" fontId="70" fillId="13" borderId="10" xfId="4" applyFont="1" applyFill="1" applyBorder="1" applyAlignment="1">
      <alignment horizontal="center" vertical="center" shrinkToFit="1"/>
    </xf>
    <xf numFmtId="0" fontId="70" fillId="13" borderId="11" xfId="4" applyFont="1" applyFill="1" applyBorder="1" applyAlignment="1">
      <alignment horizontal="center" vertical="center" shrinkToFit="1"/>
    </xf>
    <xf numFmtId="0" fontId="70" fillId="13" borderId="15" xfId="4" applyFont="1" applyFill="1" applyBorder="1" applyAlignment="1">
      <alignment horizontal="center" vertical="center" shrinkToFit="1"/>
    </xf>
    <xf numFmtId="0" fontId="70" fillId="13" borderId="17" xfId="4" applyFont="1" applyFill="1" applyBorder="1" applyAlignment="1">
      <alignment horizontal="center" vertical="center" shrinkToFit="1"/>
    </xf>
    <xf numFmtId="0" fontId="67" fillId="10" borderId="16" xfId="4" applyFont="1" applyFill="1" applyBorder="1" applyAlignment="1">
      <alignment horizontal="center" vertical="center"/>
    </xf>
    <xf numFmtId="0" fontId="67" fillId="10" borderId="7" xfId="4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67" fillId="10" borderId="6" xfId="4" applyFont="1" applyFill="1" applyBorder="1" applyAlignment="1">
      <alignment horizontal="center" vertical="center"/>
    </xf>
    <xf numFmtId="0" fontId="67" fillId="10" borderId="15" xfId="4" applyFont="1" applyFill="1" applyBorder="1" applyAlignment="1">
      <alignment horizontal="center" vertical="center"/>
    </xf>
    <xf numFmtId="0" fontId="67" fillId="10" borderId="4" xfId="4" applyFont="1" applyFill="1" applyBorder="1" applyAlignment="1">
      <alignment horizontal="center" vertical="center"/>
    </xf>
    <xf numFmtId="0" fontId="70" fillId="10" borderId="6" xfId="4" applyFont="1" applyFill="1" applyBorder="1" applyAlignment="1">
      <alignment horizontal="center" vertical="center" shrinkToFit="1"/>
    </xf>
    <xf numFmtId="0" fontId="70" fillId="10" borderId="15" xfId="4" applyFont="1" applyFill="1" applyBorder="1" applyAlignment="1">
      <alignment horizontal="center" vertical="center" shrinkToFit="1"/>
    </xf>
    <xf numFmtId="0" fontId="70" fillId="13" borderId="9" xfId="4" applyFont="1" applyFill="1" applyBorder="1" applyAlignment="1">
      <alignment horizontal="center" vertical="center" shrinkToFit="1"/>
    </xf>
    <xf numFmtId="0" fontId="70" fillId="13" borderId="8" xfId="4" applyFont="1" applyFill="1" applyBorder="1" applyAlignment="1">
      <alignment horizontal="center" vertical="center" shrinkToFit="1"/>
    </xf>
    <xf numFmtId="0" fontId="58" fillId="5" borderId="20" xfId="0" applyFont="1" applyFill="1" applyBorder="1" applyAlignment="1">
      <alignment horizontal="center"/>
    </xf>
    <xf numFmtId="0" fontId="58" fillId="5" borderId="0" xfId="0" applyFont="1" applyFill="1" applyAlignment="1">
      <alignment horizontal="center"/>
    </xf>
    <xf numFmtId="0" fontId="43" fillId="5" borderId="6" xfId="0" applyFont="1" applyFill="1" applyBorder="1" applyAlignment="1">
      <alignment horizontal="center" vertical="center" wrapText="1"/>
    </xf>
    <xf numFmtId="0" fontId="43" fillId="5" borderId="15" xfId="0" applyFont="1" applyFill="1" applyBorder="1" applyAlignment="1">
      <alignment horizontal="center" vertical="center" wrapText="1"/>
    </xf>
    <xf numFmtId="0" fontId="43" fillId="5" borderId="17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7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769-4C14-897A-718E8B81B73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769-4C14-897A-718E8B81B73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769-4C14-897A-718E8B81B73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E769-4C14-897A-718E8B81B73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E769-4C14-897A-718E8B81B73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E769-4C14-897A-718E8B81B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892560"/>
        <c:axId val="330894128"/>
      </c:barChart>
      <c:catAx>
        <c:axId val="33089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08941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0894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08925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929-443D-A945-16A5904098F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929-443D-A945-16A5904098F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929-443D-A945-16A5904098F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929-443D-A945-16A5904098F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929-443D-A945-16A5904098F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929-443D-A945-16A5904098F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929-443D-A945-16A5904098F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929-443D-A945-16A5904098F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929-443D-A945-16A5904098F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929-443D-A945-16A5904098F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929-443D-A945-16A590409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766896"/>
        <c:axId val="233767288"/>
      </c:lineChart>
      <c:catAx>
        <c:axId val="23376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767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767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7668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D7-436A-82C8-64B16AD358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D7-436A-82C8-64B16AD358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D7-436A-82C8-64B16AD358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D7-436A-82C8-64B16AD358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D7-436A-82C8-64B16AD358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DD7-436A-82C8-64B16AD358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D7-436A-82C8-64B16AD358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D7-436A-82C8-64B16AD358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D7-436A-82C8-64B16AD358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DD7-436A-82C8-64B16AD358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DD7-436A-82C8-64B16AD358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D7-436A-82C8-64B16AD358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DD7-436A-82C8-64B16AD358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DD7-436A-82C8-64B16AD35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648632"/>
        <c:axId val="372649024"/>
      </c:barChart>
      <c:catAx>
        <c:axId val="372648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649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649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648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D8-4153-935F-96E99D35C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D8-4153-935F-96E99D35CE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D8-4153-935F-96E99D35CE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D8-4153-935F-96E99D35CE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D8-4153-935F-96E99D35C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D8-4153-935F-96E99D35CE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D8-4153-935F-96E99D35CE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D8-4153-935F-96E99D35CE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D8-4153-935F-96E99D35C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D8-4153-935F-96E99D35CE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D8-4153-935F-96E99D35CE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D8-4153-935F-96E99D35CE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D8-4153-935F-96E99D35C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D8-4153-935F-96E99D35C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649808"/>
        <c:axId val="372650200"/>
      </c:barChart>
      <c:catAx>
        <c:axId val="372649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650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650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649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39-4149-97DF-A2068F1E9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39-4149-97DF-A2068F1E9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39-4149-97DF-A2068F1E9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39-4149-97DF-A2068F1E9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39-4149-97DF-A2068F1E9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39-4149-97DF-A2068F1E9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39-4149-97DF-A2068F1E9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39-4149-97DF-A2068F1E9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39-4149-97DF-A2068F1E9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39-4149-97DF-A2068F1E9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39-4149-97DF-A2068F1E9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39-4149-97DF-A2068F1E9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39-4149-97DF-A2068F1E9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39-4149-97DF-A2068F1E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650984"/>
        <c:axId val="372651376"/>
      </c:barChart>
      <c:catAx>
        <c:axId val="37265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651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651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650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2E-4647-AE0F-63B25BA735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2E-4647-AE0F-63B25BA7352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2E-4647-AE0F-63B25BA735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2E-4647-AE0F-63B25BA735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2E-4647-AE0F-63B25BA735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2E-4647-AE0F-63B25BA7352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2E-4647-AE0F-63B25BA735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2E-4647-AE0F-63B25BA735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2E-4647-AE0F-63B25BA735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2E-4647-AE0F-63B25BA7352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2E-4647-AE0F-63B25BA735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2E-4647-AE0F-63B25BA735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2E-4647-AE0F-63B25BA735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2E-4647-AE0F-63B25BA73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652160"/>
        <c:axId val="372652552"/>
      </c:barChart>
      <c:catAx>
        <c:axId val="37265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652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652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652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79-4DAC-A199-A0720243AF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79-4DAC-A199-A0720243AF8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9-4DAC-A199-A0720243AF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79-4DAC-A199-A0720243AF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9-4DAC-A199-A0720243AF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79-4DAC-A199-A0720243AF8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79-4DAC-A199-A0720243AF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79-4DAC-A199-A0720243AF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79-4DAC-A199-A0720243AF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79-4DAC-A199-A0720243AF8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79-4DAC-A199-A0720243AF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79-4DAC-A199-A0720243AF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79-4DAC-A199-A0720243AF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79-4DAC-A199-A0720243A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653336"/>
        <c:axId val="372653728"/>
      </c:barChart>
      <c:catAx>
        <c:axId val="372653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653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653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653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7E3-49A8-A51F-EC79CBF788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7E3-49A8-A51F-EC79CBF788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E3-49A8-A51F-EC79CBF788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E3-49A8-A51F-EC79CBF788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E3-49A8-A51F-EC79CBF788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7E3-49A8-A51F-EC79CBF788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E3-49A8-A51F-EC79CBF788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E3-49A8-A51F-EC79CBF788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7E3-49A8-A51F-EC79CBF788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7E3-49A8-A51F-EC79CBF788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7E3-49A8-A51F-EC79CBF788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E3-49A8-A51F-EC79CBF788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7E3-49A8-A51F-EC79CBF788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7E3-49A8-A51F-EC79CBF78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19920"/>
        <c:axId val="387220312"/>
      </c:barChart>
      <c:catAx>
        <c:axId val="38721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0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20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19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A8-4EBD-BCF7-741CB0DC62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A8-4EBD-BCF7-741CB0DC62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A8-4EBD-BCF7-741CB0DC62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A8-4EBD-BCF7-741CB0DC62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A8-4EBD-BCF7-741CB0DC62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A8-4EBD-BCF7-741CB0DC62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A8-4EBD-BCF7-741CB0DC62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A8-4EBD-BCF7-741CB0DC62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A8-4EBD-BCF7-741CB0DC62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A8-4EBD-BCF7-741CB0DC62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A8-4EBD-BCF7-741CB0DC62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A8-4EBD-BCF7-741CB0DC62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A8-4EBD-BCF7-741CB0DC62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A8-4EBD-BCF7-741CB0DC6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21096"/>
        <c:axId val="387221488"/>
      </c:barChart>
      <c:catAx>
        <c:axId val="387221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1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21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1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E0-4C9A-A34A-0F584426B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E0-4C9A-A34A-0F584426BB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E0-4C9A-A34A-0F584426BB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E0-4C9A-A34A-0F584426BB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E0-4C9A-A34A-0F584426B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E0-4C9A-A34A-0F584426BB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E0-4C9A-A34A-0F584426BB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E0-4C9A-A34A-0F584426BB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E0-4C9A-A34A-0F584426B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E0-4C9A-A34A-0F584426BB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E0-4C9A-A34A-0F584426BB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E0-4C9A-A34A-0F584426BB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E0-4C9A-A34A-0F584426B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E0-4C9A-A34A-0F584426B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22272"/>
        <c:axId val="387222664"/>
      </c:barChart>
      <c:catAx>
        <c:axId val="38722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2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22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2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5-4A3A-9566-44139ECDA3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95-4A3A-9566-44139ECDA3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95-4A3A-9566-44139ECDA3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95-4A3A-9566-44139ECDA3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95-4A3A-9566-44139ECDA3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95-4A3A-9566-44139ECDA3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95-4A3A-9566-44139ECDA3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95-4A3A-9566-44139ECDA3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95-4A3A-9566-44139ECDA3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95-4A3A-9566-44139ECDA3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95-4A3A-9566-44139ECDA3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95-4A3A-9566-44139ECDA3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95-4A3A-9566-44139ECDA3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95-4A3A-9566-44139ECDA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23448"/>
        <c:axId val="387223840"/>
      </c:barChart>
      <c:catAx>
        <c:axId val="387223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3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23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3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6E-44AC-B284-6ED82D98EB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6E-44AC-B284-6ED82D98EB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6E-44AC-B284-6ED82D98EB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6E-44AC-B284-6ED82D98EB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6E-44AC-B284-6ED82D98EB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6E-44AC-B284-6ED82D98EB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6E-44AC-B284-6ED82D98EB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6E-44AC-B284-6ED82D98EB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6E-44AC-B284-6ED82D98EB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6E-44AC-B284-6ED82D98EB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6E-44AC-B284-6ED82D98EB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6E-44AC-B284-6ED82D98EB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6E-44AC-B284-6ED82D98EB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6E-44AC-B284-6ED82D98E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24624"/>
        <c:axId val="387225016"/>
      </c:barChart>
      <c:catAx>
        <c:axId val="38722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5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25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4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E1-41CC-BECE-FE7AB1BBD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E1-41CC-BECE-FE7AB1BBDF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E1-41CC-BECE-FE7AB1BBD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E1-41CC-BECE-FE7AB1BBD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E1-41CC-BECE-FE7AB1BBD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E1-41CC-BECE-FE7AB1BBDF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E1-41CC-BECE-FE7AB1BBD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E1-41CC-BECE-FE7AB1BBD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E1-41CC-BECE-FE7AB1BBD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E1-41CC-BECE-FE7AB1BBDF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E1-41CC-BECE-FE7AB1BBD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E1-41CC-BECE-FE7AB1BBD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E1-41CC-BECE-FE7AB1BBD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E1-41CC-BECE-FE7AB1BBD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25800"/>
        <c:axId val="387226192"/>
      </c:barChart>
      <c:catAx>
        <c:axId val="387225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6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26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5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35-4649-A938-CA98BAF8AC5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35-4649-A938-CA98BAF8AC5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35-4649-A938-CA98BAF8AC5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35-4649-A938-CA98BAF8AC5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35-4649-A938-CA98BAF8AC5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35-4649-A938-CA98BAF8AC5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35-4649-A938-CA98BAF8AC5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35-4649-A938-CA98BAF8AC5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35-4649-A938-CA98BAF8AC5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35-4649-A938-CA98BAF8AC5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35-4649-A938-CA98BAF8AC5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35-4649-A938-CA98BAF8AC5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35-4649-A938-CA98BAF8AC5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35-4649-A938-CA98BAF8A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26976"/>
        <c:axId val="387227368"/>
      </c:barChart>
      <c:catAx>
        <c:axId val="38722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7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27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6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1CB-4A09-9C83-A839F2B31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1CB-4A09-9C83-A839F2B31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1CB-4A09-9C83-A839F2B31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CB-4A09-9C83-A839F2B31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1CB-4A09-9C83-A839F2B31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1CB-4A09-9C83-A839F2B31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1CB-4A09-9C83-A839F2B31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CB-4A09-9C83-A839F2B31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CB-4A09-9C83-A839F2B31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1CB-4A09-9C83-A839F2B31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1CB-4A09-9C83-A839F2B31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CB-4A09-9C83-A839F2B31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1CB-4A09-9C83-A839F2B31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1CB-4A09-9C83-A839F2B31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28152"/>
        <c:axId val="387228544"/>
      </c:barChart>
      <c:catAx>
        <c:axId val="387228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28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8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6AB-4E24-9562-EBA44E829F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6AB-4E24-9562-EBA44E829F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6AB-4E24-9562-EBA44E829F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AB-4E24-9562-EBA44E829F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6AB-4E24-9562-EBA44E829F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6AB-4E24-9562-EBA44E829F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6AB-4E24-9562-EBA44E829F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6AB-4E24-9562-EBA44E829F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6AB-4E24-9562-EBA44E829F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6AB-4E24-9562-EBA44E829F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AB-4E24-9562-EBA44E829F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AB-4E24-9562-EBA44E829F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AB-4E24-9562-EBA44E829F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6AB-4E24-9562-EBA44E82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29328"/>
        <c:axId val="387229720"/>
      </c:barChart>
      <c:catAx>
        <c:axId val="38722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9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29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9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7C-4989-A66C-3942CD621D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7C-4989-A66C-3942CD621D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7C-4989-A66C-3942CD621D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7C-4989-A66C-3942CD621D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7C-4989-A66C-3942CD621D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7C-4989-A66C-3942CD621D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7C-4989-A66C-3942CD621D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7C-4989-A66C-3942CD621D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7C-4989-A66C-3942CD621D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7C-4989-A66C-3942CD621D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7C-4989-A66C-3942CD621D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7C-4989-A66C-3942CD621D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7C-4989-A66C-3942CD621D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7C-4989-A66C-3942CD621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30504"/>
        <c:axId val="387230896"/>
      </c:barChart>
      <c:catAx>
        <c:axId val="387230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0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30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0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25-4261-B107-C008B520E2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125-4261-B107-C008B520E26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25-4261-B107-C008B520E2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25-4261-B107-C008B520E2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25-4261-B107-C008B520E2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125-4261-B107-C008B520E26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25-4261-B107-C008B520E2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25-4261-B107-C008B520E2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25-4261-B107-C008B520E2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125-4261-B107-C008B520E26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125-4261-B107-C008B520E2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125-4261-B107-C008B520E2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125-4261-B107-C008B520E2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125-4261-B107-C008B520E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31680"/>
        <c:axId val="387232072"/>
      </c:barChart>
      <c:catAx>
        <c:axId val="38723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2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32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1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4B-4CD5-8E81-01EBEBC5B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4B-4CD5-8E81-01EBEBC5B4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4B-4CD5-8E81-01EBEBC5B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B-4CD5-8E81-01EBEBC5B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4B-4CD5-8E81-01EBEBC5B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4B-4CD5-8E81-01EBEBC5B4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4B-4CD5-8E81-01EBEBC5B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4B-4CD5-8E81-01EBEBC5B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4B-4CD5-8E81-01EBEBC5B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4B-4CD5-8E81-01EBEBC5B4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4B-4CD5-8E81-01EBEBC5B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4B-4CD5-8E81-01EBEBC5B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4B-4CD5-8E81-01EBEBC5B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4B-4CD5-8E81-01EBEBC5B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32856"/>
        <c:axId val="387233248"/>
      </c:barChart>
      <c:catAx>
        <c:axId val="387232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3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33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2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FB-433A-8BE6-047831878E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FB-433A-8BE6-047831878EE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FB-433A-8BE6-047831878E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FB-433A-8BE6-047831878E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FB-433A-8BE6-047831878E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FB-433A-8BE6-047831878EE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FB-433A-8BE6-047831878E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FB-433A-8BE6-047831878E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FB-433A-8BE6-047831878E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FB-433A-8BE6-047831878EE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FB-433A-8BE6-047831878E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FB-433A-8BE6-047831878E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FB-433A-8BE6-047831878E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FB-433A-8BE6-047831878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34032"/>
        <c:axId val="387234424"/>
      </c:barChart>
      <c:catAx>
        <c:axId val="38723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4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34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4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8A-4E51-9204-AB7E1F04DC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8A-4E51-9204-AB7E1F04DC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8A-4E51-9204-AB7E1F04DC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8A-4E51-9204-AB7E1F04DC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8A-4E51-9204-AB7E1F04DC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8A-4E51-9204-AB7E1F04DC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8A-4E51-9204-AB7E1F04DC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8A-4E51-9204-AB7E1F04DC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8A-4E51-9204-AB7E1F04DC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8A-4E51-9204-AB7E1F04DC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8A-4E51-9204-AB7E1F04DC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8A-4E51-9204-AB7E1F04DC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8A-4E51-9204-AB7E1F04DC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8A-4E51-9204-AB7E1F04D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35208"/>
        <c:axId val="336398176"/>
      </c:barChart>
      <c:catAx>
        <c:axId val="387235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398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6398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5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5F-4B7E-9DE3-1D9BEB5DFB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5F-4B7E-9DE3-1D9BEB5DFB8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5F-4B7E-9DE3-1D9BEB5DFB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5F-4B7E-9DE3-1D9BEB5DFB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5F-4B7E-9DE3-1D9BEB5DFB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5F-4B7E-9DE3-1D9BEB5DFB8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5F-4B7E-9DE3-1D9BEB5DFB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5F-4B7E-9DE3-1D9BEB5DFB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5F-4B7E-9DE3-1D9BEB5DFB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5F-4B7E-9DE3-1D9BEB5DFB8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5F-4B7E-9DE3-1D9BEB5DFB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5F-4B7E-9DE3-1D9BEB5DFB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5F-4B7E-9DE3-1D9BEB5DFB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5F-4B7E-9DE3-1D9BEB5DF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6398960"/>
        <c:axId val="336399352"/>
      </c:barChart>
      <c:catAx>
        <c:axId val="33639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399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6399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398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BD-44A5-836E-CD59592BDC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EBD-44A5-836E-CD59592BDCE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BD-44A5-836E-CD59592BDC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BD-44A5-836E-CD59592BDC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BD-44A5-836E-CD59592BDC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EBD-44A5-836E-CD59592BDCE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BD-44A5-836E-CD59592BDC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BD-44A5-836E-CD59592BDC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BD-44A5-836E-CD59592BDC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EBD-44A5-836E-CD59592BDCE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BD-44A5-836E-CD59592BDC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BD-44A5-836E-CD59592BDC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BD-44A5-836E-CD59592BDC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EBD-44A5-836E-CD59592BD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6400136"/>
        <c:axId val="336400528"/>
      </c:barChart>
      <c:catAx>
        <c:axId val="336400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400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6400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400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7-4EF1-97E4-9024E7ACB3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7-4EF1-97E4-9024E7ACB3B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7-4EF1-97E4-9024E7ACB3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7-4EF1-97E4-9024E7ACB3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7-4EF1-97E4-9024E7ACB3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7-4EF1-97E4-9024E7ACB3B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7-4EF1-97E4-9024E7ACB3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7-4EF1-97E4-9024E7ACB3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7-4EF1-97E4-9024E7ACB3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7-4EF1-97E4-9024E7ACB3B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7-4EF1-97E4-9024E7ACB3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7-4EF1-97E4-9024E7ACB3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7-4EF1-97E4-9024E7ACB3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7-4EF1-97E4-9024E7AC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6401312"/>
        <c:axId val="336401704"/>
      </c:barChart>
      <c:catAx>
        <c:axId val="33640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401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6401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401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CC-45FB-A09A-F39E5491CF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CC-45FB-A09A-F39E5491CF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CC-45FB-A09A-F39E5491CF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CC-45FB-A09A-F39E5491CF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CC-45FB-A09A-F39E5491CF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CC-45FB-A09A-F39E5491CF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CC-45FB-A09A-F39E5491CF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CC-45FB-A09A-F39E5491CF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CC-45FB-A09A-F39E5491CF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CC-45FB-A09A-F39E5491CF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CC-45FB-A09A-F39E5491CF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CC-45FB-A09A-F39E5491CF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CC-45FB-A09A-F39E5491CF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CC-45FB-A09A-F39E5491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6402488"/>
        <c:axId val="336402880"/>
      </c:barChart>
      <c:catAx>
        <c:axId val="336402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402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6402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402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CF-4C80-8B42-FD0DA8664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CF-4C80-8B42-FD0DA8664E4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CF-4C80-8B42-FD0DA8664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CF-4C80-8B42-FD0DA8664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CF-4C80-8B42-FD0DA8664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CF-4C80-8B42-FD0DA8664E4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CF-4C80-8B42-FD0DA8664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CF-4C80-8B42-FD0DA8664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CF-4C80-8B42-FD0DA8664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CF-4C80-8B42-FD0DA8664E4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CF-4C80-8B42-FD0DA8664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CF-4C80-8B42-FD0DA8664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CF-4C80-8B42-FD0DA8664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CF-4C80-8B42-FD0DA8664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6403664"/>
        <c:axId val="336404056"/>
      </c:barChart>
      <c:catAx>
        <c:axId val="33640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404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6404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403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102420</xdr:colOff>
      <xdr:row>0</xdr:row>
      <xdr:rowOff>58584</xdr:rowOff>
    </xdr:from>
    <xdr:to>
      <xdr:col>2</xdr:col>
      <xdr:colOff>215082</xdr:colOff>
      <xdr:row>2</xdr:row>
      <xdr:rowOff>251952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420" y="58584"/>
          <a:ext cx="1013952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307258</xdr:colOff>
      <xdr:row>0</xdr:row>
      <xdr:rowOff>133145</xdr:rowOff>
    </xdr:from>
    <xdr:to>
      <xdr:col>4</xdr:col>
      <xdr:colOff>110305</xdr:colOff>
      <xdr:row>2</xdr:row>
      <xdr:rowOff>164158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208548" y="133145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143386</xdr:colOff>
      <xdr:row>49</xdr:row>
      <xdr:rowOff>0</xdr:rowOff>
    </xdr:from>
    <xdr:to>
      <xdr:col>13</xdr:col>
      <xdr:colOff>366953</xdr:colOff>
      <xdr:row>52</xdr:row>
      <xdr:rowOff>142173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386" y="4875161"/>
          <a:ext cx="9123809" cy="6952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154517</xdr:colOff>
      <xdr:row>0</xdr:row>
      <xdr:rowOff>232834</xdr:rowOff>
    </xdr:from>
    <xdr:to>
      <xdr:col>1</xdr:col>
      <xdr:colOff>99484</xdr:colOff>
      <xdr:row>2</xdr:row>
      <xdr:rowOff>327026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517" y="2328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ColWidth="11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5"/>
      <c r="B1" s="36" t="s">
        <v>14</v>
      </c>
      <c r="C1" s="36"/>
      <c r="D1" s="36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2"/>
      <c r="W1" s="2"/>
    </row>
    <row r="2" spans="1:23" ht="17.45" customHeight="1">
      <c r="A2" s="39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7"/>
      <c r="S2" s="37"/>
      <c r="T2" s="37"/>
      <c r="U2" s="38"/>
      <c r="V2" s="2"/>
      <c r="W2" s="2"/>
    </row>
    <row r="3" spans="1:23" ht="17.45" customHeight="1">
      <c r="A3" s="39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7"/>
      <c r="S3" s="37"/>
      <c r="T3" s="37"/>
      <c r="U3" s="38"/>
      <c r="V3" s="2"/>
      <c r="W3" s="2"/>
    </row>
    <row r="4" spans="1:23" ht="10.5" customHeight="1">
      <c r="A4" s="39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7"/>
      <c r="S4" s="37"/>
      <c r="T4" s="37"/>
      <c r="U4" s="38"/>
      <c r="V4" s="2"/>
      <c r="W4" s="2"/>
    </row>
    <row r="5" spans="1:23" ht="32.25" customHeight="1">
      <c r="A5" s="40"/>
      <c r="B5" s="93"/>
      <c r="C5" s="61"/>
      <c r="D5" s="61"/>
      <c r="E5" s="162" t="s">
        <v>66</v>
      </c>
      <c r="F5" s="162"/>
      <c r="G5" s="162"/>
      <c r="H5" s="162"/>
      <c r="I5" s="162"/>
      <c r="J5" s="162"/>
      <c r="K5" s="162"/>
      <c r="L5" s="162"/>
      <c r="M5" s="162"/>
      <c r="N5" s="62"/>
      <c r="O5" s="55"/>
      <c r="P5" s="55"/>
      <c r="Q5" s="94"/>
      <c r="R5" s="37"/>
      <c r="S5" s="37"/>
      <c r="T5" s="37"/>
      <c r="U5" s="38"/>
      <c r="V5" s="2"/>
      <c r="W5" s="2"/>
    </row>
    <row r="6" spans="1:23" ht="17.45" customHeight="1">
      <c r="A6" s="39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7"/>
      <c r="S6" s="37"/>
      <c r="T6" s="37"/>
      <c r="U6" s="38"/>
      <c r="V6" s="2"/>
      <c r="W6" s="2"/>
    </row>
    <row r="7" spans="1:23" ht="17.45" customHeight="1">
      <c r="A7" s="39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7"/>
      <c r="S7" s="37"/>
      <c r="T7" s="37"/>
      <c r="U7" s="38"/>
      <c r="V7" s="2"/>
      <c r="W7" s="2"/>
    </row>
    <row r="8" spans="1:23" ht="17.45" customHeight="1">
      <c r="A8" s="39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7"/>
      <c r="S8" s="37"/>
      <c r="T8" s="37"/>
      <c r="U8" s="38"/>
      <c r="V8" s="2"/>
      <c r="W8" s="2"/>
    </row>
    <row r="9" spans="1:23" ht="17.45" customHeight="1">
      <c r="A9" s="39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7"/>
      <c r="S9" s="37"/>
      <c r="T9" s="37"/>
      <c r="U9" s="38"/>
      <c r="V9" s="2"/>
      <c r="W9" s="2"/>
    </row>
    <row r="10" spans="1:23" ht="17.45" customHeight="1">
      <c r="A10" s="39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7"/>
      <c r="S10" s="37"/>
      <c r="T10" s="37"/>
      <c r="U10" s="38"/>
      <c r="V10" s="2"/>
      <c r="W10" s="2"/>
    </row>
    <row r="11" spans="1:23" ht="12" customHeight="1">
      <c r="A11" s="39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7"/>
      <c r="S11" s="37"/>
      <c r="T11" s="37"/>
      <c r="U11" s="38"/>
      <c r="V11" s="2"/>
      <c r="W11" s="2"/>
    </row>
    <row r="12" spans="1:23" ht="17.45" customHeight="1">
      <c r="A12" s="39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7"/>
      <c r="S12" s="37"/>
      <c r="T12" s="37"/>
      <c r="U12" s="38"/>
      <c r="V12" s="2"/>
      <c r="W12" s="2"/>
    </row>
    <row r="13" spans="1:23" ht="17.25" customHeight="1">
      <c r="A13" s="39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7"/>
      <c r="S13" s="37"/>
      <c r="T13" s="37"/>
      <c r="U13" s="38"/>
      <c r="V13" s="2"/>
      <c r="W13" s="2"/>
    </row>
    <row r="14" spans="1:23" ht="17.25" customHeight="1">
      <c r="A14" s="39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7"/>
      <c r="S14" s="37"/>
      <c r="T14" s="37"/>
      <c r="U14" s="38"/>
      <c r="V14" s="2"/>
      <c r="W14" s="2"/>
    </row>
    <row r="15" spans="1:23" ht="17.45" customHeight="1">
      <c r="A15" s="43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7"/>
      <c r="S15" s="37"/>
      <c r="T15" s="37"/>
      <c r="U15" s="38"/>
      <c r="V15" s="2"/>
      <c r="W15" s="2"/>
    </row>
    <row r="16" spans="1:23" ht="17.45" customHeight="1">
      <c r="A16" s="43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7"/>
      <c r="S16" s="37"/>
      <c r="T16" s="37"/>
      <c r="U16" s="38"/>
      <c r="V16" s="2"/>
      <c r="W16" s="2"/>
    </row>
    <row r="17" spans="1:23" ht="17.45" customHeight="1">
      <c r="A17" s="43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7"/>
      <c r="S17" s="37"/>
      <c r="T17" s="37"/>
      <c r="U17" s="38"/>
      <c r="V17" s="2"/>
      <c r="W17" s="2"/>
    </row>
    <row r="18" spans="1:23" ht="17.25" customHeight="1">
      <c r="A18" s="43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7"/>
      <c r="S18" s="37"/>
      <c r="T18" s="37"/>
      <c r="U18" s="38"/>
      <c r="V18" s="2"/>
      <c r="W18" s="2"/>
    </row>
    <row r="19" spans="1:23" ht="17.45" customHeight="1">
      <c r="A19" s="43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7"/>
      <c r="S19" s="37"/>
      <c r="T19" s="37"/>
      <c r="U19" s="38"/>
      <c r="V19" s="2"/>
      <c r="W19" s="2"/>
    </row>
    <row r="20" spans="1:23" ht="17.45" customHeight="1">
      <c r="A20" s="43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7"/>
      <c r="S20" s="37"/>
      <c r="T20" s="37"/>
      <c r="U20" s="38"/>
      <c r="V20" s="2"/>
      <c r="W20" s="2"/>
    </row>
    <row r="21" spans="1:23" ht="17.45" customHeight="1">
      <c r="A21" s="43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7"/>
      <c r="S21" s="37"/>
      <c r="T21" s="37"/>
      <c r="U21" s="38"/>
      <c r="V21" s="2"/>
      <c r="W21" s="2"/>
    </row>
    <row r="22" spans="1:23" ht="17.45" customHeight="1">
      <c r="A22" s="43"/>
      <c r="B22" s="48"/>
      <c r="C22" s="49"/>
      <c r="D22" s="49"/>
      <c r="E22" s="50"/>
      <c r="F22" s="41"/>
      <c r="G22" s="41"/>
      <c r="H22" s="41"/>
      <c r="I22" s="41"/>
      <c r="J22" s="41"/>
      <c r="K22" s="41"/>
      <c r="L22" s="44"/>
      <c r="M22" s="42"/>
      <c r="N22" s="42"/>
      <c r="O22" s="47"/>
      <c r="P22" s="45"/>
      <c r="Q22" s="46"/>
      <c r="R22" s="37"/>
      <c r="S22" s="37"/>
      <c r="T22" s="37"/>
      <c r="U22" s="38"/>
      <c r="V22" s="2"/>
      <c r="W22" s="2"/>
    </row>
    <row r="23" spans="1:23" ht="15" customHeight="1">
      <c r="A23" s="51"/>
      <c r="B23" s="52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2"/>
      <c r="R23" s="51"/>
      <c r="S23" s="52"/>
      <c r="T23" s="53"/>
      <c r="U23" s="52"/>
      <c r="V23" s="2"/>
      <c r="W23" s="2"/>
    </row>
    <row r="24" spans="1:23" ht="15" customHeight="1">
      <c r="A24" s="51"/>
      <c r="B24" s="52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2"/>
      <c r="R24" s="51"/>
      <c r="S24" s="52"/>
      <c r="T24" s="53"/>
      <c r="U24" s="52"/>
      <c r="V24" s="2"/>
      <c r="W24" s="2"/>
    </row>
    <row r="25" spans="1:23" ht="15" customHeight="1">
      <c r="A25" s="51"/>
      <c r="B25" s="52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2"/>
      <c r="R25" s="51"/>
      <c r="S25" s="52"/>
      <c r="T25" s="53"/>
      <c r="U25" s="52"/>
      <c r="V25" s="2"/>
      <c r="W25" s="2"/>
    </row>
    <row r="26" spans="1:23">
      <c r="A26" s="51"/>
      <c r="B26" s="52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2"/>
      <c r="R26" s="51"/>
      <c r="S26" s="52"/>
      <c r="T26" s="53"/>
      <c r="U26" s="54"/>
    </row>
    <row r="27" spans="1:23">
      <c r="A27" s="51"/>
      <c r="B27" s="52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2"/>
      <c r="R27" s="51"/>
      <c r="S27" s="52"/>
      <c r="T27" s="53"/>
      <c r="U27" s="54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24</v>
      </c>
    </row>
    <row r="72" spans="2:2">
      <c r="B72" s="9" t="s">
        <v>26</v>
      </c>
    </row>
    <row r="73" spans="2:2">
      <c r="B73" s="10" t="s">
        <v>30</v>
      </c>
    </row>
    <row r="74" spans="2:2">
      <c r="B74" s="11"/>
    </row>
    <row r="76" spans="2:2">
      <c r="B76" s="8" t="s">
        <v>24</v>
      </c>
    </row>
    <row r="77" spans="2:2">
      <c r="B77" s="9" t="s">
        <v>27</v>
      </c>
    </row>
    <row r="78" spans="2:2">
      <c r="B78" s="10" t="s">
        <v>31</v>
      </c>
    </row>
    <row r="79" spans="2:2">
      <c r="B79" s="11"/>
    </row>
    <row r="81" spans="2:2">
      <c r="B81" s="8" t="s">
        <v>32</v>
      </c>
    </row>
    <row r="82" spans="2:2">
      <c r="B82" s="9" t="s">
        <v>21</v>
      </c>
    </row>
    <row r="83" spans="2:2">
      <c r="B83" s="10" t="s">
        <v>28</v>
      </c>
    </row>
    <row r="84" spans="2:2">
      <c r="B84" s="10" t="s">
        <v>33</v>
      </c>
    </row>
    <row r="85" spans="2:2">
      <c r="B85" s="10" t="s">
        <v>34</v>
      </c>
    </row>
    <row r="86" spans="2:2">
      <c r="B86" s="10" t="s">
        <v>35</v>
      </c>
    </row>
    <row r="87" spans="2:2">
      <c r="B87" s="11" t="s">
        <v>36</v>
      </c>
    </row>
    <row r="88" spans="2:2">
      <c r="B88" s="1"/>
    </row>
    <row r="89" spans="2:2">
      <c r="B89" s="8" t="s">
        <v>37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38</v>
      </c>
    </row>
    <row r="95" spans="2:2">
      <c r="B95" s="14" t="s">
        <v>39</v>
      </c>
    </row>
    <row r="96" spans="2:2">
      <c r="B96" s="14" t="s">
        <v>29</v>
      </c>
    </row>
    <row r="97" spans="2:2">
      <c r="B97" s="15" t="s">
        <v>40</v>
      </c>
    </row>
    <row r="98" spans="2:2">
      <c r="B98" s="1"/>
    </row>
    <row r="99" spans="2:2">
      <c r="B99" s="8" t="s">
        <v>25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41</v>
      </c>
    </row>
    <row r="111" spans="2:2">
      <c r="B111" s="9" t="s">
        <v>42</v>
      </c>
    </row>
    <row r="112" spans="2:2">
      <c r="B112" s="10" t="s">
        <v>43</v>
      </c>
    </row>
    <row r="113" spans="2:2">
      <c r="B113" s="10" t="s">
        <v>44</v>
      </c>
    </row>
    <row r="114" spans="2:2">
      <c r="B114" s="11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43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E30" sqref="E30"/>
    </sheetView>
  </sheetViews>
  <sheetFormatPr baseColWidth="10" defaultColWidth="11" defaultRowHeight="14.25" customHeight="1"/>
  <cols>
    <col min="1" max="1" width="4.625" customWidth="1"/>
    <col min="2" max="2" width="7.25" customWidth="1"/>
    <col min="3" max="3" width="7.125" customWidth="1"/>
    <col min="4" max="4" width="6.625" customWidth="1"/>
    <col min="5" max="5" width="12.37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7" ht="30" customHeight="1" thickBot="1">
      <c r="A1" s="1"/>
      <c r="B1" s="1"/>
      <c r="C1" s="1"/>
      <c r="D1" s="171" t="s">
        <v>18</v>
      </c>
      <c r="E1" s="171"/>
      <c r="F1" s="171"/>
      <c r="G1" s="171"/>
      <c r="H1" s="171"/>
      <c r="I1" s="171"/>
      <c r="J1" s="171"/>
      <c r="K1" s="171"/>
      <c r="L1" s="171"/>
      <c r="M1" s="142"/>
      <c r="N1" s="7"/>
      <c r="O1" s="179"/>
      <c r="P1" s="179"/>
      <c r="Q1" s="179"/>
      <c r="R1" s="179"/>
      <c r="S1" s="179"/>
      <c r="T1" s="179"/>
      <c r="U1" s="179"/>
      <c r="V1" s="179"/>
      <c r="W1" s="179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27.75" thickBot="1">
      <c r="A2" s="1"/>
      <c r="B2" s="1"/>
      <c r="C2" s="1"/>
      <c r="D2" s="171" t="s">
        <v>19</v>
      </c>
      <c r="E2" s="171"/>
      <c r="F2" s="171"/>
      <c r="G2" s="171"/>
      <c r="H2" s="171"/>
      <c r="I2" s="171"/>
      <c r="J2" s="171"/>
      <c r="K2" s="171"/>
      <c r="L2" s="171"/>
      <c r="M2" s="143"/>
      <c r="N2" s="180" t="s">
        <v>103</v>
      </c>
      <c r="O2" s="181"/>
      <c r="P2" s="177" t="s">
        <v>104</v>
      </c>
      <c r="Q2" s="177"/>
      <c r="R2" s="177"/>
      <c r="S2" s="177"/>
      <c r="T2" s="177"/>
      <c r="U2" s="178"/>
      <c r="V2" s="182" t="s">
        <v>103</v>
      </c>
      <c r="W2" s="177"/>
      <c r="X2" s="165" t="s">
        <v>79</v>
      </c>
      <c r="Y2" s="166"/>
      <c r="Z2" s="166"/>
      <c r="AA2" s="166"/>
      <c r="AB2" s="164" t="s">
        <v>78</v>
      </c>
      <c r="AC2" s="164"/>
      <c r="AD2" s="167" t="s">
        <v>80</v>
      </c>
      <c r="AE2" s="167"/>
      <c r="AF2" s="167"/>
      <c r="AG2" s="167"/>
      <c r="AH2" s="168"/>
    </row>
    <row r="3" spans="1:37" ht="25.5">
      <c r="A3" s="1"/>
      <c r="B3" s="1"/>
      <c r="C3" s="1"/>
      <c r="D3" s="172" t="s">
        <v>113</v>
      </c>
      <c r="E3" s="172"/>
      <c r="F3" s="172"/>
      <c r="G3" s="172"/>
      <c r="H3" s="172"/>
      <c r="I3" s="172"/>
      <c r="J3" s="172"/>
      <c r="K3" s="172"/>
      <c r="L3" s="172"/>
      <c r="M3" s="143"/>
      <c r="N3" s="185" t="s">
        <v>105</v>
      </c>
      <c r="O3" s="186"/>
      <c r="P3" s="173" t="s">
        <v>65</v>
      </c>
      <c r="Q3" s="174"/>
      <c r="R3" s="173" t="s">
        <v>88</v>
      </c>
      <c r="S3" s="174"/>
      <c r="T3" s="175" t="s">
        <v>87</v>
      </c>
      <c r="U3" s="176"/>
      <c r="V3" s="183" t="s">
        <v>86</v>
      </c>
      <c r="W3" s="184"/>
      <c r="X3" s="169" t="s">
        <v>75</v>
      </c>
      <c r="Y3" s="170"/>
      <c r="Z3" s="144" t="s">
        <v>76</v>
      </c>
      <c r="AA3" s="144" t="s">
        <v>70</v>
      </c>
      <c r="AB3" s="145" t="s">
        <v>72</v>
      </c>
      <c r="AC3" s="145" t="s">
        <v>74</v>
      </c>
      <c r="AD3" s="163" t="s">
        <v>77</v>
      </c>
      <c r="AE3" s="163"/>
      <c r="AF3" s="163" t="s">
        <v>76</v>
      </c>
      <c r="AG3" s="163"/>
      <c r="AH3" s="146" t="s">
        <v>70</v>
      </c>
    </row>
    <row r="4" spans="1:37" ht="30">
      <c r="A4" s="147" t="s">
        <v>24</v>
      </c>
      <c r="B4" s="147" t="s">
        <v>106</v>
      </c>
      <c r="C4" s="147" t="s">
        <v>107</v>
      </c>
      <c r="D4" s="147" t="s">
        <v>20</v>
      </c>
      <c r="E4" s="147" t="s">
        <v>1</v>
      </c>
      <c r="F4" s="147" t="s">
        <v>108</v>
      </c>
      <c r="G4" s="147" t="s">
        <v>5</v>
      </c>
      <c r="H4" s="147" t="s">
        <v>109</v>
      </c>
      <c r="I4" s="147" t="s">
        <v>57</v>
      </c>
      <c r="J4" s="147" t="s">
        <v>110</v>
      </c>
      <c r="K4" s="147" t="s">
        <v>22</v>
      </c>
      <c r="L4" s="147" t="s">
        <v>23</v>
      </c>
      <c r="M4" s="147" t="s">
        <v>111</v>
      </c>
      <c r="N4" s="148" t="s">
        <v>17</v>
      </c>
      <c r="O4" s="148" t="s">
        <v>2</v>
      </c>
      <c r="P4" s="148" t="s">
        <v>17</v>
      </c>
      <c r="Q4" s="148" t="s">
        <v>2</v>
      </c>
      <c r="R4" s="148" t="s">
        <v>17</v>
      </c>
      <c r="S4" s="148" t="s">
        <v>2</v>
      </c>
      <c r="T4" s="148" t="s">
        <v>17</v>
      </c>
      <c r="U4" s="148" t="s">
        <v>2</v>
      </c>
      <c r="V4" s="148" t="s">
        <v>17</v>
      </c>
      <c r="W4" s="148" t="s">
        <v>2</v>
      </c>
      <c r="X4" s="149" t="s">
        <v>81</v>
      </c>
      <c r="Y4" s="149" t="s">
        <v>82</v>
      </c>
      <c r="Z4" s="149" t="s">
        <v>81</v>
      </c>
      <c r="AA4" s="149" t="s">
        <v>71</v>
      </c>
      <c r="AB4" s="150" t="s">
        <v>73</v>
      </c>
      <c r="AC4" s="150" t="s">
        <v>83</v>
      </c>
      <c r="AD4" s="151" t="s">
        <v>81</v>
      </c>
      <c r="AE4" s="151" t="s">
        <v>82</v>
      </c>
      <c r="AF4" s="151" t="s">
        <v>81</v>
      </c>
      <c r="AG4" s="151" t="s">
        <v>84</v>
      </c>
      <c r="AH4" s="151" t="s">
        <v>71</v>
      </c>
    </row>
    <row r="5" spans="1:37" ht="15">
      <c r="A5" s="152" t="s">
        <v>112</v>
      </c>
      <c r="B5" s="153">
        <v>160.41999999999999</v>
      </c>
      <c r="C5" s="153">
        <v>17.62</v>
      </c>
      <c r="D5" s="152" t="s">
        <v>21</v>
      </c>
      <c r="E5" s="154">
        <v>44338</v>
      </c>
      <c r="F5" s="155" t="s">
        <v>97</v>
      </c>
      <c r="G5" s="20">
        <v>12936</v>
      </c>
      <c r="H5" s="19">
        <v>91911</v>
      </c>
      <c r="I5" s="19">
        <v>4459171</v>
      </c>
      <c r="J5" s="156">
        <v>654</v>
      </c>
      <c r="K5" s="19">
        <v>58</v>
      </c>
      <c r="L5" s="20">
        <v>3.93</v>
      </c>
      <c r="M5" s="20">
        <v>5</v>
      </c>
      <c r="N5" s="141">
        <v>83.7</v>
      </c>
      <c r="O5" s="21">
        <v>102</v>
      </c>
      <c r="P5" s="21"/>
      <c r="Q5" s="21"/>
      <c r="R5" s="21"/>
      <c r="S5" s="21"/>
      <c r="T5" s="21"/>
      <c r="U5" s="21"/>
      <c r="V5" s="141">
        <v>85.1</v>
      </c>
      <c r="W5" s="141">
        <v>103.4</v>
      </c>
      <c r="X5" s="157">
        <v>870</v>
      </c>
      <c r="Y5" s="157">
        <v>800</v>
      </c>
      <c r="Z5" s="158">
        <v>920</v>
      </c>
      <c r="AA5" s="158">
        <v>160</v>
      </c>
      <c r="AB5" s="159">
        <v>0.1</v>
      </c>
      <c r="AC5" s="158">
        <v>1800</v>
      </c>
      <c r="AD5" s="160">
        <v>700</v>
      </c>
      <c r="AE5" s="160">
        <v>585</v>
      </c>
      <c r="AF5" s="160">
        <v>700</v>
      </c>
      <c r="AG5" s="160">
        <v>700</v>
      </c>
      <c r="AH5" s="158">
        <v>160</v>
      </c>
      <c r="AI5" s="3"/>
      <c r="AJ5" s="3"/>
      <c r="AK5" s="3"/>
    </row>
    <row r="6" spans="1:37" ht="15">
      <c r="A6" s="152" t="s">
        <v>112</v>
      </c>
      <c r="B6" s="153">
        <v>160.41999999999999</v>
      </c>
      <c r="C6" s="153">
        <v>17.62</v>
      </c>
      <c r="D6" s="152" t="s">
        <v>21</v>
      </c>
      <c r="E6" s="154">
        <v>44338</v>
      </c>
      <c r="F6" s="155" t="s">
        <v>97</v>
      </c>
      <c r="G6" s="20">
        <v>12936</v>
      </c>
      <c r="H6" s="19">
        <v>91911</v>
      </c>
      <c r="I6" s="19">
        <v>4459171</v>
      </c>
      <c r="J6" s="156">
        <v>654</v>
      </c>
      <c r="K6" s="19">
        <v>58</v>
      </c>
      <c r="L6" s="20">
        <v>3.93</v>
      </c>
      <c r="M6" s="20">
        <v>22</v>
      </c>
      <c r="N6" s="141">
        <v>85.3</v>
      </c>
      <c r="O6" s="21">
        <v>103.1</v>
      </c>
      <c r="P6" s="21">
        <v>85.5</v>
      </c>
      <c r="Q6" s="21">
        <v>104</v>
      </c>
      <c r="R6" s="21">
        <v>90.7</v>
      </c>
      <c r="S6" s="21">
        <v>107.1</v>
      </c>
      <c r="T6" s="21">
        <v>89.2</v>
      </c>
      <c r="U6" s="21">
        <v>106</v>
      </c>
      <c r="V6" s="141">
        <v>88.4</v>
      </c>
      <c r="W6" s="141">
        <v>105.3</v>
      </c>
      <c r="X6" s="157">
        <v>870</v>
      </c>
      <c r="Y6" s="157">
        <v>800</v>
      </c>
      <c r="Z6" s="158">
        <v>920</v>
      </c>
      <c r="AA6" s="158">
        <v>160</v>
      </c>
      <c r="AB6" s="159">
        <v>0.1</v>
      </c>
      <c r="AC6" s="158">
        <v>1800</v>
      </c>
      <c r="AD6" s="160">
        <v>700</v>
      </c>
      <c r="AE6" s="160">
        <v>585</v>
      </c>
      <c r="AF6" s="160">
        <v>700</v>
      </c>
      <c r="AG6" s="160">
        <v>700</v>
      </c>
      <c r="AH6" s="158">
        <v>160</v>
      </c>
      <c r="AI6" s="3"/>
      <c r="AJ6" s="3"/>
      <c r="AK6" s="3"/>
    </row>
    <row r="7" spans="1:37" ht="15">
      <c r="A7" s="152" t="s">
        <v>112</v>
      </c>
      <c r="B7" s="153">
        <v>160.41999999999999</v>
      </c>
      <c r="C7" s="153">
        <v>17.62</v>
      </c>
      <c r="D7" s="152" t="s">
        <v>21</v>
      </c>
      <c r="E7" s="154">
        <v>44338</v>
      </c>
      <c r="F7" s="155" t="s">
        <v>97</v>
      </c>
      <c r="G7" s="20">
        <v>13260</v>
      </c>
      <c r="H7" s="19">
        <v>91911</v>
      </c>
      <c r="I7" s="19">
        <v>4459171</v>
      </c>
      <c r="J7" s="156">
        <v>654</v>
      </c>
      <c r="K7" s="19">
        <v>58</v>
      </c>
      <c r="L7" s="20">
        <v>3.93</v>
      </c>
      <c r="M7" s="20">
        <v>65</v>
      </c>
      <c r="N7" s="141">
        <v>85.3</v>
      </c>
      <c r="O7" s="21">
        <v>103.5</v>
      </c>
      <c r="P7" s="21"/>
      <c r="Q7" s="21"/>
      <c r="R7" s="21"/>
      <c r="S7" s="21"/>
      <c r="T7" s="21"/>
      <c r="U7" s="21"/>
      <c r="V7" s="141">
        <v>87.1</v>
      </c>
      <c r="W7" s="141">
        <v>104.5</v>
      </c>
      <c r="X7" s="157">
        <v>870</v>
      </c>
      <c r="Y7" s="157">
        <v>800</v>
      </c>
      <c r="Z7" s="158">
        <v>920</v>
      </c>
      <c r="AA7" s="158">
        <v>160</v>
      </c>
      <c r="AB7" s="159">
        <v>0.1</v>
      </c>
      <c r="AC7" s="158">
        <v>1800</v>
      </c>
      <c r="AD7" s="160">
        <v>700</v>
      </c>
      <c r="AE7" s="160">
        <v>585</v>
      </c>
      <c r="AF7" s="160">
        <v>700</v>
      </c>
      <c r="AG7" s="160">
        <v>700</v>
      </c>
      <c r="AH7" s="158">
        <v>160</v>
      </c>
      <c r="AI7" s="3"/>
      <c r="AJ7" s="3"/>
      <c r="AK7" s="3"/>
    </row>
    <row r="8" spans="1:37" ht="15">
      <c r="A8" s="152" t="s">
        <v>112</v>
      </c>
      <c r="B8" s="153">
        <v>160.41999999999999</v>
      </c>
      <c r="C8" s="153">
        <v>17.62</v>
      </c>
      <c r="D8" s="152" t="s">
        <v>21</v>
      </c>
      <c r="E8" s="154">
        <v>44338</v>
      </c>
      <c r="F8" s="155" t="s">
        <v>97</v>
      </c>
      <c r="G8" s="20">
        <v>13260</v>
      </c>
      <c r="H8" s="19">
        <v>91911</v>
      </c>
      <c r="I8" s="19">
        <v>4459171</v>
      </c>
      <c r="J8" s="156">
        <v>654</v>
      </c>
      <c r="K8" s="19">
        <v>58</v>
      </c>
      <c r="L8" s="20">
        <v>3.93</v>
      </c>
      <c r="M8" s="20">
        <v>85</v>
      </c>
      <c r="N8" s="141">
        <v>87.9</v>
      </c>
      <c r="O8" s="21">
        <v>104.5</v>
      </c>
      <c r="P8" s="21"/>
      <c r="Q8" s="21"/>
      <c r="R8" s="21"/>
      <c r="S8" s="21"/>
      <c r="T8" s="21"/>
      <c r="U8" s="21"/>
      <c r="V8" s="141">
        <v>84.7</v>
      </c>
      <c r="W8" s="141">
        <v>103</v>
      </c>
      <c r="X8" s="157">
        <v>870</v>
      </c>
      <c r="Y8" s="157">
        <v>800</v>
      </c>
      <c r="Z8" s="158">
        <v>920</v>
      </c>
      <c r="AA8" s="158">
        <v>160</v>
      </c>
      <c r="AB8" s="159">
        <v>0.1</v>
      </c>
      <c r="AC8" s="158">
        <v>1800</v>
      </c>
      <c r="AD8" s="160">
        <v>700</v>
      </c>
      <c r="AE8" s="160">
        <v>585</v>
      </c>
      <c r="AF8" s="160">
        <v>700</v>
      </c>
      <c r="AG8" s="160">
        <v>700</v>
      </c>
      <c r="AH8" s="158">
        <v>160</v>
      </c>
      <c r="AI8" s="3"/>
      <c r="AJ8" s="3"/>
      <c r="AK8" s="3"/>
    </row>
    <row r="9" spans="1:37" ht="15">
      <c r="A9" s="152" t="s">
        <v>112</v>
      </c>
      <c r="B9" s="153">
        <v>160.41999999999999</v>
      </c>
      <c r="C9" s="153">
        <v>17.62</v>
      </c>
      <c r="D9" s="152" t="s">
        <v>21</v>
      </c>
      <c r="E9" s="154">
        <v>44413</v>
      </c>
      <c r="F9" s="155" t="s">
        <v>97</v>
      </c>
      <c r="G9" s="20">
        <v>13483</v>
      </c>
      <c r="H9" s="19">
        <v>91911</v>
      </c>
      <c r="I9" s="19">
        <v>4459171</v>
      </c>
      <c r="J9" s="156">
        <v>654</v>
      </c>
      <c r="K9" s="19">
        <v>58</v>
      </c>
      <c r="L9" s="20">
        <v>3.93</v>
      </c>
      <c r="M9" s="20">
        <v>102</v>
      </c>
      <c r="N9" s="141">
        <v>87.5</v>
      </c>
      <c r="O9" s="21">
        <v>104.8</v>
      </c>
      <c r="P9" s="21"/>
      <c r="Q9" s="21"/>
      <c r="R9" s="21"/>
      <c r="S9" s="21"/>
      <c r="T9" s="21"/>
      <c r="U9" s="21"/>
      <c r="V9" s="141">
        <v>86.1</v>
      </c>
      <c r="W9" s="141">
        <v>103</v>
      </c>
      <c r="X9" s="157">
        <v>870</v>
      </c>
      <c r="Y9" s="157">
        <v>800</v>
      </c>
      <c r="Z9" s="158">
        <v>920</v>
      </c>
      <c r="AA9" s="158">
        <v>160</v>
      </c>
      <c r="AB9" s="159">
        <v>0.1</v>
      </c>
      <c r="AC9" s="158">
        <v>1800</v>
      </c>
      <c r="AD9" s="160">
        <v>700</v>
      </c>
      <c r="AE9" s="160">
        <v>585</v>
      </c>
      <c r="AF9" s="160">
        <v>700</v>
      </c>
      <c r="AG9" s="160">
        <v>700</v>
      </c>
      <c r="AH9" s="158">
        <v>160</v>
      </c>
      <c r="AI9" s="3"/>
      <c r="AJ9" s="3"/>
      <c r="AK9" s="3"/>
    </row>
    <row r="10" spans="1:37" ht="15">
      <c r="A10" s="152" t="s">
        <v>112</v>
      </c>
      <c r="B10" s="153">
        <v>160.41999999999999</v>
      </c>
      <c r="C10" s="153">
        <v>17.62</v>
      </c>
      <c r="D10" s="152" t="s">
        <v>21</v>
      </c>
      <c r="E10" s="154">
        <v>44413</v>
      </c>
      <c r="F10" s="155" t="s">
        <v>97</v>
      </c>
      <c r="G10" s="20">
        <v>13483</v>
      </c>
      <c r="H10" s="19">
        <v>91911</v>
      </c>
      <c r="I10" s="19">
        <v>4459171</v>
      </c>
      <c r="J10" s="156">
        <v>654</v>
      </c>
      <c r="K10" s="19">
        <v>58</v>
      </c>
      <c r="L10" s="20">
        <v>3.93</v>
      </c>
      <c r="M10" s="20">
        <v>96</v>
      </c>
      <c r="N10" s="141">
        <v>86.5</v>
      </c>
      <c r="O10" s="21">
        <v>103.4</v>
      </c>
      <c r="P10" s="21"/>
      <c r="Q10" s="21"/>
      <c r="R10" s="21"/>
      <c r="S10" s="21"/>
      <c r="T10" s="21"/>
      <c r="U10" s="21"/>
      <c r="V10" s="141">
        <v>86.4</v>
      </c>
      <c r="W10" s="141">
        <v>103.5</v>
      </c>
      <c r="X10" s="157">
        <v>870</v>
      </c>
      <c r="Y10" s="157">
        <v>800</v>
      </c>
      <c r="Z10" s="158">
        <v>920</v>
      </c>
      <c r="AA10" s="158">
        <v>160</v>
      </c>
      <c r="AB10" s="159">
        <v>0.1</v>
      </c>
      <c r="AC10" s="158">
        <v>1800</v>
      </c>
      <c r="AD10" s="160">
        <v>700</v>
      </c>
      <c r="AE10" s="160">
        <v>585</v>
      </c>
      <c r="AF10" s="160">
        <v>700</v>
      </c>
      <c r="AG10" s="160">
        <v>700</v>
      </c>
      <c r="AH10" s="158">
        <v>160</v>
      </c>
      <c r="AI10" s="3"/>
      <c r="AJ10" s="3"/>
      <c r="AK10" s="3"/>
    </row>
    <row r="11" spans="1:37" ht="15">
      <c r="A11" s="152" t="s">
        <v>112</v>
      </c>
      <c r="B11" s="153">
        <v>160.41999999999999</v>
      </c>
      <c r="C11" s="153">
        <v>17.62</v>
      </c>
      <c r="D11" s="152" t="s">
        <v>21</v>
      </c>
      <c r="E11" s="154">
        <v>44540</v>
      </c>
      <c r="F11" s="155" t="s">
        <v>97</v>
      </c>
      <c r="G11" s="20">
        <v>14547</v>
      </c>
      <c r="H11" s="19">
        <v>92246</v>
      </c>
      <c r="I11" s="19">
        <v>4705209</v>
      </c>
      <c r="J11" s="156">
        <v>654</v>
      </c>
      <c r="K11" s="19">
        <v>58</v>
      </c>
      <c r="L11" s="20">
        <v>3.72</v>
      </c>
      <c r="M11" s="20">
        <v>4</v>
      </c>
      <c r="N11" s="141">
        <v>87.7</v>
      </c>
      <c r="O11" s="21">
        <v>105.2</v>
      </c>
      <c r="P11" s="21"/>
      <c r="Q11" s="21"/>
      <c r="R11" s="21"/>
      <c r="S11" s="21"/>
      <c r="T11" s="21"/>
      <c r="U11" s="21"/>
      <c r="V11" s="141">
        <v>86.7</v>
      </c>
      <c r="W11" s="141">
        <v>104.1</v>
      </c>
      <c r="X11" s="157">
        <v>870</v>
      </c>
      <c r="Y11" s="157">
        <v>800</v>
      </c>
      <c r="Z11" s="158">
        <v>920</v>
      </c>
      <c r="AA11" s="158">
        <v>160</v>
      </c>
      <c r="AB11" s="159">
        <v>0.1</v>
      </c>
      <c r="AC11" s="158">
        <v>1800</v>
      </c>
      <c r="AD11" s="160">
        <v>695</v>
      </c>
      <c r="AE11" s="160">
        <v>585</v>
      </c>
      <c r="AF11" s="160">
        <v>695</v>
      </c>
      <c r="AG11" s="160">
        <v>695</v>
      </c>
      <c r="AH11" s="158">
        <v>160</v>
      </c>
      <c r="AI11" s="3"/>
      <c r="AJ11" s="3"/>
      <c r="AK11" s="3"/>
    </row>
    <row r="12" spans="1:37" ht="15">
      <c r="A12" s="152" t="s">
        <v>112</v>
      </c>
      <c r="B12" s="153">
        <v>160.41999999999999</v>
      </c>
      <c r="C12" s="153">
        <v>17.62</v>
      </c>
      <c r="D12" s="152" t="s">
        <v>21</v>
      </c>
      <c r="E12" s="154">
        <v>44540</v>
      </c>
      <c r="F12" s="155" t="s">
        <v>97</v>
      </c>
      <c r="G12" s="20">
        <v>14547</v>
      </c>
      <c r="H12" s="19">
        <v>92246</v>
      </c>
      <c r="I12" s="19">
        <v>4705209</v>
      </c>
      <c r="J12" s="156">
        <v>654</v>
      </c>
      <c r="K12" s="19">
        <v>58</v>
      </c>
      <c r="L12" s="20">
        <v>3.72</v>
      </c>
      <c r="M12" s="20">
        <v>10</v>
      </c>
      <c r="N12" s="141">
        <v>89.1</v>
      </c>
      <c r="O12" s="21">
        <v>106.7</v>
      </c>
      <c r="P12" s="21"/>
      <c r="Q12" s="21"/>
      <c r="R12" s="21"/>
      <c r="S12" s="21"/>
      <c r="T12" s="21"/>
      <c r="U12" s="21"/>
      <c r="V12" s="141">
        <v>86.8</v>
      </c>
      <c r="W12" s="141">
        <v>104.3</v>
      </c>
      <c r="X12" s="157">
        <v>870</v>
      </c>
      <c r="Y12" s="157">
        <v>800</v>
      </c>
      <c r="Z12" s="158">
        <v>920</v>
      </c>
      <c r="AA12" s="158">
        <v>160</v>
      </c>
      <c r="AB12" s="159">
        <v>0.1</v>
      </c>
      <c r="AC12" s="158">
        <v>1800</v>
      </c>
      <c r="AD12" s="160">
        <v>695</v>
      </c>
      <c r="AE12" s="160">
        <v>585</v>
      </c>
      <c r="AF12" s="160">
        <v>695</v>
      </c>
      <c r="AG12" s="160">
        <v>695</v>
      </c>
      <c r="AH12" s="158">
        <v>160</v>
      </c>
      <c r="AI12" s="3"/>
      <c r="AJ12" s="3"/>
      <c r="AK12" s="3"/>
    </row>
    <row r="13" spans="1:37" ht="17.25" customHeight="1">
      <c r="A13" s="152" t="s">
        <v>112</v>
      </c>
      <c r="B13" s="153">
        <v>160.41999999999999</v>
      </c>
      <c r="C13" s="153">
        <v>17.62</v>
      </c>
      <c r="D13" s="152" t="s">
        <v>21</v>
      </c>
      <c r="E13" s="154">
        <v>44716</v>
      </c>
      <c r="F13" s="155" t="s">
        <v>97</v>
      </c>
      <c r="G13" s="20">
        <v>16214</v>
      </c>
      <c r="H13" s="19">
        <v>92245</v>
      </c>
      <c r="I13" s="19">
        <v>4705209</v>
      </c>
      <c r="J13" s="156">
        <v>654</v>
      </c>
      <c r="K13" s="19">
        <v>58</v>
      </c>
      <c r="L13" s="20">
        <v>3.93</v>
      </c>
      <c r="M13" s="20">
        <v>5</v>
      </c>
      <c r="N13" s="141">
        <v>82.6</v>
      </c>
      <c r="O13" s="21">
        <v>103.5</v>
      </c>
      <c r="P13" s="21"/>
      <c r="Q13" s="21"/>
      <c r="R13" s="21"/>
      <c r="S13" s="21"/>
      <c r="T13" s="21"/>
      <c r="U13" s="21"/>
      <c r="V13" s="141">
        <v>82.8</v>
      </c>
      <c r="W13" s="141">
        <v>102.2</v>
      </c>
      <c r="X13" s="157">
        <v>870</v>
      </c>
      <c r="Y13" s="157">
        <v>800</v>
      </c>
      <c r="Z13" s="158">
        <v>920</v>
      </c>
      <c r="AA13" s="158">
        <v>160</v>
      </c>
      <c r="AB13" s="159">
        <v>0.1</v>
      </c>
      <c r="AC13" s="158">
        <v>1800</v>
      </c>
      <c r="AD13" s="160">
        <v>700</v>
      </c>
      <c r="AE13" s="160">
        <v>600</v>
      </c>
      <c r="AF13" s="160">
        <v>700</v>
      </c>
      <c r="AG13" s="160">
        <v>700</v>
      </c>
      <c r="AH13" s="158">
        <v>160</v>
      </c>
      <c r="AI13" s="3"/>
      <c r="AJ13" s="3"/>
      <c r="AK13" s="3"/>
    </row>
    <row r="14" spans="1:37" ht="15">
      <c r="A14" s="152" t="s">
        <v>112</v>
      </c>
      <c r="B14" s="153">
        <v>160.41999999999999</v>
      </c>
      <c r="C14" s="153">
        <v>17.62</v>
      </c>
      <c r="D14" s="152" t="s">
        <v>21</v>
      </c>
      <c r="E14" s="154">
        <v>44716</v>
      </c>
      <c r="F14" s="155" t="s">
        <v>97</v>
      </c>
      <c r="G14" s="20">
        <v>16214</v>
      </c>
      <c r="H14" s="19">
        <v>92245</v>
      </c>
      <c r="I14" s="19">
        <v>4705209</v>
      </c>
      <c r="J14" s="156">
        <v>654</v>
      </c>
      <c r="K14" s="19">
        <v>58</v>
      </c>
      <c r="L14" s="20">
        <v>3.93</v>
      </c>
      <c r="M14" s="20">
        <v>9</v>
      </c>
      <c r="N14" s="141">
        <v>82.6</v>
      </c>
      <c r="O14" s="21">
        <v>103.4</v>
      </c>
      <c r="P14" s="21"/>
      <c r="Q14" s="21"/>
      <c r="R14" s="21"/>
      <c r="S14" s="21"/>
      <c r="T14" s="21"/>
      <c r="U14" s="21"/>
      <c r="V14" s="141"/>
      <c r="W14" s="141"/>
      <c r="X14" s="157">
        <v>870</v>
      </c>
      <c r="Y14" s="157">
        <v>800</v>
      </c>
      <c r="Z14" s="158">
        <v>920</v>
      </c>
      <c r="AA14" s="158">
        <v>160</v>
      </c>
      <c r="AB14" s="159">
        <v>0.1</v>
      </c>
      <c r="AC14" s="158">
        <v>1800</v>
      </c>
      <c r="AD14" s="160">
        <v>700</v>
      </c>
      <c r="AE14" s="160">
        <v>600</v>
      </c>
      <c r="AF14" s="160">
        <v>700</v>
      </c>
      <c r="AG14" s="160">
        <v>700</v>
      </c>
      <c r="AH14" s="158">
        <v>160</v>
      </c>
      <c r="AI14" s="3"/>
      <c r="AJ14" s="3"/>
      <c r="AK14" s="3"/>
    </row>
    <row r="15" spans="1:37" ht="15">
      <c r="A15" s="152" t="s">
        <v>112</v>
      </c>
      <c r="B15" s="153">
        <v>160.41999999999999</v>
      </c>
      <c r="C15" s="153">
        <v>17.62</v>
      </c>
      <c r="D15" s="152" t="s">
        <v>21</v>
      </c>
      <c r="E15" s="154">
        <v>44716</v>
      </c>
      <c r="F15" s="155" t="s">
        <v>97</v>
      </c>
      <c r="G15" s="20">
        <v>16215</v>
      </c>
      <c r="H15" s="19">
        <v>92591</v>
      </c>
      <c r="I15" s="19">
        <v>4705209</v>
      </c>
      <c r="J15" s="156">
        <v>654</v>
      </c>
      <c r="K15" s="19">
        <v>57</v>
      </c>
      <c r="L15" s="20">
        <v>5.91</v>
      </c>
      <c r="M15" s="20">
        <v>7</v>
      </c>
      <c r="N15" s="141">
        <v>83.3</v>
      </c>
      <c r="O15" s="21">
        <v>102.4</v>
      </c>
      <c r="P15" s="21"/>
      <c r="Q15" s="21"/>
      <c r="R15" s="21"/>
      <c r="S15" s="21"/>
      <c r="T15" s="21"/>
      <c r="U15" s="21"/>
      <c r="V15" s="141">
        <v>87.2</v>
      </c>
      <c r="W15" s="141">
        <v>103.4</v>
      </c>
      <c r="X15" s="157">
        <v>870</v>
      </c>
      <c r="Y15" s="157">
        <v>800</v>
      </c>
      <c r="Z15" s="158">
        <v>920</v>
      </c>
      <c r="AA15" s="158">
        <v>160</v>
      </c>
      <c r="AB15" s="159">
        <v>0.1</v>
      </c>
      <c r="AC15" s="158">
        <v>1800</v>
      </c>
      <c r="AD15" s="160">
        <v>710</v>
      </c>
      <c r="AE15" s="160">
        <v>600</v>
      </c>
      <c r="AF15" s="160">
        <v>710</v>
      </c>
      <c r="AG15" s="160">
        <v>710</v>
      </c>
      <c r="AH15" s="158">
        <v>160</v>
      </c>
      <c r="AI15" s="3"/>
      <c r="AJ15" s="3"/>
      <c r="AK15" s="3"/>
    </row>
    <row r="16" spans="1:37" ht="15">
      <c r="A16" s="152" t="s">
        <v>112</v>
      </c>
      <c r="B16" s="153">
        <v>160.41999999999999</v>
      </c>
      <c r="C16" s="153">
        <v>17.62</v>
      </c>
      <c r="D16" s="152" t="s">
        <v>21</v>
      </c>
      <c r="E16" s="154">
        <v>44716</v>
      </c>
      <c r="F16" s="155" t="s">
        <v>97</v>
      </c>
      <c r="G16" s="20">
        <v>16215</v>
      </c>
      <c r="H16" s="19">
        <v>92591</v>
      </c>
      <c r="I16" s="19">
        <v>4705209</v>
      </c>
      <c r="J16" s="156">
        <v>654</v>
      </c>
      <c r="K16" s="19">
        <v>57</v>
      </c>
      <c r="L16" s="20">
        <v>5.91</v>
      </c>
      <c r="M16" s="20">
        <v>46</v>
      </c>
      <c r="N16" s="141">
        <v>89.1</v>
      </c>
      <c r="O16" s="21">
        <v>105</v>
      </c>
      <c r="P16" s="21"/>
      <c r="Q16" s="21"/>
      <c r="R16" s="21"/>
      <c r="S16" s="21"/>
      <c r="T16" s="21"/>
      <c r="U16" s="21"/>
      <c r="V16" s="141">
        <v>87</v>
      </c>
      <c r="W16" s="141">
        <v>103.9</v>
      </c>
      <c r="X16" s="157">
        <v>870</v>
      </c>
      <c r="Y16" s="157">
        <v>800</v>
      </c>
      <c r="Z16" s="158">
        <v>920</v>
      </c>
      <c r="AA16" s="158">
        <v>160</v>
      </c>
      <c r="AB16" s="159">
        <v>0.1</v>
      </c>
      <c r="AC16" s="158">
        <v>1800</v>
      </c>
      <c r="AD16" s="160">
        <v>710</v>
      </c>
      <c r="AE16" s="160">
        <v>600</v>
      </c>
      <c r="AF16" s="160">
        <v>710</v>
      </c>
      <c r="AG16" s="160">
        <v>710</v>
      </c>
      <c r="AH16" s="158">
        <v>160</v>
      </c>
      <c r="AI16" s="3"/>
      <c r="AJ16" s="3"/>
      <c r="AK16" s="3"/>
    </row>
    <row r="17" spans="1:37" ht="15">
      <c r="A17" s="152" t="s">
        <v>112</v>
      </c>
      <c r="B17" s="153">
        <v>160.41999999999999</v>
      </c>
      <c r="C17" s="153">
        <v>17.62</v>
      </c>
      <c r="D17" s="152" t="s">
        <v>21</v>
      </c>
      <c r="E17" s="154">
        <v>44716</v>
      </c>
      <c r="F17" s="155" t="s">
        <v>97</v>
      </c>
      <c r="G17" s="20">
        <v>16215</v>
      </c>
      <c r="H17" s="19">
        <v>92591</v>
      </c>
      <c r="I17" s="19">
        <v>4705209</v>
      </c>
      <c r="J17" s="156">
        <v>654</v>
      </c>
      <c r="K17" s="19">
        <v>57</v>
      </c>
      <c r="L17" s="20">
        <v>5.91</v>
      </c>
      <c r="M17" s="20">
        <v>5</v>
      </c>
      <c r="N17" s="141">
        <v>84.8</v>
      </c>
      <c r="O17" s="21">
        <v>102.5</v>
      </c>
      <c r="P17" s="21">
        <v>85.9</v>
      </c>
      <c r="Q17" s="21">
        <v>102.5</v>
      </c>
      <c r="R17" s="21">
        <v>85.5</v>
      </c>
      <c r="S17" s="21">
        <v>103.1</v>
      </c>
      <c r="T17" s="21">
        <v>86.4</v>
      </c>
      <c r="U17" s="21">
        <v>103.3</v>
      </c>
      <c r="V17" s="141">
        <v>86.1</v>
      </c>
      <c r="W17" s="141">
        <v>103.2</v>
      </c>
      <c r="X17" s="157">
        <v>870</v>
      </c>
      <c r="Y17" s="157">
        <v>800</v>
      </c>
      <c r="Z17" s="158">
        <v>920</v>
      </c>
      <c r="AA17" s="158">
        <v>160</v>
      </c>
      <c r="AB17" s="159">
        <v>0.1</v>
      </c>
      <c r="AC17" s="158">
        <v>1800</v>
      </c>
      <c r="AD17" s="160">
        <v>710</v>
      </c>
      <c r="AE17" s="160">
        <v>600</v>
      </c>
      <c r="AF17" s="160">
        <v>710</v>
      </c>
      <c r="AG17" s="160">
        <v>710</v>
      </c>
      <c r="AH17" s="158">
        <v>160</v>
      </c>
      <c r="AI17" s="3"/>
      <c r="AJ17" s="3"/>
      <c r="AK17" s="3"/>
    </row>
    <row r="18" spans="1:37" ht="15">
      <c r="A18" s="152" t="s">
        <v>112</v>
      </c>
      <c r="B18" s="153">
        <v>160.41999999999999</v>
      </c>
      <c r="C18" s="153">
        <v>17.62</v>
      </c>
      <c r="D18" s="152" t="s">
        <v>21</v>
      </c>
      <c r="E18" s="154">
        <v>44716</v>
      </c>
      <c r="F18" s="155" t="s">
        <v>97</v>
      </c>
      <c r="G18" s="20">
        <v>16215</v>
      </c>
      <c r="H18" s="19">
        <v>92591</v>
      </c>
      <c r="I18" s="19">
        <v>4705209</v>
      </c>
      <c r="J18" s="156">
        <v>654</v>
      </c>
      <c r="K18" s="19">
        <v>57</v>
      </c>
      <c r="L18" s="20">
        <v>5.91</v>
      </c>
      <c r="M18" s="20">
        <v>8</v>
      </c>
      <c r="N18" s="141">
        <v>85.9</v>
      </c>
      <c r="O18" s="21">
        <v>102.8</v>
      </c>
      <c r="P18" s="21">
        <v>88.8</v>
      </c>
      <c r="Q18" s="21">
        <v>105.4</v>
      </c>
      <c r="R18" s="21">
        <v>86.8</v>
      </c>
      <c r="S18" s="21">
        <v>103.8</v>
      </c>
      <c r="T18" s="21">
        <v>87.1</v>
      </c>
      <c r="U18" s="21">
        <v>104.6</v>
      </c>
      <c r="V18" s="141">
        <v>85.2</v>
      </c>
      <c r="W18" s="141">
        <v>102.9</v>
      </c>
      <c r="X18" s="157">
        <v>870</v>
      </c>
      <c r="Y18" s="157">
        <v>800</v>
      </c>
      <c r="Z18" s="158">
        <v>920</v>
      </c>
      <c r="AA18" s="158">
        <v>160</v>
      </c>
      <c r="AB18" s="159">
        <v>0.1</v>
      </c>
      <c r="AC18" s="158">
        <v>1800</v>
      </c>
      <c r="AD18" s="160">
        <v>710</v>
      </c>
      <c r="AE18" s="160">
        <v>600</v>
      </c>
      <c r="AF18" s="160">
        <v>710</v>
      </c>
      <c r="AG18" s="160">
        <v>710</v>
      </c>
      <c r="AH18" s="158">
        <v>160</v>
      </c>
      <c r="AI18" s="3"/>
      <c r="AJ18" s="3"/>
      <c r="AK18" s="3"/>
    </row>
    <row r="19" spans="1:37" ht="15">
      <c r="A19" s="152" t="s">
        <v>112</v>
      </c>
      <c r="B19" s="153">
        <v>160.41999999999999</v>
      </c>
      <c r="C19" s="153">
        <v>17.62</v>
      </c>
      <c r="D19" s="152" t="s">
        <v>21</v>
      </c>
      <c r="E19" s="154">
        <v>44961</v>
      </c>
      <c r="F19" s="155" t="s">
        <v>97</v>
      </c>
      <c r="G19" s="20">
        <v>18646</v>
      </c>
      <c r="H19" s="19">
        <v>93024</v>
      </c>
      <c r="I19" s="19">
        <v>5197146</v>
      </c>
      <c r="J19" s="156">
        <v>654</v>
      </c>
      <c r="K19" s="19">
        <v>57</v>
      </c>
      <c r="L19" s="20">
        <v>5.91</v>
      </c>
      <c r="M19" s="20" t="s">
        <v>116</v>
      </c>
      <c r="N19" s="141">
        <v>86.5</v>
      </c>
      <c r="O19" s="21">
        <v>102.6</v>
      </c>
      <c r="P19" s="21"/>
      <c r="Q19" s="21"/>
      <c r="R19" s="21"/>
      <c r="S19" s="21"/>
      <c r="T19" s="21"/>
      <c r="U19" s="21"/>
      <c r="V19" s="141"/>
      <c r="W19" s="141"/>
      <c r="X19" s="157">
        <v>870</v>
      </c>
      <c r="Y19" s="157">
        <v>800</v>
      </c>
      <c r="Z19" s="158">
        <v>900</v>
      </c>
      <c r="AA19" s="158">
        <v>160</v>
      </c>
      <c r="AB19" s="159">
        <v>0.1</v>
      </c>
      <c r="AC19" s="158">
        <v>1800</v>
      </c>
      <c r="AD19" s="160">
        <v>705</v>
      </c>
      <c r="AE19" s="160">
        <v>600</v>
      </c>
      <c r="AF19" s="160">
        <v>705</v>
      </c>
      <c r="AG19" s="160">
        <v>705</v>
      </c>
      <c r="AH19" s="158">
        <v>160</v>
      </c>
      <c r="AI19" s="3"/>
      <c r="AJ19" s="3"/>
      <c r="AK19" s="3"/>
    </row>
    <row r="20" spans="1:37" ht="15">
      <c r="A20" s="152" t="s">
        <v>112</v>
      </c>
      <c r="B20" s="153">
        <v>160.41999999999999</v>
      </c>
      <c r="C20" s="153">
        <v>17.62</v>
      </c>
      <c r="D20" s="152" t="s">
        <v>21</v>
      </c>
      <c r="E20" s="154">
        <v>44961</v>
      </c>
      <c r="F20" s="155" t="s">
        <v>97</v>
      </c>
      <c r="G20" s="20">
        <v>18646</v>
      </c>
      <c r="H20" s="19">
        <v>93024</v>
      </c>
      <c r="I20" s="19">
        <v>5197146</v>
      </c>
      <c r="J20" s="156">
        <v>654</v>
      </c>
      <c r="K20" s="19">
        <v>57</v>
      </c>
      <c r="L20" s="20">
        <v>5.91</v>
      </c>
      <c r="M20" s="20">
        <v>3</v>
      </c>
      <c r="N20" s="141">
        <v>85.1</v>
      </c>
      <c r="O20" s="21">
        <v>101.9</v>
      </c>
      <c r="P20" s="21"/>
      <c r="Q20" s="21"/>
      <c r="R20" s="21"/>
      <c r="S20" s="21"/>
      <c r="T20" s="21"/>
      <c r="U20" s="21"/>
      <c r="V20" s="141"/>
      <c r="W20" s="141"/>
      <c r="X20" s="157">
        <v>870</v>
      </c>
      <c r="Y20" s="157">
        <v>800</v>
      </c>
      <c r="Z20" s="158">
        <v>900</v>
      </c>
      <c r="AA20" s="158">
        <v>160</v>
      </c>
      <c r="AB20" s="159">
        <v>0.1</v>
      </c>
      <c r="AC20" s="158">
        <v>1800</v>
      </c>
      <c r="AD20" s="160">
        <v>705</v>
      </c>
      <c r="AE20" s="160">
        <v>600</v>
      </c>
      <c r="AF20" s="160">
        <v>705</v>
      </c>
      <c r="AG20" s="160">
        <v>705</v>
      </c>
      <c r="AH20" s="158">
        <v>160</v>
      </c>
      <c r="AI20" s="3"/>
      <c r="AJ20" s="3"/>
      <c r="AK20" s="3"/>
    </row>
    <row r="21" spans="1:37" ht="15">
      <c r="A21" s="152" t="s">
        <v>112</v>
      </c>
      <c r="B21" s="153">
        <v>160.41999999999999</v>
      </c>
      <c r="C21" s="153">
        <v>17.62</v>
      </c>
      <c r="D21" s="152" t="s">
        <v>21</v>
      </c>
      <c r="E21" s="154">
        <v>44961</v>
      </c>
      <c r="F21" s="155" t="s">
        <v>97</v>
      </c>
      <c r="G21" s="20">
        <v>18646</v>
      </c>
      <c r="H21" s="19">
        <v>93024</v>
      </c>
      <c r="I21" s="19">
        <v>5197146</v>
      </c>
      <c r="J21" s="156">
        <v>654</v>
      </c>
      <c r="K21" s="19">
        <v>57</v>
      </c>
      <c r="L21" s="20">
        <v>5.91</v>
      </c>
      <c r="M21" s="20">
        <v>21</v>
      </c>
      <c r="N21" s="141"/>
      <c r="O21" s="21"/>
      <c r="P21" s="21"/>
      <c r="Q21" s="21"/>
      <c r="R21" s="21"/>
      <c r="S21" s="21"/>
      <c r="T21" s="21"/>
      <c r="U21" s="21"/>
      <c r="V21" s="141">
        <v>84.9</v>
      </c>
      <c r="W21" s="141">
        <v>101.7</v>
      </c>
      <c r="X21" s="157">
        <v>870</v>
      </c>
      <c r="Y21" s="157">
        <v>800</v>
      </c>
      <c r="Z21" s="158">
        <v>900</v>
      </c>
      <c r="AA21" s="158">
        <v>160</v>
      </c>
      <c r="AB21" s="159">
        <v>0.1</v>
      </c>
      <c r="AC21" s="158">
        <v>1800</v>
      </c>
      <c r="AD21" s="160">
        <v>705</v>
      </c>
      <c r="AE21" s="160">
        <v>600</v>
      </c>
      <c r="AF21" s="160">
        <v>705</v>
      </c>
      <c r="AG21" s="160">
        <v>705</v>
      </c>
      <c r="AH21" s="158">
        <v>160</v>
      </c>
      <c r="AI21" s="3"/>
      <c r="AJ21" s="3"/>
      <c r="AK21" s="3"/>
    </row>
    <row r="22" spans="1:37" ht="15">
      <c r="A22" s="152"/>
      <c r="B22" s="153"/>
      <c r="C22" s="153"/>
      <c r="D22" s="152"/>
      <c r="E22" s="154"/>
      <c r="F22" s="155"/>
      <c r="G22" s="20"/>
      <c r="H22" s="19"/>
      <c r="I22" s="19"/>
      <c r="J22" s="156"/>
      <c r="K22" s="19"/>
      <c r="L22" s="20"/>
      <c r="M22" s="20"/>
      <c r="N22" s="141"/>
      <c r="O22" s="21"/>
      <c r="P22" s="21"/>
      <c r="Q22" s="21"/>
      <c r="R22" s="21"/>
      <c r="S22" s="21"/>
      <c r="T22" s="21"/>
      <c r="U22" s="21"/>
      <c r="V22" s="141"/>
      <c r="W22" s="141"/>
      <c r="X22" s="157"/>
      <c r="Y22" s="157"/>
      <c r="Z22" s="158"/>
      <c r="AA22" s="158"/>
      <c r="AB22" s="159"/>
      <c r="AC22" s="158"/>
      <c r="AD22" s="160"/>
      <c r="AE22" s="160"/>
      <c r="AF22" s="160"/>
      <c r="AG22" s="160"/>
      <c r="AH22" s="158"/>
      <c r="AI22" s="3"/>
      <c r="AJ22" s="3"/>
      <c r="AK22" s="3"/>
    </row>
    <row r="23" spans="1:37" ht="15">
      <c r="A23" s="152"/>
      <c r="B23" s="153"/>
      <c r="C23" s="153"/>
      <c r="D23" s="152"/>
      <c r="E23" s="154"/>
      <c r="F23" s="155"/>
      <c r="G23" s="20"/>
      <c r="H23" s="19"/>
      <c r="I23" s="19"/>
      <c r="J23" s="156"/>
      <c r="K23" s="19"/>
      <c r="L23" s="20"/>
      <c r="M23" s="20"/>
      <c r="N23" s="141"/>
      <c r="O23" s="21"/>
      <c r="P23" s="21"/>
      <c r="Q23" s="21"/>
      <c r="R23" s="21"/>
      <c r="S23" s="21"/>
      <c r="T23" s="21"/>
      <c r="U23" s="21"/>
      <c r="V23" s="141"/>
      <c r="W23" s="141"/>
      <c r="X23" s="157"/>
      <c r="Y23" s="157"/>
      <c r="Z23" s="158"/>
      <c r="AA23" s="158"/>
      <c r="AB23" s="159"/>
      <c r="AC23" s="158"/>
      <c r="AD23" s="160"/>
      <c r="AE23" s="160"/>
      <c r="AF23" s="160"/>
      <c r="AG23" s="160"/>
      <c r="AH23" s="158"/>
      <c r="AI23" s="3"/>
      <c r="AJ23" s="3"/>
      <c r="AK23" s="3"/>
    </row>
    <row r="24" spans="1:37" ht="15">
      <c r="A24" s="152"/>
      <c r="B24" s="153"/>
      <c r="C24" s="153"/>
      <c r="D24" s="152"/>
      <c r="E24" s="154"/>
      <c r="F24" s="155"/>
      <c r="G24" s="20"/>
      <c r="H24" s="19"/>
      <c r="I24" s="19"/>
      <c r="J24" s="156"/>
      <c r="K24" s="19"/>
      <c r="L24" s="20"/>
      <c r="M24" s="20"/>
      <c r="N24" s="141"/>
      <c r="O24" s="21"/>
      <c r="P24" s="21"/>
      <c r="Q24" s="21"/>
      <c r="R24" s="21"/>
      <c r="S24" s="21"/>
      <c r="T24" s="21"/>
      <c r="U24" s="21"/>
      <c r="V24" s="141"/>
      <c r="W24" s="141"/>
      <c r="X24" s="157"/>
      <c r="Y24" s="157"/>
      <c r="Z24" s="158"/>
      <c r="AA24" s="158"/>
      <c r="AB24" s="159"/>
      <c r="AC24" s="158"/>
      <c r="AD24" s="160"/>
      <c r="AE24" s="160"/>
      <c r="AF24" s="160"/>
      <c r="AG24" s="160"/>
      <c r="AH24" s="158"/>
      <c r="AI24" s="3"/>
      <c r="AJ24" s="3"/>
      <c r="AK24" s="3"/>
    </row>
    <row r="25" spans="1:37" ht="15">
      <c r="A25" s="152"/>
      <c r="B25" s="153"/>
      <c r="C25" s="153"/>
      <c r="D25" s="152"/>
      <c r="E25" s="154"/>
      <c r="F25" s="155"/>
      <c r="G25" s="20"/>
      <c r="H25" s="19"/>
      <c r="I25" s="19"/>
      <c r="J25" s="156"/>
      <c r="K25" s="19"/>
      <c r="L25" s="20"/>
      <c r="M25" s="20"/>
      <c r="N25" s="141"/>
      <c r="O25" s="21"/>
      <c r="P25" s="21"/>
      <c r="Q25" s="21"/>
      <c r="R25" s="21"/>
      <c r="S25" s="21"/>
      <c r="T25" s="21"/>
      <c r="U25" s="21"/>
      <c r="V25" s="141"/>
      <c r="W25" s="141"/>
      <c r="X25" s="157"/>
      <c r="Y25" s="157"/>
      <c r="Z25" s="158"/>
      <c r="AA25" s="158"/>
      <c r="AB25" s="159"/>
      <c r="AC25" s="158"/>
      <c r="AD25" s="160"/>
      <c r="AE25" s="160"/>
      <c r="AF25" s="160"/>
      <c r="AG25" s="160"/>
      <c r="AH25" s="158"/>
      <c r="AI25" s="3"/>
      <c r="AJ25" s="3"/>
      <c r="AK25" s="3"/>
    </row>
    <row r="26" spans="1:37" ht="15">
      <c r="A26" s="152"/>
      <c r="B26" s="153"/>
      <c r="C26" s="153"/>
      <c r="D26" s="152"/>
      <c r="E26" s="154"/>
      <c r="F26" s="155"/>
      <c r="G26" s="20"/>
      <c r="H26" s="19"/>
      <c r="I26" s="19"/>
      <c r="J26" s="156"/>
      <c r="K26" s="19"/>
      <c r="L26" s="20"/>
      <c r="M26" s="20"/>
      <c r="N26" s="141"/>
      <c r="O26" s="21"/>
      <c r="P26" s="21"/>
      <c r="Q26" s="21"/>
      <c r="R26" s="21"/>
      <c r="S26" s="21"/>
      <c r="T26" s="21"/>
      <c r="U26" s="21"/>
      <c r="V26" s="141"/>
      <c r="W26" s="141"/>
      <c r="X26" s="157"/>
      <c r="Y26" s="157"/>
      <c r="Z26" s="158"/>
      <c r="AA26" s="158"/>
      <c r="AB26" s="159"/>
      <c r="AC26" s="158"/>
      <c r="AD26" s="160"/>
      <c r="AE26" s="160"/>
      <c r="AF26" s="160"/>
      <c r="AG26" s="160"/>
      <c r="AH26" s="158"/>
      <c r="AI26" s="3"/>
      <c r="AJ26" s="3"/>
      <c r="AK26" s="3"/>
    </row>
    <row r="27" spans="1:37" ht="15">
      <c r="A27" s="152"/>
      <c r="B27" s="153"/>
      <c r="C27" s="153"/>
      <c r="D27" s="152"/>
      <c r="E27" s="154"/>
      <c r="F27" s="155"/>
      <c r="G27" s="20"/>
      <c r="H27" s="19"/>
      <c r="I27" s="19"/>
      <c r="J27" s="156"/>
      <c r="K27" s="19"/>
      <c r="L27" s="20"/>
      <c r="M27" s="20"/>
      <c r="N27" s="141"/>
      <c r="O27" s="21"/>
      <c r="P27" s="21"/>
      <c r="Q27" s="21"/>
      <c r="R27" s="21"/>
      <c r="S27" s="21"/>
      <c r="T27" s="21"/>
      <c r="U27" s="21"/>
      <c r="V27" s="141"/>
      <c r="W27" s="141"/>
      <c r="X27" s="157"/>
      <c r="Y27" s="157"/>
      <c r="Z27" s="158"/>
      <c r="AA27" s="158"/>
      <c r="AB27" s="159"/>
      <c r="AC27" s="158"/>
      <c r="AD27" s="160"/>
      <c r="AE27" s="160"/>
      <c r="AF27" s="160"/>
      <c r="AG27" s="160"/>
      <c r="AH27" s="158"/>
      <c r="AI27" s="3"/>
      <c r="AJ27" s="3"/>
      <c r="AK27" s="3"/>
    </row>
    <row r="28" spans="1:37" ht="15">
      <c r="A28" s="152"/>
      <c r="B28" s="153"/>
      <c r="C28" s="153"/>
      <c r="D28" s="152"/>
      <c r="E28" s="154"/>
      <c r="F28" s="155"/>
      <c r="G28" s="20"/>
      <c r="H28" s="19"/>
      <c r="I28" s="19"/>
      <c r="J28" s="156"/>
      <c r="K28" s="19"/>
      <c r="L28" s="20"/>
      <c r="M28" s="20"/>
      <c r="N28" s="141"/>
      <c r="O28" s="21"/>
      <c r="P28" s="21"/>
      <c r="Q28" s="21"/>
      <c r="R28" s="21"/>
      <c r="S28" s="21"/>
      <c r="T28" s="21"/>
      <c r="U28" s="21"/>
      <c r="V28" s="141"/>
      <c r="W28" s="141"/>
      <c r="X28" s="157"/>
      <c r="Y28" s="157"/>
      <c r="Z28" s="158"/>
      <c r="AA28" s="158"/>
      <c r="AB28" s="159"/>
      <c r="AC28" s="158"/>
      <c r="AD28" s="160"/>
      <c r="AE28" s="160"/>
      <c r="AF28" s="160"/>
      <c r="AG28" s="160"/>
      <c r="AH28" s="158"/>
      <c r="AI28" s="3"/>
      <c r="AJ28" s="3"/>
      <c r="AK28" s="3"/>
    </row>
    <row r="29" spans="1:37" ht="15">
      <c r="A29" s="152"/>
      <c r="B29" s="153"/>
      <c r="C29" s="153"/>
      <c r="D29" s="152"/>
      <c r="E29" s="154"/>
      <c r="F29" s="155"/>
      <c r="G29" s="20"/>
      <c r="H29" s="19"/>
      <c r="I29" s="19"/>
      <c r="J29" s="156"/>
      <c r="K29" s="19"/>
      <c r="L29" s="20"/>
      <c r="M29" s="20"/>
      <c r="N29" s="141"/>
      <c r="O29" s="21"/>
      <c r="P29" s="21"/>
      <c r="Q29" s="21"/>
      <c r="R29" s="21"/>
      <c r="S29" s="21"/>
      <c r="T29" s="21"/>
      <c r="U29" s="21"/>
      <c r="V29" s="141"/>
      <c r="W29" s="141"/>
      <c r="X29" s="157"/>
      <c r="Y29" s="157"/>
      <c r="Z29" s="158"/>
      <c r="AA29" s="158"/>
      <c r="AB29" s="159"/>
      <c r="AC29" s="158"/>
      <c r="AD29" s="160"/>
      <c r="AE29" s="160"/>
      <c r="AF29" s="160"/>
      <c r="AG29" s="160"/>
      <c r="AH29" s="158"/>
      <c r="AI29" s="3"/>
      <c r="AJ29" s="3"/>
      <c r="AK29" s="3"/>
    </row>
    <row r="30" spans="1:37" ht="15">
      <c r="A30" s="152"/>
      <c r="B30" s="153"/>
      <c r="C30" s="153"/>
      <c r="D30" s="152"/>
      <c r="E30" s="154"/>
      <c r="F30" s="155"/>
      <c r="G30" s="20"/>
      <c r="H30" s="19"/>
      <c r="I30" s="19"/>
      <c r="J30" s="156"/>
      <c r="K30" s="19"/>
      <c r="L30" s="20"/>
      <c r="M30" s="20"/>
      <c r="N30" s="141"/>
      <c r="O30" s="21"/>
      <c r="P30" s="21"/>
      <c r="Q30" s="21"/>
      <c r="R30" s="21"/>
      <c r="S30" s="21"/>
      <c r="T30" s="21"/>
      <c r="U30" s="21"/>
      <c r="V30" s="141"/>
      <c r="W30" s="141"/>
      <c r="X30" s="157"/>
      <c r="Y30" s="157"/>
      <c r="Z30" s="158"/>
      <c r="AA30" s="158"/>
      <c r="AB30" s="159"/>
      <c r="AC30" s="158"/>
      <c r="AD30" s="160"/>
      <c r="AE30" s="160"/>
      <c r="AF30" s="160"/>
      <c r="AG30" s="160"/>
      <c r="AH30" s="158"/>
      <c r="AI30" s="3"/>
      <c r="AJ30" s="3"/>
      <c r="AK30" s="3"/>
    </row>
    <row r="31" spans="1:37" ht="15">
      <c r="A31" s="152"/>
      <c r="B31" s="153"/>
      <c r="C31" s="153"/>
      <c r="D31" s="152"/>
      <c r="E31" s="154"/>
      <c r="F31" s="155"/>
      <c r="G31" s="20"/>
      <c r="H31" s="19"/>
      <c r="I31" s="19"/>
      <c r="J31" s="156"/>
      <c r="K31" s="19"/>
      <c r="L31" s="20"/>
      <c r="M31" s="20"/>
      <c r="N31" s="141"/>
      <c r="O31" s="21"/>
      <c r="P31" s="21"/>
      <c r="Q31" s="21"/>
      <c r="R31" s="21"/>
      <c r="S31" s="21"/>
      <c r="T31" s="21"/>
      <c r="U31" s="21"/>
      <c r="V31" s="141"/>
      <c r="W31" s="141"/>
      <c r="X31" s="157"/>
      <c r="Y31" s="157"/>
      <c r="Z31" s="158"/>
      <c r="AA31" s="158"/>
      <c r="AB31" s="159"/>
      <c r="AC31" s="158"/>
      <c r="AD31" s="160"/>
      <c r="AE31" s="160"/>
      <c r="AF31" s="160"/>
      <c r="AG31" s="160"/>
      <c r="AH31" s="158"/>
      <c r="AI31" s="3"/>
      <c r="AJ31" s="3"/>
      <c r="AK31" s="3"/>
    </row>
    <row r="32" spans="1:37" ht="15">
      <c r="A32" s="152"/>
      <c r="B32" s="153"/>
      <c r="C32" s="153"/>
      <c r="D32" s="152"/>
      <c r="E32" s="154"/>
      <c r="F32" s="155"/>
      <c r="G32" s="20"/>
      <c r="H32" s="19"/>
      <c r="I32" s="19"/>
      <c r="J32" s="156"/>
      <c r="K32" s="19"/>
      <c r="L32" s="20"/>
      <c r="M32" s="20"/>
      <c r="N32" s="141"/>
      <c r="O32" s="21"/>
      <c r="P32" s="21"/>
      <c r="Q32" s="21"/>
      <c r="R32" s="21"/>
      <c r="S32" s="21"/>
      <c r="T32" s="21"/>
      <c r="U32" s="21"/>
      <c r="V32" s="141"/>
      <c r="W32" s="141"/>
      <c r="X32" s="157"/>
      <c r="Y32" s="157"/>
      <c r="Z32" s="158"/>
      <c r="AA32" s="158"/>
      <c r="AB32" s="159"/>
      <c r="AC32" s="158"/>
      <c r="AD32" s="160"/>
      <c r="AE32" s="160"/>
      <c r="AF32" s="160"/>
      <c r="AG32" s="160"/>
      <c r="AH32" s="158"/>
      <c r="AI32" s="3"/>
      <c r="AJ32" s="3"/>
      <c r="AK32" s="3"/>
    </row>
    <row r="33" spans="1:37" ht="15">
      <c r="A33" s="152"/>
      <c r="B33" s="153"/>
      <c r="C33" s="153"/>
      <c r="D33" s="152"/>
      <c r="E33" s="154"/>
      <c r="F33" s="155"/>
      <c r="G33" s="20"/>
      <c r="H33" s="19"/>
      <c r="I33" s="19"/>
      <c r="J33" s="156"/>
      <c r="K33" s="19"/>
      <c r="L33" s="20"/>
      <c r="M33" s="20"/>
      <c r="N33" s="141"/>
      <c r="O33" s="21"/>
      <c r="P33" s="21"/>
      <c r="Q33" s="21"/>
      <c r="R33" s="21"/>
      <c r="S33" s="21"/>
      <c r="T33" s="21"/>
      <c r="U33" s="21"/>
      <c r="V33" s="141"/>
      <c r="W33" s="141"/>
      <c r="X33" s="157"/>
      <c r="Y33" s="157"/>
      <c r="Z33" s="158"/>
      <c r="AA33" s="158"/>
      <c r="AB33" s="159"/>
      <c r="AC33" s="158"/>
      <c r="AD33" s="160"/>
      <c r="AE33" s="160"/>
      <c r="AF33" s="160"/>
      <c r="AG33" s="160"/>
      <c r="AH33" s="158"/>
      <c r="AI33" s="3"/>
      <c r="AJ33" s="3"/>
      <c r="AK33" s="3"/>
    </row>
    <row r="34" spans="1:37" ht="15">
      <c r="A34" s="152"/>
      <c r="B34" s="153"/>
      <c r="C34" s="153"/>
      <c r="D34" s="152"/>
      <c r="E34" s="154"/>
      <c r="F34" s="155"/>
      <c r="G34" s="20"/>
      <c r="H34" s="19"/>
      <c r="I34" s="19"/>
      <c r="J34" s="156"/>
      <c r="K34" s="19"/>
      <c r="L34" s="20"/>
      <c r="M34" s="20"/>
      <c r="N34" s="141"/>
      <c r="O34" s="21"/>
      <c r="P34" s="21"/>
      <c r="Q34" s="21"/>
      <c r="R34" s="21"/>
      <c r="S34" s="21"/>
      <c r="T34" s="21"/>
      <c r="U34" s="21"/>
      <c r="V34" s="141"/>
      <c r="W34" s="141"/>
      <c r="X34" s="157"/>
      <c r="Y34" s="157"/>
      <c r="Z34" s="158"/>
      <c r="AA34" s="158"/>
      <c r="AB34" s="159"/>
      <c r="AC34" s="158"/>
      <c r="AD34" s="160"/>
      <c r="AE34" s="160"/>
      <c r="AF34" s="160"/>
      <c r="AG34" s="160"/>
      <c r="AH34" s="158"/>
      <c r="AI34" s="3"/>
      <c r="AJ34" s="3"/>
      <c r="AK34" s="3"/>
    </row>
    <row r="35" spans="1:37" ht="15">
      <c r="A35" s="152"/>
      <c r="B35" s="153"/>
      <c r="C35" s="153"/>
      <c r="D35" s="152"/>
      <c r="E35" s="154"/>
      <c r="F35" s="155"/>
      <c r="G35" s="20"/>
      <c r="H35" s="19"/>
      <c r="I35" s="19"/>
      <c r="J35" s="156"/>
      <c r="K35" s="19"/>
      <c r="L35" s="20"/>
      <c r="M35" s="20"/>
      <c r="N35" s="141"/>
      <c r="O35" s="21"/>
      <c r="P35" s="21"/>
      <c r="Q35" s="21"/>
      <c r="R35" s="21"/>
      <c r="S35" s="21"/>
      <c r="T35" s="21"/>
      <c r="U35" s="21"/>
      <c r="V35" s="141"/>
      <c r="W35" s="141"/>
      <c r="X35" s="157"/>
      <c r="Y35" s="157"/>
      <c r="Z35" s="158"/>
      <c r="AA35" s="158"/>
      <c r="AB35" s="159"/>
      <c r="AC35" s="158"/>
      <c r="AD35" s="160"/>
      <c r="AE35" s="160"/>
      <c r="AF35" s="160"/>
      <c r="AG35" s="160"/>
      <c r="AH35" s="158"/>
      <c r="AI35" s="3"/>
      <c r="AJ35" s="3"/>
      <c r="AK35" s="3"/>
    </row>
    <row r="36" spans="1:37" ht="15">
      <c r="A36" s="152"/>
      <c r="B36" s="153"/>
      <c r="C36" s="153"/>
      <c r="D36" s="152"/>
      <c r="E36" s="154"/>
      <c r="F36" s="155"/>
      <c r="G36" s="20"/>
      <c r="H36" s="19"/>
      <c r="I36" s="19"/>
      <c r="J36" s="156"/>
      <c r="K36" s="19"/>
      <c r="L36" s="20"/>
      <c r="M36" s="20"/>
      <c r="N36" s="141"/>
      <c r="O36" s="21"/>
      <c r="P36" s="21"/>
      <c r="Q36" s="21"/>
      <c r="R36" s="21"/>
      <c r="S36" s="21"/>
      <c r="T36" s="21"/>
      <c r="U36" s="21"/>
      <c r="V36" s="141"/>
      <c r="W36" s="141"/>
      <c r="X36" s="157"/>
      <c r="Y36" s="157"/>
      <c r="Z36" s="158"/>
      <c r="AA36" s="158"/>
      <c r="AB36" s="159"/>
      <c r="AC36" s="158"/>
      <c r="AD36" s="160"/>
      <c r="AE36" s="160"/>
      <c r="AF36" s="160"/>
      <c r="AG36" s="160"/>
      <c r="AH36" s="158"/>
      <c r="AI36" s="3"/>
      <c r="AJ36" s="3"/>
      <c r="AK36" s="3"/>
    </row>
    <row r="37" spans="1:37" ht="15">
      <c r="A37" s="152"/>
      <c r="B37" s="153"/>
      <c r="C37" s="153"/>
      <c r="D37" s="152"/>
      <c r="E37" s="154"/>
      <c r="F37" s="155"/>
      <c r="G37" s="20"/>
      <c r="H37" s="19"/>
      <c r="I37" s="19"/>
      <c r="J37" s="156"/>
      <c r="K37" s="19"/>
      <c r="L37" s="20"/>
      <c r="M37" s="20"/>
      <c r="N37" s="141"/>
      <c r="O37" s="21"/>
      <c r="P37" s="21"/>
      <c r="Q37" s="21"/>
      <c r="R37" s="21"/>
      <c r="S37" s="21"/>
      <c r="T37" s="21"/>
      <c r="U37" s="21"/>
      <c r="V37" s="141"/>
      <c r="W37" s="141"/>
      <c r="X37" s="157"/>
      <c r="Y37" s="157"/>
      <c r="Z37" s="158"/>
      <c r="AA37" s="158"/>
      <c r="AB37" s="159"/>
      <c r="AC37" s="158"/>
      <c r="AD37" s="160"/>
      <c r="AE37" s="160"/>
      <c r="AF37" s="160"/>
      <c r="AG37" s="160"/>
      <c r="AH37" s="158"/>
      <c r="AI37" s="3"/>
      <c r="AJ37" s="3"/>
      <c r="AK37" s="3"/>
    </row>
    <row r="38" spans="1:37" ht="15">
      <c r="A38" s="152"/>
      <c r="B38" s="153"/>
      <c r="C38" s="153"/>
      <c r="D38" s="152"/>
      <c r="E38" s="154"/>
      <c r="F38" s="155"/>
      <c r="G38" s="20"/>
      <c r="H38" s="19"/>
      <c r="I38" s="19"/>
      <c r="J38" s="156"/>
      <c r="K38" s="19"/>
      <c r="L38" s="20"/>
      <c r="M38" s="20"/>
      <c r="N38" s="141"/>
      <c r="O38" s="21"/>
      <c r="P38" s="21"/>
      <c r="Q38" s="21"/>
      <c r="R38" s="21"/>
      <c r="S38" s="21"/>
      <c r="T38" s="21"/>
      <c r="U38" s="21"/>
      <c r="V38" s="141"/>
      <c r="W38" s="141"/>
      <c r="X38" s="157"/>
      <c r="Y38" s="157"/>
      <c r="Z38" s="158"/>
      <c r="AA38" s="158"/>
      <c r="AB38" s="159"/>
      <c r="AC38" s="158"/>
      <c r="AD38" s="160"/>
      <c r="AE38" s="160"/>
      <c r="AF38" s="160"/>
      <c r="AG38" s="160"/>
      <c r="AH38" s="158"/>
      <c r="AI38" s="3"/>
      <c r="AJ38" s="3"/>
      <c r="AK38" s="3"/>
    </row>
    <row r="39" spans="1:37" ht="15">
      <c r="A39" s="152"/>
      <c r="B39" s="153"/>
      <c r="C39" s="153"/>
      <c r="D39" s="152"/>
      <c r="E39" s="154"/>
      <c r="F39" s="155"/>
      <c r="G39" s="20"/>
      <c r="H39" s="19"/>
      <c r="I39" s="19"/>
      <c r="J39" s="156"/>
      <c r="K39" s="19"/>
      <c r="L39" s="20"/>
      <c r="M39" s="20"/>
      <c r="N39" s="141"/>
      <c r="O39" s="21"/>
      <c r="P39" s="21"/>
      <c r="Q39" s="21"/>
      <c r="R39" s="21"/>
      <c r="S39" s="21"/>
      <c r="T39" s="21"/>
      <c r="U39" s="21"/>
      <c r="V39" s="141"/>
      <c r="W39" s="141"/>
      <c r="X39" s="157"/>
      <c r="Y39" s="157"/>
      <c r="Z39" s="158"/>
      <c r="AA39" s="158"/>
      <c r="AB39" s="159"/>
      <c r="AC39" s="158"/>
      <c r="AD39" s="160"/>
      <c r="AE39" s="160"/>
      <c r="AF39" s="160"/>
      <c r="AG39" s="160"/>
      <c r="AH39" s="158"/>
      <c r="AI39" s="3"/>
      <c r="AJ39" s="3"/>
      <c r="AK39" s="3"/>
    </row>
    <row r="40" spans="1:37" ht="15">
      <c r="A40" s="152"/>
      <c r="B40" s="153"/>
      <c r="C40" s="153"/>
      <c r="D40" s="152"/>
      <c r="E40" s="154"/>
      <c r="F40" s="155"/>
      <c r="G40" s="20"/>
      <c r="H40" s="19"/>
      <c r="I40" s="19"/>
      <c r="J40" s="156"/>
      <c r="K40" s="19"/>
      <c r="L40" s="20"/>
      <c r="M40" s="20"/>
      <c r="N40" s="141"/>
      <c r="O40" s="21"/>
      <c r="P40" s="21"/>
      <c r="Q40" s="21"/>
      <c r="R40" s="21"/>
      <c r="S40" s="21"/>
      <c r="T40" s="21"/>
      <c r="U40" s="21"/>
      <c r="V40" s="141"/>
      <c r="W40" s="141"/>
      <c r="X40" s="157"/>
      <c r="Y40" s="157"/>
      <c r="Z40" s="158"/>
      <c r="AA40" s="158"/>
      <c r="AB40" s="159"/>
      <c r="AC40" s="158"/>
      <c r="AD40" s="160"/>
      <c r="AE40" s="160"/>
      <c r="AF40" s="160"/>
      <c r="AG40" s="160"/>
      <c r="AH40" s="158"/>
      <c r="AI40" s="3"/>
      <c r="AJ40" s="3"/>
      <c r="AK40" s="3"/>
    </row>
    <row r="41" spans="1:37" ht="15">
      <c r="A41" s="152"/>
      <c r="B41" s="153"/>
      <c r="C41" s="153"/>
      <c r="D41" s="152"/>
      <c r="E41" s="154"/>
      <c r="F41" s="155"/>
      <c r="G41" s="20"/>
      <c r="H41" s="19"/>
      <c r="I41" s="19"/>
      <c r="J41" s="156"/>
      <c r="K41" s="19"/>
      <c r="L41" s="20"/>
      <c r="M41" s="20"/>
      <c r="N41" s="141"/>
      <c r="O41" s="21"/>
      <c r="P41" s="21"/>
      <c r="Q41" s="21"/>
      <c r="R41" s="21"/>
      <c r="S41" s="21"/>
      <c r="T41" s="21"/>
      <c r="U41" s="21"/>
      <c r="V41" s="141"/>
      <c r="W41" s="141"/>
      <c r="X41" s="157"/>
      <c r="Y41" s="157"/>
      <c r="Z41" s="158"/>
      <c r="AA41" s="158"/>
      <c r="AB41" s="159"/>
      <c r="AC41" s="158"/>
      <c r="AD41" s="160"/>
      <c r="AE41" s="160"/>
      <c r="AF41" s="160"/>
      <c r="AG41" s="160"/>
      <c r="AH41" s="158"/>
      <c r="AI41" s="3"/>
      <c r="AJ41" s="3"/>
      <c r="AK41" s="3"/>
    </row>
    <row r="42" spans="1:37" ht="15">
      <c r="A42" s="152"/>
      <c r="B42" s="153"/>
      <c r="C42" s="153"/>
      <c r="D42" s="152"/>
      <c r="E42" s="154"/>
      <c r="F42" s="155"/>
      <c r="G42" s="20"/>
      <c r="H42" s="19"/>
      <c r="I42" s="19"/>
      <c r="J42" s="156"/>
      <c r="K42" s="19"/>
      <c r="L42" s="20"/>
      <c r="M42" s="20"/>
      <c r="N42" s="141"/>
      <c r="O42" s="21"/>
      <c r="P42" s="21"/>
      <c r="Q42" s="21"/>
      <c r="R42" s="21"/>
      <c r="S42" s="21"/>
      <c r="T42" s="21"/>
      <c r="U42" s="21"/>
      <c r="V42" s="141"/>
      <c r="W42" s="141"/>
      <c r="X42" s="157"/>
      <c r="Y42" s="157"/>
      <c r="Z42" s="158"/>
      <c r="AA42" s="158"/>
      <c r="AB42" s="159"/>
      <c r="AC42" s="158"/>
      <c r="AD42" s="160"/>
      <c r="AE42" s="160"/>
      <c r="AF42" s="160"/>
      <c r="AG42" s="160"/>
      <c r="AH42" s="158"/>
      <c r="AI42" s="3"/>
      <c r="AJ42" s="3"/>
      <c r="AK42" s="3"/>
    </row>
    <row r="43" spans="1:37" ht="15">
      <c r="A43" s="152"/>
      <c r="B43" s="153"/>
      <c r="C43" s="153"/>
      <c r="D43" s="152"/>
      <c r="E43" s="154"/>
      <c r="F43" s="155"/>
      <c r="G43" s="20"/>
      <c r="H43" s="19"/>
      <c r="I43" s="19"/>
      <c r="J43" s="156"/>
      <c r="K43" s="19"/>
      <c r="L43" s="20"/>
      <c r="M43" s="20"/>
      <c r="N43" s="141"/>
      <c r="O43" s="21"/>
      <c r="P43" s="21"/>
      <c r="Q43" s="21"/>
      <c r="R43" s="21"/>
      <c r="S43" s="21"/>
      <c r="T43" s="21"/>
      <c r="U43" s="21"/>
      <c r="V43" s="141"/>
      <c r="W43" s="141"/>
      <c r="X43" s="157"/>
      <c r="Y43" s="157"/>
      <c r="Z43" s="158"/>
      <c r="AA43" s="158"/>
      <c r="AB43" s="159"/>
      <c r="AC43" s="158"/>
      <c r="AD43" s="160"/>
      <c r="AE43" s="160"/>
      <c r="AF43" s="160"/>
      <c r="AG43" s="160"/>
      <c r="AH43" s="158"/>
      <c r="AI43" s="3"/>
      <c r="AJ43" s="3"/>
      <c r="AK43" s="3"/>
    </row>
  </sheetData>
  <protectedRanges>
    <protectedRange sqref="H44:I1183 K44:K1183" name="Rango1_1"/>
    <protectedRange sqref="H5:I43" name="Rango1_1_3"/>
  </protectedRanges>
  <autoFilter ref="A4:AK4"/>
  <mergeCells count="18">
    <mergeCell ref="D1:L1"/>
    <mergeCell ref="D2:L2"/>
    <mergeCell ref="D3:L3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H5:I7">
    <cfRule type="cellIs" dxfId="71" priority="195" stopIfTrue="1" operator="equal">
      <formula>"APROBADO"</formula>
    </cfRule>
    <cfRule type="cellIs" dxfId="70" priority="196" stopIfTrue="1" operator="equal">
      <formula>"ESPERA"</formula>
    </cfRule>
    <cfRule type="cellIs" dxfId="69" priority="197" stopIfTrue="1" operator="equal">
      <formula>"RECHAZADO"</formula>
    </cfRule>
  </conditionalFormatting>
  <conditionalFormatting sqref="E5:F7">
    <cfRule type="expression" dxfId="68" priority="135" stopIfTrue="1">
      <formula>"SEVERSTAL"</formula>
    </cfRule>
  </conditionalFormatting>
  <conditionalFormatting sqref="K5:K7">
    <cfRule type="cellIs" dxfId="67" priority="62" stopIfTrue="1" operator="equal">
      <formula>"APROBADO"</formula>
    </cfRule>
    <cfRule type="cellIs" dxfId="66" priority="63" stopIfTrue="1" operator="equal">
      <formula>"ESPERA"</formula>
    </cfRule>
    <cfRule type="cellIs" dxfId="65" priority="64" stopIfTrue="1" operator="equal">
      <formula>"RECHAZADO"</formula>
    </cfRule>
  </conditionalFormatting>
  <conditionalFormatting sqref="H8:I10">
    <cfRule type="cellIs" dxfId="64" priority="59" stopIfTrue="1" operator="equal">
      <formula>"APROBADO"</formula>
    </cfRule>
    <cfRule type="cellIs" dxfId="63" priority="60" stopIfTrue="1" operator="equal">
      <formula>"ESPERA"</formula>
    </cfRule>
    <cfRule type="cellIs" dxfId="62" priority="61" stopIfTrue="1" operator="equal">
      <formula>"RECHAZADO"</formula>
    </cfRule>
  </conditionalFormatting>
  <conditionalFormatting sqref="E8:F10">
    <cfRule type="expression" dxfId="61" priority="58" stopIfTrue="1">
      <formula>"SEVERSTAL"</formula>
    </cfRule>
  </conditionalFormatting>
  <conditionalFormatting sqref="K8:K10">
    <cfRule type="cellIs" dxfId="60" priority="55" stopIfTrue="1" operator="equal">
      <formula>"APROBADO"</formula>
    </cfRule>
    <cfRule type="cellIs" dxfId="59" priority="56" stopIfTrue="1" operator="equal">
      <formula>"ESPERA"</formula>
    </cfRule>
    <cfRule type="cellIs" dxfId="58" priority="57" stopIfTrue="1" operator="equal">
      <formula>"RECHAZADO"</formula>
    </cfRule>
  </conditionalFormatting>
  <conditionalFormatting sqref="H11:I11">
    <cfRule type="cellIs" dxfId="57" priority="52" stopIfTrue="1" operator="equal">
      <formula>"APROBADO"</formula>
    </cfRule>
    <cfRule type="cellIs" dxfId="56" priority="53" stopIfTrue="1" operator="equal">
      <formula>"ESPERA"</formula>
    </cfRule>
    <cfRule type="cellIs" dxfId="55" priority="54" stopIfTrue="1" operator="equal">
      <formula>"RECHAZADO"</formula>
    </cfRule>
  </conditionalFormatting>
  <conditionalFormatting sqref="E11:F11">
    <cfRule type="expression" dxfId="54" priority="51" stopIfTrue="1">
      <formula>"SEVERSTAL"</formula>
    </cfRule>
  </conditionalFormatting>
  <conditionalFormatting sqref="K11">
    <cfRule type="cellIs" dxfId="53" priority="48" stopIfTrue="1" operator="equal">
      <formula>"APROBADO"</formula>
    </cfRule>
    <cfRule type="cellIs" dxfId="52" priority="49" stopIfTrue="1" operator="equal">
      <formula>"ESPERA"</formula>
    </cfRule>
    <cfRule type="cellIs" dxfId="51" priority="50" stopIfTrue="1" operator="equal">
      <formula>"RECHAZADO"</formula>
    </cfRule>
  </conditionalFormatting>
  <conditionalFormatting sqref="H12:I12">
    <cfRule type="cellIs" dxfId="50" priority="45" stopIfTrue="1" operator="equal">
      <formula>"APROBADO"</formula>
    </cfRule>
    <cfRule type="cellIs" dxfId="49" priority="46" stopIfTrue="1" operator="equal">
      <formula>"ESPERA"</formula>
    </cfRule>
    <cfRule type="cellIs" dxfId="48" priority="47" stopIfTrue="1" operator="equal">
      <formula>"RECHAZADO"</formula>
    </cfRule>
  </conditionalFormatting>
  <conditionalFormatting sqref="E12:F12">
    <cfRule type="expression" dxfId="47" priority="44" stopIfTrue="1">
      <formula>"SEVERSTAL"</formula>
    </cfRule>
  </conditionalFormatting>
  <conditionalFormatting sqref="K12">
    <cfRule type="cellIs" dxfId="46" priority="41" stopIfTrue="1" operator="equal">
      <formula>"APROBADO"</formula>
    </cfRule>
    <cfRule type="cellIs" dxfId="45" priority="42" stopIfTrue="1" operator="equal">
      <formula>"ESPERA"</formula>
    </cfRule>
    <cfRule type="cellIs" dxfId="44" priority="43" stopIfTrue="1" operator="equal">
      <formula>"RECHAZADO"</formula>
    </cfRule>
  </conditionalFormatting>
  <conditionalFormatting sqref="H13">
    <cfRule type="cellIs" dxfId="43" priority="38" stopIfTrue="1" operator="equal">
      <formula>"APROBADO"</formula>
    </cfRule>
    <cfRule type="cellIs" dxfId="42" priority="39" stopIfTrue="1" operator="equal">
      <formula>"ESPERA"</formula>
    </cfRule>
    <cfRule type="cellIs" dxfId="41" priority="40" stopIfTrue="1" operator="equal">
      <formula>"RECHAZADO"</formula>
    </cfRule>
  </conditionalFormatting>
  <conditionalFormatting sqref="E13:F13">
    <cfRule type="expression" dxfId="40" priority="37" stopIfTrue="1">
      <formula>"SEVERSTAL"</formula>
    </cfRule>
  </conditionalFormatting>
  <conditionalFormatting sqref="K13">
    <cfRule type="cellIs" dxfId="39" priority="34" stopIfTrue="1" operator="equal">
      <formula>"APROBADO"</formula>
    </cfRule>
    <cfRule type="cellIs" dxfId="38" priority="35" stopIfTrue="1" operator="equal">
      <formula>"ESPERA"</formula>
    </cfRule>
    <cfRule type="cellIs" dxfId="37" priority="36" stopIfTrue="1" operator="equal">
      <formula>"RECHAZADO"</formula>
    </cfRule>
  </conditionalFormatting>
  <conditionalFormatting sqref="I13">
    <cfRule type="cellIs" dxfId="36" priority="31" stopIfTrue="1" operator="equal">
      <formula>"APROBADO"</formula>
    </cfRule>
    <cfRule type="cellIs" dxfId="35" priority="32" stopIfTrue="1" operator="equal">
      <formula>"ESPERA"</formula>
    </cfRule>
    <cfRule type="cellIs" dxfId="34" priority="33" stopIfTrue="1" operator="equal">
      <formula>"RECHAZADO"</formula>
    </cfRule>
  </conditionalFormatting>
  <conditionalFormatting sqref="H14:H18">
    <cfRule type="cellIs" dxfId="33" priority="28" stopIfTrue="1" operator="equal">
      <formula>"APROBADO"</formula>
    </cfRule>
    <cfRule type="cellIs" dxfId="32" priority="29" stopIfTrue="1" operator="equal">
      <formula>"ESPERA"</formula>
    </cfRule>
    <cfRule type="cellIs" dxfId="31" priority="30" stopIfTrue="1" operator="equal">
      <formula>"RECHAZADO"</formula>
    </cfRule>
  </conditionalFormatting>
  <conditionalFormatting sqref="E14:F15">
    <cfRule type="expression" dxfId="30" priority="27" stopIfTrue="1">
      <formula>"SEVERSTAL"</formula>
    </cfRule>
  </conditionalFormatting>
  <conditionalFormatting sqref="K14:K15">
    <cfRule type="cellIs" dxfId="29" priority="24" stopIfTrue="1" operator="equal">
      <formula>"APROBADO"</formula>
    </cfRule>
    <cfRule type="cellIs" dxfId="28" priority="25" stopIfTrue="1" operator="equal">
      <formula>"ESPERA"</formula>
    </cfRule>
    <cfRule type="cellIs" dxfId="27" priority="26" stopIfTrue="1" operator="equal">
      <formula>"RECHAZADO"</formula>
    </cfRule>
  </conditionalFormatting>
  <conditionalFormatting sqref="I14:I15">
    <cfRule type="cellIs" dxfId="26" priority="21" stopIfTrue="1" operator="equal">
      <formula>"APROBADO"</formula>
    </cfRule>
    <cfRule type="cellIs" dxfId="25" priority="22" stopIfTrue="1" operator="equal">
      <formula>"ESPERA"</formula>
    </cfRule>
    <cfRule type="cellIs" dxfId="24" priority="23" stopIfTrue="1" operator="equal">
      <formula>"RECHAZADO"</formula>
    </cfRule>
  </conditionalFormatting>
  <conditionalFormatting sqref="H43">
    <cfRule type="cellIs" dxfId="23" priority="18" stopIfTrue="1" operator="equal">
      <formula>"APROBADO"</formula>
    </cfRule>
    <cfRule type="cellIs" dxfId="22" priority="19" stopIfTrue="1" operator="equal">
      <formula>"ESPERA"</formula>
    </cfRule>
    <cfRule type="cellIs" dxfId="21" priority="20" stopIfTrue="1" operator="equal">
      <formula>"RECHAZADO"</formula>
    </cfRule>
  </conditionalFormatting>
  <conditionalFormatting sqref="E43:F43">
    <cfRule type="expression" dxfId="20" priority="17" stopIfTrue="1">
      <formula>"SEVERSTAL"</formula>
    </cfRule>
  </conditionalFormatting>
  <conditionalFormatting sqref="K43">
    <cfRule type="cellIs" dxfId="19" priority="14" stopIfTrue="1" operator="equal">
      <formula>"APROBADO"</formula>
    </cfRule>
    <cfRule type="cellIs" dxfId="18" priority="15" stopIfTrue="1" operator="equal">
      <formula>"ESPERA"</formula>
    </cfRule>
    <cfRule type="cellIs" dxfId="17" priority="16" stopIfTrue="1" operator="equal">
      <formula>"RECHAZADO"</formula>
    </cfRule>
  </conditionalFormatting>
  <conditionalFormatting sqref="I43">
    <cfRule type="cellIs" dxfId="16" priority="11" stopIfTrue="1" operator="equal">
      <formula>"APROBADO"</formula>
    </cfRule>
    <cfRule type="cellIs" dxfId="15" priority="12" stopIfTrue="1" operator="equal">
      <formula>"ESPERA"</formula>
    </cfRule>
    <cfRule type="cellIs" dxfId="14" priority="13" stopIfTrue="1" operator="equal">
      <formula>"RECHAZADO"</formula>
    </cfRule>
  </conditionalFormatting>
  <conditionalFormatting sqref="I16:I42">
    <cfRule type="cellIs" dxfId="13" priority="1" stopIfTrue="1" operator="equal">
      <formula>"APROBADO"</formula>
    </cfRule>
    <cfRule type="cellIs" dxfId="12" priority="2" stopIfTrue="1" operator="equal">
      <formula>"ESPERA"</formula>
    </cfRule>
    <cfRule type="cellIs" dxfId="11" priority="3" stopIfTrue="1" operator="equal">
      <formula>"RECHAZADO"</formula>
    </cfRule>
  </conditionalFormatting>
  <conditionalFormatting sqref="H19:H42">
    <cfRule type="cellIs" dxfId="10" priority="8" stopIfTrue="1" operator="equal">
      <formula>"APROBADO"</formula>
    </cfRule>
    <cfRule type="cellIs" dxfId="9" priority="9" stopIfTrue="1" operator="equal">
      <formula>"ESPERA"</formula>
    </cfRule>
    <cfRule type="cellIs" dxfId="8" priority="10" stopIfTrue="1" operator="equal">
      <formula>"RECHAZADO"</formula>
    </cfRule>
  </conditionalFormatting>
  <conditionalFormatting sqref="E16:F42">
    <cfRule type="expression" dxfId="7" priority="7" stopIfTrue="1">
      <formula>"SEVERSTAL"</formula>
    </cfRule>
  </conditionalFormatting>
  <conditionalFormatting sqref="K16:K42">
    <cfRule type="cellIs" dxfId="6" priority="4" stopIfTrue="1" operator="equal">
      <formula>"APROBADO"</formula>
    </cfRule>
    <cfRule type="cellIs" dxfId="5" priority="5" stopIfTrue="1" operator="equal">
      <formula>"ESPERA"</formula>
    </cfRule>
    <cfRule type="cellIs" dxfId="4" priority="6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27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A12" sqref="A12:XFD12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10.25" customWidth="1"/>
    <col min="24" max="33" width="8.625" customWidth="1"/>
  </cols>
  <sheetData>
    <row r="1" spans="1:33" ht="27" customHeight="1">
      <c r="A1" s="23"/>
      <c r="B1" s="23"/>
      <c r="C1" s="23"/>
      <c r="D1" s="23"/>
      <c r="E1" s="23"/>
      <c r="F1" s="23"/>
      <c r="G1" s="23" t="s">
        <v>54</v>
      </c>
      <c r="H1" s="117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4"/>
      <c r="AG1" s="23"/>
    </row>
    <row r="2" spans="1:33" ht="30.75">
      <c r="A2" s="24"/>
      <c r="B2" s="25"/>
      <c r="C2" s="25"/>
      <c r="D2" s="25"/>
      <c r="E2" s="23"/>
      <c r="F2" s="26"/>
      <c r="G2" s="26"/>
      <c r="H2" s="118"/>
      <c r="I2" s="27"/>
      <c r="J2" s="28" t="s">
        <v>98</v>
      </c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3"/>
      <c r="X2" s="23"/>
      <c r="Y2" s="23"/>
      <c r="Z2" s="23"/>
      <c r="AA2" s="125"/>
      <c r="AB2" s="126"/>
      <c r="AC2" s="126"/>
      <c r="AD2" s="127" t="s">
        <v>91</v>
      </c>
      <c r="AE2" s="127" t="s">
        <v>92</v>
      </c>
      <c r="AF2" s="127" t="s">
        <v>93</v>
      </c>
      <c r="AG2" s="128" t="s">
        <v>94</v>
      </c>
    </row>
    <row r="3" spans="1:33" ht="26.25" customHeight="1">
      <c r="A3" s="24"/>
      <c r="B3" s="24"/>
      <c r="C3" s="24"/>
      <c r="D3" s="24"/>
      <c r="E3" s="24"/>
      <c r="F3" s="29"/>
      <c r="G3" s="24"/>
      <c r="H3" s="120"/>
      <c r="I3" s="188" t="s">
        <v>55</v>
      </c>
      <c r="J3" s="188"/>
      <c r="K3" s="188"/>
      <c r="L3" s="188"/>
      <c r="M3" s="188"/>
      <c r="N3" s="188"/>
      <c r="O3" s="188"/>
      <c r="P3" s="187" t="s">
        <v>56</v>
      </c>
      <c r="Q3" s="187"/>
      <c r="R3" s="187"/>
      <c r="S3" s="187"/>
      <c r="T3" s="187"/>
      <c r="U3" s="187"/>
      <c r="V3" s="109"/>
      <c r="W3" s="23"/>
      <c r="X3" s="23"/>
      <c r="Y3" s="23"/>
      <c r="Z3" s="23"/>
      <c r="AA3" s="129"/>
      <c r="AB3" s="129"/>
      <c r="AC3" s="130" t="s">
        <v>95</v>
      </c>
      <c r="AD3" s="131">
        <v>150</v>
      </c>
      <c r="AE3" s="132">
        <f>22*AD3/60</f>
        <v>55</v>
      </c>
      <c r="AF3" s="132">
        <f>3600/AD3</f>
        <v>24</v>
      </c>
      <c r="AG3" s="133">
        <f>AF3*8</f>
        <v>192</v>
      </c>
    </row>
    <row r="4" spans="1:33" ht="21" customHeight="1">
      <c r="A4" s="30"/>
      <c r="B4" s="24"/>
      <c r="C4" s="24"/>
      <c r="D4" s="24"/>
      <c r="E4" s="24"/>
      <c r="F4" s="31"/>
      <c r="G4" s="32"/>
      <c r="H4" s="119"/>
      <c r="I4" s="190" t="s">
        <v>8</v>
      </c>
      <c r="J4" s="191"/>
      <c r="K4" s="189" t="s">
        <v>9</v>
      </c>
      <c r="L4" s="190"/>
      <c r="M4" s="190"/>
      <c r="N4" s="190"/>
      <c r="O4" s="191"/>
      <c r="P4" s="189" t="s">
        <v>13</v>
      </c>
      <c r="Q4" s="191"/>
      <c r="R4" s="189" t="s">
        <v>9</v>
      </c>
      <c r="S4" s="190"/>
      <c r="T4" s="190"/>
      <c r="U4" s="190"/>
      <c r="V4" s="110"/>
      <c r="W4" s="33"/>
      <c r="X4" s="23"/>
      <c r="Y4" s="23"/>
      <c r="Z4" s="23"/>
      <c r="AA4" s="129"/>
      <c r="AB4" s="129"/>
      <c r="AC4" s="130" t="s">
        <v>96</v>
      </c>
      <c r="AD4" s="131">
        <f>AD3</f>
        <v>150</v>
      </c>
      <c r="AE4" s="132">
        <f>34*AD4/60</f>
        <v>85</v>
      </c>
      <c r="AF4" s="132">
        <f>3600/AD4</f>
        <v>24</v>
      </c>
      <c r="AG4" s="133">
        <f>AF4*8</f>
        <v>192</v>
      </c>
    </row>
    <row r="5" spans="1:33" ht="56.25" customHeight="1">
      <c r="A5" s="22" t="s">
        <v>1</v>
      </c>
      <c r="B5" s="22" t="s">
        <v>4</v>
      </c>
      <c r="C5" s="22" t="s">
        <v>57</v>
      </c>
      <c r="D5" s="22" t="s">
        <v>108</v>
      </c>
      <c r="E5" s="22" t="s">
        <v>3</v>
      </c>
      <c r="F5" s="22" t="s">
        <v>5</v>
      </c>
      <c r="G5" s="22" t="s">
        <v>12</v>
      </c>
      <c r="H5" s="121" t="s">
        <v>68</v>
      </c>
      <c r="I5" s="22" t="s">
        <v>7</v>
      </c>
      <c r="J5" s="22" t="s">
        <v>61</v>
      </c>
      <c r="K5" s="22" t="s">
        <v>60</v>
      </c>
      <c r="L5" s="22" t="s">
        <v>10</v>
      </c>
      <c r="M5" s="22" t="s">
        <v>11</v>
      </c>
      <c r="N5" s="22" t="s">
        <v>16</v>
      </c>
      <c r="O5" s="22" t="s">
        <v>62</v>
      </c>
      <c r="P5" s="22" t="s">
        <v>63</v>
      </c>
      <c r="Q5" s="22" t="s">
        <v>7</v>
      </c>
      <c r="R5" s="22" t="s">
        <v>10</v>
      </c>
      <c r="S5" s="22" t="s">
        <v>11</v>
      </c>
      <c r="T5" s="22" t="s">
        <v>16</v>
      </c>
      <c r="U5" s="22" t="s">
        <v>64</v>
      </c>
      <c r="V5" s="22" t="s">
        <v>60</v>
      </c>
      <c r="W5" s="22" t="s">
        <v>0</v>
      </c>
      <c r="X5" s="22" t="s">
        <v>6</v>
      </c>
      <c r="Y5" s="22" t="s">
        <v>90</v>
      </c>
      <c r="Z5" s="22" t="s">
        <v>59</v>
      </c>
      <c r="AA5" s="22" t="s">
        <v>85</v>
      </c>
      <c r="AB5" s="22" t="s">
        <v>67</v>
      </c>
      <c r="AC5" s="22" t="s">
        <v>89</v>
      </c>
      <c r="AD5" s="22" t="s">
        <v>58</v>
      </c>
      <c r="AE5" s="22" t="s">
        <v>52</v>
      </c>
      <c r="AF5" s="124" t="s">
        <v>69</v>
      </c>
      <c r="AG5" s="22" t="s">
        <v>53</v>
      </c>
    </row>
    <row r="6" spans="1:33" ht="15.75">
      <c r="A6" s="161">
        <v>44338</v>
      </c>
      <c r="B6" s="34">
        <v>2</v>
      </c>
      <c r="C6" s="34">
        <v>4459171</v>
      </c>
      <c r="D6" s="34"/>
      <c r="E6" s="112">
        <v>91911</v>
      </c>
      <c r="F6" s="34">
        <v>12936</v>
      </c>
      <c r="G6" s="113">
        <v>50</v>
      </c>
      <c r="H6" s="122" t="s">
        <v>99</v>
      </c>
      <c r="I6" s="135">
        <v>0</v>
      </c>
      <c r="J6" s="136">
        <v>1</v>
      </c>
      <c r="K6" s="137">
        <v>0</v>
      </c>
      <c r="L6" s="138">
        <v>0</v>
      </c>
      <c r="M6" s="135">
        <v>0</v>
      </c>
      <c r="N6" s="139">
        <v>0</v>
      </c>
      <c r="O6" s="134">
        <v>0</v>
      </c>
      <c r="P6" s="138">
        <v>1</v>
      </c>
      <c r="Q6" s="134">
        <v>0</v>
      </c>
      <c r="R6" s="138">
        <v>0</v>
      </c>
      <c r="S6" s="135">
        <v>0</v>
      </c>
      <c r="T6" s="139">
        <v>0</v>
      </c>
      <c r="U6" s="138">
        <v>0</v>
      </c>
      <c r="V6" s="138">
        <v>0</v>
      </c>
      <c r="W6" s="140">
        <f t="shared" ref="W6" si="0">+G6-(SUM(I6:N6,P6,Q6,R6,S6,T6,V6))</f>
        <v>48</v>
      </c>
      <c r="X6" s="114"/>
      <c r="Y6" s="114"/>
      <c r="Z6" s="114"/>
      <c r="AA6" s="114"/>
      <c r="AB6" s="114"/>
      <c r="AC6" s="114"/>
      <c r="AD6" s="123">
        <f t="shared" ref="AD6" si="1">W6-SUM(Z6+AC6)</f>
        <v>48</v>
      </c>
      <c r="AE6" s="115"/>
      <c r="AF6" s="116"/>
      <c r="AG6" s="112"/>
    </row>
    <row r="7" spans="1:33" ht="15.75">
      <c r="A7" s="161">
        <v>44382</v>
      </c>
      <c r="B7" s="34">
        <v>1</v>
      </c>
      <c r="C7" s="34">
        <v>4459171</v>
      </c>
      <c r="D7" s="34"/>
      <c r="E7" s="112">
        <v>91911</v>
      </c>
      <c r="F7" s="34">
        <v>12936</v>
      </c>
      <c r="G7" s="113">
        <v>43</v>
      </c>
      <c r="H7" s="122" t="s">
        <v>100</v>
      </c>
      <c r="I7" s="135">
        <v>0</v>
      </c>
      <c r="J7" s="136">
        <v>0</v>
      </c>
      <c r="K7" s="137">
        <v>0</v>
      </c>
      <c r="L7" s="138">
        <v>0</v>
      </c>
      <c r="M7" s="135">
        <v>0</v>
      </c>
      <c r="N7" s="139">
        <v>0</v>
      </c>
      <c r="O7" s="134">
        <v>0</v>
      </c>
      <c r="P7" s="138">
        <v>1</v>
      </c>
      <c r="Q7" s="134">
        <v>0</v>
      </c>
      <c r="R7" s="138">
        <v>0</v>
      </c>
      <c r="S7" s="135">
        <v>0</v>
      </c>
      <c r="T7" s="139">
        <v>0</v>
      </c>
      <c r="U7" s="138">
        <v>0</v>
      </c>
      <c r="V7" s="138">
        <v>0</v>
      </c>
      <c r="W7" s="140">
        <f t="shared" ref="W7" si="2">+G7-(SUM(I7:N7,P7,Q7,R7,S7,T7,V7))</f>
        <v>42</v>
      </c>
      <c r="X7" s="114"/>
      <c r="Y7" s="114"/>
      <c r="Z7" s="114"/>
      <c r="AA7" s="114"/>
      <c r="AB7" s="114"/>
      <c r="AC7" s="114"/>
      <c r="AD7" s="123">
        <f t="shared" ref="AD7" si="3">W7-SUM(Z7+AC7)</f>
        <v>42</v>
      </c>
      <c r="AE7" s="115"/>
      <c r="AF7" s="116"/>
      <c r="AG7" s="112"/>
    </row>
    <row r="8" spans="1:33" ht="15.75">
      <c r="A8" s="161">
        <v>44413</v>
      </c>
      <c r="B8" s="34">
        <v>1</v>
      </c>
      <c r="C8" s="34">
        <v>4459171</v>
      </c>
      <c r="D8" s="34"/>
      <c r="E8" s="112">
        <v>91911</v>
      </c>
      <c r="F8" s="34">
        <v>13483</v>
      </c>
      <c r="G8" s="113">
        <v>16</v>
      </c>
      <c r="H8" s="122" t="s">
        <v>101</v>
      </c>
      <c r="I8" s="135">
        <v>0</v>
      </c>
      <c r="J8" s="136">
        <v>0</v>
      </c>
      <c r="K8" s="137">
        <v>0</v>
      </c>
      <c r="L8" s="138">
        <v>0</v>
      </c>
      <c r="M8" s="135">
        <v>0</v>
      </c>
      <c r="N8" s="139">
        <v>0</v>
      </c>
      <c r="O8" s="134">
        <v>0</v>
      </c>
      <c r="P8" s="138">
        <v>0</v>
      </c>
      <c r="Q8" s="134">
        <v>0</v>
      </c>
      <c r="R8" s="138">
        <v>0</v>
      </c>
      <c r="S8" s="135">
        <v>0</v>
      </c>
      <c r="T8" s="139">
        <v>0</v>
      </c>
      <c r="U8" s="138">
        <v>0</v>
      </c>
      <c r="V8" s="138">
        <v>0</v>
      </c>
      <c r="W8" s="140">
        <f t="shared" ref="W8:W13" si="4">+G8-(SUM(I8:N8,P8,Q8,R8,S8,T8,V8))</f>
        <v>16</v>
      </c>
      <c r="X8" s="114"/>
      <c r="Y8" s="114"/>
      <c r="Z8" s="114"/>
      <c r="AA8" s="114"/>
      <c r="AB8" s="114"/>
      <c r="AC8" s="114"/>
      <c r="AD8" s="123">
        <f t="shared" ref="AD8:AD13" si="5">W8-SUM(Z8+AC8)</f>
        <v>16</v>
      </c>
      <c r="AE8" s="115"/>
      <c r="AF8" s="116"/>
      <c r="AG8" s="112"/>
    </row>
    <row r="9" spans="1:33" ht="15.75">
      <c r="A9" s="161">
        <v>44540</v>
      </c>
      <c r="B9" s="34">
        <v>3</v>
      </c>
      <c r="C9" s="34">
        <v>4705209</v>
      </c>
      <c r="D9" s="34"/>
      <c r="E9" s="112">
        <v>92246</v>
      </c>
      <c r="F9" s="34">
        <v>14547</v>
      </c>
      <c r="G9" s="113">
        <v>11</v>
      </c>
      <c r="H9" s="122" t="s">
        <v>102</v>
      </c>
      <c r="I9" s="135">
        <v>0</v>
      </c>
      <c r="J9" s="136">
        <v>0</v>
      </c>
      <c r="K9" s="137">
        <v>0</v>
      </c>
      <c r="L9" s="138">
        <v>0</v>
      </c>
      <c r="M9" s="135">
        <v>0</v>
      </c>
      <c r="N9" s="139">
        <v>0</v>
      </c>
      <c r="O9" s="134">
        <v>0</v>
      </c>
      <c r="P9" s="138">
        <v>0</v>
      </c>
      <c r="Q9" s="134">
        <v>0</v>
      </c>
      <c r="R9" s="138">
        <v>0</v>
      </c>
      <c r="S9" s="135">
        <v>0</v>
      </c>
      <c r="T9" s="139">
        <v>0</v>
      </c>
      <c r="U9" s="138">
        <v>0</v>
      </c>
      <c r="V9" s="138">
        <v>0</v>
      </c>
      <c r="W9" s="140">
        <f t="shared" ref="W9" si="6">+G9-(SUM(I9:N9,P9,Q9,R9,S9,T9,V9))</f>
        <v>11</v>
      </c>
      <c r="X9" s="114"/>
      <c r="Y9" s="114"/>
      <c r="Z9" s="114">
        <v>5</v>
      </c>
      <c r="AA9" s="114"/>
      <c r="AB9" s="114"/>
      <c r="AC9" s="114"/>
      <c r="AD9" s="123">
        <f t="shared" ref="AD9" si="7">W9-SUM(Z9+AC9)</f>
        <v>6</v>
      </c>
      <c r="AE9" s="115"/>
      <c r="AF9" s="116"/>
      <c r="AG9" s="112"/>
    </row>
    <row r="10" spans="1:33" ht="15.75">
      <c r="A10" s="161">
        <v>44716</v>
      </c>
      <c r="B10" s="34">
        <v>3</v>
      </c>
      <c r="C10" s="34">
        <v>4705209</v>
      </c>
      <c r="D10" s="34"/>
      <c r="E10" s="112">
        <v>92245</v>
      </c>
      <c r="F10" s="34">
        <v>16214</v>
      </c>
      <c r="G10" s="113">
        <v>10</v>
      </c>
      <c r="H10" s="122" t="s">
        <v>114</v>
      </c>
      <c r="I10" s="135">
        <v>0</v>
      </c>
      <c r="J10" s="136">
        <v>0</v>
      </c>
      <c r="K10" s="137">
        <v>0</v>
      </c>
      <c r="L10" s="138">
        <v>0</v>
      </c>
      <c r="M10" s="135">
        <v>0</v>
      </c>
      <c r="N10" s="139">
        <v>0</v>
      </c>
      <c r="O10" s="134">
        <v>0</v>
      </c>
      <c r="P10" s="138">
        <v>0</v>
      </c>
      <c r="Q10" s="134">
        <v>0</v>
      </c>
      <c r="R10" s="138">
        <v>0</v>
      </c>
      <c r="S10" s="135">
        <v>0</v>
      </c>
      <c r="T10" s="139">
        <v>0</v>
      </c>
      <c r="U10" s="138">
        <v>0</v>
      </c>
      <c r="V10" s="138">
        <v>0</v>
      </c>
      <c r="W10" s="140">
        <f t="shared" si="4"/>
        <v>10</v>
      </c>
      <c r="X10" s="114"/>
      <c r="Y10" s="114"/>
      <c r="Z10" s="114">
        <v>2</v>
      </c>
      <c r="AA10" s="114"/>
      <c r="AB10" s="114"/>
      <c r="AC10" s="114"/>
      <c r="AD10" s="123">
        <f t="shared" si="5"/>
        <v>8</v>
      </c>
      <c r="AE10" s="115"/>
      <c r="AF10" s="116"/>
      <c r="AG10" s="112"/>
    </row>
    <row r="11" spans="1:33" ht="15.75">
      <c r="A11" s="161">
        <v>44716</v>
      </c>
      <c r="B11" s="34">
        <v>3</v>
      </c>
      <c r="C11" s="34">
        <v>4705209</v>
      </c>
      <c r="D11" s="34"/>
      <c r="E11" s="112">
        <v>92591</v>
      </c>
      <c r="F11" s="34">
        <v>16215</v>
      </c>
      <c r="G11" s="113">
        <v>80</v>
      </c>
      <c r="H11" s="122" t="s">
        <v>115</v>
      </c>
      <c r="I11" s="135">
        <v>0</v>
      </c>
      <c r="J11" s="136">
        <v>0</v>
      </c>
      <c r="K11" s="137">
        <v>0</v>
      </c>
      <c r="L11" s="138">
        <v>0</v>
      </c>
      <c r="M11" s="135">
        <v>0</v>
      </c>
      <c r="N11" s="139">
        <v>0</v>
      </c>
      <c r="O11" s="134">
        <v>0</v>
      </c>
      <c r="P11" s="138">
        <v>0</v>
      </c>
      <c r="Q11" s="134">
        <v>0</v>
      </c>
      <c r="R11" s="138">
        <v>0</v>
      </c>
      <c r="S11" s="135">
        <v>0</v>
      </c>
      <c r="T11" s="139">
        <v>0</v>
      </c>
      <c r="U11" s="138">
        <v>0</v>
      </c>
      <c r="V11" s="138">
        <v>0</v>
      </c>
      <c r="W11" s="140">
        <f t="shared" si="4"/>
        <v>80</v>
      </c>
      <c r="X11" s="114"/>
      <c r="Y11" s="114"/>
      <c r="Z11" s="114"/>
      <c r="AA11" s="114"/>
      <c r="AB11" s="114"/>
      <c r="AC11" s="114"/>
      <c r="AD11" s="123">
        <f t="shared" si="5"/>
        <v>80</v>
      </c>
      <c r="AE11" s="115"/>
      <c r="AF11" s="116"/>
      <c r="AG11" s="112"/>
    </row>
    <row r="12" spans="1:33" ht="15.75">
      <c r="A12" s="161">
        <v>44962</v>
      </c>
      <c r="B12" s="34">
        <v>2</v>
      </c>
      <c r="C12" s="34">
        <v>5197146</v>
      </c>
      <c r="D12" s="34" t="s">
        <v>117</v>
      </c>
      <c r="E12" s="112">
        <v>93024</v>
      </c>
      <c r="F12" s="34">
        <v>18646</v>
      </c>
      <c r="G12" s="113">
        <v>27</v>
      </c>
      <c r="H12" s="122" t="s">
        <v>118</v>
      </c>
      <c r="I12" s="135">
        <v>0</v>
      </c>
      <c r="J12" s="136">
        <v>0</v>
      </c>
      <c r="K12" s="137">
        <v>0</v>
      </c>
      <c r="L12" s="138">
        <v>0</v>
      </c>
      <c r="M12" s="135">
        <v>0</v>
      </c>
      <c r="N12" s="139">
        <v>0</v>
      </c>
      <c r="O12" s="134">
        <v>0</v>
      </c>
      <c r="P12" s="138">
        <v>0</v>
      </c>
      <c r="Q12" s="134">
        <v>0</v>
      </c>
      <c r="R12" s="138">
        <v>0</v>
      </c>
      <c r="S12" s="135">
        <v>0</v>
      </c>
      <c r="T12" s="139">
        <v>0</v>
      </c>
      <c r="U12" s="138">
        <v>0</v>
      </c>
      <c r="V12" s="138">
        <v>0</v>
      </c>
      <c r="W12" s="140">
        <f t="shared" si="4"/>
        <v>27</v>
      </c>
      <c r="X12" s="114"/>
      <c r="Y12" s="114"/>
      <c r="Z12" s="114"/>
      <c r="AA12" s="114"/>
      <c r="AB12" s="114">
        <v>3</v>
      </c>
      <c r="AC12" s="114"/>
      <c r="AD12" s="123">
        <f t="shared" si="5"/>
        <v>27</v>
      </c>
      <c r="AE12" s="115"/>
      <c r="AF12" s="116"/>
      <c r="AG12" s="112"/>
    </row>
    <row r="13" spans="1:33" ht="15.75">
      <c r="A13" s="111"/>
      <c r="B13" s="34"/>
      <c r="C13" s="34"/>
      <c r="D13" s="34"/>
      <c r="E13" s="112"/>
      <c r="F13" s="34"/>
      <c r="G13" s="113"/>
      <c r="H13" s="122"/>
      <c r="I13" s="135">
        <v>0</v>
      </c>
      <c r="J13" s="136">
        <v>0</v>
      </c>
      <c r="K13" s="137">
        <v>0</v>
      </c>
      <c r="L13" s="138">
        <v>0</v>
      </c>
      <c r="M13" s="135">
        <v>0</v>
      </c>
      <c r="N13" s="139">
        <v>0</v>
      </c>
      <c r="O13" s="134">
        <v>0</v>
      </c>
      <c r="P13" s="138">
        <v>0</v>
      </c>
      <c r="Q13" s="134">
        <v>0</v>
      </c>
      <c r="R13" s="138">
        <v>0</v>
      </c>
      <c r="S13" s="135">
        <v>0</v>
      </c>
      <c r="T13" s="139">
        <v>0</v>
      </c>
      <c r="U13" s="138">
        <v>0</v>
      </c>
      <c r="V13" s="138">
        <v>0</v>
      </c>
      <c r="W13" s="140">
        <f t="shared" si="4"/>
        <v>0</v>
      </c>
      <c r="X13" s="114"/>
      <c r="Y13" s="114"/>
      <c r="Z13" s="114"/>
      <c r="AA13" s="114"/>
      <c r="AB13" s="114"/>
      <c r="AC13" s="114"/>
      <c r="AD13" s="123">
        <f t="shared" si="5"/>
        <v>0</v>
      </c>
      <c r="AE13" s="115"/>
      <c r="AF13" s="116"/>
      <c r="AG13" s="112"/>
    </row>
    <row r="14" spans="1:33" ht="15.75">
      <c r="A14" s="111"/>
      <c r="B14" s="34"/>
      <c r="C14" s="34"/>
      <c r="D14" s="34"/>
      <c r="E14" s="112"/>
      <c r="F14" s="34"/>
      <c r="G14" s="113"/>
      <c r="H14" s="122"/>
      <c r="I14" s="135">
        <v>0</v>
      </c>
      <c r="J14" s="136">
        <v>0</v>
      </c>
      <c r="K14" s="137">
        <v>0</v>
      </c>
      <c r="L14" s="138">
        <v>0</v>
      </c>
      <c r="M14" s="135">
        <v>0</v>
      </c>
      <c r="N14" s="139">
        <v>0</v>
      </c>
      <c r="O14" s="134">
        <v>0</v>
      </c>
      <c r="P14" s="138">
        <v>0</v>
      </c>
      <c r="Q14" s="134">
        <v>0</v>
      </c>
      <c r="R14" s="138">
        <v>0</v>
      </c>
      <c r="S14" s="135">
        <v>0</v>
      </c>
      <c r="T14" s="139">
        <v>0</v>
      </c>
      <c r="U14" s="138">
        <v>0</v>
      </c>
      <c r="V14" s="138">
        <v>0</v>
      </c>
      <c r="W14" s="140">
        <f t="shared" ref="W14:W27" si="8">+G14-(SUM(I14:N14,P14,Q14,R14,S14,T14,V14))</f>
        <v>0</v>
      </c>
      <c r="X14" s="114"/>
      <c r="Y14" s="114"/>
      <c r="Z14" s="114"/>
      <c r="AA14" s="114"/>
      <c r="AB14" s="114"/>
      <c r="AC14" s="114"/>
      <c r="AD14" s="123">
        <f t="shared" ref="AD14:AD27" si="9">W14-SUM(Z14+AC14)</f>
        <v>0</v>
      </c>
      <c r="AE14" s="115"/>
      <c r="AF14" s="116"/>
      <c r="AG14" s="112"/>
    </row>
    <row r="15" spans="1:33" ht="15.75">
      <c r="A15" s="111"/>
      <c r="B15" s="34"/>
      <c r="C15" s="34"/>
      <c r="D15" s="34"/>
      <c r="E15" s="112"/>
      <c r="F15" s="34"/>
      <c r="G15" s="113"/>
      <c r="H15" s="122"/>
      <c r="I15" s="135">
        <v>0</v>
      </c>
      <c r="J15" s="136">
        <v>0</v>
      </c>
      <c r="K15" s="137">
        <v>0</v>
      </c>
      <c r="L15" s="138">
        <v>0</v>
      </c>
      <c r="M15" s="135">
        <v>0</v>
      </c>
      <c r="N15" s="139">
        <v>0</v>
      </c>
      <c r="O15" s="134">
        <v>0</v>
      </c>
      <c r="P15" s="138">
        <v>0</v>
      </c>
      <c r="Q15" s="134">
        <v>0</v>
      </c>
      <c r="R15" s="138">
        <v>0</v>
      </c>
      <c r="S15" s="135">
        <v>0</v>
      </c>
      <c r="T15" s="139">
        <v>0</v>
      </c>
      <c r="U15" s="138">
        <v>0</v>
      </c>
      <c r="V15" s="138">
        <v>0</v>
      </c>
      <c r="W15" s="140">
        <f t="shared" si="8"/>
        <v>0</v>
      </c>
      <c r="X15" s="114"/>
      <c r="Y15" s="114"/>
      <c r="Z15" s="114"/>
      <c r="AA15" s="114"/>
      <c r="AB15" s="114"/>
      <c r="AC15" s="114"/>
      <c r="AD15" s="123">
        <f t="shared" si="9"/>
        <v>0</v>
      </c>
      <c r="AE15" s="115"/>
      <c r="AF15" s="116"/>
      <c r="AG15" s="112"/>
    </row>
    <row r="16" spans="1:33" ht="15.75">
      <c r="A16" s="111"/>
      <c r="B16" s="34"/>
      <c r="C16" s="34"/>
      <c r="D16" s="34"/>
      <c r="E16" s="112"/>
      <c r="F16" s="34"/>
      <c r="G16" s="113"/>
      <c r="H16" s="122"/>
      <c r="I16" s="135">
        <v>0</v>
      </c>
      <c r="J16" s="136">
        <v>0</v>
      </c>
      <c r="K16" s="137">
        <v>0</v>
      </c>
      <c r="L16" s="138">
        <v>0</v>
      </c>
      <c r="M16" s="135">
        <v>0</v>
      </c>
      <c r="N16" s="139">
        <v>0</v>
      </c>
      <c r="O16" s="134">
        <v>0</v>
      </c>
      <c r="P16" s="138">
        <v>0</v>
      </c>
      <c r="Q16" s="134">
        <v>0</v>
      </c>
      <c r="R16" s="138">
        <v>0</v>
      </c>
      <c r="S16" s="135">
        <v>0</v>
      </c>
      <c r="T16" s="139">
        <v>0</v>
      </c>
      <c r="U16" s="138">
        <v>0</v>
      </c>
      <c r="V16" s="138">
        <v>0</v>
      </c>
      <c r="W16" s="140">
        <f t="shared" si="8"/>
        <v>0</v>
      </c>
      <c r="X16" s="114"/>
      <c r="Y16" s="114"/>
      <c r="Z16" s="114"/>
      <c r="AA16" s="114"/>
      <c r="AB16" s="114"/>
      <c r="AC16" s="114"/>
      <c r="AD16" s="123">
        <f t="shared" si="9"/>
        <v>0</v>
      </c>
      <c r="AE16" s="115"/>
      <c r="AF16" s="116"/>
      <c r="AG16" s="112"/>
    </row>
    <row r="17" spans="1:33" ht="15.75">
      <c r="A17" s="111"/>
      <c r="B17" s="34"/>
      <c r="C17" s="34"/>
      <c r="D17" s="34"/>
      <c r="E17" s="112"/>
      <c r="F17" s="34"/>
      <c r="G17" s="113"/>
      <c r="H17" s="122"/>
      <c r="I17" s="135">
        <v>0</v>
      </c>
      <c r="J17" s="136">
        <v>0</v>
      </c>
      <c r="K17" s="137">
        <v>0</v>
      </c>
      <c r="L17" s="138">
        <v>0</v>
      </c>
      <c r="M17" s="135">
        <v>0</v>
      </c>
      <c r="N17" s="139">
        <v>0</v>
      </c>
      <c r="O17" s="134">
        <v>0</v>
      </c>
      <c r="P17" s="138">
        <v>0</v>
      </c>
      <c r="Q17" s="134">
        <v>0</v>
      </c>
      <c r="R17" s="138">
        <v>0</v>
      </c>
      <c r="S17" s="135">
        <v>0</v>
      </c>
      <c r="T17" s="139">
        <v>0</v>
      </c>
      <c r="U17" s="138">
        <v>0</v>
      </c>
      <c r="V17" s="138">
        <v>0</v>
      </c>
      <c r="W17" s="140">
        <f t="shared" si="8"/>
        <v>0</v>
      </c>
      <c r="X17" s="114"/>
      <c r="Y17" s="114"/>
      <c r="Z17" s="114"/>
      <c r="AA17" s="114"/>
      <c r="AB17" s="114"/>
      <c r="AC17" s="114"/>
      <c r="AD17" s="123">
        <f t="shared" si="9"/>
        <v>0</v>
      </c>
      <c r="AE17" s="115"/>
      <c r="AF17" s="116"/>
      <c r="AG17" s="112"/>
    </row>
    <row r="18" spans="1:33" ht="15.75">
      <c r="A18" s="111"/>
      <c r="B18" s="34"/>
      <c r="C18" s="34"/>
      <c r="D18" s="34"/>
      <c r="E18" s="112"/>
      <c r="F18" s="34"/>
      <c r="G18" s="113"/>
      <c r="H18" s="122"/>
      <c r="I18" s="135">
        <v>0</v>
      </c>
      <c r="J18" s="136">
        <v>0</v>
      </c>
      <c r="K18" s="137">
        <v>0</v>
      </c>
      <c r="L18" s="138">
        <v>0</v>
      </c>
      <c r="M18" s="135">
        <v>0</v>
      </c>
      <c r="N18" s="139">
        <v>0</v>
      </c>
      <c r="O18" s="134">
        <v>0</v>
      </c>
      <c r="P18" s="138">
        <v>0</v>
      </c>
      <c r="Q18" s="134">
        <v>0</v>
      </c>
      <c r="R18" s="138">
        <v>0</v>
      </c>
      <c r="S18" s="135">
        <v>0</v>
      </c>
      <c r="T18" s="139">
        <v>0</v>
      </c>
      <c r="U18" s="138">
        <v>0</v>
      </c>
      <c r="V18" s="138">
        <v>0</v>
      </c>
      <c r="W18" s="140">
        <f t="shared" si="8"/>
        <v>0</v>
      </c>
      <c r="X18" s="114"/>
      <c r="Y18" s="114"/>
      <c r="Z18" s="114"/>
      <c r="AA18" s="114"/>
      <c r="AB18" s="114"/>
      <c r="AC18" s="114"/>
      <c r="AD18" s="123">
        <f t="shared" si="9"/>
        <v>0</v>
      </c>
      <c r="AE18" s="115"/>
      <c r="AF18" s="116"/>
      <c r="AG18" s="112"/>
    </row>
    <row r="19" spans="1:33" ht="15.75">
      <c r="A19" s="111"/>
      <c r="B19" s="34"/>
      <c r="C19" s="34"/>
      <c r="D19" s="34"/>
      <c r="E19" s="112"/>
      <c r="F19" s="34"/>
      <c r="G19" s="113"/>
      <c r="H19" s="122"/>
      <c r="I19" s="135">
        <v>0</v>
      </c>
      <c r="J19" s="136">
        <v>0</v>
      </c>
      <c r="K19" s="137">
        <v>0</v>
      </c>
      <c r="L19" s="138">
        <v>0</v>
      </c>
      <c r="M19" s="135">
        <v>0</v>
      </c>
      <c r="N19" s="139">
        <v>0</v>
      </c>
      <c r="O19" s="134">
        <v>0</v>
      </c>
      <c r="P19" s="138">
        <v>0</v>
      </c>
      <c r="Q19" s="134">
        <v>0</v>
      </c>
      <c r="R19" s="138">
        <v>0</v>
      </c>
      <c r="S19" s="135">
        <v>0</v>
      </c>
      <c r="T19" s="139">
        <v>0</v>
      </c>
      <c r="U19" s="138">
        <v>0</v>
      </c>
      <c r="V19" s="138">
        <v>0</v>
      </c>
      <c r="W19" s="140">
        <f t="shared" si="8"/>
        <v>0</v>
      </c>
      <c r="X19" s="114"/>
      <c r="Y19" s="114"/>
      <c r="Z19" s="114"/>
      <c r="AA19" s="114"/>
      <c r="AB19" s="114"/>
      <c r="AC19" s="114"/>
      <c r="AD19" s="123">
        <f t="shared" si="9"/>
        <v>0</v>
      </c>
      <c r="AE19" s="115"/>
      <c r="AF19" s="116"/>
      <c r="AG19" s="112"/>
    </row>
    <row r="20" spans="1:33" ht="15.75">
      <c r="A20" s="111"/>
      <c r="B20" s="34"/>
      <c r="C20" s="34"/>
      <c r="D20" s="34"/>
      <c r="E20" s="112"/>
      <c r="F20" s="34"/>
      <c r="G20" s="113"/>
      <c r="H20" s="122"/>
      <c r="I20" s="135">
        <v>0</v>
      </c>
      <c r="J20" s="136">
        <v>0</v>
      </c>
      <c r="K20" s="137">
        <v>0</v>
      </c>
      <c r="L20" s="138">
        <v>0</v>
      </c>
      <c r="M20" s="135">
        <v>0</v>
      </c>
      <c r="N20" s="139">
        <v>0</v>
      </c>
      <c r="O20" s="134">
        <v>0</v>
      </c>
      <c r="P20" s="138">
        <v>0</v>
      </c>
      <c r="Q20" s="134">
        <v>0</v>
      </c>
      <c r="R20" s="138">
        <v>0</v>
      </c>
      <c r="S20" s="135">
        <v>0</v>
      </c>
      <c r="T20" s="139">
        <v>0</v>
      </c>
      <c r="U20" s="138">
        <v>0</v>
      </c>
      <c r="V20" s="138">
        <v>0</v>
      </c>
      <c r="W20" s="140">
        <f t="shared" si="8"/>
        <v>0</v>
      </c>
      <c r="X20" s="114"/>
      <c r="Y20" s="114"/>
      <c r="Z20" s="114"/>
      <c r="AA20" s="114"/>
      <c r="AB20" s="114"/>
      <c r="AC20" s="114"/>
      <c r="AD20" s="123">
        <f t="shared" si="9"/>
        <v>0</v>
      </c>
      <c r="AE20" s="115"/>
      <c r="AF20" s="116"/>
      <c r="AG20" s="112"/>
    </row>
    <row r="21" spans="1:33" ht="15.75">
      <c r="A21" s="111"/>
      <c r="B21" s="34"/>
      <c r="C21" s="34"/>
      <c r="D21" s="34"/>
      <c r="E21" s="112"/>
      <c r="F21" s="34"/>
      <c r="G21" s="113"/>
      <c r="H21" s="122"/>
      <c r="I21" s="135">
        <v>0</v>
      </c>
      <c r="J21" s="136">
        <v>0</v>
      </c>
      <c r="K21" s="137">
        <v>0</v>
      </c>
      <c r="L21" s="138">
        <v>0</v>
      </c>
      <c r="M21" s="135">
        <v>0</v>
      </c>
      <c r="N21" s="139">
        <v>0</v>
      </c>
      <c r="O21" s="134">
        <v>0</v>
      </c>
      <c r="P21" s="138">
        <v>0</v>
      </c>
      <c r="Q21" s="134">
        <v>0</v>
      </c>
      <c r="R21" s="138">
        <v>0</v>
      </c>
      <c r="S21" s="135">
        <v>0</v>
      </c>
      <c r="T21" s="139">
        <v>0</v>
      </c>
      <c r="U21" s="138">
        <v>0</v>
      </c>
      <c r="V21" s="138">
        <v>0</v>
      </c>
      <c r="W21" s="140">
        <f t="shared" si="8"/>
        <v>0</v>
      </c>
      <c r="X21" s="114"/>
      <c r="Y21" s="114"/>
      <c r="Z21" s="114"/>
      <c r="AA21" s="114"/>
      <c r="AB21" s="114"/>
      <c r="AC21" s="114"/>
      <c r="AD21" s="123">
        <f t="shared" si="9"/>
        <v>0</v>
      </c>
      <c r="AE21" s="115"/>
      <c r="AF21" s="116"/>
      <c r="AG21" s="112"/>
    </row>
    <row r="22" spans="1:33" ht="15.75">
      <c r="A22" s="111"/>
      <c r="B22" s="34"/>
      <c r="C22" s="34"/>
      <c r="D22" s="34"/>
      <c r="E22" s="112"/>
      <c r="F22" s="34"/>
      <c r="G22" s="113"/>
      <c r="H22" s="122"/>
      <c r="I22" s="135">
        <v>0</v>
      </c>
      <c r="J22" s="136">
        <v>0</v>
      </c>
      <c r="K22" s="137">
        <v>0</v>
      </c>
      <c r="L22" s="138">
        <v>0</v>
      </c>
      <c r="M22" s="135">
        <v>0</v>
      </c>
      <c r="N22" s="139">
        <v>0</v>
      </c>
      <c r="O22" s="134">
        <v>0</v>
      </c>
      <c r="P22" s="138">
        <v>0</v>
      </c>
      <c r="Q22" s="134">
        <v>0</v>
      </c>
      <c r="R22" s="138">
        <v>0</v>
      </c>
      <c r="S22" s="135">
        <v>0</v>
      </c>
      <c r="T22" s="139">
        <v>0</v>
      </c>
      <c r="U22" s="138">
        <v>0</v>
      </c>
      <c r="V22" s="138">
        <v>0</v>
      </c>
      <c r="W22" s="140">
        <f t="shared" si="8"/>
        <v>0</v>
      </c>
      <c r="X22" s="114"/>
      <c r="Y22" s="114"/>
      <c r="Z22" s="114"/>
      <c r="AA22" s="114"/>
      <c r="AB22" s="114"/>
      <c r="AC22" s="114"/>
      <c r="AD22" s="123">
        <f t="shared" si="9"/>
        <v>0</v>
      </c>
      <c r="AE22" s="115"/>
      <c r="AF22" s="116"/>
      <c r="AG22" s="112"/>
    </row>
    <row r="23" spans="1:33" ht="15.75">
      <c r="A23" s="111"/>
      <c r="B23" s="34"/>
      <c r="C23" s="34"/>
      <c r="D23" s="34"/>
      <c r="E23" s="112"/>
      <c r="F23" s="34"/>
      <c r="G23" s="113"/>
      <c r="H23" s="122"/>
      <c r="I23" s="135">
        <v>0</v>
      </c>
      <c r="J23" s="136">
        <v>0</v>
      </c>
      <c r="K23" s="137">
        <v>0</v>
      </c>
      <c r="L23" s="138">
        <v>0</v>
      </c>
      <c r="M23" s="135">
        <v>0</v>
      </c>
      <c r="N23" s="139">
        <v>0</v>
      </c>
      <c r="O23" s="134">
        <v>0</v>
      </c>
      <c r="P23" s="138">
        <v>0</v>
      </c>
      <c r="Q23" s="134">
        <v>0</v>
      </c>
      <c r="R23" s="138">
        <v>0</v>
      </c>
      <c r="S23" s="135">
        <v>0</v>
      </c>
      <c r="T23" s="139">
        <v>0</v>
      </c>
      <c r="U23" s="138">
        <v>0</v>
      </c>
      <c r="V23" s="138">
        <v>0</v>
      </c>
      <c r="W23" s="140">
        <f t="shared" si="8"/>
        <v>0</v>
      </c>
      <c r="X23" s="114"/>
      <c r="Y23" s="114"/>
      <c r="Z23" s="114"/>
      <c r="AA23" s="114"/>
      <c r="AB23" s="114"/>
      <c r="AC23" s="114"/>
      <c r="AD23" s="123">
        <f t="shared" si="9"/>
        <v>0</v>
      </c>
      <c r="AE23" s="115"/>
      <c r="AF23" s="116"/>
      <c r="AG23" s="112"/>
    </row>
    <row r="24" spans="1:33" ht="15.75">
      <c r="A24" s="111"/>
      <c r="B24" s="34"/>
      <c r="C24" s="34"/>
      <c r="D24" s="34"/>
      <c r="E24" s="112"/>
      <c r="F24" s="34"/>
      <c r="G24" s="113"/>
      <c r="H24" s="122"/>
      <c r="I24" s="135">
        <v>0</v>
      </c>
      <c r="J24" s="136">
        <v>0</v>
      </c>
      <c r="K24" s="137">
        <v>0</v>
      </c>
      <c r="L24" s="138">
        <v>0</v>
      </c>
      <c r="M24" s="135">
        <v>0</v>
      </c>
      <c r="N24" s="139">
        <v>0</v>
      </c>
      <c r="O24" s="134">
        <v>0</v>
      </c>
      <c r="P24" s="138">
        <v>0</v>
      </c>
      <c r="Q24" s="134">
        <v>0</v>
      </c>
      <c r="R24" s="138">
        <v>0</v>
      </c>
      <c r="S24" s="135">
        <v>0</v>
      </c>
      <c r="T24" s="139">
        <v>0</v>
      </c>
      <c r="U24" s="138">
        <v>0</v>
      </c>
      <c r="V24" s="138">
        <v>0</v>
      </c>
      <c r="W24" s="140">
        <f t="shared" si="8"/>
        <v>0</v>
      </c>
      <c r="X24" s="114"/>
      <c r="Y24" s="114"/>
      <c r="Z24" s="114"/>
      <c r="AA24" s="114"/>
      <c r="AB24" s="114"/>
      <c r="AC24" s="114"/>
      <c r="AD24" s="123">
        <f t="shared" si="9"/>
        <v>0</v>
      </c>
      <c r="AE24" s="115"/>
      <c r="AF24" s="116"/>
      <c r="AG24" s="112"/>
    </row>
    <row r="25" spans="1:33" ht="15.75">
      <c r="A25" s="111"/>
      <c r="B25" s="34"/>
      <c r="C25" s="34"/>
      <c r="D25" s="34"/>
      <c r="E25" s="112"/>
      <c r="F25" s="34"/>
      <c r="G25" s="113"/>
      <c r="H25" s="122"/>
      <c r="I25" s="135">
        <v>0</v>
      </c>
      <c r="J25" s="136">
        <v>0</v>
      </c>
      <c r="K25" s="137">
        <v>0</v>
      </c>
      <c r="L25" s="138">
        <v>0</v>
      </c>
      <c r="M25" s="135">
        <v>0</v>
      </c>
      <c r="N25" s="139">
        <v>0</v>
      </c>
      <c r="O25" s="134">
        <v>0</v>
      </c>
      <c r="P25" s="138">
        <v>0</v>
      </c>
      <c r="Q25" s="134">
        <v>0</v>
      </c>
      <c r="R25" s="138">
        <v>0</v>
      </c>
      <c r="S25" s="135">
        <v>0</v>
      </c>
      <c r="T25" s="139">
        <v>0</v>
      </c>
      <c r="U25" s="138">
        <v>0</v>
      </c>
      <c r="V25" s="138">
        <v>0</v>
      </c>
      <c r="W25" s="140">
        <f t="shared" si="8"/>
        <v>0</v>
      </c>
      <c r="X25" s="114"/>
      <c r="Y25" s="114"/>
      <c r="Z25" s="114"/>
      <c r="AA25" s="114"/>
      <c r="AB25" s="114"/>
      <c r="AC25" s="114"/>
      <c r="AD25" s="123">
        <f t="shared" si="9"/>
        <v>0</v>
      </c>
      <c r="AE25" s="115"/>
      <c r="AF25" s="116"/>
      <c r="AG25" s="112"/>
    </row>
    <row r="26" spans="1:33" ht="15.75">
      <c r="A26" s="111"/>
      <c r="B26" s="34"/>
      <c r="C26" s="34"/>
      <c r="D26" s="34"/>
      <c r="E26" s="112"/>
      <c r="F26" s="34"/>
      <c r="G26" s="113"/>
      <c r="H26" s="122"/>
      <c r="I26" s="135">
        <v>0</v>
      </c>
      <c r="J26" s="136">
        <v>0</v>
      </c>
      <c r="K26" s="137">
        <v>0</v>
      </c>
      <c r="L26" s="138">
        <v>0</v>
      </c>
      <c r="M26" s="135">
        <v>0</v>
      </c>
      <c r="N26" s="139">
        <v>0</v>
      </c>
      <c r="O26" s="134">
        <v>0</v>
      </c>
      <c r="P26" s="138">
        <v>0</v>
      </c>
      <c r="Q26" s="134">
        <v>0</v>
      </c>
      <c r="R26" s="138">
        <v>0</v>
      </c>
      <c r="S26" s="135">
        <v>0</v>
      </c>
      <c r="T26" s="139">
        <v>0</v>
      </c>
      <c r="U26" s="138">
        <v>0</v>
      </c>
      <c r="V26" s="138">
        <v>0</v>
      </c>
      <c r="W26" s="140">
        <f t="shared" si="8"/>
        <v>0</v>
      </c>
      <c r="X26" s="114"/>
      <c r="Y26" s="114"/>
      <c r="Z26" s="114"/>
      <c r="AA26" s="114"/>
      <c r="AB26" s="114"/>
      <c r="AC26" s="114"/>
      <c r="AD26" s="123">
        <f t="shared" si="9"/>
        <v>0</v>
      </c>
      <c r="AE26" s="115"/>
      <c r="AF26" s="116"/>
      <c r="AG26" s="112"/>
    </row>
    <row r="27" spans="1:33" ht="15.75">
      <c r="A27" s="111"/>
      <c r="B27" s="34"/>
      <c r="C27" s="34"/>
      <c r="D27" s="34"/>
      <c r="E27" s="112"/>
      <c r="F27" s="34"/>
      <c r="G27" s="113"/>
      <c r="H27" s="122"/>
      <c r="I27" s="135">
        <v>0</v>
      </c>
      <c r="J27" s="136">
        <v>0</v>
      </c>
      <c r="K27" s="137">
        <v>0</v>
      </c>
      <c r="L27" s="138">
        <v>0</v>
      </c>
      <c r="M27" s="135">
        <v>0</v>
      </c>
      <c r="N27" s="139">
        <v>0</v>
      </c>
      <c r="O27" s="134">
        <v>0</v>
      </c>
      <c r="P27" s="138">
        <v>0</v>
      </c>
      <c r="Q27" s="134">
        <v>0</v>
      </c>
      <c r="R27" s="138">
        <v>0</v>
      </c>
      <c r="S27" s="135">
        <v>0</v>
      </c>
      <c r="T27" s="139">
        <v>0</v>
      </c>
      <c r="U27" s="138">
        <v>0</v>
      </c>
      <c r="V27" s="138">
        <v>0</v>
      </c>
      <c r="W27" s="140">
        <f t="shared" si="8"/>
        <v>0</v>
      </c>
      <c r="X27" s="114"/>
      <c r="Y27" s="114"/>
      <c r="Z27" s="114"/>
      <c r="AA27" s="114"/>
      <c r="AB27" s="114"/>
      <c r="AC27" s="114"/>
      <c r="AD27" s="123">
        <f t="shared" si="9"/>
        <v>0</v>
      </c>
      <c r="AE27" s="115"/>
      <c r="AF27" s="116"/>
      <c r="AG27" s="112"/>
    </row>
  </sheetData>
  <sheetProtection selectLockedCells="1"/>
  <protectedRanges>
    <protectedRange sqref="AG6:AG27 G6:V27 B6:E27" name="Rango1"/>
    <protectedRange sqref="AD6:AE27" name="Rango1_2"/>
    <protectedRange sqref="F6:F27 A6:A27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27 F6:I27 X6:AC27 A6:D27">
    <cfRule type="expression" dxfId="3" priority="254" stopIfTrue="1">
      <formula>"SEVERSTAL"</formula>
    </cfRule>
  </conditionalFormatting>
  <conditionalFormatting sqref="AG6:AG27 AD6:AE27 E6:E27">
    <cfRule type="cellIs" dxfId="2" priority="255" stopIfTrue="1" operator="equal">
      <formula>"APROBADO"</formula>
    </cfRule>
    <cfRule type="cellIs" dxfId="1" priority="256" stopIfTrue="1" operator="equal">
      <formula>"ESPERA"</formula>
    </cfRule>
    <cfRule type="cellIs" dxfId="0" priority="257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2009-12-04T18:59:15Z</cp:lastPrinted>
  <dcterms:created xsi:type="dcterms:W3CDTF">2006-02-25T16:15:52Z</dcterms:created>
  <dcterms:modified xsi:type="dcterms:W3CDTF">2023-02-14T13:17:12Z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