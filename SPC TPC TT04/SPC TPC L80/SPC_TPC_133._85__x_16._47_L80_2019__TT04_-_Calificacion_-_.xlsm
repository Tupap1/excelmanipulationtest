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9653127B-65C1-468A-A06F-B05858D63066}" xr6:coauthVersionLast="47" xr6:coauthVersionMax="47" xr10:uidLastSave="{00000000-0000-0000-0000-000000000000}"/>
  <bookViews>
    <workbookView showSheetTabs="0" xWindow="24720" yWindow="4230" windowWidth="15375" windowHeight="7875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7" i="5" l="1"/>
  <c r="W8" i="5"/>
  <c r="W6" i="5"/>
  <c r="W11" i="5" l="1"/>
  <c r="AD11" i="5" s="1"/>
  <c r="W10" i="5"/>
  <c r="AD10" i="5" s="1"/>
  <c r="W9" i="5"/>
  <c r="AD9" i="5" s="1"/>
  <c r="AD8" i="5"/>
  <c r="AD7" i="5"/>
  <c r="AD6" i="5"/>
  <c r="W12" i="5" l="1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AD4" i="5"/>
  <c r="AE4" i="5" s="1"/>
  <c r="AF3" i="5"/>
  <c r="AG3" i="5" s="1"/>
  <c r="AE3" i="5"/>
  <c r="AF4" i="5" l="1"/>
  <c r="AG4" i="5" s="1"/>
  <c r="AD12" i="5" l="1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G5" authorId="0" shapeId="0" xr:uid="{00000000-0006-0000-0100-000001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" authorId="0" shapeId="0" xr:uid="{00000000-0006-0000-0100-000002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" authorId="0" shapeId="0" xr:uid="{00000000-0006-0000-0100-000003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8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1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Duplicado:
</t>
        </r>
        <r>
          <rPr>
            <b/>
            <sz val="11"/>
            <color indexed="81"/>
            <rFont val="Tahoma"/>
            <family val="2"/>
          </rPr>
          <t>91.5---106.2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</authors>
  <commentList>
    <comment ref="E6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 xr:uid="{00000000-0006-0000-0200-000002000000}">
      <text>
        <r>
          <rPr>
            <b/>
            <sz val="12"/>
            <color indexed="81"/>
            <rFont val="Tahoma"/>
            <family val="2"/>
          </rPr>
          <t>LOTE DE PRUEBA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7" authorId="1" shapeId="0" xr:uid="{00000000-0006-0000-0200-000003000000}">
      <text>
        <r>
          <rPr>
            <b/>
            <sz val="8"/>
            <color indexed="81"/>
            <rFont val="Tahoma"/>
            <family val="2"/>
          </rPr>
          <t>Baja pirometria de Revenido</t>
        </r>
      </text>
    </comment>
  </commentList>
</comments>
</file>

<file path=xl/sharedStrings.xml><?xml version="1.0" encoding="utf-8"?>
<sst xmlns="http://schemas.openxmlformats.org/spreadsheetml/2006/main" count="166" uniqueCount="113">
  <si>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</si>
  <si>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</si>
  <si>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</si>
  <si>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</si>
  <si>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</si>
  <si>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</si>
  <si>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</si>
  <si>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</si>
  <si>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</si>
  <si>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</si>
  <si>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</si>
  <si>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</si>
  <si>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</si>
  <si>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</si>
  <si>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</si>
  <si>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</si>
  <si>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</si>
  <si>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</si>
  <si>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</si>
  <si>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</si>
  <si>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</si>
  <si>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</si>
  <si>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</si>
  <si>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</si>
  <si>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</si>
  <si>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</si>
  <si>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</si>
  <si>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</si>
  <si>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</si>
  <si>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</si>
  <si>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</si>
  <si>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</si>
  <si>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</si>
  <si>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</si>
  <si>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</si>
  <si>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</si>
  <si>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</si>
  <si>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</si>
  <si>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</si>
  <si>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</si>
  <si>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</si>
  <si>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</si>
  <si>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</si>
  <si>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</si>
  <si>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</si>
  <si>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</si>
  <si>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</si>
  <si>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</si>
  <si>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</si>
  <si>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</si>
  <si>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</si>
  <si>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</si>
  <si>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</si>
  <si>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</si>
  <si>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</si>
  <si>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</si>
  <si>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</si>
  <si>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</si>
  <si>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</si>
  <si>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</si>
  <si>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</si>
  <si>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</si>
  <si>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</si>
  <si>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</si>
  <si>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</si>
  <si>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</si>
  <si>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</si>
  <si>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</si>
  <si>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</si>
  <si>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</si>
  <si>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</si>
  <si>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</si>
  <si>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</si>
  <si>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</si>
  <si>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</si>
  <si>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</si>
  <si>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</si>
  <si>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</si>
  <si>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</si>
  <si>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</si>
  <si>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</si>
  <si>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</si>
  <si>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</si>
  <si>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</si>
  <si>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</si>
  <si>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</si>
  <si>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</si>
  <si>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</si>
  <si>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</si>
  <si>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</si>
  <si>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</si>
  <si>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</si>
  <si>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</si>
  <si>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</si>
  <si>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</si>
  <si>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</si>
  <si>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</si>
  <si>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</si>
  <si>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1 al 15</t>
  </si>
  <si>
    <t>TPC 133, 85  x 16, 47 mm  L80 1</t>
  </si>
  <si>
    <t>16 al 114</t>
  </si>
  <si>
    <t>16 al 45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</si>
  <si>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</si>
  <si>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</si>
  <si>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</si>
  <si>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</si>
  <si>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</si>
  <si>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</si>
  <si>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</si>
  <si>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Clave</t>
  </si>
  <si>
    <t>No. Tubo</t>
  </si>
  <si>
    <t>TPC</t>
  </si>
  <si>
    <t>133,85 x 16,47 L80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</si>
</sst>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2"/>
      <color rgb="FF0000FF"/>
      <name val="Arial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65" fontId="37" fillId="0" borderId="2" xfId="2" applyNumberFormat="1" applyFont="1" applyFill="1" applyBorder="1" applyAlignment="1">
      <alignment horizontal="center"/>
    </xf>
    <xf numFmtId="0" fontId="43" fillId="4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/>
    <xf numFmtId="0" fontId="45" fillId="0" borderId="0" xfId="0" applyFont="1" applyAlignment="1">
      <alignment horizontal="center"/>
    </xf>
    <xf numFmtId="0" fontId="46" fillId="0" borderId="0" xfId="0" applyFont="1" applyFill="1" applyBorder="1" applyAlignment="1"/>
    <xf numFmtId="0" fontId="47" fillId="0" borderId="0" xfId="0" applyFont="1" applyFill="1" applyBorder="1" applyAlignment="1"/>
    <xf numFmtId="14" fontId="48" fillId="0" borderId="0" xfId="0" quotePrefix="1" applyNumberFormat="1" applyFont="1" applyFill="1" applyBorder="1" applyAlignment="1"/>
    <xf numFmtId="14" fontId="48" fillId="0" borderId="0" xfId="0" applyNumberFormat="1" applyFont="1" applyFill="1" applyBorder="1" applyAlignment="1"/>
    <xf numFmtId="165" fontId="45" fillId="0" borderId="0" xfId="0" applyNumberFormat="1" applyFont="1" applyAlignment="1">
      <alignment horizontal="center"/>
    </xf>
    <xf numFmtId="0" fontId="50" fillId="0" borderId="22" xfId="0" applyFont="1" applyFill="1" applyBorder="1" applyAlignment="1"/>
    <xf numFmtId="165" fontId="50" fillId="0" borderId="22" xfId="0" applyNumberFormat="1" applyFont="1" applyFill="1" applyBorder="1" applyAlignment="1">
      <alignment horizontal="center"/>
    </xf>
    <xf numFmtId="0" fontId="50" fillId="0" borderId="2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0" fontId="56" fillId="0" borderId="2" xfId="0" applyFont="1" applyFill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2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21" fontId="28" fillId="7" borderId="0" xfId="0" applyNumberFormat="1" applyFont="1" applyFill="1" applyBorder="1" applyAlignment="1" applyProtection="1">
      <alignment horizontal="center" vertical="center"/>
      <protection hidden="1"/>
    </xf>
    <xf numFmtId="21" fontId="41" fillId="7" borderId="0" xfId="0" applyNumberFormat="1" applyFont="1" applyFill="1" applyBorder="1" applyAlignment="1" applyProtection="1">
      <alignment horizontal="center" vertical="center"/>
      <protection hidden="1"/>
    </xf>
    <xf numFmtId="0" fontId="16" fillId="7" borderId="0" xfId="0" applyFont="1" applyFill="1" applyBorder="1" applyAlignment="1" applyProtection="1">
      <alignment horizontal="center" vertical="center"/>
      <protection hidden="1"/>
    </xf>
    <xf numFmtId="0" fontId="17" fillId="7" borderId="0" xfId="0" applyFont="1" applyFill="1" applyBorder="1" applyAlignment="1" applyProtection="1">
      <alignment horizontal="center" vertical="center"/>
      <protection hidden="1"/>
    </xf>
    <xf numFmtId="0" fontId="35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18" fillId="6" borderId="0" xfId="0" applyFont="1" applyFill="1" applyBorder="1" applyAlignment="1" applyProtection="1">
      <alignment horizontal="left" vertical="center"/>
      <protection hidden="1"/>
    </xf>
    <xf numFmtId="0" fontId="21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Border="1" applyAlignment="1" applyProtection="1">
      <alignment horizontal="right" vertical="center"/>
      <protection hidden="1"/>
    </xf>
    <xf numFmtId="0" fontId="22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3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5" fillId="6" borderId="0" xfId="0" applyFont="1" applyFill="1" applyBorder="1" applyAlignment="1" applyProtection="1">
      <alignment vertical="center"/>
      <protection hidden="1"/>
    </xf>
    <xf numFmtId="0" fontId="40" fillId="6" borderId="0" xfId="0" applyFont="1" applyFill="1" applyBorder="1" applyAlignment="1" applyProtection="1">
      <alignment vertical="center"/>
      <protection hidden="1"/>
    </xf>
    <xf numFmtId="0" fontId="25" fillId="6" borderId="0" xfId="0" applyFont="1" applyFill="1" applyBorder="1" applyAlignment="1" applyProtection="1">
      <alignment vertical="center"/>
      <protection hidden="1"/>
    </xf>
    <xf numFmtId="0" fontId="26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19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2" fillId="6" borderId="0" xfId="0" applyFont="1" applyFill="1" applyBorder="1" applyAlignment="1" applyProtection="1">
      <alignment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0" fontId="41" fillId="6" borderId="0" xfId="0" applyFont="1" applyFill="1" applyBorder="1" applyAlignment="1" applyProtection="1">
      <alignment vertical="center"/>
      <protection hidden="1"/>
    </xf>
    <xf numFmtId="0" fontId="31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14" fillId="6" borderId="0" xfId="0" applyFont="1" applyFill="1" applyBorder="1" applyAlignment="1" applyProtection="1">
      <alignment vertical="center"/>
      <protection hidden="1"/>
    </xf>
    <xf numFmtId="0" fontId="32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42" fillId="6" borderId="0" xfId="0" applyFont="1" applyFill="1" applyBorder="1" applyAlignment="1" applyProtection="1">
      <alignment vertical="center"/>
      <protection hidden="1"/>
    </xf>
    <xf numFmtId="21" fontId="31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6" borderId="17" xfId="0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21" fontId="23" fillId="6" borderId="23" xfId="0" applyNumberFormat="1" applyFont="1" applyFill="1" applyBorder="1" applyAlignment="1" applyProtection="1">
      <alignment horizontal="center" vertical="center"/>
      <protection hidden="1"/>
    </xf>
    <xf numFmtId="0" fontId="8" fillId="6" borderId="21" xfId="0" applyFont="1" applyFill="1" applyBorder="1" applyAlignment="1" applyProtection="1">
      <alignment horizontal="center" vertical="center"/>
      <protection hidden="1"/>
    </xf>
    <xf numFmtId="0" fontId="9" fillId="6" borderId="21" xfId="0" applyFont="1" applyFill="1" applyBorder="1" applyAlignment="1" applyProtection="1">
      <alignment vertical="center"/>
      <protection hidden="1"/>
    </xf>
    <xf numFmtId="0" fontId="10" fillId="6" borderId="21" xfId="0" applyFont="1" applyFill="1" applyBorder="1" applyAlignment="1" applyProtection="1">
      <alignment vertical="center"/>
      <protection hidden="1"/>
    </xf>
    <xf numFmtId="0" fontId="25" fillId="6" borderId="23" xfId="0" applyFont="1" applyFill="1" applyBorder="1" applyAlignment="1" applyProtection="1">
      <alignment vertical="center"/>
      <protection hidden="1"/>
    </xf>
    <xf numFmtId="21" fontId="28" fillId="6" borderId="23" xfId="0" applyNumberFormat="1" applyFont="1" applyFill="1" applyBorder="1" applyAlignment="1" applyProtection="1">
      <alignment horizontal="center"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42" fillId="6" borderId="22" xfId="0" applyFont="1" applyFill="1" applyBorder="1" applyAlignment="1" applyProtection="1">
      <alignment vertical="center"/>
      <protection hidden="1"/>
    </xf>
    <xf numFmtId="0" fontId="41" fillId="6" borderId="22" xfId="0" applyFont="1" applyFill="1" applyBorder="1" applyAlignment="1" applyProtection="1">
      <alignment vertical="center"/>
      <protection hidden="1"/>
    </xf>
    <xf numFmtId="21" fontId="41" fillId="6" borderId="22" xfId="0" applyNumberFormat="1" applyFont="1" applyFill="1" applyBorder="1" applyAlignment="1" applyProtection="1">
      <alignment horizontal="center" vertical="center"/>
      <protection hidden="1"/>
    </xf>
    <xf numFmtId="21" fontId="31" fillId="6" borderId="22" xfId="0" applyNumberFormat="1" applyFont="1" applyFill="1" applyBorder="1" applyAlignment="1" applyProtection="1">
      <alignment horizontal="center" vertical="center"/>
      <protection hidden="1"/>
    </xf>
    <xf numFmtId="21" fontId="28" fillId="6" borderId="20" xfId="0" applyNumberFormat="1" applyFont="1" applyFill="1" applyBorder="1" applyAlignment="1" applyProtection="1">
      <alignment horizontal="center" vertical="center"/>
      <protection hidden="1"/>
    </xf>
    <xf numFmtId="0" fontId="58" fillId="5" borderId="0" xfId="0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 vertical="center" wrapText="1"/>
    </xf>
    <xf numFmtId="15" fontId="55" fillId="0" borderId="5" xfId="0" applyNumberFormat="1" applyFont="1" applyFill="1" applyBorder="1" applyAlignment="1">
      <alignment horizontal="center"/>
    </xf>
    <xf numFmtId="0" fontId="56" fillId="0" borderId="2" xfId="3" applyFont="1" applyBorder="1" applyAlignment="1">
      <alignment horizontal="center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3" fontId="57" fillId="0" borderId="2" xfId="0" applyNumberFormat="1" applyFont="1" applyFill="1" applyBorder="1" applyAlignment="1" applyProtection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56" fillId="0" borderId="26" xfId="0" applyFont="1" applyBorder="1" applyAlignment="1">
      <alignment horizontal="center"/>
    </xf>
    <xf numFmtId="15" fontId="20" fillId="2" borderId="1" xfId="0" applyNumberFormat="1" applyFont="1" applyFill="1" applyBorder="1" applyAlignment="1">
      <alignment horizontal="center"/>
    </xf>
    <xf numFmtId="15" fontId="55" fillId="0" borderId="4" xfId="0" applyNumberFormat="1" applyFont="1" applyFill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4" fillId="4" borderId="0" xfId="0" applyFont="1" applyFill="1" applyAlignment="1">
      <alignment horizontal="center" vertical="center" wrapText="1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2" fontId="37" fillId="0" borderId="2" xfId="0" applyNumberFormat="1" applyFont="1" applyFill="1" applyBorder="1" applyAlignment="1">
      <alignment horizontal="center"/>
    </xf>
    <xf numFmtId="3" fontId="59" fillId="0" borderId="2" xfId="0" applyNumberFormat="1" applyFont="1" applyFill="1" applyBorder="1" applyAlignment="1" applyProtection="1">
      <alignment horizontal="center"/>
      <protection locked="0"/>
    </xf>
    <xf numFmtId="0" fontId="43" fillId="4" borderId="0" xfId="0" applyFont="1" applyFill="1" applyAlignment="1">
      <alignment horizontal="center" vertical="center"/>
    </xf>
    <xf numFmtId="0" fontId="49" fillId="8" borderId="0" xfId="0" applyFont="1" applyFill="1" applyAlignment="1">
      <alignment horizontal="center"/>
    </xf>
    <xf numFmtId="0" fontId="44" fillId="8" borderId="0" xfId="0" applyFont="1" applyFill="1" applyBorder="1" applyAlignment="1"/>
    <xf numFmtId="0" fontId="65" fillId="8" borderId="0" xfId="0" applyFont="1" applyFill="1" applyBorder="1" applyAlignment="1">
      <alignment horizontal="center"/>
    </xf>
    <xf numFmtId="0" fontId="45" fillId="8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53" fillId="8" borderId="0" xfId="0" applyFont="1" applyFill="1" applyBorder="1" applyAlignment="1">
      <alignment horizontal="right"/>
    </xf>
    <xf numFmtId="1" fontId="51" fillId="7" borderId="0" xfId="0" applyNumberFormat="1" applyFont="1" applyFill="1" applyBorder="1" applyAlignment="1">
      <alignment horizontal="center"/>
    </xf>
    <xf numFmtId="165" fontId="51" fillId="8" borderId="0" xfId="0" applyNumberFormat="1" applyFont="1" applyFill="1" applyBorder="1" applyAlignment="1">
      <alignment horizontal="center"/>
    </xf>
    <xf numFmtId="1" fontId="45" fillId="8" borderId="0" xfId="0" applyNumberFormat="1" applyFont="1" applyFill="1" applyAlignment="1">
      <alignment horizontal="center"/>
    </xf>
    <xf numFmtId="3" fontId="56" fillId="7" borderId="3" xfId="2" applyNumberFormat="1" applyFont="1" applyFill="1" applyBorder="1" applyAlignment="1" applyProtection="1">
      <alignment horizontal="center"/>
      <protection locked="0"/>
    </xf>
    <xf numFmtId="3" fontId="56" fillId="7" borderId="2" xfId="2" applyNumberFormat="1" applyFont="1" applyFill="1" applyBorder="1" applyAlignment="1" applyProtection="1">
      <alignment horizontal="center"/>
      <protection locked="0"/>
    </xf>
    <xf numFmtId="0" fontId="56" fillId="7" borderId="3" xfId="0" applyFont="1" applyFill="1" applyBorder="1" applyAlignment="1">
      <alignment horizontal="center"/>
    </xf>
    <xf numFmtId="0" fontId="56" fillId="7" borderId="26" xfId="0" applyFont="1" applyFill="1" applyBorder="1" applyAlignment="1">
      <alignment horizontal="center"/>
    </xf>
    <xf numFmtId="3" fontId="56" fillId="7" borderId="5" xfId="2" applyNumberFormat="1" applyFont="1" applyFill="1" applyBorder="1" applyAlignment="1" applyProtection="1">
      <alignment horizontal="center"/>
      <protection locked="0"/>
    </xf>
    <xf numFmtId="3" fontId="56" fillId="7" borderId="25" xfId="2" applyNumberFormat="1" applyFont="1" applyFill="1" applyBorder="1" applyAlignment="1" applyProtection="1">
      <alignment horizontal="center"/>
      <protection locked="0"/>
    </xf>
    <xf numFmtId="3" fontId="56" fillId="7" borderId="5" xfId="0" applyNumberFormat="1" applyFont="1" applyFill="1" applyBorder="1" applyAlignment="1">
      <alignment horizontal="center"/>
    </xf>
    <xf numFmtId="165" fontId="37" fillId="0" borderId="2" xfId="0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9" fillId="0" borderId="23" xfId="4" applyFont="1" applyBorder="1" applyAlignment="1">
      <alignment wrapText="1"/>
    </xf>
    <xf numFmtId="0" fontId="75" fillId="9" borderId="31" xfId="4" applyFont="1" applyFill="1" applyBorder="1" applyAlignment="1">
      <alignment horizontal="center"/>
    </xf>
    <xf numFmtId="0" fontId="75" fillId="11" borderId="31" xfId="4" applyFont="1" applyFill="1" applyBorder="1" applyAlignment="1">
      <alignment horizontal="center"/>
    </xf>
    <xf numFmtId="0" fontId="75" fillId="12" borderId="32" xfId="4" applyFont="1" applyFill="1" applyBorder="1" applyAlignment="1">
      <alignment horizontal="center"/>
    </xf>
    <xf numFmtId="0" fontId="76" fillId="14" borderId="2" xfId="4" applyFont="1" applyFill="1" applyBorder="1" applyAlignment="1">
      <alignment horizontal="center" vertical="center" wrapText="1"/>
    </xf>
    <xf numFmtId="0" fontId="76" fillId="10" borderId="2" xfId="4" applyFont="1" applyFill="1" applyBorder="1" applyAlignment="1">
      <alignment horizontal="center" vertical="center" wrapText="1"/>
    </xf>
    <xf numFmtId="0" fontId="75" fillId="9" borderId="2" xfId="4" applyFont="1" applyFill="1" applyBorder="1" applyAlignment="1">
      <alignment horizontal="center" vertical="center" wrapText="1"/>
    </xf>
    <xf numFmtId="0" fontId="75" fillId="11" borderId="2" xfId="4" applyFont="1" applyFill="1" applyBorder="1" applyAlignment="1">
      <alignment horizontal="center" vertical="center" wrapText="1"/>
    </xf>
    <xf numFmtId="0" fontId="75" fillId="12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55" fillId="7" borderId="2" xfId="0" applyNumberFormat="1" applyFont="1" applyFill="1" applyBorder="1" applyAlignment="1">
      <alignment horizontal="center"/>
    </xf>
    <xf numFmtId="15" fontId="20" fillId="2" borderId="2" xfId="0" applyNumberFormat="1" applyFont="1" applyFill="1" applyBorder="1" applyAlignment="1">
      <alignment horizontal="center"/>
    </xf>
    <xf numFmtId="1" fontId="37" fillId="0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69" fillId="0" borderId="2" xfId="0" applyFont="1" applyFill="1" applyBorder="1" applyAlignment="1">
      <alignment horizontal="center"/>
    </xf>
    <xf numFmtId="0" fontId="0" fillId="0" borderId="2" xfId="0" applyBorder="1"/>
    <xf numFmtId="15" fontId="20" fillId="7" borderId="2" xfId="0" applyNumberFormat="1" applyFont="1" applyFill="1" applyBorder="1" applyAlignment="1">
      <alignment horizontal="center"/>
    </xf>
    <xf numFmtId="0" fontId="20" fillId="7" borderId="2" xfId="3" applyFont="1" applyFill="1" applyBorder="1" applyAlignment="1">
      <alignment horizontal="center"/>
    </xf>
    <xf numFmtId="1" fontId="37" fillId="7" borderId="2" xfId="0" applyNumberFormat="1" applyFont="1" applyFill="1" applyBorder="1" applyAlignment="1">
      <alignment horizontal="center"/>
    </xf>
    <xf numFmtId="0" fontId="0" fillId="0" borderId="2" xfId="0" applyFill="1" applyBorder="1"/>
    <xf numFmtId="0" fontId="79" fillId="0" borderId="2" xfId="3" applyFont="1" applyBorder="1" applyAlignment="1">
      <alignment horizontal="center"/>
    </xf>
    <xf numFmtId="0" fontId="60" fillId="6" borderId="0" xfId="0" applyFont="1" applyFill="1" applyBorder="1" applyAlignment="1" applyProtection="1">
      <alignment horizontal="center" vertical="center"/>
      <protection hidden="1"/>
    </xf>
    <xf numFmtId="0" fontId="77" fillId="0" borderId="22" xfId="0" applyFont="1" applyFill="1" applyBorder="1" applyAlignment="1">
      <alignment horizontal="center" vertical="center"/>
    </xf>
    <xf numFmtId="0" fontId="78" fillId="0" borderId="22" xfId="0" applyFont="1" applyFill="1" applyBorder="1" applyAlignment="1">
      <alignment horizontal="center" vertical="center"/>
    </xf>
    <xf numFmtId="0" fontId="74" fillId="13" borderId="12" xfId="4" applyFont="1" applyFill="1" applyBorder="1" applyAlignment="1">
      <alignment horizontal="center" vertical="center" shrinkToFit="1"/>
    </xf>
    <xf numFmtId="0" fontId="74" fillId="13" borderId="13" xfId="4" applyFont="1" applyFill="1" applyBorder="1" applyAlignment="1">
      <alignment horizontal="center" vertical="center" shrinkToFit="1"/>
    </xf>
    <xf numFmtId="0" fontId="74" fillId="13" borderId="17" xfId="4" applyFont="1" applyFill="1" applyBorder="1" applyAlignment="1">
      <alignment horizontal="center" vertical="center" shrinkToFit="1"/>
    </xf>
    <xf numFmtId="0" fontId="74" fillId="13" borderId="19" xfId="4" applyFont="1" applyFill="1" applyBorder="1" applyAlignment="1">
      <alignment horizontal="center" vertical="center" shrinkToFit="1"/>
    </xf>
    <xf numFmtId="0" fontId="71" fillId="10" borderId="18" xfId="4" applyFont="1" applyFill="1" applyBorder="1" applyAlignment="1">
      <alignment horizontal="center" vertical="center"/>
    </xf>
    <xf numFmtId="0" fontId="71" fillId="10" borderId="9" xfId="4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71" fillId="10" borderId="8" xfId="4" applyFont="1" applyFill="1" applyBorder="1" applyAlignment="1">
      <alignment horizontal="center" vertical="center"/>
    </xf>
    <xf numFmtId="0" fontId="71" fillId="10" borderId="17" xfId="4" applyFont="1" applyFill="1" applyBorder="1" applyAlignment="1">
      <alignment horizontal="center" vertical="center"/>
    </xf>
    <xf numFmtId="0" fontId="71" fillId="10" borderId="6" xfId="4" applyFont="1" applyFill="1" applyBorder="1" applyAlignment="1">
      <alignment horizontal="center" vertical="center"/>
    </xf>
    <xf numFmtId="0" fontId="74" fillId="10" borderId="8" xfId="4" applyFont="1" applyFill="1" applyBorder="1" applyAlignment="1">
      <alignment horizontal="center" vertical="center" shrinkToFit="1"/>
    </xf>
    <xf numFmtId="0" fontId="74" fillId="10" borderId="17" xfId="4" applyFont="1" applyFill="1" applyBorder="1" applyAlignment="1">
      <alignment horizontal="center" vertical="center" shrinkToFit="1"/>
    </xf>
    <xf numFmtId="0" fontId="74" fillId="13" borderId="11" xfId="4" applyFont="1" applyFill="1" applyBorder="1" applyAlignment="1">
      <alignment horizontal="center" vertical="center" shrinkToFit="1"/>
    </xf>
    <xf numFmtId="0" fontId="74" fillId="13" borderId="10" xfId="4" applyFont="1" applyFill="1" applyBorder="1" applyAlignment="1">
      <alignment horizontal="center" vertical="center" shrinkToFit="1"/>
    </xf>
    <xf numFmtId="0" fontId="75" fillId="12" borderId="31" xfId="4" applyFont="1" applyFill="1" applyBorder="1" applyAlignment="1">
      <alignment horizontal="center"/>
    </xf>
    <xf numFmtId="0" fontId="73" fillId="11" borderId="28" xfId="4" applyFont="1" applyFill="1" applyBorder="1" applyAlignment="1">
      <alignment horizontal="center"/>
    </xf>
    <xf numFmtId="0" fontId="72" fillId="9" borderId="27" xfId="4" applyFont="1" applyFill="1" applyBorder="1" applyAlignment="1">
      <alignment horizontal="center"/>
    </xf>
    <xf numFmtId="0" fontId="72" fillId="9" borderId="28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3" fillId="12" borderId="29" xfId="4" applyFont="1" applyFill="1" applyBorder="1" applyAlignment="1">
      <alignment horizontal="center"/>
    </xf>
    <xf numFmtId="0" fontId="75" fillId="9" borderId="30" xfId="4" applyFont="1" applyFill="1" applyBorder="1" applyAlignment="1">
      <alignment horizontal="center"/>
    </xf>
    <xf numFmtId="0" fontId="75" fillId="9" borderId="31" xfId="4" applyFont="1" applyFill="1" applyBorder="1" applyAlignment="1">
      <alignment horizontal="center"/>
    </xf>
    <xf numFmtId="0" fontId="58" fillId="5" borderId="22" xfId="0" applyFont="1" applyFill="1" applyBorder="1" applyAlignment="1">
      <alignment horizontal="center"/>
    </xf>
    <xf numFmtId="0" fontId="58" fillId="5" borderId="0" xfId="0" applyFont="1" applyFill="1" applyAlignment="1">
      <alignment horizontal="center"/>
    </xf>
    <xf numFmtId="0" fontId="43" fillId="5" borderId="8" xfId="0" applyFont="1" applyFill="1" applyBorder="1" applyAlignment="1">
      <alignment horizontal="center" vertical="center" wrapText="1"/>
    </xf>
    <xf numFmtId="0" fontId="43" fillId="5" borderId="17" xfId="0" applyFont="1" applyFill="1" applyBorder="1" applyAlignment="1">
      <alignment horizontal="center" vertical="center" wrapText="1"/>
    </xf>
    <xf numFmtId="0" fontId="43" fillId="5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3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960-4B83-9D3A-E88C34BF4F40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960-4B83-9D3A-E88C34BF4F40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960-4B83-9D3A-E88C34BF4F40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960-4B83-9D3A-E88C34BF4F40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960-4B83-9D3A-E88C34BF4F40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960-4B83-9D3A-E88C34BF4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533952"/>
        <c:axId val="369534736"/>
      </c:barChart>
      <c:catAx>
        <c:axId val="36953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5347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69534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53395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0D6-4D35-9B1B-13A3A7F1AE0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0D6-4D35-9B1B-13A3A7F1AE0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0D6-4D35-9B1B-13A3A7F1AE08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E0D6-4D35-9B1B-13A3A7F1AE08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E0D6-4D35-9B1B-13A3A7F1AE08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E0D6-4D35-9B1B-13A3A7F1AE08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E0D6-4D35-9B1B-13A3A7F1AE08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E0D6-4D35-9B1B-13A3A7F1AE08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D6-4D35-9B1B-13A3A7F1AE08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E0D6-4D35-9B1B-13A3A7F1AE08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E0D6-4D35-9B1B-13A3A7F1A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35128"/>
        <c:axId val="369533168"/>
      </c:lineChart>
      <c:catAx>
        <c:axId val="369535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533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9533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95351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2C-4485-80A7-ACAD9D6FB2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2C-4485-80A7-ACAD9D6FB2F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2C-4485-80A7-ACAD9D6FB2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2C-4485-80A7-ACAD9D6FB2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2C-4485-80A7-ACAD9D6FB2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2C-4485-80A7-ACAD9D6FB2F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2C-4485-80A7-ACAD9D6FB2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2C-4485-80A7-ACAD9D6FB2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2C-4485-80A7-ACAD9D6FB2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2C-4485-80A7-ACAD9D6FB2F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2C-4485-80A7-ACAD9D6FB2F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2C-4485-80A7-ACAD9D6FB2F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2C-4485-80A7-ACAD9D6FB2F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2C-4485-80A7-ACAD9D6F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171024"/>
        <c:axId val="418171416"/>
      </c:barChart>
      <c:catAx>
        <c:axId val="41817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17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171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171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781-4114-A34A-3DCF584FA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781-4114-A34A-3DCF584FAF7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781-4114-A34A-3DCF584FA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781-4114-A34A-3DCF584FA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81-4114-A34A-3DCF584FA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781-4114-A34A-3DCF584FAF7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781-4114-A34A-3DCF584FA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781-4114-A34A-3DCF584FA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781-4114-A34A-3DCF584FA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781-4114-A34A-3DCF584FAF7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781-4114-A34A-3DCF584FAF7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781-4114-A34A-3DCF584FAF7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781-4114-A34A-3DCF584FAF7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781-4114-A34A-3DCF584FA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172200"/>
        <c:axId val="372621344"/>
      </c:barChart>
      <c:catAx>
        <c:axId val="41817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62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21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817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BF-4DA3-8F8D-6AD1D2BC9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BF-4DA3-8F8D-6AD1D2BC90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BF-4DA3-8F8D-6AD1D2BC9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BF-4DA3-8F8D-6AD1D2BC9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BF-4DA3-8F8D-6AD1D2BC9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BF-4DA3-8F8D-6AD1D2BC90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BF-4DA3-8F8D-6AD1D2BC9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BF-4DA3-8F8D-6AD1D2BC9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BF-4DA3-8F8D-6AD1D2BC9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BF-4DA3-8F8D-6AD1D2BC90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BF-4DA3-8F8D-6AD1D2BC90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BF-4DA3-8F8D-6AD1D2BC90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BF-4DA3-8F8D-6AD1D2BC90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BF-4DA3-8F8D-6AD1D2BC9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22128"/>
        <c:axId val="372622520"/>
      </c:barChart>
      <c:catAx>
        <c:axId val="37262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62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622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2622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80-402A-ACCC-2721251F5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80-402A-ACCC-2721251F57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80-402A-ACCC-2721251F5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80-402A-ACCC-2721251F5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80-402A-ACCC-2721251F5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80-402A-ACCC-2721251F57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80-402A-ACCC-2721251F5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80-402A-ACCC-2721251F5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80-402A-ACCC-2721251F5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80-402A-ACCC-2721251F57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80-402A-ACCC-2721251F57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80-402A-ACCC-2721251F57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80-402A-ACCC-2721251F57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80-402A-ACCC-2721251F5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875280"/>
        <c:axId val="367875672"/>
      </c:barChart>
      <c:catAx>
        <c:axId val="36787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875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875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875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28-407C-AD84-A79F4C0C4D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28-407C-AD84-A79F4C0C4D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28-407C-AD84-A79F4C0C4D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28-407C-AD84-A79F4C0C4D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28-407C-AD84-A79F4C0C4D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28-407C-AD84-A79F4C0C4D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28-407C-AD84-A79F4C0C4D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28-407C-AD84-A79F4C0C4D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28-407C-AD84-A79F4C0C4D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28-407C-AD84-A79F4C0C4D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28-407C-AD84-A79F4C0C4D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28-407C-AD84-A79F4C0C4D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28-407C-AD84-A79F4C0C4D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28-407C-AD84-A79F4C0C4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876456"/>
        <c:axId val="367876848"/>
      </c:barChart>
      <c:catAx>
        <c:axId val="367876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876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7876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67876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AA-4F4D-B08D-DC71977A8B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AA-4F4D-B08D-DC71977A8BF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AA-4F4D-B08D-DC71977A8B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AA-4F4D-B08D-DC71977A8B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AA-4F4D-B08D-DC71977A8B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AA-4F4D-B08D-DC71977A8BF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AA-4F4D-B08D-DC71977A8B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AA-4F4D-B08D-DC71977A8B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AA-4F4D-B08D-DC71977A8B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AA-4F4D-B08D-DC71977A8BF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AA-4F4D-B08D-DC71977A8BF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AA-4F4D-B08D-DC71977A8BF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AA-4F4D-B08D-DC71977A8BF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AA-4F4D-B08D-DC71977A8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2912"/>
        <c:axId val="417813304"/>
      </c:barChart>
      <c:catAx>
        <c:axId val="41781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3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3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2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F0-41CF-A855-EF57DA3F82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F0-41CF-A855-EF57DA3F82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F0-41CF-A855-EF57DA3F82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F0-41CF-A855-EF57DA3F82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F0-41CF-A855-EF57DA3F82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F0-41CF-A855-EF57DA3F82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F0-41CF-A855-EF57DA3F82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F0-41CF-A855-EF57DA3F82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F0-41CF-A855-EF57DA3F82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F0-41CF-A855-EF57DA3F82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F0-41CF-A855-EF57DA3F82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F0-41CF-A855-EF57DA3F82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F0-41CF-A855-EF57DA3F82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F0-41CF-A855-EF57DA3F8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4088"/>
        <c:axId val="417814480"/>
      </c:barChart>
      <c:catAx>
        <c:axId val="417814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4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4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4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5D-481B-B901-54BBCFCDE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5D-481B-B901-54BBCFCDEE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5D-481B-B901-54BBCFCDE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5D-481B-B901-54BBCFCDE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5D-481B-B901-54BBCFCDE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5D-481B-B901-54BBCFCDEE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5D-481B-B901-54BBCFCDE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5D-481B-B901-54BBCFCDE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5D-481B-B901-54BBCFCDE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5D-481B-B901-54BBCFCDEE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5D-481B-B901-54BBCFCDEE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5D-481B-B901-54BBCFCDEE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5D-481B-B901-54BBCFCDEE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5D-481B-B901-54BBCFCDE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5264"/>
        <c:axId val="417815656"/>
      </c:barChart>
      <c:catAx>
        <c:axId val="4178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5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5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5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8F4-4BC7-84CD-4C0209D68E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8F4-4BC7-84CD-4C0209D68E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8F4-4BC7-84CD-4C0209D68E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8F4-4BC7-84CD-4C0209D68E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F4-4BC7-84CD-4C0209D68E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8F4-4BC7-84CD-4C0209D68E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8F4-4BC7-84CD-4C0209D68E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8F4-4BC7-84CD-4C0209D68E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8F4-4BC7-84CD-4C0209D68E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8F4-4BC7-84CD-4C0209D68E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F4-4BC7-84CD-4C0209D68E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8F4-4BC7-84CD-4C0209D68E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8F4-4BC7-84CD-4C0209D68E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8F4-4BC7-84CD-4C0209D68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6440"/>
        <c:axId val="417816832"/>
      </c:barChart>
      <c:catAx>
        <c:axId val="417816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6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6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6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8BF-404F-ABFC-73D3BF8B5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8BF-404F-ABFC-73D3BF8B5A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8BF-404F-ABFC-73D3BF8B5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8BF-404F-ABFC-73D3BF8B5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8BF-404F-ABFC-73D3BF8B5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8BF-404F-ABFC-73D3BF8B5A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8BF-404F-ABFC-73D3BF8B5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8BF-404F-ABFC-73D3BF8B5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8BF-404F-ABFC-73D3BF8B5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8BF-404F-ABFC-73D3BF8B5A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8BF-404F-ABFC-73D3BF8B5A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8BF-404F-ABFC-73D3BF8B5A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8BF-404F-ABFC-73D3BF8B5A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8BF-404F-ABFC-73D3BF8B5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7616"/>
        <c:axId val="417818008"/>
      </c:barChart>
      <c:catAx>
        <c:axId val="41781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8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8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7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A6-47AA-BD50-6ACA93862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A6-47AA-BD50-6ACA93862D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A6-47AA-BD50-6ACA93862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A6-47AA-BD50-6ACA93862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A6-47AA-BD50-6ACA93862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BA6-47AA-BD50-6ACA93862D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A6-47AA-BD50-6ACA93862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A6-47AA-BD50-6ACA93862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A6-47AA-BD50-6ACA93862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A6-47AA-BD50-6ACA93862D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A6-47AA-BD50-6ACA93862D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A6-47AA-BD50-6ACA93862D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A6-47AA-BD50-6ACA93862D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BA6-47AA-BD50-6ACA93862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8792"/>
        <c:axId val="417819184"/>
      </c:barChart>
      <c:catAx>
        <c:axId val="41781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9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7819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8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1EE-4DCA-AD07-83C7086AE8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1EE-4DCA-AD07-83C7086AE8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1EE-4DCA-AD07-83C7086AE8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EE-4DCA-AD07-83C7086AE8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1EE-4DCA-AD07-83C7086AE8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1EE-4DCA-AD07-83C7086AE8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1EE-4DCA-AD07-83C7086AE8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1EE-4DCA-AD07-83C7086AE8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1EE-4DCA-AD07-83C7086AE8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1EE-4DCA-AD07-83C7086AE8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1EE-4DCA-AD07-83C7086AE8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1EE-4DCA-AD07-83C7086AE8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1EE-4DCA-AD07-83C7086AE8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1EE-4DCA-AD07-83C7086A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19968"/>
        <c:axId val="401936392"/>
      </c:barChart>
      <c:catAx>
        <c:axId val="417819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6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36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17819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D9-47AE-94F2-BD50DAAA5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D9-47AE-94F2-BD50DAAA55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D9-47AE-94F2-BD50DAAA5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D9-47AE-94F2-BD50DAAA5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D9-47AE-94F2-BD50DAAA5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D9-47AE-94F2-BD50DAAA55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D9-47AE-94F2-BD50DAAA5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D9-47AE-94F2-BD50DAAA5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D9-47AE-94F2-BD50DAAA5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D9-47AE-94F2-BD50DAAA55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D9-47AE-94F2-BD50DAAA55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D9-47AE-94F2-BD50DAAA55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D9-47AE-94F2-BD50DAAA55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D9-47AE-94F2-BD50DAAA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37176"/>
        <c:axId val="401937568"/>
      </c:barChart>
      <c:catAx>
        <c:axId val="401937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7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37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7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BA-4DED-9509-3856F7B573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4BA-4DED-9509-3856F7B573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4BA-4DED-9509-3856F7B573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4BA-4DED-9509-3856F7B573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4BA-4DED-9509-3856F7B573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4BA-4DED-9509-3856F7B573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BA-4DED-9509-3856F7B573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BA-4DED-9509-3856F7B573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4BA-4DED-9509-3856F7B573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4BA-4DED-9509-3856F7B573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4BA-4DED-9509-3856F7B573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4BA-4DED-9509-3856F7B573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BA-4DED-9509-3856F7B573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4BA-4DED-9509-3856F7B57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38352"/>
        <c:axId val="401938744"/>
      </c:barChart>
      <c:catAx>
        <c:axId val="4019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8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38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8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48-41BD-BC00-321ECA44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48-41BD-BC00-321ECA4495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48-41BD-BC00-321ECA44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48-41BD-BC00-321ECA44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48-41BD-BC00-321ECA44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48-41BD-BC00-321ECA4495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48-41BD-BC00-321ECA44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48-41BD-BC00-321ECA44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48-41BD-BC00-321ECA44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48-41BD-BC00-321ECA4495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48-41BD-BC00-321ECA44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48-41BD-BC00-321ECA44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48-41BD-BC00-321ECA44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48-41BD-BC00-321ECA449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39528"/>
        <c:axId val="401939920"/>
      </c:barChart>
      <c:catAx>
        <c:axId val="401939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9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39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39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48-4D93-B801-1B2583C46E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48-4D93-B801-1B2583C46EB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48-4D93-B801-1B2583C46E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48-4D93-B801-1B2583C46E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48-4D93-B801-1B2583C46E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48-4D93-B801-1B2583C46EB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48-4D93-B801-1B2583C46E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48-4D93-B801-1B2583C46E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48-4D93-B801-1B2583C46E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48-4D93-B801-1B2583C46EB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48-4D93-B801-1B2583C46EB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48-4D93-B801-1B2583C46EB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48-4D93-B801-1B2583C46EB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48-4D93-B801-1B2583C46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40704"/>
        <c:axId val="401941096"/>
      </c:barChart>
      <c:catAx>
        <c:axId val="40194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1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41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0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A5-4840-A8E9-5579E18741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A5-4840-A8E9-5579E18741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A5-4840-A8E9-5579E18741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A5-4840-A8E9-5579E18741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A5-4840-A8E9-5579E18741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A5-4840-A8E9-5579E18741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A5-4840-A8E9-5579E18741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A5-4840-A8E9-5579E18741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A5-4840-A8E9-5579E18741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A5-4840-A8E9-5579E18741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A5-4840-A8E9-5579E18741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A5-4840-A8E9-5579E18741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A5-4840-A8E9-5579E18741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A5-4840-A8E9-5579E1874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41880"/>
        <c:axId val="401942272"/>
      </c:barChart>
      <c:catAx>
        <c:axId val="40194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2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42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1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2D-4CCE-AF16-F9283EC9B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2D-4CCE-AF16-F9283EC9BB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2D-4CCE-AF16-F9283EC9B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2D-4CCE-AF16-F9283EC9B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2D-4CCE-AF16-F9283EC9B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2D-4CCE-AF16-F9283EC9BB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2D-4CCE-AF16-F9283EC9B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2D-4CCE-AF16-F9283EC9B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2D-4CCE-AF16-F9283EC9B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2D-4CCE-AF16-F9283EC9BB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2D-4CCE-AF16-F9283EC9BB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2D-4CCE-AF16-F9283EC9BB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2D-4CCE-AF16-F9283EC9BB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2D-4CCE-AF16-F9283EC9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943056"/>
        <c:axId val="401943448"/>
      </c:barChart>
      <c:catAx>
        <c:axId val="40194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3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1943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1943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4B-494C-9AF0-DDD697E584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4B-494C-9AF0-DDD697E584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4B-494C-9AF0-DDD697E584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4B-494C-9AF0-DDD697E584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4B-494C-9AF0-DDD697E584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4B-494C-9AF0-DDD697E584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4B-494C-9AF0-DDD697E584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4B-494C-9AF0-DDD697E584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4B-494C-9AF0-DDD697E584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4B-494C-9AF0-DDD697E584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4B-494C-9AF0-DDD697E584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4B-494C-9AF0-DDD697E584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4B-494C-9AF0-DDD697E584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4B-494C-9AF0-DDD697E58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27160"/>
        <c:axId val="373627552"/>
      </c:barChart>
      <c:catAx>
        <c:axId val="3736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27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7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CF-47DF-8453-C8EE01F347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CF-47DF-8453-C8EE01F3476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CF-47DF-8453-C8EE01F347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CF-47DF-8453-C8EE01F347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CF-47DF-8453-C8EE01F347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CF-47DF-8453-C8EE01F3476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CF-47DF-8453-C8EE01F347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CF-47DF-8453-C8EE01F347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F-47DF-8453-C8EE01F347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CF-47DF-8453-C8EE01F3476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CF-47DF-8453-C8EE01F3476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CF-47DF-8453-C8EE01F3476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CF-47DF-8453-C8EE01F3476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CF-47DF-8453-C8EE01F34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28336"/>
        <c:axId val="373628728"/>
      </c:barChart>
      <c:catAx>
        <c:axId val="373628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8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28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8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2F-4E28-9740-54CDBD5D1E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32F-4E28-9740-54CDBD5D1E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2F-4E28-9740-54CDBD5D1E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2F-4E28-9740-54CDBD5D1E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32F-4E28-9740-54CDBD5D1E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32F-4E28-9740-54CDBD5D1E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32F-4E28-9740-54CDBD5D1E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2F-4E28-9740-54CDBD5D1E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32F-4E28-9740-54CDBD5D1E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32F-4E28-9740-54CDBD5D1E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32F-4E28-9740-54CDBD5D1E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32F-4E28-9740-54CDBD5D1E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32F-4E28-9740-54CDBD5D1E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32F-4E28-9740-54CDBD5D1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29512"/>
        <c:axId val="373629904"/>
      </c:barChart>
      <c:catAx>
        <c:axId val="373629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9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29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29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EC-4D6F-862E-3968C98AD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EC-4D6F-862E-3968C98AD44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EC-4D6F-862E-3968C98AD4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EC-4D6F-862E-3968C98AD4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EC-4D6F-862E-3968C98AD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EC-4D6F-862E-3968C98AD44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EC-4D6F-862E-3968C98AD4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EC-4D6F-862E-3968C98AD4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EC-4D6F-862E-3968C98AD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EC-4D6F-862E-3968C98AD44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EC-4D6F-862E-3968C98AD44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EC-4D6F-862E-3968C98AD44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EC-4D6F-862E-3968C98AD44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EC-4D6F-862E-3968C98AD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30688"/>
        <c:axId val="373631080"/>
      </c:barChart>
      <c:catAx>
        <c:axId val="373630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1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31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0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59-4ED0-8BBB-93C7702AAA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59-4ED0-8BBB-93C7702AAA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59-4ED0-8BBB-93C7702AAA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59-4ED0-8BBB-93C7702AAA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59-4ED0-8BBB-93C7702AAA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59-4ED0-8BBB-93C7702AAA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59-4ED0-8BBB-93C7702AAA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59-4ED0-8BBB-93C7702AAA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59-4ED0-8BBB-93C7702AAA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59-4ED0-8BBB-93C7702AAA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59-4ED0-8BBB-93C7702AAA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59-4ED0-8BBB-93C7702AAA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59-4ED0-8BBB-93C7702AAA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59-4ED0-8BBB-93C7702AA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31864"/>
        <c:axId val="373632256"/>
      </c:barChart>
      <c:catAx>
        <c:axId val="373631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32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1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CB-4568-9D4F-76F8124A1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CB-4568-9D4F-76F8124A1E3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CB-4568-9D4F-76F8124A1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CB-4568-9D4F-76F8124A1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CB-4568-9D4F-76F8124A1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CB-4568-9D4F-76F8124A1E3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CB-4568-9D4F-76F8124A1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CB-4568-9D4F-76F8124A1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CB-4568-9D4F-76F8124A1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CB-4568-9D4F-76F8124A1E3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CB-4568-9D4F-76F8124A1E3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CB-4568-9D4F-76F8124A1E3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CB-4568-9D4F-76F8124A1E3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CB-4568-9D4F-76F8124A1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633040"/>
        <c:axId val="373633432"/>
      </c:barChart>
      <c:catAx>
        <c:axId val="373633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3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633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73633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98117</xdr:colOff>
      <xdr:row>0</xdr:row>
      <xdr:rowOff>153629</xdr:rowOff>
    </xdr:from>
    <xdr:to>
      <xdr:col>1</xdr:col>
      <xdr:colOff>604275</xdr:colOff>
      <xdr:row>2</xdr:row>
      <xdr:rowOff>232186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17" y="153629"/>
          <a:ext cx="926077" cy="8057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61452</xdr:colOff>
      <xdr:row>0</xdr:row>
      <xdr:rowOff>204839</xdr:rowOff>
    </xdr:from>
    <xdr:to>
      <xdr:col>3</xdr:col>
      <xdr:colOff>345870</xdr:colOff>
      <xdr:row>2</xdr:row>
      <xdr:rowOff>235852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16371" y="204839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0</xdr:row>
      <xdr:rowOff>190499</xdr:rowOff>
    </xdr:from>
    <xdr:to>
      <xdr:col>1</xdr:col>
      <xdr:colOff>191864</xdr:colOff>
      <xdr:row>3</xdr:row>
      <xdr:rowOff>21165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" y="190499"/>
          <a:ext cx="979264" cy="8995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ColWidth="11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5"/>
      <c r="B1" s="36" t="s">
        <v>14</v>
      </c>
      <c r="C1" s="36"/>
      <c r="D1" s="36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</row>
    <row r="2" spans="1:23" ht="17.45" customHeight="1">
      <c r="A2" s="39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7"/>
      <c r="S2" s="37"/>
      <c r="T2" s="37"/>
      <c r="U2" s="38"/>
      <c r="V2" s="2"/>
      <c r="W2" s="2"/>
    </row>
    <row r="3" spans="1:23" ht="17.45" customHeight="1">
      <c r="A3" s="39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7"/>
      <c r="S3" s="37"/>
      <c r="T3" s="37"/>
      <c r="U3" s="38"/>
      <c r="V3" s="2"/>
      <c r="W3" s="2"/>
    </row>
    <row r="4" spans="1:23" ht="10.5" customHeight="1">
      <c r="A4" s="39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7"/>
      <c r="S4" s="37"/>
      <c r="T4" s="37"/>
      <c r="U4" s="38"/>
      <c r="V4" s="2"/>
      <c r="W4" s="2"/>
    </row>
    <row r="5" spans="1:23" ht="32.25" customHeight="1">
      <c r="A5" s="40"/>
      <c r="B5" s="93"/>
      <c r="C5" s="61"/>
      <c r="D5" s="61"/>
      <c r="E5" s="170" t="s">
        <v>66</v>
      </c>
      <c r="F5" s="170"/>
      <c r="G5" s="170"/>
      <c r="H5" s="170"/>
      <c r="I5" s="170"/>
      <c r="J5" s="170"/>
      <c r="K5" s="170"/>
      <c r="L5" s="170"/>
      <c r="M5" s="170"/>
      <c r="N5" s="62"/>
      <c r="O5" s="55"/>
      <c r="P5" s="55"/>
      <c r="Q5" s="94"/>
      <c r="R5" s="37"/>
      <c r="S5" s="37"/>
      <c r="T5" s="37"/>
      <c r="U5" s="38"/>
      <c r="V5" s="2"/>
      <c r="W5" s="2"/>
    </row>
    <row r="6" spans="1:23" ht="17.45" customHeight="1">
      <c r="A6" s="39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7"/>
      <c r="S6" s="37"/>
      <c r="T6" s="37"/>
      <c r="U6" s="38"/>
      <c r="V6" s="2"/>
      <c r="W6" s="2"/>
    </row>
    <row r="7" spans="1:23" ht="17.45" customHeight="1">
      <c r="A7" s="39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7"/>
      <c r="S7" s="37"/>
      <c r="T7" s="37"/>
      <c r="U7" s="38"/>
      <c r="V7" s="2"/>
      <c r="W7" s="2"/>
    </row>
    <row r="8" spans="1:23" ht="17.45" customHeight="1">
      <c r="A8" s="39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7"/>
      <c r="S8" s="37"/>
      <c r="T8" s="37"/>
      <c r="U8" s="38"/>
      <c r="V8" s="2"/>
      <c r="W8" s="2"/>
    </row>
    <row r="9" spans="1:23" ht="17.45" customHeight="1">
      <c r="A9" s="39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7"/>
      <c r="S9" s="37"/>
      <c r="T9" s="37"/>
      <c r="U9" s="38"/>
      <c r="V9" s="2"/>
      <c r="W9" s="2"/>
    </row>
    <row r="10" spans="1:23" ht="17.45" customHeight="1">
      <c r="A10" s="39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7"/>
      <c r="S10" s="37"/>
      <c r="T10" s="37"/>
      <c r="U10" s="38"/>
      <c r="V10" s="2"/>
      <c r="W10" s="2"/>
    </row>
    <row r="11" spans="1:23" ht="12" customHeight="1">
      <c r="A11" s="39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7"/>
      <c r="S11" s="37"/>
      <c r="T11" s="37"/>
      <c r="U11" s="38"/>
      <c r="V11" s="2"/>
      <c r="W11" s="2"/>
    </row>
    <row r="12" spans="1:23" ht="17.45" customHeight="1">
      <c r="A12" s="39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7"/>
      <c r="S12" s="37"/>
      <c r="T12" s="37"/>
      <c r="U12" s="38"/>
      <c r="V12" s="2"/>
      <c r="W12" s="2"/>
    </row>
    <row r="13" spans="1:23" ht="17.25" customHeight="1">
      <c r="A13" s="39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7"/>
      <c r="S13" s="37"/>
      <c r="T13" s="37"/>
      <c r="U13" s="38"/>
      <c r="V13" s="2"/>
      <c r="W13" s="2"/>
    </row>
    <row r="14" spans="1:23" ht="17.25" customHeight="1">
      <c r="A14" s="39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7"/>
      <c r="S14" s="37"/>
      <c r="T14" s="37"/>
      <c r="U14" s="38"/>
      <c r="V14" s="2"/>
      <c r="W14" s="2"/>
    </row>
    <row r="15" spans="1:23" ht="17.45" customHeight="1">
      <c r="A15" s="43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7"/>
      <c r="S15" s="37"/>
      <c r="T15" s="37"/>
      <c r="U15" s="38"/>
      <c r="V15" s="2"/>
      <c r="W15" s="2"/>
    </row>
    <row r="16" spans="1:23" ht="17.45" customHeight="1">
      <c r="A16" s="43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7"/>
      <c r="S16" s="37"/>
      <c r="T16" s="37"/>
      <c r="U16" s="38"/>
      <c r="V16" s="2"/>
      <c r="W16" s="2"/>
    </row>
    <row r="17" spans="1:23" ht="17.45" customHeight="1">
      <c r="A17" s="43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7"/>
      <c r="S17" s="37"/>
      <c r="T17" s="37"/>
      <c r="U17" s="38"/>
      <c r="V17" s="2"/>
      <c r="W17" s="2"/>
    </row>
    <row r="18" spans="1:23" ht="17.25" customHeight="1">
      <c r="A18" s="43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7"/>
      <c r="S18" s="37"/>
      <c r="T18" s="37"/>
      <c r="U18" s="38"/>
      <c r="V18" s="2"/>
      <c r="W18" s="2"/>
    </row>
    <row r="19" spans="1:23" ht="17.45" customHeight="1">
      <c r="A19" s="43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7"/>
      <c r="S19" s="37"/>
      <c r="T19" s="37"/>
      <c r="U19" s="38"/>
      <c r="V19" s="2"/>
      <c r="W19" s="2"/>
    </row>
    <row r="20" spans="1:23" ht="17.45" customHeight="1">
      <c r="A20" s="43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7"/>
      <c r="S20" s="37"/>
      <c r="T20" s="37"/>
      <c r="U20" s="38"/>
      <c r="V20" s="2"/>
      <c r="W20" s="2"/>
    </row>
    <row r="21" spans="1:23" ht="17.45" customHeight="1">
      <c r="A21" s="43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7"/>
      <c r="S21" s="37"/>
      <c r="T21" s="37"/>
      <c r="U21" s="38"/>
      <c r="V21" s="2"/>
      <c r="W21" s="2"/>
    </row>
    <row r="22" spans="1:23" ht="17.45" customHeight="1">
      <c r="A22" s="43"/>
      <c r="B22" s="48"/>
      <c r="C22" s="49"/>
      <c r="D22" s="49"/>
      <c r="E22" s="50"/>
      <c r="F22" s="41"/>
      <c r="G22" s="41"/>
      <c r="H22" s="41"/>
      <c r="I22" s="41"/>
      <c r="J22" s="41"/>
      <c r="K22" s="41"/>
      <c r="L22" s="44"/>
      <c r="M22" s="42"/>
      <c r="N22" s="42"/>
      <c r="O22" s="47"/>
      <c r="P22" s="45"/>
      <c r="Q22" s="46"/>
      <c r="R22" s="37"/>
      <c r="S22" s="37"/>
      <c r="T22" s="37"/>
      <c r="U22" s="38"/>
      <c r="V22" s="2"/>
      <c r="W22" s="2"/>
    </row>
    <row r="23" spans="1:23" ht="15" customHeight="1">
      <c r="A23" s="51"/>
      <c r="B23" s="52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2"/>
      <c r="R23" s="51"/>
      <c r="S23" s="52"/>
      <c r="T23" s="53"/>
      <c r="U23" s="52"/>
      <c r="V23" s="2"/>
      <c r="W23" s="2"/>
    </row>
    <row r="24" spans="1:23" ht="15" customHeight="1">
      <c r="A24" s="51"/>
      <c r="B24" s="52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2"/>
      <c r="R24" s="51"/>
      <c r="S24" s="52"/>
      <c r="T24" s="53"/>
      <c r="U24" s="52"/>
      <c r="V24" s="2"/>
      <c r="W24" s="2"/>
    </row>
    <row r="25" spans="1:23" ht="15" customHeight="1">
      <c r="A25" s="51"/>
      <c r="B25" s="52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2"/>
      <c r="R25" s="51"/>
      <c r="S25" s="52"/>
      <c r="T25" s="53"/>
      <c r="U25" s="52"/>
      <c r="V25" s="2"/>
      <c r="W25" s="2"/>
    </row>
    <row r="26" spans="1:23">
      <c r="A26" s="51"/>
      <c r="B26" s="52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2"/>
      <c r="R26" s="51"/>
      <c r="S26" s="52"/>
      <c r="T26" s="53"/>
      <c r="U26" s="54"/>
    </row>
    <row r="27" spans="1:23">
      <c r="A27" s="51"/>
      <c r="B27" s="52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2"/>
      <c r="R27" s="51"/>
      <c r="S27" s="52"/>
      <c r="T27" s="53"/>
      <c r="U27" s="54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24</v>
      </c>
    </row>
    <row r="72" spans="2:2">
      <c r="B72" s="9" t="s">
        <v>26</v>
      </c>
    </row>
    <row r="73" spans="2:2">
      <c r="B73" s="10" t="s">
        <v>30</v>
      </c>
    </row>
    <row r="74" spans="2:2">
      <c r="B74" s="11"/>
    </row>
    <row r="76" spans="2:2">
      <c r="B76" s="8" t="s">
        <v>24</v>
      </c>
    </row>
    <row r="77" spans="2:2">
      <c r="B77" s="9" t="s">
        <v>27</v>
      </c>
    </row>
    <row r="78" spans="2:2">
      <c r="B78" s="10" t="s">
        <v>31</v>
      </c>
    </row>
    <row r="79" spans="2:2">
      <c r="B79" s="11"/>
    </row>
    <row r="81" spans="2:2">
      <c r="B81" s="8" t="s">
        <v>32</v>
      </c>
    </row>
    <row r="82" spans="2:2">
      <c r="B82" s="9" t="s">
        <v>21</v>
      </c>
    </row>
    <row r="83" spans="2:2">
      <c r="B83" s="10" t="s">
        <v>28</v>
      </c>
    </row>
    <row r="84" spans="2:2">
      <c r="B84" s="10" t="s">
        <v>33</v>
      </c>
    </row>
    <row r="85" spans="2:2">
      <c r="B85" s="10" t="s">
        <v>34</v>
      </c>
    </row>
    <row r="86" spans="2:2">
      <c r="B86" s="10" t="s">
        <v>35</v>
      </c>
    </row>
    <row r="87" spans="2:2">
      <c r="B87" s="11" t="s">
        <v>36</v>
      </c>
    </row>
    <row r="88" spans="2:2">
      <c r="B88" s="1"/>
    </row>
    <row r="89" spans="2:2">
      <c r="B89" s="8" t="s">
        <v>37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38</v>
      </c>
    </row>
    <row r="95" spans="2:2">
      <c r="B95" s="14" t="s">
        <v>39</v>
      </c>
    </row>
    <row r="96" spans="2:2">
      <c r="B96" s="14" t="s">
        <v>29</v>
      </c>
    </row>
    <row r="97" spans="2:2">
      <c r="B97" s="15" t="s">
        <v>40</v>
      </c>
    </row>
    <row r="98" spans="2:2">
      <c r="B98" s="1"/>
    </row>
    <row r="99" spans="2:2">
      <c r="B99" s="8" t="s">
        <v>25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41</v>
      </c>
    </row>
    <row r="111" spans="2:2">
      <c r="B111" s="9" t="s">
        <v>42</v>
      </c>
    </row>
    <row r="112" spans="2:2">
      <c r="B112" s="10" t="s">
        <v>43</v>
      </c>
    </row>
    <row r="113" spans="2:2">
      <c r="B113" s="10" t="s">
        <v>44</v>
      </c>
    </row>
    <row r="114" spans="2:2">
      <c r="B114" s="11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H15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12"/>
    </sheetView>
  </sheetViews>
  <sheetFormatPr baseColWidth="10" defaultColWidth="11" defaultRowHeight="14.25" customHeight="1"/>
  <cols>
    <col min="1" max="1" width="5.5" customWidth="1"/>
    <col min="2" max="2" width="8.375" customWidth="1"/>
    <col min="3" max="3" width="7.375" customWidth="1"/>
    <col min="4" max="4" width="5.375" customWidth="1"/>
    <col min="5" max="5" width="12.75" customWidth="1"/>
    <col min="6" max="6" width="11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D1" s="171" t="s">
        <v>18</v>
      </c>
      <c r="E1" s="171"/>
      <c r="F1" s="171"/>
      <c r="G1" s="171"/>
      <c r="H1" s="171"/>
      <c r="I1" s="171"/>
      <c r="J1" s="171"/>
      <c r="K1" s="171"/>
      <c r="L1" s="171"/>
      <c r="M1" s="145"/>
      <c r="N1" s="7"/>
      <c r="O1" s="179"/>
      <c r="P1" s="179"/>
      <c r="Q1" s="179"/>
      <c r="R1" s="179"/>
      <c r="S1" s="179"/>
      <c r="T1" s="179"/>
      <c r="U1" s="179"/>
      <c r="V1" s="179"/>
      <c r="W1" s="179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4" ht="27.75" thickBot="1">
      <c r="D2" s="171" t="s">
        <v>19</v>
      </c>
      <c r="E2" s="171"/>
      <c r="F2" s="171"/>
      <c r="G2" s="171"/>
      <c r="H2" s="171"/>
      <c r="I2" s="171"/>
      <c r="J2" s="171"/>
      <c r="K2" s="171"/>
      <c r="L2" s="171"/>
      <c r="M2" s="146"/>
      <c r="N2" s="180" t="s">
        <v>102</v>
      </c>
      <c r="O2" s="181"/>
      <c r="P2" s="177" t="s">
        <v>103</v>
      </c>
      <c r="Q2" s="177"/>
      <c r="R2" s="177"/>
      <c r="S2" s="177"/>
      <c r="T2" s="177"/>
      <c r="U2" s="178"/>
      <c r="V2" s="182" t="s">
        <v>102</v>
      </c>
      <c r="W2" s="177"/>
      <c r="X2" s="189" t="s">
        <v>79</v>
      </c>
      <c r="Y2" s="190"/>
      <c r="Z2" s="190"/>
      <c r="AA2" s="190"/>
      <c r="AB2" s="188" t="s">
        <v>78</v>
      </c>
      <c r="AC2" s="188"/>
      <c r="AD2" s="191" t="s">
        <v>80</v>
      </c>
      <c r="AE2" s="191"/>
      <c r="AF2" s="191"/>
      <c r="AG2" s="191"/>
      <c r="AH2" s="192"/>
    </row>
    <row r="3" spans="1:34" ht="25.5">
      <c r="D3" s="172" t="s">
        <v>112</v>
      </c>
      <c r="E3" s="172"/>
      <c r="F3" s="172"/>
      <c r="G3" s="172"/>
      <c r="H3" s="172"/>
      <c r="I3" s="172"/>
      <c r="J3" s="172"/>
      <c r="K3" s="172"/>
      <c r="L3" s="172"/>
      <c r="M3" s="146"/>
      <c r="N3" s="185" t="s">
        <v>104</v>
      </c>
      <c r="O3" s="186"/>
      <c r="P3" s="173" t="s">
        <v>65</v>
      </c>
      <c r="Q3" s="174"/>
      <c r="R3" s="173" t="s">
        <v>88</v>
      </c>
      <c r="S3" s="174"/>
      <c r="T3" s="175" t="s">
        <v>87</v>
      </c>
      <c r="U3" s="176"/>
      <c r="V3" s="183" t="s">
        <v>86</v>
      </c>
      <c r="W3" s="184"/>
      <c r="X3" s="193" t="s">
        <v>75</v>
      </c>
      <c r="Y3" s="194"/>
      <c r="Z3" s="147" t="s">
        <v>76</v>
      </c>
      <c r="AA3" s="147" t="s">
        <v>70</v>
      </c>
      <c r="AB3" s="148" t="s">
        <v>72</v>
      </c>
      <c r="AC3" s="148" t="s">
        <v>74</v>
      </c>
      <c r="AD3" s="187" t="s">
        <v>77</v>
      </c>
      <c r="AE3" s="187"/>
      <c r="AF3" s="187" t="s">
        <v>76</v>
      </c>
      <c r="AG3" s="187"/>
      <c r="AH3" s="149" t="s">
        <v>70</v>
      </c>
    </row>
    <row r="4" spans="1:34" ht="30">
      <c r="A4" s="150" t="s">
        <v>24</v>
      </c>
      <c r="B4" s="150" t="s">
        <v>105</v>
      </c>
      <c r="C4" s="150" t="s">
        <v>106</v>
      </c>
      <c r="D4" s="150" t="s">
        <v>20</v>
      </c>
      <c r="E4" s="150" t="s">
        <v>1</v>
      </c>
      <c r="F4" s="150" t="s">
        <v>107</v>
      </c>
      <c r="G4" s="150" t="s">
        <v>5</v>
      </c>
      <c r="H4" s="150" t="s">
        <v>108</v>
      </c>
      <c r="I4" s="150" t="s">
        <v>57</v>
      </c>
      <c r="J4" s="150" t="s">
        <v>109</v>
      </c>
      <c r="K4" s="150" t="s">
        <v>22</v>
      </c>
      <c r="L4" s="150" t="s">
        <v>23</v>
      </c>
      <c r="M4" s="150" t="s">
        <v>110</v>
      </c>
      <c r="N4" s="151" t="s">
        <v>17</v>
      </c>
      <c r="O4" s="151" t="s">
        <v>2</v>
      </c>
      <c r="P4" s="151" t="s">
        <v>17</v>
      </c>
      <c r="Q4" s="151" t="s">
        <v>2</v>
      </c>
      <c r="R4" s="151" t="s">
        <v>17</v>
      </c>
      <c r="S4" s="151" t="s">
        <v>2</v>
      </c>
      <c r="T4" s="151" t="s">
        <v>17</v>
      </c>
      <c r="U4" s="151" t="s">
        <v>2</v>
      </c>
      <c r="V4" s="151" t="s">
        <v>17</v>
      </c>
      <c r="W4" s="151" t="s">
        <v>2</v>
      </c>
      <c r="X4" s="152" t="s">
        <v>81</v>
      </c>
      <c r="Y4" s="152" t="s">
        <v>82</v>
      </c>
      <c r="Z4" s="152" t="s">
        <v>81</v>
      </c>
      <c r="AA4" s="152" t="s">
        <v>71</v>
      </c>
      <c r="AB4" s="153" t="s">
        <v>73</v>
      </c>
      <c r="AC4" s="153" t="s">
        <v>83</v>
      </c>
      <c r="AD4" s="154" t="s">
        <v>81</v>
      </c>
      <c r="AE4" s="154" t="s">
        <v>82</v>
      </c>
      <c r="AF4" s="154" t="s">
        <v>81</v>
      </c>
      <c r="AG4" s="154" t="s">
        <v>84</v>
      </c>
      <c r="AH4" s="154" t="s">
        <v>71</v>
      </c>
    </row>
    <row r="5" spans="1:34" ht="15.75">
      <c r="A5" s="155" t="s">
        <v>111</v>
      </c>
      <c r="B5" s="156">
        <v>133.85</v>
      </c>
      <c r="C5" s="156">
        <v>16.47</v>
      </c>
      <c r="D5" s="155" t="s">
        <v>21</v>
      </c>
      <c r="E5" s="157">
        <v>43673</v>
      </c>
      <c r="F5" s="158" t="s">
        <v>97</v>
      </c>
      <c r="G5" s="20">
        <v>9586</v>
      </c>
      <c r="H5" s="19">
        <v>91341</v>
      </c>
      <c r="I5" s="19">
        <v>3671456</v>
      </c>
      <c r="J5" s="159">
        <v>364</v>
      </c>
      <c r="K5" s="19">
        <v>54</v>
      </c>
      <c r="L5" s="125">
        <v>4.53</v>
      </c>
      <c r="M5" s="20">
        <v>1</v>
      </c>
      <c r="N5" s="144">
        <v>88</v>
      </c>
      <c r="O5" s="21">
        <v>103.3</v>
      </c>
      <c r="P5" s="21"/>
      <c r="Q5" s="21"/>
      <c r="R5" s="21"/>
      <c r="S5" s="21"/>
      <c r="T5" s="21"/>
      <c r="U5" s="21"/>
      <c r="V5" s="20"/>
      <c r="W5" s="144"/>
      <c r="X5" s="160">
        <v>880</v>
      </c>
      <c r="Y5" s="160">
        <v>800</v>
      </c>
      <c r="Z5" s="161">
        <v>930</v>
      </c>
      <c r="AA5" s="161">
        <v>130</v>
      </c>
      <c r="AB5" s="162">
        <v>0.13</v>
      </c>
      <c r="AC5" s="161">
        <v>1600</v>
      </c>
      <c r="AD5" s="156">
        <v>705</v>
      </c>
      <c r="AE5" s="156">
        <v>630</v>
      </c>
      <c r="AF5" s="156">
        <v>705</v>
      </c>
      <c r="AG5" s="156">
        <v>705</v>
      </c>
      <c r="AH5" s="161">
        <v>130</v>
      </c>
    </row>
    <row r="6" spans="1:34" ht="15.75">
      <c r="A6" s="155" t="s">
        <v>111</v>
      </c>
      <c r="B6" s="156">
        <v>133.85</v>
      </c>
      <c r="C6" s="156">
        <v>16.47</v>
      </c>
      <c r="D6" s="155" t="s">
        <v>21</v>
      </c>
      <c r="E6" s="157">
        <v>43673</v>
      </c>
      <c r="F6" s="158" t="s">
        <v>97</v>
      </c>
      <c r="G6" s="20">
        <v>9586</v>
      </c>
      <c r="H6" s="19">
        <v>91341</v>
      </c>
      <c r="I6" s="19">
        <v>3671456</v>
      </c>
      <c r="J6" s="159">
        <v>364</v>
      </c>
      <c r="K6" s="19">
        <v>54</v>
      </c>
      <c r="L6" s="125">
        <v>4.53</v>
      </c>
      <c r="M6" s="20">
        <v>12</v>
      </c>
      <c r="N6" s="144"/>
      <c r="O6" s="21"/>
      <c r="P6" s="21"/>
      <c r="Q6" s="21"/>
      <c r="R6" s="21"/>
      <c r="S6" s="21"/>
      <c r="T6" s="21"/>
      <c r="U6" s="21"/>
      <c r="V6" s="20">
        <v>89.2</v>
      </c>
      <c r="W6" s="144">
        <v>105</v>
      </c>
      <c r="X6" s="160">
        <v>880</v>
      </c>
      <c r="Y6" s="160">
        <v>800</v>
      </c>
      <c r="Z6" s="161">
        <v>930</v>
      </c>
      <c r="AA6" s="161">
        <v>130</v>
      </c>
      <c r="AB6" s="162">
        <v>0.13</v>
      </c>
      <c r="AC6" s="161">
        <v>1600</v>
      </c>
      <c r="AD6" s="156">
        <v>705</v>
      </c>
      <c r="AE6" s="156">
        <v>630</v>
      </c>
      <c r="AF6" s="156">
        <v>705</v>
      </c>
      <c r="AG6" s="156">
        <v>705</v>
      </c>
      <c r="AH6" s="161">
        <v>130</v>
      </c>
    </row>
    <row r="7" spans="1:34" ht="15.75">
      <c r="A7" s="155" t="s">
        <v>111</v>
      </c>
      <c r="B7" s="156">
        <v>133.85</v>
      </c>
      <c r="C7" s="156">
        <v>16.47</v>
      </c>
      <c r="D7" s="155" t="s">
        <v>21</v>
      </c>
      <c r="E7" s="157">
        <v>43673</v>
      </c>
      <c r="F7" s="158" t="s">
        <v>97</v>
      </c>
      <c r="G7" s="20">
        <v>9587</v>
      </c>
      <c r="H7" s="19">
        <v>91340</v>
      </c>
      <c r="I7" s="19">
        <v>3671456</v>
      </c>
      <c r="J7" s="159">
        <v>364</v>
      </c>
      <c r="K7" s="19">
        <v>54</v>
      </c>
      <c r="L7" s="125">
        <v>4.09</v>
      </c>
      <c r="M7" s="20">
        <v>1</v>
      </c>
      <c r="N7" s="144"/>
      <c r="O7" s="21"/>
      <c r="P7" s="21"/>
      <c r="Q7" s="21"/>
      <c r="R7" s="21"/>
      <c r="S7" s="21"/>
      <c r="T7" s="21"/>
      <c r="U7" s="21"/>
      <c r="V7" s="20">
        <v>91.6</v>
      </c>
      <c r="W7" s="144">
        <v>107.1</v>
      </c>
      <c r="X7" s="160">
        <v>880</v>
      </c>
      <c r="Y7" s="160">
        <v>800</v>
      </c>
      <c r="Z7" s="161">
        <v>930</v>
      </c>
      <c r="AA7" s="161">
        <v>130</v>
      </c>
      <c r="AB7" s="162">
        <v>0.13</v>
      </c>
      <c r="AC7" s="161">
        <v>1600</v>
      </c>
      <c r="AD7" s="156">
        <v>705</v>
      </c>
      <c r="AE7" s="156">
        <v>630</v>
      </c>
      <c r="AF7" s="156">
        <v>705</v>
      </c>
      <c r="AG7" s="156">
        <v>705</v>
      </c>
      <c r="AH7" s="161">
        <v>130</v>
      </c>
    </row>
    <row r="8" spans="1:34" ht="15.75">
      <c r="A8" s="155" t="s">
        <v>111</v>
      </c>
      <c r="B8" s="156">
        <v>133.85</v>
      </c>
      <c r="C8" s="156">
        <v>16.47</v>
      </c>
      <c r="D8" s="155" t="s">
        <v>21</v>
      </c>
      <c r="E8" s="157">
        <v>43673</v>
      </c>
      <c r="F8" s="158" t="s">
        <v>97</v>
      </c>
      <c r="G8" s="20">
        <v>9587</v>
      </c>
      <c r="H8" s="19">
        <v>91340</v>
      </c>
      <c r="I8" s="19">
        <v>3671456</v>
      </c>
      <c r="J8" s="159">
        <v>364</v>
      </c>
      <c r="K8" s="19">
        <v>54</v>
      </c>
      <c r="L8" s="125">
        <v>4.09</v>
      </c>
      <c r="M8" s="20">
        <v>9</v>
      </c>
      <c r="N8" s="144">
        <v>90.9</v>
      </c>
      <c r="O8" s="21">
        <v>105.2</v>
      </c>
      <c r="P8" s="21"/>
      <c r="Q8" s="21"/>
      <c r="R8" s="21"/>
      <c r="S8" s="21"/>
      <c r="T8" s="21"/>
      <c r="U8" s="21"/>
      <c r="V8" s="144"/>
      <c r="W8" s="144"/>
      <c r="X8" s="160">
        <v>880</v>
      </c>
      <c r="Y8" s="160">
        <v>800</v>
      </c>
      <c r="Z8" s="161">
        <v>930</v>
      </c>
      <c r="AA8" s="161">
        <v>130</v>
      </c>
      <c r="AB8" s="162">
        <v>0.13</v>
      </c>
      <c r="AC8" s="161">
        <v>1600</v>
      </c>
      <c r="AD8" s="156">
        <v>705</v>
      </c>
      <c r="AE8" s="156">
        <v>630</v>
      </c>
      <c r="AF8" s="156">
        <v>705</v>
      </c>
      <c r="AG8" s="156">
        <v>705</v>
      </c>
      <c r="AH8" s="161">
        <v>130</v>
      </c>
    </row>
    <row r="9" spans="1:34" ht="15.75">
      <c r="A9" s="155" t="s">
        <v>111</v>
      </c>
      <c r="B9" s="156">
        <v>133.85</v>
      </c>
      <c r="C9" s="156">
        <v>16.47</v>
      </c>
      <c r="D9" s="155" t="s">
        <v>21</v>
      </c>
      <c r="E9" s="157">
        <v>43683</v>
      </c>
      <c r="F9" s="158" t="s">
        <v>97</v>
      </c>
      <c r="G9" s="20">
        <v>9725</v>
      </c>
      <c r="H9" s="19">
        <v>91341</v>
      </c>
      <c r="I9" s="19">
        <v>3671456</v>
      </c>
      <c r="J9" s="159">
        <v>364</v>
      </c>
      <c r="K9" s="19">
        <v>54</v>
      </c>
      <c r="L9" s="20">
        <v>4.53</v>
      </c>
      <c r="M9" s="20">
        <v>18</v>
      </c>
      <c r="N9" s="144">
        <v>90.6</v>
      </c>
      <c r="O9" s="21">
        <v>104.3</v>
      </c>
      <c r="P9" s="21"/>
      <c r="Q9" s="21"/>
      <c r="R9" s="21"/>
      <c r="S9" s="21"/>
      <c r="T9" s="21"/>
      <c r="U9" s="21"/>
      <c r="V9" s="20"/>
      <c r="W9" s="144"/>
      <c r="X9" s="160">
        <v>880</v>
      </c>
      <c r="Y9" s="160">
        <v>800</v>
      </c>
      <c r="Z9" s="161">
        <v>930</v>
      </c>
      <c r="AA9" s="161">
        <v>130</v>
      </c>
      <c r="AB9" s="162">
        <v>0.13</v>
      </c>
      <c r="AC9" s="161">
        <v>1600</v>
      </c>
      <c r="AD9" s="156">
        <v>705</v>
      </c>
      <c r="AE9" s="156">
        <v>630</v>
      </c>
      <c r="AF9" s="156">
        <v>705</v>
      </c>
      <c r="AG9" s="156">
        <v>705</v>
      </c>
      <c r="AH9" s="161">
        <v>130</v>
      </c>
    </row>
    <row r="10" spans="1:34" ht="15.75">
      <c r="A10" s="155" t="s">
        <v>111</v>
      </c>
      <c r="B10" s="156">
        <v>133.85</v>
      </c>
      <c r="C10" s="156">
        <v>16.47</v>
      </c>
      <c r="D10" s="155" t="s">
        <v>21</v>
      </c>
      <c r="E10" s="157">
        <v>43683</v>
      </c>
      <c r="F10" s="158" t="s">
        <v>97</v>
      </c>
      <c r="G10" s="20">
        <v>9725</v>
      </c>
      <c r="H10" s="19">
        <v>91341</v>
      </c>
      <c r="I10" s="19">
        <v>3671456</v>
      </c>
      <c r="J10" s="159">
        <v>364</v>
      </c>
      <c r="K10" s="19">
        <v>54</v>
      </c>
      <c r="L10" s="20">
        <v>4.53</v>
      </c>
      <c r="M10" s="20">
        <v>56</v>
      </c>
      <c r="N10" s="144"/>
      <c r="O10" s="21"/>
      <c r="P10" s="21"/>
      <c r="Q10" s="21"/>
      <c r="R10" s="21"/>
      <c r="S10" s="21"/>
      <c r="T10" s="21"/>
      <c r="U10" s="21"/>
      <c r="V10" s="144">
        <v>86</v>
      </c>
      <c r="W10" s="144">
        <v>106.5</v>
      </c>
      <c r="X10" s="160">
        <v>880</v>
      </c>
      <c r="Y10" s="160">
        <v>800</v>
      </c>
      <c r="Z10" s="161">
        <v>930</v>
      </c>
      <c r="AA10" s="161">
        <v>130</v>
      </c>
      <c r="AB10" s="162">
        <v>0.13</v>
      </c>
      <c r="AC10" s="161">
        <v>1600</v>
      </c>
      <c r="AD10" s="156">
        <v>705</v>
      </c>
      <c r="AE10" s="156">
        <v>630</v>
      </c>
      <c r="AF10" s="156">
        <v>705</v>
      </c>
      <c r="AG10" s="156">
        <v>705</v>
      </c>
      <c r="AH10" s="161">
        <v>130</v>
      </c>
    </row>
    <row r="11" spans="1:34" ht="15.75">
      <c r="A11" s="155" t="s">
        <v>111</v>
      </c>
      <c r="B11" s="156">
        <v>133.85</v>
      </c>
      <c r="C11" s="156">
        <v>16.47</v>
      </c>
      <c r="D11" s="155" t="s">
        <v>21</v>
      </c>
      <c r="E11" s="157">
        <v>43683</v>
      </c>
      <c r="F11" s="158" t="s">
        <v>97</v>
      </c>
      <c r="G11" s="20">
        <v>9726</v>
      </c>
      <c r="H11" s="19">
        <v>91340</v>
      </c>
      <c r="I11" s="19">
        <v>3671456</v>
      </c>
      <c r="J11" s="159">
        <v>364</v>
      </c>
      <c r="K11" s="19">
        <v>54</v>
      </c>
      <c r="L11" s="125">
        <v>4.09</v>
      </c>
      <c r="M11" s="20">
        <v>17</v>
      </c>
      <c r="N11" s="144"/>
      <c r="O11" s="21"/>
      <c r="P11" s="21"/>
      <c r="Q11" s="21"/>
      <c r="R11" s="21"/>
      <c r="S11" s="21"/>
      <c r="T11" s="21"/>
      <c r="U11" s="21"/>
      <c r="V11" s="163">
        <v>94.7</v>
      </c>
      <c r="W11" s="144">
        <v>108.3</v>
      </c>
      <c r="X11" s="160">
        <v>880</v>
      </c>
      <c r="Y11" s="160">
        <v>800</v>
      </c>
      <c r="Z11" s="161">
        <v>930</v>
      </c>
      <c r="AA11" s="161">
        <v>130</v>
      </c>
      <c r="AB11" s="162">
        <v>0.13</v>
      </c>
      <c r="AC11" s="161">
        <v>1600</v>
      </c>
      <c r="AD11" s="156">
        <v>705</v>
      </c>
      <c r="AE11" s="156">
        <v>630</v>
      </c>
      <c r="AF11" s="156">
        <v>705</v>
      </c>
      <c r="AG11" s="156">
        <v>705</v>
      </c>
      <c r="AH11" s="161">
        <v>130</v>
      </c>
    </row>
    <row r="12" spans="1:34" ht="15.75">
      <c r="A12" s="155" t="s">
        <v>111</v>
      </c>
      <c r="B12" s="156">
        <v>133.85</v>
      </c>
      <c r="C12" s="156">
        <v>16.47</v>
      </c>
      <c r="D12" s="155" t="s">
        <v>21</v>
      </c>
      <c r="E12" s="157">
        <v>43683</v>
      </c>
      <c r="F12" s="158" t="s">
        <v>97</v>
      </c>
      <c r="G12" s="20">
        <v>9726</v>
      </c>
      <c r="H12" s="169">
        <v>91340</v>
      </c>
      <c r="I12" s="19">
        <v>3671456</v>
      </c>
      <c r="J12" s="159">
        <v>364</v>
      </c>
      <c r="K12" s="19">
        <v>54</v>
      </c>
      <c r="L12" s="125">
        <v>4.09</v>
      </c>
      <c r="M12" s="20">
        <v>30</v>
      </c>
      <c r="N12" s="144">
        <v>91.3</v>
      </c>
      <c r="O12" s="21">
        <v>107.4</v>
      </c>
      <c r="P12" s="21"/>
      <c r="Q12" s="21"/>
      <c r="R12" s="21"/>
      <c r="S12" s="21"/>
      <c r="T12" s="21"/>
      <c r="U12" s="21"/>
      <c r="V12" s="144"/>
      <c r="W12" s="144"/>
      <c r="X12" s="160">
        <v>880</v>
      </c>
      <c r="Y12" s="160">
        <v>800</v>
      </c>
      <c r="Z12" s="161">
        <v>930</v>
      </c>
      <c r="AA12" s="161">
        <v>130</v>
      </c>
      <c r="AB12" s="162">
        <v>0.13</v>
      </c>
      <c r="AC12" s="161">
        <v>1600</v>
      </c>
      <c r="AD12" s="156">
        <v>705</v>
      </c>
      <c r="AE12" s="156">
        <v>630</v>
      </c>
      <c r="AF12" s="156">
        <v>705</v>
      </c>
      <c r="AG12" s="156">
        <v>705</v>
      </c>
      <c r="AH12" s="161">
        <v>130</v>
      </c>
    </row>
    <row r="13" spans="1:34" ht="15">
      <c r="A13" s="164"/>
      <c r="B13" s="164"/>
      <c r="C13" s="164"/>
      <c r="D13" s="164"/>
      <c r="E13" s="165"/>
      <c r="F13" s="165"/>
      <c r="G13" s="20"/>
      <c r="H13" s="19"/>
      <c r="I13" s="166"/>
      <c r="J13" s="167"/>
      <c r="K13" s="19"/>
      <c r="L13" s="20"/>
      <c r="M13" s="20"/>
      <c r="N13" s="144"/>
      <c r="O13" s="21"/>
      <c r="P13" s="21"/>
      <c r="Q13" s="21"/>
      <c r="R13" s="21"/>
      <c r="S13" s="21"/>
      <c r="T13" s="21"/>
      <c r="U13" s="21"/>
      <c r="V13" s="144"/>
      <c r="W13" s="144"/>
      <c r="X13" s="160"/>
      <c r="Y13" s="160"/>
      <c r="Z13" s="161"/>
      <c r="AA13" s="161"/>
      <c r="AB13" s="162"/>
      <c r="AC13" s="161"/>
      <c r="AD13" s="161"/>
      <c r="AE13" s="161"/>
      <c r="AF13" s="161"/>
      <c r="AG13" s="161"/>
      <c r="AH13" s="161"/>
    </row>
    <row r="14" spans="1:34" ht="15">
      <c r="A14" s="164"/>
      <c r="B14" s="164"/>
      <c r="C14" s="164"/>
      <c r="D14" s="164"/>
      <c r="E14" s="165"/>
      <c r="F14" s="165"/>
      <c r="G14" s="20"/>
      <c r="H14" s="19"/>
      <c r="I14" s="166"/>
      <c r="J14" s="167"/>
      <c r="K14" s="19"/>
      <c r="L14" s="20"/>
      <c r="M14" s="20"/>
      <c r="N14" s="144"/>
      <c r="O14" s="21"/>
      <c r="P14" s="21"/>
      <c r="Q14" s="21"/>
      <c r="R14" s="21"/>
      <c r="S14" s="21"/>
      <c r="T14" s="21"/>
      <c r="U14" s="21"/>
      <c r="V14" s="20"/>
      <c r="W14" s="144"/>
      <c r="X14" s="160"/>
      <c r="Y14" s="160"/>
      <c r="Z14" s="161"/>
      <c r="AA14" s="161"/>
      <c r="AB14" s="162"/>
      <c r="AC14" s="161"/>
      <c r="AD14" s="161"/>
      <c r="AE14" s="161"/>
      <c r="AF14" s="161"/>
      <c r="AG14" s="161"/>
      <c r="AH14" s="161"/>
    </row>
    <row r="15" spans="1:34" ht="15">
      <c r="A15" s="164"/>
      <c r="B15" s="164"/>
      <c r="C15" s="164"/>
      <c r="D15" s="164"/>
      <c r="E15" s="158"/>
      <c r="F15" s="158"/>
      <c r="G15" s="20"/>
      <c r="H15" s="19"/>
      <c r="I15" s="19"/>
      <c r="J15" s="159"/>
      <c r="K15" s="19"/>
      <c r="L15" s="20"/>
      <c r="M15" s="20"/>
      <c r="N15" s="144"/>
      <c r="O15" s="21"/>
      <c r="P15" s="21"/>
      <c r="Q15" s="21"/>
      <c r="R15" s="21"/>
      <c r="S15" s="21"/>
      <c r="T15" s="21"/>
      <c r="U15" s="21"/>
      <c r="V15" s="20"/>
      <c r="W15" s="144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</row>
  </sheetData>
  <protectedRanges>
    <protectedRange sqref="H5:I1178 K5:K1178" name="Rango1_1"/>
    <protectedRange sqref="E5:E12" name="Rango1_1_1"/>
  </protectedRanges>
  <autoFilter ref="A4:AH4" xr:uid="{00000000-0001-0000-0100-000000000000}"/>
  <mergeCells count="18">
    <mergeCell ref="AF3:AG3"/>
    <mergeCell ref="AD3:AE3"/>
    <mergeCell ref="AB2:AC2"/>
    <mergeCell ref="X2:AA2"/>
    <mergeCell ref="AD2:AH2"/>
    <mergeCell ref="X3:Y3"/>
    <mergeCell ref="D1:L1"/>
    <mergeCell ref="D2:L2"/>
    <mergeCell ref="D3:L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F5:F12">
    <cfRule type="expression" dxfId="30" priority="109" stopIfTrue="1">
      <formula>"SEVERSTAL"</formula>
    </cfRule>
  </conditionalFormatting>
  <conditionalFormatting sqref="H15:I15 K13 H5:I8 I9:I12 H11:H13 K5:K10 K15">
    <cfRule type="cellIs" dxfId="29" priority="110" stopIfTrue="1" operator="equal">
      <formula>"APROBADO"</formula>
    </cfRule>
    <cfRule type="cellIs" dxfId="28" priority="111" stopIfTrue="1" operator="equal">
      <formula>"ESPERA"</formula>
    </cfRule>
    <cfRule type="cellIs" dxfId="27" priority="112" stopIfTrue="1" operator="equal">
      <formula>"RECHAZADO"</formula>
    </cfRule>
  </conditionalFormatting>
  <conditionalFormatting sqref="E15:F15">
    <cfRule type="expression" dxfId="26" priority="50" stopIfTrue="1">
      <formula>"SEVERSTAL"</formula>
    </cfRule>
  </conditionalFormatting>
  <conditionalFormatting sqref="E14:F14">
    <cfRule type="expression" dxfId="25" priority="13" stopIfTrue="1">
      <formula>"SEVERSTAL"</formula>
    </cfRule>
  </conditionalFormatting>
  <conditionalFormatting sqref="H14:I14 K14">
    <cfRule type="cellIs" dxfId="24" priority="14" stopIfTrue="1" operator="equal">
      <formula>"APROBADO"</formula>
    </cfRule>
    <cfRule type="cellIs" dxfId="23" priority="15" stopIfTrue="1" operator="equal">
      <formula>"ESPERA"</formula>
    </cfRule>
    <cfRule type="cellIs" dxfId="22" priority="16" stopIfTrue="1" operator="equal">
      <formula>"RECHAZADO"</formula>
    </cfRule>
  </conditionalFormatting>
  <conditionalFormatting sqref="E13:F13">
    <cfRule type="expression" dxfId="21" priority="9" stopIfTrue="1">
      <formula>"SEVERSTAL"</formula>
    </cfRule>
  </conditionalFormatting>
  <conditionalFormatting sqref="I13 H9:H10">
    <cfRule type="cellIs" dxfId="20" priority="10" stopIfTrue="1" operator="equal">
      <formula>"APROBADO"</formula>
    </cfRule>
    <cfRule type="cellIs" dxfId="19" priority="11" stopIfTrue="1" operator="equal">
      <formula>"ESPERA"</formula>
    </cfRule>
    <cfRule type="cellIs" dxfId="18" priority="12" stopIfTrue="1" operator="equal">
      <formula>"RECHAZADO"</formula>
    </cfRule>
  </conditionalFormatting>
  <conditionalFormatting sqref="E5:E12">
    <cfRule type="expression" dxfId="17" priority="4" stopIfTrue="1">
      <formula>"SEVERSTAL"</formula>
    </cfRule>
  </conditionalFormatting>
  <conditionalFormatting sqref="K11:K12">
    <cfRule type="cellIs" dxfId="16" priority="1" stopIfTrue="1" operator="equal">
      <formula>"APROBADO"</formula>
    </cfRule>
    <cfRule type="cellIs" dxfId="15" priority="2" stopIfTrue="1" operator="equal">
      <formula>"ESPERA"</formula>
    </cfRule>
    <cfRule type="cellIs" dxfId="1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29"/>
  <sheetViews>
    <sheetView showGridLines="0" zoomScale="90" zoomScaleNormal="90" workbookViewId="0">
      <pane xSplit="7" ySplit="5" topLeftCell="H6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9" width="5.75" customWidth="1"/>
    <col min="10" max="10" width="6.625" customWidth="1"/>
    <col min="11" max="11" width="8.125" customWidth="1"/>
    <col min="12" max="12" width="5.75" customWidth="1"/>
    <col min="13" max="13" width="5.875" customWidth="1"/>
    <col min="14" max="14" width="5.75" customWidth="1"/>
    <col min="15" max="15" width="7.875" customWidth="1"/>
    <col min="16" max="16" width="6.625" customWidth="1"/>
    <col min="17" max="17" width="5.75" customWidth="1"/>
    <col min="18" max="19" width="5.625" customWidth="1"/>
    <col min="20" max="20" width="5.75" customWidth="1"/>
    <col min="21" max="21" width="6.625" customWidth="1"/>
    <col min="22" max="22" width="6.75" customWidth="1"/>
    <col min="23" max="23" width="10.25" customWidth="1"/>
    <col min="24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54</v>
      </c>
      <c r="H1" s="119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20"/>
      <c r="I2" s="27"/>
      <c r="J2" s="28" t="s">
        <v>99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28"/>
      <c r="AB2" s="129"/>
      <c r="AC2" s="129"/>
      <c r="AD2" s="130" t="s">
        <v>91</v>
      </c>
      <c r="AE2" s="130" t="s">
        <v>92</v>
      </c>
      <c r="AF2" s="130" t="s">
        <v>93</v>
      </c>
      <c r="AG2" s="131" t="s">
        <v>94</v>
      </c>
    </row>
    <row r="3" spans="1:33" ht="26.25" customHeight="1">
      <c r="A3" s="24"/>
      <c r="B3" s="24"/>
      <c r="C3" s="24"/>
      <c r="D3" s="24"/>
      <c r="E3" s="24"/>
      <c r="F3" s="29"/>
      <c r="G3" s="24"/>
      <c r="H3" s="122"/>
      <c r="I3" s="196" t="s">
        <v>55</v>
      </c>
      <c r="J3" s="196"/>
      <c r="K3" s="196"/>
      <c r="L3" s="196"/>
      <c r="M3" s="196"/>
      <c r="N3" s="196"/>
      <c r="O3" s="196"/>
      <c r="P3" s="195" t="s">
        <v>56</v>
      </c>
      <c r="Q3" s="195"/>
      <c r="R3" s="195"/>
      <c r="S3" s="195"/>
      <c r="T3" s="195"/>
      <c r="U3" s="195"/>
      <c r="V3" s="109"/>
      <c r="W3" s="23"/>
      <c r="X3" s="23"/>
      <c r="Y3" s="23"/>
      <c r="Z3" s="23"/>
      <c r="AA3" s="132"/>
      <c r="AB3" s="132"/>
      <c r="AC3" s="133" t="s">
        <v>95</v>
      </c>
      <c r="AD3" s="134">
        <v>150</v>
      </c>
      <c r="AE3" s="135">
        <f>22*AD3/60</f>
        <v>55</v>
      </c>
      <c r="AF3" s="135">
        <f>3600/AD3</f>
        <v>24</v>
      </c>
      <c r="AG3" s="136">
        <f>AF3*8</f>
        <v>192</v>
      </c>
    </row>
    <row r="4" spans="1:33" ht="21" customHeight="1">
      <c r="A4" s="30"/>
      <c r="B4" s="24"/>
      <c r="C4" s="24"/>
      <c r="D4" s="24"/>
      <c r="E4" s="24"/>
      <c r="F4" s="31"/>
      <c r="G4" s="32"/>
      <c r="H4" s="121"/>
      <c r="I4" s="198" t="s">
        <v>8</v>
      </c>
      <c r="J4" s="199"/>
      <c r="K4" s="197" t="s">
        <v>9</v>
      </c>
      <c r="L4" s="198"/>
      <c r="M4" s="198"/>
      <c r="N4" s="198"/>
      <c r="O4" s="199"/>
      <c r="P4" s="197" t="s">
        <v>13</v>
      </c>
      <c r="Q4" s="199"/>
      <c r="R4" s="197" t="s">
        <v>9</v>
      </c>
      <c r="S4" s="198"/>
      <c r="T4" s="198"/>
      <c r="U4" s="198"/>
      <c r="V4" s="110"/>
      <c r="W4" s="33"/>
      <c r="X4" s="23"/>
      <c r="Y4" s="23"/>
      <c r="Z4" s="23"/>
      <c r="AA4" s="132"/>
      <c r="AB4" s="132"/>
      <c r="AC4" s="133" t="s">
        <v>96</v>
      </c>
      <c r="AD4" s="134">
        <f>AD3</f>
        <v>150</v>
      </c>
      <c r="AE4" s="135">
        <f>34*AD4/60</f>
        <v>85</v>
      </c>
      <c r="AF4" s="135">
        <f>3600/AD4</f>
        <v>24</v>
      </c>
      <c r="AG4" s="136">
        <f>AF4*8</f>
        <v>192</v>
      </c>
    </row>
    <row r="5" spans="1:33" ht="56.25" customHeight="1">
      <c r="A5" s="22" t="s">
        <v>1</v>
      </c>
      <c r="B5" s="22" t="s">
        <v>4</v>
      </c>
      <c r="C5" s="22" t="s">
        <v>57</v>
      </c>
      <c r="D5" s="22" t="s">
        <v>107</v>
      </c>
      <c r="E5" s="22" t="s">
        <v>3</v>
      </c>
      <c r="F5" s="22" t="s">
        <v>5</v>
      </c>
      <c r="G5" s="22" t="s">
        <v>12</v>
      </c>
      <c r="H5" s="123" t="s">
        <v>68</v>
      </c>
      <c r="I5" s="22" t="s">
        <v>7</v>
      </c>
      <c r="J5" s="22" t="s">
        <v>61</v>
      </c>
      <c r="K5" s="22" t="s">
        <v>60</v>
      </c>
      <c r="L5" s="22" t="s">
        <v>10</v>
      </c>
      <c r="M5" s="22" t="s">
        <v>11</v>
      </c>
      <c r="N5" s="22" t="s">
        <v>16</v>
      </c>
      <c r="O5" s="22" t="s">
        <v>62</v>
      </c>
      <c r="P5" s="22" t="s">
        <v>63</v>
      </c>
      <c r="Q5" s="22" t="s">
        <v>7</v>
      </c>
      <c r="R5" s="22" t="s">
        <v>10</v>
      </c>
      <c r="S5" s="22" t="s">
        <v>11</v>
      </c>
      <c r="T5" s="22" t="s">
        <v>16</v>
      </c>
      <c r="U5" s="22" t="s">
        <v>64</v>
      </c>
      <c r="V5" s="22" t="s">
        <v>60</v>
      </c>
      <c r="W5" s="22" t="s">
        <v>0</v>
      </c>
      <c r="X5" s="22" t="s">
        <v>6</v>
      </c>
      <c r="Y5" s="22" t="s">
        <v>90</v>
      </c>
      <c r="Z5" s="22" t="s">
        <v>59</v>
      </c>
      <c r="AA5" s="22" t="s">
        <v>85</v>
      </c>
      <c r="AB5" s="22" t="s">
        <v>67</v>
      </c>
      <c r="AC5" s="22" t="s">
        <v>89</v>
      </c>
      <c r="AD5" s="22" t="s">
        <v>58</v>
      </c>
      <c r="AE5" s="22" t="s">
        <v>52</v>
      </c>
      <c r="AF5" s="127" t="s">
        <v>69</v>
      </c>
      <c r="AG5" s="22" t="s">
        <v>53</v>
      </c>
    </row>
    <row r="6" spans="1:33" ht="15.75">
      <c r="A6" s="118">
        <v>43673</v>
      </c>
      <c r="B6" s="34">
        <v>2</v>
      </c>
      <c r="C6" s="34">
        <v>3671456</v>
      </c>
      <c r="D6" s="34"/>
      <c r="E6" s="112">
        <v>91341</v>
      </c>
      <c r="F6" s="20">
        <v>9586</v>
      </c>
      <c r="G6" s="113">
        <v>15</v>
      </c>
      <c r="H6" s="124" t="s">
        <v>98</v>
      </c>
      <c r="I6" s="138">
        <v>0</v>
      </c>
      <c r="J6" s="139">
        <v>1</v>
      </c>
      <c r="K6" s="140">
        <v>0</v>
      </c>
      <c r="L6" s="141">
        <v>0</v>
      </c>
      <c r="M6" s="138">
        <v>0</v>
      </c>
      <c r="N6" s="142">
        <v>0</v>
      </c>
      <c r="O6" s="137">
        <v>0</v>
      </c>
      <c r="P6" s="141">
        <v>0</v>
      </c>
      <c r="Q6" s="137">
        <v>0</v>
      </c>
      <c r="R6" s="141">
        <v>0</v>
      </c>
      <c r="S6" s="138">
        <v>0</v>
      </c>
      <c r="T6" s="142">
        <v>0</v>
      </c>
      <c r="U6" s="141">
        <v>0</v>
      </c>
      <c r="V6" s="141">
        <v>0</v>
      </c>
      <c r="W6" s="143">
        <f t="shared" ref="W6:W8" si="0">+G6-(SUM(I6:N6,P6,Q6,R6,S6,T6,V6))</f>
        <v>14</v>
      </c>
      <c r="X6" s="114"/>
      <c r="Y6" s="114"/>
      <c r="Z6" s="114"/>
      <c r="AA6" s="114"/>
      <c r="AB6" s="114"/>
      <c r="AC6" s="114"/>
      <c r="AD6" s="126">
        <f t="shared" ref="AD6:AD11" si="1">W6-SUM(Z6+AC6)</f>
        <v>14</v>
      </c>
      <c r="AE6" s="115"/>
      <c r="AF6" s="116"/>
      <c r="AG6" s="112"/>
    </row>
    <row r="7" spans="1:33" ht="15.75">
      <c r="A7" s="118">
        <v>43673</v>
      </c>
      <c r="B7" s="34">
        <v>2</v>
      </c>
      <c r="C7" s="34">
        <v>3671456</v>
      </c>
      <c r="D7" s="34"/>
      <c r="E7" s="112">
        <v>91340</v>
      </c>
      <c r="F7" s="20">
        <v>9587</v>
      </c>
      <c r="G7" s="113">
        <v>15</v>
      </c>
      <c r="H7" s="124" t="s">
        <v>98</v>
      </c>
      <c r="I7" s="138">
        <v>0</v>
      </c>
      <c r="J7" s="139">
        <v>0</v>
      </c>
      <c r="K7" s="140">
        <v>0</v>
      </c>
      <c r="L7" s="141">
        <v>0</v>
      </c>
      <c r="M7" s="138">
        <v>0</v>
      </c>
      <c r="N7" s="142">
        <v>0</v>
      </c>
      <c r="O7" s="137">
        <v>0</v>
      </c>
      <c r="P7" s="141">
        <v>0</v>
      </c>
      <c r="Q7" s="137">
        <v>0</v>
      </c>
      <c r="R7" s="141">
        <v>0</v>
      </c>
      <c r="S7" s="138">
        <v>0</v>
      </c>
      <c r="T7" s="142">
        <v>0</v>
      </c>
      <c r="U7" s="141">
        <v>0</v>
      </c>
      <c r="V7" s="141">
        <v>0</v>
      </c>
      <c r="W7" s="143">
        <f t="shared" si="0"/>
        <v>15</v>
      </c>
      <c r="X7" s="114"/>
      <c r="Y7" s="114"/>
      <c r="Z7" s="114">
        <v>1</v>
      </c>
      <c r="AA7" s="114"/>
      <c r="AB7" s="114"/>
      <c r="AC7" s="114"/>
      <c r="AD7" s="126">
        <f t="shared" si="1"/>
        <v>14</v>
      </c>
      <c r="AE7" s="115"/>
      <c r="AF7" s="116"/>
      <c r="AG7" s="112"/>
    </row>
    <row r="8" spans="1:33" ht="15.75">
      <c r="A8" s="118">
        <v>43684</v>
      </c>
      <c r="B8" s="34">
        <v>1</v>
      </c>
      <c r="C8" s="34">
        <v>3671456</v>
      </c>
      <c r="D8" s="34"/>
      <c r="E8" s="112">
        <v>91341</v>
      </c>
      <c r="F8" s="34">
        <v>9725</v>
      </c>
      <c r="G8" s="113">
        <v>99</v>
      </c>
      <c r="H8" s="124" t="s">
        <v>100</v>
      </c>
      <c r="I8" s="138">
        <v>0</v>
      </c>
      <c r="J8" s="139">
        <v>0</v>
      </c>
      <c r="K8" s="140">
        <v>0</v>
      </c>
      <c r="L8" s="141">
        <v>0</v>
      </c>
      <c r="M8" s="138">
        <v>0</v>
      </c>
      <c r="N8" s="142">
        <v>0</v>
      </c>
      <c r="O8" s="137">
        <v>0</v>
      </c>
      <c r="P8" s="141">
        <v>0</v>
      </c>
      <c r="Q8" s="137">
        <v>0</v>
      </c>
      <c r="R8" s="141">
        <v>0</v>
      </c>
      <c r="S8" s="138">
        <v>0</v>
      </c>
      <c r="T8" s="142">
        <v>0</v>
      </c>
      <c r="U8" s="141">
        <v>0</v>
      </c>
      <c r="V8" s="141">
        <v>0</v>
      </c>
      <c r="W8" s="143">
        <f t="shared" si="0"/>
        <v>99</v>
      </c>
      <c r="X8" s="114"/>
      <c r="Y8" s="114"/>
      <c r="Z8" s="114"/>
      <c r="AA8" s="114"/>
      <c r="AB8" s="114"/>
      <c r="AC8" s="114"/>
      <c r="AD8" s="126">
        <f t="shared" si="1"/>
        <v>99</v>
      </c>
      <c r="AE8" s="115"/>
      <c r="AF8" s="116"/>
      <c r="AG8" s="112"/>
    </row>
    <row r="9" spans="1:33" ht="15.75">
      <c r="A9" s="118">
        <v>43684</v>
      </c>
      <c r="B9" s="34">
        <v>1</v>
      </c>
      <c r="C9" s="34">
        <v>3671456</v>
      </c>
      <c r="D9" s="34"/>
      <c r="E9" s="112">
        <v>91340</v>
      </c>
      <c r="F9" s="34">
        <v>9726</v>
      </c>
      <c r="G9" s="113">
        <v>30</v>
      </c>
      <c r="H9" s="124" t="s">
        <v>101</v>
      </c>
      <c r="I9" s="138">
        <v>0</v>
      </c>
      <c r="J9" s="139">
        <v>0</v>
      </c>
      <c r="K9" s="140">
        <v>0</v>
      </c>
      <c r="L9" s="141">
        <v>0</v>
      </c>
      <c r="M9" s="138">
        <v>0</v>
      </c>
      <c r="N9" s="142">
        <v>0</v>
      </c>
      <c r="O9" s="137">
        <v>0</v>
      </c>
      <c r="P9" s="141">
        <v>0</v>
      </c>
      <c r="Q9" s="137">
        <v>0</v>
      </c>
      <c r="R9" s="141">
        <v>0</v>
      </c>
      <c r="S9" s="138">
        <v>0</v>
      </c>
      <c r="T9" s="142">
        <v>0</v>
      </c>
      <c r="U9" s="141">
        <v>0</v>
      </c>
      <c r="V9" s="141">
        <v>0</v>
      </c>
      <c r="W9" s="143">
        <f t="shared" ref="W9:W11" si="2">+G9-(SUM(I9:N9,P9,Q9,R9,S9,T9,V9))</f>
        <v>30</v>
      </c>
      <c r="X9" s="114"/>
      <c r="Y9" s="114"/>
      <c r="Z9" s="114"/>
      <c r="AA9" s="114"/>
      <c r="AB9" s="114"/>
      <c r="AC9" s="114"/>
      <c r="AD9" s="126">
        <f t="shared" si="1"/>
        <v>30</v>
      </c>
      <c r="AE9" s="115"/>
      <c r="AF9" s="116"/>
      <c r="AG9" s="112"/>
    </row>
    <row r="10" spans="1:33" ht="15.75">
      <c r="A10" s="118"/>
      <c r="B10" s="34"/>
      <c r="C10" s="34"/>
      <c r="D10" s="34"/>
      <c r="E10" s="112"/>
      <c r="F10" s="34"/>
      <c r="G10" s="113"/>
      <c r="H10" s="124"/>
      <c r="I10" s="138">
        <v>0</v>
      </c>
      <c r="J10" s="139">
        <v>0</v>
      </c>
      <c r="K10" s="140">
        <v>0</v>
      </c>
      <c r="L10" s="141">
        <v>0</v>
      </c>
      <c r="M10" s="138">
        <v>0</v>
      </c>
      <c r="N10" s="142">
        <v>0</v>
      </c>
      <c r="O10" s="137">
        <v>0</v>
      </c>
      <c r="P10" s="141">
        <v>0</v>
      </c>
      <c r="Q10" s="137">
        <v>0</v>
      </c>
      <c r="R10" s="141">
        <v>0</v>
      </c>
      <c r="S10" s="138">
        <v>0</v>
      </c>
      <c r="T10" s="142">
        <v>0</v>
      </c>
      <c r="U10" s="141">
        <v>0</v>
      </c>
      <c r="V10" s="141">
        <v>0</v>
      </c>
      <c r="W10" s="143">
        <f t="shared" si="2"/>
        <v>0</v>
      </c>
      <c r="X10" s="114"/>
      <c r="Y10" s="114"/>
      <c r="Z10" s="114"/>
      <c r="AA10" s="114"/>
      <c r="AB10" s="114"/>
      <c r="AC10" s="114"/>
      <c r="AD10" s="126">
        <f t="shared" si="1"/>
        <v>0</v>
      </c>
      <c r="AE10" s="115"/>
      <c r="AF10" s="116"/>
      <c r="AG10" s="112"/>
    </row>
    <row r="11" spans="1:33" ht="15.75">
      <c r="A11" s="118"/>
      <c r="B11" s="34"/>
      <c r="C11" s="34"/>
      <c r="D11" s="34"/>
      <c r="E11" s="112"/>
      <c r="F11" s="34"/>
      <c r="G11" s="113"/>
      <c r="H11" s="124"/>
      <c r="I11" s="138">
        <v>0</v>
      </c>
      <c r="J11" s="139">
        <v>0</v>
      </c>
      <c r="K11" s="140">
        <v>0</v>
      </c>
      <c r="L11" s="141">
        <v>0</v>
      </c>
      <c r="M11" s="138">
        <v>0</v>
      </c>
      <c r="N11" s="142">
        <v>0</v>
      </c>
      <c r="O11" s="137">
        <v>0</v>
      </c>
      <c r="P11" s="141">
        <v>0</v>
      </c>
      <c r="Q11" s="137">
        <v>0</v>
      </c>
      <c r="R11" s="141">
        <v>0</v>
      </c>
      <c r="S11" s="138">
        <v>0</v>
      </c>
      <c r="T11" s="142">
        <v>0</v>
      </c>
      <c r="U11" s="141">
        <v>0</v>
      </c>
      <c r="V11" s="141">
        <v>0</v>
      </c>
      <c r="W11" s="143">
        <f t="shared" si="2"/>
        <v>0</v>
      </c>
      <c r="X11" s="114"/>
      <c r="Y11" s="114"/>
      <c r="Z11" s="114"/>
      <c r="AA11" s="114"/>
      <c r="AB11" s="114"/>
      <c r="AC11" s="114"/>
      <c r="AD11" s="126">
        <f t="shared" si="1"/>
        <v>0</v>
      </c>
      <c r="AE11" s="115"/>
      <c r="AF11" s="116"/>
      <c r="AG11" s="112"/>
    </row>
    <row r="12" spans="1:33" ht="15.75">
      <c r="A12" s="111"/>
      <c r="B12" s="34"/>
      <c r="C12" s="34"/>
      <c r="D12" s="34"/>
      <c r="E12" s="112"/>
      <c r="F12" s="34"/>
      <c r="G12" s="113"/>
      <c r="H12" s="124"/>
      <c r="I12" s="138">
        <v>0</v>
      </c>
      <c r="J12" s="139">
        <v>0</v>
      </c>
      <c r="K12" s="140">
        <v>0</v>
      </c>
      <c r="L12" s="141">
        <v>0</v>
      </c>
      <c r="M12" s="138">
        <v>0</v>
      </c>
      <c r="N12" s="142">
        <v>0</v>
      </c>
      <c r="O12" s="137">
        <v>0</v>
      </c>
      <c r="P12" s="141">
        <v>0</v>
      </c>
      <c r="Q12" s="137">
        <v>0</v>
      </c>
      <c r="R12" s="141">
        <v>0</v>
      </c>
      <c r="S12" s="138">
        <v>0</v>
      </c>
      <c r="T12" s="142">
        <v>0</v>
      </c>
      <c r="U12" s="141">
        <v>0</v>
      </c>
      <c r="V12" s="141">
        <v>0</v>
      </c>
      <c r="W12" s="143">
        <f t="shared" ref="W12:W29" si="3">+G12-(SUM(I12:N12,P12,Q12,R12,S12,T12,V12))</f>
        <v>0</v>
      </c>
      <c r="X12" s="114"/>
      <c r="Y12" s="114"/>
      <c r="Z12" s="114"/>
      <c r="AA12" s="114"/>
      <c r="AB12" s="114"/>
      <c r="AC12" s="114"/>
      <c r="AD12" s="126">
        <f t="shared" ref="AD12:AD29" si="4">W12-SUM(Z12+AC12)</f>
        <v>0</v>
      </c>
      <c r="AE12" s="115"/>
      <c r="AF12" s="116"/>
      <c r="AG12" s="112"/>
    </row>
    <row r="13" spans="1:33" ht="15.75">
      <c r="A13" s="111"/>
      <c r="B13" s="34"/>
      <c r="C13" s="34"/>
      <c r="D13" s="34"/>
      <c r="E13" s="112"/>
      <c r="F13" s="34"/>
      <c r="G13" s="113"/>
      <c r="H13" s="124"/>
      <c r="I13" s="138">
        <v>0</v>
      </c>
      <c r="J13" s="139">
        <v>0</v>
      </c>
      <c r="K13" s="140">
        <v>0</v>
      </c>
      <c r="L13" s="141">
        <v>0</v>
      </c>
      <c r="M13" s="138">
        <v>0</v>
      </c>
      <c r="N13" s="142">
        <v>0</v>
      </c>
      <c r="O13" s="137">
        <v>0</v>
      </c>
      <c r="P13" s="141">
        <v>0</v>
      </c>
      <c r="Q13" s="137">
        <v>0</v>
      </c>
      <c r="R13" s="141">
        <v>0</v>
      </c>
      <c r="S13" s="138">
        <v>0</v>
      </c>
      <c r="T13" s="142">
        <v>0</v>
      </c>
      <c r="U13" s="141">
        <v>0</v>
      </c>
      <c r="V13" s="141">
        <v>0</v>
      </c>
      <c r="W13" s="143">
        <f t="shared" si="3"/>
        <v>0</v>
      </c>
      <c r="X13" s="114"/>
      <c r="Y13" s="114"/>
      <c r="Z13" s="114"/>
      <c r="AA13" s="114"/>
      <c r="AB13" s="114"/>
      <c r="AC13" s="114"/>
      <c r="AD13" s="126">
        <f t="shared" si="4"/>
        <v>0</v>
      </c>
      <c r="AE13" s="115"/>
      <c r="AF13" s="116"/>
      <c r="AG13" s="112"/>
    </row>
    <row r="14" spans="1:33" ht="15.75">
      <c r="A14" s="111"/>
      <c r="B14" s="34"/>
      <c r="C14" s="34"/>
      <c r="D14" s="34"/>
      <c r="E14" s="112"/>
      <c r="F14" s="34"/>
      <c r="G14" s="113"/>
      <c r="H14" s="124"/>
      <c r="I14" s="138">
        <v>0</v>
      </c>
      <c r="J14" s="139">
        <v>0</v>
      </c>
      <c r="K14" s="140">
        <v>0</v>
      </c>
      <c r="L14" s="141">
        <v>0</v>
      </c>
      <c r="M14" s="138">
        <v>0</v>
      </c>
      <c r="N14" s="142">
        <v>0</v>
      </c>
      <c r="O14" s="137">
        <v>0</v>
      </c>
      <c r="P14" s="141">
        <v>0</v>
      </c>
      <c r="Q14" s="137">
        <v>0</v>
      </c>
      <c r="R14" s="141">
        <v>0</v>
      </c>
      <c r="S14" s="138">
        <v>0</v>
      </c>
      <c r="T14" s="142">
        <v>0</v>
      </c>
      <c r="U14" s="141">
        <v>0</v>
      </c>
      <c r="V14" s="141">
        <v>0</v>
      </c>
      <c r="W14" s="143">
        <f t="shared" si="3"/>
        <v>0</v>
      </c>
      <c r="X14" s="114"/>
      <c r="Y14" s="114"/>
      <c r="Z14" s="114"/>
      <c r="AA14" s="114"/>
      <c r="AB14" s="114"/>
      <c r="AC14" s="114"/>
      <c r="AD14" s="126">
        <f t="shared" si="4"/>
        <v>0</v>
      </c>
      <c r="AE14" s="115"/>
      <c r="AF14" s="116"/>
      <c r="AG14" s="112"/>
    </row>
    <row r="15" spans="1:33" ht="15.75">
      <c r="A15" s="111"/>
      <c r="B15" s="117"/>
      <c r="C15" s="20"/>
      <c r="D15" s="20"/>
      <c r="E15" s="19"/>
      <c r="F15" s="19"/>
      <c r="G15" s="113"/>
      <c r="H15" s="124"/>
      <c r="I15" s="138">
        <v>0</v>
      </c>
      <c r="J15" s="139">
        <v>0</v>
      </c>
      <c r="K15" s="140">
        <v>0</v>
      </c>
      <c r="L15" s="141">
        <v>0</v>
      </c>
      <c r="M15" s="138">
        <v>0</v>
      </c>
      <c r="N15" s="142">
        <v>0</v>
      </c>
      <c r="O15" s="137">
        <v>0</v>
      </c>
      <c r="P15" s="141">
        <v>0</v>
      </c>
      <c r="Q15" s="137">
        <v>0</v>
      </c>
      <c r="R15" s="141">
        <v>0</v>
      </c>
      <c r="S15" s="138">
        <v>0</v>
      </c>
      <c r="T15" s="142">
        <v>0</v>
      </c>
      <c r="U15" s="141">
        <v>0</v>
      </c>
      <c r="V15" s="141">
        <v>0</v>
      </c>
      <c r="W15" s="143">
        <f t="shared" si="3"/>
        <v>0</v>
      </c>
      <c r="X15" s="114"/>
      <c r="Y15" s="114"/>
      <c r="Z15" s="114"/>
      <c r="AA15" s="114"/>
      <c r="AB15" s="114"/>
      <c r="AC15" s="114"/>
      <c r="AD15" s="126">
        <f t="shared" si="4"/>
        <v>0</v>
      </c>
      <c r="AE15" s="115"/>
      <c r="AF15" s="116"/>
      <c r="AG15" s="112"/>
    </row>
    <row r="16" spans="1:33" ht="15.75">
      <c r="A16" s="111"/>
      <c r="B16" s="34"/>
      <c r="C16" s="34"/>
      <c r="D16" s="34"/>
      <c r="E16" s="112"/>
      <c r="F16" s="34"/>
      <c r="G16" s="113"/>
      <c r="H16" s="124"/>
      <c r="I16" s="138">
        <v>0</v>
      </c>
      <c r="J16" s="139">
        <v>0</v>
      </c>
      <c r="K16" s="140">
        <v>0</v>
      </c>
      <c r="L16" s="141">
        <v>0</v>
      </c>
      <c r="M16" s="138">
        <v>0</v>
      </c>
      <c r="N16" s="142">
        <v>0</v>
      </c>
      <c r="O16" s="137">
        <v>0</v>
      </c>
      <c r="P16" s="141">
        <v>0</v>
      </c>
      <c r="Q16" s="137">
        <v>0</v>
      </c>
      <c r="R16" s="141">
        <v>0</v>
      </c>
      <c r="S16" s="138">
        <v>0</v>
      </c>
      <c r="T16" s="142">
        <v>0</v>
      </c>
      <c r="U16" s="141">
        <v>0</v>
      </c>
      <c r="V16" s="141">
        <v>0</v>
      </c>
      <c r="W16" s="143">
        <f t="shared" si="3"/>
        <v>0</v>
      </c>
      <c r="X16" s="114"/>
      <c r="Y16" s="114"/>
      <c r="Z16" s="114"/>
      <c r="AA16" s="114"/>
      <c r="AB16" s="114"/>
      <c r="AC16" s="114"/>
      <c r="AD16" s="126">
        <f t="shared" si="4"/>
        <v>0</v>
      </c>
      <c r="AE16" s="115"/>
      <c r="AF16" s="116"/>
      <c r="AG16" s="112"/>
    </row>
    <row r="17" spans="1:33" ht="15.75">
      <c r="A17" s="111"/>
      <c r="B17" s="34"/>
      <c r="C17" s="34"/>
      <c r="D17" s="34"/>
      <c r="E17" s="112"/>
      <c r="F17" s="34"/>
      <c r="G17" s="113"/>
      <c r="H17" s="124"/>
      <c r="I17" s="138">
        <v>0</v>
      </c>
      <c r="J17" s="139">
        <v>0</v>
      </c>
      <c r="K17" s="140">
        <v>0</v>
      </c>
      <c r="L17" s="141">
        <v>0</v>
      </c>
      <c r="M17" s="138">
        <v>0</v>
      </c>
      <c r="N17" s="142">
        <v>0</v>
      </c>
      <c r="O17" s="137">
        <v>0</v>
      </c>
      <c r="P17" s="141">
        <v>0</v>
      </c>
      <c r="Q17" s="137">
        <v>0</v>
      </c>
      <c r="R17" s="141">
        <v>0</v>
      </c>
      <c r="S17" s="138">
        <v>0</v>
      </c>
      <c r="T17" s="142">
        <v>0</v>
      </c>
      <c r="U17" s="141">
        <v>0</v>
      </c>
      <c r="V17" s="141">
        <v>0</v>
      </c>
      <c r="W17" s="143">
        <f t="shared" si="3"/>
        <v>0</v>
      </c>
      <c r="X17" s="114"/>
      <c r="Y17" s="114"/>
      <c r="Z17" s="114"/>
      <c r="AA17" s="114"/>
      <c r="AB17" s="114"/>
      <c r="AC17" s="114"/>
      <c r="AD17" s="126">
        <f t="shared" si="4"/>
        <v>0</v>
      </c>
      <c r="AE17" s="115"/>
      <c r="AF17" s="116"/>
      <c r="AG17" s="112"/>
    </row>
    <row r="18" spans="1:33" ht="15.75">
      <c r="A18" s="111"/>
      <c r="B18" s="34"/>
      <c r="C18" s="34"/>
      <c r="D18" s="34"/>
      <c r="E18" s="112"/>
      <c r="F18" s="34"/>
      <c r="G18" s="113"/>
      <c r="H18" s="124"/>
      <c r="I18" s="138">
        <v>0</v>
      </c>
      <c r="J18" s="139">
        <v>0</v>
      </c>
      <c r="K18" s="140">
        <v>0</v>
      </c>
      <c r="L18" s="141">
        <v>0</v>
      </c>
      <c r="M18" s="138">
        <v>0</v>
      </c>
      <c r="N18" s="142">
        <v>0</v>
      </c>
      <c r="O18" s="137">
        <v>0</v>
      </c>
      <c r="P18" s="141">
        <v>0</v>
      </c>
      <c r="Q18" s="137">
        <v>0</v>
      </c>
      <c r="R18" s="141">
        <v>0</v>
      </c>
      <c r="S18" s="138">
        <v>0</v>
      </c>
      <c r="T18" s="142">
        <v>0</v>
      </c>
      <c r="U18" s="141">
        <v>0</v>
      </c>
      <c r="V18" s="141">
        <v>0</v>
      </c>
      <c r="W18" s="143">
        <f t="shared" si="3"/>
        <v>0</v>
      </c>
      <c r="X18" s="114"/>
      <c r="Y18" s="114"/>
      <c r="Z18" s="114"/>
      <c r="AA18" s="114"/>
      <c r="AB18" s="114"/>
      <c r="AC18" s="114"/>
      <c r="AD18" s="126">
        <f t="shared" si="4"/>
        <v>0</v>
      </c>
      <c r="AE18" s="115"/>
      <c r="AF18" s="116"/>
      <c r="AG18" s="112"/>
    </row>
    <row r="19" spans="1:33" ht="15.75">
      <c r="A19" s="111"/>
      <c r="B19" s="34"/>
      <c r="C19" s="34"/>
      <c r="D19" s="34"/>
      <c r="E19" s="112"/>
      <c r="F19" s="34"/>
      <c r="G19" s="113"/>
      <c r="H19" s="124"/>
      <c r="I19" s="138">
        <v>0</v>
      </c>
      <c r="J19" s="139">
        <v>0</v>
      </c>
      <c r="K19" s="140">
        <v>0</v>
      </c>
      <c r="L19" s="141">
        <v>0</v>
      </c>
      <c r="M19" s="138">
        <v>0</v>
      </c>
      <c r="N19" s="142">
        <v>0</v>
      </c>
      <c r="O19" s="137">
        <v>0</v>
      </c>
      <c r="P19" s="141">
        <v>0</v>
      </c>
      <c r="Q19" s="137">
        <v>0</v>
      </c>
      <c r="R19" s="141">
        <v>0</v>
      </c>
      <c r="S19" s="138">
        <v>0</v>
      </c>
      <c r="T19" s="142">
        <v>0</v>
      </c>
      <c r="U19" s="141">
        <v>0</v>
      </c>
      <c r="V19" s="141">
        <v>0</v>
      </c>
      <c r="W19" s="143">
        <f t="shared" si="3"/>
        <v>0</v>
      </c>
      <c r="X19" s="114"/>
      <c r="Y19" s="114"/>
      <c r="Z19" s="114"/>
      <c r="AA19" s="114"/>
      <c r="AB19" s="114"/>
      <c r="AC19" s="114"/>
      <c r="AD19" s="126">
        <f t="shared" si="4"/>
        <v>0</v>
      </c>
      <c r="AE19" s="115"/>
      <c r="AF19" s="116"/>
      <c r="AG19" s="112"/>
    </row>
    <row r="20" spans="1:33" ht="15.75">
      <c r="A20" s="111"/>
      <c r="B20" s="34"/>
      <c r="C20" s="34"/>
      <c r="D20" s="34"/>
      <c r="E20" s="112"/>
      <c r="F20" s="34"/>
      <c r="G20" s="113"/>
      <c r="H20" s="124"/>
      <c r="I20" s="138">
        <v>0</v>
      </c>
      <c r="J20" s="139">
        <v>0</v>
      </c>
      <c r="K20" s="140">
        <v>0</v>
      </c>
      <c r="L20" s="141">
        <v>0</v>
      </c>
      <c r="M20" s="138">
        <v>0</v>
      </c>
      <c r="N20" s="142">
        <v>0</v>
      </c>
      <c r="O20" s="137">
        <v>0</v>
      </c>
      <c r="P20" s="141">
        <v>0</v>
      </c>
      <c r="Q20" s="137">
        <v>0</v>
      </c>
      <c r="R20" s="141">
        <v>0</v>
      </c>
      <c r="S20" s="138">
        <v>0</v>
      </c>
      <c r="T20" s="142">
        <v>0</v>
      </c>
      <c r="U20" s="141">
        <v>0</v>
      </c>
      <c r="V20" s="141">
        <v>0</v>
      </c>
      <c r="W20" s="143">
        <f t="shared" si="3"/>
        <v>0</v>
      </c>
      <c r="X20" s="114"/>
      <c r="Y20" s="114"/>
      <c r="Z20" s="114"/>
      <c r="AA20" s="114"/>
      <c r="AB20" s="114"/>
      <c r="AC20" s="114"/>
      <c r="AD20" s="126">
        <f t="shared" si="4"/>
        <v>0</v>
      </c>
      <c r="AE20" s="115"/>
      <c r="AF20" s="116"/>
      <c r="AG20" s="112"/>
    </row>
    <row r="21" spans="1:33" ht="15.75">
      <c r="A21" s="111"/>
      <c r="B21" s="34"/>
      <c r="C21" s="34"/>
      <c r="D21" s="34"/>
      <c r="E21" s="112"/>
      <c r="F21" s="34"/>
      <c r="G21" s="113"/>
      <c r="H21" s="124"/>
      <c r="I21" s="138">
        <v>0</v>
      </c>
      <c r="J21" s="139">
        <v>0</v>
      </c>
      <c r="K21" s="140">
        <v>0</v>
      </c>
      <c r="L21" s="141">
        <v>0</v>
      </c>
      <c r="M21" s="138">
        <v>0</v>
      </c>
      <c r="N21" s="142">
        <v>0</v>
      </c>
      <c r="O21" s="137">
        <v>0</v>
      </c>
      <c r="P21" s="141">
        <v>0</v>
      </c>
      <c r="Q21" s="137">
        <v>0</v>
      </c>
      <c r="R21" s="141">
        <v>0</v>
      </c>
      <c r="S21" s="138">
        <v>0</v>
      </c>
      <c r="T21" s="142">
        <v>0</v>
      </c>
      <c r="U21" s="141">
        <v>0</v>
      </c>
      <c r="V21" s="141">
        <v>0</v>
      </c>
      <c r="W21" s="143">
        <f t="shared" si="3"/>
        <v>0</v>
      </c>
      <c r="X21" s="114"/>
      <c r="Y21" s="114"/>
      <c r="Z21" s="114"/>
      <c r="AA21" s="114"/>
      <c r="AB21" s="114"/>
      <c r="AC21" s="114"/>
      <c r="AD21" s="126">
        <f t="shared" si="4"/>
        <v>0</v>
      </c>
      <c r="AE21" s="115"/>
      <c r="AF21" s="116"/>
      <c r="AG21" s="112"/>
    </row>
    <row r="22" spans="1:33" ht="15.75">
      <c r="A22" s="111"/>
      <c r="B22" s="34"/>
      <c r="C22" s="34"/>
      <c r="D22" s="34"/>
      <c r="E22" s="112"/>
      <c r="F22" s="34"/>
      <c r="G22" s="113"/>
      <c r="H22" s="124"/>
      <c r="I22" s="138">
        <v>0</v>
      </c>
      <c r="J22" s="139">
        <v>0</v>
      </c>
      <c r="K22" s="140">
        <v>0</v>
      </c>
      <c r="L22" s="141">
        <v>0</v>
      </c>
      <c r="M22" s="138">
        <v>0</v>
      </c>
      <c r="N22" s="142">
        <v>0</v>
      </c>
      <c r="O22" s="137">
        <v>0</v>
      </c>
      <c r="P22" s="141">
        <v>0</v>
      </c>
      <c r="Q22" s="137">
        <v>0</v>
      </c>
      <c r="R22" s="141">
        <v>0</v>
      </c>
      <c r="S22" s="138">
        <v>0</v>
      </c>
      <c r="T22" s="142">
        <v>0</v>
      </c>
      <c r="U22" s="141">
        <v>0</v>
      </c>
      <c r="V22" s="141">
        <v>0</v>
      </c>
      <c r="W22" s="143">
        <f t="shared" si="3"/>
        <v>0</v>
      </c>
      <c r="X22" s="114"/>
      <c r="Y22" s="114"/>
      <c r="Z22" s="114"/>
      <c r="AA22" s="114"/>
      <c r="AB22" s="114"/>
      <c r="AC22" s="114"/>
      <c r="AD22" s="126">
        <f t="shared" si="4"/>
        <v>0</v>
      </c>
      <c r="AE22" s="115"/>
      <c r="AF22" s="116"/>
      <c r="AG22" s="112"/>
    </row>
    <row r="23" spans="1:33" ht="15.75">
      <c r="A23" s="111"/>
      <c r="B23" s="34"/>
      <c r="C23" s="34"/>
      <c r="D23" s="34"/>
      <c r="E23" s="112"/>
      <c r="F23" s="34"/>
      <c r="G23" s="113"/>
      <c r="H23" s="124"/>
      <c r="I23" s="138">
        <v>0</v>
      </c>
      <c r="J23" s="139">
        <v>0</v>
      </c>
      <c r="K23" s="140">
        <v>0</v>
      </c>
      <c r="L23" s="141">
        <v>0</v>
      </c>
      <c r="M23" s="138">
        <v>0</v>
      </c>
      <c r="N23" s="142">
        <v>0</v>
      </c>
      <c r="O23" s="137">
        <v>0</v>
      </c>
      <c r="P23" s="141">
        <v>0</v>
      </c>
      <c r="Q23" s="137">
        <v>0</v>
      </c>
      <c r="R23" s="141">
        <v>0</v>
      </c>
      <c r="S23" s="138">
        <v>0</v>
      </c>
      <c r="T23" s="142">
        <v>0</v>
      </c>
      <c r="U23" s="141">
        <v>0</v>
      </c>
      <c r="V23" s="141">
        <v>0</v>
      </c>
      <c r="W23" s="143">
        <f t="shared" si="3"/>
        <v>0</v>
      </c>
      <c r="X23" s="114"/>
      <c r="Y23" s="114"/>
      <c r="Z23" s="114"/>
      <c r="AA23" s="114"/>
      <c r="AB23" s="114"/>
      <c r="AC23" s="114"/>
      <c r="AD23" s="126">
        <f t="shared" si="4"/>
        <v>0</v>
      </c>
      <c r="AE23" s="115"/>
      <c r="AF23" s="116"/>
      <c r="AG23" s="112"/>
    </row>
    <row r="24" spans="1:33" ht="15.75">
      <c r="A24" s="111"/>
      <c r="B24" s="34"/>
      <c r="C24" s="34"/>
      <c r="D24" s="34"/>
      <c r="E24" s="112"/>
      <c r="F24" s="34"/>
      <c r="G24" s="113"/>
      <c r="H24" s="124"/>
      <c r="I24" s="138">
        <v>0</v>
      </c>
      <c r="J24" s="139">
        <v>0</v>
      </c>
      <c r="K24" s="140">
        <v>0</v>
      </c>
      <c r="L24" s="141">
        <v>0</v>
      </c>
      <c r="M24" s="138">
        <v>0</v>
      </c>
      <c r="N24" s="142">
        <v>0</v>
      </c>
      <c r="O24" s="137">
        <v>0</v>
      </c>
      <c r="P24" s="141">
        <v>0</v>
      </c>
      <c r="Q24" s="137">
        <v>0</v>
      </c>
      <c r="R24" s="141">
        <v>0</v>
      </c>
      <c r="S24" s="138">
        <v>0</v>
      </c>
      <c r="T24" s="142">
        <v>0</v>
      </c>
      <c r="U24" s="141">
        <v>0</v>
      </c>
      <c r="V24" s="141">
        <v>0</v>
      </c>
      <c r="W24" s="143">
        <f t="shared" si="3"/>
        <v>0</v>
      </c>
      <c r="X24" s="114"/>
      <c r="Y24" s="114"/>
      <c r="Z24" s="114"/>
      <c r="AA24" s="114"/>
      <c r="AB24" s="114"/>
      <c r="AC24" s="114"/>
      <c r="AD24" s="126">
        <f t="shared" si="4"/>
        <v>0</v>
      </c>
      <c r="AE24" s="115"/>
      <c r="AF24" s="116"/>
      <c r="AG24" s="112"/>
    </row>
    <row r="25" spans="1:33" ht="15.75">
      <c r="A25" s="111"/>
      <c r="B25" s="34"/>
      <c r="C25" s="34"/>
      <c r="D25" s="34"/>
      <c r="E25" s="112"/>
      <c r="F25" s="34"/>
      <c r="G25" s="113"/>
      <c r="H25" s="124"/>
      <c r="I25" s="138">
        <v>0</v>
      </c>
      <c r="J25" s="139">
        <v>0</v>
      </c>
      <c r="K25" s="140">
        <v>0</v>
      </c>
      <c r="L25" s="141">
        <v>0</v>
      </c>
      <c r="M25" s="138">
        <v>0</v>
      </c>
      <c r="N25" s="142">
        <v>0</v>
      </c>
      <c r="O25" s="137">
        <v>0</v>
      </c>
      <c r="P25" s="141">
        <v>0</v>
      </c>
      <c r="Q25" s="137">
        <v>0</v>
      </c>
      <c r="R25" s="141">
        <v>0</v>
      </c>
      <c r="S25" s="138">
        <v>0</v>
      </c>
      <c r="T25" s="142">
        <v>0</v>
      </c>
      <c r="U25" s="141">
        <v>0</v>
      </c>
      <c r="V25" s="141">
        <v>0</v>
      </c>
      <c r="W25" s="143">
        <f t="shared" si="3"/>
        <v>0</v>
      </c>
      <c r="X25" s="114"/>
      <c r="Y25" s="114"/>
      <c r="Z25" s="114"/>
      <c r="AA25" s="114"/>
      <c r="AB25" s="114"/>
      <c r="AC25" s="114"/>
      <c r="AD25" s="126">
        <f t="shared" si="4"/>
        <v>0</v>
      </c>
      <c r="AE25" s="115"/>
      <c r="AF25" s="116"/>
      <c r="AG25" s="112"/>
    </row>
    <row r="26" spans="1:33" ht="15.75">
      <c r="A26" s="111"/>
      <c r="B26" s="34"/>
      <c r="C26" s="34"/>
      <c r="D26" s="34"/>
      <c r="E26" s="112"/>
      <c r="F26" s="34"/>
      <c r="G26" s="113"/>
      <c r="H26" s="124"/>
      <c r="I26" s="138">
        <v>0</v>
      </c>
      <c r="J26" s="139">
        <v>0</v>
      </c>
      <c r="K26" s="140">
        <v>0</v>
      </c>
      <c r="L26" s="141">
        <v>0</v>
      </c>
      <c r="M26" s="138">
        <v>0</v>
      </c>
      <c r="N26" s="142">
        <v>0</v>
      </c>
      <c r="O26" s="137">
        <v>0</v>
      </c>
      <c r="P26" s="141">
        <v>0</v>
      </c>
      <c r="Q26" s="137">
        <v>0</v>
      </c>
      <c r="R26" s="141">
        <v>0</v>
      </c>
      <c r="S26" s="138">
        <v>0</v>
      </c>
      <c r="T26" s="142">
        <v>0</v>
      </c>
      <c r="U26" s="141">
        <v>0</v>
      </c>
      <c r="V26" s="141">
        <v>0</v>
      </c>
      <c r="W26" s="143">
        <f t="shared" si="3"/>
        <v>0</v>
      </c>
      <c r="X26" s="114"/>
      <c r="Y26" s="114"/>
      <c r="Z26" s="114"/>
      <c r="AA26" s="114"/>
      <c r="AB26" s="114"/>
      <c r="AC26" s="114"/>
      <c r="AD26" s="126">
        <f t="shared" si="4"/>
        <v>0</v>
      </c>
      <c r="AE26" s="115"/>
      <c r="AF26" s="116"/>
      <c r="AG26" s="112"/>
    </row>
    <row r="27" spans="1:33" ht="15.75">
      <c r="A27" s="111"/>
      <c r="B27" s="34"/>
      <c r="C27" s="34"/>
      <c r="D27" s="34"/>
      <c r="E27" s="112"/>
      <c r="F27" s="34"/>
      <c r="G27" s="113"/>
      <c r="H27" s="124"/>
      <c r="I27" s="138">
        <v>0</v>
      </c>
      <c r="J27" s="139">
        <v>0</v>
      </c>
      <c r="K27" s="140">
        <v>0</v>
      </c>
      <c r="L27" s="141">
        <v>0</v>
      </c>
      <c r="M27" s="138">
        <v>0</v>
      </c>
      <c r="N27" s="142">
        <v>0</v>
      </c>
      <c r="O27" s="137">
        <v>0</v>
      </c>
      <c r="P27" s="141">
        <v>0</v>
      </c>
      <c r="Q27" s="137">
        <v>0</v>
      </c>
      <c r="R27" s="141">
        <v>0</v>
      </c>
      <c r="S27" s="138">
        <v>0</v>
      </c>
      <c r="T27" s="142">
        <v>0</v>
      </c>
      <c r="U27" s="141">
        <v>0</v>
      </c>
      <c r="V27" s="141">
        <v>0</v>
      </c>
      <c r="W27" s="143">
        <f t="shared" si="3"/>
        <v>0</v>
      </c>
      <c r="X27" s="114"/>
      <c r="Y27" s="114"/>
      <c r="Z27" s="114"/>
      <c r="AA27" s="114"/>
      <c r="AB27" s="114"/>
      <c r="AC27" s="114"/>
      <c r="AD27" s="126">
        <f t="shared" si="4"/>
        <v>0</v>
      </c>
      <c r="AE27" s="115"/>
      <c r="AF27" s="116"/>
      <c r="AG27" s="112"/>
    </row>
    <row r="28" spans="1:33" ht="15.75">
      <c r="A28" s="111"/>
      <c r="B28" s="34"/>
      <c r="C28" s="34"/>
      <c r="D28" s="34"/>
      <c r="E28" s="112"/>
      <c r="F28" s="34"/>
      <c r="G28" s="113"/>
      <c r="H28" s="124"/>
      <c r="I28" s="138">
        <v>0</v>
      </c>
      <c r="J28" s="139">
        <v>0</v>
      </c>
      <c r="K28" s="140">
        <v>0</v>
      </c>
      <c r="L28" s="141">
        <v>0</v>
      </c>
      <c r="M28" s="138">
        <v>0</v>
      </c>
      <c r="N28" s="142">
        <v>0</v>
      </c>
      <c r="O28" s="137">
        <v>0</v>
      </c>
      <c r="P28" s="141">
        <v>0</v>
      </c>
      <c r="Q28" s="137">
        <v>0</v>
      </c>
      <c r="R28" s="141">
        <v>0</v>
      </c>
      <c r="S28" s="138">
        <v>0</v>
      </c>
      <c r="T28" s="142">
        <v>0</v>
      </c>
      <c r="U28" s="141">
        <v>0</v>
      </c>
      <c r="V28" s="141">
        <v>0</v>
      </c>
      <c r="W28" s="143">
        <f t="shared" si="3"/>
        <v>0</v>
      </c>
      <c r="X28" s="114"/>
      <c r="Y28" s="114"/>
      <c r="Z28" s="114"/>
      <c r="AA28" s="114"/>
      <c r="AB28" s="114"/>
      <c r="AC28" s="114"/>
      <c r="AD28" s="126">
        <f t="shared" si="4"/>
        <v>0</v>
      </c>
      <c r="AE28" s="115"/>
      <c r="AF28" s="116"/>
      <c r="AG28" s="112"/>
    </row>
    <row r="29" spans="1:33" ht="15.75">
      <c r="A29" s="111"/>
      <c r="B29" s="34"/>
      <c r="C29" s="34"/>
      <c r="D29" s="34"/>
      <c r="E29" s="112"/>
      <c r="F29" s="34"/>
      <c r="G29" s="113"/>
      <c r="H29" s="124"/>
      <c r="I29" s="138">
        <v>0</v>
      </c>
      <c r="J29" s="139">
        <v>0</v>
      </c>
      <c r="K29" s="140">
        <v>0</v>
      </c>
      <c r="L29" s="141">
        <v>0</v>
      </c>
      <c r="M29" s="138">
        <v>0</v>
      </c>
      <c r="N29" s="142">
        <v>0</v>
      </c>
      <c r="O29" s="137">
        <v>0</v>
      </c>
      <c r="P29" s="141">
        <v>0</v>
      </c>
      <c r="Q29" s="137">
        <v>0</v>
      </c>
      <c r="R29" s="141">
        <v>0</v>
      </c>
      <c r="S29" s="138">
        <v>0</v>
      </c>
      <c r="T29" s="142">
        <v>0</v>
      </c>
      <c r="U29" s="141">
        <v>0</v>
      </c>
      <c r="V29" s="141">
        <v>0</v>
      </c>
      <c r="W29" s="143">
        <f t="shared" si="3"/>
        <v>0</v>
      </c>
      <c r="X29" s="114"/>
      <c r="Y29" s="114"/>
      <c r="Z29" s="114"/>
      <c r="AA29" s="114"/>
      <c r="AB29" s="114"/>
      <c r="AC29" s="114"/>
      <c r="AD29" s="126">
        <f t="shared" si="4"/>
        <v>0</v>
      </c>
      <c r="AE29" s="115"/>
      <c r="AF29" s="116"/>
      <c r="AG29" s="112"/>
    </row>
  </sheetData>
  <sheetProtection selectLockedCells="1"/>
  <protectedRanges>
    <protectedRange sqref="AG6:AG29 B16:E29 G6:V29 B6:E14" name="Rango1"/>
    <protectedRange sqref="AD6:AE29" name="Rango1_2"/>
    <protectedRange sqref="F8:F14 A10:A29 F16:F29" name="Rango1_1"/>
    <protectedRange sqref="A6:A9" name="Rango1_1_1"/>
    <protectedRange sqref="E15:F15" name="Rango1_1_3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12:V29 X12:AC29 F12:I14 A10:D14 F8:H11 A16:D29 A15 F16:I29 G15:I15 G6:H7 B6:D9">
    <cfRule type="expression" dxfId="13" priority="254" stopIfTrue="1">
      <formula>"SEVERSTAL"</formula>
    </cfRule>
  </conditionalFormatting>
  <conditionalFormatting sqref="AG6:AG29 AD12:AE29 E6:E14 AE6:AE11 E16:E29">
    <cfRule type="cellIs" dxfId="12" priority="255" stopIfTrue="1" operator="equal">
      <formula>"APROBADO"</formula>
    </cfRule>
    <cfRule type="cellIs" dxfId="11" priority="256" stopIfTrue="1" operator="equal">
      <formula>"ESPERA"</formula>
    </cfRule>
    <cfRule type="cellIs" dxfId="10" priority="257" stopIfTrue="1" operator="equal">
      <formula>"RECHAZADO"</formula>
    </cfRule>
  </conditionalFormatting>
  <conditionalFormatting sqref="Q6:V11 X6:AC11">
    <cfRule type="expression" dxfId="9" priority="8" stopIfTrue="1">
      <formula>"SEVERSTAL"</formula>
    </cfRule>
  </conditionalFormatting>
  <conditionalFormatting sqref="AD6:AD11">
    <cfRule type="cellIs" dxfId="8" priority="9" stopIfTrue="1" operator="equal">
      <formula>"APROBADO"</formula>
    </cfRule>
    <cfRule type="cellIs" dxfId="7" priority="10" stopIfTrue="1" operator="equal">
      <formula>"ESPERA"</formula>
    </cfRule>
    <cfRule type="cellIs" dxfId="6" priority="11" stopIfTrue="1" operator="equal">
      <formula>"RECHAZADO"</formula>
    </cfRule>
  </conditionalFormatting>
  <conditionalFormatting sqref="L6:P11 I6:I11">
    <cfRule type="expression" dxfId="5" priority="7" stopIfTrue="1">
      <formula>"SEVERSTAL"</formula>
    </cfRule>
  </conditionalFormatting>
  <conditionalFormatting sqref="A6:A9">
    <cfRule type="expression" dxfId="4" priority="5" stopIfTrue="1">
      <formula>"SEVERSTAL"</formula>
    </cfRule>
  </conditionalFormatting>
  <conditionalFormatting sqref="B15">
    <cfRule type="expression" dxfId="3" priority="1" stopIfTrue="1">
      <formula>"SEVERSTAL"</formula>
    </cfRule>
  </conditionalFormatting>
  <conditionalFormatting sqref="E15:F15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2022-10-03T16:44:50Z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