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086AF726-DBEF-49EC-9C2F-AFBDA15EC544}" xr6:coauthVersionLast="47" xr6:coauthVersionMax="47" xr10:uidLastSave="{00000000-0000-0000-0000-000000000000}"/>
  <bookViews>
    <workbookView showSheetTabs="0" xWindow="24375" yWindow="3885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" i="5" l="1"/>
  <c r="AD4" i="5" s="1"/>
  <c r="AE3" i="5"/>
  <c r="AF3" i="5" s="1"/>
  <c r="AD3" i="5"/>
  <c r="AE4" i="5" l="1"/>
  <c r="AF4" i="5" s="1"/>
  <c r="W26" i="5"/>
  <c r="W21" i="5" l="1"/>
  <c r="W22" i="5"/>
  <c r="W23" i="5"/>
  <c r="W24" i="5"/>
  <c r="W25" i="5"/>
  <c r="W20" i="5" l="1"/>
  <c r="W19" i="5" l="1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W18" i="5" l="1"/>
  <c r="W13" i="5" l="1"/>
  <c r="W14" i="5"/>
  <c r="W15" i="5"/>
  <c r="W16" i="5"/>
  <c r="W17" i="5"/>
  <c r="W12" i="5" l="1"/>
  <c r="AD12" i="5" l="1"/>
  <c r="AD13" i="5"/>
  <c r="AD14" i="5"/>
  <c r="AD15" i="5"/>
  <c r="AD16" i="5"/>
  <c r="AD17" i="5"/>
  <c r="AD18" i="5"/>
  <c r="AD19" i="5"/>
  <c r="AD20" i="5"/>
  <c r="AD21" i="5"/>
  <c r="W8" i="5" l="1"/>
  <c r="AD8" i="5" s="1"/>
  <c r="W9" i="5"/>
  <c r="AD9" i="5" s="1"/>
  <c r="W10" i="5"/>
  <c r="AD10" i="5" s="1"/>
  <c r="W11" i="5"/>
  <c r="AD11" i="5" s="1"/>
  <c r="W7" i="5" l="1"/>
  <c r="AD7" i="5" s="1"/>
  <c r="W6" i="5" l="1"/>
  <c r="AD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C6" authorId="0" shapeId="0" xr:uid="{00000000-0006-0000-0200-000001000000}">
      <text>
        <r>
          <rPr>
            <b/>
            <sz val="18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<sst xmlns="http://schemas.openxmlformats.org/spreadsheetml/2006/main" count="145" uniqueCount="110">
  <si>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</si>
  <si>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</si>
  <si>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</si>
  <si>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</si>
  <si>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</si>
  <si>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</si>
  <si>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</si>
  <si>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</si>
  <si>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</si>
  <si>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</si>
  <si>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</si>
  <si>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</si>
  <si>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</si>
  <si>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</si>
  <si>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</si>
  <si>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</si>
  <si>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</si>
  <si>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</si>
  <si>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</si>
  <si>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</si>
  <si>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</si>
  <si>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</si>
  <si>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</si>
  <si>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</si>
  <si>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</si>
  <si>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</si>
  <si>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</si>
  <si>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</si>
  <si>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</si>
  <si>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</si>
  <si>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</si>
  <si>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</si>
  <si>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</si>
  <si>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</si>
  <si>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</si>
  <si>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</si>
  <si>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</si>
  <si>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</si>
  <si>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</si>
  <si>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</si>
  <si>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</si>
  <si>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</si>
  <si>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</si>
  <si>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</si>
  <si>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</si>
  <si>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</si>
  <si>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</si>
  <si>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</si>
  <si>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</si>
  <si>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</si>
  <si>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</si>
  <si>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</si>
  <si>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</si>
  <si>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</si>
  <si>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</si>
  <si>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</si>
  <si>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</si>
  <si>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</si>
  <si>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</si>
  <si>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</si>
  <si>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</si>
  <si>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</si>
  <si>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</si>
  <si>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</si>
  <si>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</si>
  <si>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</si>
  <si>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</si>
  <si>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</si>
  <si>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</si>
  <si>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</si>
  <si>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</si>
  <si>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</si>
  <si>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</si>
  <si>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</si>
  <si>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</si>
  <si>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</si>
  <si>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</si>
  <si>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</si>
  <si>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</si>
  <si>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</si>
  <si>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</si>
  <si>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</si>
  <si>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</si>
  <si>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</si>
  <si>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</si>
  <si>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</si>
  <si>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</si>
  <si>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</si>
  <si>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</si>
  <si>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</si>
  <si>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Clave</t>
  </si>
  <si>
    <t>1 al 20</t>
  </si>
  <si>
    <t>TPC 128,5 x 16 mm L80 Cr1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</si>
  <si>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</si>
  <si>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</si>
  <si>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</si>
  <si>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</si>
  <si>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</si>
  <si>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</si>
  <si>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</si>
  <si>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</si>
  <si>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</si>
  <si>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</si>
  <si>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</si>
  <si>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</si>
  <si>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</si>
  <si>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</si>
  <si>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</si>
  <si>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</si>
  <si>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 xml:space="preserve">128,5 x 16 L80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</si>
</sst>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8"/>
      <color indexed="81"/>
      <name val="Tahoma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65" fontId="37" fillId="0" borderId="2" xfId="2" applyNumberFormat="1" applyFont="1" applyFill="1" applyBorder="1" applyAlignment="1">
      <alignment horizontal="center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Fill="1" applyBorder="1" applyAlignment="1"/>
    <xf numFmtId="14" fontId="47" fillId="0" borderId="0" xfId="0" quotePrefix="1" applyNumberFormat="1" applyFont="1" applyFill="1" applyBorder="1" applyAlignment="1"/>
    <xf numFmtId="14" fontId="47" fillId="0" borderId="0" xfId="0" applyNumberFormat="1" applyFont="1" applyFill="1" applyBorder="1" applyAlignment="1"/>
    <xf numFmtId="165" fontId="44" fillId="0" borderId="0" xfId="0" applyNumberFormat="1" applyFont="1" applyAlignment="1">
      <alignment horizontal="center"/>
    </xf>
    <xf numFmtId="0" fontId="49" fillId="0" borderId="25" xfId="0" applyFont="1" applyFill="1" applyBorder="1" applyAlignment="1"/>
    <xf numFmtId="165" fontId="49" fillId="0" borderId="25" xfId="0" applyNumberFormat="1" applyFont="1" applyFill="1" applyBorder="1" applyAlignment="1">
      <alignment horizontal="center"/>
    </xf>
    <xf numFmtId="0" fontId="49" fillId="0" borderId="23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3" fontId="55" fillId="0" borderId="7" xfId="0" applyNumberFormat="1" applyFont="1" applyFill="1" applyBorder="1" applyAlignment="1">
      <alignment horizontal="center"/>
    </xf>
    <xf numFmtId="0" fontId="55" fillId="0" borderId="2" xfId="0" applyFont="1" applyFill="1" applyBorder="1" applyAlignment="1" applyProtection="1">
      <alignment horizontal="center"/>
      <protection locked="0"/>
    </xf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1" fillId="5" borderId="0" xfId="0" applyFont="1" applyFill="1" applyBorder="1" applyAlignment="1" applyProtection="1">
      <alignment vertical="center"/>
      <protection hidden="1"/>
    </xf>
    <xf numFmtId="0" fontId="1" fillId="5" borderId="0" xfId="0" applyFont="1" applyFill="1" applyBorder="1" applyAlignment="1">
      <alignment vertical="center"/>
    </xf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40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41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21" fontId="28" fillId="5" borderId="0" xfId="0" applyNumberFormat="1" applyFont="1" applyFill="1" applyBorder="1" applyAlignment="1" applyProtection="1">
      <alignment horizontal="center" vertical="center"/>
      <protection hidden="1"/>
    </xf>
    <xf numFmtId="21" fontId="40" fillId="5" borderId="0" xfId="0" applyNumberFormat="1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center" vertical="center"/>
      <protection hidden="1"/>
    </xf>
    <xf numFmtId="0" fontId="35" fillId="5" borderId="0" xfId="0" applyFont="1" applyFill="1" applyBorder="1" applyAlignment="1" applyProtection="1">
      <alignment horizontal="center" vertical="center"/>
      <protection hidden="1"/>
    </xf>
    <xf numFmtId="0" fontId="1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0" xfId="0" applyFill="1"/>
    <xf numFmtId="0" fontId="1" fillId="4" borderId="0" xfId="0" applyFont="1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3" fillId="4" borderId="0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Border="1" applyAlignment="1" applyProtection="1">
      <alignment horizontal="left" vertical="center"/>
      <protection hidden="1"/>
    </xf>
    <xf numFmtId="0" fontId="21" fillId="4" borderId="0" xfId="0" applyFont="1" applyFill="1" applyBorder="1" applyAlignment="1" applyProtection="1">
      <alignment horizontal="left" vertical="center"/>
      <protection hidden="1"/>
    </xf>
    <xf numFmtId="15" fontId="4" fillId="4" borderId="0" xfId="0" applyNumberFormat="1" applyFont="1" applyFill="1" applyBorder="1" applyAlignment="1" applyProtection="1">
      <alignment horizontal="center" vertical="center"/>
      <protection hidden="1"/>
    </xf>
    <xf numFmtId="0" fontId="5" fillId="4" borderId="0" xfId="0" applyFont="1" applyFill="1" applyBorder="1" applyAlignment="1" applyProtection="1">
      <alignment horizontal="center" vertical="center"/>
      <protection hidden="1"/>
    </xf>
    <xf numFmtId="21" fontId="6" fillId="4" borderId="0" xfId="0" applyNumberFormat="1" applyFont="1" applyFill="1" applyBorder="1" applyAlignment="1" applyProtection="1">
      <alignment horizontal="center" vertical="center"/>
      <protection hidden="1"/>
    </xf>
    <xf numFmtId="0" fontId="7" fillId="4" borderId="0" xfId="0" applyFont="1" applyFill="1" applyBorder="1" applyAlignment="1" applyProtection="1">
      <alignment horizontal="center" vertical="center"/>
      <protection hidden="1"/>
    </xf>
    <xf numFmtId="0" fontId="22" fillId="4" borderId="0" xfId="0" applyFont="1" applyFill="1" applyBorder="1" applyAlignment="1" applyProtection="1">
      <alignment horizontal="right" vertical="center"/>
      <protection hidden="1"/>
    </xf>
    <xf numFmtId="0" fontId="22" fillId="4" borderId="0" xfId="0" applyFont="1" applyFill="1" applyBorder="1" applyAlignment="1" applyProtection="1">
      <alignment horizontal="center" vertical="center"/>
      <protection hidden="1"/>
    </xf>
    <xf numFmtId="0" fontId="6" fillId="4" borderId="0" xfId="0" applyFont="1" applyFill="1" applyBorder="1" applyAlignment="1" applyProtection="1">
      <alignment horizontal="center" vertical="center"/>
      <protection hidden="1"/>
    </xf>
    <xf numFmtId="21" fontId="23" fillId="4" borderId="0" xfId="0" applyNumberFormat="1" applyFont="1" applyFill="1" applyBorder="1" applyAlignment="1" applyProtection="1">
      <alignment horizontal="center" vertical="center"/>
      <protection hidden="1"/>
    </xf>
    <xf numFmtId="0" fontId="8" fillId="4" borderId="0" xfId="0" applyFont="1" applyFill="1" applyBorder="1" applyAlignment="1" applyProtection="1">
      <alignment horizontal="center" vertical="center"/>
      <protection hidden="1"/>
    </xf>
    <xf numFmtId="0" fontId="24" fillId="4" borderId="0" xfId="0" applyFont="1" applyFill="1" applyBorder="1" applyAlignment="1" applyProtection="1">
      <alignment horizontal="center" vertical="center"/>
      <protection hidden="1"/>
    </xf>
    <xf numFmtId="0" fontId="9" fillId="4" borderId="0" xfId="0" applyFont="1" applyFill="1" applyBorder="1" applyAlignment="1" applyProtection="1">
      <alignment vertical="center"/>
      <protection hidden="1"/>
    </xf>
    <xf numFmtId="0" fontId="15" fillId="4" borderId="0" xfId="0" applyFont="1" applyFill="1" applyBorder="1" applyAlignment="1" applyProtection="1">
      <alignment vertical="center"/>
      <protection hidden="1"/>
    </xf>
    <xf numFmtId="0" fontId="39" fillId="4" borderId="0" xfId="0" applyFont="1" applyFill="1" applyBorder="1" applyAlignment="1" applyProtection="1">
      <alignment vertical="center"/>
      <protection hidden="1"/>
    </xf>
    <xf numFmtId="0" fontId="25" fillId="4" borderId="0" xfId="0" applyFont="1" applyFill="1" applyBorder="1" applyAlignment="1" applyProtection="1">
      <alignment vertical="center"/>
      <protection hidden="1"/>
    </xf>
    <xf numFmtId="0" fontId="26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27" fillId="4" borderId="0" xfId="0" applyFont="1" applyFill="1" applyBorder="1" applyAlignment="1" applyProtection="1">
      <alignment horizontal="center" vertical="center"/>
      <protection hidden="1"/>
    </xf>
    <xf numFmtId="0" fontId="9" fillId="4" borderId="0" xfId="0" quotePrefix="1" applyFont="1" applyFill="1" applyBorder="1" applyAlignment="1" applyProtection="1">
      <alignment vertical="center"/>
      <protection hidden="1"/>
    </xf>
    <xf numFmtId="0" fontId="12" fillId="4" borderId="0" xfId="0" applyFont="1" applyFill="1" applyBorder="1" applyAlignment="1" applyProtection="1">
      <alignment vertical="center"/>
      <protection hidden="1"/>
    </xf>
    <xf numFmtId="21" fontId="30" fillId="4" borderId="0" xfId="0" applyNumberFormat="1" applyFont="1" applyFill="1" applyBorder="1" applyAlignment="1" applyProtection="1">
      <alignment horizontal="center" vertical="center"/>
      <protection hidden="1"/>
    </xf>
    <xf numFmtId="0" fontId="40" fillId="4" borderId="0" xfId="0" applyFont="1" applyFill="1" applyBorder="1" applyAlignment="1" applyProtection="1">
      <alignment vertical="center"/>
      <protection hidden="1"/>
    </xf>
    <xf numFmtId="0" fontId="31" fillId="4" borderId="0" xfId="0" applyFont="1" applyFill="1" applyBorder="1" applyAlignment="1" applyProtection="1">
      <alignment vertical="center"/>
      <protection hidden="1"/>
    </xf>
    <xf numFmtId="0" fontId="33" fillId="4" borderId="0" xfId="0" applyFont="1" applyFill="1" applyBorder="1" applyAlignment="1" applyProtection="1">
      <alignment vertical="center"/>
      <protection hidden="1"/>
    </xf>
    <xf numFmtId="0" fontId="14" fillId="4" borderId="0" xfId="0" applyFont="1" applyFill="1" applyBorder="1" applyAlignment="1" applyProtection="1">
      <alignment vertical="center"/>
      <protection hidden="1"/>
    </xf>
    <xf numFmtId="0" fontId="32" fillId="4" borderId="0" xfId="0" applyFont="1" applyFill="1" applyBorder="1" applyAlignment="1" applyProtection="1">
      <alignment vertical="center"/>
      <protection hidden="1"/>
    </xf>
    <xf numFmtId="0" fontId="34" fillId="4" borderId="0" xfId="0" applyFont="1" applyFill="1" applyBorder="1" applyAlignment="1" applyProtection="1">
      <alignment vertical="center"/>
      <protection hidden="1"/>
    </xf>
    <xf numFmtId="0" fontId="41" fillId="4" borderId="0" xfId="0" applyFont="1" applyFill="1" applyBorder="1" applyAlignment="1" applyProtection="1">
      <alignment vertical="center"/>
      <protection hidden="1"/>
    </xf>
    <xf numFmtId="21" fontId="31" fillId="4" borderId="0" xfId="0" applyNumberFormat="1" applyFont="1" applyFill="1" applyBorder="1" applyAlignment="1" applyProtection="1">
      <alignment horizontal="center" vertical="center"/>
      <protection hidden="1"/>
    </xf>
    <xf numFmtId="0" fontId="0" fillId="4" borderId="11" xfId="0" applyFill="1" applyBorder="1" applyAlignment="1" applyProtection="1">
      <alignment vertical="center"/>
      <protection hidden="1"/>
    </xf>
    <xf numFmtId="0" fontId="0" fillId="4" borderId="20" xfId="0" applyFill="1" applyBorder="1" applyAlignment="1" applyProtection="1">
      <alignment vertical="center"/>
      <protection hidden="1"/>
    </xf>
    <xf numFmtId="0" fontId="1" fillId="4" borderId="20" xfId="0" applyFont="1" applyFill="1" applyBorder="1" applyAlignment="1" applyProtection="1">
      <alignment vertical="center"/>
      <protection hidden="1"/>
    </xf>
    <xf numFmtId="0" fontId="1" fillId="4" borderId="22" xfId="0" applyFont="1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1" fillId="4" borderId="28" xfId="0" applyFont="1" applyFill="1" applyBorder="1" applyAlignment="1" applyProtection="1">
      <alignment vertical="center"/>
      <protection hidden="1"/>
    </xf>
    <xf numFmtId="21" fontId="23" fillId="4" borderId="28" xfId="0" applyNumberFormat="1" applyFont="1" applyFill="1" applyBorder="1" applyAlignment="1" applyProtection="1">
      <alignment horizontal="center" vertical="center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9" fillId="4" borderId="24" xfId="0" applyFont="1" applyFill="1" applyBorder="1" applyAlignment="1" applyProtection="1">
      <alignment vertical="center"/>
      <protection hidden="1"/>
    </xf>
    <xf numFmtId="0" fontId="10" fillId="4" borderId="24" xfId="0" applyFont="1" applyFill="1" applyBorder="1" applyAlignment="1" applyProtection="1">
      <alignment vertical="center"/>
      <protection hidden="1"/>
    </xf>
    <xf numFmtId="0" fontId="25" fillId="4" borderId="28" xfId="0" applyFont="1" applyFill="1" applyBorder="1" applyAlignment="1" applyProtection="1">
      <alignment vertical="center"/>
      <protection hidden="1"/>
    </xf>
    <xf numFmtId="21" fontId="28" fillId="4" borderId="28" xfId="0" applyNumberFormat="1" applyFont="1" applyFill="1" applyBorder="1" applyAlignment="1" applyProtection="1">
      <alignment horizontal="center" vertical="center"/>
      <protection hidden="1"/>
    </xf>
    <xf numFmtId="0" fontId="9" fillId="4" borderId="29" xfId="0" applyFont="1" applyFill="1" applyBorder="1" applyAlignment="1" applyProtection="1">
      <alignment vertical="center"/>
      <protection hidden="1"/>
    </xf>
    <xf numFmtId="0" fontId="9" fillId="4" borderId="25" xfId="0" applyFont="1" applyFill="1" applyBorder="1" applyAlignment="1" applyProtection="1">
      <alignment vertical="center"/>
      <protection hidden="1"/>
    </xf>
    <xf numFmtId="0" fontId="25" fillId="4" borderId="25" xfId="0" applyFont="1" applyFill="1" applyBorder="1" applyAlignment="1" applyProtection="1">
      <alignment vertical="center"/>
      <protection hidden="1"/>
    </xf>
    <xf numFmtId="0" fontId="41" fillId="4" borderId="25" xfId="0" applyFont="1" applyFill="1" applyBorder="1" applyAlignment="1" applyProtection="1">
      <alignment vertical="center"/>
      <protection hidden="1"/>
    </xf>
    <xf numFmtId="0" fontId="40" fillId="4" borderId="25" xfId="0" applyFont="1" applyFill="1" applyBorder="1" applyAlignment="1" applyProtection="1">
      <alignment vertical="center"/>
      <protection hidden="1"/>
    </xf>
    <xf numFmtId="21" fontId="40" fillId="4" borderId="25" xfId="0" applyNumberFormat="1" applyFont="1" applyFill="1" applyBorder="1" applyAlignment="1" applyProtection="1">
      <alignment horizontal="center" vertical="center"/>
      <protection hidden="1"/>
    </xf>
    <xf numFmtId="21" fontId="31" fillId="4" borderId="25" xfId="0" applyNumberFormat="1" applyFont="1" applyFill="1" applyBorder="1" applyAlignment="1" applyProtection="1">
      <alignment horizontal="center" vertical="center"/>
      <protection hidden="1"/>
    </xf>
    <xf numFmtId="21" fontId="28" fillId="4" borderId="23" xfId="0" applyNumberFormat="1" applyFont="1" applyFill="1" applyBorder="1" applyAlignment="1" applyProtection="1">
      <alignment horizontal="center" vertical="center"/>
      <protection hidden="1"/>
    </xf>
    <xf numFmtId="15" fontId="54" fillId="0" borderId="7" xfId="0" applyNumberFormat="1" applyFont="1" applyFill="1" applyBorder="1" applyAlignment="1">
      <alignment horizontal="center"/>
    </xf>
    <xf numFmtId="0" fontId="55" fillId="0" borderId="2" xfId="3" applyFont="1" applyBorder="1" applyAlignment="1">
      <alignment horizontal="center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0" fontId="55" fillId="0" borderId="3" xfId="0" applyFont="1" applyFill="1" applyBorder="1" applyAlignment="1">
      <alignment horizontal="center"/>
    </xf>
    <xf numFmtId="3" fontId="55" fillId="0" borderId="7" xfId="2" applyNumberFormat="1" applyFont="1" applyFill="1" applyBorder="1" applyAlignment="1" applyProtection="1">
      <alignment horizontal="center"/>
      <protection locked="0"/>
    </xf>
    <xf numFmtId="3" fontId="55" fillId="0" borderId="30" xfId="2" applyNumberFormat="1" applyFont="1" applyFill="1" applyBorder="1" applyAlignment="1" applyProtection="1">
      <alignment horizontal="center"/>
      <protection locked="0"/>
    </xf>
    <xf numFmtId="3" fontId="56" fillId="0" borderId="2" xfId="0" applyNumberFormat="1" applyFont="1" applyFill="1" applyBorder="1" applyAlignment="1" applyProtection="1">
      <alignment horizontal="center"/>
    </xf>
    <xf numFmtId="0" fontId="58" fillId="0" borderId="2" xfId="0" applyFont="1" applyFill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/>
    </xf>
    <xf numFmtId="0" fontId="55" fillId="0" borderId="31" xfId="0" applyFont="1" applyFill="1" applyBorder="1" applyAlignment="1">
      <alignment horizontal="center"/>
    </xf>
    <xf numFmtId="15" fontId="54" fillId="0" borderId="6" xfId="0" applyNumberFormat="1" applyFont="1" applyFill="1" applyBorder="1" applyAlignment="1">
      <alignment horizontal="center"/>
    </xf>
    <xf numFmtId="0" fontId="60" fillId="0" borderId="0" xfId="0" applyFont="1" applyFill="1" applyBorder="1" applyAlignment="1"/>
    <xf numFmtId="0" fontId="61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3" fontId="62" fillId="0" borderId="30" xfId="2" applyNumberFormat="1" applyFont="1" applyFill="1" applyBorder="1" applyAlignment="1" applyProtection="1">
      <alignment horizontal="center"/>
      <protection locked="0"/>
    </xf>
    <xf numFmtId="3" fontId="58" fillId="0" borderId="1" xfId="0" applyNumberFormat="1" applyFont="1" applyFill="1" applyBorder="1" applyAlignment="1" applyProtection="1">
      <alignment horizontal="center"/>
      <protection locked="0"/>
    </xf>
    <xf numFmtId="0" fontId="57" fillId="8" borderId="0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 vertical="center" wrapText="1"/>
    </xf>
    <xf numFmtId="0" fontId="42" fillId="9" borderId="0" xfId="0" applyFont="1" applyFill="1" applyAlignment="1">
      <alignment horizontal="center" vertical="center" wrapText="1"/>
    </xf>
    <xf numFmtId="0" fontId="63" fillId="9" borderId="0" xfId="0" applyFont="1" applyFill="1" applyAlignment="1">
      <alignment horizontal="center" vertical="center" wrapText="1"/>
    </xf>
    <xf numFmtId="165" fontId="37" fillId="0" borderId="2" xfId="0" applyNumberFormat="1" applyFont="1" applyFill="1" applyBorder="1" applyAlignment="1">
      <alignment horizontal="center"/>
    </xf>
    <xf numFmtId="0" fontId="48" fillId="6" borderId="0" xfId="0" applyFont="1" applyFill="1" applyAlignment="1">
      <alignment horizontal="center"/>
    </xf>
    <xf numFmtId="0" fontId="43" fillId="6" borderId="0" xfId="0" applyFont="1" applyFill="1" applyBorder="1" applyAlignment="1"/>
    <xf numFmtId="0" fontId="65" fillId="6" borderId="0" xfId="0" applyFont="1" applyFill="1" applyBorder="1" applyAlignment="1">
      <alignment horizontal="center"/>
    </xf>
    <xf numFmtId="0" fontId="44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52" fillId="6" borderId="0" xfId="0" applyFont="1" applyFill="1" applyBorder="1" applyAlignment="1">
      <alignment horizontal="right"/>
    </xf>
    <xf numFmtId="1" fontId="50" fillId="5" borderId="0" xfId="0" applyNumberFormat="1" applyFont="1" applyFill="1" applyBorder="1" applyAlignment="1">
      <alignment horizontal="center"/>
    </xf>
    <xf numFmtId="165" fontId="50" fillId="6" borderId="0" xfId="0" applyNumberFormat="1" applyFont="1" applyFill="1" applyBorder="1" applyAlignment="1">
      <alignment horizontal="center"/>
    </xf>
    <xf numFmtId="1" fontId="44" fillId="6" borderId="0" xfId="0" applyNumberFormat="1" applyFont="1" applyFill="1" applyAlignment="1">
      <alignment horizontal="center"/>
    </xf>
    <xf numFmtId="0" fontId="70" fillId="7" borderId="32" xfId="4" applyFont="1" applyFill="1" applyBorder="1" applyAlignment="1">
      <alignment horizontal="center"/>
    </xf>
    <xf numFmtId="0" fontId="70" fillId="11" borderId="32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71" fillId="14" borderId="13" xfId="4" applyFont="1" applyFill="1" applyBorder="1" applyAlignment="1">
      <alignment horizontal="center" vertical="center" wrapText="1"/>
    </xf>
    <xf numFmtId="0" fontId="71" fillId="14" borderId="14" xfId="4" applyFont="1" applyFill="1" applyBorder="1" applyAlignment="1">
      <alignment horizontal="center" vertical="center" wrapText="1"/>
    </xf>
    <xf numFmtId="0" fontId="70" fillId="7" borderId="37" xfId="4" applyFont="1" applyFill="1" applyBorder="1" applyAlignment="1">
      <alignment horizontal="center" vertical="center" wrapText="1"/>
    </xf>
    <xf numFmtId="0" fontId="70" fillId="7" borderId="17" xfId="4" applyFont="1" applyFill="1" applyBorder="1" applyAlignment="1">
      <alignment horizontal="center" vertical="center" wrapText="1"/>
    </xf>
    <xf numFmtId="0" fontId="70" fillId="7" borderId="11" xfId="4" applyFont="1" applyFill="1" applyBorder="1" applyAlignment="1">
      <alignment horizontal="center" vertical="center" wrapText="1"/>
    </xf>
    <xf numFmtId="0" fontId="70" fillId="11" borderId="17" xfId="4" applyFont="1" applyFill="1" applyBorder="1" applyAlignment="1">
      <alignment horizontal="center" vertical="center" wrapText="1"/>
    </xf>
    <xf numFmtId="0" fontId="70" fillId="11" borderId="20" xfId="4" applyFont="1" applyFill="1" applyBorder="1" applyAlignment="1">
      <alignment horizontal="center" vertical="center" wrapText="1"/>
    </xf>
    <xf numFmtId="0" fontId="70" fillId="12" borderId="17" xfId="4" applyFont="1" applyFill="1" applyBorder="1" applyAlignment="1">
      <alignment horizontal="center" vertical="center" wrapText="1"/>
    </xf>
    <xf numFmtId="0" fontId="71" fillId="14" borderId="15" xfId="4" applyFont="1" applyFill="1" applyBorder="1" applyAlignment="1">
      <alignment horizontal="center" vertical="center" wrapText="1"/>
    </xf>
    <xf numFmtId="0" fontId="71" fillId="10" borderId="15" xfId="4" applyFont="1" applyFill="1" applyBorder="1" applyAlignment="1">
      <alignment horizontal="center" vertical="center" wrapText="1"/>
    </xf>
    <xf numFmtId="0" fontId="71" fillId="10" borderId="13" xfId="4" applyFont="1" applyFill="1" applyBorder="1" applyAlignment="1">
      <alignment horizontal="center" vertical="center" wrapText="1"/>
    </xf>
    <xf numFmtId="0" fontId="71" fillId="10" borderId="16" xfId="4" applyFont="1" applyFill="1" applyBorder="1" applyAlignment="1">
      <alignment horizontal="center" vertical="center" wrapText="1"/>
    </xf>
    <xf numFmtId="0" fontId="70" fillId="12" borderId="11" xfId="4" applyFont="1" applyFill="1" applyBorder="1" applyAlignment="1">
      <alignment horizontal="center" vertical="center" wrapText="1"/>
    </xf>
    <xf numFmtId="15" fontId="20" fillId="5" borderId="2" xfId="0" applyNumberFormat="1" applyFont="1" applyFill="1" applyBorder="1" applyAlignment="1">
      <alignment horizontal="center"/>
    </xf>
    <xf numFmtId="15" fontId="20" fillId="2" borderId="2" xfId="0" applyNumberFormat="1" applyFont="1" applyFill="1" applyBorder="1" applyAlignment="1">
      <alignment horizontal="center"/>
    </xf>
    <xf numFmtId="0" fontId="38" fillId="0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74" fillId="0" borderId="0" xfId="0" applyFont="1"/>
    <xf numFmtId="0" fontId="59" fillId="4" borderId="0" xfId="0" applyFont="1" applyFill="1" applyBorder="1" applyAlignment="1" applyProtection="1">
      <alignment horizontal="center" vertical="center"/>
      <protection hidden="1"/>
    </xf>
    <xf numFmtId="0" fontId="69" fillId="13" borderId="21" xfId="4" applyFont="1" applyFill="1" applyBorder="1" applyAlignment="1">
      <alignment horizontal="center" vertical="center" shrinkToFit="1"/>
    </xf>
    <xf numFmtId="0" fontId="69" fillId="13" borderId="12" xfId="4" applyFont="1" applyFill="1" applyBorder="1" applyAlignment="1">
      <alignment horizontal="center" vertical="center" shrinkToFit="1"/>
    </xf>
    <xf numFmtId="0" fontId="66" fillId="10" borderId="21" xfId="4" applyFont="1" applyFill="1" applyBorder="1" applyAlignment="1">
      <alignment horizontal="center" vertical="center"/>
    </xf>
    <xf numFmtId="0" fontId="66" fillId="10" borderId="12" xfId="4" applyFont="1" applyFill="1" applyBorder="1" applyAlignment="1">
      <alignment horizontal="center" vertical="center"/>
    </xf>
    <xf numFmtId="0" fontId="72" fillId="0" borderId="25" xfId="0" applyFont="1" applyFill="1" applyBorder="1" applyAlignment="1">
      <alignment horizontal="center" vertical="center"/>
    </xf>
    <xf numFmtId="0" fontId="73" fillId="0" borderId="25" xfId="0" applyFont="1" applyFill="1" applyBorder="1" applyAlignment="1">
      <alignment horizontal="center" vertical="center"/>
    </xf>
    <xf numFmtId="0" fontId="13" fillId="0" borderId="25" xfId="0" applyFont="1" applyFill="1" applyBorder="1" applyAlignment="1">
      <alignment horizontal="center" vertical="center"/>
    </xf>
    <xf numFmtId="0" fontId="66" fillId="10" borderId="11" xfId="4" applyFont="1" applyFill="1" applyBorder="1" applyAlignment="1">
      <alignment horizontal="center" vertical="center"/>
    </xf>
    <xf numFmtId="0" fontId="66" fillId="10" borderId="20" xfId="4" applyFont="1" applyFill="1" applyBorder="1" applyAlignment="1">
      <alignment horizontal="center" vertical="center"/>
    </xf>
    <xf numFmtId="0" fontId="66" fillId="10" borderId="8" xfId="4" applyFont="1" applyFill="1" applyBorder="1" applyAlignment="1">
      <alignment horizontal="center" vertical="center"/>
    </xf>
    <xf numFmtId="0" fontId="69" fillId="10" borderId="8" xfId="4" applyFont="1" applyFill="1" applyBorder="1" applyAlignment="1">
      <alignment horizontal="center" vertical="center" shrinkToFit="1"/>
    </xf>
    <xf numFmtId="0" fontId="69" fillId="10" borderId="21" xfId="4" applyFont="1" applyFill="1" applyBorder="1" applyAlignment="1">
      <alignment horizontal="center" vertical="center" shrinkToFit="1"/>
    </xf>
    <xf numFmtId="0" fontId="69" fillId="13" borderId="4" xfId="4" applyFont="1" applyFill="1" applyBorder="1" applyAlignment="1">
      <alignment horizontal="center" vertical="center" shrinkToFit="1"/>
    </xf>
    <xf numFmtId="0" fontId="69" fillId="13" borderId="5" xfId="4" applyFont="1" applyFill="1" applyBorder="1" applyAlignment="1">
      <alignment horizontal="center" vertical="center" shrinkToFit="1"/>
    </xf>
    <xf numFmtId="0" fontId="69" fillId="13" borderId="26" xfId="4" applyFont="1" applyFill="1" applyBorder="1" applyAlignment="1">
      <alignment horizontal="center" vertical="center" shrinkToFit="1"/>
    </xf>
    <xf numFmtId="0" fontId="69" fillId="13" borderId="9" xfId="4" applyFont="1" applyFill="1" applyBorder="1" applyAlignment="1">
      <alignment horizontal="center" vertical="center" shrinkToFit="1"/>
    </xf>
    <xf numFmtId="0" fontId="70" fillId="12" borderId="32" xfId="4" applyFont="1" applyFill="1" applyBorder="1" applyAlignment="1">
      <alignment horizontal="center"/>
    </xf>
    <xf numFmtId="0" fontId="68" fillId="11" borderId="34" xfId="4" applyFont="1" applyFill="1" applyBorder="1" applyAlignment="1">
      <alignment horizontal="center"/>
    </xf>
    <xf numFmtId="0" fontId="67" fillId="7" borderId="33" xfId="4" applyFont="1" applyFill="1" applyBorder="1" applyAlignment="1">
      <alignment horizontal="center"/>
    </xf>
    <xf numFmtId="0" fontId="67" fillId="7" borderId="34" xfId="4" applyFont="1" applyFill="1" applyBorder="1" applyAlignment="1">
      <alignment horizontal="center"/>
    </xf>
    <xf numFmtId="0" fontId="68" fillId="12" borderId="34" xfId="4" applyFont="1" applyFill="1" applyBorder="1" applyAlignment="1">
      <alignment horizontal="center"/>
    </xf>
    <xf numFmtId="0" fontId="68" fillId="12" borderId="35" xfId="4" applyFont="1" applyFill="1" applyBorder="1" applyAlignment="1">
      <alignment horizontal="center"/>
    </xf>
    <xf numFmtId="0" fontId="70" fillId="7" borderId="36" xfId="4" applyFont="1" applyFill="1" applyBorder="1" applyAlignment="1">
      <alignment horizontal="center"/>
    </xf>
    <xf numFmtId="0" fontId="70" fillId="7" borderId="32" xfId="4" applyFont="1" applyFill="1" applyBorder="1" applyAlignment="1">
      <alignment horizontal="center"/>
    </xf>
    <xf numFmtId="0" fontId="57" fillId="8" borderId="25" xfId="0" applyFont="1" applyFill="1" applyBorder="1" applyAlignment="1">
      <alignment horizontal="center"/>
    </xf>
    <xf numFmtId="0" fontId="57" fillId="8" borderId="0" xfId="0" applyFont="1" applyFill="1" applyAlignment="1">
      <alignment horizontal="center"/>
    </xf>
    <xf numFmtId="0" fontId="42" fillId="8" borderId="11" xfId="0" applyFont="1" applyFill="1" applyBorder="1" applyAlignment="1">
      <alignment horizontal="center" vertical="center" wrapText="1"/>
    </xf>
    <xf numFmtId="0" fontId="42" fillId="8" borderId="20" xfId="0" applyFont="1" applyFill="1" applyBorder="1" applyAlignment="1">
      <alignment horizontal="center" vertical="center" wrapText="1"/>
    </xf>
    <xf numFmtId="0" fontId="42" fillId="8" borderId="22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D0B-4989-A832-7B640A02851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D0B-4989-A832-7B640A02851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D0B-4989-A832-7B640A02851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D0B-4989-A832-7B640A02851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D0B-4989-A832-7B640A02851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D0B-4989-A832-7B640A028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625480"/>
        <c:axId val="550626656"/>
      </c:barChart>
      <c:catAx>
        <c:axId val="55062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6266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5062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6254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A9-4A59-B6C0-3A8EBD3926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CA9-4A59-B6C0-3A8EBD3926E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CA9-4A59-B6C0-3A8EBD3926E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CA9-4A59-B6C0-3A8EBD3926E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CA9-4A59-B6C0-3A8EBD3926E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CA9-4A59-B6C0-3A8EBD3926E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CA9-4A59-B6C0-3A8EBD3926E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CA9-4A59-B6C0-3A8EBD3926E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CA9-4A59-B6C0-3A8EBD3926E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CA9-4A59-B6C0-3A8EBD3926E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CA9-4A59-B6C0-3A8EBD392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624304"/>
        <c:axId val="550627832"/>
      </c:lineChart>
      <c:catAx>
        <c:axId val="55062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62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0627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06243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52-4A6B-A312-37C1D104A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52-4A6B-A312-37C1D104A3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52-4A6B-A312-37C1D104A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52-4A6B-A312-37C1D104A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52-4A6B-A312-37C1D104A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52-4A6B-A312-37C1D104A3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52-4A6B-A312-37C1D104A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52-4A6B-A312-37C1D104A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52-4A6B-A312-37C1D104A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52-4A6B-A312-37C1D104A3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52-4A6B-A312-37C1D104A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52-4A6B-A312-37C1D104A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52-4A6B-A312-37C1D104A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52-4A6B-A312-37C1D104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434600"/>
        <c:axId val="319434992"/>
      </c:barChart>
      <c:catAx>
        <c:axId val="31943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43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43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43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DD-49C0-ADCD-F375C2847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DD-49C0-ADCD-F375C2847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DD-49C0-ADCD-F375C2847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DD-49C0-ADCD-F375C2847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DD-49C0-ADCD-F375C2847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DD-49C0-ADCD-F375C2847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DD-49C0-ADCD-F375C2847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DD-49C0-ADCD-F375C2847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DD-49C0-ADCD-F375C2847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DD-49C0-ADCD-F375C2847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DD-49C0-ADCD-F375C2847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DD-49C0-ADCD-F375C2847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DD-49C0-ADCD-F375C2847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DD-49C0-ADCD-F375C2847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366256"/>
        <c:axId val="215365864"/>
      </c:barChart>
      <c:catAx>
        <c:axId val="21536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5365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5365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5366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1-4C1F-9272-7F314BDE5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1-4C1F-9272-7F314BDE5C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1-4C1F-9272-7F314BDE5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1-4C1F-9272-7F314BDE5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1-4C1F-9272-7F314BDE5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1-4C1F-9272-7F314BDE5C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1-4C1F-9272-7F314BDE5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1-4C1F-9272-7F314BDE5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1-4C1F-9272-7F314BDE5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1-4C1F-9272-7F314BDE5C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1-4C1F-9272-7F314BDE5C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1-4C1F-9272-7F314BDE5C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1-4C1F-9272-7F314BDE5C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1-4C1F-9272-7F314BDE5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082136"/>
        <c:axId val="212579088"/>
      </c:barChart>
      <c:catAx>
        <c:axId val="364082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257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579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4082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72-4241-AD5D-F2C0DEB720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72-4241-AD5D-F2C0DEB720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72-4241-AD5D-F2C0DEB720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72-4241-AD5D-F2C0DEB720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72-4241-AD5D-F2C0DEB720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72-4241-AD5D-F2C0DEB720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72-4241-AD5D-F2C0DEB720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72-4241-AD5D-F2C0DEB720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72-4241-AD5D-F2C0DEB720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72-4241-AD5D-F2C0DEB720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72-4241-AD5D-F2C0DEB720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72-4241-AD5D-F2C0DEB720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72-4241-AD5D-F2C0DEB720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72-4241-AD5D-F2C0DEB72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89464"/>
        <c:axId val="323289856"/>
      </c:barChart>
      <c:catAx>
        <c:axId val="32328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8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89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89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5E-4ED6-BF0D-B034214036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5E-4ED6-BF0D-B034214036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5E-4ED6-BF0D-B034214036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5E-4ED6-BF0D-B034214036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5E-4ED6-BF0D-B034214036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5E-4ED6-BF0D-B034214036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5E-4ED6-BF0D-B034214036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5E-4ED6-BF0D-B034214036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5E-4ED6-BF0D-B034214036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5E-4ED6-BF0D-B034214036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5E-4ED6-BF0D-B034214036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5E-4ED6-BF0D-B034214036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5E-4ED6-BF0D-B034214036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5E-4ED6-BF0D-B0342140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90640"/>
        <c:axId val="323291032"/>
      </c:barChart>
      <c:catAx>
        <c:axId val="32329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91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91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90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3A-45A5-A0FA-D079F37022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3A-45A5-A0FA-D079F37022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3A-45A5-A0FA-D079F37022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3A-45A5-A0FA-D079F37022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3A-45A5-A0FA-D079F37022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73A-45A5-A0FA-D079F37022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3A-45A5-A0FA-D079F37022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3A-45A5-A0FA-D079F37022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3A-45A5-A0FA-D079F37022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73A-45A5-A0FA-D079F37022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3A-45A5-A0FA-D079F37022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3A-45A5-A0FA-D079F37022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3A-45A5-A0FA-D079F37022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73A-45A5-A0FA-D079F37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91816"/>
        <c:axId val="323292208"/>
      </c:barChart>
      <c:catAx>
        <c:axId val="323291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92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92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3291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41-495E-B82A-B4507E7BE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41-495E-B82A-B4507E7BE7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1-495E-B82A-B4507E7BE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1-495E-B82A-B4507E7BE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41-495E-B82A-B4507E7BE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41-495E-B82A-B4507E7BE7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41-495E-B82A-B4507E7BE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1-495E-B82A-B4507E7BE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41-495E-B82A-B4507E7BE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41-495E-B82A-B4507E7BE7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41-495E-B82A-B4507E7BE7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41-495E-B82A-B4507E7BE7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41-495E-B82A-B4507E7BE7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41-495E-B82A-B4507E7BE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956880"/>
        <c:axId val="489957272"/>
      </c:barChart>
      <c:catAx>
        <c:axId val="48995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7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957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6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19-43D7-B19C-533C826935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19-43D7-B19C-533C826935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19-43D7-B19C-533C826935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19-43D7-B19C-533C826935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19-43D7-B19C-533C826935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19-43D7-B19C-533C826935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19-43D7-B19C-533C826935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19-43D7-B19C-533C826935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19-43D7-B19C-533C826935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19-43D7-B19C-533C826935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19-43D7-B19C-533C826935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19-43D7-B19C-533C826935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19-43D7-B19C-533C826935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19-43D7-B19C-533C826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958056"/>
        <c:axId val="489958448"/>
      </c:barChart>
      <c:catAx>
        <c:axId val="48995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958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8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D6-4D17-933F-3D94197578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D6-4D17-933F-3D94197578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D6-4D17-933F-3D94197578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D6-4D17-933F-3D94197578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D6-4D17-933F-3D94197578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D6-4D17-933F-3D94197578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D6-4D17-933F-3D94197578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D6-4D17-933F-3D94197578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D6-4D17-933F-3D94197578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D6-4D17-933F-3D94197578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D6-4D17-933F-3D94197578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D6-4D17-933F-3D94197578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D6-4D17-933F-3D94197578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D6-4D17-933F-3D9419757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959232"/>
        <c:axId val="489959624"/>
      </c:barChart>
      <c:catAx>
        <c:axId val="4899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9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9959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59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6A-4402-9FCB-A8BC61D3B0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6A-4402-9FCB-A8BC61D3B0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6A-4402-9FCB-A8BC61D3B0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6A-4402-9FCB-A8BC61D3B0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6A-4402-9FCB-A8BC61D3B0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6A-4402-9FCB-A8BC61D3B0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6A-4402-9FCB-A8BC61D3B0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6A-4402-9FCB-A8BC61D3B0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6A-4402-9FCB-A8BC61D3B0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6A-4402-9FCB-A8BC61D3B0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6A-4402-9FCB-A8BC61D3B0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6A-4402-9FCB-A8BC61D3B0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6A-4402-9FCB-A8BC61D3B0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6A-4402-9FCB-A8BC61D3B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960408"/>
        <c:axId val="470276600"/>
      </c:barChart>
      <c:catAx>
        <c:axId val="48996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27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996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81-43F8-A7C2-0B7624DC8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81-43F8-A7C2-0B7624DC8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81-43F8-A7C2-0B7624DC8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81-43F8-A7C2-0B7624DC8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81-43F8-A7C2-0B7624DC8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81-43F8-A7C2-0B7624DC8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81-43F8-A7C2-0B7624DC8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81-43F8-A7C2-0B7624DC8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81-43F8-A7C2-0B7624DC8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81-43F8-A7C2-0B7624DC8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81-43F8-A7C2-0B7624DC8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81-43F8-A7C2-0B7624DC8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81-43F8-A7C2-0B7624DC8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81-43F8-A7C2-0B7624DC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0277384"/>
        <c:axId val="470277776"/>
      </c:barChart>
      <c:catAx>
        <c:axId val="47027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27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A6-4F49-9A4E-F84028276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A6-4F49-9A4E-F84028276D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6-4F49-9A4E-F84028276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A6-4F49-9A4E-F84028276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6-4F49-9A4E-F84028276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A6-4F49-9A4E-F84028276D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6-4F49-9A4E-F84028276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A6-4F49-9A4E-F84028276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A6-4F49-9A4E-F84028276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A6-4F49-9A4E-F84028276D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A6-4F49-9A4E-F84028276D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A6-4F49-9A4E-F84028276D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A6-4F49-9A4E-F84028276D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A6-4F49-9A4E-F84028276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0278560"/>
        <c:axId val="470278952"/>
      </c:barChart>
      <c:catAx>
        <c:axId val="47027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27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5B-46F7-B25E-EC88CCA5C4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5B-46F7-B25E-EC88CCA5C4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5B-46F7-B25E-EC88CCA5C4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5B-46F7-B25E-EC88CCA5C4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5B-46F7-B25E-EC88CCA5C4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5B-46F7-B25E-EC88CCA5C4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5B-46F7-B25E-EC88CCA5C4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5B-46F7-B25E-EC88CCA5C4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5B-46F7-B25E-EC88CCA5C4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5B-46F7-B25E-EC88CCA5C4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5B-46F7-B25E-EC88CCA5C4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5B-46F7-B25E-EC88CCA5C4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5B-46F7-B25E-EC88CCA5C4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5B-46F7-B25E-EC88CCA5C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0279736"/>
        <c:axId val="470280128"/>
      </c:barChart>
      <c:catAx>
        <c:axId val="47027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8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028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027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74E-403C-9CD0-B773ADBFCD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4E-403C-9CD0-B773ADBFCD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4E-403C-9CD0-B773ADBFCD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4E-403C-9CD0-B773ADBFCD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4E-403C-9CD0-B773ADBFCD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74E-403C-9CD0-B773ADBFCD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4E-403C-9CD0-B773ADBFCD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4E-403C-9CD0-B773ADBFCD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4E-403C-9CD0-B773ADBFCD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74E-403C-9CD0-B773ADBFCD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4E-403C-9CD0-B773ADBFCD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4E-403C-9CD0-B773ADBFCD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74E-403C-9CD0-B773ADBFCD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74E-403C-9CD0-B773ADBFC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75144"/>
        <c:axId val="557275536"/>
      </c:barChart>
      <c:catAx>
        <c:axId val="55727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5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275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5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EE-414B-8B95-843AE35CD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EE-414B-8B95-843AE35CD9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EE-414B-8B95-843AE35CD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EE-414B-8B95-843AE35CD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EE-414B-8B95-843AE35CD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EE-414B-8B95-843AE35CD9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EE-414B-8B95-843AE35CD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EE-414B-8B95-843AE35CD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EE-414B-8B95-843AE35CD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EE-414B-8B95-843AE35CD9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EE-414B-8B95-843AE35CD9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EE-414B-8B95-843AE35CD9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EE-414B-8B95-843AE35CD9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EE-414B-8B95-843AE35CD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76320"/>
        <c:axId val="557276712"/>
      </c:barChart>
      <c:catAx>
        <c:axId val="5572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6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276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6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AD-4EF2-B03E-429C1A89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AD-4EF2-B03E-429C1A893E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AD-4EF2-B03E-429C1A89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AD-4EF2-B03E-429C1A89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AD-4EF2-B03E-429C1A89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AD-4EF2-B03E-429C1A893E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AD-4EF2-B03E-429C1A89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AD-4EF2-B03E-429C1A89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AD-4EF2-B03E-429C1A89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AD-4EF2-B03E-429C1A893E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AD-4EF2-B03E-429C1A89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AD-4EF2-B03E-429C1A89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AD-4EF2-B03E-429C1A89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AD-4EF2-B03E-429C1A89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277496"/>
        <c:axId val="557277888"/>
      </c:barChart>
      <c:catAx>
        <c:axId val="55727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7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7277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7277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46-428A-84A1-E503087FB2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46-428A-84A1-E503087FB2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46-428A-84A1-E503087FB2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46-428A-84A1-E503087FB2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46-428A-84A1-E503087FB2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46-428A-84A1-E503087FB2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46-428A-84A1-E503087FB2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46-428A-84A1-E503087FB2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46-428A-84A1-E503087FB2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46-428A-84A1-E503087FB2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46-428A-84A1-E503087FB2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46-428A-84A1-E503087FB2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46-428A-84A1-E503087FB2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46-428A-84A1-E503087F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897904"/>
        <c:axId val="356898296"/>
      </c:barChart>
      <c:catAx>
        <c:axId val="35689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89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898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89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29-4207-9CE9-0FC3B6BB4F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29-4207-9CE9-0FC3B6BB4FA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29-4207-9CE9-0FC3B6BB4F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29-4207-9CE9-0FC3B6BB4F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29-4207-9CE9-0FC3B6BB4F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29-4207-9CE9-0FC3B6BB4FA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29-4207-9CE9-0FC3B6BB4F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29-4207-9CE9-0FC3B6BB4F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29-4207-9CE9-0FC3B6BB4F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29-4207-9CE9-0FC3B6BB4FA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29-4207-9CE9-0FC3B6BB4F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29-4207-9CE9-0FC3B6BB4F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29-4207-9CE9-0FC3B6BB4F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29-4207-9CE9-0FC3B6BB4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899080"/>
        <c:axId val="356899472"/>
      </c:barChart>
      <c:catAx>
        <c:axId val="356899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89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899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899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09-4621-AFDA-8DEF5E1B3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09-4621-AFDA-8DEF5E1B36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09-4621-AFDA-8DEF5E1B3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09-4621-AFDA-8DEF5E1B3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09-4621-AFDA-8DEF5E1B3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09-4621-AFDA-8DEF5E1B36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09-4621-AFDA-8DEF5E1B3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09-4621-AFDA-8DEF5E1B3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09-4621-AFDA-8DEF5E1B3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09-4621-AFDA-8DEF5E1B36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09-4621-AFDA-8DEF5E1B36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09-4621-AFDA-8DEF5E1B36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09-4621-AFDA-8DEF5E1B36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09-4621-AFDA-8DEF5E1B3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900256"/>
        <c:axId val="356900648"/>
      </c:barChart>
      <c:catAx>
        <c:axId val="3569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900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00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900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4E-4070-AC6B-8214F43920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4E-4070-AC6B-8214F43920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4E-4070-AC6B-8214F43920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4E-4070-AC6B-8214F43920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4E-4070-AC6B-8214F43920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4E-4070-AC6B-8214F43920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4E-4070-AC6B-8214F43920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4E-4070-AC6B-8214F43920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4E-4070-AC6B-8214F43920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4E-4070-AC6B-8214F43920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4E-4070-AC6B-8214F43920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4E-4070-AC6B-8214F43920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4E-4070-AC6B-8214F43920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4E-4070-AC6B-8214F4392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901432"/>
        <c:axId val="497409992"/>
      </c:barChart>
      <c:catAx>
        <c:axId val="35690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09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409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901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E6-4F96-9101-09A193ACF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E6-4F96-9101-09A193ACF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E6-4F96-9101-09A193ACF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E6-4F96-9101-09A193ACF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E6-4F96-9101-09A193ACF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E6-4F96-9101-09A193ACF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E6-4F96-9101-09A193ACF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E6-4F96-9101-09A193ACF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E6-4F96-9101-09A193ACF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E6-4F96-9101-09A193ACF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E6-4F96-9101-09A193ACF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E6-4F96-9101-09A193ACF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E6-4F96-9101-09A193ACF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E6-4F96-9101-09A193ACF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10776"/>
        <c:axId val="497411168"/>
      </c:barChart>
      <c:catAx>
        <c:axId val="497410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1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411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0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C1-4363-BA81-6EA04B2664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C1-4363-BA81-6EA04B2664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C1-4363-BA81-6EA04B2664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C1-4363-BA81-6EA04B2664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C1-4363-BA81-6EA04B2664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C1-4363-BA81-6EA04B2664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C1-4363-BA81-6EA04B2664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C1-4363-BA81-6EA04B2664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C1-4363-BA81-6EA04B2664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C1-4363-BA81-6EA04B2664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C1-4363-BA81-6EA04B2664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C1-4363-BA81-6EA04B2664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C1-4363-BA81-6EA04B2664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C1-4363-BA81-6EA04B266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11952"/>
        <c:axId val="497412344"/>
      </c:barChart>
      <c:catAx>
        <c:axId val="49741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2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412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1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AA-4A21-B92E-80EE611B8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AA-4A21-B92E-80EE611B8C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AA-4A21-B92E-80EE611B8C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AA-4A21-B92E-80EE611B8C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AA-4A21-B92E-80EE611B8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AA-4A21-B92E-80EE611B8C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AA-4A21-B92E-80EE611B8C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AA-4A21-B92E-80EE611B8C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AA-4A21-B92E-80EE611B8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AA-4A21-B92E-80EE611B8C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AA-4A21-B92E-80EE611B8C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AA-4A21-B92E-80EE611B8C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AA-4A21-B92E-80EE611B8C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AA-4A21-B92E-80EE611B8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13128"/>
        <c:axId val="497413520"/>
      </c:barChart>
      <c:catAx>
        <c:axId val="49741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41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7413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3C-4D46-B068-AD6591282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3C-4D46-B068-AD65912828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3C-4D46-B068-AD6591282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3C-4D46-B068-AD6591282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3C-4D46-B068-AD6591282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3C-4D46-B068-AD65912828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3C-4D46-B068-AD6591282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3C-4D46-B068-AD6591282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3C-4D46-B068-AD6591282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3C-4D46-B068-AD65912828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3C-4D46-B068-AD65912828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3C-4D46-B068-AD65912828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3C-4D46-B068-AD65912828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3C-4D46-B068-AD659128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73264"/>
        <c:axId val="316273656"/>
      </c:barChart>
      <c:catAx>
        <c:axId val="31627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73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273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7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102419</xdr:colOff>
      <xdr:row>0</xdr:row>
      <xdr:rowOff>89310</xdr:rowOff>
    </xdr:from>
    <xdr:to>
      <xdr:col>2</xdr:col>
      <xdr:colOff>150249</xdr:colOff>
      <xdr:row>2</xdr:row>
      <xdr:rowOff>241711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19" y="89310"/>
          <a:ext cx="979846" cy="87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245806</xdr:colOff>
      <xdr:row>0</xdr:row>
      <xdr:rowOff>143386</xdr:rowOff>
    </xdr:from>
    <xdr:to>
      <xdr:col>4</xdr:col>
      <xdr:colOff>143387</xdr:colOff>
      <xdr:row>2</xdr:row>
      <xdr:rowOff>194596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77822" y="143386"/>
          <a:ext cx="850081" cy="77838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5"/>
      <c r="B1" s="36"/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</row>
    <row r="2" spans="1:23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  <c r="V2" s="2"/>
      <c r="W2" s="2"/>
    </row>
    <row r="3" spans="1:23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  <c r="V3" s="2"/>
      <c r="W3" s="2"/>
    </row>
    <row r="4" spans="1:23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  <c r="V4" s="2"/>
      <c r="W4" s="2"/>
    </row>
    <row r="5" spans="1:23" ht="32.25" customHeight="1">
      <c r="A5" s="40"/>
      <c r="B5" s="93"/>
      <c r="C5" s="61"/>
      <c r="D5" s="61"/>
      <c r="E5" s="166" t="s">
        <v>67</v>
      </c>
      <c r="F5" s="166"/>
      <c r="G5" s="166"/>
      <c r="H5" s="166"/>
      <c r="I5" s="166"/>
      <c r="J5" s="166"/>
      <c r="K5" s="166"/>
      <c r="L5" s="166"/>
      <c r="M5" s="166"/>
      <c r="N5" s="62"/>
      <c r="O5" s="55"/>
      <c r="P5" s="55"/>
      <c r="Q5" s="94"/>
      <c r="R5" s="37"/>
      <c r="S5" s="37"/>
      <c r="T5" s="37"/>
      <c r="U5" s="38"/>
      <c r="V5" s="2"/>
      <c r="W5" s="2"/>
    </row>
    <row r="6" spans="1:23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  <c r="V6" s="2"/>
      <c r="W6" s="2"/>
    </row>
    <row r="7" spans="1:23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  <c r="V7" s="2"/>
      <c r="W7" s="2"/>
    </row>
    <row r="8" spans="1:23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  <c r="V8" s="2"/>
      <c r="W8" s="2"/>
    </row>
    <row r="9" spans="1:23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  <c r="V9" s="2"/>
      <c r="W9" s="2"/>
    </row>
    <row r="10" spans="1:23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  <c r="V10" s="2"/>
      <c r="W10" s="2"/>
    </row>
    <row r="11" spans="1:23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  <c r="V11" s="2"/>
      <c r="W11" s="2"/>
    </row>
    <row r="12" spans="1:23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  <c r="V12" s="2"/>
      <c r="W12" s="2"/>
    </row>
    <row r="13" spans="1:23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  <c r="V13" s="2"/>
      <c r="W13" s="2"/>
    </row>
    <row r="14" spans="1:23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  <c r="V14" s="2"/>
      <c r="W14" s="2"/>
    </row>
    <row r="15" spans="1:23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  <c r="V15" s="2"/>
      <c r="W15" s="2"/>
    </row>
    <row r="16" spans="1:23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  <c r="V16" s="2"/>
      <c r="W16" s="2"/>
    </row>
    <row r="17" spans="1:23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  <c r="V17" s="2"/>
      <c r="W17" s="2"/>
    </row>
    <row r="18" spans="1:23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  <c r="V18" s="2"/>
      <c r="W18" s="2"/>
    </row>
    <row r="19" spans="1:23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  <c r="V19" s="2"/>
      <c r="W19" s="2"/>
    </row>
    <row r="20" spans="1:23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  <c r="V20" s="2"/>
      <c r="W20" s="2"/>
    </row>
    <row r="21" spans="1:23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  <c r="V21" s="2"/>
      <c r="W21" s="2"/>
    </row>
    <row r="22" spans="1:23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  <c r="V22" s="2"/>
      <c r="W22" s="2"/>
    </row>
    <row r="23" spans="1:23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  <c r="V23" s="2"/>
      <c r="W23" s="2"/>
    </row>
    <row r="24" spans="1:23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  <c r="V24" s="2"/>
      <c r="W24" s="2"/>
    </row>
    <row r="25" spans="1:23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  <c r="V25" s="2"/>
      <c r="W25" s="2"/>
    </row>
    <row r="26" spans="1:23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3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H14"/>
  <sheetViews>
    <sheetView showGridLines="0" tabSelected="1" zoomScale="93" zoomScaleNormal="100" workbookViewId="0">
      <pane xSplit="13" ySplit="4" topLeftCell="W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4.25" customHeight="1"/>
  <cols>
    <col min="1" max="1" width="5.375" customWidth="1"/>
    <col min="2" max="2" width="6.875" customWidth="1"/>
    <col min="3" max="3" width="6.125" customWidth="1"/>
    <col min="4" max="4" width="6.25" customWidth="1"/>
    <col min="5" max="5" width="10.5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71" t="s">
        <v>17</v>
      </c>
      <c r="F1" s="171"/>
      <c r="G1" s="171"/>
      <c r="H1" s="171"/>
      <c r="I1" s="171"/>
      <c r="J1" s="171"/>
      <c r="K1" s="171"/>
      <c r="L1" s="171"/>
      <c r="M1" s="171"/>
      <c r="N1" s="7"/>
      <c r="O1" s="173"/>
      <c r="P1" s="173"/>
      <c r="Q1" s="173"/>
      <c r="R1" s="173"/>
      <c r="S1" s="173"/>
      <c r="T1" s="173"/>
      <c r="U1" s="173"/>
      <c r="V1" s="173"/>
      <c r="W1" s="17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71" t="s">
        <v>18</v>
      </c>
      <c r="F2" s="171"/>
      <c r="G2" s="171"/>
      <c r="H2" s="171"/>
      <c r="I2" s="171"/>
      <c r="J2" s="171"/>
      <c r="K2" s="171"/>
      <c r="L2" s="171"/>
      <c r="M2" s="171"/>
      <c r="N2" s="174" t="s">
        <v>100</v>
      </c>
      <c r="O2" s="175"/>
      <c r="P2" s="169" t="s">
        <v>101</v>
      </c>
      <c r="Q2" s="169"/>
      <c r="R2" s="169"/>
      <c r="S2" s="169"/>
      <c r="T2" s="169"/>
      <c r="U2" s="170"/>
      <c r="V2" s="176" t="s">
        <v>100</v>
      </c>
      <c r="W2" s="169"/>
      <c r="X2" s="185" t="s">
        <v>80</v>
      </c>
      <c r="Y2" s="186"/>
      <c r="Z2" s="186"/>
      <c r="AA2" s="186"/>
      <c r="AB2" s="184" t="s">
        <v>79</v>
      </c>
      <c r="AC2" s="184"/>
      <c r="AD2" s="187" t="s">
        <v>81</v>
      </c>
      <c r="AE2" s="187"/>
      <c r="AF2" s="187"/>
      <c r="AG2" s="187"/>
      <c r="AH2" s="188"/>
    </row>
    <row r="3" spans="1:34" ht="23.25">
      <c r="E3" s="172" t="s">
        <v>109</v>
      </c>
      <c r="F3" s="172"/>
      <c r="G3" s="172"/>
      <c r="H3" s="172"/>
      <c r="I3" s="172"/>
      <c r="J3" s="172"/>
      <c r="K3" s="172"/>
      <c r="L3" s="172"/>
      <c r="M3" s="172"/>
      <c r="N3" s="179" t="s">
        <v>102</v>
      </c>
      <c r="O3" s="180"/>
      <c r="P3" s="181" t="s">
        <v>66</v>
      </c>
      <c r="Q3" s="182"/>
      <c r="R3" s="181" t="s">
        <v>89</v>
      </c>
      <c r="S3" s="182"/>
      <c r="T3" s="167" t="s">
        <v>88</v>
      </c>
      <c r="U3" s="168"/>
      <c r="V3" s="177" t="s">
        <v>87</v>
      </c>
      <c r="W3" s="178"/>
      <c r="X3" s="189" t="s">
        <v>76</v>
      </c>
      <c r="Y3" s="190"/>
      <c r="Z3" s="141" t="s">
        <v>77</v>
      </c>
      <c r="AA3" s="141" t="s">
        <v>71</v>
      </c>
      <c r="AB3" s="142" t="s">
        <v>73</v>
      </c>
      <c r="AC3" s="142" t="s">
        <v>75</v>
      </c>
      <c r="AD3" s="183" t="s">
        <v>78</v>
      </c>
      <c r="AE3" s="183"/>
      <c r="AF3" s="183" t="s">
        <v>77</v>
      </c>
      <c r="AG3" s="183"/>
      <c r="AH3" s="143" t="s">
        <v>71</v>
      </c>
    </row>
    <row r="4" spans="1:34" ht="30">
      <c r="A4" s="152" t="s">
        <v>23</v>
      </c>
      <c r="B4" s="152" t="s">
        <v>103</v>
      </c>
      <c r="C4" s="152" t="s">
        <v>104</v>
      </c>
      <c r="D4" s="152" t="s">
        <v>19</v>
      </c>
      <c r="E4" s="152" t="s">
        <v>1</v>
      </c>
      <c r="F4" s="144" t="s">
        <v>105</v>
      </c>
      <c r="G4" s="144" t="s">
        <v>5</v>
      </c>
      <c r="H4" s="144" t="s">
        <v>106</v>
      </c>
      <c r="I4" s="144" t="s">
        <v>57</v>
      </c>
      <c r="J4" s="144" t="s">
        <v>90</v>
      </c>
      <c r="K4" s="144" t="s">
        <v>21</v>
      </c>
      <c r="L4" s="144" t="s">
        <v>22</v>
      </c>
      <c r="M4" s="145" t="s">
        <v>107</v>
      </c>
      <c r="N4" s="153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5" t="s">
        <v>2</v>
      </c>
      <c r="X4" s="146" t="s">
        <v>82</v>
      </c>
      <c r="Y4" s="147" t="s">
        <v>83</v>
      </c>
      <c r="Z4" s="147" t="s">
        <v>82</v>
      </c>
      <c r="AA4" s="148" t="s">
        <v>72</v>
      </c>
      <c r="AB4" s="149" t="s">
        <v>74</v>
      </c>
      <c r="AC4" s="150" t="s">
        <v>84</v>
      </c>
      <c r="AD4" s="151" t="s">
        <v>82</v>
      </c>
      <c r="AE4" s="151" t="s">
        <v>83</v>
      </c>
      <c r="AF4" s="151" t="s">
        <v>82</v>
      </c>
      <c r="AG4" s="151" t="s">
        <v>85</v>
      </c>
      <c r="AH4" s="156" t="s">
        <v>72</v>
      </c>
    </row>
    <row r="5" spans="1:34" ht="15.75">
      <c r="A5" s="164" t="s">
        <v>108</v>
      </c>
      <c r="B5" s="163">
        <v>128.5</v>
      </c>
      <c r="C5" s="163">
        <v>16</v>
      </c>
      <c r="D5" s="164" t="s">
        <v>20</v>
      </c>
      <c r="E5" s="157">
        <v>43346</v>
      </c>
      <c r="F5" s="158" t="s">
        <v>93</v>
      </c>
      <c r="G5" s="20">
        <v>6450</v>
      </c>
      <c r="H5" s="19">
        <v>90987</v>
      </c>
      <c r="I5" s="19">
        <v>2725147</v>
      </c>
      <c r="J5" s="159">
        <v>776</v>
      </c>
      <c r="K5" s="19">
        <v>62</v>
      </c>
      <c r="L5" s="20">
        <v>3.69</v>
      </c>
      <c r="M5" s="20">
        <v>6</v>
      </c>
      <c r="N5" s="131">
        <v>85.2</v>
      </c>
      <c r="O5" s="21">
        <v>100.3</v>
      </c>
      <c r="P5" s="21">
        <v>88.3</v>
      </c>
      <c r="Q5" s="21">
        <v>102.3</v>
      </c>
      <c r="R5" s="21">
        <v>86.3</v>
      </c>
      <c r="S5" s="21">
        <v>100.7</v>
      </c>
      <c r="T5" s="21">
        <v>86.5</v>
      </c>
      <c r="U5" s="21">
        <v>101.7</v>
      </c>
      <c r="V5" s="20">
        <v>84.6</v>
      </c>
      <c r="W5" s="131">
        <v>99.5</v>
      </c>
      <c r="X5" s="160">
        <v>870</v>
      </c>
      <c r="Y5" s="160">
        <v>800</v>
      </c>
      <c r="Z5" s="161">
        <v>930</v>
      </c>
      <c r="AA5" s="161">
        <v>170</v>
      </c>
      <c r="AB5" s="162">
        <v>0.12</v>
      </c>
      <c r="AC5" s="161">
        <v>1600</v>
      </c>
      <c r="AD5" s="163">
        <v>737</v>
      </c>
      <c r="AE5" s="163">
        <v>660</v>
      </c>
      <c r="AF5" s="163">
        <v>737</v>
      </c>
      <c r="AG5" s="163">
        <v>737</v>
      </c>
      <c r="AH5" s="161">
        <v>170</v>
      </c>
    </row>
    <row r="6" spans="1:34" ht="15.75">
      <c r="A6" s="164" t="s">
        <v>108</v>
      </c>
      <c r="B6" s="163">
        <v>128.5</v>
      </c>
      <c r="C6" s="163">
        <v>16</v>
      </c>
      <c r="D6" s="164" t="s">
        <v>20</v>
      </c>
      <c r="E6" s="157">
        <v>43346</v>
      </c>
      <c r="F6" s="158" t="s">
        <v>93</v>
      </c>
      <c r="G6" s="20">
        <v>6450</v>
      </c>
      <c r="H6" s="19">
        <v>90987</v>
      </c>
      <c r="I6" s="19">
        <v>2725147</v>
      </c>
      <c r="J6" s="159">
        <v>776</v>
      </c>
      <c r="K6" s="19">
        <v>62</v>
      </c>
      <c r="L6" s="20">
        <v>3.69</v>
      </c>
      <c r="M6" s="20">
        <v>16</v>
      </c>
      <c r="N6" s="131">
        <v>85.5</v>
      </c>
      <c r="O6" s="21">
        <v>100.9</v>
      </c>
      <c r="P6" s="21">
        <v>86.5</v>
      </c>
      <c r="Q6" s="21">
        <v>101.9</v>
      </c>
      <c r="R6" s="21">
        <v>86.5</v>
      </c>
      <c r="S6" s="21">
        <v>101.2</v>
      </c>
      <c r="T6" s="21">
        <v>86.8</v>
      </c>
      <c r="U6" s="21">
        <v>101.2</v>
      </c>
      <c r="V6" s="131">
        <v>86</v>
      </c>
      <c r="W6" s="131">
        <v>100.6</v>
      </c>
      <c r="X6" s="160">
        <v>870</v>
      </c>
      <c r="Y6" s="160">
        <v>800</v>
      </c>
      <c r="Z6" s="161">
        <v>930</v>
      </c>
      <c r="AA6" s="161">
        <v>170</v>
      </c>
      <c r="AB6" s="162">
        <v>0.12</v>
      </c>
      <c r="AC6" s="161">
        <v>1600</v>
      </c>
      <c r="AD6" s="163">
        <v>737</v>
      </c>
      <c r="AE6" s="163">
        <v>660</v>
      </c>
      <c r="AF6" s="163">
        <v>737</v>
      </c>
      <c r="AG6" s="163">
        <v>737</v>
      </c>
      <c r="AH6" s="161">
        <v>170</v>
      </c>
    </row>
    <row r="14" spans="1:34" ht="14.25" customHeight="1">
      <c r="E14" s="165"/>
    </row>
  </sheetData>
  <protectedRanges>
    <protectedRange sqref="H5:I15 K7:K15" name="Rango1_1"/>
    <protectedRange sqref="K5:K6" name="Rango1_1_2"/>
  </protectedRanges>
  <autoFilter ref="A4:AH4" xr:uid="{00000000-0001-0000-0100-000000000000}"/>
  <mergeCells count="18">
    <mergeCell ref="AF3:AG3"/>
    <mergeCell ref="AD3:AE3"/>
    <mergeCell ref="AB2:AC2"/>
    <mergeCell ref="X2:AA2"/>
    <mergeCell ref="AD2:AH2"/>
    <mergeCell ref="X3:Y3"/>
    <mergeCell ref="T3:U3"/>
    <mergeCell ref="P2:U2"/>
    <mergeCell ref="E1:M1"/>
    <mergeCell ref="E2:M2"/>
    <mergeCell ref="E3:M3"/>
    <mergeCell ref="O1:W1"/>
    <mergeCell ref="N2:O2"/>
    <mergeCell ref="V2:W2"/>
    <mergeCell ref="V3:W3"/>
    <mergeCell ref="N3:O3"/>
    <mergeCell ref="P3:Q3"/>
    <mergeCell ref="R3:S3"/>
  </mergeCells>
  <phoneticPr fontId="0" type="noConversion"/>
  <conditionalFormatting sqref="E5:F6">
    <cfRule type="expression" dxfId="22" priority="97" stopIfTrue="1">
      <formula>"SEVERSTAL"</formula>
    </cfRule>
  </conditionalFormatting>
  <conditionalFormatting sqref="H5:I6">
    <cfRule type="cellIs" dxfId="21" priority="98" stopIfTrue="1" operator="equal">
      <formula>"APROBADO"</formula>
    </cfRule>
    <cfRule type="cellIs" dxfId="20" priority="99" stopIfTrue="1" operator="equal">
      <formula>"ESPERA"</formula>
    </cfRule>
    <cfRule type="cellIs" dxfId="19" priority="100" stopIfTrue="1" operator="equal">
      <formula>"RECHAZADO"</formula>
    </cfRule>
  </conditionalFormatting>
  <conditionalFormatting sqref="K5:K6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4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6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21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22"/>
      <c r="I2" s="26"/>
      <c r="J2" s="27" t="s">
        <v>92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132"/>
      <c r="AA2" s="133"/>
      <c r="AB2" s="133"/>
      <c r="AC2" s="134" t="s">
        <v>94</v>
      </c>
      <c r="AD2" s="134" t="s">
        <v>95</v>
      </c>
      <c r="AE2" s="134" t="s">
        <v>96</v>
      </c>
      <c r="AF2" s="135" t="s">
        <v>97</v>
      </c>
      <c r="AG2" s="22"/>
    </row>
    <row r="3" spans="1:33" ht="26.25" customHeight="1">
      <c r="A3" s="23"/>
      <c r="B3" s="23"/>
      <c r="C3" s="23"/>
      <c r="D3" s="23"/>
      <c r="E3" s="23"/>
      <c r="F3" s="28"/>
      <c r="G3" s="23"/>
      <c r="H3" s="124"/>
      <c r="I3" s="192" t="s">
        <v>55</v>
      </c>
      <c r="J3" s="192"/>
      <c r="K3" s="192"/>
      <c r="L3" s="192"/>
      <c r="M3" s="192"/>
      <c r="N3" s="192"/>
      <c r="O3" s="192"/>
      <c r="P3" s="191" t="s">
        <v>56</v>
      </c>
      <c r="Q3" s="191"/>
      <c r="R3" s="191"/>
      <c r="S3" s="191"/>
      <c r="T3" s="191"/>
      <c r="U3" s="191"/>
      <c r="V3" s="127"/>
      <c r="W3" s="22"/>
      <c r="X3" s="22"/>
      <c r="Y3" s="22"/>
      <c r="Z3" s="136"/>
      <c r="AA3" s="136"/>
      <c r="AB3" s="137" t="s">
        <v>98</v>
      </c>
      <c r="AC3" s="138">
        <v>170</v>
      </c>
      <c r="AD3" s="139">
        <f>22*AC3/60</f>
        <v>62.333333333333336</v>
      </c>
      <c r="AE3" s="139">
        <f>3600/AC3</f>
        <v>21.176470588235293</v>
      </c>
      <c r="AF3" s="140">
        <f>AE3*8</f>
        <v>169.41176470588235</v>
      </c>
      <c r="AG3" s="22"/>
    </row>
    <row r="4" spans="1:33" ht="21" customHeight="1">
      <c r="A4" s="29"/>
      <c r="B4" s="23"/>
      <c r="C4" s="23"/>
      <c r="D4" s="23"/>
      <c r="E4" s="23"/>
      <c r="F4" s="30"/>
      <c r="G4" s="31"/>
      <c r="H4" s="123"/>
      <c r="I4" s="194" t="s">
        <v>8</v>
      </c>
      <c r="J4" s="195"/>
      <c r="K4" s="193" t="s">
        <v>9</v>
      </c>
      <c r="L4" s="194"/>
      <c r="M4" s="194"/>
      <c r="N4" s="194"/>
      <c r="O4" s="195"/>
      <c r="P4" s="193" t="s">
        <v>13</v>
      </c>
      <c r="Q4" s="195"/>
      <c r="R4" s="193" t="s">
        <v>9</v>
      </c>
      <c r="S4" s="194"/>
      <c r="T4" s="194"/>
      <c r="U4" s="194"/>
      <c r="V4" s="128"/>
      <c r="W4" s="32"/>
      <c r="X4" s="22"/>
      <c r="Y4" s="22"/>
      <c r="Z4" s="136"/>
      <c r="AA4" s="136"/>
      <c r="AB4" s="137" t="s">
        <v>99</v>
      </c>
      <c r="AC4" s="138">
        <f>AC3</f>
        <v>170</v>
      </c>
      <c r="AD4" s="139">
        <f>34*AC4/60</f>
        <v>96.333333333333329</v>
      </c>
      <c r="AE4" s="139">
        <f>3600/AC4</f>
        <v>21.176470588235293</v>
      </c>
      <c r="AF4" s="140">
        <f>AE4*8</f>
        <v>169.41176470588235</v>
      </c>
      <c r="AG4" s="22"/>
    </row>
    <row r="5" spans="1:33" ht="56.25" customHeight="1">
      <c r="A5" s="129" t="s">
        <v>1</v>
      </c>
      <c r="B5" s="129" t="s">
        <v>4</v>
      </c>
      <c r="C5" s="129" t="s">
        <v>57</v>
      </c>
      <c r="D5" s="129" t="s">
        <v>105</v>
      </c>
      <c r="E5" s="129" t="s">
        <v>3</v>
      </c>
      <c r="F5" s="129" t="s">
        <v>5</v>
      </c>
      <c r="G5" s="129" t="s">
        <v>12</v>
      </c>
      <c r="H5" s="130" t="s">
        <v>69</v>
      </c>
      <c r="I5" s="129" t="s">
        <v>7</v>
      </c>
      <c r="J5" s="129" t="s">
        <v>62</v>
      </c>
      <c r="K5" s="129" t="s">
        <v>61</v>
      </c>
      <c r="L5" s="129" t="s">
        <v>10</v>
      </c>
      <c r="M5" s="129" t="s">
        <v>11</v>
      </c>
      <c r="N5" s="129" t="s">
        <v>15</v>
      </c>
      <c r="O5" s="129" t="s">
        <v>63</v>
      </c>
      <c r="P5" s="129" t="s">
        <v>64</v>
      </c>
      <c r="Q5" s="129" t="s">
        <v>7</v>
      </c>
      <c r="R5" s="129" t="s">
        <v>10</v>
      </c>
      <c r="S5" s="129" t="s">
        <v>11</v>
      </c>
      <c r="T5" s="129" t="s">
        <v>15</v>
      </c>
      <c r="U5" s="129" t="s">
        <v>65</v>
      </c>
      <c r="V5" s="129" t="s">
        <v>61</v>
      </c>
      <c r="W5" s="129" t="s">
        <v>0</v>
      </c>
      <c r="X5" s="129" t="s">
        <v>6</v>
      </c>
      <c r="Y5" s="129" t="s">
        <v>52</v>
      </c>
      <c r="Z5" s="129" t="s">
        <v>60</v>
      </c>
      <c r="AA5" s="129" t="s">
        <v>86</v>
      </c>
      <c r="AB5" s="129" t="s">
        <v>68</v>
      </c>
      <c r="AC5" s="129" t="s">
        <v>59</v>
      </c>
      <c r="AD5" s="129" t="s">
        <v>58</v>
      </c>
      <c r="AE5" s="129" t="s">
        <v>51</v>
      </c>
      <c r="AF5" s="129" t="s">
        <v>70</v>
      </c>
      <c r="AG5" s="129" t="s">
        <v>53</v>
      </c>
    </row>
    <row r="6" spans="1:33" ht="15.75">
      <c r="A6" s="120">
        <v>43346</v>
      </c>
      <c r="B6" s="34">
        <v>3</v>
      </c>
      <c r="C6" s="34">
        <v>2725147</v>
      </c>
      <c r="D6" s="158" t="s">
        <v>93</v>
      </c>
      <c r="E6" s="110">
        <v>90987</v>
      </c>
      <c r="F6" s="34">
        <v>6450</v>
      </c>
      <c r="G6" s="111">
        <v>20</v>
      </c>
      <c r="H6" s="125" t="s">
        <v>91</v>
      </c>
      <c r="I6" s="112">
        <v>0</v>
      </c>
      <c r="J6" s="113">
        <v>0</v>
      </c>
      <c r="K6" s="119">
        <v>0</v>
      </c>
      <c r="L6" s="114">
        <v>0</v>
      </c>
      <c r="M6" s="112">
        <v>0</v>
      </c>
      <c r="N6" s="115">
        <v>0</v>
      </c>
      <c r="O6" s="111">
        <v>0</v>
      </c>
      <c r="P6" s="114">
        <v>2</v>
      </c>
      <c r="Q6" s="111">
        <v>0</v>
      </c>
      <c r="R6" s="114">
        <v>0</v>
      </c>
      <c r="S6" s="112">
        <v>0</v>
      </c>
      <c r="T6" s="115">
        <v>0</v>
      </c>
      <c r="U6" s="114">
        <v>0</v>
      </c>
      <c r="V6" s="114">
        <v>0</v>
      </c>
      <c r="W6" s="33">
        <f t="shared" ref="W6:W19" si="0">+G6-(SUM(I6:N6,P6,Q6,R6,S6,T6,V6))</f>
        <v>18</v>
      </c>
      <c r="X6" s="116"/>
      <c r="Y6" s="116"/>
      <c r="Z6" s="116"/>
      <c r="AA6" s="116"/>
      <c r="AB6" s="116"/>
      <c r="AC6" s="116"/>
      <c r="AD6" s="126">
        <f>W6-SUM(Y6:AC6)</f>
        <v>18</v>
      </c>
      <c r="AE6" s="117"/>
      <c r="AF6" s="118"/>
      <c r="AG6" s="110"/>
    </row>
    <row r="7" spans="1:33" ht="15.75">
      <c r="A7" s="120"/>
      <c r="B7" s="34"/>
      <c r="C7" s="34"/>
      <c r="D7" s="34"/>
      <c r="E7" s="110"/>
      <c r="F7" s="34"/>
      <c r="G7" s="111"/>
      <c r="H7" s="125"/>
      <c r="I7" s="112">
        <v>0</v>
      </c>
      <c r="J7" s="113">
        <v>0</v>
      </c>
      <c r="K7" s="119">
        <v>0</v>
      </c>
      <c r="L7" s="114">
        <v>0</v>
      </c>
      <c r="M7" s="112">
        <v>0</v>
      </c>
      <c r="N7" s="115">
        <v>0</v>
      </c>
      <c r="O7" s="111">
        <v>0</v>
      </c>
      <c r="P7" s="114">
        <v>0</v>
      </c>
      <c r="Q7" s="111">
        <v>0</v>
      </c>
      <c r="R7" s="114">
        <v>0</v>
      </c>
      <c r="S7" s="112">
        <v>0</v>
      </c>
      <c r="T7" s="115">
        <v>0</v>
      </c>
      <c r="U7" s="114">
        <v>0</v>
      </c>
      <c r="V7" s="114">
        <v>0</v>
      </c>
      <c r="W7" s="33">
        <f t="shared" si="0"/>
        <v>0</v>
      </c>
      <c r="X7" s="116"/>
      <c r="Y7" s="116"/>
      <c r="Z7" s="116"/>
      <c r="AA7" s="116"/>
      <c r="AB7" s="116"/>
      <c r="AC7" s="116"/>
      <c r="AD7" s="126">
        <f t="shared" ref="AD7:AD21" si="1">W7-SUM(Y7:AC7)</f>
        <v>0</v>
      </c>
      <c r="AE7" s="117"/>
      <c r="AF7" s="118"/>
      <c r="AG7" s="110"/>
    </row>
    <row r="8" spans="1:33" ht="15.75">
      <c r="A8" s="120"/>
      <c r="B8" s="34"/>
      <c r="C8" s="34"/>
      <c r="D8" s="34"/>
      <c r="E8" s="110"/>
      <c r="F8" s="34"/>
      <c r="G8" s="111"/>
      <c r="H8" s="125"/>
      <c r="I8" s="112">
        <v>0</v>
      </c>
      <c r="J8" s="113">
        <v>0</v>
      </c>
      <c r="K8" s="119">
        <v>0</v>
      </c>
      <c r="L8" s="114">
        <v>0</v>
      </c>
      <c r="M8" s="112">
        <v>0</v>
      </c>
      <c r="N8" s="115">
        <v>0</v>
      </c>
      <c r="O8" s="111">
        <v>0</v>
      </c>
      <c r="P8" s="114">
        <v>0</v>
      </c>
      <c r="Q8" s="111">
        <v>0</v>
      </c>
      <c r="R8" s="114">
        <v>0</v>
      </c>
      <c r="S8" s="112">
        <v>0</v>
      </c>
      <c r="T8" s="115">
        <v>0</v>
      </c>
      <c r="U8" s="114">
        <v>0</v>
      </c>
      <c r="V8" s="114">
        <v>0</v>
      </c>
      <c r="W8" s="33">
        <f t="shared" si="0"/>
        <v>0</v>
      </c>
      <c r="X8" s="116"/>
      <c r="Y8" s="116"/>
      <c r="Z8" s="116"/>
      <c r="AA8" s="116"/>
      <c r="AB8" s="116"/>
      <c r="AC8" s="116"/>
      <c r="AD8" s="126">
        <f t="shared" si="1"/>
        <v>0</v>
      </c>
      <c r="AE8" s="117"/>
      <c r="AF8" s="118"/>
      <c r="AG8" s="110"/>
    </row>
    <row r="9" spans="1:33" ht="15.75">
      <c r="A9" s="120"/>
      <c r="B9" s="34"/>
      <c r="C9" s="34"/>
      <c r="D9" s="34"/>
      <c r="E9" s="110"/>
      <c r="F9" s="34"/>
      <c r="G9" s="111"/>
      <c r="H9" s="125"/>
      <c r="I9" s="112">
        <v>0</v>
      </c>
      <c r="J9" s="113">
        <v>0</v>
      </c>
      <c r="K9" s="119">
        <v>0</v>
      </c>
      <c r="L9" s="114">
        <v>0</v>
      </c>
      <c r="M9" s="112">
        <v>0</v>
      </c>
      <c r="N9" s="115">
        <v>0</v>
      </c>
      <c r="O9" s="111">
        <v>0</v>
      </c>
      <c r="P9" s="114">
        <v>0</v>
      </c>
      <c r="Q9" s="111">
        <v>0</v>
      </c>
      <c r="R9" s="114">
        <v>0</v>
      </c>
      <c r="S9" s="112">
        <v>0</v>
      </c>
      <c r="T9" s="115">
        <v>0</v>
      </c>
      <c r="U9" s="114">
        <v>0</v>
      </c>
      <c r="V9" s="114">
        <v>0</v>
      </c>
      <c r="W9" s="33">
        <f t="shared" si="0"/>
        <v>0</v>
      </c>
      <c r="X9" s="116"/>
      <c r="Y9" s="116"/>
      <c r="Z9" s="116"/>
      <c r="AA9" s="116"/>
      <c r="AB9" s="116"/>
      <c r="AC9" s="116"/>
      <c r="AD9" s="126">
        <f t="shared" si="1"/>
        <v>0</v>
      </c>
      <c r="AE9" s="117"/>
      <c r="AF9" s="118"/>
      <c r="AG9" s="110"/>
    </row>
    <row r="10" spans="1:33" ht="15.75">
      <c r="A10" s="120"/>
      <c r="B10" s="34"/>
      <c r="C10" s="34"/>
      <c r="D10" s="34"/>
      <c r="E10" s="110"/>
      <c r="F10" s="34"/>
      <c r="G10" s="111"/>
      <c r="H10" s="125"/>
      <c r="I10" s="112">
        <v>0</v>
      </c>
      <c r="J10" s="113">
        <v>0</v>
      </c>
      <c r="K10" s="119">
        <v>0</v>
      </c>
      <c r="L10" s="114">
        <v>0</v>
      </c>
      <c r="M10" s="112">
        <v>0</v>
      </c>
      <c r="N10" s="115">
        <v>0</v>
      </c>
      <c r="O10" s="111">
        <v>0</v>
      </c>
      <c r="P10" s="114">
        <v>0</v>
      </c>
      <c r="Q10" s="111">
        <v>0</v>
      </c>
      <c r="R10" s="114">
        <v>0</v>
      </c>
      <c r="S10" s="112">
        <v>0</v>
      </c>
      <c r="T10" s="115">
        <v>0</v>
      </c>
      <c r="U10" s="114">
        <v>0</v>
      </c>
      <c r="V10" s="114">
        <v>0</v>
      </c>
      <c r="W10" s="33">
        <f t="shared" si="0"/>
        <v>0</v>
      </c>
      <c r="X10" s="116"/>
      <c r="Y10" s="116"/>
      <c r="Z10" s="116"/>
      <c r="AA10" s="116"/>
      <c r="AB10" s="116"/>
      <c r="AC10" s="116"/>
      <c r="AD10" s="126">
        <f t="shared" si="1"/>
        <v>0</v>
      </c>
      <c r="AE10" s="117"/>
      <c r="AF10" s="118"/>
      <c r="AG10" s="110"/>
    </row>
    <row r="11" spans="1:33" ht="15.75">
      <c r="A11" s="120"/>
      <c r="B11" s="34"/>
      <c r="C11" s="34"/>
      <c r="D11" s="34"/>
      <c r="E11" s="110"/>
      <c r="F11" s="34"/>
      <c r="G11" s="111"/>
      <c r="H11" s="125"/>
      <c r="I11" s="112">
        <v>0</v>
      </c>
      <c r="J11" s="113">
        <v>0</v>
      </c>
      <c r="K11" s="119">
        <v>0</v>
      </c>
      <c r="L11" s="114">
        <v>0</v>
      </c>
      <c r="M11" s="112">
        <v>0</v>
      </c>
      <c r="N11" s="115">
        <v>0</v>
      </c>
      <c r="O11" s="111">
        <v>0</v>
      </c>
      <c r="P11" s="114">
        <v>0</v>
      </c>
      <c r="Q11" s="111">
        <v>0</v>
      </c>
      <c r="R11" s="114">
        <v>0</v>
      </c>
      <c r="S11" s="112">
        <v>0</v>
      </c>
      <c r="T11" s="115">
        <v>0</v>
      </c>
      <c r="U11" s="114">
        <v>0</v>
      </c>
      <c r="V11" s="114">
        <v>0</v>
      </c>
      <c r="W11" s="33">
        <f t="shared" si="0"/>
        <v>0</v>
      </c>
      <c r="X11" s="116"/>
      <c r="Y11" s="116"/>
      <c r="Z11" s="116"/>
      <c r="AA11" s="116"/>
      <c r="AB11" s="116"/>
      <c r="AC11" s="116"/>
      <c r="AD11" s="126">
        <f t="shared" si="1"/>
        <v>0</v>
      </c>
      <c r="AE11" s="117"/>
      <c r="AF11" s="118"/>
      <c r="AG11" s="110"/>
    </row>
    <row r="12" spans="1:33" ht="15.75">
      <c r="A12" s="120"/>
      <c r="B12" s="34"/>
      <c r="C12" s="34"/>
      <c r="D12" s="34"/>
      <c r="E12" s="110"/>
      <c r="F12" s="34"/>
      <c r="G12" s="111"/>
      <c r="H12" s="125"/>
      <c r="I12" s="112">
        <v>0</v>
      </c>
      <c r="J12" s="113">
        <v>0</v>
      </c>
      <c r="K12" s="119">
        <v>0</v>
      </c>
      <c r="L12" s="114">
        <v>0</v>
      </c>
      <c r="M12" s="112">
        <v>0</v>
      </c>
      <c r="N12" s="115">
        <v>0</v>
      </c>
      <c r="O12" s="111">
        <v>0</v>
      </c>
      <c r="P12" s="114">
        <v>0</v>
      </c>
      <c r="Q12" s="111">
        <v>0</v>
      </c>
      <c r="R12" s="114">
        <v>0</v>
      </c>
      <c r="S12" s="112">
        <v>0</v>
      </c>
      <c r="T12" s="115">
        <v>0</v>
      </c>
      <c r="U12" s="114">
        <v>0</v>
      </c>
      <c r="V12" s="114">
        <v>0</v>
      </c>
      <c r="W12" s="33">
        <f t="shared" si="0"/>
        <v>0</v>
      </c>
      <c r="X12" s="116"/>
      <c r="Y12" s="116"/>
      <c r="Z12" s="116"/>
      <c r="AA12" s="116"/>
      <c r="AB12" s="116"/>
      <c r="AC12" s="116"/>
      <c r="AD12" s="126">
        <f t="shared" si="1"/>
        <v>0</v>
      </c>
      <c r="AE12" s="117"/>
      <c r="AF12" s="118"/>
      <c r="AG12" s="110"/>
    </row>
    <row r="13" spans="1:33" ht="15.75">
      <c r="A13" s="120"/>
      <c r="B13" s="34"/>
      <c r="C13" s="34"/>
      <c r="D13" s="34"/>
      <c r="E13" s="110"/>
      <c r="F13" s="34"/>
      <c r="G13" s="111"/>
      <c r="H13" s="125"/>
      <c r="I13" s="112">
        <v>0</v>
      </c>
      <c r="J13" s="113">
        <v>0</v>
      </c>
      <c r="K13" s="119">
        <v>0</v>
      </c>
      <c r="L13" s="114">
        <v>0</v>
      </c>
      <c r="M13" s="112">
        <v>0</v>
      </c>
      <c r="N13" s="115">
        <v>0</v>
      </c>
      <c r="O13" s="111">
        <v>0</v>
      </c>
      <c r="P13" s="114">
        <v>0</v>
      </c>
      <c r="Q13" s="111">
        <v>0</v>
      </c>
      <c r="R13" s="114">
        <v>0</v>
      </c>
      <c r="S13" s="112">
        <v>0</v>
      </c>
      <c r="T13" s="115">
        <v>0</v>
      </c>
      <c r="U13" s="114">
        <v>0</v>
      </c>
      <c r="V13" s="114">
        <v>0</v>
      </c>
      <c r="W13" s="33">
        <f t="shared" si="0"/>
        <v>0</v>
      </c>
      <c r="X13" s="116"/>
      <c r="Y13" s="116"/>
      <c r="Z13" s="116"/>
      <c r="AA13" s="116"/>
      <c r="AB13" s="116"/>
      <c r="AC13" s="116"/>
      <c r="AD13" s="126">
        <f t="shared" si="1"/>
        <v>0</v>
      </c>
      <c r="AE13" s="117"/>
      <c r="AF13" s="118"/>
      <c r="AG13" s="110"/>
    </row>
    <row r="14" spans="1:33" ht="15.75">
      <c r="A14" s="120"/>
      <c r="B14" s="34"/>
      <c r="C14" s="34"/>
      <c r="D14" s="34"/>
      <c r="E14" s="110"/>
      <c r="F14" s="34"/>
      <c r="G14" s="111"/>
      <c r="H14" s="125"/>
      <c r="I14" s="112">
        <v>0</v>
      </c>
      <c r="J14" s="113">
        <v>0</v>
      </c>
      <c r="K14" s="119">
        <v>0</v>
      </c>
      <c r="L14" s="114">
        <v>0</v>
      </c>
      <c r="M14" s="112">
        <v>0</v>
      </c>
      <c r="N14" s="115">
        <v>0</v>
      </c>
      <c r="O14" s="111">
        <v>0</v>
      </c>
      <c r="P14" s="114">
        <v>0</v>
      </c>
      <c r="Q14" s="111">
        <v>0</v>
      </c>
      <c r="R14" s="114">
        <v>0</v>
      </c>
      <c r="S14" s="112">
        <v>0</v>
      </c>
      <c r="T14" s="115">
        <v>0</v>
      </c>
      <c r="U14" s="114">
        <v>0</v>
      </c>
      <c r="V14" s="114">
        <v>0</v>
      </c>
      <c r="W14" s="33">
        <f t="shared" si="0"/>
        <v>0</v>
      </c>
      <c r="X14" s="116"/>
      <c r="Y14" s="116"/>
      <c r="Z14" s="116"/>
      <c r="AA14" s="116"/>
      <c r="AB14" s="116"/>
      <c r="AC14" s="116"/>
      <c r="AD14" s="126">
        <f t="shared" si="1"/>
        <v>0</v>
      </c>
      <c r="AE14" s="117"/>
      <c r="AF14" s="118"/>
      <c r="AG14" s="110"/>
    </row>
    <row r="15" spans="1:33" ht="15.75">
      <c r="A15" s="120"/>
      <c r="B15" s="34"/>
      <c r="C15" s="34"/>
      <c r="D15" s="34"/>
      <c r="E15" s="110"/>
      <c r="F15" s="34"/>
      <c r="G15" s="111"/>
      <c r="H15" s="125"/>
      <c r="I15" s="112">
        <v>0</v>
      </c>
      <c r="J15" s="113">
        <v>0</v>
      </c>
      <c r="K15" s="119">
        <v>0</v>
      </c>
      <c r="L15" s="114">
        <v>0</v>
      </c>
      <c r="M15" s="112">
        <v>0</v>
      </c>
      <c r="N15" s="115">
        <v>0</v>
      </c>
      <c r="O15" s="111">
        <v>0</v>
      </c>
      <c r="P15" s="114">
        <v>0</v>
      </c>
      <c r="Q15" s="111">
        <v>0</v>
      </c>
      <c r="R15" s="114">
        <v>0</v>
      </c>
      <c r="S15" s="112">
        <v>0</v>
      </c>
      <c r="T15" s="115">
        <v>0</v>
      </c>
      <c r="U15" s="114">
        <v>0</v>
      </c>
      <c r="V15" s="114">
        <v>0</v>
      </c>
      <c r="W15" s="33">
        <f t="shared" si="0"/>
        <v>0</v>
      </c>
      <c r="X15" s="116"/>
      <c r="Y15" s="116"/>
      <c r="Z15" s="116"/>
      <c r="AA15" s="116"/>
      <c r="AB15" s="116"/>
      <c r="AC15" s="116"/>
      <c r="AD15" s="126">
        <f t="shared" si="1"/>
        <v>0</v>
      </c>
      <c r="AE15" s="117"/>
      <c r="AF15" s="118"/>
      <c r="AG15" s="110"/>
    </row>
    <row r="16" spans="1:33" ht="15.75">
      <c r="A16" s="120"/>
      <c r="B16" s="34"/>
      <c r="C16" s="34"/>
      <c r="D16" s="34"/>
      <c r="E16" s="110"/>
      <c r="F16" s="34"/>
      <c r="G16" s="111"/>
      <c r="H16" s="125"/>
      <c r="I16" s="112">
        <v>0</v>
      </c>
      <c r="J16" s="113">
        <v>0</v>
      </c>
      <c r="K16" s="119">
        <v>0</v>
      </c>
      <c r="L16" s="114">
        <v>0</v>
      </c>
      <c r="M16" s="112">
        <v>0</v>
      </c>
      <c r="N16" s="115">
        <v>0</v>
      </c>
      <c r="O16" s="111">
        <v>0</v>
      </c>
      <c r="P16" s="114">
        <v>0</v>
      </c>
      <c r="Q16" s="111">
        <v>0</v>
      </c>
      <c r="R16" s="114">
        <v>0</v>
      </c>
      <c r="S16" s="112">
        <v>0</v>
      </c>
      <c r="T16" s="115">
        <v>0</v>
      </c>
      <c r="U16" s="114">
        <v>0</v>
      </c>
      <c r="V16" s="114">
        <v>0</v>
      </c>
      <c r="W16" s="33">
        <f t="shared" si="0"/>
        <v>0</v>
      </c>
      <c r="X16" s="116"/>
      <c r="Y16" s="116"/>
      <c r="Z16" s="116"/>
      <c r="AA16" s="116"/>
      <c r="AB16" s="116"/>
      <c r="AC16" s="116"/>
      <c r="AD16" s="126">
        <f t="shared" si="1"/>
        <v>0</v>
      </c>
      <c r="AE16" s="117"/>
      <c r="AF16" s="118"/>
      <c r="AG16" s="110"/>
    </row>
    <row r="17" spans="1:33" ht="15.75">
      <c r="A17" s="120"/>
      <c r="B17" s="34"/>
      <c r="C17" s="34"/>
      <c r="D17" s="34"/>
      <c r="E17" s="110"/>
      <c r="F17" s="34"/>
      <c r="G17" s="111"/>
      <c r="H17" s="125"/>
      <c r="I17" s="112">
        <v>0</v>
      </c>
      <c r="J17" s="113">
        <v>0</v>
      </c>
      <c r="K17" s="119">
        <v>0</v>
      </c>
      <c r="L17" s="114">
        <v>0</v>
      </c>
      <c r="M17" s="112">
        <v>0</v>
      </c>
      <c r="N17" s="115">
        <v>0</v>
      </c>
      <c r="O17" s="111">
        <v>0</v>
      </c>
      <c r="P17" s="114">
        <v>0</v>
      </c>
      <c r="Q17" s="111">
        <v>0</v>
      </c>
      <c r="R17" s="114">
        <v>0</v>
      </c>
      <c r="S17" s="112">
        <v>0</v>
      </c>
      <c r="T17" s="115">
        <v>0</v>
      </c>
      <c r="U17" s="114">
        <v>0</v>
      </c>
      <c r="V17" s="114">
        <v>0</v>
      </c>
      <c r="W17" s="33">
        <f t="shared" si="0"/>
        <v>0</v>
      </c>
      <c r="X17" s="116"/>
      <c r="Y17" s="116"/>
      <c r="Z17" s="116"/>
      <c r="AA17" s="116"/>
      <c r="AB17" s="116"/>
      <c r="AC17" s="116"/>
      <c r="AD17" s="126">
        <f t="shared" si="1"/>
        <v>0</v>
      </c>
      <c r="AE17" s="117"/>
      <c r="AF17" s="118"/>
      <c r="AG17" s="110"/>
    </row>
    <row r="18" spans="1:33" ht="15.75">
      <c r="A18" s="109"/>
      <c r="B18" s="34"/>
      <c r="C18" s="34"/>
      <c r="D18" s="34"/>
      <c r="E18" s="110"/>
      <c r="F18" s="34"/>
      <c r="G18" s="111"/>
      <c r="H18" s="125"/>
      <c r="I18" s="112">
        <v>0</v>
      </c>
      <c r="J18" s="113">
        <v>0</v>
      </c>
      <c r="K18" s="119">
        <v>0</v>
      </c>
      <c r="L18" s="114">
        <v>0</v>
      </c>
      <c r="M18" s="112">
        <v>0</v>
      </c>
      <c r="N18" s="115">
        <v>0</v>
      </c>
      <c r="O18" s="111">
        <v>0</v>
      </c>
      <c r="P18" s="114">
        <v>0</v>
      </c>
      <c r="Q18" s="111">
        <v>0</v>
      </c>
      <c r="R18" s="114">
        <v>0</v>
      </c>
      <c r="S18" s="112">
        <v>0</v>
      </c>
      <c r="T18" s="115">
        <v>0</v>
      </c>
      <c r="U18" s="114">
        <v>0</v>
      </c>
      <c r="V18" s="114">
        <v>0</v>
      </c>
      <c r="W18" s="33">
        <f t="shared" si="0"/>
        <v>0</v>
      </c>
      <c r="X18" s="116"/>
      <c r="Y18" s="116"/>
      <c r="Z18" s="116"/>
      <c r="AA18" s="116"/>
      <c r="AB18" s="116"/>
      <c r="AC18" s="116"/>
      <c r="AD18" s="126">
        <f t="shared" si="1"/>
        <v>0</v>
      </c>
      <c r="AE18" s="117"/>
      <c r="AF18" s="118"/>
      <c r="AG18" s="110"/>
    </row>
    <row r="19" spans="1:33" ht="15.75">
      <c r="A19" s="109"/>
      <c r="B19" s="34"/>
      <c r="C19" s="34"/>
      <c r="D19" s="34"/>
      <c r="E19" s="110"/>
      <c r="F19" s="34"/>
      <c r="G19" s="111"/>
      <c r="H19" s="125"/>
      <c r="I19" s="112">
        <v>0</v>
      </c>
      <c r="J19" s="113">
        <v>0</v>
      </c>
      <c r="K19" s="119">
        <v>0</v>
      </c>
      <c r="L19" s="114">
        <v>0</v>
      </c>
      <c r="M19" s="112">
        <v>0</v>
      </c>
      <c r="N19" s="115">
        <v>0</v>
      </c>
      <c r="O19" s="111">
        <v>0</v>
      </c>
      <c r="P19" s="114">
        <v>0</v>
      </c>
      <c r="Q19" s="111">
        <v>0</v>
      </c>
      <c r="R19" s="114">
        <v>0</v>
      </c>
      <c r="S19" s="112">
        <v>0</v>
      </c>
      <c r="T19" s="115">
        <v>0</v>
      </c>
      <c r="U19" s="114">
        <v>0</v>
      </c>
      <c r="V19" s="114">
        <v>0</v>
      </c>
      <c r="W19" s="33">
        <f t="shared" si="0"/>
        <v>0</v>
      </c>
      <c r="X19" s="116"/>
      <c r="Y19" s="116"/>
      <c r="Z19" s="116"/>
      <c r="AA19" s="116"/>
      <c r="AB19" s="116"/>
      <c r="AC19" s="116"/>
      <c r="AD19" s="126">
        <f t="shared" si="1"/>
        <v>0</v>
      </c>
      <c r="AE19" s="117"/>
      <c r="AF19" s="118"/>
      <c r="AG19" s="110"/>
    </row>
    <row r="20" spans="1:33" ht="15.75">
      <c r="A20" s="109"/>
      <c r="B20" s="34"/>
      <c r="C20" s="34"/>
      <c r="D20" s="34"/>
      <c r="E20" s="110"/>
      <c r="F20" s="34"/>
      <c r="G20" s="111"/>
      <c r="H20" s="125"/>
      <c r="I20" s="112">
        <v>0</v>
      </c>
      <c r="J20" s="113">
        <v>0</v>
      </c>
      <c r="K20" s="119">
        <v>0</v>
      </c>
      <c r="L20" s="114">
        <v>0</v>
      </c>
      <c r="M20" s="112">
        <v>0</v>
      </c>
      <c r="N20" s="115">
        <v>0</v>
      </c>
      <c r="O20" s="111">
        <v>0</v>
      </c>
      <c r="P20" s="114">
        <v>0</v>
      </c>
      <c r="Q20" s="111">
        <v>0</v>
      </c>
      <c r="R20" s="114">
        <v>0</v>
      </c>
      <c r="S20" s="112">
        <v>0</v>
      </c>
      <c r="T20" s="115">
        <v>0</v>
      </c>
      <c r="U20" s="114">
        <v>0</v>
      </c>
      <c r="V20" s="114">
        <v>0</v>
      </c>
      <c r="W20" s="33">
        <f t="shared" ref="W20:W26" si="2">+G20-(SUM(I20:N20,P20,Q20,R20,S20,T20,V20))</f>
        <v>0</v>
      </c>
      <c r="X20" s="116"/>
      <c r="Y20" s="116"/>
      <c r="Z20" s="116"/>
      <c r="AA20" s="116"/>
      <c r="AB20" s="116"/>
      <c r="AC20" s="116"/>
      <c r="AD20" s="126">
        <f t="shared" si="1"/>
        <v>0</v>
      </c>
      <c r="AE20" s="117"/>
      <c r="AF20" s="118"/>
      <c r="AG20" s="110"/>
    </row>
    <row r="21" spans="1:33" ht="15.75">
      <c r="A21" s="109"/>
      <c r="B21" s="34"/>
      <c r="C21" s="34"/>
      <c r="D21" s="34"/>
      <c r="E21" s="110"/>
      <c r="F21" s="34"/>
      <c r="G21" s="111"/>
      <c r="H21" s="125"/>
      <c r="I21" s="112">
        <v>0</v>
      </c>
      <c r="J21" s="113">
        <v>0</v>
      </c>
      <c r="K21" s="119">
        <v>0</v>
      </c>
      <c r="L21" s="114">
        <v>0</v>
      </c>
      <c r="M21" s="112">
        <v>0</v>
      </c>
      <c r="N21" s="115">
        <v>0</v>
      </c>
      <c r="O21" s="111">
        <v>0</v>
      </c>
      <c r="P21" s="114">
        <v>0</v>
      </c>
      <c r="Q21" s="111">
        <v>0</v>
      </c>
      <c r="R21" s="114">
        <v>0</v>
      </c>
      <c r="S21" s="112">
        <v>0</v>
      </c>
      <c r="T21" s="115">
        <v>0</v>
      </c>
      <c r="U21" s="114">
        <v>0</v>
      </c>
      <c r="V21" s="114">
        <v>0</v>
      </c>
      <c r="W21" s="33">
        <f t="shared" si="2"/>
        <v>0</v>
      </c>
      <c r="X21" s="116"/>
      <c r="Y21" s="116"/>
      <c r="Z21" s="116"/>
      <c r="AA21" s="116"/>
      <c r="AB21" s="116"/>
      <c r="AC21" s="116"/>
      <c r="AD21" s="126">
        <f t="shared" si="1"/>
        <v>0</v>
      </c>
      <c r="AE21" s="117"/>
      <c r="AF21" s="118"/>
      <c r="AG21" s="110"/>
    </row>
    <row r="22" spans="1:33" ht="15.75">
      <c r="A22" s="109"/>
      <c r="B22" s="34"/>
      <c r="C22" s="34"/>
      <c r="D22" s="34"/>
      <c r="E22" s="110"/>
      <c r="F22" s="34"/>
      <c r="G22" s="111"/>
      <c r="H22" s="125"/>
      <c r="I22" s="112">
        <v>0</v>
      </c>
      <c r="J22" s="113">
        <v>0</v>
      </c>
      <c r="K22" s="119">
        <v>0</v>
      </c>
      <c r="L22" s="114">
        <v>0</v>
      </c>
      <c r="M22" s="112">
        <v>0</v>
      </c>
      <c r="N22" s="115">
        <v>0</v>
      </c>
      <c r="O22" s="111">
        <v>0</v>
      </c>
      <c r="P22" s="114">
        <v>0</v>
      </c>
      <c r="Q22" s="111">
        <v>0</v>
      </c>
      <c r="R22" s="114">
        <v>0</v>
      </c>
      <c r="S22" s="112">
        <v>0</v>
      </c>
      <c r="T22" s="115">
        <v>0</v>
      </c>
      <c r="U22" s="114">
        <v>0</v>
      </c>
      <c r="V22" s="114">
        <v>0</v>
      </c>
      <c r="W22" s="33">
        <f t="shared" si="2"/>
        <v>0</v>
      </c>
      <c r="X22" s="116"/>
      <c r="Y22" s="116"/>
      <c r="Z22" s="116"/>
      <c r="AA22" s="116"/>
      <c r="AB22" s="116"/>
      <c r="AC22" s="116"/>
      <c r="AD22" s="126">
        <f t="shared" ref="AD22:AD45" si="3">W22-SUM(Y22:AC22)</f>
        <v>0</v>
      </c>
      <c r="AE22" s="117"/>
      <c r="AF22" s="118"/>
      <c r="AG22" s="110"/>
    </row>
    <row r="23" spans="1:33" ht="15.75">
      <c r="A23" s="109"/>
      <c r="B23" s="34"/>
      <c r="C23" s="34"/>
      <c r="D23" s="34"/>
      <c r="E23" s="110"/>
      <c r="F23" s="34"/>
      <c r="G23" s="111"/>
      <c r="H23" s="125"/>
      <c r="I23" s="112">
        <v>0</v>
      </c>
      <c r="J23" s="113">
        <v>0</v>
      </c>
      <c r="K23" s="119">
        <v>0</v>
      </c>
      <c r="L23" s="114">
        <v>0</v>
      </c>
      <c r="M23" s="112">
        <v>0</v>
      </c>
      <c r="N23" s="115">
        <v>0</v>
      </c>
      <c r="O23" s="111">
        <v>0</v>
      </c>
      <c r="P23" s="114">
        <v>0</v>
      </c>
      <c r="Q23" s="111">
        <v>0</v>
      </c>
      <c r="R23" s="114">
        <v>0</v>
      </c>
      <c r="S23" s="112">
        <v>0</v>
      </c>
      <c r="T23" s="115">
        <v>0</v>
      </c>
      <c r="U23" s="114">
        <v>0</v>
      </c>
      <c r="V23" s="114">
        <v>0</v>
      </c>
      <c r="W23" s="33">
        <f t="shared" si="2"/>
        <v>0</v>
      </c>
      <c r="X23" s="116"/>
      <c r="Y23" s="116"/>
      <c r="Z23" s="116"/>
      <c r="AA23" s="116"/>
      <c r="AB23" s="116"/>
      <c r="AC23" s="116"/>
      <c r="AD23" s="126">
        <f t="shared" si="3"/>
        <v>0</v>
      </c>
      <c r="AE23" s="117"/>
      <c r="AF23" s="118"/>
      <c r="AG23" s="110"/>
    </row>
    <row r="24" spans="1:33" ht="15.75">
      <c r="A24" s="109"/>
      <c r="B24" s="34"/>
      <c r="C24" s="34"/>
      <c r="D24" s="34"/>
      <c r="E24" s="110"/>
      <c r="F24" s="34"/>
      <c r="G24" s="111"/>
      <c r="H24" s="125"/>
      <c r="I24" s="112">
        <v>0</v>
      </c>
      <c r="J24" s="113">
        <v>0</v>
      </c>
      <c r="K24" s="119">
        <v>0</v>
      </c>
      <c r="L24" s="114">
        <v>0</v>
      </c>
      <c r="M24" s="112">
        <v>0</v>
      </c>
      <c r="N24" s="115">
        <v>0</v>
      </c>
      <c r="O24" s="111">
        <v>0</v>
      </c>
      <c r="P24" s="114">
        <v>0</v>
      </c>
      <c r="Q24" s="111">
        <v>0</v>
      </c>
      <c r="R24" s="114">
        <v>0</v>
      </c>
      <c r="S24" s="112">
        <v>0</v>
      </c>
      <c r="T24" s="115">
        <v>0</v>
      </c>
      <c r="U24" s="114">
        <v>0</v>
      </c>
      <c r="V24" s="114">
        <v>0</v>
      </c>
      <c r="W24" s="33">
        <f t="shared" si="2"/>
        <v>0</v>
      </c>
      <c r="X24" s="116"/>
      <c r="Y24" s="116"/>
      <c r="Z24" s="116"/>
      <c r="AA24" s="116"/>
      <c r="AB24" s="116"/>
      <c r="AC24" s="116"/>
      <c r="AD24" s="126">
        <f t="shared" si="3"/>
        <v>0</v>
      </c>
      <c r="AE24" s="117"/>
      <c r="AF24" s="118"/>
      <c r="AG24" s="110"/>
    </row>
    <row r="25" spans="1:33" ht="15.75">
      <c r="A25" s="109"/>
      <c r="B25" s="34"/>
      <c r="C25" s="34"/>
      <c r="D25" s="34"/>
      <c r="E25" s="110"/>
      <c r="F25" s="34"/>
      <c r="G25" s="111"/>
      <c r="H25" s="125"/>
      <c r="I25" s="112">
        <v>0</v>
      </c>
      <c r="J25" s="113">
        <v>0</v>
      </c>
      <c r="K25" s="119">
        <v>0</v>
      </c>
      <c r="L25" s="114">
        <v>0</v>
      </c>
      <c r="M25" s="112">
        <v>0</v>
      </c>
      <c r="N25" s="115">
        <v>0</v>
      </c>
      <c r="O25" s="111">
        <v>0</v>
      </c>
      <c r="P25" s="114">
        <v>0</v>
      </c>
      <c r="Q25" s="111">
        <v>0</v>
      </c>
      <c r="R25" s="114">
        <v>0</v>
      </c>
      <c r="S25" s="112">
        <v>0</v>
      </c>
      <c r="T25" s="115">
        <v>0</v>
      </c>
      <c r="U25" s="114">
        <v>0</v>
      </c>
      <c r="V25" s="114">
        <v>0</v>
      </c>
      <c r="W25" s="33">
        <f t="shared" si="2"/>
        <v>0</v>
      </c>
      <c r="X25" s="116"/>
      <c r="Y25" s="116"/>
      <c r="Z25" s="116"/>
      <c r="AA25" s="116"/>
      <c r="AB25" s="116"/>
      <c r="AC25" s="116"/>
      <c r="AD25" s="126">
        <f t="shared" si="3"/>
        <v>0</v>
      </c>
      <c r="AE25" s="117"/>
      <c r="AF25" s="118"/>
      <c r="AG25" s="110"/>
    </row>
    <row r="26" spans="1:33" ht="15.75">
      <c r="A26" s="109"/>
      <c r="B26" s="34"/>
      <c r="C26" s="34"/>
      <c r="D26" s="34"/>
      <c r="E26" s="110"/>
      <c r="F26" s="34"/>
      <c r="G26" s="111"/>
      <c r="H26" s="125"/>
      <c r="I26" s="112">
        <v>0</v>
      </c>
      <c r="J26" s="113">
        <v>0</v>
      </c>
      <c r="K26" s="119">
        <v>0</v>
      </c>
      <c r="L26" s="114">
        <v>0</v>
      </c>
      <c r="M26" s="112">
        <v>0</v>
      </c>
      <c r="N26" s="115">
        <v>0</v>
      </c>
      <c r="O26" s="111">
        <v>0</v>
      </c>
      <c r="P26" s="114">
        <v>0</v>
      </c>
      <c r="Q26" s="111">
        <v>0</v>
      </c>
      <c r="R26" s="114">
        <v>0</v>
      </c>
      <c r="S26" s="112">
        <v>0</v>
      </c>
      <c r="T26" s="115">
        <v>0</v>
      </c>
      <c r="U26" s="114">
        <v>0</v>
      </c>
      <c r="V26" s="114">
        <v>0</v>
      </c>
      <c r="W26" s="33">
        <f t="shared" si="2"/>
        <v>0</v>
      </c>
      <c r="X26" s="116"/>
      <c r="Y26" s="116"/>
      <c r="Z26" s="116"/>
      <c r="AA26" s="116"/>
      <c r="AB26" s="116"/>
      <c r="AC26" s="116"/>
      <c r="AD26" s="126">
        <f t="shared" si="3"/>
        <v>0</v>
      </c>
      <c r="AE26" s="117"/>
      <c r="AF26" s="118"/>
      <c r="AG26" s="110"/>
    </row>
    <row r="27" spans="1:33" ht="15.75">
      <c r="A27" s="109"/>
      <c r="B27" s="34"/>
      <c r="C27" s="34"/>
      <c r="D27" s="34"/>
      <c r="E27" s="110"/>
      <c r="F27" s="34"/>
      <c r="G27" s="111"/>
      <c r="H27" s="125"/>
      <c r="I27" s="112"/>
      <c r="J27" s="113"/>
      <c r="K27" s="119"/>
      <c r="L27" s="114"/>
      <c r="M27" s="112"/>
      <c r="N27" s="115"/>
      <c r="O27" s="111"/>
      <c r="P27" s="114"/>
      <c r="Q27" s="111"/>
      <c r="R27" s="114"/>
      <c r="S27" s="112"/>
      <c r="T27" s="115"/>
      <c r="U27" s="114"/>
      <c r="V27" s="114"/>
      <c r="W27" s="33"/>
      <c r="X27" s="116"/>
      <c r="Y27" s="116"/>
      <c r="Z27" s="116"/>
      <c r="AA27" s="116"/>
      <c r="AB27" s="116"/>
      <c r="AC27" s="116"/>
      <c r="AD27" s="126">
        <f t="shared" si="3"/>
        <v>0</v>
      </c>
      <c r="AE27" s="117"/>
      <c r="AF27" s="118"/>
      <c r="AG27" s="110"/>
    </row>
    <row r="28" spans="1:33" ht="15.75">
      <c r="A28" s="109"/>
      <c r="B28" s="34"/>
      <c r="C28" s="34"/>
      <c r="D28" s="34"/>
      <c r="E28" s="110"/>
      <c r="F28" s="34"/>
      <c r="G28" s="111"/>
      <c r="H28" s="125"/>
      <c r="I28" s="112"/>
      <c r="J28" s="113"/>
      <c r="K28" s="119"/>
      <c r="L28" s="114"/>
      <c r="M28" s="112"/>
      <c r="N28" s="115"/>
      <c r="O28" s="111"/>
      <c r="P28" s="114"/>
      <c r="Q28" s="111"/>
      <c r="R28" s="114"/>
      <c r="S28" s="112"/>
      <c r="T28" s="115"/>
      <c r="U28" s="114"/>
      <c r="V28" s="114"/>
      <c r="W28" s="33"/>
      <c r="X28" s="116"/>
      <c r="Y28" s="116"/>
      <c r="Z28" s="116"/>
      <c r="AA28" s="116"/>
      <c r="AB28" s="116"/>
      <c r="AC28" s="116"/>
      <c r="AD28" s="126">
        <f t="shared" si="3"/>
        <v>0</v>
      </c>
      <c r="AE28" s="117"/>
      <c r="AF28" s="118"/>
      <c r="AG28" s="110"/>
    </row>
    <row r="29" spans="1:33" ht="15.75">
      <c r="A29" s="109"/>
      <c r="B29" s="34"/>
      <c r="C29" s="34"/>
      <c r="D29" s="34"/>
      <c r="E29" s="110"/>
      <c r="F29" s="34"/>
      <c r="G29" s="111"/>
      <c r="H29" s="125"/>
      <c r="I29" s="112"/>
      <c r="J29" s="113"/>
      <c r="K29" s="119"/>
      <c r="L29" s="114"/>
      <c r="M29" s="112"/>
      <c r="N29" s="115"/>
      <c r="O29" s="111"/>
      <c r="P29" s="114"/>
      <c r="Q29" s="111"/>
      <c r="R29" s="114"/>
      <c r="S29" s="112"/>
      <c r="T29" s="115"/>
      <c r="U29" s="114"/>
      <c r="V29" s="114"/>
      <c r="W29" s="33"/>
      <c r="X29" s="116"/>
      <c r="Y29" s="116"/>
      <c r="Z29" s="116"/>
      <c r="AA29" s="116"/>
      <c r="AB29" s="116"/>
      <c r="AC29" s="116"/>
      <c r="AD29" s="126">
        <f t="shared" si="3"/>
        <v>0</v>
      </c>
      <c r="AE29" s="117"/>
      <c r="AF29" s="118"/>
      <c r="AG29" s="110"/>
    </row>
    <row r="30" spans="1:33" ht="15.75">
      <c r="A30" s="109"/>
      <c r="B30" s="34"/>
      <c r="C30" s="34"/>
      <c r="D30" s="34"/>
      <c r="E30" s="110"/>
      <c r="F30" s="34"/>
      <c r="G30" s="111"/>
      <c r="H30" s="125"/>
      <c r="I30" s="112"/>
      <c r="J30" s="113"/>
      <c r="K30" s="119"/>
      <c r="L30" s="114"/>
      <c r="M30" s="112"/>
      <c r="N30" s="115"/>
      <c r="O30" s="111"/>
      <c r="P30" s="114"/>
      <c r="Q30" s="111"/>
      <c r="R30" s="114"/>
      <c r="S30" s="112"/>
      <c r="T30" s="115"/>
      <c r="U30" s="114"/>
      <c r="V30" s="114"/>
      <c r="W30" s="33"/>
      <c r="X30" s="116"/>
      <c r="Y30" s="116"/>
      <c r="Z30" s="116"/>
      <c r="AA30" s="116"/>
      <c r="AB30" s="116"/>
      <c r="AC30" s="116"/>
      <c r="AD30" s="126">
        <f t="shared" si="3"/>
        <v>0</v>
      </c>
      <c r="AE30" s="117"/>
      <c r="AF30" s="118"/>
      <c r="AG30" s="110"/>
    </row>
    <row r="31" spans="1:33" ht="15.75">
      <c r="A31" s="109"/>
      <c r="B31" s="34"/>
      <c r="C31" s="34"/>
      <c r="D31" s="34"/>
      <c r="E31" s="110"/>
      <c r="F31" s="34"/>
      <c r="G31" s="111"/>
      <c r="H31" s="125"/>
      <c r="I31" s="112"/>
      <c r="J31" s="113"/>
      <c r="K31" s="119"/>
      <c r="L31" s="114"/>
      <c r="M31" s="112"/>
      <c r="N31" s="115"/>
      <c r="O31" s="111"/>
      <c r="P31" s="114"/>
      <c r="Q31" s="111"/>
      <c r="R31" s="114"/>
      <c r="S31" s="112"/>
      <c r="T31" s="115"/>
      <c r="U31" s="114"/>
      <c r="V31" s="114"/>
      <c r="W31" s="33"/>
      <c r="X31" s="116"/>
      <c r="Y31" s="116"/>
      <c r="Z31" s="116"/>
      <c r="AA31" s="116"/>
      <c r="AB31" s="116"/>
      <c r="AC31" s="116"/>
      <c r="AD31" s="126">
        <f t="shared" si="3"/>
        <v>0</v>
      </c>
      <c r="AE31" s="117"/>
      <c r="AF31" s="118"/>
      <c r="AG31" s="110"/>
    </row>
    <row r="32" spans="1:33" ht="15.75">
      <c r="A32" s="109"/>
      <c r="B32" s="34"/>
      <c r="C32" s="34"/>
      <c r="D32" s="34"/>
      <c r="E32" s="110"/>
      <c r="F32" s="34"/>
      <c r="G32" s="111"/>
      <c r="H32" s="125"/>
      <c r="I32" s="112"/>
      <c r="J32" s="113"/>
      <c r="K32" s="119"/>
      <c r="L32" s="114"/>
      <c r="M32" s="112"/>
      <c r="N32" s="115"/>
      <c r="O32" s="111"/>
      <c r="P32" s="114"/>
      <c r="Q32" s="111"/>
      <c r="R32" s="114"/>
      <c r="S32" s="112"/>
      <c r="T32" s="115"/>
      <c r="U32" s="114"/>
      <c r="V32" s="114"/>
      <c r="W32" s="33"/>
      <c r="X32" s="116"/>
      <c r="Y32" s="116"/>
      <c r="Z32" s="116"/>
      <c r="AA32" s="116"/>
      <c r="AB32" s="116"/>
      <c r="AC32" s="116"/>
      <c r="AD32" s="126">
        <f t="shared" si="3"/>
        <v>0</v>
      </c>
      <c r="AE32" s="117"/>
      <c r="AF32" s="118"/>
      <c r="AG32" s="110"/>
    </row>
    <row r="33" spans="1:33" ht="15.75">
      <c r="A33" s="109"/>
      <c r="B33" s="34"/>
      <c r="C33" s="34"/>
      <c r="D33" s="34"/>
      <c r="E33" s="110"/>
      <c r="F33" s="34"/>
      <c r="G33" s="111"/>
      <c r="H33" s="125"/>
      <c r="I33" s="112"/>
      <c r="J33" s="113"/>
      <c r="K33" s="119"/>
      <c r="L33" s="114"/>
      <c r="M33" s="112"/>
      <c r="N33" s="115"/>
      <c r="O33" s="111"/>
      <c r="P33" s="114"/>
      <c r="Q33" s="111"/>
      <c r="R33" s="114"/>
      <c r="S33" s="112"/>
      <c r="T33" s="115"/>
      <c r="U33" s="114"/>
      <c r="V33" s="114"/>
      <c r="W33" s="33"/>
      <c r="X33" s="116"/>
      <c r="Y33" s="116"/>
      <c r="Z33" s="116"/>
      <c r="AA33" s="116"/>
      <c r="AB33" s="116"/>
      <c r="AC33" s="116"/>
      <c r="AD33" s="126">
        <f t="shared" si="3"/>
        <v>0</v>
      </c>
      <c r="AE33" s="117"/>
      <c r="AF33" s="118"/>
      <c r="AG33" s="110"/>
    </row>
    <row r="34" spans="1:33" ht="15.75">
      <c r="A34" s="109"/>
      <c r="B34" s="34"/>
      <c r="C34" s="34"/>
      <c r="D34" s="34"/>
      <c r="E34" s="110"/>
      <c r="F34" s="34"/>
      <c r="G34" s="111"/>
      <c r="H34" s="125"/>
      <c r="I34" s="112"/>
      <c r="J34" s="113"/>
      <c r="K34" s="119"/>
      <c r="L34" s="114"/>
      <c r="M34" s="112"/>
      <c r="N34" s="115"/>
      <c r="O34" s="111"/>
      <c r="P34" s="114"/>
      <c r="Q34" s="111"/>
      <c r="R34" s="114"/>
      <c r="S34" s="112"/>
      <c r="T34" s="115"/>
      <c r="U34" s="114"/>
      <c r="V34" s="114"/>
      <c r="W34" s="33"/>
      <c r="X34" s="116"/>
      <c r="Y34" s="116"/>
      <c r="Z34" s="116"/>
      <c r="AA34" s="116"/>
      <c r="AB34" s="116"/>
      <c r="AC34" s="116"/>
      <c r="AD34" s="126">
        <f t="shared" si="3"/>
        <v>0</v>
      </c>
      <c r="AE34" s="117"/>
      <c r="AF34" s="118"/>
      <c r="AG34" s="110"/>
    </row>
    <row r="35" spans="1:33" ht="15.75">
      <c r="A35" s="109"/>
      <c r="B35" s="34"/>
      <c r="C35" s="34"/>
      <c r="D35" s="34"/>
      <c r="E35" s="110"/>
      <c r="F35" s="34"/>
      <c r="G35" s="111"/>
      <c r="H35" s="125"/>
      <c r="I35" s="112"/>
      <c r="J35" s="113"/>
      <c r="K35" s="119"/>
      <c r="L35" s="114"/>
      <c r="M35" s="112"/>
      <c r="N35" s="115"/>
      <c r="O35" s="111"/>
      <c r="P35" s="114"/>
      <c r="Q35" s="111"/>
      <c r="R35" s="114"/>
      <c r="S35" s="112"/>
      <c r="T35" s="115"/>
      <c r="U35" s="114"/>
      <c r="V35" s="114"/>
      <c r="W35" s="33"/>
      <c r="X35" s="116"/>
      <c r="Y35" s="116"/>
      <c r="Z35" s="116"/>
      <c r="AA35" s="116"/>
      <c r="AB35" s="116"/>
      <c r="AC35" s="116"/>
      <c r="AD35" s="126">
        <f t="shared" si="3"/>
        <v>0</v>
      </c>
      <c r="AE35" s="117"/>
      <c r="AF35" s="118"/>
      <c r="AG35" s="110"/>
    </row>
    <row r="36" spans="1:33" ht="15.75">
      <c r="A36" s="109"/>
      <c r="B36" s="34"/>
      <c r="C36" s="34"/>
      <c r="D36" s="34"/>
      <c r="E36" s="110"/>
      <c r="F36" s="34"/>
      <c r="G36" s="111"/>
      <c r="H36" s="125"/>
      <c r="I36" s="112"/>
      <c r="J36" s="113"/>
      <c r="K36" s="119"/>
      <c r="L36" s="114"/>
      <c r="M36" s="112"/>
      <c r="N36" s="115"/>
      <c r="O36" s="111"/>
      <c r="P36" s="114"/>
      <c r="Q36" s="111"/>
      <c r="R36" s="114"/>
      <c r="S36" s="112"/>
      <c r="T36" s="115"/>
      <c r="U36" s="114"/>
      <c r="V36" s="114"/>
      <c r="W36" s="33"/>
      <c r="X36" s="116"/>
      <c r="Y36" s="116"/>
      <c r="Z36" s="116"/>
      <c r="AA36" s="116"/>
      <c r="AB36" s="116"/>
      <c r="AC36" s="116"/>
      <c r="AD36" s="126">
        <f t="shared" si="3"/>
        <v>0</v>
      </c>
      <c r="AE36" s="117"/>
      <c r="AF36" s="118"/>
      <c r="AG36" s="110"/>
    </row>
    <row r="37" spans="1:33" ht="15.75">
      <c r="A37" s="109"/>
      <c r="B37" s="34"/>
      <c r="C37" s="34"/>
      <c r="D37" s="34"/>
      <c r="E37" s="110"/>
      <c r="F37" s="34"/>
      <c r="G37" s="111"/>
      <c r="H37" s="125"/>
      <c r="I37" s="112"/>
      <c r="J37" s="113"/>
      <c r="K37" s="119"/>
      <c r="L37" s="114"/>
      <c r="M37" s="112"/>
      <c r="N37" s="115"/>
      <c r="O37" s="111"/>
      <c r="P37" s="114"/>
      <c r="Q37" s="111"/>
      <c r="R37" s="114"/>
      <c r="S37" s="112"/>
      <c r="T37" s="115"/>
      <c r="U37" s="114"/>
      <c r="V37" s="114"/>
      <c r="W37" s="33"/>
      <c r="X37" s="116"/>
      <c r="Y37" s="116"/>
      <c r="Z37" s="116"/>
      <c r="AA37" s="116"/>
      <c r="AB37" s="116"/>
      <c r="AC37" s="116"/>
      <c r="AD37" s="126">
        <f t="shared" si="3"/>
        <v>0</v>
      </c>
      <c r="AE37" s="117"/>
      <c r="AF37" s="118"/>
      <c r="AG37" s="110"/>
    </row>
    <row r="38" spans="1:33" ht="15.75">
      <c r="A38" s="109"/>
      <c r="B38" s="34"/>
      <c r="C38" s="34"/>
      <c r="D38" s="34"/>
      <c r="E38" s="110"/>
      <c r="F38" s="34"/>
      <c r="G38" s="111"/>
      <c r="H38" s="125"/>
      <c r="I38" s="112"/>
      <c r="J38" s="113"/>
      <c r="K38" s="119"/>
      <c r="L38" s="114"/>
      <c r="M38" s="112"/>
      <c r="N38" s="115"/>
      <c r="O38" s="111"/>
      <c r="P38" s="114"/>
      <c r="Q38" s="111"/>
      <c r="R38" s="114"/>
      <c r="S38" s="112"/>
      <c r="T38" s="115"/>
      <c r="U38" s="114"/>
      <c r="V38" s="114"/>
      <c r="W38" s="33"/>
      <c r="X38" s="116"/>
      <c r="Y38" s="116"/>
      <c r="Z38" s="116"/>
      <c r="AA38" s="116"/>
      <c r="AB38" s="116"/>
      <c r="AC38" s="116"/>
      <c r="AD38" s="126">
        <f t="shared" si="3"/>
        <v>0</v>
      </c>
      <c r="AE38" s="117"/>
      <c r="AF38" s="118"/>
      <c r="AG38" s="110"/>
    </row>
    <row r="39" spans="1:33" ht="15.75">
      <c r="A39" s="109"/>
      <c r="B39" s="34"/>
      <c r="C39" s="34"/>
      <c r="D39" s="34"/>
      <c r="E39" s="110"/>
      <c r="F39" s="34"/>
      <c r="G39" s="111"/>
      <c r="H39" s="125"/>
      <c r="I39" s="112"/>
      <c r="J39" s="113"/>
      <c r="K39" s="119"/>
      <c r="L39" s="114"/>
      <c r="M39" s="112"/>
      <c r="N39" s="115"/>
      <c r="O39" s="111"/>
      <c r="P39" s="114"/>
      <c r="Q39" s="111"/>
      <c r="R39" s="114"/>
      <c r="S39" s="112"/>
      <c r="T39" s="115"/>
      <c r="U39" s="114"/>
      <c r="V39" s="114"/>
      <c r="W39" s="33"/>
      <c r="X39" s="116"/>
      <c r="Y39" s="116"/>
      <c r="Z39" s="116"/>
      <c r="AA39" s="116"/>
      <c r="AB39" s="116"/>
      <c r="AC39" s="116"/>
      <c r="AD39" s="126">
        <f t="shared" si="3"/>
        <v>0</v>
      </c>
      <c r="AE39" s="117"/>
      <c r="AF39" s="118"/>
      <c r="AG39" s="110"/>
    </row>
    <row r="40" spans="1:33" ht="15.75">
      <c r="A40" s="109"/>
      <c r="B40" s="34"/>
      <c r="C40" s="34"/>
      <c r="D40" s="34"/>
      <c r="E40" s="110"/>
      <c r="F40" s="34"/>
      <c r="G40" s="111"/>
      <c r="H40" s="125"/>
      <c r="I40" s="112"/>
      <c r="J40" s="113"/>
      <c r="K40" s="119"/>
      <c r="L40" s="114"/>
      <c r="M40" s="112"/>
      <c r="N40" s="115"/>
      <c r="O40" s="111"/>
      <c r="P40" s="114"/>
      <c r="Q40" s="111"/>
      <c r="R40" s="114"/>
      <c r="S40" s="112"/>
      <c r="T40" s="115"/>
      <c r="U40" s="114"/>
      <c r="V40" s="114"/>
      <c r="W40" s="33"/>
      <c r="X40" s="116"/>
      <c r="Y40" s="116"/>
      <c r="Z40" s="116"/>
      <c r="AA40" s="116"/>
      <c r="AB40" s="116"/>
      <c r="AC40" s="116"/>
      <c r="AD40" s="126">
        <f t="shared" si="3"/>
        <v>0</v>
      </c>
      <c r="AE40" s="117"/>
      <c r="AF40" s="118"/>
      <c r="AG40" s="110"/>
    </row>
    <row r="41" spans="1:33" ht="15.75">
      <c r="A41" s="109"/>
      <c r="B41" s="34"/>
      <c r="C41" s="34"/>
      <c r="D41" s="34"/>
      <c r="E41" s="110"/>
      <c r="F41" s="34"/>
      <c r="G41" s="111"/>
      <c r="H41" s="125"/>
      <c r="I41" s="112"/>
      <c r="J41" s="113"/>
      <c r="K41" s="119"/>
      <c r="L41" s="114"/>
      <c r="M41" s="112"/>
      <c r="N41" s="115"/>
      <c r="O41" s="111"/>
      <c r="P41" s="114"/>
      <c r="Q41" s="111"/>
      <c r="R41" s="114"/>
      <c r="S41" s="112"/>
      <c r="T41" s="115"/>
      <c r="U41" s="114"/>
      <c r="V41" s="114"/>
      <c r="W41" s="33"/>
      <c r="X41" s="116"/>
      <c r="Y41" s="116"/>
      <c r="Z41" s="116"/>
      <c r="AA41" s="116"/>
      <c r="AB41" s="116"/>
      <c r="AC41" s="116"/>
      <c r="AD41" s="126">
        <f t="shared" si="3"/>
        <v>0</v>
      </c>
      <c r="AE41" s="117"/>
      <c r="AF41" s="118"/>
      <c r="AG41" s="110"/>
    </row>
    <row r="42" spans="1:33" ht="15.75">
      <c r="A42" s="109"/>
      <c r="B42" s="34"/>
      <c r="C42" s="34"/>
      <c r="D42" s="34"/>
      <c r="E42" s="110"/>
      <c r="F42" s="34"/>
      <c r="G42" s="111"/>
      <c r="H42" s="125"/>
      <c r="I42" s="112"/>
      <c r="J42" s="113"/>
      <c r="K42" s="119"/>
      <c r="L42" s="114"/>
      <c r="M42" s="112"/>
      <c r="N42" s="115"/>
      <c r="O42" s="111"/>
      <c r="P42" s="114"/>
      <c r="Q42" s="111"/>
      <c r="R42" s="114"/>
      <c r="S42" s="112"/>
      <c r="T42" s="115"/>
      <c r="U42" s="114"/>
      <c r="V42" s="114"/>
      <c r="W42" s="33"/>
      <c r="X42" s="116"/>
      <c r="Y42" s="116"/>
      <c r="Z42" s="116"/>
      <c r="AA42" s="116"/>
      <c r="AB42" s="116"/>
      <c r="AC42" s="116"/>
      <c r="AD42" s="126">
        <f t="shared" si="3"/>
        <v>0</v>
      </c>
      <c r="AE42" s="117"/>
      <c r="AF42" s="118"/>
      <c r="AG42" s="110"/>
    </row>
    <row r="43" spans="1:33" ht="15.75">
      <c r="A43" s="109"/>
      <c r="B43" s="34"/>
      <c r="C43" s="34"/>
      <c r="D43" s="34"/>
      <c r="E43" s="110"/>
      <c r="F43" s="34"/>
      <c r="G43" s="111"/>
      <c r="H43" s="125"/>
      <c r="I43" s="112"/>
      <c r="J43" s="113"/>
      <c r="K43" s="119"/>
      <c r="L43" s="114"/>
      <c r="M43" s="112"/>
      <c r="N43" s="115"/>
      <c r="O43" s="111"/>
      <c r="P43" s="114"/>
      <c r="Q43" s="111"/>
      <c r="R43" s="114"/>
      <c r="S43" s="112"/>
      <c r="T43" s="115"/>
      <c r="U43" s="114"/>
      <c r="V43" s="114"/>
      <c r="W43" s="33"/>
      <c r="X43" s="116"/>
      <c r="Y43" s="116"/>
      <c r="Z43" s="116"/>
      <c r="AA43" s="116"/>
      <c r="AB43" s="116"/>
      <c r="AC43" s="116"/>
      <c r="AD43" s="126">
        <f t="shared" si="3"/>
        <v>0</v>
      </c>
      <c r="AE43" s="117"/>
      <c r="AF43" s="118"/>
      <c r="AG43" s="110"/>
    </row>
    <row r="44" spans="1:33" ht="15.75">
      <c r="A44" s="109"/>
      <c r="B44" s="34"/>
      <c r="C44" s="34"/>
      <c r="D44" s="34"/>
      <c r="E44" s="110"/>
      <c r="F44" s="34"/>
      <c r="G44" s="111"/>
      <c r="H44" s="125"/>
      <c r="I44" s="112"/>
      <c r="J44" s="113"/>
      <c r="K44" s="119"/>
      <c r="L44" s="114"/>
      <c r="M44" s="112"/>
      <c r="N44" s="115"/>
      <c r="O44" s="111"/>
      <c r="P44" s="114"/>
      <c r="Q44" s="111"/>
      <c r="R44" s="114"/>
      <c r="S44" s="112"/>
      <c r="T44" s="115"/>
      <c r="U44" s="114"/>
      <c r="V44" s="114"/>
      <c r="W44" s="33"/>
      <c r="X44" s="116"/>
      <c r="Y44" s="116"/>
      <c r="Z44" s="116"/>
      <c r="AA44" s="116"/>
      <c r="AB44" s="116"/>
      <c r="AC44" s="116"/>
      <c r="AD44" s="126">
        <f t="shared" si="3"/>
        <v>0</v>
      </c>
      <c r="AE44" s="117"/>
      <c r="AF44" s="118"/>
      <c r="AG44" s="110"/>
    </row>
    <row r="45" spans="1:33" ht="15.75">
      <c r="A45" s="109"/>
      <c r="B45" s="34"/>
      <c r="C45" s="34"/>
      <c r="D45" s="34"/>
      <c r="E45" s="110"/>
      <c r="F45" s="34"/>
      <c r="G45" s="111"/>
      <c r="H45" s="125"/>
      <c r="I45" s="112"/>
      <c r="J45" s="113"/>
      <c r="K45" s="119"/>
      <c r="L45" s="114"/>
      <c r="M45" s="112"/>
      <c r="N45" s="115"/>
      <c r="O45" s="111"/>
      <c r="P45" s="114"/>
      <c r="Q45" s="111"/>
      <c r="R45" s="114"/>
      <c r="S45" s="112"/>
      <c r="T45" s="115"/>
      <c r="U45" s="114"/>
      <c r="V45" s="114"/>
      <c r="W45" s="33"/>
      <c r="X45" s="116"/>
      <c r="Y45" s="116"/>
      <c r="Z45" s="116"/>
      <c r="AA45" s="116"/>
      <c r="AB45" s="116"/>
      <c r="AC45" s="116"/>
      <c r="AD45" s="126">
        <f t="shared" si="3"/>
        <v>0</v>
      </c>
      <c r="AE45" s="117"/>
      <c r="AF45" s="118"/>
      <c r="AG45" s="110"/>
    </row>
  </sheetData>
  <sheetProtection selectLockedCells="1"/>
  <protectedRanges>
    <protectedRange sqref="AG6:AG45 B7:E45 G6:V45 B6:C6 E6" name="Rango1"/>
    <protectedRange sqref="AE6:AE45" name="Rango1_2"/>
    <protectedRange sqref="F6:F45 A6:A45" name="Rango1_1"/>
    <protectedRange sqref="AD6:AD45" name="Rango1_2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F6:I7 G15 F8:G14 X6:AC45 L6:V45 F22:I45 A7:D45 A6:B6 F16:G21 H8:I21">
    <cfRule type="expression" dxfId="15" priority="249" stopIfTrue="1">
      <formula>"SEVERSTAL"</formula>
    </cfRule>
  </conditionalFormatting>
  <conditionalFormatting sqref="E7:E14 AG6:AG45 AE6:AE45 E17:E45">
    <cfRule type="cellIs" dxfId="14" priority="250" stopIfTrue="1" operator="equal">
      <formula>"APROBADO"</formula>
    </cfRule>
    <cfRule type="cellIs" dxfId="13" priority="251" stopIfTrue="1" operator="equal">
      <formula>"ESPERA"</formula>
    </cfRule>
    <cfRule type="cellIs" dxfId="12" priority="252" stopIfTrue="1" operator="equal">
      <formula>"RECHAZADO"</formula>
    </cfRule>
  </conditionalFormatting>
  <conditionalFormatting sqref="F15">
    <cfRule type="expression" dxfId="11" priority="9" stopIfTrue="1">
      <formula>"SEVERSTAL"</formula>
    </cfRule>
  </conditionalFormatting>
  <conditionalFormatting sqref="E15:E16">
    <cfRule type="cellIs" dxfId="10" priority="10" stopIfTrue="1" operator="equal">
      <formula>"APROBADO"</formula>
    </cfRule>
    <cfRule type="cellIs" dxfId="9" priority="11" stopIfTrue="1" operator="equal">
      <formula>"ESPERA"</formula>
    </cfRule>
    <cfRule type="cellIs" dxfId="8" priority="12" stopIfTrue="1" operator="equal">
      <formula>"RECHAZADO"</formula>
    </cfRule>
  </conditionalFormatting>
  <conditionalFormatting sqref="AD6:AD45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C6">
    <cfRule type="expression" dxfId="4" priority="2" stopIfTrue="1">
      <formula>"SEVERSTAL"</formula>
    </cfRule>
  </conditionalFormatting>
  <conditionalFormatting sqref="E6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