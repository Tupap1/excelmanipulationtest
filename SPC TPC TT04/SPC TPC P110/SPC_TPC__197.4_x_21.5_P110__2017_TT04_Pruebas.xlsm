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\"/>
    </mc:Choice>
  </mc:AlternateContent>
  <xr:revisionPtr revIDLastSave="0" documentId="13_ncr:1_{484B26AE-43D7-44E0-841A-C5BCC9D94E22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8" i="5" l="1"/>
  <c r="W7" i="5" l="1"/>
  <c r="J3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L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rechazan por baja temperatura Austenizado,temperatura alta de enfriamiento y prueba para el enderezador, un tubo por cada evento. SE REPROCESAN</t>
        </r>
      </text>
    </comment>
  </commentList>
</comments>
</file>

<file path=xl/sharedStrings.xml><?xml version="1.0" encoding="utf-8"?>
<sst xmlns="http://schemas.openxmlformats.org/spreadsheetml/2006/main" count="153" uniqueCount="112">
  <si>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</si>
  <si>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</si>
  <si>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</si>
  <si>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</si>
  <si>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</si>
  <si>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</si>
  <si>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</si>
  <si>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</si>
  <si>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</si>
  <si>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</si>
  <si>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</si>
  <si>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</si>
  <si>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</si>
  <si>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</si>
  <si>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</si>
  <si>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</si>
  <si>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</si>
  <si>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</si>
  <si>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</si>
  <si>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</si>
  <si>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</si>
  <si>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</si>
  <si>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</si>
  <si>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</si>
  <si>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</si>
  <si>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</si>
  <si>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</si>
  <si>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</si>
  <si>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</si>
  <si>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</si>
  <si>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</si>
  <si>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</si>
  <si>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</si>
  <si>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</si>
  <si>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</si>
  <si>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</si>
  <si>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</si>
  <si>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</si>
  <si>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</si>
  <si>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</si>
  <si>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</si>
  <si>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</si>
  <si>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</si>
  <si>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</si>
  <si>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</si>
  <si>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</si>
  <si>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</si>
  <si>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</si>
  <si>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</si>
  <si>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</si>
  <si>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</si>
  <si>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</si>
  <si>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</si>
  <si>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</si>
  <si>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</si>
  <si>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</si>
  <si>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</si>
  <si>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</si>
  <si>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</si>
  <si>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</si>
  <si>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</si>
  <si>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</si>
  <si>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</si>
  <si>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</si>
  <si>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</si>
  <si>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</si>
  <si>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</si>
  <si>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</si>
  <si>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</si>
  <si>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</si>
  <si>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</si>
  <si>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</si>
  <si>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</si>
  <si>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</si>
  <si>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</si>
  <si>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</si>
  <si>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</si>
  <si>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</si>
  <si>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</si>
  <si>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</si>
  <si>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</si>
  <si>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</si>
  <si>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</si>
  <si>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</si>
  <si>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</si>
  <si>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</si>
  <si>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</si>
  <si>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</si>
  <si>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</si>
  <si>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</si>
  <si>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</si>
  <si>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</si>
  <si>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2387 Pb</t>
  </si>
  <si>
    <t>1 al 33</t>
  </si>
  <si>
    <t>Centro</t>
  </si>
  <si>
    <t>P1</t>
  </si>
  <si>
    <t xml:space="preserve">SUR </t>
  </si>
  <si>
    <t>CP110 197,4 - 21,5 mm TPC</t>
  </si>
  <si>
    <t xml:space="preserve">NORTE </t>
  </si>
  <si>
    <t>2443 Pb</t>
  </si>
  <si>
    <t>CP110 197,4 x 21,5 mm TPC</t>
  </si>
  <si>
    <t>34 AL 61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</si>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</sst>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8" formatCode="_-[$€-2]* #,##0.00_-;\-[$€-2]* #,##0.00_-;_-[$€-2]* &quot;-&quot;??_-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3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0" fontId="50" fillId="0" borderId="0" xfId="0" applyFont="1" applyFill="1" applyBorder="1" applyAlignment="1">
      <alignment horizontal="center"/>
    </xf>
    <xf numFmtId="0" fontId="49" fillId="2" borderId="0" xfId="0" applyFont="1" applyFill="1" applyAlignment="1">
      <alignment horizontal="center"/>
    </xf>
    <xf numFmtId="0" fontId="51" fillId="2" borderId="0" xfId="0" applyFont="1" applyFill="1" applyAlignment="1">
      <alignment horizontal="center"/>
    </xf>
    <xf numFmtId="0" fontId="52" fillId="2" borderId="0" xfId="0" applyFont="1" applyFill="1" applyBorder="1" applyAlignment="1">
      <alignment horizontal="center"/>
    </xf>
    <xf numFmtId="165" fontId="45" fillId="0" borderId="0" xfId="0" applyNumberFormat="1" applyFont="1" applyAlignment="1">
      <alignment horizontal="center"/>
    </xf>
    <xf numFmtId="0" fontId="53" fillId="2" borderId="0" xfId="0" applyFont="1" applyFill="1" applyAlignment="1">
      <alignment horizontal="center"/>
    </xf>
    <xf numFmtId="0" fontId="54" fillId="2" borderId="0" xfId="0" applyFont="1" applyFill="1" applyBorder="1" applyAlignment="1">
      <alignment horizontal="right"/>
    </xf>
    <xf numFmtId="165" fontId="52" fillId="2" borderId="0" xfId="0" applyNumberFormat="1" applyFont="1" applyFill="1" applyBorder="1" applyAlignment="1">
      <alignment horizontal="center"/>
    </xf>
    <xf numFmtId="0" fontId="50" fillId="0" borderId="22" xfId="0" applyFont="1" applyFill="1" applyBorder="1" applyAlignment="1"/>
    <xf numFmtId="165" fontId="50" fillId="0" borderId="22" xfId="0" applyNumberFormat="1" applyFont="1" applyFill="1" applyBorder="1" applyAlignment="1">
      <alignment horizontal="center"/>
    </xf>
    <xf numFmtId="0" fontId="50" fillId="0" borderId="20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3" fontId="57" fillId="0" borderId="4" xfId="0" applyNumberFormat="1" applyFont="1" applyFill="1" applyBorder="1" applyAlignment="1">
      <alignment horizontal="center"/>
    </xf>
    <xf numFmtId="0" fontId="57" fillId="0" borderId="0" xfId="0" applyFont="1" applyAlignment="1">
      <alignment horizontal="center"/>
    </xf>
    <xf numFmtId="0" fontId="57" fillId="0" borderId="1" xfId="0" applyFont="1" applyFill="1" applyBorder="1" applyAlignment="1" applyProtection="1">
      <alignment horizontal="center"/>
      <protection locked="0"/>
    </xf>
    <xf numFmtId="0" fontId="52" fillId="0" borderId="0" xfId="0" applyFont="1" applyFill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41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2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41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vertical="center"/>
      <protection hidden="1"/>
    </xf>
    <xf numFmtId="0" fontId="0" fillId="7" borderId="17" xfId="0" applyFill="1" applyBorder="1" applyAlignment="1" applyProtection="1">
      <alignment vertical="center"/>
      <protection hidden="1"/>
    </xf>
    <xf numFmtId="0" fontId="1" fillId="7" borderId="17" xfId="0" applyFont="1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0" fillId="7" borderId="21" xfId="0" applyFill="1" applyBorder="1" applyAlignment="1" applyProtection="1">
      <alignment vertical="center"/>
      <protection hidden="1"/>
    </xf>
    <xf numFmtId="0" fontId="1" fillId="7" borderId="23" xfId="0" applyFont="1" applyFill="1" applyBorder="1" applyAlignment="1" applyProtection="1">
      <alignment vertical="center"/>
      <protection hidden="1"/>
    </xf>
    <xf numFmtId="21" fontId="23" fillId="7" borderId="23" xfId="0" applyNumberFormat="1" applyFont="1" applyFill="1" applyBorder="1" applyAlignment="1" applyProtection="1">
      <alignment horizontal="center" vertical="center"/>
      <protection hidden="1"/>
    </xf>
    <xf numFmtId="0" fontId="8" fillId="7" borderId="21" xfId="0" applyFont="1" applyFill="1" applyBorder="1" applyAlignment="1" applyProtection="1">
      <alignment horizontal="center"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10" fillId="7" borderId="21" xfId="0" applyFont="1" applyFill="1" applyBorder="1" applyAlignment="1" applyProtection="1">
      <alignment vertical="center"/>
      <protection hidden="1"/>
    </xf>
    <xf numFmtId="0" fontId="25" fillId="7" borderId="23" xfId="0" applyFont="1" applyFill="1" applyBorder="1" applyAlignment="1" applyProtection="1">
      <alignment vertical="center"/>
      <protection hidden="1"/>
    </xf>
    <xf numFmtId="21" fontId="28" fillId="7" borderId="23" xfId="0" applyNumberFormat="1" applyFont="1" applyFill="1" applyBorder="1" applyAlignment="1" applyProtection="1">
      <alignment horizontal="center"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25" fillId="7" borderId="22" xfId="0" applyFont="1" applyFill="1" applyBorder="1" applyAlignment="1" applyProtection="1">
      <alignment vertical="center"/>
      <protection hidden="1"/>
    </xf>
    <xf numFmtId="0" fontId="42" fillId="7" borderId="22" xfId="0" applyFont="1" applyFill="1" applyBorder="1" applyAlignment="1" applyProtection="1">
      <alignment vertical="center"/>
      <protection hidden="1"/>
    </xf>
    <xf numFmtId="0" fontId="41" fillId="7" borderId="22" xfId="0" applyFont="1" applyFill="1" applyBorder="1" applyAlignment="1" applyProtection="1">
      <alignment vertical="center"/>
      <protection hidden="1"/>
    </xf>
    <xf numFmtId="21" fontId="41" fillId="7" borderId="22" xfId="0" applyNumberFormat="1" applyFont="1" applyFill="1" applyBorder="1" applyAlignment="1" applyProtection="1">
      <alignment horizontal="center" vertical="center"/>
      <protection hidden="1"/>
    </xf>
    <xf numFmtId="21" fontId="31" fillId="7" borderId="22" xfId="0" applyNumberFormat="1" applyFont="1" applyFill="1" applyBorder="1" applyAlignment="1" applyProtection="1">
      <alignment horizontal="center" vertical="center"/>
      <protection hidden="1"/>
    </xf>
    <xf numFmtId="21" fontId="28" fillId="7" borderId="20" xfId="0" applyNumberFormat="1" applyFont="1" applyFill="1" applyBorder="1" applyAlignment="1" applyProtection="1">
      <alignment horizontal="center" vertical="center"/>
      <protection hidden="1"/>
    </xf>
    <xf numFmtId="0" fontId="59" fillId="6" borderId="0" xfId="0" applyFont="1" applyFill="1" applyBorder="1" applyAlignment="1">
      <alignment horizontal="center"/>
    </xf>
    <xf numFmtId="0" fontId="43" fillId="6" borderId="0" xfId="0" applyFont="1" applyFill="1" applyBorder="1" applyAlignment="1">
      <alignment horizontal="center" vertical="center" wrapText="1"/>
    </xf>
    <xf numFmtId="15" fontId="56" fillId="0" borderId="4" xfId="0" applyNumberFormat="1" applyFont="1" applyFill="1" applyBorder="1" applyAlignment="1">
      <alignment horizontal="center"/>
    </xf>
    <xf numFmtId="0" fontId="57" fillId="0" borderId="1" xfId="3" applyFont="1" applyBorder="1" applyAlignment="1">
      <alignment horizontal="center"/>
    </xf>
    <xf numFmtId="3" fontId="57" fillId="0" borderId="2" xfId="2" applyNumberFormat="1" applyFont="1" applyFill="1" applyBorder="1" applyAlignment="1" applyProtection="1">
      <alignment horizontal="center"/>
      <protection locked="0"/>
    </xf>
    <xf numFmtId="3" fontId="57" fillId="0" borderId="1" xfId="2" applyNumberFormat="1" applyFont="1" applyFill="1" applyBorder="1" applyAlignment="1" applyProtection="1">
      <alignment horizontal="center"/>
      <protection locked="0"/>
    </xf>
    <xf numFmtId="0" fontId="57" fillId="0" borderId="2" xfId="0" applyFont="1" applyFill="1" applyBorder="1" applyAlignment="1">
      <alignment horizontal="center"/>
    </xf>
    <xf numFmtId="3" fontId="57" fillId="0" borderId="4" xfId="2" applyNumberFormat="1" applyFont="1" applyFill="1" applyBorder="1" applyAlignment="1" applyProtection="1">
      <alignment horizontal="center"/>
      <protection locked="0"/>
    </xf>
    <xf numFmtId="3" fontId="57" fillId="0" borderId="25" xfId="2" applyNumberFormat="1" applyFont="1" applyFill="1" applyBorder="1" applyAlignment="1" applyProtection="1">
      <alignment horizontal="center"/>
      <protection locked="0"/>
    </xf>
    <xf numFmtId="3" fontId="58" fillId="0" borderId="1" xfId="0" applyNumberFormat="1" applyFont="1" applyFill="1" applyBorder="1" applyAlignment="1" applyProtection="1">
      <alignment horizontal="center"/>
    </xf>
    <xf numFmtId="0" fontId="60" fillId="0" borderId="1" xfId="0" applyFont="1" applyFill="1" applyBorder="1" applyAlignment="1" applyProtection="1">
      <alignment horizontal="center"/>
      <protection locked="0"/>
    </xf>
    <xf numFmtId="0" fontId="57" fillId="0" borderId="26" xfId="0" applyFont="1" applyBorder="1" applyAlignment="1">
      <alignment horizontal="center"/>
    </xf>
    <xf numFmtId="0" fontId="57" fillId="0" borderId="26" xfId="0" applyFont="1" applyFill="1" applyBorder="1" applyAlignment="1">
      <alignment horizontal="center"/>
    </xf>
    <xf numFmtId="15" fontId="56" fillId="0" borderId="3" xfId="0" applyNumberFormat="1" applyFont="1" applyFill="1" applyBorder="1" applyAlignment="1">
      <alignment horizontal="center"/>
    </xf>
    <xf numFmtId="0" fontId="62" fillId="0" borderId="0" xfId="0" applyFont="1" applyFill="1" applyBorder="1" applyAlignment="1"/>
    <xf numFmtId="0" fontId="63" fillId="0" borderId="0" xfId="0" applyFont="1" applyFill="1" applyBorder="1" applyAlignment="1"/>
    <xf numFmtId="0" fontId="63" fillId="0" borderId="0" xfId="0" applyFont="1" applyFill="1" applyBorder="1" applyAlignment="1">
      <alignment horizontal="center"/>
    </xf>
    <xf numFmtId="0" fontId="64" fillId="0" borderId="0" xfId="0" applyFont="1" applyAlignment="1">
      <alignment horizontal="center"/>
    </xf>
    <xf numFmtId="0" fontId="65" fillId="5" borderId="0" xfId="0" applyFont="1" applyFill="1" applyAlignment="1">
      <alignment horizontal="center" vertical="center" wrapText="1"/>
    </xf>
    <xf numFmtId="3" fontId="64" fillId="0" borderId="25" xfId="2" applyNumberFormat="1" applyFont="1" applyFill="1" applyBorder="1" applyAlignment="1" applyProtection="1">
      <alignment horizontal="center"/>
      <protection locked="0"/>
    </xf>
    <xf numFmtId="2" fontId="37" fillId="0" borderId="1" xfId="0" applyNumberFormat="1" applyFont="1" applyFill="1" applyBorder="1" applyAlignment="1">
      <alignment horizontal="center"/>
    </xf>
    <xf numFmtId="3" fontId="58" fillId="8" borderId="1" xfId="0" applyNumberFormat="1" applyFont="1" applyFill="1" applyBorder="1" applyAlignment="1" applyProtection="1">
      <alignment horizontal="center"/>
    </xf>
    <xf numFmtId="165" fontId="68" fillId="0" borderId="1" xfId="2" applyNumberFormat="1" applyFont="1" applyFill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3" fontId="64" fillId="0" borderId="6" xfId="2" applyNumberFormat="1" applyFont="1" applyFill="1" applyBorder="1" applyAlignment="1" applyProtection="1">
      <alignment horizontal="center" vertical="center"/>
      <protection locked="0"/>
    </xf>
    <xf numFmtId="0" fontId="39" fillId="0" borderId="0" xfId="0" applyFont="1" applyAlignment="1">
      <alignment horizontal="center" wrapText="1"/>
    </xf>
    <xf numFmtId="0" fontId="38" fillId="0" borderId="0" xfId="4" applyFont="1"/>
    <xf numFmtId="0" fontId="38" fillId="0" borderId="0" xfId="4" applyFont="1" applyBorder="1" applyAlignment="1">
      <alignment horizontal="center" vertical="center"/>
    </xf>
    <xf numFmtId="0" fontId="73" fillId="9" borderId="31" xfId="4" applyFont="1" applyFill="1" applyBorder="1" applyAlignment="1">
      <alignment horizontal="center"/>
    </xf>
    <xf numFmtId="0" fontId="73" fillId="11" borderId="31" xfId="4" applyFont="1" applyFill="1" applyBorder="1" applyAlignment="1">
      <alignment horizontal="center"/>
    </xf>
    <xf numFmtId="0" fontId="73" fillId="12" borderId="32" xfId="4" applyFont="1" applyFill="1" applyBorder="1" applyAlignment="1">
      <alignment horizontal="center"/>
    </xf>
    <xf numFmtId="0" fontId="74" fillId="14" borderId="1" xfId="4" applyFont="1" applyFill="1" applyBorder="1" applyAlignment="1">
      <alignment horizontal="center" vertical="center" wrapText="1"/>
    </xf>
    <xf numFmtId="0" fontId="74" fillId="10" borderId="1" xfId="4" applyFont="1" applyFill="1" applyBorder="1" applyAlignment="1">
      <alignment horizontal="center" vertical="center" wrapText="1"/>
    </xf>
    <xf numFmtId="0" fontId="73" fillId="9" borderId="1" xfId="4" applyFont="1" applyFill="1" applyBorder="1" applyAlignment="1">
      <alignment horizontal="center" vertical="center" wrapText="1"/>
    </xf>
    <xf numFmtId="0" fontId="73" fillId="11" borderId="1" xfId="4" applyFont="1" applyFill="1" applyBorder="1" applyAlignment="1">
      <alignment horizontal="center" vertical="center" wrapText="1"/>
    </xf>
    <xf numFmtId="0" fontId="73" fillId="12" borderId="1" xfId="4" applyFont="1" applyFill="1" applyBorder="1" applyAlignment="1">
      <alignment horizontal="center" vertical="center" wrapText="1"/>
    </xf>
    <xf numFmtId="15" fontId="20" fillId="8" borderId="1" xfId="0" applyNumberFormat="1" applyFont="1" applyFill="1" applyBorder="1" applyAlignment="1">
      <alignment horizontal="center"/>
    </xf>
    <xf numFmtId="15" fontId="20" fillId="3" borderId="1" xfId="0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>
      <alignment horizontal="center"/>
    </xf>
    <xf numFmtId="165" fontId="68" fillId="0" borderId="1" xfId="0" applyNumberFormat="1" applyFont="1" applyFill="1" applyBorder="1" applyAlignment="1">
      <alignment horizontal="center"/>
    </xf>
    <xf numFmtId="165" fontId="37" fillId="0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61" fillId="7" borderId="0" xfId="0" applyFont="1" applyFill="1" applyBorder="1" applyAlignment="1" applyProtection="1">
      <alignment horizontal="center" vertical="center"/>
      <protection hidden="1"/>
    </xf>
    <xf numFmtId="0" fontId="75" fillId="0" borderId="22" xfId="0" applyFont="1" applyFill="1" applyBorder="1" applyAlignment="1">
      <alignment horizontal="center" vertical="center"/>
    </xf>
    <xf numFmtId="0" fontId="75" fillId="0" borderId="18" xfId="0" applyFont="1" applyFill="1" applyBorder="1" applyAlignment="1">
      <alignment horizontal="center" vertical="center"/>
    </xf>
    <xf numFmtId="0" fontId="76" fillId="0" borderId="17" xfId="0" applyFont="1" applyBorder="1" applyAlignment="1">
      <alignment horizontal="center" vertical="top"/>
    </xf>
    <xf numFmtId="0" fontId="76" fillId="0" borderId="19" xfId="0" applyFont="1" applyBorder="1" applyAlignment="1">
      <alignment horizontal="center" vertical="top"/>
    </xf>
    <xf numFmtId="0" fontId="72" fillId="13" borderId="12" xfId="4" applyFont="1" applyFill="1" applyBorder="1" applyAlignment="1">
      <alignment horizontal="center" vertical="center" shrinkToFit="1"/>
    </xf>
    <xf numFmtId="0" fontId="72" fillId="13" borderId="13" xfId="4" applyFont="1" applyFill="1" applyBorder="1" applyAlignment="1">
      <alignment horizontal="center" vertical="center" shrinkToFit="1"/>
    </xf>
    <xf numFmtId="0" fontId="72" fillId="13" borderId="17" xfId="4" applyFont="1" applyFill="1" applyBorder="1" applyAlignment="1">
      <alignment horizontal="center" vertical="center" shrinkToFit="1"/>
    </xf>
    <xf numFmtId="0" fontId="72" fillId="13" borderId="19" xfId="4" applyFont="1" applyFill="1" applyBorder="1" applyAlignment="1">
      <alignment horizontal="center" vertical="center" shrinkToFit="1"/>
    </xf>
    <xf numFmtId="0" fontId="69" fillId="10" borderId="18" xfId="4" applyFont="1" applyFill="1" applyBorder="1" applyAlignment="1">
      <alignment horizontal="center" vertical="center"/>
    </xf>
    <xf numFmtId="0" fontId="69" fillId="10" borderId="9" xfId="4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69" fillId="10" borderId="8" xfId="4" applyFont="1" applyFill="1" applyBorder="1" applyAlignment="1">
      <alignment horizontal="center" vertical="center"/>
    </xf>
    <xf numFmtId="0" fontId="69" fillId="10" borderId="17" xfId="4" applyFont="1" applyFill="1" applyBorder="1" applyAlignment="1">
      <alignment horizontal="center" vertical="center"/>
    </xf>
    <xf numFmtId="0" fontId="69" fillId="10" borderId="5" xfId="4" applyFont="1" applyFill="1" applyBorder="1" applyAlignment="1">
      <alignment horizontal="center" vertical="center"/>
    </xf>
    <xf numFmtId="0" fontId="72" fillId="10" borderId="8" xfId="4" applyFont="1" applyFill="1" applyBorder="1" applyAlignment="1">
      <alignment horizontal="center" vertical="center" shrinkToFit="1"/>
    </xf>
    <xf numFmtId="0" fontId="72" fillId="10" borderId="17" xfId="4" applyFont="1" applyFill="1" applyBorder="1" applyAlignment="1">
      <alignment horizontal="center" vertical="center" shrinkToFit="1"/>
    </xf>
    <xf numFmtId="0" fontId="72" fillId="13" borderId="11" xfId="4" applyFont="1" applyFill="1" applyBorder="1" applyAlignment="1">
      <alignment horizontal="center" vertical="center" shrinkToFit="1"/>
    </xf>
    <xf numFmtId="0" fontId="72" fillId="13" borderId="10" xfId="4" applyFont="1" applyFill="1" applyBorder="1" applyAlignment="1">
      <alignment horizontal="center" vertical="center" shrinkToFit="1"/>
    </xf>
    <xf numFmtId="0" fontId="73" fillId="12" borderId="31" xfId="4" applyFont="1" applyFill="1" applyBorder="1" applyAlignment="1">
      <alignment horizontal="center"/>
    </xf>
    <xf numFmtId="0" fontId="71" fillId="11" borderId="28" xfId="4" applyFont="1" applyFill="1" applyBorder="1" applyAlignment="1">
      <alignment horizontal="center"/>
    </xf>
    <xf numFmtId="0" fontId="70" fillId="9" borderId="27" xfId="4" applyFont="1" applyFill="1" applyBorder="1" applyAlignment="1">
      <alignment horizontal="center"/>
    </xf>
    <xf numFmtId="0" fontId="70" fillId="9" borderId="28" xfId="4" applyFont="1" applyFill="1" applyBorder="1" applyAlignment="1">
      <alignment horizontal="center"/>
    </xf>
    <xf numFmtId="0" fontId="71" fillId="12" borderId="28" xfId="4" applyFont="1" applyFill="1" applyBorder="1" applyAlignment="1">
      <alignment horizontal="center"/>
    </xf>
    <xf numFmtId="0" fontId="71" fillId="12" borderId="29" xfId="4" applyFont="1" applyFill="1" applyBorder="1" applyAlignment="1">
      <alignment horizontal="center"/>
    </xf>
    <xf numFmtId="0" fontId="73" fillId="9" borderId="30" xfId="4" applyFont="1" applyFill="1" applyBorder="1" applyAlignment="1">
      <alignment horizontal="center"/>
    </xf>
    <xf numFmtId="0" fontId="73" fillId="9" borderId="31" xfId="4" applyFont="1" applyFill="1" applyBorder="1" applyAlignment="1">
      <alignment horizontal="center"/>
    </xf>
    <xf numFmtId="0" fontId="47" fillId="0" borderId="0" xfId="0" applyFont="1" applyFill="1" applyBorder="1" applyAlignment="1">
      <alignment horizontal="center"/>
    </xf>
    <xf numFmtId="0" fontId="59" fillId="6" borderId="22" xfId="0" applyFont="1" applyFill="1" applyBorder="1" applyAlignment="1">
      <alignment horizontal="center"/>
    </xf>
    <xf numFmtId="0" fontId="59" fillId="6" borderId="0" xfId="0" applyFont="1" applyFill="1" applyAlignment="1">
      <alignment horizontal="center"/>
    </xf>
    <xf numFmtId="0" fontId="43" fillId="6" borderId="8" xfId="0" applyFont="1" applyFill="1" applyBorder="1" applyAlignment="1">
      <alignment horizontal="center" vertical="center" wrapText="1"/>
    </xf>
    <xf numFmtId="0" fontId="43" fillId="6" borderId="17" xfId="0" applyFont="1" applyFill="1" applyBorder="1" applyAlignment="1">
      <alignment horizontal="center" vertical="center" wrapText="1"/>
    </xf>
    <xf numFmtId="0" fontId="43" fillId="6" borderId="19" xfId="0" applyFont="1" applyFill="1" applyBorder="1" applyAlignment="1">
      <alignment horizontal="center" vertical="center" wrapText="1"/>
    </xf>
    <xf numFmtId="0" fontId="1" fillId="0" borderId="0" xfId="0" applyFont="1"/>
    <xf numFmtId="2" fontId="1" fillId="8" borderId="1" xfId="0" applyNumberFormat="1" applyFont="1" applyFill="1" applyBorder="1" applyAlignment="1">
      <alignment horizontal="center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8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64C-4B7C-91C3-DF39835B8F6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164C-4B7C-91C3-DF39835B8F6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164C-4B7C-91C3-DF39835B8F6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164C-4B7C-91C3-DF39835B8F6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164C-4B7C-91C3-DF39835B8F6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164C-4B7C-91C3-DF39835B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582688"/>
        <c:axId val="586583080"/>
      </c:barChart>
      <c:catAx>
        <c:axId val="58658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5830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86583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5826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D62-427D-8675-0D9CCAE4EFF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D62-427D-8675-0D9CCAE4EFF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D62-427D-8675-0D9CCAE4EFF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D62-427D-8675-0D9CCAE4EFF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D62-427D-8675-0D9CCAE4EFF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D62-427D-8675-0D9CCAE4EFF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D62-427D-8675-0D9CCAE4EFF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D62-427D-8675-0D9CCAE4EFF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D62-427D-8675-0D9CCAE4EFF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D62-427D-8675-0D9CCAE4EFF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D62-427D-8675-0D9CCAE4E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583864"/>
        <c:axId val="586584256"/>
      </c:lineChart>
      <c:catAx>
        <c:axId val="58658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58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584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58386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1E-4EA5-A625-484CEC3499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1E-4EA5-A625-484CEC3499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1E-4EA5-A625-484CEC3499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1E-4EA5-A625-484CEC3499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1E-4EA5-A625-484CEC3499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1E-4EA5-A625-484CEC3499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1E-4EA5-A625-484CEC3499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1E-4EA5-A625-484CEC3499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1E-4EA5-A625-484CEC3499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1E-4EA5-A625-484CEC3499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1E-4EA5-A625-484CEC3499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1E-4EA5-A625-484CEC3499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1E-4EA5-A625-484CEC3499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1E-4EA5-A625-484CEC349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18920"/>
        <c:axId val="333619312"/>
      </c:barChart>
      <c:catAx>
        <c:axId val="333618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619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19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618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45-4E88-AD18-DA30E3D4B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45-4E88-AD18-DA30E3D4B82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45-4E88-AD18-DA30E3D4B8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45-4E88-AD18-DA30E3D4B8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45-4E88-AD18-DA30E3D4B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45-4E88-AD18-DA30E3D4B82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45-4E88-AD18-DA30E3D4B8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45-4E88-AD18-DA30E3D4B8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45-4E88-AD18-DA30E3D4B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45-4E88-AD18-DA30E3D4B82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45-4E88-AD18-DA30E3D4B82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45-4E88-AD18-DA30E3D4B82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45-4E88-AD18-DA30E3D4B82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45-4E88-AD18-DA30E3D4B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20096"/>
        <c:axId val="333620488"/>
      </c:barChart>
      <c:catAx>
        <c:axId val="33362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620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20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620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CA-49F3-85F8-66EA174050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CA-49F3-85F8-66EA174050B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CA-49F3-85F8-66EA174050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CA-49F3-85F8-66EA174050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CA-49F3-85F8-66EA174050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CA-49F3-85F8-66EA174050B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CA-49F3-85F8-66EA174050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CA-49F3-85F8-66EA174050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CA-49F3-85F8-66EA174050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CA-49F3-85F8-66EA174050B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CA-49F3-85F8-66EA174050B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CA-49F3-85F8-66EA174050B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CA-49F3-85F8-66EA174050B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CA-49F3-85F8-66EA17405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3752"/>
        <c:axId val="247374144"/>
      </c:barChart>
      <c:catAx>
        <c:axId val="24737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4737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37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4737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4B-40F7-92BA-DB56FF50C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4B-40F7-92BA-DB56FF50C7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4B-40F7-92BA-DB56FF50C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4B-40F7-92BA-DB56FF50C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4B-40F7-92BA-DB56FF50C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4B-40F7-92BA-DB56FF50C7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4B-40F7-92BA-DB56FF50C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4B-40F7-92BA-DB56FF50C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4B-40F7-92BA-DB56FF50C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4B-40F7-92BA-DB56FF50C7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4B-40F7-92BA-DB56FF50C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4B-40F7-92BA-DB56FF50C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4B-40F7-92BA-DB56FF50C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4B-40F7-92BA-DB56FF50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4928"/>
        <c:axId val="247375320"/>
      </c:barChart>
      <c:catAx>
        <c:axId val="24737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47375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375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47374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D3-4CEE-99C2-896263F47B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D3-4CEE-99C2-896263F47B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D3-4CEE-99C2-896263F47B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D3-4CEE-99C2-896263F47B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D3-4CEE-99C2-896263F47B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D3-4CEE-99C2-896263F47B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D3-4CEE-99C2-896263F47B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D3-4CEE-99C2-896263F47B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D3-4CEE-99C2-896263F47B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D3-4CEE-99C2-896263F47B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D3-4CEE-99C2-896263F47B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D3-4CEE-99C2-896263F47B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D3-4CEE-99C2-896263F47B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D3-4CEE-99C2-896263F47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6104"/>
        <c:axId val="247376496"/>
      </c:barChart>
      <c:catAx>
        <c:axId val="24737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47376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376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47376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B0-4E8A-97A1-9A078E26B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B0-4E8A-97A1-9A078E26B1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B0-4E8A-97A1-9A078E26B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B0-4E8A-97A1-9A078E26B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B0-4E8A-97A1-9A078E26B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B0-4E8A-97A1-9A078E26B1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B0-4E8A-97A1-9A078E26B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B0-4E8A-97A1-9A078E26B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B0-4E8A-97A1-9A078E26B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B0-4E8A-97A1-9A078E26B1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B0-4E8A-97A1-9A078E26B1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B0-4E8A-97A1-9A078E26B1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B0-4E8A-97A1-9A078E26B1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B0-4E8A-97A1-9A078E26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7280"/>
        <c:axId val="586248560"/>
      </c:barChart>
      <c:catAx>
        <c:axId val="24737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248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248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47377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B1-4662-8F5C-A9A699401D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B1-4662-8F5C-A9A699401D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B1-4662-8F5C-A9A699401D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B1-4662-8F5C-A9A699401D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B1-4662-8F5C-A9A699401D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B1-4662-8F5C-A9A699401D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B1-4662-8F5C-A9A699401D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B1-4662-8F5C-A9A699401D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B1-4662-8F5C-A9A699401D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B1-4662-8F5C-A9A699401D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B1-4662-8F5C-A9A699401D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B1-4662-8F5C-A9A699401D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B1-4662-8F5C-A9A699401D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B1-4662-8F5C-A9A699401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249344"/>
        <c:axId val="586249736"/>
      </c:barChart>
      <c:catAx>
        <c:axId val="58624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249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249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249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B8-4D43-A0A4-3370F54AF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B8-4D43-A0A4-3370F54AF9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B8-4D43-A0A4-3370F54AF9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B8-4D43-A0A4-3370F54AF9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B8-4D43-A0A4-3370F54AF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B8-4D43-A0A4-3370F54AF9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B8-4D43-A0A4-3370F54AF9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B8-4D43-A0A4-3370F54AF9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B8-4D43-A0A4-3370F54AF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B8-4D43-A0A4-3370F54AF9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B8-4D43-A0A4-3370F54AF9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B8-4D43-A0A4-3370F54AF9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B8-4D43-A0A4-3370F54AF9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B8-4D43-A0A4-3370F54AF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250520"/>
        <c:axId val="586250912"/>
      </c:barChart>
      <c:catAx>
        <c:axId val="58625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250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250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250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03-4686-B1B2-3C376AA526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03-4686-B1B2-3C376AA526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03-4686-B1B2-3C376AA526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03-4686-B1B2-3C376AA526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03-4686-B1B2-3C376AA526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03-4686-B1B2-3C376AA526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03-4686-B1B2-3C376AA526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03-4686-B1B2-3C376AA526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03-4686-B1B2-3C376AA526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03-4686-B1B2-3C376AA526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03-4686-B1B2-3C376AA526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03-4686-B1B2-3C376AA526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03-4686-B1B2-3C376AA526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03-4686-B1B2-3C376AA52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251696"/>
        <c:axId val="586252088"/>
      </c:barChart>
      <c:catAx>
        <c:axId val="58625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252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252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86251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95-4B2F-81F1-4EF56782AD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95-4B2F-81F1-4EF56782AD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95-4B2F-81F1-4EF56782AD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95-4B2F-81F1-4EF56782AD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95-4B2F-81F1-4EF56782AD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95-4B2F-81F1-4EF56782AD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95-4B2F-81F1-4EF56782AD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95-4B2F-81F1-4EF56782AD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95-4B2F-81F1-4EF56782AD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95-4B2F-81F1-4EF56782AD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95-4B2F-81F1-4EF56782AD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95-4B2F-81F1-4EF56782AD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95-4B2F-81F1-4EF56782AD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95-4B2F-81F1-4EF56782A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87024"/>
        <c:axId val="379687416"/>
      </c:barChart>
      <c:catAx>
        <c:axId val="379687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87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687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87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31-4E3A-91B5-DF781F5B9D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31-4E3A-91B5-DF781F5B9D1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31-4E3A-91B5-DF781F5B9D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31-4E3A-91B5-DF781F5B9D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31-4E3A-91B5-DF781F5B9D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31-4E3A-91B5-DF781F5B9D1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31-4E3A-91B5-DF781F5B9D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31-4E3A-91B5-DF781F5B9D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31-4E3A-91B5-DF781F5B9D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31-4E3A-91B5-DF781F5B9D1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31-4E3A-91B5-DF781F5B9D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31-4E3A-91B5-DF781F5B9D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31-4E3A-91B5-DF781F5B9D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31-4E3A-91B5-DF781F5B9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88200"/>
        <c:axId val="379688592"/>
      </c:barChart>
      <c:catAx>
        <c:axId val="379688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88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688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88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0-4DFE-B106-04D8DCC752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A0-4DFE-B106-04D8DCC752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A0-4DFE-B106-04D8DCC752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A0-4DFE-B106-04D8DCC752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A0-4DFE-B106-04D8DCC752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A0-4DFE-B106-04D8DCC752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A0-4DFE-B106-04D8DCC752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A0-4DFE-B106-04D8DCC752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A0-4DFE-B106-04D8DCC752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A0-4DFE-B106-04D8DCC752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A0-4DFE-B106-04D8DCC752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A0-4DFE-B106-04D8DCC752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A0-4DFE-B106-04D8DCC752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A0-4DFE-B106-04D8DCC75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89376"/>
        <c:axId val="379689768"/>
      </c:barChart>
      <c:catAx>
        <c:axId val="37968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89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689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89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45-46DE-8230-CF4DADFA06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45-46DE-8230-CF4DADFA060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45-46DE-8230-CF4DADFA06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45-46DE-8230-CF4DADFA06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45-46DE-8230-CF4DADFA06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45-46DE-8230-CF4DADFA060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45-46DE-8230-CF4DADFA06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45-46DE-8230-CF4DADFA06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45-46DE-8230-CF4DADFA06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45-46DE-8230-CF4DADFA060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45-46DE-8230-CF4DADFA060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45-46DE-8230-CF4DADFA060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45-46DE-8230-CF4DADFA060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45-46DE-8230-CF4DADFA0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90552"/>
        <c:axId val="379690944"/>
      </c:barChart>
      <c:catAx>
        <c:axId val="37969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9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69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90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95-4710-A40B-58C89DB677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95-4710-A40B-58C89DB677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95-4710-A40B-58C89DB677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95-4710-A40B-58C89DB677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95-4710-A40B-58C89DB677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95-4710-A40B-58C89DB677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95-4710-A40B-58C89DB677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95-4710-A40B-58C89DB677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95-4710-A40B-58C89DB677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95-4710-A40B-58C89DB677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95-4710-A40B-58C89DB677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95-4710-A40B-58C89DB677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95-4710-A40B-58C89DB677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95-4710-A40B-58C89DB67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91728"/>
        <c:axId val="379692120"/>
      </c:barChart>
      <c:catAx>
        <c:axId val="37969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92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692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91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1D-45CD-A182-5CB98E8D71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1D-45CD-A182-5CB98E8D71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1D-45CD-A182-5CB98E8D71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1D-45CD-A182-5CB98E8D71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1D-45CD-A182-5CB98E8D71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1D-45CD-A182-5CB98E8D71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1D-45CD-A182-5CB98E8D71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1D-45CD-A182-5CB98E8D71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1D-45CD-A182-5CB98E8D71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1D-45CD-A182-5CB98E8D71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1D-45CD-A182-5CB98E8D71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1D-45CD-A182-5CB98E8D71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1D-45CD-A182-5CB98E8D71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1D-45CD-A182-5CB98E8D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92904"/>
        <c:axId val="379693296"/>
      </c:barChart>
      <c:catAx>
        <c:axId val="37969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93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693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92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1D-4A26-A2BD-F0CB4FF320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1D-4A26-A2BD-F0CB4FF320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1D-4A26-A2BD-F0CB4FF320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1D-4A26-A2BD-F0CB4FF320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1D-4A26-A2BD-F0CB4FF320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1D-4A26-A2BD-F0CB4FF320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1D-4A26-A2BD-F0CB4FF320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1D-4A26-A2BD-F0CB4FF320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1D-4A26-A2BD-F0CB4FF320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1D-4A26-A2BD-F0CB4FF320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1D-4A26-A2BD-F0CB4FF320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1D-4A26-A2BD-F0CB4FF320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1D-4A26-A2BD-F0CB4FF320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1D-4A26-A2BD-F0CB4FF32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694080"/>
        <c:axId val="439783288"/>
      </c:barChart>
      <c:catAx>
        <c:axId val="37969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3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783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9694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17-4D2B-98D5-069FDE917F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17-4D2B-98D5-069FDE917F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17-4D2B-98D5-069FDE917F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17-4D2B-98D5-069FDE917F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17-4D2B-98D5-069FDE917F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17-4D2B-98D5-069FDE917F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17-4D2B-98D5-069FDE917F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17-4D2B-98D5-069FDE917F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17-4D2B-98D5-069FDE917F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17-4D2B-98D5-069FDE917F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17-4D2B-98D5-069FDE917F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17-4D2B-98D5-069FDE917F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17-4D2B-98D5-069FDE917F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17-4D2B-98D5-069FDE917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784072"/>
        <c:axId val="439784464"/>
      </c:barChart>
      <c:catAx>
        <c:axId val="43978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4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784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5F-4A3F-853D-5D945014C2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5F-4A3F-853D-5D945014C2A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5F-4A3F-853D-5D945014C2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5F-4A3F-853D-5D945014C2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5F-4A3F-853D-5D945014C2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5F-4A3F-853D-5D945014C2A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5F-4A3F-853D-5D945014C2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5F-4A3F-853D-5D945014C2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5F-4A3F-853D-5D945014C2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5F-4A3F-853D-5D945014C2A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5F-4A3F-853D-5D945014C2A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5F-4A3F-853D-5D945014C2A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5F-4A3F-853D-5D945014C2A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5F-4A3F-853D-5D945014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785248"/>
        <c:axId val="439785640"/>
      </c:barChart>
      <c:catAx>
        <c:axId val="439785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78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5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F5-4FAB-9B2A-6A6900709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F5-4FAB-9B2A-6A69007099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F5-4FAB-9B2A-6A6900709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F5-4FAB-9B2A-6A6900709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F5-4FAB-9B2A-6A6900709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F5-4FAB-9B2A-6A69007099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F5-4FAB-9B2A-6A6900709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F5-4FAB-9B2A-6A6900709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F5-4FAB-9B2A-6A6900709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F5-4FAB-9B2A-6A69007099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F5-4FAB-9B2A-6A69007099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F5-4FAB-9B2A-6A69007099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F5-4FAB-9B2A-6A69007099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F5-4FAB-9B2A-6A6900709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786424"/>
        <c:axId val="439786816"/>
      </c:barChart>
      <c:catAx>
        <c:axId val="43978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786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6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B7-4B16-B089-B4604F0C67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B7-4B16-B089-B4604F0C677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B7-4B16-B089-B4604F0C67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B7-4B16-B089-B4604F0C67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B7-4B16-B089-B4604F0C67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B7-4B16-B089-B4604F0C677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B7-4B16-B089-B4604F0C67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B7-4B16-B089-B4604F0C67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B7-4B16-B089-B4604F0C67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B7-4B16-B089-B4604F0C677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B7-4B16-B089-B4604F0C67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B7-4B16-B089-B4604F0C67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B7-4B16-B089-B4604F0C67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B7-4B16-B089-B4604F0C6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787600"/>
        <c:axId val="439787992"/>
      </c:barChart>
      <c:catAx>
        <c:axId val="43978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7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787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7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1-4234-8B02-7639518425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61-4234-8B02-7639518425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1-4234-8B02-7639518425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1-4234-8B02-7639518425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61-4234-8B02-7639518425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61-4234-8B02-7639518425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1-4234-8B02-7639518425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1-4234-8B02-7639518425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1-4234-8B02-7639518425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61-4234-8B02-7639518425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61-4234-8B02-7639518425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61-4234-8B02-7639518425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61-4234-8B02-7639518425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61-4234-8B02-763951842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788776"/>
        <c:axId val="439789168"/>
      </c:barChart>
      <c:catAx>
        <c:axId val="439788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9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789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8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2D-4E2E-B010-013C34239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2D-4E2E-B010-013C34239F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2D-4E2E-B010-013C34239F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2D-4E2E-B010-013C34239F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2D-4E2E-B010-013C34239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2D-4E2E-B010-013C34239F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2D-4E2E-B010-013C34239F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2D-4E2E-B010-013C34239F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2D-4E2E-B010-013C34239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2D-4E2E-B010-013C34239F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2D-4E2E-B010-013C34239F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2D-4E2E-B010-013C34239F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2D-4E2E-B010-013C34239F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2D-4E2E-B010-013C34239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789952"/>
        <c:axId val="439790344"/>
      </c:barChart>
      <c:catAx>
        <c:axId val="43978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90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790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9789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8B-4DC5-BC1B-4D7B3C715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8B-4DC5-BC1B-4D7B3C715A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8B-4DC5-BC1B-4D7B3C715A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8B-4DC5-BC1B-4D7B3C715A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8B-4DC5-BC1B-4D7B3C715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8B-4DC5-BC1B-4D7B3C715A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8B-4DC5-BC1B-4D7B3C715A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8B-4DC5-BC1B-4D7B3C715A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8B-4DC5-BC1B-4D7B3C715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8B-4DC5-BC1B-4D7B3C715A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8B-4DC5-BC1B-4D7B3C715A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8B-4DC5-BC1B-4D7B3C715A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8B-4DC5-BC1B-4D7B3C715A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8B-4DC5-BC1B-4D7B3C715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778592"/>
        <c:axId val="438778984"/>
      </c:barChart>
      <c:catAx>
        <c:axId val="43877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8778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8778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8778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1C-4DC1-957E-EEB303D64C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1C-4DC1-957E-EEB303D64C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1C-4DC1-957E-EEB303D64C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1C-4DC1-957E-EEB303D64C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1C-4DC1-957E-EEB303D64C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1C-4DC1-957E-EEB303D64C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1C-4DC1-957E-EEB303D64C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1C-4DC1-957E-EEB303D64C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1C-4DC1-957E-EEB303D64C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1C-4DC1-957E-EEB303D64C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1C-4DC1-957E-EEB303D64C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1C-4DC1-957E-EEB303D64C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1C-4DC1-957E-EEB303D64C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1C-4DC1-957E-EEB303D6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779768"/>
        <c:axId val="438780160"/>
      </c:barChart>
      <c:catAx>
        <c:axId val="43877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8780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8780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8779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286775</xdr:colOff>
      <xdr:row>0</xdr:row>
      <xdr:rowOff>79068</xdr:rowOff>
    </xdr:from>
    <xdr:to>
      <xdr:col>2</xdr:col>
      <xdr:colOff>273153</xdr:colOff>
      <xdr:row>2</xdr:row>
      <xdr:rowOff>272436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75" y="79068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378950</xdr:colOff>
      <xdr:row>0</xdr:row>
      <xdr:rowOff>143387</xdr:rowOff>
    </xdr:from>
    <xdr:to>
      <xdr:col>4</xdr:col>
      <xdr:colOff>113828</xdr:colOff>
      <xdr:row>2</xdr:row>
      <xdr:rowOff>223295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72418" y="143387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328083</xdr:colOff>
      <xdr:row>1</xdr:row>
      <xdr:rowOff>74083</xdr:rowOff>
    </xdr:from>
    <xdr:to>
      <xdr:col>1</xdr:col>
      <xdr:colOff>273050</xdr:colOff>
      <xdr:row>3</xdr:row>
      <xdr:rowOff>295275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083" y="4127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0</xdr:colOff>
      <xdr:row>35</xdr:row>
      <xdr:rowOff>0</xdr:rowOff>
    </xdr:from>
    <xdr:to>
      <xdr:col>6</xdr:col>
      <xdr:colOff>9525</xdr:colOff>
      <xdr:row>48</xdr:row>
      <xdr:rowOff>52917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250" y="5281083"/>
          <a:ext cx="3343275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>
      <selection activeCell="F26" sqref="F26"/>
    </sheetView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46">
        <v>777</v>
      </c>
      <c r="B1" s="47" t="s">
        <v>14</v>
      </c>
      <c r="C1" s="47"/>
      <c r="D1" s="47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2"/>
      <c r="W1" s="2"/>
    </row>
    <row r="2" spans="1:23" ht="17.45" customHeight="1">
      <c r="A2" s="50"/>
      <c r="B2" s="100"/>
      <c r="C2" s="101"/>
      <c r="D2" s="101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48"/>
      <c r="S2" s="48"/>
      <c r="T2" s="48"/>
      <c r="U2" s="49"/>
      <c r="V2" s="2"/>
      <c r="W2" s="2"/>
    </row>
    <row r="3" spans="1:23" ht="17.45" customHeight="1">
      <c r="A3" s="50"/>
      <c r="B3" s="104"/>
      <c r="C3" s="67"/>
      <c r="D3" s="67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105"/>
      <c r="R3" s="48"/>
      <c r="S3" s="48"/>
      <c r="T3" s="48"/>
      <c r="U3" s="49"/>
      <c r="V3" s="2"/>
      <c r="W3" s="2"/>
    </row>
    <row r="4" spans="1:23" ht="10.5" customHeight="1">
      <c r="A4" s="50"/>
      <c r="B4" s="104"/>
      <c r="C4" s="68"/>
      <c r="D4" s="69"/>
      <c r="E4" s="70"/>
      <c r="F4" s="70"/>
      <c r="G4" s="70"/>
      <c r="H4" s="70"/>
      <c r="I4" s="70"/>
      <c r="J4" s="70"/>
      <c r="K4" s="70"/>
      <c r="L4" s="70"/>
      <c r="M4" s="70"/>
      <c r="N4" s="71"/>
      <c r="O4" s="66"/>
      <c r="P4" s="66"/>
      <c r="Q4" s="105"/>
      <c r="R4" s="48"/>
      <c r="S4" s="48"/>
      <c r="T4" s="48"/>
      <c r="U4" s="49"/>
      <c r="V4" s="2"/>
      <c r="W4" s="2"/>
    </row>
    <row r="5" spans="1:23" ht="32.25" customHeight="1">
      <c r="A5" s="51"/>
      <c r="B5" s="104"/>
      <c r="C5" s="72"/>
      <c r="D5" s="72"/>
      <c r="E5" s="163" t="s">
        <v>71</v>
      </c>
      <c r="F5" s="163"/>
      <c r="G5" s="163"/>
      <c r="H5" s="163"/>
      <c r="I5" s="163"/>
      <c r="J5" s="163"/>
      <c r="K5" s="163"/>
      <c r="L5" s="163"/>
      <c r="M5" s="163"/>
      <c r="N5" s="73"/>
      <c r="O5" s="66"/>
      <c r="P5" s="66"/>
      <c r="Q5" s="105"/>
      <c r="R5" s="48"/>
      <c r="S5" s="48"/>
      <c r="T5" s="48"/>
      <c r="U5" s="49"/>
      <c r="V5" s="2"/>
      <c r="W5" s="2"/>
    </row>
    <row r="6" spans="1:23" ht="17.45" customHeight="1">
      <c r="A6" s="50"/>
      <c r="B6" s="104"/>
      <c r="C6" s="74"/>
      <c r="D6" s="74"/>
      <c r="E6" s="75"/>
      <c r="F6" s="76"/>
      <c r="G6" s="76"/>
      <c r="H6" s="76"/>
      <c r="I6" s="76"/>
      <c r="J6" s="76"/>
      <c r="K6" s="76"/>
      <c r="L6" s="76"/>
      <c r="M6" s="76"/>
      <c r="N6" s="77"/>
      <c r="O6" s="78"/>
      <c r="P6" s="78"/>
      <c r="Q6" s="106"/>
      <c r="R6" s="48"/>
      <c r="S6" s="48"/>
      <c r="T6" s="48"/>
      <c r="U6" s="49"/>
      <c r="V6" s="2"/>
      <c r="W6" s="2"/>
    </row>
    <row r="7" spans="1:23" ht="17.45" customHeight="1">
      <c r="A7" s="50"/>
      <c r="B7" s="107"/>
      <c r="C7" s="79"/>
      <c r="D7" s="79"/>
      <c r="E7" s="80"/>
      <c r="F7" s="80"/>
      <c r="G7" s="80"/>
      <c r="H7" s="80"/>
      <c r="I7" s="80"/>
      <c r="J7" s="80"/>
      <c r="K7" s="80"/>
      <c r="L7" s="80"/>
      <c r="M7" s="66"/>
      <c r="N7" s="78"/>
      <c r="O7" s="78"/>
      <c r="P7" s="78"/>
      <c r="Q7" s="106"/>
      <c r="R7" s="48"/>
      <c r="S7" s="48"/>
      <c r="T7" s="48"/>
      <c r="U7" s="49"/>
      <c r="V7" s="2"/>
      <c r="W7" s="2"/>
    </row>
    <row r="8" spans="1:23" ht="17.45" customHeight="1">
      <c r="A8" s="50"/>
      <c r="B8" s="108"/>
      <c r="C8" s="81"/>
      <c r="D8" s="81"/>
      <c r="E8" s="82"/>
      <c r="F8" s="83"/>
      <c r="G8" s="83"/>
      <c r="H8" s="83"/>
      <c r="I8" s="84"/>
      <c r="J8" s="84"/>
      <c r="K8" s="84"/>
      <c r="L8" s="85"/>
      <c r="M8" s="66"/>
      <c r="N8" s="66"/>
      <c r="O8" s="78"/>
      <c r="P8" s="78"/>
      <c r="Q8" s="106"/>
      <c r="R8" s="48"/>
      <c r="S8" s="48"/>
      <c r="T8" s="48"/>
      <c r="U8" s="49"/>
      <c r="V8" s="2"/>
      <c r="W8" s="2"/>
    </row>
    <row r="9" spans="1:23" ht="17.45" customHeight="1">
      <c r="A9" s="50"/>
      <c r="B9" s="108"/>
      <c r="C9" s="81"/>
      <c r="D9" s="86"/>
      <c r="E9" s="84"/>
      <c r="F9" s="84"/>
      <c r="G9" s="84"/>
      <c r="H9" s="84"/>
      <c r="I9" s="84"/>
      <c r="J9" s="84"/>
      <c r="K9" s="84"/>
      <c r="L9" s="85"/>
      <c r="M9" s="66"/>
      <c r="N9" s="66"/>
      <c r="O9" s="78"/>
      <c r="P9" s="66"/>
      <c r="Q9" s="105"/>
      <c r="R9" s="48"/>
      <c r="S9" s="48"/>
      <c r="T9" s="48"/>
      <c r="U9" s="49"/>
      <c r="V9" s="2"/>
      <c r="W9" s="2"/>
    </row>
    <row r="10" spans="1:23" ht="17.45" customHeight="1">
      <c r="A10" s="50"/>
      <c r="B10" s="108"/>
      <c r="C10" s="81"/>
      <c r="D10" s="87"/>
      <c r="E10" s="88"/>
      <c r="F10" s="84"/>
      <c r="G10" s="84"/>
      <c r="H10" s="84"/>
      <c r="I10" s="84"/>
      <c r="J10" s="84"/>
      <c r="K10" s="84"/>
      <c r="L10" s="85"/>
      <c r="M10" s="66"/>
      <c r="N10" s="66"/>
      <c r="O10" s="78"/>
      <c r="P10" s="66"/>
      <c r="Q10" s="105"/>
      <c r="R10" s="48"/>
      <c r="S10" s="48"/>
      <c r="T10" s="48"/>
      <c r="U10" s="49"/>
      <c r="V10" s="2"/>
      <c r="W10" s="2"/>
    </row>
    <row r="11" spans="1:23" ht="12" customHeight="1">
      <c r="A11" s="50"/>
      <c r="B11" s="108"/>
      <c r="C11" s="81"/>
      <c r="D11" s="89"/>
      <c r="E11" s="84"/>
      <c r="F11" s="84"/>
      <c r="G11" s="84"/>
      <c r="H11" s="84"/>
      <c r="I11" s="84"/>
      <c r="J11" s="84"/>
      <c r="K11" s="84"/>
      <c r="L11" s="90"/>
      <c r="M11" s="90"/>
      <c r="N11" s="90"/>
      <c r="O11" s="91"/>
      <c r="P11" s="66"/>
      <c r="Q11" s="105"/>
      <c r="R11" s="48"/>
      <c r="S11" s="48"/>
      <c r="T11" s="48"/>
      <c r="U11" s="49"/>
      <c r="V11" s="2"/>
      <c r="W11" s="2"/>
    </row>
    <row r="12" spans="1:23" ht="17.45" customHeight="1">
      <c r="A12" s="50"/>
      <c r="B12" s="108"/>
      <c r="C12" s="81"/>
      <c r="D12" s="81"/>
      <c r="E12" s="84"/>
      <c r="F12" s="84"/>
      <c r="G12" s="84"/>
      <c r="H12" s="84"/>
      <c r="I12" s="84"/>
      <c r="J12" s="84"/>
      <c r="K12" s="84"/>
      <c r="L12" s="92"/>
      <c r="M12" s="90"/>
      <c r="N12" s="90"/>
      <c r="O12" s="91"/>
      <c r="P12" s="93"/>
      <c r="Q12" s="105"/>
      <c r="R12" s="48"/>
      <c r="S12" s="48"/>
      <c r="T12" s="48"/>
      <c r="U12" s="49"/>
      <c r="V12" s="2"/>
      <c r="W12" s="2"/>
    </row>
    <row r="13" spans="1:23" ht="17.25" customHeight="1">
      <c r="A13" s="50"/>
      <c r="B13" s="109"/>
      <c r="C13" s="81"/>
      <c r="D13" s="81"/>
      <c r="E13" s="94"/>
      <c r="F13" s="84"/>
      <c r="G13" s="84"/>
      <c r="H13" s="84"/>
      <c r="I13" s="84"/>
      <c r="J13" s="84"/>
      <c r="K13" s="84"/>
      <c r="L13" s="92"/>
      <c r="M13" s="90"/>
      <c r="N13" s="90"/>
      <c r="O13" s="91"/>
      <c r="P13" s="93"/>
      <c r="Q13" s="105"/>
      <c r="R13" s="48"/>
      <c r="S13" s="48"/>
      <c r="T13" s="48"/>
      <c r="U13" s="49"/>
      <c r="V13" s="2"/>
      <c r="W13" s="2"/>
    </row>
    <row r="14" spans="1:23" ht="17.25" customHeight="1">
      <c r="A14" s="50"/>
      <c r="B14" s="109"/>
      <c r="C14" s="95"/>
      <c r="D14" s="81"/>
      <c r="E14" s="84"/>
      <c r="F14" s="84"/>
      <c r="G14" s="84"/>
      <c r="H14" s="84"/>
      <c r="I14" s="84"/>
      <c r="J14" s="84"/>
      <c r="K14" s="84"/>
      <c r="L14" s="92"/>
      <c r="M14" s="90"/>
      <c r="N14" s="90"/>
      <c r="O14" s="91"/>
      <c r="P14" s="93"/>
      <c r="Q14" s="105"/>
      <c r="R14" s="48"/>
      <c r="S14" s="48"/>
      <c r="T14" s="48"/>
      <c r="U14" s="49"/>
      <c r="V14" s="2"/>
      <c r="W14" s="2"/>
    </row>
    <row r="15" spans="1:23" ht="17.45" customHeight="1">
      <c r="A15" s="54"/>
      <c r="B15" s="109"/>
      <c r="C15" s="81"/>
      <c r="D15" s="81"/>
      <c r="E15" s="84"/>
      <c r="F15" s="84"/>
      <c r="G15" s="84"/>
      <c r="H15" s="84"/>
      <c r="I15" s="84"/>
      <c r="J15" s="84"/>
      <c r="K15" s="84"/>
      <c r="L15" s="92"/>
      <c r="M15" s="90"/>
      <c r="N15" s="90"/>
      <c r="O15" s="91"/>
      <c r="P15" s="96"/>
      <c r="Q15" s="110"/>
      <c r="R15" s="48"/>
      <c r="S15" s="48"/>
      <c r="T15" s="48"/>
      <c r="U15" s="49"/>
      <c r="V15" s="2"/>
      <c r="W15" s="2"/>
    </row>
    <row r="16" spans="1:23" ht="17.45" customHeight="1">
      <c r="A16" s="54"/>
      <c r="B16" s="108"/>
      <c r="C16" s="81"/>
      <c r="D16" s="81"/>
      <c r="E16" s="97"/>
      <c r="F16" s="84"/>
      <c r="G16" s="84"/>
      <c r="H16" s="84"/>
      <c r="I16" s="84"/>
      <c r="J16" s="84"/>
      <c r="K16" s="84"/>
      <c r="L16" s="92"/>
      <c r="M16" s="90"/>
      <c r="N16" s="90"/>
      <c r="O16" s="91"/>
      <c r="P16" s="96"/>
      <c r="Q16" s="110"/>
      <c r="R16" s="48"/>
      <c r="S16" s="48"/>
      <c r="T16" s="48"/>
      <c r="U16" s="49"/>
      <c r="V16" s="2"/>
      <c r="W16" s="2"/>
    </row>
    <row r="17" spans="1:23" ht="17.45" customHeight="1">
      <c r="A17" s="54"/>
      <c r="B17" s="109"/>
      <c r="C17" s="81"/>
      <c r="D17" s="81"/>
      <c r="E17" s="84"/>
      <c r="F17" s="84"/>
      <c r="G17" s="84"/>
      <c r="H17" s="84"/>
      <c r="I17" s="84"/>
      <c r="J17" s="84"/>
      <c r="K17" s="84"/>
      <c r="L17" s="92"/>
      <c r="M17" s="90"/>
      <c r="N17" s="90"/>
      <c r="O17" s="91"/>
      <c r="P17" s="96"/>
      <c r="Q17" s="105"/>
      <c r="R17" s="48"/>
      <c r="S17" s="48"/>
      <c r="T17" s="48"/>
      <c r="U17" s="49"/>
      <c r="V17" s="2"/>
      <c r="W17" s="2"/>
    </row>
    <row r="18" spans="1:23" ht="17.25" customHeight="1">
      <c r="A18" s="54"/>
      <c r="B18" s="109"/>
      <c r="C18" s="81"/>
      <c r="D18" s="81"/>
      <c r="E18" s="84"/>
      <c r="F18" s="84"/>
      <c r="G18" s="84"/>
      <c r="H18" s="84"/>
      <c r="I18" s="84"/>
      <c r="J18" s="84"/>
      <c r="K18" s="84"/>
      <c r="L18" s="92"/>
      <c r="M18" s="90"/>
      <c r="N18" s="90"/>
      <c r="O18" s="91"/>
      <c r="P18" s="96"/>
      <c r="Q18" s="105"/>
      <c r="R18" s="48"/>
      <c r="S18" s="48"/>
      <c r="T18" s="48"/>
      <c r="U18" s="49"/>
      <c r="V18" s="2"/>
      <c r="W18" s="2"/>
    </row>
    <row r="19" spans="1:23" ht="17.45" customHeight="1">
      <c r="A19" s="54"/>
      <c r="B19" s="108"/>
      <c r="C19" s="81"/>
      <c r="D19" s="81"/>
      <c r="E19" s="84"/>
      <c r="F19" s="84"/>
      <c r="G19" s="84"/>
      <c r="H19" s="84"/>
      <c r="I19" s="84"/>
      <c r="J19" s="84"/>
      <c r="K19" s="84"/>
      <c r="L19" s="98"/>
      <c r="M19" s="90"/>
      <c r="N19" s="90"/>
      <c r="O19" s="91"/>
      <c r="P19" s="96"/>
      <c r="Q19" s="110"/>
      <c r="R19" s="48"/>
      <c r="S19" s="48"/>
      <c r="T19" s="48"/>
      <c r="U19" s="49"/>
      <c r="V19" s="2"/>
      <c r="W19" s="2"/>
    </row>
    <row r="20" spans="1:23" ht="17.45" customHeight="1">
      <c r="A20" s="54"/>
      <c r="B20" s="108"/>
      <c r="C20" s="81"/>
      <c r="D20" s="81"/>
      <c r="E20" s="84"/>
      <c r="F20" s="84"/>
      <c r="G20" s="84"/>
      <c r="H20" s="84"/>
      <c r="I20" s="84"/>
      <c r="J20" s="84"/>
      <c r="K20" s="84"/>
      <c r="L20" s="98"/>
      <c r="M20" s="90"/>
      <c r="N20" s="90"/>
      <c r="O20" s="91"/>
      <c r="P20" s="99"/>
      <c r="Q20" s="111"/>
      <c r="R20" s="48"/>
      <c r="S20" s="48"/>
      <c r="T20" s="48"/>
      <c r="U20" s="49"/>
      <c r="V20" s="2"/>
      <c r="W20" s="2"/>
    </row>
    <row r="21" spans="1:23" ht="17.45" customHeight="1">
      <c r="A21" s="54"/>
      <c r="B21" s="112"/>
      <c r="C21" s="113"/>
      <c r="D21" s="113"/>
      <c r="E21" s="114"/>
      <c r="F21" s="114"/>
      <c r="G21" s="114"/>
      <c r="H21" s="114"/>
      <c r="I21" s="114"/>
      <c r="J21" s="114"/>
      <c r="K21" s="114"/>
      <c r="L21" s="115"/>
      <c r="M21" s="116"/>
      <c r="N21" s="116"/>
      <c r="O21" s="117"/>
      <c r="P21" s="118"/>
      <c r="Q21" s="119"/>
      <c r="R21" s="48"/>
      <c r="S21" s="48"/>
      <c r="T21" s="48"/>
      <c r="U21" s="49"/>
      <c r="V21" s="2"/>
      <c r="W21" s="2"/>
    </row>
    <row r="22" spans="1:23" ht="17.45" customHeight="1">
      <c r="A22" s="54"/>
      <c r="B22" s="59"/>
      <c r="C22" s="60"/>
      <c r="D22" s="60"/>
      <c r="E22" s="61"/>
      <c r="F22" s="52"/>
      <c r="G22" s="52"/>
      <c r="H22" s="52"/>
      <c r="I22" s="52"/>
      <c r="J22" s="52"/>
      <c r="K22" s="52"/>
      <c r="L22" s="55"/>
      <c r="M22" s="53"/>
      <c r="N22" s="53"/>
      <c r="O22" s="58"/>
      <c r="P22" s="56"/>
      <c r="Q22" s="57"/>
      <c r="R22" s="48"/>
      <c r="S22" s="48"/>
      <c r="T22" s="48"/>
      <c r="U22" s="49"/>
      <c r="V22" s="2"/>
      <c r="W22" s="2"/>
    </row>
    <row r="23" spans="1:23" ht="15" customHeight="1">
      <c r="A23" s="62"/>
      <c r="B23" s="63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3"/>
      <c r="R23" s="62"/>
      <c r="S23" s="63"/>
      <c r="T23" s="64"/>
      <c r="U23" s="63"/>
      <c r="V23" s="2"/>
      <c r="W23" s="2"/>
    </row>
    <row r="24" spans="1:23" ht="15" customHeight="1">
      <c r="A24" s="62"/>
      <c r="B24" s="63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3"/>
      <c r="R24" s="62"/>
      <c r="S24" s="63"/>
      <c r="T24" s="64"/>
      <c r="U24" s="63"/>
      <c r="V24" s="2"/>
      <c r="W24" s="2"/>
    </row>
    <row r="25" spans="1:23" ht="15" customHeight="1">
      <c r="A25" s="62"/>
      <c r="B25" s="63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3"/>
      <c r="R25" s="62"/>
      <c r="S25" s="63"/>
      <c r="T25" s="64"/>
      <c r="U25" s="63"/>
      <c r="V25" s="2"/>
      <c r="W25" s="2"/>
    </row>
    <row r="26" spans="1:23">
      <c r="A26" s="62"/>
      <c r="B26" s="63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3"/>
      <c r="R26" s="62"/>
      <c r="S26" s="63"/>
      <c r="T26" s="64"/>
      <c r="U26" s="65"/>
    </row>
    <row r="27" spans="1:23">
      <c r="A27" s="62"/>
      <c r="B27" s="63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3"/>
      <c r="R27" s="62"/>
      <c r="S27" s="63"/>
      <c r="T27" s="64"/>
      <c r="U27" s="65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25</v>
      </c>
    </row>
    <row r="72" spans="2:2">
      <c r="B72" s="9" t="s">
        <v>27</v>
      </c>
    </row>
    <row r="73" spans="2:2">
      <c r="B73" s="10" t="s">
        <v>31</v>
      </c>
    </row>
    <row r="74" spans="2:2">
      <c r="B74" s="11"/>
    </row>
    <row r="76" spans="2:2">
      <c r="B76" s="8" t="s">
        <v>25</v>
      </c>
    </row>
    <row r="77" spans="2:2">
      <c r="B77" s="9" t="s">
        <v>28</v>
      </c>
    </row>
    <row r="78" spans="2:2">
      <c r="B78" s="10" t="s">
        <v>32</v>
      </c>
    </row>
    <row r="79" spans="2:2">
      <c r="B79" s="11"/>
    </row>
    <row r="81" spans="2:2">
      <c r="B81" s="8" t="s">
        <v>33</v>
      </c>
    </row>
    <row r="82" spans="2:2">
      <c r="B82" s="9" t="s">
        <v>21</v>
      </c>
    </row>
    <row r="83" spans="2:2">
      <c r="B83" s="10" t="s">
        <v>29</v>
      </c>
    </row>
    <row r="84" spans="2:2">
      <c r="B84" s="10" t="s">
        <v>34</v>
      </c>
    </row>
    <row r="85" spans="2:2">
      <c r="B85" s="10" t="s">
        <v>35</v>
      </c>
    </row>
    <row r="86" spans="2:2">
      <c r="B86" s="10" t="s">
        <v>36</v>
      </c>
    </row>
    <row r="87" spans="2:2">
      <c r="B87" s="11" t="s">
        <v>37</v>
      </c>
    </row>
    <row r="88" spans="2:2">
      <c r="B88" s="1"/>
    </row>
    <row r="89" spans="2:2">
      <c r="B89" s="8" t="s">
        <v>38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39</v>
      </c>
    </row>
    <row r="95" spans="2:2">
      <c r="B95" s="14" t="s">
        <v>40</v>
      </c>
    </row>
    <row r="96" spans="2:2">
      <c r="B96" s="14" t="s">
        <v>30</v>
      </c>
    </row>
    <row r="97" spans="2:2">
      <c r="B97" s="15" t="s">
        <v>41</v>
      </c>
    </row>
    <row r="98" spans="2:2">
      <c r="B98" s="1"/>
    </row>
    <row r="99" spans="2:2">
      <c r="B99" s="8" t="s">
        <v>26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42</v>
      </c>
    </row>
    <row r="111" spans="2:2">
      <c r="B111" s="9" t="s">
        <v>43</v>
      </c>
    </row>
    <row r="112" spans="2:2">
      <c r="B112" s="10" t="s">
        <v>44</v>
      </c>
    </row>
    <row r="113" spans="2:2">
      <c r="B113" s="10" t="s">
        <v>45</v>
      </c>
    </row>
    <row r="114" spans="2:2">
      <c r="B114" s="11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7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XFD7"/>
    </sheetView>
  </sheetViews>
  <sheetFormatPr baseColWidth="10" defaultRowHeight="14.25" customHeight="1"/>
  <cols>
    <col min="1" max="1" width="5.625" customWidth="1"/>
    <col min="2" max="2" width="7.375" customWidth="1"/>
    <col min="3" max="3" width="6.875" customWidth="1"/>
    <col min="4" max="4" width="6.125" customWidth="1"/>
    <col min="5" max="5" width="10.5" customWidth="1"/>
    <col min="6" max="6" width="12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A1" s="1"/>
      <c r="B1" s="1"/>
      <c r="C1" s="1"/>
      <c r="D1" s="1"/>
      <c r="E1" s="145"/>
      <c r="F1" s="164" t="s">
        <v>18</v>
      </c>
      <c r="G1" s="164"/>
      <c r="H1" s="164"/>
      <c r="I1" s="164"/>
      <c r="J1" s="164"/>
      <c r="K1" s="164"/>
      <c r="L1" s="164"/>
      <c r="M1" s="164"/>
      <c r="N1" s="7"/>
      <c r="O1" s="174"/>
      <c r="P1" s="174"/>
      <c r="Q1" s="174"/>
      <c r="R1" s="174"/>
      <c r="S1" s="174"/>
      <c r="T1" s="174"/>
      <c r="U1" s="174"/>
      <c r="V1" s="174"/>
      <c r="W1" s="17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A2" s="1"/>
      <c r="B2" s="1"/>
      <c r="C2" s="1"/>
      <c r="D2" s="1"/>
      <c r="E2" s="146"/>
      <c r="F2" s="165" t="s">
        <v>19</v>
      </c>
      <c r="G2" s="165"/>
      <c r="H2" s="165"/>
      <c r="I2" s="165"/>
      <c r="J2" s="165"/>
      <c r="K2" s="165"/>
      <c r="L2" s="165"/>
      <c r="M2" s="165"/>
      <c r="N2" s="175" t="s">
        <v>102</v>
      </c>
      <c r="O2" s="176"/>
      <c r="P2" s="172" t="s">
        <v>103</v>
      </c>
      <c r="Q2" s="172"/>
      <c r="R2" s="172"/>
      <c r="S2" s="172"/>
      <c r="T2" s="172"/>
      <c r="U2" s="173"/>
      <c r="V2" s="177" t="s">
        <v>102</v>
      </c>
      <c r="W2" s="172"/>
      <c r="X2" s="184" t="s">
        <v>84</v>
      </c>
      <c r="Y2" s="185"/>
      <c r="Z2" s="185"/>
      <c r="AA2" s="185"/>
      <c r="AB2" s="183" t="s">
        <v>83</v>
      </c>
      <c r="AC2" s="183"/>
      <c r="AD2" s="186" t="s">
        <v>85</v>
      </c>
      <c r="AE2" s="186"/>
      <c r="AF2" s="186"/>
      <c r="AG2" s="186"/>
      <c r="AH2" s="187"/>
    </row>
    <row r="3" spans="1:34" ht="26.25">
      <c r="A3" s="1"/>
      <c r="B3" s="1"/>
      <c r="C3" s="1"/>
      <c r="D3" s="1"/>
      <c r="E3" s="147"/>
      <c r="F3" s="166" t="s">
        <v>100</v>
      </c>
      <c r="G3" s="166"/>
      <c r="H3" s="166"/>
      <c r="I3" s="166"/>
      <c r="J3" s="166"/>
      <c r="K3" s="166"/>
      <c r="L3" s="166"/>
      <c r="M3" s="167"/>
      <c r="N3" s="180" t="s">
        <v>98</v>
      </c>
      <c r="O3" s="181"/>
      <c r="P3" s="168" t="s">
        <v>70</v>
      </c>
      <c r="Q3" s="169"/>
      <c r="R3" s="168" t="s">
        <v>94</v>
      </c>
      <c r="S3" s="169"/>
      <c r="T3" s="170" t="s">
        <v>95</v>
      </c>
      <c r="U3" s="171"/>
      <c r="V3" s="178" t="s">
        <v>96</v>
      </c>
      <c r="W3" s="179"/>
      <c r="X3" s="188" t="s">
        <v>80</v>
      </c>
      <c r="Y3" s="189"/>
      <c r="Z3" s="148" t="s">
        <v>81</v>
      </c>
      <c r="AA3" s="148" t="s">
        <v>75</v>
      </c>
      <c r="AB3" s="149" t="s">
        <v>77</v>
      </c>
      <c r="AC3" s="149" t="s">
        <v>79</v>
      </c>
      <c r="AD3" s="182" t="s">
        <v>82</v>
      </c>
      <c r="AE3" s="182"/>
      <c r="AF3" s="182" t="s">
        <v>81</v>
      </c>
      <c r="AG3" s="182"/>
      <c r="AH3" s="150" t="s">
        <v>75</v>
      </c>
    </row>
    <row r="4" spans="1:34" s="196" customFormat="1" ht="30">
      <c r="A4" s="151" t="s">
        <v>25</v>
      </c>
      <c r="B4" s="151" t="s">
        <v>104</v>
      </c>
      <c r="C4" s="151" t="s">
        <v>105</v>
      </c>
      <c r="D4" s="151" t="s">
        <v>20</v>
      </c>
      <c r="E4" s="151" t="s">
        <v>1</v>
      </c>
      <c r="F4" s="151" t="s">
        <v>106</v>
      </c>
      <c r="G4" s="151" t="s">
        <v>5</v>
      </c>
      <c r="H4" s="151" t="s">
        <v>107</v>
      </c>
      <c r="I4" s="151" t="s">
        <v>61</v>
      </c>
      <c r="J4" s="151" t="s">
        <v>108</v>
      </c>
      <c r="K4" s="151" t="s">
        <v>22</v>
      </c>
      <c r="L4" s="151" t="s">
        <v>23</v>
      </c>
      <c r="M4" s="151" t="s">
        <v>109</v>
      </c>
      <c r="N4" s="152" t="s">
        <v>17</v>
      </c>
      <c r="O4" s="152" t="s">
        <v>2</v>
      </c>
      <c r="P4" s="152" t="s">
        <v>17</v>
      </c>
      <c r="Q4" s="152" t="s">
        <v>2</v>
      </c>
      <c r="R4" s="152" t="s">
        <v>17</v>
      </c>
      <c r="S4" s="152" t="s">
        <v>2</v>
      </c>
      <c r="T4" s="152" t="s">
        <v>17</v>
      </c>
      <c r="U4" s="152" t="s">
        <v>2</v>
      </c>
      <c r="V4" s="152" t="s">
        <v>17</v>
      </c>
      <c r="W4" s="152" t="s">
        <v>2</v>
      </c>
      <c r="X4" s="153" t="s">
        <v>86</v>
      </c>
      <c r="Y4" s="153" t="s">
        <v>87</v>
      </c>
      <c r="Z4" s="153" t="s">
        <v>86</v>
      </c>
      <c r="AA4" s="153" t="s">
        <v>76</v>
      </c>
      <c r="AB4" s="154" t="s">
        <v>78</v>
      </c>
      <c r="AC4" s="154" t="s">
        <v>88</v>
      </c>
      <c r="AD4" s="155" t="s">
        <v>86</v>
      </c>
      <c r="AE4" s="155" t="s">
        <v>87</v>
      </c>
      <c r="AF4" s="155" t="s">
        <v>86</v>
      </c>
      <c r="AG4" s="155" t="s">
        <v>89</v>
      </c>
      <c r="AH4" s="155" t="s">
        <v>76</v>
      </c>
    </row>
    <row r="5" spans="1:34" s="196" customFormat="1" ht="15.75">
      <c r="A5" s="162" t="s">
        <v>110</v>
      </c>
      <c r="B5" s="162">
        <v>197.4</v>
      </c>
      <c r="C5" s="162">
        <v>21.5</v>
      </c>
      <c r="D5" s="162" t="s">
        <v>34</v>
      </c>
      <c r="E5" s="156">
        <v>42831</v>
      </c>
      <c r="F5" s="157" t="s">
        <v>91</v>
      </c>
      <c r="G5" s="20" t="s">
        <v>92</v>
      </c>
      <c r="H5" s="19">
        <v>90208</v>
      </c>
      <c r="I5" s="19">
        <v>1996672</v>
      </c>
      <c r="J5" s="158">
        <v>776</v>
      </c>
      <c r="K5" s="19">
        <v>64</v>
      </c>
      <c r="L5" s="140">
        <v>2.61</v>
      </c>
      <c r="M5" s="20">
        <v>15</v>
      </c>
      <c r="N5" s="159">
        <v>106.3</v>
      </c>
      <c r="O5" s="21">
        <v>120.2</v>
      </c>
      <c r="P5" s="142">
        <v>109.4</v>
      </c>
      <c r="Q5" s="21">
        <v>122.6</v>
      </c>
      <c r="R5" s="142">
        <v>109.9</v>
      </c>
      <c r="S5" s="21">
        <v>123.4</v>
      </c>
      <c r="T5" s="142">
        <v>106.7</v>
      </c>
      <c r="U5" s="21">
        <v>122.5</v>
      </c>
      <c r="V5" s="143">
        <v>106.8</v>
      </c>
      <c r="W5" s="160">
        <v>121.3</v>
      </c>
      <c r="X5" s="161">
        <v>870</v>
      </c>
      <c r="Y5" s="161">
        <v>800</v>
      </c>
      <c r="Z5" s="161">
        <v>930</v>
      </c>
      <c r="AA5" s="161">
        <v>190</v>
      </c>
      <c r="AB5" s="197">
        <v>0.1</v>
      </c>
      <c r="AC5" s="161">
        <v>1700</v>
      </c>
      <c r="AD5" s="162">
        <v>680</v>
      </c>
      <c r="AE5" s="162">
        <v>600</v>
      </c>
      <c r="AF5" s="162">
        <v>680</v>
      </c>
      <c r="AG5" s="162">
        <v>680</v>
      </c>
      <c r="AH5" s="161">
        <v>190</v>
      </c>
    </row>
    <row r="6" spans="1:34" s="196" customFormat="1" ht="15.75">
      <c r="A6" s="162" t="s">
        <v>110</v>
      </c>
      <c r="B6" s="162">
        <v>197.4</v>
      </c>
      <c r="C6" s="162">
        <v>21.5</v>
      </c>
      <c r="D6" s="162" t="s">
        <v>34</v>
      </c>
      <c r="E6" s="156">
        <v>42831</v>
      </c>
      <c r="F6" s="157" t="s">
        <v>91</v>
      </c>
      <c r="G6" s="20" t="s">
        <v>92</v>
      </c>
      <c r="H6" s="19">
        <v>90208</v>
      </c>
      <c r="I6" s="19">
        <v>1996672</v>
      </c>
      <c r="J6" s="158">
        <v>776</v>
      </c>
      <c r="K6" s="19">
        <v>64</v>
      </c>
      <c r="L6" s="140">
        <v>2.61</v>
      </c>
      <c r="M6" s="20">
        <v>8</v>
      </c>
      <c r="N6" s="159">
        <v>105</v>
      </c>
      <c r="O6" s="21">
        <v>119</v>
      </c>
      <c r="P6" s="21"/>
      <c r="Q6" s="21"/>
      <c r="R6" s="21"/>
      <c r="S6" s="21"/>
      <c r="T6" s="21"/>
      <c r="U6" s="21"/>
      <c r="V6" s="143">
        <v>108.4</v>
      </c>
      <c r="W6" s="160">
        <v>120.7</v>
      </c>
      <c r="X6" s="161">
        <v>870</v>
      </c>
      <c r="Y6" s="161">
        <v>800</v>
      </c>
      <c r="Z6" s="161">
        <v>930</v>
      </c>
      <c r="AA6" s="161">
        <v>190</v>
      </c>
      <c r="AB6" s="197">
        <v>0.1</v>
      </c>
      <c r="AC6" s="161">
        <v>1700</v>
      </c>
      <c r="AD6" s="162">
        <v>680</v>
      </c>
      <c r="AE6" s="162">
        <v>600</v>
      </c>
      <c r="AF6" s="162">
        <v>680</v>
      </c>
      <c r="AG6" s="162">
        <v>680</v>
      </c>
      <c r="AH6" s="161">
        <v>190</v>
      </c>
    </row>
    <row r="7" spans="1:34" s="196" customFormat="1" ht="15">
      <c r="A7" s="162" t="s">
        <v>110</v>
      </c>
      <c r="B7" s="162">
        <v>197.4</v>
      </c>
      <c r="C7" s="162">
        <v>21.5</v>
      </c>
      <c r="D7" s="162" t="s">
        <v>34</v>
      </c>
      <c r="E7" s="156">
        <v>42836</v>
      </c>
      <c r="F7" s="157" t="s">
        <v>91</v>
      </c>
      <c r="G7" s="20" t="s">
        <v>99</v>
      </c>
      <c r="H7" s="19">
        <v>90208</v>
      </c>
      <c r="I7" s="19">
        <v>1996672</v>
      </c>
      <c r="J7" s="158">
        <v>776</v>
      </c>
      <c r="K7" s="19">
        <v>64</v>
      </c>
      <c r="L7" s="140">
        <v>2.61</v>
      </c>
      <c r="M7" s="20">
        <v>39</v>
      </c>
      <c r="N7" s="160">
        <v>126.8</v>
      </c>
      <c r="O7" s="21">
        <v>135.4</v>
      </c>
      <c r="P7" s="21">
        <v>131.4</v>
      </c>
      <c r="Q7" s="21">
        <v>139.19999999999999</v>
      </c>
      <c r="R7" s="21">
        <v>130.6</v>
      </c>
      <c r="S7" s="21">
        <v>139</v>
      </c>
      <c r="T7" s="21">
        <v>124.4</v>
      </c>
      <c r="U7" s="21">
        <v>137.19999999999999</v>
      </c>
      <c r="V7" s="20">
        <v>125.3</v>
      </c>
      <c r="W7" s="160">
        <v>136</v>
      </c>
      <c r="X7" s="161">
        <v>870</v>
      </c>
      <c r="Y7" s="161">
        <v>800</v>
      </c>
      <c r="Z7" s="161">
        <v>930</v>
      </c>
      <c r="AA7" s="161">
        <v>175</v>
      </c>
      <c r="AB7" s="197">
        <v>0.1</v>
      </c>
      <c r="AC7" s="161">
        <v>1700</v>
      </c>
      <c r="AD7" s="162">
        <v>630</v>
      </c>
      <c r="AE7" s="162">
        <v>530</v>
      </c>
      <c r="AF7" s="162">
        <v>630</v>
      </c>
      <c r="AG7" s="162">
        <v>630</v>
      </c>
      <c r="AH7" s="161">
        <v>175</v>
      </c>
    </row>
  </sheetData>
  <protectedRanges>
    <protectedRange sqref="K5:K36 H5:I36" name="Rango1_1"/>
  </protectedRanges>
  <autoFilter ref="A4:DI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7">
    <cfRule type="expression" dxfId="17" priority="71" stopIfTrue="1">
      <formula>"SEVERSTAL"</formula>
    </cfRule>
  </conditionalFormatting>
  <conditionalFormatting sqref="H5:I7 K5:K7">
    <cfRule type="cellIs" dxfId="16" priority="72" stopIfTrue="1" operator="equal">
      <formula>"APROBADO"</formula>
    </cfRule>
    <cfRule type="cellIs" dxfId="15" priority="73" stopIfTrue="1" operator="equal">
      <formula>"ESPERA"</formula>
    </cfRule>
    <cfRule type="cellIs" dxfId="14" priority="7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49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C3" sqref="C3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9" width="11" customWidth="1"/>
    <col min="10" max="10" width="9.25" customWidth="1"/>
    <col min="11" max="11" width="10.625" customWidth="1"/>
    <col min="12" max="12" width="8.125" customWidth="1"/>
    <col min="13" max="13" width="8.875" customWidth="1"/>
    <col min="14" max="14" width="9" customWidth="1"/>
    <col min="15" max="15" width="9.875" customWidth="1"/>
    <col min="16" max="16" width="10.25" customWidth="1"/>
    <col min="17" max="17" width="9.25" customWidth="1"/>
    <col min="18" max="19" width="5.625" customWidth="1"/>
    <col min="20" max="20" width="9" customWidth="1"/>
    <col min="21" max="22" width="11.5" customWidth="1"/>
    <col min="23" max="23" width="10.25" customWidth="1"/>
    <col min="24" max="29" width="11.75" customWidth="1"/>
    <col min="30" max="30" width="14" customWidth="1"/>
    <col min="31" max="31" width="8.5" customWidth="1"/>
    <col min="33" max="33" width="8.25" customWidth="1"/>
  </cols>
  <sheetData>
    <row r="1" spans="1:33" ht="27" customHeight="1">
      <c r="A1" s="24"/>
      <c r="B1" s="24"/>
      <c r="C1" s="24"/>
      <c r="D1" s="24"/>
      <c r="E1" s="24"/>
      <c r="F1" s="24"/>
      <c r="G1" s="24" t="s">
        <v>58</v>
      </c>
      <c r="H1" s="13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5"/>
      <c r="AG1" s="24"/>
    </row>
    <row r="2" spans="1:33" ht="30.75">
      <c r="A2" s="25"/>
      <c r="B2" s="26"/>
      <c r="C2" s="26"/>
      <c r="D2" s="26"/>
      <c r="E2" s="24"/>
      <c r="F2" s="27"/>
      <c r="G2" s="27"/>
      <c r="H2" s="135"/>
      <c r="I2" s="28"/>
      <c r="J2" s="29" t="s">
        <v>97</v>
      </c>
      <c r="K2" s="29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4"/>
      <c r="X2" s="24"/>
      <c r="Y2" s="24"/>
      <c r="Z2" s="24"/>
      <c r="AA2" s="24"/>
      <c r="AB2" s="24"/>
      <c r="AC2" s="24"/>
      <c r="AD2" s="24"/>
      <c r="AE2" s="24"/>
      <c r="AF2" s="25"/>
      <c r="AG2" s="24"/>
    </row>
    <row r="3" spans="1:33" ht="16.5" customHeight="1">
      <c r="A3" s="30"/>
      <c r="B3" s="30"/>
      <c r="C3" s="30"/>
      <c r="D3" s="30"/>
      <c r="E3" s="45"/>
      <c r="F3" s="190"/>
      <c r="G3" s="190"/>
      <c r="H3" s="136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24"/>
      <c r="X3" s="31"/>
      <c r="Y3" s="31"/>
      <c r="Z3" s="31"/>
      <c r="AA3" s="31"/>
      <c r="AB3" s="31"/>
      <c r="AC3" s="31"/>
      <c r="AD3" s="31"/>
      <c r="AE3" s="32" t="s">
        <v>24</v>
      </c>
      <c r="AF3" s="25">
        <v>190</v>
      </c>
      <c r="AG3" s="33"/>
    </row>
    <row r="4" spans="1:33" ht="26.25" customHeight="1">
      <c r="A4" s="25"/>
      <c r="B4" s="25"/>
      <c r="C4" s="25"/>
      <c r="D4" s="25"/>
      <c r="E4" s="25"/>
      <c r="F4" s="34"/>
      <c r="G4" s="25"/>
      <c r="H4" s="137"/>
      <c r="I4" s="192" t="s">
        <v>59</v>
      </c>
      <c r="J4" s="192"/>
      <c r="K4" s="192"/>
      <c r="L4" s="192"/>
      <c r="M4" s="192"/>
      <c r="N4" s="192"/>
      <c r="O4" s="192"/>
      <c r="P4" s="191" t="s">
        <v>60</v>
      </c>
      <c r="Q4" s="191"/>
      <c r="R4" s="191"/>
      <c r="S4" s="191"/>
      <c r="T4" s="191"/>
      <c r="U4" s="191"/>
      <c r="V4" s="120"/>
      <c r="W4" s="24"/>
      <c r="X4" s="35"/>
      <c r="Y4" s="35"/>
      <c r="Z4" s="35"/>
      <c r="AA4" s="35"/>
      <c r="AB4" s="35"/>
      <c r="AC4" s="35"/>
      <c r="AD4" s="36" t="s">
        <v>55</v>
      </c>
      <c r="AE4" s="37"/>
      <c r="AF4" s="25"/>
      <c r="AG4" s="37"/>
    </row>
    <row r="5" spans="1:33" ht="21" customHeight="1">
      <c r="A5" s="38"/>
      <c r="B5" s="25"/>
      <c r="C5" s="25"/>
      <c r="D5" s="25"/>
      <c r="E5" s="25"/>
      <c r="F5" s="39"/>
      <c r="G5" s="40"/>
      <c r="H5" s="136"/>
      <c r="I5" s="194" t="s">
        <v>8</v>
      </c>
      <c r="J5" s="195"/>
      <c r="K5" s="193" t="s">
        <v>9</v>
      </c>
      <c r="L5" s="194"/>
      <c r="M5" s="194"/>
      <c r="N5" s="194"/>
      <c r="O5" s="195"/>
      <c r="P5" s="193" t="s">
        <v>13</v>
      </c>
      <c r="Q5" s="195"/>
      <c r="R5" s="193" t="s">
        <v>9</v>
      </c>
      <c r="S5" s="194"/>
      <c r="T5" s="194"/>
      <c r="U5" s="194"/>
      <c r="V5" s="121"/>
      <c r="W5" s="41"/>
      <c r="X5" s="35"/>
      <c r="Y5" s="35"/>
      <c r="Z5" s="35"/>
      <c r="AA5" s="35"/>
      <c r="AB5" s="35"/>
      <c r="AC5" s="35"/>
      <c r="AD5" s="36" t="s">
        <v>56</v>
      </c>
      <c r="AE5" s="37"/>
      <c r="AF5" s="25"/>
      <c r="AG5" s="37"/>
    </row>
    <row r="6" spans="1:33" ht="56.25" customHeight="1">
      <c r="A6" s="23" t="s">
        <v>1</v>
      </c>
      <c r="B6" s="23" t="s">
        <v>4</v>
      </c>
      <c r="C6" s="23" t="s">
        <v>61</v>
      </c>
      <c r="D6" s="23" t="s">
        <v>111</v>
      </c>
      <c r="E6" s="23" t="s">
        <v>3</v>
      </c>
      <c r="F6" s="23" t="s">
        <v>5</v>
      </c>
      <c r="G6" s="23" t="s">
        <v>12</v>
      </c>
      <c r="H6" s="138" t="s">
        <v>73</v>
      </c>
      <c r="I6" s="23" t="s">
        <v>7</v>
      </c>
      <c r="J6" s="23" t="s">
        <v>66</v>
      </c>
      <c r="K6" s="23" t="s">
        <v>65</v>
      </c>
      <c r="L6" s="23" t="s">
        <v>10</v>
      </c>
      <c r="M6" s="23" t="s">
        <v>11</v>
      </c>
      <c r="N6" s="23" t="s">
        <v>16</v>
      </c>
      <c r="O6" s="23" t="s">
        <v>67</v>
      </c>
      <c r="P6" s="23" t="s">
        <v>68</v>
      </c>
      <c r="Q6" s="23" t="s">
        <v>7</v>
      </c>
      <c r="R6" s="23" t="s">
        <v>10</v>
      </c>
      <c r="S6" s="23" t="s">
        <v>11</v>
      </c>
      <c r="T6" s="23" t="s">
        <v>16</v>
      </c>
      <c r="U6" s="23" t="s">
        <v>69</v>
      </c>
      <c r="V6" s="23" t="s">
        <v>65</v>
      </c>
      <c r="W6" s="23" t="s">
        <v>0</v>
      </c>
      <c r="X6" s="23" t="s">
        <v>6</v>
      </c>
      <c r="Y6" s="23" t="s">
        <v>54</v>
      </c>
      <c r="Z6" s="23" t="s">
        <v>64</v>
      </c>
      <c r="AA6" s="23" t="s">
        <v>90</v>
      </c>
      <c r="AB6" s="23" t="s">
        <v>72</v>
      </c>
      <c r="AC6" s="23" t="s">
        <v>63</v>
      </c>
      <c r="AD6" s="23" t="s">
        <v>62</v>
      </c>
      <c r="AE6" s="23" t="s">
        <v>53</v>
      </c>
      <c r="AF6" s="22" t="s">
        <v>74</v>
      </c>
      <c r="AG6" s="23" t="s">
        <v>57</v>
      </c>
    </row>
    <row r="7" spans="1:33" ht="15.75">
      <c r="A7" s="133">
        <v>42831</v>
      </c>
      <c r="B7" s="44">
        <v>3</v>
      </c>
      <c r="C7" s="44">
        <v>1996672</v>
      </c>
      <c r="D7" s="157" t="s">
        <v>91</v>
      </c>
      <c r="E7" s="123">
        <v>90208</v>
      </c>
      <c r="F7" s="44" t="s">
        <v>92</v>
      </c>
      <c r="G7" s="124">
        <v>33</v>
      </c>
      <c r="H7" s="139" t="s">
        <v>93</v>
      </c>
      <c r="I7" s="125">
        <v>0</v>
      </c>
      <c r="J7" s="126">
        <v>1</v>
      </c>
      <c r="K7" s="132">
        <v>0</v>
      </c>
      <c r="L7" s="127">
        <v>3</v>
      </c>
      <c r="M7" s="125">
        <v>0</v>
      </c>
      <c r="N7" s="128">
        <v>0</v>
      </c>
      <c r="O7" s="124">
        <v>0</v>
      </c>
      <c r="P7" s="127">
        <v>1</v>
      </c>
      <c r="Q7" s="124">
        <v>0</v>
      </c>
      <c r="R7" s="127">
        <v>0</v>
      </c>
      <c r="S7" s="125">
        <v>0</v>
      </c>
      <c r="T7" s="128">
        <v>0</v>
      </c>
      <c r="U7" s="127">
        <v>0</v>
      </c>
      <c r="V7" s="127">
        <v>0</v>
      </c>
      <c r="W7" s="42">
        <f>+G7-(SUM(I7:N7,P7,Q7,R7,S7,T7,V7))</f>
        <v>28</v>
      </c>
      <c r="X7" s="129"/>
      <c r="Y7" s="129"/>
      <c r="Z7" s="129"/>
      <c r="AA7" s="129"/>
      <c r="AB7" s="129"/>
      <c r="AC7" s="129"/>
      <c r="AD7" s="130"/>
      <c r="AE7" s="130"/>
      <c r="AF7" s="131"/>
      <c r="AG7" s="123"/>
    </row>
    <row r="8" spans="1:33" ht="15.75">
      <c r="A8" s="133">
        <v>42837</v>
      </c>
      <c r="B8" s="44">
        <v>1</v>
      </c>
      <c r="C8" s="44">
        <v>1996672</v>
      </c>
      <c r="D8" s="157" t="s">
        <v>91</v>
      </c>
      <c r="E8" s="123">
        <v>90208</v>
      </c>
      <c r="F8" s="44" t="s">
        <v>99</v>
      </c>
      <c r="G8" s="124">
        <v>28</v>
      </c>
      <c r="H8" s="144" t="s">
        <v>101</v>
      </c>
      <c r="I8" s="125">
        <v>0</v>
      </c>
      <c r="J8" s="126">
        <v>0</v>
      </c>
      <c r="K8" s="132">
        <v>0</v>
      </c>
      <c r="L8" s="127">
        <v>0</v>
      </c>
      <c r="M8" s="125">
        <v>0</v>
      </c>
      <c r="N8" s="128">
        <v>0</v>
      </c>
      <c r="O8" s="124">
        <v>0</v>
      </c>
      <c r="P8" s="127">
        <v>1</v>
      </c>
      <c r="Q8" s="124">
        <v>0</v>
      </c>
      <c r="R8" s="127">
        <v>0</v>
      </c>
      <c r="S8" s="125">
        <v>0</v>
      </c>
      <c r="T8" s="128">
        <v>0</v>
      </c>
      <c r="U8" s="127">
        <v>0</v>
      </c>
      <c r="V8" s="127">
        <v>0</v>
      </c>
      <c r="W8" s="42">
        <f>+G8-(SUM(I8:N8,P8,Q8,R8,S8,T8,V8))</f>
        <v>27</v>
      </c>
      <c r="X8" s="129"/>
      <c r="Y8" s="129"/>
      <c r="Z8" s="129"/>
      <c r="AA8" s="129"/>
      <c r="AB8" s="129"/>
      <c r="AC8" s="129"/>
      <c r="AD8" s="130"/>
      <c r="AE8" s="130"/>
      <c r="AF8" s="131"/>
      <c r="AG8" s="123"/>
    </row>
    <row r="9" spans="1:33" ht="15.75">
      <c r="A9" s="133"/>
      <c r="B9" s="44"/>
      <c r="C9" s="44"/>
      <c r="D9" s="44"/>
      <c r="E9" s="123"/>
      <c r="F9" s="44"/>
      <c r="G9" s="124"/>
      <c r="H9" s="139"/>
      <c r="I9" s="125"/>
      <c r="J9" s="126"/>
      <c r="K9" s="132"/>
      <c r="L9" s="127"/>
      <c r="M9" s="125"/>
      <c r="N9" s="128"/>
      <c r="O9" s="124"/>
      <c r="P9" s="127"/>
      <c r="Q9" s="124"/>
      <c r="R9" s="127"/>
      <c r="S9" s="125"/>
      <c r="T9" s="128"/>
      <c r="U9" s="127"/>
      <c r="V9" s="127"/>
      <c r="W9" s="42"/>
      <c r="X9" s="129"/>
      <c r="Y9" s="129"/>
      <c r="Z9" s="129"/>
      <c r="AA9" s="129"/>
      <c r="AB9" s="129"/>
      <c r="AC9" s="129"/>
      <c r="AD9" s="130"/>
      <c r="AE9" s="130"/>
      <c r="AF9" s="131"/>
      <c r="AG9" s="123"/>
    </row>
    <row r="10" spans="1:33" ht="15.75">
      <c r="A10" s="133"/>
      <c r="B10" s="44"/>
      <c r="C10" s="44"/>
      <c r="D10" s="44"/>
      <c r="E10" s="123"/>
      <c r="F10" s="44"/>
      <c r="G10" s="124"/>
      <c r="H10" s="139"/>
      <c r="I10" s="125"/>
      <c r="J10" s="126"/>
      <c r="K10" s="132"/>
      <c r="L10" s="127"/>
      <c r="M10" s="125"/>
      <c r="N10" s="128"/>
      <c r="O10" s="124"/>
      <c r="P10" s="127"/>
      <c r="Q10" s="124"/>
      <c r="R10" s="127"/>
      <c r="S10" s="125"/>
      <c r="T10" s="128"/>
      <c r="U10" s="127"/>
      <c r="V10" s="127"/>
      <c r="W10" s="42"/>
      <c r="X10" s="129"/>
      <c r="Y10" s="129"/>
      <c r="Z10" s="129"/>
      <c r="AA10" s="129"/>
      <c r="AB10" s="129"/>
      <c r="AC10" s="129"/>
      <c r="AD10" s="130"/>
      <c r="AE10" s="130"/>
      <c r="AF10" s="131"/>
      <c r="AG10" s="123"/>
    </row>
    <row r="11" spans="1:33" ht="15.75">
      <c r="A11" s="133"/>
      <c r="B11" s="44"/>
      <c r="C11" s="44"/>
      <c r="D11" s="44"/>
      <c r="E11" s="123"/>
      <c r="F11" s="44"/>
      <c r="G11" s="124"/>
      <c r="H11" s="139"/>
      <c r="I11" s="125"/>
      <c r="J11" s="126"/>
      <c r="K11" s="132"/>
      <c r="L11" s="127"/>
      <c r="M11" s="125"/>
      <c r="N11" s="128"/>
      <c r="O11" s="124"/>
      <c r="P11" s="127"/>
      <c r="Q11" s="124"/>
      <c r="R11" s="127"/>
      <c r="S11" s="125"/>
      <c r="T11" s="128"/>
      <c r="U11" s="127"/>
      <c r="V11" s="127"/>
      <c r="W11" s="42"/>
      <c r="X11" s="129"/>
      <c r="Y11" s="129"/>
      <c r="Z11" s="129"/>
      <c r="AA11" s="129"/>
      <c r="AB11" s="129"/>
      <c r="AC11" s="129"/>
      <c r="AD11" s="130"/>
      <c r="AE11" s="130"/>
      <c r="AF11" s="131"/>
      <c r="AG11" s="123"/>
    </row>
    <row r="12" spans="1:33" ht="15.75">
      <c r="A12" s="133"/>
      <c r="B12" s="44"/>
      <c r="C12" s="44"/>
      <c r="D12" s="44"/>
      <c r="E12" s="123"/>
      <c r="F12" s="44"/>
      <c r="G12" s="124"/>
      <c r="H12" s="139"/>
      <c r="I12" s="125"/>
      <c r="J12" s="126"/>
      <c r="K12" s="132"/>
      <c r="L12" s="127"/>
      <c r="M12" s="125"/>
      <c r="N12" s="128"/>
      <c r="O12" s="124"/>
      <c r="P12" s="127"/>
      <c r="Q12" s="124"/>
      <c r="R12" s="127"/>
      <c r="S12" s="125"/>
      <c r="T12" s="128"/>
      <c r="U12" s="127"/>
      <c r="V12" s="127"/>
      <c r="W12" s="42"/>
      <c r="X12" s="129"/>
      <c r="Y12" s="129"/>
      <c r="Z12" s="129"/>
      <c r="AA12" s="129"/>
      <c r="AB12" s="129"/>
      <c r="AC12" s="129"/>
      <c r="AD12" s="130"/>
      <c r="AE12" s="130"/>
      <c r="AF12" s="131"/>
      <c r="AG12" s="123"/>
    </row>
    <row r="13" spans="1:33" ht="15.75">
      <c r="A13" s="133"/>
      <c r="B13" s="44"/>
      <c r="C13" s="44"/>
      <c r="D13" s="44"/>
      <c r="E13" s="123"/>
      <c r="F13" s="44"/>
      <c r="G13" s="124"/>
      <c r="H13" s="139"/>
      <c r="I13" s="125"/>
      <c r="J13" s="126"/>
      <c r="K13" s="132"/>
      <c r="L13" s="127"/>
      <c r="M13" s="125"/>
      <c r="N13" s="128"/>
      <c r="O13" s="124"/>
      <c r="P13" s="127"/>
      <c r="Q13" s="124"/>
      <c r="R13" s="127"/>
      <c r="S13" s="125"/>
      <c r="T13" s="128"/>
      <c r="U13" s="127"/>
      <c r="V13" s="127"/>
      <c r="W13" s="42"/>
      <c r="X13" s="129"/>
      <c r="Y13" s="129"/>
      <c r="Z13" s="129"/>
      <c r="AA13" s="129"/>
      <c r="AB13" s="129"/>
      <c r="AC13" s="129"/>
      <c r="AD13" s="130"/>
      <c r="AE13" s="130"/>
      <c r="AF13" s="131"/>
      <c r="AG13" s="123"/>
    </row>
    <row r="14" spans="1:33" ht="15.75">
      <c r="A14" s="133"/>
      <c r="B14" s="44"/>
      <c r="C14" s="44"/>
      <c r="D14" s="44"/>
      <c r="E14" s="123"/>
      <c r="F14" s="44"/>
      <c r="G14" s="124"/>
      <c r="H14" s="139"/>
      <c r="I14" s="125"/>
      <c r="J14" s="126"/>
      <c r="K14" s="132"/>
      <c r="L14" s="127"/>
      <c r="M14" s="125"/>
      <c r="N14" s="128"/>
      <c r="O14" s="124"/>
      <c r="P14" s="127"/>
      <c r="Q14" s="124"/>
      <c r="R14" s="127"/>
      <c r="S14" s="125"/>
      <c r="T14" s="128"/>
      <c r="U14" s="127"/>
      <c r="V14" s="127"/>
      <c r="W14" s="42"/>
      <c r="X14" s="129"/>
      <c r="Y14" s="129"/>
      <c r="Z14" s="129"/>
      <c r="AA14" s="129"/>
      <c r="AB14" s="129"/>
      <c r="AC14" s="129"/>
      <c r="AD14" s="130"/>
      <c r="AE14" s="130"/>
      <c r="AF14" s="131"/>
      <c r="AG14" s="123"/>
    </row>
    <row r="15" spans="1:33" ht="15.75">
      <c r="A15" s="133"/>
      <c r="B15" s="44"/>
      <c r="C15" s="44"/>
      <c r="D15" s="44"/>
      <c r="E15" s="123"/>
      <c r="F15" s="44"/>
      <c r="G15" s="124"/>
      <c r="H15" s="139"/>
      <c r="I15" s="125"/>
      <c r="J15" s="126"/>
      <c r="K15" s="132"/>
      <c r="L15" s="127"/>
      <c r="M15" s="125"/>
      <c r="N15" s="128"/>
      <c r="O15" s="124"/>
      <c r="P15" s="127"/>
      <c r="Q15" s="124"/>
      <c r="R15" s="127"/>
      <c r="S15" s="125"/>
      <c r="T15" s="128"/>
      <c r="U15" s="127"/>
      <c r="V15" s="127"/>
      <c r="W15" s="42"/>
      <c r="X15" s="129"/>
      <c r="Y15" s="129"/>
      <c r="Z15" s="129"/>
      <c r="AA15" s="129"/>
      <c r="AB15" s="129"/>
      <c r="AC15" s="129"/>
      <c r="AD15" s="130"/>
      <c r="AE15" s="130"/>
      <c r="AF15" s="131"/>
      <c r="AG15" s="123"/>
    </row>
    <row r="16" spans="1:33" ht="15.75">
      <c r="A16" s="133"/>
      <c r="B16" s="44"/>
      <c r="C16" s="44"/>
      <c r="D16" s="44"/>
      <c r="E16" s="123"/>
      <c r="F16" s="44"/>
      <c r="G16" s="124"/>
      <c r="H16" s="139"/>
      <c r="I16" s="125"/>
      <c r="J16" s="126"/>
      <c r="K16" s="132"/>
      <c r="L16" s="127"/>
      <c r="M16" s="125"/>
      <c r="N16" s="128"/>
      <c r="O16" s="124"/>
      <c r="P16" s="127"/>
      <c r="Q16" s="124"/>
      <c r="R16" s="127"/>
      <c r="S16" s="125"/>
      <c r="T16" s="128"/>
      <c r="U16" s="127"/>
      <c r="V16" s="127"/>
      <c r="W16" s="42"/>
      <c r="X16" s="129"/>
      <c r="Y16" s="129"/>
      <c r="Z16" s="129"/>
      <c r="AA16" s="129"/>
      <c r="AB16" s="129"/>
      <c r="AC16" s="129"/>
      <c r="AD16" s="130"/>
      <c r="AE16" s="130"/>
      <c r="AF16" s="131"/>
      <c r="AG16" s="123"/>
    </row>
    <row r="17" spans="1:33" ht="15.75">
      <c r="A17" s="133"/>
      <c r="B17" s="44"/>
      <c r="C17" s="44"/>
      <c r="D17" s="44"/>
      <c r="E17" s="123"/>
      <c r="F17" s="44"/>
      <c r="G17" s="124"/>
      <c r="H17" s="139"/>
      <c r="I17" s="125"/>
      <c r="J17" s="126"/>
      <c r="K17" s="132"/>
      <c r="L17" s="127"/>
      <c r="M17" s="125"/>
      <c r="N17" s="128"/>
      <c r="O17" s="124"/>
      <c r="P17" s="127"/>
      <c r="Q17" s="124"/>
      <c r="R17" s="127"/>
      <c r="S17" s="125"/>
      <c r="T17" s="128"/>
      <c r="U17" s="127"/>
      <c r="V17" s="127"/>
      <c r="W17" s="42"/>
      <c r="X17" s="129"/>
      <c r="Y17" s="129"/>
      <c r="Z17" s="129"/>
      <c r="AA17" s="129"/>
      <c r="AB17" s="129"/>
      <c r="AC17" s="129"/>
      <c r="AD17" s="130"/>
      <c r="AE17" s="130"/>
      <c r="AF17" s="131"/>
      <c r="AG17" s="123"/>
    </row>
    <row r="18" spans="1:33" ht="15.75">
      <c r="A18" s="133"/>
      <c r="B18" s="44"/>
      <c r="C18" s="44"/>
      <c r="D18" s="44"/>
      <c r="E18" s="123"/>
      <c r="F18" s="44"/>
      <c r="G18" s="124"/>
      <c r="H18" s="139"/>
      <c r="I18" s="125"/>
      <c r="J18" s="126"/>
      <c r="K18" s="132"/>
      <c r="L18" s="127"/>
      <c r="M18" s="125"/>
      <c r="N18" s="128"/>
      <c r="O18" s="124"/>
      <c r="P18" s="127"/>
      <c r="Q18" s="124"/>
      <c r="R18" s="127"/>
      <c r="S18" s="125"/>
      <c r="T18" s="128"/>
      <c r="U18" s="127"/>
      <c r="V18" s="127"/>
      <c r="W18" s="42"/>
      <c r="X18" s="129"/>
      <c r="Y18" s="129"/>
      <c r="Z18" s="129"/>
      <c r="AA18" s="129"/>
      <c r="AB18" s="129"/>
      <c r="AC18" s="129"/>
      <c r="AD18" s="130"/>
      <c r="AE18" s="130"/>
      <c r="AF18" s="131"/>
      <c r="AG18" s="123"/>
    </row>
    <row r="19" spans="1:33" ht="15.75">
      <c r="A19" s="133"/>
      <c r="B19" s="44"/>
      <c r="C19" s="44"/>
      <c r="D19" s="44"/>
      <c r="E19" s="123"/>
      <c r="F19" s="44"/>
      <c r="G19" s="124"/>
      <c r="H19" s="139"/>
      <c r="I19" s="125"/>
      <c r="J19" s="126"/>
      <c r="K19" s="132"/>
      <c r="L19" s="127"/>
      <c r="M19" s="125"/>
      <c r="N19" s="128"/>
      <c r="O19" s="124"/>
      <c r="P19" s="127"/>
      <c r="Q19" s="124"/>
      <c r="R19" s="127"/>
      <c r="S19" s="125"/>
      <c r="T19" s="128"/>
      <c r="U19" s="127"/>
      <c r="V19" s="127"/>
      <c r="W19" s="42"/>
      <c r="X19" s="129"/>
      <c r="Y19" s="129"/>
      <c r="Z19" s="129"/>
      <c r="AA19" s="129"/>
      <c r="AB19" s="141"/>
      <c r="AC19" s="129"/>
      <c r="AD19" s="130"/>
      <c r="AE19" s="130"/>
      <c r="AF19" s="131"/>
      <c r="AG19" s="123"/>
    </row>
    <row r="20" spans="1:33" ht="15.75">
      <c r="A20" s="133"/>
      <c r="B20" s="44"/>
      <c r="C20" s="44"/>
      <c r="D20" s="44"/>
      <c r="E20" s="123"/>
      <c r="F20" s="44"/>
      <c r="G20" s="124"/>
      <c r="H20" s="139"/>
      <c r="I20" s="125"/>
      <c r="J20" s="126"/>
      <c r="K20" s="132"/>
      <c r="L20" s="127"/>
      <c r="M20" s="125"/>
      <c r="N20" s="128"/>
      <c r="O20" s="124"/>
      <c r="P20" s="127"/>
      <c r="Q20" s="124"/>
      <c r="R20" s="127"/>
      <c r="S20" s="125"/>
      <c r="T20" s="128"/>
      <c r="U20" s="127"/>
      <c r="V20" s="127"/>
      <c r="W20" s="42"/>
      <c r="X20" s="129"/>
      <c r="Y20" s="129"/>
      <c r="Z20" s="129"/>
      <c r="AA20" s="129"/>
      <c r="AB20" s="129"/>
      <c r="AC20" s="129"/>
      <c r="AD20" s="130"/>
      <c r="AE20" s="130"/>
      <c r="AF20" s="131"/>
      <c r="AG20" s="123"/>
    </row>
    <row r="21" spans="1:33" ht="15.75">
      <c r="A21" s="133"/>
      <c r="B21" s="44"/>
      <c r="C21" s="44"/>
      <c r="D21" s="44"/>
      <c r="E21" s="123"/>
      <c r="F21" s="44"/>
      <c r="G21" s="124"/>
      <c r="H21" s="139"/>
      <c r="I21" s="125"/>
      <c r="J21" s="126"/>
      <c r="K21" s="132"/>
      <c r="L21" s="127"/>
      <c r="M21" s="125"/>
      <c r="N21" s="128"/>
      <c r="O21" s="124"/>
      <c r="P21" s="127"/>
      <c r="Q21" s="124"/>
      <c r="R21" s="127"/>
      <c r="S21" s="125"/>
      <c r="T21" s="128"/>
      <c r="U21" s="127"/>
      <c r="V21" s="127"/>
      <c r="W21" s="42"/>
      <c r="X21" s="129"/>
      <c r="Y21" s="129"/>
      <c r="Z21" s="129"/>
      <c r="AA21" s="129"/>
      <c r="AB21" s="129"/>
      <c r="AC21" s="129"/>
      <c r="AD21" s="130"/>
      <c r="AE21" s="130"/>
      <c r="AF21" s="131"/>
      <c r="AG21" s="123"/>
    </row>
    <row r="22" spans="1:33" ht="15.75">
      <c r="A22" s="133"/>
      <c r="B22" s="44"/>
      <c r="C22" s="44"/>
      <c r="D22" s="44"/>
      <c r="E22" s="123"/>
      <c r="F22" s="44"/>
      <c r="G22" s="124"/>
      <c r="H22" s="139"/>
      <c r="I22" s="125"/>
      <c r="J22" s="126"/>
      <c r="K22" s="132"/>
      <c r="L22" s="127"/>
      <c r="M22" s="125"/>
      <c r="N22" s="128"/>
      <c r="O22" s="124"/>
      <c r="P22" s="127"/>
      <c r="Q22" s="124"/>
      <c r="R22" s="127"/>
      <c r="S22" s="125"/>
      <c r="T22" s="128"/>
      <c r="U22" s="127"/>
      <c r="V22" s="127"/>
      <c r="W22" s="42"/>
      <c r="X22" s="129"/>
      <c r="Y22" s="129"/>
      <c r="Z22" s="129"/>
      <c r="AA22" s="129"/>
      <c r="AB22" s="129"/>
      <c r="AC22" s="129"/>
      <c r="AD22" s="130"/>
      <c r="AE22" s="130"/>
      <c r="AF22" s="131"/>
      <c r="AG22" s="123"/>
    </row>
    <row r="23" spans="1:33" ht="15.75">
      <c r="A23" s="133"/>
      <c r="B23" s="44"/>
      <c r="C23" s="44"/>
      <c r="D23" s="44"/>
      <c r="E23" s="123"/>
      <c r="F23" s="44"/>
      <c r="G23" s="124"/>
      <c r="H23" s="139"/>
      <c r="I23" s="125"/>
      <c r="J23" s="126"/>
      <c r="K23" s="132"/>
      <c r="L23" s="127"/>
      <c r="M23" s="125"/>
      <c r="N23" s="128"/>
      <c r="O23" s="124"/>
      <c r="P23" s="127"/>
      <c r="Q23" s="124"/>
      <c r="R23" s="127"/>
      <c r="S23" s="125"/>
      <c r="T23" s="128"/>
      <c r="U23" s="127"/>
      <c r="V23" s="127"/>
      <c r="W23" s="42"/>
      <c r="X23" s="129"/>
      <c r="Y23" s="129"/>
      <c r="Z23" s="129"/>
      <c r="AA23" s="129"/>
      <c r="AB23" s="129"/>
      <c r="AC23" s="129"/>
      <c r="AD23" s="130"/>
      <c r="AE23" s="130"/>
      <c r="AF23" s="131"/>
      <c r="AG23" s="123"/>
    </row>
    <row r="24" spans="1:33" ht="15.75">
      <c r="A24" s="122"/>
      <c r="B24" s="44"/>
      <c r="C24" s="44"/>
      <c r="D24" s="44"/>
      <c r="E24" s="123"/>
      <c r="F24" s="44"/>
      <c r="G24" s="124"/>
      <c r="H24" s="139"/>
      <c r="I24" s="125"/>
      <c r="J24" s="126"/>
      <c r="K24" s="132"/>
      <c r="L24" s="127"/>
      <c r="M24" s="125"/>
      <c r="N24" s="128"/>
      <c r="O24" s="124"/>
      <c r="P24" s="127"/>
      <c r="Q24" s="124"/>
      <c r="R24" s="127"/>
      <c r="S24" s="125"/>
      <c r="T24" s="128"/>
      <c r="U24" s="127"/>
      <c r="V24" s="127"/>
      <c r="W24" s="42"/>
      <c r="X24" s="129"/>
      <c r="Y24" s="129"/>
      <c r="Z24" s="129"/>
      <c r="AA24" s="129"/>
      <c r="AB24" s="129"/>
      <c r="AC24" s="129"/>
      <c r="AD24" s="130"/>
      <c r="AE24" s="130"/>
      <c r="AF24" s="131"/>
      <c r="AG24" s="123"/>
    </row>
    <row r="25" spans="1:33" ht="15.75">
      <c r="A25" s="122"/>
      <c r="B25" s="44"/>
      <c r="C25" s="44"/>
      <c r="D25" s="44"/>
      <c r="E25" s="123"/>
      <c r="F25" s="44"/>
      <c r="G25" s="124"/>
      <c r="H25" s="139"/>
      <c r="I25" s="125"/>
      <c r="J25" s="126"/>
      <c r="K25" s="132"/>
      <c r="L25" s="127"/>
      <c r="M25" s="125"/>
      <c r="N25" s="128"/>
      <c r="O25" s="124"/>
      <c r="P25" s="127"/>
      <c r="Q25" s="124"/>
      <c r="R25" s="127"/>
      <c r="S25" s="125"/>
      <c r="T25" s="128"/>
      <c r="U25" s="127"/>
      <c r="V25" s="127"/>
      <c r="W25" s="42"/>
      <c r="X25" s="129"/>
      <c r="Y25" s="129"/>
      <c r="Z25" s="129"/>
      <c r="AA25" s="129"/>
      <c r="AB25" s="129"/>
      <c r="AC25" s="129"/>
      <c r="AD25" s="130"/>
      <c r="AE25" s="130"/>
      <c r="AF25" s="131"/>
      <c r="AG25" s="123"/>
    </row>
    <row r="26" spans="1:33" ht="15.75">
      <c r="A26" s="122"/>
      <c r="B26" s="44"/>
      <c r="C26" s="44"/>
      <c r="D26" s="44"/>
      <c r="E26" s="123"/>
      <c r="F26" s="44"/>
      <c r="G26" s="124"/>
      <c r="H26" s="139"/>
      <c r="I26" s="125"/>
      <c r="J26" s="126"/>
      <c r="K26" s="132"/>
      <c r="L26" s="127"/>
      <c r="M26" s="125"/>
      <c r="N26" s="128"/>
      <c r="O26" s="124"/>
      <c r="P26" s="127"/>
      <c r="Q26" s="124"/>
      <c r="R26" s="127"/>
      <c r="S26" s="125"/>
      <c r="T26" s="128"/>
      <c r="U26" s="127"/>
      <c r="V26" s="127"/>
      <c r="W26" s="42"/>
      <c r="X26" s="129"/>
      <c r="Y26" s="129"/>
      <c r="Z26" s="129"/>
      <c r="AA26" s="129"/>
      <c r="AB26" s="129"/>
      <c r="AC26" s="129"/>
      <c r="AD26" s="130"/>
      <c r="AE26" s="130"/>
      <c r="AF26" s="131"/>
      <c r="AG26" s="123"/>
    </row>
    <row r="27" spans="1:33" ht="15.75">
      <c r="A27" s="122"/>
      <c r="B27" s="44"/>
      <c r="C27" s="44"/>
      <c r="D27" s="44"/>
      <c r="E27" s="123"/>
      <c r="F27" s="44"/>
      <c r="G27" s="124"/>
      <c r="H27" s="139"/>
      <c r="I27" s="125"/>
      <c r="J27" s="126"/>
      <c r="K27" s="132"/>
      <c r="L27" s="127"/>
      <c r="M27" s="125"/>
      <c r="N27" s="128"/>
      <c r="O27" s="124"/>
      <c r="P27" s="127"/>
      <c r="Q27" s="124"/>
      <c r="R27" s="127"/>
      <c r="S27" s="125"/>
      <c r="T27" s="128"/>
      <c r="U27" s="127"/>
      <c r="V27" s="127"/>
      <c r="W27" s="42"/>
      <c r="X27" s="129"/>
      <c r="Y27" s="129"/>
      <c r="Z27" s="129"/>
      <c r="AA27" s="129"/>
      <c r="AB27" s="129"/>
      <c r="AC27" s="129"/>
      <c r="AD27" s="130"/>
      <c r="AE27" s="130"/>
      <c r="AF27" s="131"/>
      <c r="AG27" s="123"/>
    </row>
    <row r="28" spans="1:33" ht="15.75">
      <c r="A28" s="122"/>
      <c r="B28" s="44"/>
      <c r="C28" s="44"/>
      <c r="D28" s="44"/>
      <c r="E28" s="123"/>
      <c r="F28" s="44"/>
      <c r="G28" s="124"/>
      <c r="H28" s="139"/>
      <c r="I28" s="125"/>
      <c r="J28" s="126"/>
      <c r="K28" s="132"/>
      <c r="L28" s="127"/>
      <c r="M28" s="125"/>
      <c r="N28" s="128"/>
      <c r="O28" s="124"/>
      <c r="P28" s="127"/>
      <c r="Q28" s="124"/>
      <c r="R28" s="127"/>
      <c r="S28" s="125"/>
      <c r="T28" s="128"/>
      <c r="U28" s="127"/>
      <c r="V28" s="127"/>
      <c r="W28" s="42"/>
      <c r="X28" s="129"/>
      <c r="Y28" s="129"/>
      <c r="Z28" s="129"/>
      <c r="AA28" s="129"/>
      <c r="AB28" s="129"/>
      <c r="AC28" s="129"/>
      <c r="AD28" s="130"/>
      <c r="AE28" s="130"/>
      <c r="AF28" s="131"/>
      <c r="AG28" s="123"/>
    </row>
    <row r="29" spans="1:33" ht="15.75">
      <c r="A29" s="122"/>
      <c r="B29" s="44"/>
      <c r="C29" s="44"/>
      <c r="D29" s="44"/>
      <c r="E29" s="123"/>
      <c r="F29" s="44"/>
      <c r="G29" s="124"/>
      <c r="H29" s="139"/>
      <c r="I29" s="125"/>
      <c r="J29" s="126"/>
      <c r="K29" s="132"/>
      <c r="L29" s="127"/>
      <c r="M29" s="125"/>
      <c r="N29" s="128"/>
      <c r="O29" s="124"/>
      <c r="P29" s="127"/>
      <c r="Q29" s="124"/>
      <c r="R29" s="127"/>
      <c r="S29" s="125"/>
      <c r="T29" s="128"/>
      <c r="U29" s="127"/>
      <c r="V29" s="127"/>
      <c r="W29" s="42"/>
      <c r="X29" s="129"/>
      <c r="Y29" s="129"/>
      <c r="Z29" s="129"/>
      <c r="AA29" s="129"/>
      <c r="AB29" s="129"/>
      <c r="AC29" s="129"/>
      <c r="AD29" s="130"/>
      <c r="AE29" s="130"/>
      <c r="AF29" s="131"/>
      <c r="AG29" s="123"/>
    </row>
    <row r="30" spans="1:33" ht="15.75">
      <c r="A30" s="122"/>
      <c r="B30" s="44"/>
      <c r="C30" s="44"/>
      <c r="D30" s="44"/>
      <c r="E30" s="123"/>
      <c r="F30" s="44"/>
      <c r="G30" s="124"/>
      <c r="H30" s="139"/>
      <c r="I30" s="125"/>
      <c r="J30" s="126"/>
      <c r="K30" s="132"/>
      <c r="L30" s="127"/>
      <c r="M30" s="125"/>
      <c r="N30" s="128"/>
      <c r="O30" s="124"/>
      <c r="P30" s="127"/>
      <c r="Q30" s="124"/>
      <c r="R30" s="127"/>
      <c r="S30" s="125"/>
      <c r="T30" s="128"/>
      <c r="U30" s="127"/>
      <c r="V30" s="127"/>
      <c r="W30" s="42"/>
      <c r="X30" s="129"/>
      <c r="Y30" s="129"/>
      <c r="Z30" s="129"/>
      <c r="AA30" s="129"/>
      <c r="AB30" s="129"/>
      <c r="AC30" s="129"/>
      <c r="AD30" s="130"/>
      <c r="AE30" s="130"/>
      <c r="AF30" s="131"/>
      <c r="AG30" s="123"/>
    </row>
    <row r="31" spans="1:33" ht="15.75">
      <c r="A31" s="122"/>
      <c r="B31" s="44"/>
      <c r="C31" s="44"/>
      <c r="D31" s="44"/>
      <c r="E31" s="123"/>
      <c r="F31" s="44"/>
      <c r="G31" s="124"/>
      <c r="H31" s="139"/>
      <c r="I31" s="125"/>
      <c r="J31" s="126"/>
      <c r="K31" s="132"/>
      <c r="L31" s="127"/>
      <c r="M31" s="125"/>
      <c r="N31" s="128"/>
      <c r="O31" s="124"/>
      <c r="P31" s="127"/>
      <c r="Q31" s="124"/>
      <c r="R31" s="127"/>
      <c r="S31" s="125"/>
      <c r="T31" s="128"/>
      <c r="U31" s="127"/>
      <c r="V31" s="127"/>
      <c r="W31" s="42"/>
      <c r="X31" s="129"/>
      <c r="Y31" s="129"/>
      <c r="Z31" s="129"/>
      <c r="AA31" s="129"/>
      <c r="AB31" s="129"/>
      <c r="AC31" s="129"/>
      <c r="AD31" s="130"/>
      <c r="AE31" s="130"/>
      <c r="AF31" s="131"/>
      <c r="AG31" s="123"/>
    </row>
    <row r="32" spans="1:33" ht="15.75">
      <c r="A32" s="122"/>
      <c r="B32" s="44"/>
      <c r="C32" s="44"/>
      <c r="D32" s="44"/>
      <c r="E32" s="123"/>
      <c r="F32" s="44"/>
      <c r="G32" s="124"/>
      <c r="H32" s="139"/>
      <c r="I32" s="125"/>
      <c r="J32" s="126"/>
      <c r="K32" s="132"/>
      <c r="L32" s="127"/>
      <c r="M32" s="125"/>
      <c r="N32" s="128"/>
      <c r="O32" s="124"/>
      <c r="P32" s="127"/>
      <c r="Q32" s="124"/>
      <c r="R32" s="127"/>
      <c r="S32" s="125"/>
      <c r="T32" s="128"/>
      <c r="U32" s="127"/>
      <c r="V32" s="127"/>
      <c r="W32" s="42"/>
      <c r="X32" s="129"/>
      <c r="Y32" s="129"/>
      <c r="Z32" s="129"/>
      <c r="AA32" s="129"/>
      <c r="AB32" s="129"/>
      <c r="AC32" s="129"/>
      <c r="AD32" s="130"/>
      <c r="AE32" s="130"/>
      <c r="AF32" s="131"/>
      <c r="AG32" s="123"/>
    </row>
    <row r="33" spans="1:33" ht="15.75">
      <c r="A33" s="25"/>
      <c r="B33" s="25"/>
      <c r="C33" s="25"/>
      <c r="D33" s="25"/>
      <c r="E33" s="43"/>
      <c r="F33" s="25"/>
      <c r="G33" s="25"/>
      <c r="H33" s="137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43"/>
    </row>
    <row r="34" spans="1:33" ht="15.75">
      <c r="A34" s="25"/>
      <c r="B34" s="25"/>
      <c r="C34" s="25"/>
      <c r="D34" s="25"/>
      <c r="E34" s="43"/>
      <c r="F34" s="25"/>
      <c r="G34" s="25"/>
      <c r="H34" s="137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43"/>
    </row>
    <row r="35" spans="1:33" ht="15.75">
      <c r="A35" s="25"/>
      <c r="B35" s="25"/>
      <c r="C35" s="25"/>
      <c r="D35" s="25"/>
      <c r="E35" s="43"/>
      <c r="F35" s="25"/>
      <c r="G35" s="25"/>
      <c r="H35" s="137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43"/>
    </row>
    <row r="36" spans="1:33" ht="15.75">
      <c r="A36" s="25"/>
      <c r="B36" s="25"/>
      <c r="C36" s="25"/>
      <c r="D36" s="25"/>
      <c r="E36" s="43"/>
      <c r="F36" s="25"/>
      <c r="G36" s="25"/>
      <c r="H36" s="137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43"/>
    </row>
    <row r="37" spans="1:33" ht="15.75">
      <c r="A37" s="25"/>
      <c r="B37" s="25"/>
      <c r="C37" s="25"/>
      <c r="D37" s="25"/>
      <c r="E37" s="43"/>
      <c r="F37" s="25"/>
      <c r="G37" s="25"/>
      <c r="H37" s="137"/>
      <c r="I37" s="25"/>
      <c r="J37" s="25">
        <f>1330-8</f>
        <v>1322</v>
      </c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43"/>
    </row>
    <row r="38" spans="1:33" ht="15.75">
      <c r="A38" s="25"/>
      <c r="B38" s="25"/>
      <c r="C38" s="25"/>
      <c r="D38" s="25"/>
      <c r="E38" s="43"/>
      <c r="F38" s="25"/>
      <c r="G38" s="25"/>
      <c r="H38" s="137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43"/>
    </row>
    <row r="39" spans="1:33" ht="15.75">
      <c r="A39" s="25"/>
      <c r="B39" s="25"/>
      <c r="C39" s="25"/>
      <c r="D39" s="25"/>
      <c r="E39" s="43"/>
      <c r="F39" s="25"/>
      <c r="G39" s="25"/>
      <c r="H39" s="137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43"/>
    </row>
    <row r="40" spans="1:33" ht="15.75">
      <c r="A40" s="25"/>
      <c r="B40" s="25"/>
      <c r="C40" s="25"/>
      <c r="D40" s="25"/>
      <c r="E40" s="43"/>
      <c r="F40" s="25"/>
      <c r="G40" s="25"/>
      <c r="H40" s="137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43"/>
    </row>
    <row r="41" spans="1:33" ht="15.75">
      <c r="A41" s="25"/>
      <c r="B41" s="25"/>
      <c r="C41" s="25"/>
      <c r="D41" s="25"/>
      <c r="E41" s="43"/>
      <c r="F41" s="25"/>
      <c r="G41" s="25"/>
      <c r="H41" s="137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43"/>
    </row>
    <row r="42" spans="1:33" ht="15.75">
      <c r="A42" s="25"/>
      <c r="B42" s="25"/>
      <c r="C42" s="25"/>
      <c r="D42" s="25"/>
      <c r="E42" s="43"/>
      <c r="F42" s="25"/>
      <c r="G42" s="25"/>
      <c r="H42" s="137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43"/>
    </row>
    <row r="43" spans="1:33" ht="15.75">
      <c r="A43" s="25"/>
      <c r="B43" s="25"/>
      <c r="C43" s="25"/>
      <c r="D43" s="25"/>
      <c r="E43" s="43"/>
      <c r="F43" s="25"/>
      <c r="G43" s="25"/>
      <c r="H43" s="137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43"/>
    </row>
    <row r="44" spans="1:33" ht="15.75">
      <c r="A44" s="25"/>
      <c r="B44" s="25"/>
      <c r="C44" s="25"/>
      <c r="D44" s="25"/>
      <c r="E44" s="43"/>
      <c r="F44" s="25"/>
      <c r="G44" s="25"/>
      <c r="H44" s="137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43"/>
    </row>
    <row r="45" spans="1:33" ht="15.75">
      <c r="A45" s="25"/>
      <c r="B45" s="25"/>
      <c r="C45" s="25"/>
      <c r="D45" s="25"/>
      <c r="E45" s="43"/>
      <c r="F45" s="25"/>
      <c r="G45" s="25"/>
      <c r="H45" s="137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43"/>
    </row>
    <row r="46" spans="1:33" ht="15.75">
      <c r="A46" s="25"/>
      <c r="B46" s="25"/>
      <c r="C46" s="25"/>
      <c r="D46" s="25"/>
      <c r="E46" s="43"/>
      <c r="F46" s="25"/>
      <c r="G46" s="25"/>
      <c r="H46" s="137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43"/>
    </row>
    <row r="47" spans="1:33" ht="15.75">
      <c r="A47" s="25"/>
      <c r="B47" s="25"/>
      <c r="C47" s="25"/>
      <c r="D47" s="25"/>
      <c r="E47" s="43"/>
      <c r="F47" s="25"/>
      <c r="G47" s="25"/>
      <c r="H47" s="137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43"/>
    </row>
    <row r="48" spans="1:33" ht="15.75">
      <c r="A48" s="25"/>
      <c r="B48" s="25"/>
      <c r="C48" s="25"/>
      <c r="D48" s="25"/>
      <c r="E48" s="43"/>
      <c r="F48" s="25"/>
      <c r="G48" s="25"/>
      <c r="H48" s="137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43"/>
    </row>
    <row r="49" spans="1:33" ht="15.75">
      <c r="A49" s="25"/>
      <c r="B49" s="25"/>
      <c r="C49" s="25"/>
      <c r="D49" s="25"/>
      <c r="E49" s="43"/>
      <c r="F49" s="25"/>
      <c r="G49" s="25"/>
      <c r="H49" s="137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43"/>
    </row>
  </sheetData>
  <sheetProtection selectLockedCells="1"/>
  <protectedRanges>
    <protectedRange sqref="G7:V32 B9:E32 AG7:AG32 B7:C8 E7:E8" name="Rango1"/>
    <protectedRange sqref="AD7:AE32" name="Rango1_2"/>
    <protectedRange sqref="F7:F32 A7:A32" name="Rango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A24:D32 G19 F20:G32 B22:B23 H9:I32 F7:I8 X7:AC32 A9:D18 L7:V32 F9:G18 A7:C8">
    <cfRule type="expression" dxfId="9" priority="238" stopIfTrue="1">
      <formula>"SEVERSTAL"</formula>
    </cfRule>
  </conditionalFormatting>
  <conditionalFormatting sqref="E20:E32 AG7:AG32 AD7:AE32 E7:E18">
    <cfRule type="cellIs" dxfId="8" priority="239" stopIfTrue="1" operator="equal">
      <formula>"APROBADO"</formula>
    </cfRule>
    <cfRule type="cellIs" dxfId="7" priority="240" stopIfTrue="1" operator="equal">
      <formula>"ESPERA"</formula>
    </cfRule>
    <cfRule type="cellIs" dxfId="6" priority="241" stopIfTrue="1" operator="equal">
      <formula>"RECHAZADO"</formula>
    </cfRule>
  </conditionalFormatting>
  <conditionalFormatting sqref="F19 A19:D19">
    <cfRule type="expression" dxfId="5" priority="3" stopIfTrue="1">
      <formula>"SEVERSTAL"</formula>
    </cfRule>
  </conditionalFormatting>
  <conditionalFormatting sqref="E19">
    <cfRule type="cellIs" dxfId="4" priority="4" stopIfTrue="1" operator="equal">
      <formula>"APROBADO"</formula>
    </cfRule>
    <cfRule type="cellIs" dxfId="3" priority="5" stopIfTrue="1" operator="equal">
      <formula>"ESPERA"</formula>
    </cfRule>
    <cfRule type="cellIs" dxfId="2" priority="6" stopIfTrue="1" operator="equal">
      <formula>"RECHAZADO"</formula>
    </cfRule>
  </conditionalFormatting>
  <conditionalFormatting sqref="A20:D21 A22:A23 C22:D23">
    <cfRule type="expression" dxfId="1" priority="2" stopIfTrue="1">
      <formula>"SEVERSTAL"</formula>
    </cfRule>
  </conditionalFormatting>
  <conditionalFormatting sqref="D7:D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2022-05-17T22:56:25Z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