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865900DD-15E0-4C14-B26C-31791D8E7480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5" l="1"/>
  <c r="AD8" i="5" s="1"/>
  <c r="AA1" i="40516" l="1"/>
  <c r="W6" i="5" l="1"/>
  <c r="W7" i="5"/>
  <c r="W9" i="5"/>
  <c r="W10" i="5"/>
  <c r="W11" i="5"/>
  <c r="W12" i="5"/>
  <c r="W13" i="5"/>
  <c r="W14" i="5"/>
  <c r="W15" i="5"/>
  <c r="W16" i="5"/>
  <c r="AD4" i="5"/>
  <c r="AE4" i="5" s="1"/>
  <c r="AF3" i="5"/>
  <c r="AG3" i="5" s="1"/>
  <c r="AE3" i="5"/>
  <c r="AF4" i="5" l="1"/>
  <c r="AG4" i="5" s="1"/>
  <c r="AH1" i="40516" l="1"/>
  <c r="AD6" i="5" l="1"/>
  <c r="AD7" i="5"/>
  <c r="AD9" i="5"/>
  <c r="AD10" i="5"/>
  <c r="AD11" i="5"/>
  <c r="AD12" i="5"/>
  <c r="AD13" i="5"/>
  <c r="AD14" i="5"/>
  <c r="AD15" i="5"/>
  <c r="AD16" i="5"/>
</calcChain>
</file>

<file path=xl/sharedStrings.xml><?xml version="1.0" encoding="utf-8"?>
<sst xmlns="http://schemas.openxmlformats.org/spreadsheetml/2006/main" count="161" uniqueCount="118">
  <si>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</si>
  <si>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</si>
  <si>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</si>
  <si>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</si>
  <si>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</si>
  <si>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</si>
  <si>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</si>
  <si>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</si>
  <si>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</si>
  <si>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</si>
  <si>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</si>
  <si>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</si>
  <si>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</si>
  <si>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</si>
  <si>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</si>
  <si>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</si>
  <si>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</si>
  <si>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</si>
  <si>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</si>
  <si>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</si>
  <si>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</si>
  <si>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</si>
  <si>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</si>
  <si>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</si>
  <si>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</si>
  <si>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</si>
  <si>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</si>
  <si>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</si>
  <si>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</si>
  <si>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</si>
  <si>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</si>
  <si>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</si>
  <si>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</si>
  <si>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</si>
  <si>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</si>
  <si>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</si>
  <si>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</si>
  <si>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</si>
  <si>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</si>
  <si>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</si>
  <si>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</si>
  <si>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</si>
  <si>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</si>
  <si>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</si>
  <si>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</si>
  <si>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</si>
  <si>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</si>
  <si>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</si>
  <si>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</si>
  <si>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</si>
  <si>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</si>
  <si>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</si>
  <si>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</si>
  <si>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</si>
  <si>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</si>
  <si>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</si>
  <si>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</si>
  <si>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</si>
  <si>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</si>
  <si>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</si>
  <si>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</si>
  <si>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</si>
  <si>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</si>
  <si>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</si>
  <si>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</si>
  <si>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</si>
  <si>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</si>
  <si>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</si>
  <si>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</si>
  <si>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</si>
  <si>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</si>
  <si>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</si>
  <si>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</si>
  <si>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</si>
  <si>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</si>
  <si>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</si>
  <si>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</si>
  <si>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</si>
  <si>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</si>
  <si>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</si>
  <si>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</si>
  <si>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</si>
  <si>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</si>
  <si>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</si>
  <si>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</si>
  <si>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</si>
  <si>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</si>
  <si>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</si>
  <si>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</si>
  <si>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</si>
  <si>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</si>
  <si>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</si>
  <si>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</si>
  <si>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</si>
  <si>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</si>
  <si>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</si>
  <si>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</si>
  <si>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°C</t>
  </si>
  <si>
    <t>Temp.Tubo Prom.</t>
  </si>
  <si>
    <t>Tamsa</t>
  </si>
  <si>
    <t>TPC 133, 63  x 16, 36 mm P110 ICY</t>
  </si>
  <si>
    <t>02/0221</t>
  </si>
  <si>
    <t>1 al 60</t>
  </si>
  <si>
    <t>1 al 82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</si>
  <si>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</si>
  <si>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</si>
  <si>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</si>
  <si>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</si>
  <si>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</si>
  <si>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</si>
  <si>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</si>
  <si>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</si>
  <si>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</si>
  <si>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</si>
  <si>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</si>
  <si>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</si>
  <si>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>P110IC/ICY</t>
  </si>
  <si>
    <t>TPC 133,63 X 16,36 P110 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</si>
</sst>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u/>
      <sz val="20"/>
      <name val="Copperplate Gothic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4" fontId="47" fillId="0" borderId="0" xfId="0" quotePrefix="1" applyNumberFormat="1" applyFont="1"/>
    <xf numFmtId="14" fontId="47" fillId="0" borderId="0" xfId="0" applyNumberFormat="1" applyFont="1"/>
    <xf numFmtId="165" fontId="44" fillId="0" borderId="0" xfId="0" applyNumberFormat="1" applyFont="1" applyAlignment="1">
      <alignment horizontal="center"/>
    </xf>
    <xf numFmtId="0" fontId="49" fillId="0" borderId="20" xfId="0" applyFont="1" applyBorder="1"/>
    <xf numFmtId="165" fontId="49" fillId="0" borderId="20" xfId="0" applyNumberFormat="1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0" fontId="53" fillId="0" borderId="0" xfId="0" applyFont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3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5" fillId="6" borderId="21" xfId="0" applyFont="1" applyFill="1" applyBorder="1" applyAlignment="1" applyProtection="1">
      <alignment vertical="center"/>
      <protection hidden="1"/>
    </xf>
    <xf numFmtId="21" fontId="28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5" fillId="6" borderId="20" xfId="0" applyFont="1" applyFill="1" applyBorder="1" applyAlignment="1" applyProtection="1">
      <alignment vertical="center"/>
      <protection hidden="1"/>
    </xf>
    <xf numFmtId="0" fontId="41" fillId="6" borderId="20" xfId="0" applyFont="1" applyFill="1" applyBorder="1" applyAlignment="1" applyProtection="1">
      <alignment vertical="center"/>
      <protection hidden="1"/>
    </xf>
    <xf numFmtId="0" fontId="40" fillId="6" borderId="20" xfId="0" applyFont="1" applyFill="1" applyBorder="1" applyAlignment="1" applyProtection="1">
      <alignment vertical="center"/>
      <protection hidden="1"/>
    </xf>
    <xf numFmtId="21" fontId="40" fillId="6" borderId="20" xfId="0" applyNumberFormat="1" applyFont="1" applyFill="1" applyBorder="1" applyAlignment="1" applyProtection="1">
      <alignment horizontal="center" vertical="center"/>
      <protection hidden="1"/>
    </xf>
    <xf numFmtId="21" fontId="31" fillId="6" borderId="20" xfId="0" applyNumberFormat="1" applyFont="1" applyFill="1" applyBorder="1" applyAlignment="1" applyProtection="1">
      <alignment horizontal="center" vertical="center"/>
      <protection hidden="1"/>
    </xf>
    <xf numFmtId="21" fontId="28" fillId="6" borderId="18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15" fontId="54" fillId="0" borderId="3" xfId="0" applyNumberFormat="1" applyFont="1" applyBorder="1" applyAlignment="1">
      <alignment horizontal="center"/>
    </xf>
    <xf numFmtId="0" fontId="55" fillId="0" borderId="1" xfId="3" applyFont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55" fillId="0" borderId="24" xfId="0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4" borderId="0" xfId="0" applyFont="1" applyFill="1" applyAlignment="1">
      <alignment horizontal="center" vertical="center" wrapText="1"/>
    </xf>
    <xf numFmtId="3" fontId="62" fillId="0" borderId="23" xfId="2" applyNumberFormat="1" applyFont="1" applyFill="1" applyBorder="1" applyAlignment="1" applyProtection="1">
      <alignment horizontal="center"/>
      <protection locked="0"/>
    </xf>
    <xf numFmtId="2" fontId="37" fillId="0" borderId="1" xfId="0" applyNumberFormat="1" applyFont="1" applyBorder="1" applyAlignment="1">
      <alignment horizontal="center"/>
    </xf>
    <xf numFmtId="3" fontId="58" fillId="0" borderId="1" xfId="0" applyNumberFormat="1" applyFont="1" applyBorder="1" applyAlignment="1" applyProtection="1">
      <alignment horizontal="center"/>
      <protection locked="0"/>
    </xf>
    <xf numFmtId="0" fontId="42" fillId="4" borderId="0" xfId="0" applyFont="1" applyFill="1" applyAlignment="1">
      <alignment horizontal="center" vertical="center"/>
    </xf>
    <xf numFmtId="0" fontId="48" fillId="8" borderId="0" xfId="0" applyFont="1" applyFill="1" applyAlignment="1">
      <alignment horizontal="center"/>
    </xf>
    <xf numFmtId="0" fontId="43" fillId="8" borderId="0" xfId="0" applyFont="1" applyFill="1"/>
    <xf numFmtId="0" fontId="64" fillId="8" borderId="0" xfId="0" applyFont="1" applyFill="1" applyAlignment="1">
      <alignment horizontal="center"/>
    </xf>
    <xf numFmtId="0" fontId="44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Alignment="1">
      <alignment horizontal="right"/>
    </xf>
    <xf numFmtId="1" fontId="50" fillId="7" borderId="0" xfId="0" applyNumberFormat="1" applyFont="1" applyFill="1" applyAlignment="1">
      <alignment horizontal="center"/>
    </xf>
    <xf numFmtId="165" fontId="50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24" xfId="0" applyFont="1" applyFill="1" applyBorder="1" applyAlignment="1">
      <alignment horizontal="center"/>
    </xf>
    <xf numFmtId="3" fontId="55" fillId="7" borderId="3" xfId="2" applyNumberFormat="1" applyFont="1" applyFill="1" applyBorder="1" applyAlignment="1" applyProtection="1">
      <alignment horizontal="center"/>
      <protection locked="0"/>
    </xf>
    <xf numFmtId="3" fontId="55" fillId="7" borderId="23" xfId="2" applyNumberFormat="1" applyFont="1" applyFill="1" applyBorder="1" applyAlignment="1" applyProtection="1">
      <alignment horizontal="center"/>
      <protection locked="0"/>
    </xf>
    <xf numFmtId="3" fontId="55" fillId="7" borderId="3" xfId="0" applyNumberFormat="1" applyFont="1" applyFill="1" applyBorder="1" applyAlignment="1">
      <alignment horizontal="center"/>
    </xf>
    <xf numFmtId="0" fontId="38" fillId="0" borderId="0" xfId="4" applyFont="1"/>
    <xf numFmtId="0" fontId="38" fillId="0" borderId="0" xfId="4" applyFont="1" applyAlignment="1">
      <alignment horizontal="center" vertical="center"/>
    </xf>
    <xf numFmtId="0" fontId="69" fillId="9" borderId="29" xfId="4" applyFont="1" applyFill="1" applyBorder="1" applyAlignment="1">
      <alignment horizontal="center"/>
    </xf>
    <xf numFmtId="0" fontId="69" fillId="12" borderId="29" xfId="4" applyFont="1" applyFill="1" applyBorder="1" applyAlignment="1">
      <alignment horizontal="center"/>
    </xf>
    <xf numFmtId="0" fontId="69" fillId="13" borderId="30" xfId="4" applyFont="1" applyFill="1" applyBorder="1" applyAlignment="1">
      <alignment horizontal="center"/>
    </xf>
    <xf numFmtId="0" fontId="1" fillId="10" borderId="31" xfId="0" applyFont="1" applyFill="1" applyBorder="1" applyAlignment="1">
      <alignment horizontal="center" wrapText="1"/>
    </xf>
    <xf numFmtId="0" fontId="70" fillId="15" borderId="1" xfId="4" applyFont="1" applyFill="1" applyBorder="1" applyAlignment="1">
      <alignment horizontal="center" vertical="center" wrapText="1"/>
    </xf>
    <xf numFmtId="0" fontId="70" fillId="11" borderId="1" xfId="4" applyFont="1" applyFill="1" applyBorder="1" applyAlignment="1">
      <alignment horizontal="center" vertical="center" wrapText="1"/>
    </xf>
    <xf numFmtId="0" fontId="69" fillId="9" borderId="1" xfId="4" applyFont="1" applyFill="1" applyBorder="1" applyAlignment="1">
      <alignment horizontal="center" vertical="center" wrapText="1"/>
    </xf>
    <xf numFmtId="0" fontId="69" fillId="12" borderId="1" xfId="4" applyFont="1" applyFill="1" applyBorder="1" applyAlignment="1">
      <alignment horizontal="center" vertical="center" wrapText="1"/>
    </xf>
    <xf numFmtId="0" fontId="69" fillId="13" borderId="1" xfId="4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/>
    </xf>
    <xf numFmtId="0" fontId="0" fillId="0" borderId="1" xfId="0" applyBorder="1"/>
    <xf numFmtId="15" fontId="20" fillId="7" borderId="1" xfId="0" applyNumberFormat="1" applyFon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" fontId="37" fillId="7" borderId="1" xfId="0" applyNumberFormat="1" applyFont="1" applyFill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165" fontId="37" fillId="0" borderId="1" xfId="0" applyNumberFormat="1" applyFont="1" applyBorder="1" applyAlignment="1">
      <alignment horizontal="center"/>
    </xf>
    <xf numFmtId="0" fontId="0" fillId="2" borderId="1" xfId="0" applyFill="1" applyBorder="1"/>
    <xf numFmtId="0" fontId="73" fillId="0" borderId="0" xfId="0" applyFont="1" applyAlignment="1">
      <alignment horizontal="center" wrapText="1"/>
    </xf>
    <xf numFmtId="0" fontId="59" fillId="6" borderId="0" xfId="0" applyFont="1" applyFill="1" applyAlignment="1" applyProtection="1">
      <alignment horizontal="center" vertical="center"/>
      <protection hidden="1"/>
    </xf>
    <xf numFmtId="0" fontId="68" fillId="14" borderId="9" xfId="4" applyFont="1" applyFill="1" applyBorder="1" applyAlignment="1">
      <alignment horizontal="center" vertical="center" shrinkToFit="1"/>
    </xf>
    <xf numFmtId="0" fontId="68" fillId="14" borderId="8" xfId="4" applyFont="1" applyFill="1" applyBorder="1" applyAlignment="1">
      <alignment horizontal="center" vertical="center" shrinkToFit="1"/>
    </xf>
    <xf numFmtId="0" fontId="68" fillId="14" borderId="10" xfId="4" applyFont="1" applyFill="1" applyBorder="1" applyAlignment="1">
      <alignment horizontal="center" vertical="center" shrinkToFit="1"/>
    </xf>
    <xf numFmtId="0" fontId="68" fillId="14" borderId="11" xfId="4" applyFont="1" applyFill="1" applyBorder="1" applyAlignment="1">
      <alignment horizontal="center" vertical="center" shrinkToFit="1"/>
    </xf>
    <xf numFmtId="0" fontId="71" fillId="0" borderId="20" xfId="0" applyFont="1" applyBorder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69" fillId="13" borderId="29" xfId="4" applyFont="1" applyFill="1" applyBorder="1" applyAlignment="1">
      <alignment horizontal="center"/>
    </xf>
    <xf numFmtId="0" fontId="67" fillId="12" borderId="26" xfId="4" applyFont="1" applyFill="1" applyBorder="1" applyAlignment="1">
      <alignment horizontal="center"/>
    </xf>
    <xf numFmtId="0" fontId="66" fillId="9" borderId="25" xfId="4" applyFont="1" applyFill="1" applyBorder="1" applyAlignment="1">
      <alignment horizontal="center"/>
    </xf>
    <xf numFmtId="0" fontId="66" fillId="9" borderId="26" xfId="4" applyFont="1" applyFill="1" applyBorder="1" applyAlignment="1">
      <alignment horizontal="center"/>
    </xf>
    <xf numFmtId="0" fontId="67" fillId="13" borderId="26" xfId="4" applyFont="1" applyFill="1" applyBorder="1" applyAlignment="1">
      <alignment horizontal="center"/>
    </xf>
    <xf numFmtId="0" fontId="67" fillId="13" borderId="27" xfId="4" applyFont="1" applyFill="1" applyBorder="1" applyAlignment="1">
      <alignment horizontal="center"/>
    </xf>
    <xf numFmtId="0" fontId="69" fillId="9" borderId="28" xfId="4" applyFont="1" applyFill="1" applyBorder="1" applyAlignment="1">
      <alignment horizontal="center"/>
    </xf>
    <xf numFmtId="0" fontId="69" fillId="9" borderId="29" xfId="4" applyFont="1" applyFill="1" applyBorder="1" applyAlignment="1">
      <alignment horizontal="center"/>
    </xf>
    <xf numFmtId="0" fontId="68" fillId="14" borderId="15" xfId="4" applyFont="1" applyFill="1" applyBorder="1" applyAlignment="1">
      <alignment horizontal="center" vertical="center" shrinkToFit="1"/>
    </xf>
    <xf numFmtId="0" fontId="68" fillId="14" borderId="17" xfId="4" applyFont="1" applyFill="1" applyBorder="1" applyAlignment="1">
      <alignment horizontal="center" vertical="center" shrinkToFit="1"/>
    </xf>
    <xf numFmtId="0" fontId="65" fillId="11" borderId="16" xfId="4" applyFont="1" applyFill="1" applyBorder="1" applyAlignment="1">
      <alignment horizontal="center" vertical="center"/>
    </xf>
    <xf numFmtId="0" fontId="65" fillId="11" borderId="7" xfId="4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65" fillId="11" borderId="6" xfId="4" applyFont="1" applyFill="1" applyBorder="1" applyAlignment="1">
      <alignment horizontal="center" vertical="center"/>
    </xf>
    <xf numFmtId="0" fontId="65" fillId="11" borderId="15" xfId="4" applyFont="1" applyFill="1" applyBorder="1" applyAlignment="1">
      <alignment horizontal="center" vertical="center"/>
    </xf>
    <xf numFmtId="0" fontId="65" fillId="11" borderId="4" xfId="4" applyFont="1" applyFill="1" applyBorder="1" applyAlignment="1">
      <alignment horizontal="center" vertical="center"/>
    </xf>
    <xf numFmtId="0" fontId="68" fillId="11" borderId="6" xfId="4" applyFont="1" applyFill="1" applyBorder="1" applyAlignment="1">
      <alignment horizontal="center" vertical="center" shrinkToFit="1"/>
    </xf>
    <xf numFmtId="0" fontId="68" fillId="11" borderId="15" xfId="4" applyFont="1" applyFill="1" applyBorder="1" applyAlignment="1">
      <alignment horizontal="center" vertical="center" shrinkToFit="1"/>
    </xf>
    <xf numFmtId="0" fontId="57" fillId="5" borderId="20" xfId="0" applyFont="1" applyFill="1" applyBorder="1" applyAlignment="1">
      <alignment horizontal="center"/>
    </xf>
    <xf numFmtId="0" fontId="57" fillId="5" borderId="0" xfId="0" applyFont="1" applyFill="1" applyAlignment="1">
      <alignment horizontal="center"/>
    </xf>
    <xf numFmtId="0" fontId="42" fillId="5" borderId="6" xfId="0" applyFont="1" applyFill="1" applyBorder="1" applyAlignment="1">
      <alignment horizontal="center" vertical="center" wrapText="1"/>
    </xf>
    <xf numFmtId="0" fontId="42" fillId="5" borderId="15" xfId="0" applyFont="1" applyFill="1" applyBorder="1" applyAlignment="1">
      <alignment horizontal="center" vertical="center" wrapText="1"/>
    </xf>
    <xf numFmtId="0" fontId="42" fillId="5" borderId="17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FA3-44D8-8BBF-C5B00CFF46E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FA3-44D8-8BBF-C5B00CFF46E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FA3-44D8-8BBF-C5B00CFF46E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FA3-44D8-8BBF-C5B00CFF46E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FA3-44D8-8BBF-C5B00CFF46E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FA3-44D8-8BBF-C5B00CFF4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2160"/>
        <c:axId val="723462648"/>
      </c:barChart>
      <c:catAx>
        <c:axId val="24888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4626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23462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88821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53C-4C70-8C1F-301DAA6458C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53C-4C70-8C1F-301DAA6458C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53C-4C70-8C1F-301DAA6458C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53C-4C70-8C1F-301DAA6458C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53C-4C70-8C1F-301DAA6458C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753C-4C70-8C1F-301DAA6458C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753C-4C70-8C1F-301DAA6458C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753C-4C70-8C1F-301DAA6458C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53C-4C70-8C1F-301DAA6458C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753C-4C70-8C1F-301DAA6458C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753C-4C70-8C1F-301DAA645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463432"/>
        <c:axId val="723463824"/>
      </c:lineChart>
      <c:catAx>
        <c:axId val="723463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463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3463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4634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11-4A56-BEC9-4B60144C71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511-4A56-BEC9-4B60144C71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11-4A56-BEC9-4B60144C71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11-4A56-BEC9-4B60144C71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11-4A56-BEC9-4B60144C71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511-4A56-BEC9-4B60144C71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511-4A56-BEC9-4B60144C71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11-4A56-BEC9-4B60144C71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11-4A56-BEC9-4B60144C71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511-4A56-BEC9-4B60144C71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511-4A56-BEC9-4B60144C71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11-4A56-BEC9-4B60144C71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511-4A56-BEC9-4B60144C71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511-4A56-BEC9-4B60144C7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045200"/>
        <c:axId val="600045592"/>
      </c:barChart>
      <c:catAx>
        <c:axId val="60004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0045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0045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0045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D-42C2-96BA-84996143D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D-42C2-96BA-84996143D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D-42C2-96BA-84996143D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D-42C2-96BA-84996143D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D-42C2-96BA-84996143D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D-42C2-96BA-84996143D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D-42C2-96BA-84996143D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D-42C2-96BA-84996143D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D-42C2-96BA-84996143D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D-42C2-96BA-84996143D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D-42C2-96BA-84996143D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D-42C2-96BA-84996143D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D-42C2-96BA-84996143D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D-42C2-96BA-84996143D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0596976"/>
        <c:axId val="730597368"/>
      </c:barChart>
      <c:catAx>
        <c:axId val="73059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0597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0597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0596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1A-409E-BF8A-39DCB7FAD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1A-409E-BF8A-39DCB7FAD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1A-409E-BF8A-39DCB7FAD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1A-409E-BF8A-39DCB7FAD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1A-409E-BF8A-39DCB7FAD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1A-409E-BF8A-39DCB7FAD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1A-409E-BF8A-39DCB7FAD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1A-409E-BF8A-39DCB7FAD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1A-409E-BF8A-39DCB7FAD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1A-409E-BF8A-39DCB7FAD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1A-409E-BF8A-39DCB7FAD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1A-409E-BF8A-39DCB7FAD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1A-409E-BF8A-39DCB7FAD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1A-409E-BF8A-39DCB7FAD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0598152"/>
        <c:axId val="730635496"/>
      </c:barChart>
      <c:catAx>
        <c:axId val="730598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0635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0635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0598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0F-4848-893B-B147A68DAB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0F-4848-893B-B147A68DAB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0F-4848-893B-B147A68DAB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0F-4848-893B-B147A68DAB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0F-4848-893B-B147A68DAB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0F-4848-893B-B147A68DAB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0F-4848-893B-B147A68DAB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0F-4848-893B-B147A68DAB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0F-4848-893B-B147A68DAB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0F-4848-893B-B147A68DAB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0F-4848-893B-B147A68DAB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0F-4848-893B-B147A68DAB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0F-4848-893B-B147A68DAB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0F-4848-893B-B147A68DA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0636280"/>
        <c:axId val="730636672"/>
      </c:barChart>
      <c:catAx>
        <c:axId val="730636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0636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0636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0636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8D-4089-B258-46A119272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8D-4089-B258-46A1192723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8D-4089-B258-46A119272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8D-4089-B258-46A119272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8D-4089-B258-46A119272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8D-4089-B258-46A1192723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8D-4089-B258-46A119272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8D-4089-B258-46A119272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8D-4089-B258-46A119272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8D-4089-B258-46A1192723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8D-4089-B258-46A119272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8D-4089-B258-46A119272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8D-4089-B258-46A119272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8D-4089-B258-46A119272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6572760"/>
        <c:axId val="776573152"/>
      </c:barChart>
      <c:catAx>
        <c:axId val="77657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65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6573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6572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1D-4B5C-BA68-BE087AA6D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1D-4B5C-BA68-BE087AA6DC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1D-4B5C-BA68-BE087AA6DC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1D-4B5C-BA68-BE087AA6DC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1D-4B5C-BA68-BE087AA6D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1D-4B5C-BA68-BE087AA6DC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1D-4B5C-BA68-BE087AA6DC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1D-4B5C-BA68-BE087AA6DC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1D-4B5C-BA68-BE087AA6D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1D-4B5C-BA68-BE087AA6DC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1D-4B5C-BA68-BE087AA6DC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1D-4B5C-BA68-BE087AA6DC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1D-4B5C-BA68-BE087AA6DC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1D-4B5C-BA68-BE087AA6D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6573936"/>
        <c:axId val="776574328"/>
      </c:barChart>
      <c:catAx>
        <c:axId val="77657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657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657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7657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7A-4095-B57E-79250A431A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7A-4095-B57E-79250A431A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7A-4095-B57E-79250A431A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7A-4095-B57E-79250A431A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7A-4095-B57E-79250A431A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7A-4095-B57E-79250A431A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7A-4095-B57E-79250A431A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7A-4095-B57E-79250A431A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7A-4095-B57E-79250A431A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7A-4095-B57E-79250A431A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7A-4095-B57E-79250A431A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7A-4095-B57E-79250A431A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7A-4095-B57E-79250A431A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7A-4095-B57E-79250A431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971640"/>
        <c:axId val="782972032"/>
      </c:barChart>
      <c:catAx>
        <c:axId val="782971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972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972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971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19-43AA-95A1-56316EEC9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19-43AA-95A1-56316EEC94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19-43AA-95A1-56316EEC94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19-43AA-95A1-56316EEC94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19-43AA-95A1-56316EEC9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19-43AA-95A1-56316EEC94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19-43AA-95A1-56316EEC94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19-43AA-95A1-56316EEC94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19-43AA-95A1-56316EEC9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19-43AA-95A1-56316EEC94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19-43AA-95A1-56316EEC94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19-43AA-95A1-56316EEC94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19-43AA-95A1-56316EEC9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19-43AA-95A1-56316EEC9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972816"/>
        <c:axId val="783042936"/>
      </c:barChart>
      <c:catAx>
        <c:axId val="78297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3042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3042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972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8B-41A1-9E86-A6832744D1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8B-41A1-9E86-A6832744D1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8B-41A1-9E86-A6832744D1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8B-41A1-9E86-A6832744D1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8B-41A1-9E86-A6832744D1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8B-41A1-9E86-A6832744D1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8B-41A1-9E86-A6832744D1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8B-41A1-9E86-A6832744D1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8B-41A1-9E86-A6832744D1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8B-41A1-9E86-A6832744D1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8B-41A1-9E86-A6832744D1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8B-41A1-9E86-A6832744D1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8B-41A1-9E86-A6832744D1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8B-41A1-9E86-A6832744D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3043720"/>
        <c:axId val="783044112"/>
      </c:barChart>
      <c:catAx>
        <c:axId val="783043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304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3044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3043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3C-4AEF-8586-A1102B711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3C-4AEF-8586-A1102B711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C-4AEF-8586-A1102B711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C-4AEF-8586-A1102B711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3C-4AEF-8586-A1102B711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3C-4AEF-8586-A1102B711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3C-4AEF-8586-A1102B711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3C-4AEF-8586-A1102B711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3C-4AEF-8586-A1102B711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3C-4AEF-8586-A1102B711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3C-4AEF-8586-A1102B711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3C-4AEF-8586-A1102B711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3C-4AEF-8586-A1102B711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3C-4AEF-8586-A1102B71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6593016"/>
        <c:axId val="736593408"/>
      </c:barChart>
      <c:catAx>
        <c:axId val="736593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593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6593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593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2E-47B9-B158-8D7945C1F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2E-47B9-B158-8D7945C1F9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2E-47B9-B158-8D7945C1F9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2E-47B9-B158-8D7945C1F9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2E-47B9-B158-8D7945C1F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2E-47B9-B158-8D7945C1F9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2E-47B9-B158-8D7945C1F9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2E-47B9-B158-8D7945C1F9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2E-47B9-B158-8D7945C1F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2E-47B9-B158-8D7945C1F9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2E-47B9-B158-8D7945C1F9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2E-47B9-B158-8D7945C1F9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2E-47B9-B158-8D7945C1F9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2E-47B9-B158-8D7945C1F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6594192"/>
        <c:axId val="736594584"/>
      </c:barChart>
      <c:catAx>
        <c:axId val="73659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594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6594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594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7E-4690-B0C0-432C6FB92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7E-4690-B0C0-432C6FB92D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7E-4690-B0C0-432C6FB92D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7E-4690-B0C0-432C6FB92D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7E-4690-B0C0-432C6FB92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7E-4690-B0C0-432C6FB92D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7E-4690-B0C0-432C6FB92D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7E-4690-B0C0-432C6FB92D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7E-4690-B0C0-432C6FB92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7E-4690-B0C0-432C6FB92D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7E-4690-B0C0-432C6FB92D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7E-4690-B0C0-432C6FB92D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7E-4690-B0C0-432C6FB92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7E-4690-B0C0-432C6FB92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6802312"/>
        <c:axId val="736802704"/>
      </c:barChart>
      <c:catAx>
        <c:axId val="73680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802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6802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802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9B-4A70-A5B2-773FA4724A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9B-4A70-A5B2-773FA4724A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B-4A70-A5B2-773FA4724A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9B-4A70-A5B2-773FA4724A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B-4A70-A5B2-773FA4724A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9B-4A70-A5B2-773FA4724A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9B-4A70-A5B2-773FA4724A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9B-4A70-A5B2-773FA4724A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9B-4A70-A5B2-773FA4724A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9B-4A70-A5B2-773FA4724A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9B-4A70-A5B2-773FA4724A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9B-4A70-A5B2-773FA4724A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9B-4A70-A5B2-773FA4724A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9B-4A70-A5B2-773FA4724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6803488"/>
        <c:axId val="782815288"/>
      </c:barChart>
      <c:catAx>
        <c:axId val="73680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81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803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2A-4E2A-9769-99D08D28CA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42A-4E2A-9769-99D08D28CA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2A-4E2A-9769-99D08D28CA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2A-4E2A-9769-99D08D28CA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2A-4E2A-9769-99D08D28CA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42A-4E2A-9769-99D08D28CA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2A-4E2A-9769-99D08D28CA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2A-4E2A-9769-99D08D28CA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2A-4E2A-9769-99D08D28CA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42A-4E2A-9769-99D08D28CA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2A-4E2A-9769-99D08D28CA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2A-4E2A-9769-99D08D28CA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2A-4E2A-9769-99D08D28CA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42A-4E2A-9769-99D08D28C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816072"/>
        <c:axId val="782816464"/>
      </c:barChart>
      <c:catAx>
        <c:axId val="78281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6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816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6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B7-4DEE-8B5D-73884C9C9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B7-4DEE-8B5D-73884C9C97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B7-4DEE-8B5D-73884C9C9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B7-4DEE-8B5D-73884C9C9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B7-4DEE-8B5D-73884C9C9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B7-4DEE-8B5D-73884C9C97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B7-4DEE-8B5D-73884C9C9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B7-4DEE-8B5D-73884C9C9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B7-4DEE-8B5D-73884C9C9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B7-4DEE-8B5D-73884C9C97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B7-4DEE-8B5D-73884C9C9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B7-4DEE-8B5D-73884C9C9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B7-4DEE-8B5D-73884C9C9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B7-4DEE-8B5D-73884C9C9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817336"/>
        <c:axId val="782817728"/>
      </c:barChart>
      <c:catAx>
        <c:axId val="782817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7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817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7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7-4783-86C0-41783064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7-4783-86C0-417830646A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7-4783-86C0-417830646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7-4783-86C0-417830646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7-4783-86C0-41783064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7-4783-86C0-417830646A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7-4783-86C0-417830646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7-4783-86C0-417830646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7-4783-86C0-41783064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7-4783-86C0-417830646A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7-4783-86C0-417830646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7-4783-86C0-417830646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7-4783-86C0-417830646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7-4783-86C0-417830646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818512"/>
        <c:axId val="782818904"/>
      </c:barChart>
      <c:catAx>
        <c:axId val="78281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818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82818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2A-4DF5-B645-31771DC1CA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2A-4DF5-B645-31771DC1CA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2A-4DF5-B645-31771DC1CA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2A-4DF5-B645-31771DC1CA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2A-4DF5-B645-31771DC1CA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2A-4DF5-B645-31771DC1CA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2A-4DF5-B645-31771DC1CA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2A-4DF5-B645-31771DC1CA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2A-4DF5-B645-31771DC1CA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2A-4DF5-B645-31771DC1CA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2A-4DF5-B645-31771DC1CA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2A-4DF5-B645-31771DC1CA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2A-4DF5-B645-31771DC1CA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2A-4DF5-B645-31771DC1C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620048"/>
        <c:axId val="737620440"/>
      </c:barChart>
      <c:catAx>
        <c:axId val="73762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620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7620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620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8-411A-972B-306E6C9B7A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8-411A-972B-306E6C9B7A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8-411A-972B-306E6C9B7A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8-411A-972B-306E6C9B7A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8-411A-972B-306E6C9B7A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8-411A-972B-306E6C9B7A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8-411A-972B-306E6C9B7A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8-411A-972B-306E6C9B7A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8-411A-972B-306E6C9B7A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8-411A-972B-306E6C9B7A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8-411A-972B-306E6C9B7A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8-411A-972B-306E6C9B7A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8-411A-972B-306E6C9B7A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8-411A-972B-306E6C9B7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621224"/>
        <c:axId val="737746000"/>
      </c:barChart>
      <c:catAx>
        <c:axId val="73762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4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774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621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85-465C-BBB4-2BC4D5BAC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85-465C-BBB4-2BC4D5BAC0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85-465C-BBB4-2BC4D5BAC0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85-465C-BBB4-2BC4D5BAC0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85-465C-BBB4-2BC4D5BAC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85-465C-BBB4-2BC4D5BAC0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85-465C-BBB4-2BC4D5BAC0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85-465C-BBB4-2BC4D5BAC0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85-465C-BBB4-2BC4D5BAC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85-465C-BBB4-2BC4D5BAC0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85-465C-BBB4-2BC4D5BAC0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85-465C-BBB4-2BC4D5BAC0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85-465C-BBB4-2BC4D5BAC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85-465C-BBB4-2BC4D5BAC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746784"/>
        <c:axId val="737747176"/>
      </c:barChart>
      <c:catAx>
        <c:axId val="73774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47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7747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46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DD-4937-BC62-2CE293FF7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DD-4937-BC62-2CE293FF75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DD-4937-BC62-2CE293FF75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DD-4937-BC62-2CE293FF75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DD-4937-BC62-2CE293FF7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DD-4937-BC62-2CE293FF75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DD-4937-BC62-2CE293FF75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DD-4937-BC62-2CE293FF75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DD-4937-BC62-2CE293FF7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DD-4937-BC62-2CE293FF75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DD-4937-BC62-2CE293FF75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DD-4937-BC62-2CE293FF75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DD-4937-BC62-2CE293FF7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DD-4937-BC62-2CE293FF7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793104"/>
        <c:axId val="737793496"/>
      </c:barChart>
      <c:catAx>
        <c:axId val="73779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779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98-499D-A300-9599353959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98-499D-A300-9599353959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98-499D-A300-9599353959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98-499D-A300-9599353959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98-499D-A300-9599353959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98-499D-A300-9599353959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98-499D-A300-9599353959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98-499D-A300-9599353959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98-499D-A300-9599353959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98-499D-A300-9599353959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98-499D-A300-9599353959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98-499D-A300-9599353959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98-499D-A300-9599353959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98-499D-A300-959935395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794280"/>
        <c:axId val="737794672"/>
      </c:barChart>
      <c:catAx>
        <c:axId val="73779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779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3F-4BE9-A945-5EBAD5D5D0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73F-4BE9-A945-5EBAD5D5D0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3F-4BE9-A945-5EBAD5D5D0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F-4BE9-A945-5EBAD5D5D0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3F-4BE9-A945-5EBAD5D5D0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73F-4BE9-A945-5EBAD5D5D0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3F-4BE9-A945-5EBAD5D5D0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3F-4BE9-A945-5EBAD5D5D0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3F-4BE9-A945-5EBAD5D5D0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73F-4BE9-A945-5EBAD5D5D0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73F-4BE9-A945-5EBAD5D5D0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3F-4BE9-A945-5EBAD5D5D0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73F-4BE9-A945-5EBAD5D5D0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73F-4BE9-A945-5EBAD5D5D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795456"/>
        <c:axId val="737795848"/>
      </c:barChart>
      <c:catAx>
        <c:axId val="73779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779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CB-48D2-AB45-5FFBD4CF9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CB-48D2-AB45-5FFBD4CF9A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CB-48D2-AB45-5FFBD4CF9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CB-48D2-AB45-5FFBD4CF9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CB-48D2-AB45-5FFBD4CF9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CB-48D2-AB45-5FFBD4CF9A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CB-48D2-AB45-5FFBD4CF9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CB-48D2-AB45-5FFBD4CF9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CB-48D2-AB45-5FFBD4CF9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CB-48D2-AB45-5FFBD4CF9A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CB-48D2-AB45-5FFBD4CF9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CB-48D2-AB45-5FFBD4CF9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CB-48D2-AB45-5FFBD4CF9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CB-48D2-AB45-5FFBD4CF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796632"/>
        <c:axId val="736148576"/>
      </c:barChart>
      <c:catAx>
        <c:axId val="73779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148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6148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779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33-4CBE-9DD7-629972850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33-4CBE-9DD7-629972850E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33-4CBE-9DD7-629972850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33-4CBE-9DD7-629972850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33-4CBE-9DD7-629972850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33-4CBE-9DD7-629972850E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33-4CBE-9DD7-629972850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33-4CBE-9DD7-629972850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33-4CBE-9DD7-629972850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33-4CBE-9DD7-629972850E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33-4CBE-9DD7-629972850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33-4CBE-9DD7-629972850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33-4CBE-9DD7-629972850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33-4CBE-9DD7-629972850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6149360"/>
        <c:axId val="736149752"/>
      </c:barChart>
      <c:catAx>
        <c:axId val="73614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149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6149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36149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128844</xdr:colOff>
      <xdr:row>0</xdr:row>
      <xdr:rowOff>181486</xdr:rowOff>
    </xdr:from>
    <xdr:to>
      <xdr:col>2</xdr:col>
      <xdr:colOff>119376</xdr:colOff>
      <xdr:row>2</xdr:row>
      <xdr:rowOff>235564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844" y="181486"/>
          <a:ext cx="953274" cy="7812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440404</xdr:colOff>
      <xdr:row>11</xdr:row>
      <xdr:rowOff>81936</xdr:rowOff>
    </xdr:from>
    <xdr:to>
      <xdr:col>11</xdr:col>
      <xdr:colOff>471130</xdr:colOff>
      <xdr:row>15</xdr:row>
      <xdr:rowOff>181609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82259" y="3308146"/>
          <a:ext cx="4578145" cy="878060"/>
        </a:xfrm>
        <a:prstGeom prst="rect">
          <a:avLst/>
        </a:prstGeom>
      </xdr:spPr>
    </xdr:pic>
    <xdr:clientData/>
  </xdr:twoCellAnchor>
  <xdr:twoCellAnchor>
    <xdr:from>
      <xdr:col>2</xdr:col>
      <xdr:colOff>327742</xdr:colOff>
      <xdr:row>0</xdr:row>
      <xdr:rowOff>194596</xdr:rowOff>
    </xdr:from>
    <xdr:to>
      <xdr:col>3</xdr:col>
      <xdr:colOff>614516</xdr:colOff>
      <xdr:row>2</xdr:row>
      <xdr:rowOff>204838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90484" y="194596"/>
          <a:ext cx="798871" cy="73741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0.66406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4"/>
      <c r="B1" s="35" t="s">
        <v>14</v>
      </c>
      <c r="C1" s="35"/>
      <c r="D1" s="3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6"/>
      <c r="V1" s="2"/>
      <c r="W1" s="2"/>
    </row>
    <row r="2" spans="1:23" ht="17.5" customHeight="1">
      <c r="A2" s="37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4"/>
      <c r="S2" s="34"/>
      <c r="T2" s="34"/>
      <c r="U2" s="36"/>
      <c r="V2" s="2"/>
      <c r="W2" s="2"/>
    </row>
    <row r="3" spans="1:23" ht="17.5" customHeight="1">
      <c r="A3" s="37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4"/>
      <c r="S3" s="34"/>
      <c r="T3" s="34"/>
      <c r="U3" s="36"/>
      <c r="V3" s="2"/>
      <c r="W3" s="2"/>
    </row>
    <row r="4" spans="1:23" ht="10.5" customHeight="1">
      <c r="A4" s="37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4"/>
      <c r="S4" s="34"/>
      <c r="T4" s="34"/>
      <c r="U4" s="36"/>
      <c r="V4" s="2"/>
      <c r="W4" s="2"/>
    </row>
    <row r="5" spans="1:23" ht="32.25" customHeight="1">
      <c r="A5" s="35"/>
      <c r="B5" s="89"/>
      <c r="C5" s="57"/>
      <c r="D5" s="57"/>
      <c r="E5" s="162" t="s">
        <v>66</v>
      </c>
      <c r="F5" s="162"/>
      <c r="G5" s="162"/>
      <c r="H5" s="162"/>
      <c r="I5" s="162"/>
      <c r="J5" s="162"/>
      <c r="K5" s="162"/>
      <c r="L5" s="162"/>
      <c r="M5" s="162"/>
      <c r="N5" s="58"/>
      <c r="O5" s="51"/>
      <c r="P5" s="51"/>
      <c r="Q5" s="90"/>
      <c r="R5" s="34"/>
      <c r="S5" s="34"/>
      <c r="T5" s="34"/>
      <c r="U5" s="36"/>
      <c r="V5" s="2"/>
      <c r="W5" s="2"/>
    </row>
    <row r="6" spans="1:23" ht="17.5" customHeight="1">
      <c r="A6" s="37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4"/>
      <c r="S6" s="34"/>
      <c r="T6" s="34"/>
      <c r="U6" s="36"/>
      <c r="V6" s="2"/>
      <c r="W6" s="2"/>
    </row>
    <row r="7" spans="1:23" ht="17.5" customHeight="1">
      <c r="A7" s="37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4"/>
      <c r="S7" s="34"/>
      <c r="T7" s="34"/>
      <c r="U7" s="36"/>
      <c r="V7" s="2"/>
      <c r="W7" s="2"/>
    </row>
    <row r="8" spans="1:23" ht="17.5" customHeight="1">
      <c r="A8" s="37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4"/>
      <c r="S8" s="34"/>
      <c r="T8" s="34"/>
      <c r="U8" s="36"/>
      <c r="V8" s="2"/>
      <c r="W8" s="2"/>
    </row>
    <row r="9" spans="1:23" ht="17.5" customHeight="1">
      <c r="A9" s="37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4"/>
      <c r="S9" s="34"/>
      <c r="T9" s="34"/>
      <c r="U9" s="36"/>
      <c r="V9" s="2"/>
      <c r="W9" s="2"/>
    </row>
    <row r="10" spans="1:23" ht="17.5" customHeight="1">
      <c r="A10" s="37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4"/>
      <c r="S10" s="34"/>
      <c r="T10" s="34"/>
      <c r="U10" s="36"/>
      <c r="V10" s="2"/>
      <c r="W10" s="2"/>
    </row>
    <row r="11" spans="1:23" ht="12" customHeight="1">
      <c r="A11" s="37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4"/>
      <c r="S11" s="34"/>
      <c r="T11" s="34"/>
      <c r="U11" s="36"/>
      <c r="V11" s="2"/>
      <c r="W11" s="2"/>
    </row>
    <row r="12" spans="1:23" ht="17.5" customHeight="1">
      <c r="A12" s="37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4"/>
      <c r="S12" s="34"/>
      <c r="T12" s="34"/>
      <c r="U12" s="36"/>
      <c r="V12" s="2"/>
      <c r="W12" s="2"/>
    </row>
    <row r="13" spans="1:23" ht="17.25" customHeight="1">
      <c r="A13" s="37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4"/>
      <c r="S13" s="34"/>
      <c r="T13" s="34"/>
      <c r="U13" s="36"/>
      <c r="V13" s="2"/>
      <c r="W13" s="2"/>
    </row>
    <row r="14" spans="1:23" ht="17.25" customHeight="1">
      <c r="A14" s="37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4"/>
      <c r="S14" s="34"/>
      <c r="T14" s="34"/>
      <c r="U14" s="36"/>
      <c r="V14" s="2"/>
      <c r="W14" s="2"/>
    </row>
    <row r="15" spans="1:23" ht="17.5" customHeight="1">
      <c r="A15" s="40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4"/>
      <c r="S15" s="34"/>
      <c r="T15" s="34"/>
      <c r="U15" s="36"/>
      <c r="V15" s="2"/>
      <c r="W15" s="2"/>
    </row>
    <row r="16" spans="1:23" ht="17.5" customHeight="1">
      <c r="A16" s="40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4"/>
      <c r="S16" s="34"/>
      <c r="T16" s="34"/>
      <c r="U16" s="36"/>
      <c r="V16" s="2"/>
      <c r="W16" s="2"/>
    </row>
    <row r="17" spans="1:23" ht="17.5" customHeight="1">
      <c r="A17" s="40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4"/>
      <c r="S17" s="34"/>
      <c r="T17" s="34"/>
      <c r="U17" s="36"/>
      <c r="V17" s="2"/>
      <c r="W17" s="2"/>
    </row>
    <row r="18" spans="1:23" ht="17.25" customHeight="1">
      <c r="A18" s="40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4"/>
      <c r="S18" s="34"/>
      <c r="T18" s="34"/>
      <c r="U18" s="36"/>
      <c r="V18" s="2"/>
      <c r="W18" s="2"/>
    </row>
    <row r="19" spans="1:23" ht="17.5" customHeight="1">
      <c r="A19" s="40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4"/>
      <c r="S19" s="34"/>
      <c r="T19" s="34"/>
      <c r="U19" s="36"/>
      <c r="V19" s="2"/>
      <c r="W19" s="2"/>
    </row>
    <row r="20" spans="1:23" ht="17.5" customHeight="1">
      <c r="A20" s="40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4"/>
      <c r="S20" s="34"/>
      <c r="T20" s="34"/>
      <c r="U20" s="36"/>
      <c r="V20" s="2"/>
      <c r="W20" s="2"/>
    </row>
    <row r="21" spans="1:23" ht="17.5" customHeight="1">
      <c r="A21" s="40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4"/>
      <c r="S21" s="34"/>
      <c r="T21" s="34"/>
      <c r="U21" s="36"/>
      <c r="V21" s="2"/>
      <c r="W21" s="2"/>
    </row>
    <row r="22" spans="1:23" ht="17.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6"/>
      <c r="V22" s="2"/>
      <c r="W22" s="2"/>
    </row>
    <row r="23" spans="1:23" ht="15" customHeight="1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8"/>
      <c r="S23" s="49"/>
      <c r="T23" s="49"/>
      <c r="U23" s="49"/>
      <c r="V23" s="2"/>
      <c r="W23" s="2"/>
    </row>
    <row r="24" spans="1:23" ht="15" customHeight="1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8"/>
      <c r="S24" s="49"/>
      <c r="T24" s="49"/>
      <c r="U24" s="49"/>
      <c r="V24" s="2"/>
      <c r="W24" s="2"/>
    </row>
    <row r="25" spans="1:23" ht="15" customHeight="1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8"/>
      <c r="S25" s="49"/>
      <c r="T25" s="49"/>
      <c r="U25" s="49"/>
      <c r="V25" s="2"/>
      <c r="W25" s="2"/>
    </row>
    <row r="26" spans="1:23" ht="14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8"/>
      <c r="S26" s="49"/>
      <c r="T26" s="49"/>
      <c r="U26" s="50"/>
    </row>
    <row r="27" spans="1:23" ht="14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8"/>
      <c r="S27" s="49"/>
      <c r="T27" s="49"/>
      <c r="U27" s="50"/>
    </row>
    <row r="28" spans="1:23" ht="14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 ht="14">
      <c r="B71" s="7" t="s">
        <v>24</v>
      </c>
    </row>
    <row r="72" spans="2:2" ht="14">
      <c r="B72" s="8" t="s">
        <v>26</v>
      </c>
    </row>
    <row r="73" spans="2:2" ht="14">
      <c r="B73" s="9" t="s">
        <v>30</v>
      </c>
    </row>
    <row r="74" spans="2:2" ht="14">
      <c r="B74" s="10"/>
    </row>
    <row r="76" spans="2:2" ht="14">
      <c r="B76" s="7" t="s">
        <v>24</v>
      </c>
    </row>
    <row r="77" spans="2:2" ht="14">
      <c r="B77" s="8" t="s">
        <v>27</v>
      </c>
    </row>
    <row r="78" spans="2:2" ht="14">
      <c r="B78" s="9" t="s">
        <v>31</v>
      </c>
    </row>
    <row r="79" spans="2:2" ht="14">
      <c r="B79" s="10"/>
    </row>
    <row r="81" spans="2:2" ht="14">
      <c r="B81" s="7" t="s">
        <v>32</v>
      </c>
    </row>
    <row r="82" spans="2:2" ht="14">
      <c r="B82" s="8" t="s">
        <v>21</v>
      </c>
    </row>
    <row r="83" spans="2:2" ht="14">
      <c r="B83" s="9" t="s">
        <v>28</v>
      </c>
    </row>
    <row r="84" spans="2:2" ht="14">
      <c r="B84" s="9" t="s">
        <v>33</v>
      </c>
    </row>
    <row r="85" spans="2:2" ht="14">
      <c r="B85" s="9" t="s">
        <v>34</v>
      </c>
    </row>
    <row r="86" spans="2:2" ht="14">
      <c r="B86" s="9" t="s">
        <v>35</v>
      </c>
    </row>
    <row r="87" spans="2:2" ht="14">
      <c r="B87" s="10" t="s">
        <v>36</v>
      </c>
    </row>
    <row r="88" spans="2:2" ht="14">
      <c r="B88" s="1"/>
    </row>
    <row r="89" spans="2:2" ht="14">
      <c r="B89" s="7" t="s">
        <v>37</v>
      </c>
    </row>
    <row r="90" spans="2:2" ht="14">
      <c r="B90" s="11">
        <v>23</v>
      </c>
    </row>
    <row r="91" spans="2:2" ht="14">
      <c r="B91" s="12">
        <v>27</v>
      </c>
    </row>
    <row r="92" spans="2:2" ht="14">
      <c r="B92" s="12">
        <v>31</v>
      </c>
    </row>
    <row r="93" spans="2:2" ht="14">
      <c r="B93" s="12">
        <v>41</v>
      </c>
    </row>
    <row r="94" spans="2:2" ht="14">
      <c r="B94" s="13" t="s">
        <v>38</v>
      </c>
    </row>
    <row r="95" spans="2:2" ht="14">
      <c r="B95" s="13" t="s">
        <v>39</v>
      </c>
    </row>
    <row r="96" spans="2:2" ht="14">
      <c r="B96" s="13" t="s">
        <v>29</v>
      </c>
    </row>
    <row r="97" spans="2:2" ht="14">
      <c r="B97" s="14" t="s">
        <v>40</v>
      </c>
    </row>
    <row r="98" spans="2:2" ht="14">
      <c r="B98" s="1"/>
    </row>
    <row r="99" spans="2:2" ht="14">
      <c r="B99" s="7" t="s">
        <v>25</v>
      </c>
    </row>
    <row r="100" spans="2:2" ht="14">
      <c r="B100" s="15">
        <v>190</v>
      </c>
    </row>
    <row r="101" spans="2:2" ht="14">
      <c r="B101" s="16">
        <v>217</v>
      </c>
    </row>
    <row r="102" spans="2:2" ht="14">
      <c r="B102" s="16">
        <v>250</v>
      </c>
    </row>
    <row r="103" spans="2:2" ht="14">
      <c r="B103" s="16">
        <v>254</v>
      </c>
    </row>
    <row r="104" spans="2:2" ht="14">
      <c r="B104" s="16">
        <v>271</v>
      </c>
    </row>
    <row r="105" spans="2:2" ht="14">
      <c r="B105" s="16">
        <v>304</v>
      </c>
    </row>
    <row r="106" spans="2:2" ht="14">
      <c r="B106" s="16">
        <v>317</v>
      </c>
    </row>
    <row r="107" spans="2:2" ht="14">
      <c r="B107" s="16">
        <v>362</v>
      </c>
    </row>
    <row r="108" spans="2:2" ht="14">
      <c r="B108" s="17"/>
    </row>
    <row r="109" spans="2:2" ht="14">
      <c r="B109" s="1"/>
    </row>
    <row r="110" spans="2:2" ht="14">
      <c r="B110" s="7" t="s">
        <v>41</v>
      </c>
    </row>
    <row r="111" spans="2:2" ht="14">
      <c r="B111" s="8" t="s">
        <v>42</v>
      </c>
    </row>
    <row r="112" spans="2:2" ht="14">
      <c r="B112" s="9" t="s">
        <v>43</v>
      </c>
    </row>
    <row r="113" spans="2:2" ht="14">
      <c r="B113" s="9" t="s">
        <v>44</v>
      </c>
    </row>
    <row r="114" spans="2:2" ht="14">
      <c r="B114" s="10" t="s">
        <v>15</v>
      </c>
    </row>
    <row r="250" spans="6:7" ht="14">
      <c r="G250" t="s">
        <v>45</v>
      </c>
    </row>
    <row r="252" spans="6:7" ht="14">
      <c r="F252">
        <v>0</v>
      </c>
      <c r="G252" t="s">
        <v>46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47</v>
      </c>
    </row>
    <row r="271" spans="5:6" ht="14">
      <c r="E271" t="s">
        <v>48</v>
      </c>
    </row>
    <row r="272" spans="5:6" ht="14">
      <c r="E272" t="s">
        <v>48</v>
      </c>
    </row>
    <row r="274" spans="5:5" ht="14">
      <c r="E274" t="s">
        <v>49</v>
      </c>
    </row>
    <row r="275" spans="5:5" ht="14">
      <c r="E275" t="s">
        <v>50</v>
      </c>
    </row>
    <row r="276" spans="5:5" ht="14">
      <c r="E276" t="s">
        <v>51</v>
      </c>
    </row>
    <row r="277" spans="5:5" ht="14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I16"/>
  <sheetViews>
    <sheetView showGridLines="0" tabSelected="1" zoomScale="70" zoomScaleNormal="70" workbookViewId="0">
      <pane xSplit="13" ySplit="4" topLeftCell="AB5" activePane="bottomRight" state="frozen"/>
      <selection pane="topRight" activeCell="G1" sqref="G1"/>
      <selection pane="bottomLeft" activeCell="A6" sqref="A6"/>
      <selection pane="bottomRight" activeCell="AB8" sqref="AB7:AB8"/>
    </sheetView>
  </sheetViews>
  <sheetFormatPr defaultColWidth="10.6640625" defaultRowHeight="14.25" customHeight="1"/>
  <cols>
    <col min="1" max="1" width="5.25" customWidth="1"/>
    <col min="2" max="2" width="7.33203125" customWidth="1"/>
    <col min="3" max="3" width="6.75" customWidth="1"/>
    <col min="4" max="4" width="10.58203125" bestFit="1" customWidth="1"/>
    <col min="5" max="5" width="12.33203125" customWidth="1"/>
    <col min="6" max="6" width="11" customWidth="1"/>
    <col min="7" max="7" width="10.5" bestFit="1" customWidth="1"/>
    <col min="8" max="9" width="9.75" customWidth="1"/>
    <col min="10" max="10" width="8.83203125" customWidth="1"/>
    <col min="11" max="11" width="9.58203125" customWidth="1"/>
    <col min="12" max="12" width="8.83203125" customWidth="1"/>
    <col min="13" max="13" width="10.33203125" customWidth="1"/>
    <col min="14" max="14" width="9.5" customWidth="1"/>
    <col min="15" max="15" width="10.25" customWidth="1"/>
    <col min="16" max="17" width="7.83203125" customWidth="1"/>
    <col min="18" max="18" width="8.83203125" customWidth="1"/>
    <col min="19" max="19" width="8.75" customWidth="1"/>
    <col min="20" max="20" width="7.58203125" customWidth="1"/>
    <col min="21" max="21" width="7.5" customWidth="1"/>
    <col min="22" max="22" width="7.25" customWidth="1"/>
    <col min="23" max="23" width="8.25" customWidth="1"/>
    <col min="28" max="28" width="15.08203125" customWidth="1"/>
  </cols>
  <sheetData>
    <row r="1" spans="1:35" ht="30" customHeight="1" thickBot="1">
      <c r="E1" s="161"/>
      <c r="F1" s="167" t="s">
        <v>18</v>
      </c>
      <c r="G1" s="167"/>
      <c r="H1" s="167"/>
      <c r="I1" s="167"/>
      <c r="J1" s="167"/>
      <c r="K1" s="167"/>
      <c r="L1" s="167"/>
      <c r="M1" s="167"/>
      <c r="N1" s="6"/>
      <c r="O1" s="181"/>
      <c r="P1" s="181"/>
      <c r="Q1" s="181"/>
      <c r="R1" s="181"/>
      <c r="S1" s="181"/>
      <c r="T1" s="181"/>
      <c r="U1" s="181"/>
      <c r="V1" s="181"/>
      <c r="W1" s="181"/>
      <c r="X1" s="3"/>
      <c r="Y1" s="3"/>
      <c r="Z1" s="3"/>
      <c r="AA1" s="3">
        <f>3600/150</f>
        <v>24</v>
      </c>
      <c r="AB1" s="3"/>
      <c r="AC1" s="3"/>
      <c r="AD1" s="3"/>
      <c r="AE1" s="3"/>
      <c r="AF1" s="3"/>
      <c r="AG1" s="3"/>
      <c r="AH1" s="3">
        <f>34*114/60</f>
        <v>64.599999999999994</v>
      </c>
      <c r="AI1" s="3"/>
    </row>
    <row r="2" spans="1:35" ht="28" thickBot="1">
      <c r="E2" s="138"/>
      <c r="F2" s="167" t="s">
        <v>19</v>
      </c>
      <c r="G2" s="167"/>
      <c r="H2" s="167"/>
      <c r="I2" s="167"/>
      <c r="J2" s="167"/>
      <c r="K2" s="167"/>
      <c r="L2" s="167"/>
      <c r="M2" s="167"/>
      <c r="N2" s="182" t="s">
        <v>104</v>
      </c>
      <c r="O2" s="183"/>
      <c r="P2" s="179" t="s">
        <v>105</v>
      </c>
      <c r="Q2" s="179"/>
      <c r="R2" s="179"/>
      <c r="S2" s="179"/>
      <c r="T2" s="179"/>
      <c r="U2" s="180"/>
      <c r="V2" s="184" t="s">
        <v>104</v>
      </c>
      <c r="W2" s="179"/>
      <c r="X2" s="171" t="s">
        <v>79</v>
      </c>
      <c r="Y2" s="172"/>
      <c r="Z2" s="172"/>
      <c r="AA2" s="172"/>
      <c r="AB2" s="170" t="s">
        <v>78</v>
      </c>
      <c r="AC2" s="170"/>
      <c r="AD2" s="173" t="s">
        <v>80</v>
      </c>
      <c r="AE2" s="173"/>
      <c r="AF2" s="173"/>
      <c r="AG2" s="173"/>
      <c r="AH2" s="174"/>
    </row>
    <row r="3" spans="1:35" ht="28">
      <c r="E3" s="139"/>
      <c r="F3" s="168" t="s">
        <v>117</v>
      </c>
      <c r="G3" s="168"/>
      <c r="H3" s="168"/>
      <c r="I3" s="168"/>
      <c r="J3" s="168"/>
      <c r="K3" s="168"/>
      <c r="L3" s="168"/>
      <c r="M3" s="168"/>
      <c r="N3" s="163" t="s">
        <v>106</v>
      </c>
      <c r="O3" s="164"/>
      <c r="P3" s="165" t="s">
        <v>65</v>
      </c>
      <c r="Q3" s="166"/>
      <c r="R3" s="165" t="s">
        <v>88</v>
      </c>
      <c r="S3" s="166"/>
      <c r="T3" s="177" t="s">
        <v>87</v>
      </c>
      <c r="U3" s="178"/>
      <c r="V3" s="185" t="s">
        <v>86</v>
      </c>
      <c r="W3" s="186"/>
      <c r="X3" s="175" t="s">
        <v>75</v>
      </c>
      <c r="Y3" s="176"/>
      <c r="Z3" s="140" t="s">
        <v>76</v>
      </c>
      <c r="AA3" s="140" t="s">
        <v>70</v>
      </c>
      <c r="AB3" s="141" t="s">
        <v>72</v>
      </c>
      <c r="AC3" s="141" t="s">
        <v>74</v>
      </c>
      <c r="AD3" s="169" t="s">
        <v>77</v>
      </c>
      <c r="AE3" s="169"/>
      <c r="AF3" s="169" t="s">
        <v>76</v>
      </c>
      <c r="AG3" s="169"/>
      <c r="AH3" s="142" t="s">
        <v>70</v>
      </c>
      <c r="AI3" s="143" t="s">
        <v>98</v>
      </c>
    </row>
    <row r="4" spans="1:35" ht="31">
      <c r="A4" s="144" t="s">
        <v>24</v>
      </c>
      <c r="B4" s="144" t="s">
        <v>107</v>
      </c>
      <c r="C4" s="144" t="s">
        <v>108</v>
      </c>
      <c r="D4" s="144" t="s">
        <v>20</v>
      </c>
      <c r="E4" s="144" t="s">
        <v>1</v>
      </c>
      <c r="F4" s="144" t="s">
        <v>109</v>
      </c>
      <c r="G4" s="144" t="s">
        <v>5</v>
      </c>
      <c r="H4" s="144" t="s">
        <v>110</v>
      </c>
      <c r="I4" s="144" t="s">
        <v>57</v>
      </c>
      <c r="J4" s="144" t="s">
        <v>111</v>
      </c>
      <c r="K4" s="144" t="s">
        <v>22</v>
      </c>
      <c r="L4" s="144" t="s">
        <v>23</v>
      </c>
      <c r="M4" s="144" t="s">
        <v>112</v>
      </c>
      <c r="N4" s="145" t="s">
        <v>17</v>
      </c>
      <c r="O4" s="145" t="s">
        <v>2</v>
      </c>
      <c r="P4" s="145" t="s">
        <v>17</v>
      </c>
      <c r="Q4" s="145" t="s">
        <v>2</v>
      </c>
      <c r="R4" s="145" t="s">
        <v>17</v>
      </c>
      <c r="S4" s="145" t="s">
        <v>2</v>
      </c>
      <c r="T4" s="145" t="s">
        <v>17</v>
      </c>
      <c r="U4" s="145" t="s">
        <v>2</v>
      </c>
      <c r="V4" s="145" t="s">
        <v>17</v>
      </c>
      <c r="W4" s="145" t="s">
        <v>2</v>
      </c>
      <c r="X4" s="146" t="s">
        <v>81</v>
      </c>
      <c r="Y4" s="146" t="s">
        <v>82</v>
      </c>
      <c r="Z4" s="146" t="s">
        <v>81</v>
      </c>
      <c r="AA4" s="146" t="s">
        <v>71</v>
      </c>
      <c r="AB4" s="147" t="s">
        <v>73</v>
      </c>
      <c r="AC4" s="147" t="s">
        <v>83</v>
      </c>
      <c r="AD4" s="148" t="s">
        <v>81</v>
      </c>
      <c r="AE4" s="148" t="s">
        <v>82</v>
      </c>
      <c r="AF4" s="148" t="s">
        <v>81</v>
      </c>
      <c r="AG4" s="148" t="s">
        <v>84</v>
      </c>
      <c r="AH4" s="148" t="s">
        <v>71</v>
      </c>
      <c r="AI4" s="149" t="s">
        <v>97</v>
      </c>
    </row>
    <row r="5" spans="1:35" ht="15.5">
      <c r="A5" s="150" t="s">
        <v>113</v>
      </c>
      <c r="B5" s="150">
        <v>133.63</v>
      </c>
      <c r="C5" s="150">
        <v>16.36</v>
      </c>
      <c r="D5" s="150" t="s">
        <v>116</v>
      </c>
      <c r="E5" s="151">
        <v>44228</v>
      </c>
      <c r="F5" s="152" t="s">
        <v>99</v>
      </c>
      <c r="G5" s="19">
        <v>12275</v>
      </c>
      <c r="H5" s="18">
        <v>56089</v>
      </c>
      <c r="I5" s="18">
        <v>4352950</v>
      </c>
      <c r="J5" s="153">
        <v>364</v>
      </c>
      <c r="K5" s="18">
        <v>54</v>
      </c>
      <c r="L5" s="119">
        <v>4.5</v>
      </c>
      <c r="M5" s="19">
        <v>9</v>
      </c>
      <c r="N5" s="154">
        <v>133.6</v>
      </c>
      <c r="O5" s="20">
        <v>143.1</v>
      </c>
      <c r="P5" s="20"/>
      <c r="Q5" s="20"/>
      <c r="R5" s="20"/>
      <c r="S5" s="20"/>
      <c r="T5" s="20"/>
      <c r="U5" s="20"/>
      <c r="V5" s="20">
        <v>131.69999999999999</v>
      </c>
      <c r="W5" s="20">
        <v>142.30000000000001</v>
      </c>
      <c r="X5" s="155">
        <v>860</v>
      </c>
      <c r="Y5" s="155">
        <v>800</v>
      </c>
      <c r="Z5" s="156">
        <v>930</v>
      </c>
      <c r="AA5" s="156">
        <v>150</v>
      </c>
      <c r="AB5" s="157">
        <v>0.1</v>
      </c>
      <c r="AC5" s="156">
        <v>1700</v>
      </c>
      <c r="AD5" s="156">
        <v>563</v>
      </c>
      <c r="AE5" s="156">
        <v>480</v>
      </c>
      <c r="AF5" s="156">
        <v>563</v>
      </c>
      <c r="AG5" s="156">
        <v>563</v>
      </c>
      <c r="AH5" s="156">
        <v>150</v>
      </c>
      <c r="AI5" s="150"/>
    </row>
    <row r="6" spans="1:35" ht="15.5">
      <c r="A6" s="150" t="s">
        <v>113</v>
      </c>
      <c r="B6" s="150">
        <v>133.63</v>
      </c>
      <c r="C6" s="150">
        <v>16.36</v>
      </c>
      <c r="D6" s="150" t="s">
        <v>116</v>
      </c>
      <c r="E6" s="151">
        <v>44228</v>
      </c>
      <c r="F6" s="152" t="s">
        <v>99</v>
      </c>
      <c r="G6" s="19">
        <v>12275</v>
      </c>
      <c r="H6" s="18">
        <v>56089</v>
      </c>
      <c r="I6" s="18">
        <v>4352950</v>
      </c>
      <c r="J6" s="153">
        <v>364</v>
      </c>
      <c r="K6" s="18">
        <v>54</v>
      </c>
      <c r="L6" s="119">
        <v>4.5</v>
      </c>
      <c r="M6" s="19">
        <v>36</v>
      </c>
      <c r="N6" s="154">
        <v>132.9</v>
      </c>
      <c r="O6" s="20">
        <v>143</v>
      </c>
      <c r="P6" s="20">
        <v>134</v>
      </c>
      <c r="Q6" s="20">
        <v>143.9</v>
      </c>
      <c r="R6" s="20">
        <v>134.69999999999999</v>
      </c>
      <c r="S6" s="20">
        <v>144.69999999999999</v>
      </c>
      <c r="T6" s="20">
        <v>135.4</v>
      </c>
      <c r="U6" s="20">
        <v>144.80000000000001</v>
      </c>
      <c r="V6" s="20">
        <v>132.80000000000001</v>
      </c>
      <c r="W6" s="20">
        <v>142.69999999999999</v>
      </c>
      <c r="X6" s="155">
        <v>860</v>
      </c>
      <c r="Y6" s="155">
        <v>800</v>
      </c>
      <c r="Z6" s="156">
        <v>930</v>
      </c>
      <c r="AA6" s="156">
        <v>150</v>
      </c>
      <c r="AB6" s="157">
        <v>0.1</v>
      </c>
      <c r="AC6" s="156">
        <v>1700</v>
      </c>
      <c r="AD6" s="156">
        <v>563</v>
      </c>
      <c r="AE6" s="156">
        <v>480</v>
      </c>
      <c r="AF6" s="156">
        <v>563</v>
      </c>
      <c r="AG6" s="156">
        <v>563</v>
      </c>
      <c r="AH6" s="156">
        <v>150</v>
      </c>
      <c r="AI6" s="150"/>
    </row>
    <row r="7" spans="1:35" ht="15.5">
      <c r="A7" s="150" t="s">
        <v>113</v>
      </c>
      <c r="B7" s="150">
        <v>133.63</v>
      </c>
      <c r="C7" s="150">
        <v>16.36</v>
      </c>
      <c r="D7" s="150" t="s">
        <v>116</v>
      </c>
      <c r="E7" s="151">
        <v>44228</v>
      </c>
      <c r="F7" s="152" t="s">
        <v>99</v>
      </c>
      <c r="G7" s="19">
        <v>12276</v>
      </c>
      <c r="H7" s="18">
        <v>56090</v>
      </c>
      <c r="I7" s="18">
        <v>4352950</v>
      </c>
      <c r="J7" s="153">
        <v>364</v>
      </c>
      <c r="K7" s="18">
        <v>53</v>
      </c>
      <c r="L7" s="119">
        <v>3.85</v>
      </c>
      <c r="M7" s="19">
        <v>15</v>
      </c>
      <c r="N7" s="154">
        <v>133.5</v>
      </c>
      <c r="O7" s="20">
        <v>143.4</v>
      </c>
      <c r="P7" s="20"/>
      <c r="Q7" s="20"/>
      <c r="R7" s="20"/>
      <c r="S7" s="20"/>
      <c r="T7" s="20"/>
      <c r="U7" s="20"/>
      <c r="V7" s="20">
        <v>132.9</v>
      </c>
      <c r="W7" s="20">
        <v>143.9</v>
      </c>
      <c r="X7" s="155">
        <v>860</v>
      </c>
      <c r="Y7" s="155">
        <v>800</v>
      </c>
      <c r="Z7" s="156">
        <v>930</v>
      </c>
      <c r="AA7" s="156">
        <v>150</v>
      </c>
      <c r="AB7" s="157">
        <v>0.1</v>
      </c>
      <c r="AC7" s="156">
        <v>1700</v>
      </c>
      <c r="AD7" s="156">
        <v>563</v>
      </c>
      <c r="AE7" s="156">
        <v>480</v>
      </c>
      <c r="AF7" s="156">
        <v>563</v>
      </c>
      <c r="AG7" s="156">
        <v>563</v>
      </c>
      <c r="AH7" s="156">
        <v>150</v>
      </c>
      <c r="AI7" s="150"/>
    </row>
    <row r="8" spans="1:35" ht="15.5">
      <c r="A8" s="150" t="s">
        <v>113</v>
      </c>
      <c r="B8" s="150">
        <v>133.63</v>
      </c>
      <c r="C8" s="150">
        <v>16.36</v>
      </c>
      <c r="D8" s="150" t="s">
        <v>116</v>
      </c>
      <c r="E8" s="151">
        <v>44228</v>
      </c>
      <c r="F8" s="152" t="s">
        <v>99</v>
      </c>
      <c r="G8" s="19">
        <v>12276</v>
      </c>
      <c r="H8" s="18">
        <v>56090</v>
      </c>
      <c r="I8" s="18">
        <v>4352950</v>
      </c>
      <c r="J8" s="153">
        <v>364</v>
      </c>
      <c r="K8" s="18">
        <v>53</v>
      </c>
      <c r="L8" s="119">
        <v>3.85</v>
      </c>
      <c r="M8" s="19">
        <v>34</v>
      </c>
      <c r="N8" s="154">
        <v>132.4</v>
      </c>
      <c r="O8" s="20">
        <v>144.1</v>
      </c>
      <c r="P8" s="20"/>
      <c r="Q8" s="20"/>
      <c r="R8" s="20"/>
      <c r="S8" s="20"/>
      <c r="T8" s="20"/>
      <c r="U8" s="20"/>
      <c r="V8" s="20">
        <v>132</v>
      </c>
      <c r="W8" s="20">
        <v>143.19999999999999</v>
      </c>
      <c r="X8" s="155">
        <v>860</v>
      </c>
      <c r="Y8" s="155">
        <v>800</v>
      </c>
      <c r="Z8" s="156">
        <v>930</v>
      </c>
      <c r="AA8" s="156">
        <v>150</v>
      </c>
      <c r="AB8" s="157">
        <v>0.1</v>
      </c>
      <c r="AC8" s="156">
        <v>1700</v>
      </c>
      <c r="AD8" s="156">
        <v>563</v>
      </c>
      <c r="AE8" s="156">
        <v>480</v>
      </c>
      <c r="AF8" s="156">
        <v>563</v>
      </c>
      <c r="AG8" s="156">
        <v>563</v>
      </c>
      <c r="AH8" s="156">
        <v>150</v>
      </c>
      <c r="AI8" s="150"/>
    </row>
    <row r="9" spans="1:35" ht="15.5">
      <c r="A9" s="150"/>
      <c r="B9" s="150"/>
      <c r="C9" s="150"/>
      <c r="D9" s="150"/>
      <c r="E9" s="152"/>
      <c r="F9" s="152"/>
      <c r="G9" s="19"/>
      <c r="H9" s="18"/>
      <c r="I9" s="18"/>
      <c r="J9" s="158"/>
      <c r="K9" s="18"/>
      <c r="L9" s="19"/>
      <c r="M9" s="19"/>
      <c r="N9" s="159"/>
      <c r="O9" s="20"/>
      <c r="P9" s="20"/>
      <c r="Q9" s="20"/>
      <c r="R9" s="20"/>
      <c r="S9" s="20"/>
      <c r="T9" s="20"/>
      <c r="U9" s="20"/>
      <c r="V9" s="19"/>
      <c r="W9" s="159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60"/>
    </row>
    <row r="10" spans="1:35" ht="15.5">
      <c r="A10" s="150"/>
      <c r="B10" s="150"/>
      <c r="C10" s="150"/>
      <c r="D10" s="150"/>
      <c r="E10" s="152"/>
      <c r="F10" s="152"/>
      <c r="G10" s="19"/>
      <c r="H10" s="18"/>
      <c r="I10" s="18"/>
      <c r="J10" s="158"/>
      <c r="K10" s="18"/>
      <c r="L10" s="19"/>
      <c r="M10" s="19"/>
      <c r="N10" s="159"/>
      <c r="O10" s="20"/>
      <c r="P10" s="20"/>
      <c r="Q10" s="20"/>
      <c r="R10" s="20"/>
      <c r="S10" s="20"/>
      <c r="T10" s="20"/>
      <c r="U10" s="20"/>
      <c r="V10" s="19"/>
      <c r="W10" s="159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60"/>
    </row>
    <row r="11" spans="1:35" ht="15.5">
      <c r="A11" s="150"/>
      <c r="B11" s="150"/>
      <c r="C11" s="150"/>
      <c r="D11" s="150"/>
      <c r="E11" s="152"/>
      <c r="F11" s="152"/>
      <c r="G11" s="19"/>
      <c r="H11" s="18"/>
      <c r="I11" s="18"/>
      <c r="J11" s="158"/>
      <c r="K11" s="18"/>
      <c r="L11" s="19"/>
      <c r="M11" s="19"/>
      <c r="N11" s="159"/>
      <c r="O11" s="20"/>
      <c r="P11" s="20"/>
      <c r="Q11" s="20"/>
      <c r="R11" s="20"/>
      <c r="S11" s="20"/>
      <c r="T11" s="20"/>
      <c r="U11" s="20"/>
      <c r="V11" s="19"/>
      <c r="W11" s="159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60"/>
    </row>
    <row r="12" spans="1:35" ht="15.5">
      <c r="A12" s="150"/>
      <c r="B12" s="150"/>
      <c r="C12" s="150"/>
      <c r="D12" s="150"/>
      <c r="E12" s="152"/>
      <c r="F12" s="152"/>
      <c r="G12" s="19"/>
      <c r="H12" s="18"/>
      <c r="I12" s="18"/>
      <c r="J12" s="158"/>
      <c r="K12" s="18"/>
      <c r="L12" s="19"/>
      <c r="M12" s="19"/>
      <c r="N12" s="159"/>
      <c r="O12" s="20"/>
      <c r="P12" s="20"/>
      <c r="Q12" s="20"/>
      <c r="R12" s="20"/>
      <c r="S12" s="20"/>
      <c r="T12" s="20"/>
      <c r="U12" s="20"/>
      <c r="V12" s="19"/>
      <c r="W12" s="159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60"/>
    </row>
    <row r="13" spans="1:35" ht="15.5">
      <c r="A13" s="150"/>
      <c r="B13" s="150"/>
      <c r="C13" s="150"/>
      <c r="D13" s="150"/>
      <c r="E13" s="152"/>
      <c r="F13" s="152"/>
      <c r="G13" s="19"/>
      <c r="H13" s="18"/>
      <c r="I13" s="18"/>
      <c r="J13" s="158"/>
      <c r="K13" s="18"/>
      <c r="L13" s="19"/>
      <c r="M13" s="19"/>
      <c r="N13" s="159"/>
      <c r="O13" s="20"/>
      <c r="P13" s="20"/>
      <c r="Q13" s="20"/>
      <c r="R13" s="20"/>
      <c r="S13" s="20"/>
      <c r="T13" s="20"/>
      <c r="U13" s="20"/>
      <c r="V13" s="19"/>
      <c r="W13" s="159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60"/>
    </row>
    <row r="14" spans="1:35" ht="15.5">
      <c r="A14" s="150"/>
      <c r="B14" s="150"/>
      <c r="C14" s="150"/>
      <c r="D14" s="150"/>
      <c r="E14" s="152"/>
      <c r="F14" s="152"/>
      <c r="G14" s="19"/>
      <c r="H14" s="18"/>
      <c r="I14" s="18"/>
      <c r="J14" s="158"/>
      <c r="K14" s="18"/>
      <c r="L14" s="19"/>
      <c r="M14" s="19"/>
      <c r="N14" s="159"/>
      <c r="O14" s="20"/>
      <c r="P14" s="20"/>
      <c r="Q14" s="20"/>
      <c r="R14" s="20"/>
      <c r="S14" s="20"/>
      <c r="T14" s="20"/>
      <c r="U14" s="20"/>
      <c r="V14" s="19"/>
      <c r="W14" s="159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60"/>
    </row>
    <row r="15" spans="1:35" ht="15.5">
      <c r="A15" s="150"/>
      <c r="B15" s="150"/>
      <c r="C15" s="150"/>
      <c r="D15" s="150"/>
      <c r="E15" s="152"/>
      <c r="F15" s="152"/>
      <c r="G15" s="19"/>
      <c r="H15" s="18"/>
      <c r="I15" s="18"/>
      <c r="J15" s="158"/>
      <c r="K15" s="18"/>
      <c r="L15" s="19"/>
      <c r="M15" s="19"/>
      <c r="N15" s="159"/>
      <c r="O15" s="20"/>
      <c r="P15" s="20"/>
      <c r="Q15" s="20"/>
      <c r="R15" s="20"/>
      <c r="S15" s="20"/>
      <c r="T15" s="20"/>
      <c r="U15" s="20"/>
      <c r="V15" s="19"/>
      <c r="W15" s="159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60"/>
    </row>
    <row r="16" spans="1:35" ht="15.5">
      <c r="A16" s="150"/>
      <c r="B16" s="150"/>
      <c r="C16" s="150"/>
      <c r="D16" s="150"/>
      <c r="E16" s="152"/>
      <c r="F16" s="152"/>
      <c r="G16" s="19"/>
      <c r="H16" s="18"/>
      <c r="I16" s="18"/>
      <c r="J16" s="158"/>
      <c r="K16" s="18"/>
      <c r="L16" s="19"/>
      <c r="M16" s="19"/>
      <c r="N16" s="159"/>
      <c r="O16" s="20"/>
      <c r="P16" s="20"/>
      <c r="Q16" s="20"/>
      <c r="R16" s="20"/>
      <c r="S16" s="20"/>
      <c r="T16" s="20"/>
      <c r="U16" s="20"/>
      <c r="V16" s="19"/>
      <c r="W16" s="159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60"/>
    </row>
  </sheetData>
  <protectedRanges>
    <protectedRange sqref="H9:I1162 K9:K1162" name="Rango1_1"/>
    <protectedRange sqref="H5:I8 K5:K8" name="Rango1_1_3"/>
  </protectedRanges>
  <autoFilter ref="A4:AI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H9:I16 K9:K16">
    <cfRule type="cellIs" dxfId="11" priority="131" stopIfTrue="1" operator="equal">
      <formula>"APROBADO"</formula>
    </cfRule>
    <cfRule type="cellIs" dxfId="10" priority="132" stopIfTrue="1" operator="equal">
      <formula>"ESPERA"</formula>
    </cfRule>
    <cfRule type="cellIs" dxfId="9" priority="133" stopIfTrue="1" operator="equal">
      <formula>"RECHAZADO"</formula>
    </cfRule>
  </conditionalFormatting>
  <conditionalFormatting sqref="E9:F16">
    <cfRule type="expression" dxfId="8" priority="71" stopIfTrue="1">
      <formula>"SEVERSTAL"</formula>
    </cfRule>
  </conditionalFormatting>
  <conditionalFormatting sqref="E5:F8">
    <cfRule type="expression" dxfId="7" priority="1" stopIfTrue="1">
      <formula>"SEVERSTAL"</formula>
    </cfRule>
  </conditionalFormatting>
  <conditionalFormatting sqref="H5:I8 K5:K8">
    <cfRule type="cellIs" dxfId="6" priority="2" stopIfTrue="1" operator="equal">
      <formula>"APROBADO"</formula>
    </cfRule>
    <cfRule type="cellIs" dxfId="5" priority="3" stopIfTrue="1" operator="equal">
      <formula>"ESPERA"</formula>
    </cfRule>
    <cfRule type="cellIs" dxfId="4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6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5" sqref="E15"/>
    </sheetView>
  </sheetViews>
  <sheetFormatPr defaultColWidth="10.6640625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8" customWidth="1"/>
    <col min="7" max="7" width="8.75" customWidth="1"/>
    <col min="8" max="8" width="12.83203125" customWidth="1"/>
    <col min="9" max="9" width="5.75" customWidth="1"/>
    <col min="10" max="10" width="6.58203125" customWidth="1"/>
    <col min="11" max="11" width="8.08203125" customWidth="1"/>
    <col min="12" max="12" width="5.75" customWidth="1"/>
    <col min="13" max="13" width="5.83203125" customWidth="1"/>
    <col min="14" max="14" width="5.75" customWidth="1"/>
    <col min="15" max="15" width="7.83203125" customWidth="1"/>
    <col min="16" max="16" width="6.58203125" customWidth="1"/>
    <col min="17" max="17" width="5.75" customWidth="1"/>
    <col min="18" max="19" width="5.58203125" customWidth="1"/>
    <col min="20" max="20" width="5.75" customWidth="1"/>
    <col min="21" max="21" width="6.58203125" customWidth="1"/>
    <col min="22" max="22" width="6.75" customWidth="1"/>
    <col min="23" max="23" width="10.25" customWidth="1"/>
    <col min="24" max="33" width="8.582031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13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5">
      <c r="A2" s="23"/>
      <c r="B2" s="24"/>
      <c r="C2" s="24"/>
      <c r="D2" s="24"/>
      <c r="E2" s="22"/>
      <c r="F2" s="25"/>
      <c r="G2" s="25"/>
      <c r="H2" s="114"/>
      <c r="I2" s="26"/>
      <c r="J2" s="27" t="s">
        <v>100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22"/>
      <c r="AB2" s="123"/>
      <c r="AC2" s="123"/>
      <c r="AD2" s="124" t="s">
        <v>91</v>
      </c>
      <c r="AE2" s="124" t="s">
        <v>92</v>
      </c>
      <c r="AF2" s="124" t="s">
        <v>93</v>
      </c>
      <c r="AG2" s="125" t="s">
        <v>94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6"/>
      <c r="I3" s="188" t="s">
        <v>55</v>
      </c>
      <c r="J3" s="188"/>
      <c r="K3" s="188"/>
      <c r="L3" s="188"/>
      <c r="M3" s="188"/>
      <c r="N3" s="188"/>
      <c r="O3" s="188"/>
      <c r="P3" s="187" t="s">
        <v>56</v>
      </c>
      <c r="Q3" s="187"/>
      <c r="R3" s="187"/>
      <c r="S3" s="187"/>
      <c r="T3" s="187"/>
      <c r="U3" s="187"/>
      <c r="V3" s="105"/>
      <c r="W3" s="22"/>
      <c r="X3" s="22"/>
      <c r="Y3" s="22"/>
      <c r="Z3" s="22"/>
      <c r="AA3" s="126"/>
      <c r="AB3" s="126"/>
      <c r="AC3" s="127" t="s">
        <v>95</v>
      </c>
      <c r="AD3" s="128">
        <v>150</v>
      </c>
      <c r="AE3" s="129">
        <f>22*AD3/60</f>
        <v>55</v>
      </c>
      <c r="AF3" s="129">
        <f>3600/AD3</f>
        <v>24</v>
      </c>
      <c r="AG3" s="130">
        <f>AF3*8</f>
        <v>192</v>
      </c>
    </row>
    <row r="4" spans="1:33" ht="21" customHeight="1">
      <c r="A4" s="29"/>
      <c r="B4" s="23"/>
      <c r="C4" s="23"/>
      <c r="D4" s="23"/>
      <c r="E4" s="23"/>
      <c r="F4" s="30"/>
      <c r="G4" s="31"/>
      <c r="H4" s="115"/>
      <c r="I4" s="190" t="s">
        <v>8</v>
      </c>
      <c r="J4" s="191"/>
      <c r="K4" s="189" t="s">
        <v>9</v>
      </c>
      <c r="L4" s="190"/>
      <c r="M4" s="190"/>
      <c r="N4" s="190"/>
      <c r="O4" s="191"/>
      <c r="P4" s="189" t="s">
        <v>13</v>
      </c>
      <c r="Q4" s="191"/>
      <c r="R4" s="189" t="s">
        <v>9</v>
      </c>
      <c r="S4" s="190"/>
      <c r="T4" s="190"/>
      <c r="U4" s="190"/>
      <c r="V4" s="106"/>
      <c r="W4" s="32"/>
      <c r="X4" s="22"/>
      <c r="Y4" s="22"/>
      <c r="Z4" s="22"/>
      <c r="AA4" s="126"/>
      <c r="AB4" s="126"/>
      <c r="AC4" s="127" t="s">
        <v>96</v>
      </c>
      <c r="AD4" s="128">
        <f>AD3</f>
        <v>150</v>
      </c>
      <c r="AE4" s="129">
        <f>34*AD4/60</f>
        <v>85</v>
      </c>
      <c r="AF4" s="129">
        <f>3600/AD4</f>
        <v>24</v>
      </c>
      <c r="AG4" s="130">
        <f>AF4*8</f>
        <v>192</v>
      </c>
    </row>
    <row r="5" spans="1:33" ht="56.25" customHeight="1">
      <c r="A5" s="21" t="s">
        <v>1</v>
      </c>
      <c r="B5" s="21" t="s">
        <v>4</v>
      </c>
      <c r="C5" s="21" t="s">
        <v>57</v>
      </c>
      <c r="D5" s="21" t="s">
        <v>114</v>
      </c>
      <c r="E5" s="21" t="s">
        <v>3</v>
      </c>
      <c r="F5" s="21" t="s">
        <v>5</v>
      </c>
      <c r="G5" s="21" t="s">
        <v>12</v>
      </c>
      <c r="H5" s="117" t="s">
        <v>68</v>
      </c>
      <c r="I5" s="21" t="s">
        <v>7</v>
      </c>
      <c r="J5" s="21" t="s">
        <v>61</v>
      </c>
      <c r="K5" s="21" t="s">
        <v>60</v>
      </c>
      <c r="L5" s="21" t="s">
        <v>10</v>
      </c>
      <c r="M5" s="21" t="s">
        <v>11</v>
      </c>
      <c r="N5" s="21" t="s">
        <v>16</v>
      </c>
      <c r="O5" s="21" t="s">
        <v>62</v>
      </c>
      <c r="P5" s="21" t="s">
        <v>63</v>
      </c>
      <c r="Q5" s="21" t="s">
        <v>7</v>
      </c>
      <c r="R5" s="21" t="s">
        <v>10</v>
      </c>
      <c r="S5" s="21" t="s">
        <v>11</v>
      </c>
      <c r="T5" s="21" t="s">
        <v>16</v>
      </c>
      <c r="U5" s="21" t="s">
        <v>64</v>
      </c>
      <c r="V5" s="21" t="s">
        <v>60</v>
      </c>
      <c r="W5" s="21" t="s">
        <v>0</v>
      </c>
      <c r="X5" s="21" t="s">
        <v>6</v>
      </c>
      <c r="Y5" s="21" t="s">
        <v>90</v>
      </c>
      <c r="Z5" s="21" t="s">
        <v>59</v>
      </c>
      <c r="AA5" s="21" t="s">
        <v>85</v>
      </c>
      <c r="AB5" s="21" t="s">
        <v>67</v>
      </c>
      <c r="AC5" s="21" t="s">
        <v>89</v>
      </c>
      <c r="AD5" s="21" t="s">
        <v>58</v>
      </c>
      <c r="AE5" s="21" t="s">
        <v>52</v>
      </c>
      <c r="AF5" s="121" t="s">
        <v>69</v>
      </c>
      <c r="AG5" s="21" t="s">
        <v>53</v>
      </c>
    </row>
    <row r="6" spans="1:33" ht="15.5">
      <c r="A6" s="107" t="s">
        <v>101</v>
      </c>
      <c r="B6" s="33">
        <v>1</v>
      </c>
      <c r="C6" s="33">
        <v>4352950</v>
      </c>
      <c r="D6" s="33" t="s">
        <v>115</v>
      </c>
      <c r="E6" s="108">
        <v>56089</v>
      </c>
      <c r="F6" s="33">
        <v>12275</v>
      </c>
      <c r="G6" s="109">
        <v>60</v>
      </c>
      <c r="H6" s="118" t="s">
        <v>102</v>
      </c>
      <c r="I6" s="132">
        <v>0</v>
      </c>
      <c r="J6" s="133">
        <v>0</v>
      </c>
      <c r="K6" s="134">
        <v>0</v>
      </c>
      <c r="L6" s="135">
        <v>0</v>
      </c>
      <c r="M6" s="132">
        <v>0</v>
      </c>
      <c r="N6" s="136">
        <v>0</v>
      </c>
      <c r="O6" s="131">
        <v>0</v>
      </c>
      <c r="P6" s="135">
        <v>0</v>
      </c>
      <c r="Q6" s="131">
        <v>0</v>
      </c>
      <c r="R6" s="135">
        <v>0</v>
      </c>
      <c r="S6" s="132">
        <v>0</v>
      </c>
      <c r="T6" s="136">
        <v>0</v>
      </c>
      <c r="U6" s="135">
        <v>0</v>
      </c>
      <c r="V6" s="135">
        <v>0</v>
      </c>
      <c r="W6" s="137">
        <f t="shared" ref="W6:W16" si="0">+G6-(SUM(I6:N6,P6,Q6,R6,S6,T6,V6))</f>
        <v>60</v>
      </c>
      <c r="X6" s="110"/>
      <c r="Y6" s="110"/>
      <c r="Z6" s="110"/>
      <c r="AA6" s="110"/>
      <c r="AB6" s="110"/>
      <c r="AC6" s="110"/>
      <c r="AD6" s="120">
        <f t="shared" ref="AD6:AD16" si="1">W6-SUM(Z6+AC6)</f>
        <v>60</v>
      </c>
      <c r="AE6" s="111"/>
      <c r="AF6" s="112"/>
      <c r="AG6" s="108"/>
    </row>
    <row r="7" spans="1:33" ht="15.5">
      <c r="A7" s="107" t="s">
        <v>101</v>
      </c>
      <c r="B7" s="33">
        <v>1</v>
      </c>
      <c r="C7" s="33">
        <v>4352950</v>
      </c>
      <c r="D7" s="33" t="s">
        <v>115</v>
      </c>
      <c r="E7" s="108">
        <v>56090</v>
      </c>
      <c r="F7" s="33">
        <v>12276</v>
      </c>
      <c r="G7" s="109">
        <v>30</v>
      </c>
      <c r="H7" s="118" t="s">
        <v>103</v>
      </c>
      <c r="I7" s="132">
        <v>0</v>
      </c>
      <c r="J7" s="133">
        <v>0</v>
      </c>
      <c r="K7" s="134">
        <v>0</v>
      </c>
      <c r="L7" s="135">
        <v>0</v>
      </c>
      <c r="M7" s="132">
        <v>0</v>
      </c>
      <c r="N7" s="136">
        <v>0</v>
      </c>
      <c r="O7" s="131">
        <v>0</v>
      </c>
      <c r="P7" s="135">
        <v>0</v>
      </c>
      <c r="Q7" s="131">
        <v>0</v>
      </c>
      <c r="R7" s="135">
        <v>0</v>
      </c>
      <c r="S7" s="132">
        <v>0</v>
      </c>
      <c r="T7" s="136">
        <v>0</v>
      </c>
      <c r="U7" s="135">
        <v>0</v>
      </c>
      <c r="V7" s="135">
        <v>0</v>
      </c>
      <c r="W7" s="137">
        <f t="shared" si="0"/>
        <v>30</v>
      </c>
      <c r="X7" s="110"/>
      <c r="Y7" s="110"/>
      <c r="Z7" s="110"/>
      <c r="AA7" s="110"/>
      <c r="AB7" s="110"/>
      <c r="AC7" s="110"/>
      <c r="AD7" s="120">
        <f t="shared" si="1"/>
        <v>30</v>
      </c>
      <c r="AE7" s="111"/>
      <c r="AF7" s="112"/>
      <c r="AG7" s="108"/>
    </row>
    <row r="8" spans="1:33" ht="15.5">
      <c r="A8" s="107" t="s">
        <v>101</v>
      </c>
      <c r="B8" s="33">
        <v>2</v>
      </c>
      <c r="C8" s="33">
        <v>4352950</v>
      </c>
      <c r="D8" s="33" t="s">
        <v>115</v>
      </c>
      <c r="E8" s="108">
        <v>56090</v>
      </c>
      <c r="F8" s="33">
        <v>12276</v>
      </c>
      <c r="G8" s="109">
        <v>52</v>
      </c>
      <c r="H8" s="118" t="s">
        <v>103</v>
      </c>
      <c r="I8" s="132">
        <v>0</v>
      </c>
      <c r="J8" s="133">
        <v>0</v>
      </c>
      <c r="K8" s="134">
        <v>0</v>
      </c>
      <c r="L8" s="135">
        <v>0</v>
      </c>
      <c r="M8" s="132">
        <v>0</v>
      </c>
      <c r="N8" s="136">
        <v>0</v>
      </c>
      <c r="O8" s="131">
        <v>0</v>
      </c>
      <c r="P8" s="135">
        <v>0</v>
      </c>
      <c r="Q8" s="131">
        <v>0</v>
      </c>
      <c r="R8" s="135">
        <v>0</v>
      </c>
      <c r="S8" s="132">
        <v>0</v>
      </c>
      <c r="T8" s="136">
        <v>0</v>
      </c>
      <c r="U8" s="135">
        <v>0</v>
      </c>
      <c r="V8" s="135">
        <v>0</v>
      </c>
      <c r="W8" s="137">
        <f t="shared" ref="W8" si="2">+G8-(SUM(I8:N8,P8,Q8,R8,S8,T8,V8))</f>
        <v>52</v>
      </c>
      <c r="X8" s="110"/>
      <c r="Y8" s="110"/>
      <c r="Z8" s="110"/>
      <c r="AA8" s="110"/>
      <c r="AB8" s="110"/>
      <c r="AC8" s="110"/>
      <c r="AD8" s="120">
        <f t="shared" ref="AD8" si="3">W8-SUM(Z8+AC8)</f>
        <v>52</v>
      </c>
      <c r="AE8" s="111"/>
      <c r="AF8" s="112"/>
      <c r="AG8" s="108"/>
    </row>
    <row r="9" spans="1:33" ht="15.5">
      <c r="A9" s="107"/>
      <c r="B9" s="33"/>
      <c r="C9" s="33"/>
      <c r="D9" s="33"/>
      <c r="E9" s="108"/>
      <c r="F9" s="33"/>
      <c r="G9" s="109"/>
      <c r="H9" s="118"/>
      <c r="I9" s="132">
        <v>0</v>
      </c>
      <c r="J9" s="133">
        <v>0</v>
      </c>
      <c r="K9" s="134">
        <v>0</v>
      </c>
      <c r="L9" s="135">
        <v>0</v>
      </c>
      <c r="M9" s="132">
        <v>0</v>
      </c>
      <c r="N9" s="136">
        <v>0</v>
      </c>
      <c r="O9" s="131">
        <v>0</v>
      </c>
      <c r="P9" s="135">
        <v>0</v>
      </c>
      <c r="Q9" s="131">
        <v>0</v>
      </c>
      <c r="R9" s="135">
        <v>0</v>
      </c>
      <c r="S9" s="132">
        <v>0</v>
      </c>
      <c r="T9" s="136">
        <v>0</v>
      </c>
      <c r="U9" s="135">
        <v>0</v>
      </c>
      <c r="V9" s="135">
        <v>0</v>
      </c>
      <c r="W9" s="137">
        <f t="shared" si="0"/>
        <v>0</v>
      </c>
      <c r="X9" s="110"/>
      <c r="Y9" s="110"/>
      <c r="Z9" s="110"/>
      <c r="AA9" s="110"/>
      <c r="AB9" s="110"/>
      <c r="AC9" s="110"/>
      <c r="AD9" s="120">
        <f t="shared" si="1"/>
        <v>0</v>
      </c>
      <c r="AE9" s="111"/>
      <c r="AF9" s="112"/>
      <c r="AG9" s="108"/>
    </row>
    <row r="10" spans="1:33" ht="15.5">
      <c r="A10" s="107"/>
      <c r="B10" s="33"/>
      <c r="C10" s="33"/>
      <c r="D10" s="33"/>
      <c r="E10" s="108"/>
      <c r="F10" s="33"/>
      <c r="G10" s="109"/>
      <c r="H10" s="118"/>
      <c r="I10" s="132">
        <v>0</v>
      </c>
      <c r="J10" s="133">
        <v>0</v>
      </c>
      <c r="K10" s="134">
        <v>0</v>
      </c>
      <c r="L10" s="135">
        <v>0</v>
      </c>
      <c r="M10" s="132">
        <v>0</v>
      </c>
      <c r="N10" s="136">
        <v>0</v>
      </c>
      <c r="O10" s="131">
        <v>0</v>
      </c>
      <c r="P10" s="135">
        <v>0</v>
      </c>
      <c r="Q10" s="131">
        <v>0</v>
      </c>
      <c r="R10" s="135">
        <v>0</v>
      </c>
      <c r="S10" s="132">
        <v>0</v>
      </c>
      <c r="T10" s="136">
        <v>0</v>
      </c>
      <c r="U10" s="135">
        <v>0</v>
      </c>
      <c r="V10" s="135">
        <v>0</v>
      </c>
      <c r="W10" s="137">
        <f t="shared" si="0"/>
        <v>0</v>
      </c>
      <c r="X10" s="110"/>
      <c r="Y10" s="110"/>
      <c r="Z10" s="110"/>
      <c r="AA10" s="110"/>
      <c r="AB10" s="110"/>
      <c r="AC10" s="110"/>
      <c r="AD10" s="120">
        <f t="shared" si="1"/>
        <v>0</v>
      </c>
      <c r="AE10" s="111"/>
      <c r="AF10" s="112"/>
      <c r="AG10" s="108"/>
    </row>
    <row r="11" spans="1:33" ht="15.5">
      <c r="A11" s="107"/>
      <c r="B11" s="33"/>
      <c r="C11" s="33"/>
      <c r="D11" s="33"/>
      <c r="E11" s="108"/>
      <c r="F11" s="33"/>
      <c r="G11" s="109"/>
      <c r="H11" s="118"/>
      <c r="I11" s="132">
        <v>0</v>
      </c>
      <c r="J11" s="133">
        <v>0</v>
      </c>
      <c r="K11" s="134">
        <v>0</v>
      </c>
      <c r="L11" s="135">
        <v>0</v>
      </c>
      <c r="M11" s="132">
        <v>0</v>
      </c>
      <c r="N11" s="136">
        <v>0</v>
      </c>
      <c r="O11" s="131">
        <v>0</v>
      </c>
      <c r="P11" s="135">
        <v>0</v>
      </c>
      <c r="Q11" s="131">
        <v>0</v>
      </c>
      <c r="R11" s="135">
        <v>0</v>
      </c>
      <c r="S11" s="132">
        <v>0</v>
      </c>
      <c r="T11" s="136">
        <v>0</v>
      </c>
      <c r="U11" s="135">
        <v>0</v>
      </c>
      <c r="V11" s="135">
        <v>0</v>
      </c>
      <c r="W11" s="137">
        <f t="shared" si="0"/>
        <v>0</v>
      </c>
      <c r="X11" s="110"/>
      <c r="Y11" s="110"/>
      <c r="Z11" s="110"/>
      <c r="AA11" s="110"/>
      <c r="AB11" s="110"/>
      <c r="AC11" s="110"/>
      <c r="AD11" s="120">
        <f t="shared" si="1"/>
        <v>0</v>
      </c>
      <c r="AE11" s="111"/>
      <c r="AF11" s="112"/>
      <c r="AG11" s="108"/>
    </row>
    <row r="12" spans="1:33" ht="15.5">
      <c r="A12" s="107"/>
      <c r="B12" s="33"/>
      <c r="C12" s="33"/>
      <c r="D12" s="33"/>
      <c r="E12" s="108"/>
      <c r="F12" s="33"/>
      <c r="G12" s="109"/>
      <c r="H12" s="118"/>
      <c r="I12" s="132">
        <v>0</v>
      </c>
      <c r="J12" s="133">
        <v>0</v>
      </c>
      <c r="K12" s="134">
        <v>0</v>
      </c>
      <c r="L12" s="135">
        <v>0</v>
      </c>
      <c r="M12" s="132">
        <v>0</v>
      </c>
      <c r="N12" s="136">
        <v>0</v>
      </c>
      <c r="O12" s="131">
        <v>0</v>
      </c>
      <c r="P12" s="135">
        <v>0</v>
      </c>
      <c r="Q12" s="131">
        <v>0</v>
      </c>
      <c r="R12" s="135">
        <v>0</v>
      </c>
      <c r="S12" s="132">
        <v>0</v>
      </c>
      <c r="T12" s="136">
        <v>0</v>
      </c>
      <c r="U12" s="135">
        <v>0</v>
      </c>
      <c r="V12" s="135">
        <v>0</v>
      </c>
      <c r="W12" s="137">
        <f t="shared" si="0"/>
        <v>0</v>
      </c>
      <c r="X12" s="110"/>
      <c r="Y12" s="110"/>
      <c r="Z12" s="110"/>
      <c r="AA12" s="110"/>
      <c r="AB12" s="110"/>
      <c r="AC12" s="110"/>
      <c r="AD12" s="120">
        <f t="shared" si="1"/>
        <v>0</v>
      </c>
      <c r="AE12" s="111"/>
      <c r="AF12" s="112"/>
      <c r="AG12" s="108"/>
    </row>
    <row r="13" spans="1:33" ht="15.5">
      <c r="A13" s="107"/>
      <c r="B13" s="33"/>
      <c r="C13" s="33"/>
      <c r="D13" s="33"/>
      <c r="E13" s="108"/>
      <c r="F13" s="33"/>
      <c r="G13" s="109"/>
      <c r="H13" s="118"/>
      <c r="I13" s="132">
        <v>0</v>
      </c>
      <c r="J13" s="133">
        <v>0</v>
      </c>
      <c r="K13" s="134">
        <v>0</v>
      </c>
      <c r="L13" s="135">
        <v>0</v>
      </c>
      <c r="M13" s="132">
        <v>0</v>
      </c>
      <c r="N13" s="136">
        <v>0</v>
      </c>
      <c r="O13" s="131">
        <v>0</v>
      </c>
      <c r="P13" s="135">
        <v>0</v>
      </c>
      <c r="Q13" s="131">
        <v>0</v>
      </c>
      <c r="R13" s="135">
        <v>0</v>
      </c>
      <c r="S13" s="132">
        <v>0</v>
      </c>
      <c r="T13" s="136">
        <v>0</v>
      </c>
      <c r="U13" s="135">
        <v>0</v>
      </c>
      <c r="V13" s="135">
        <v>0</v>
      </c>
      <c r="W13" s="137">
        <f t="shared" si="0"/>
        <v>0</v>
      </c>
      <c r="X13" s="110"/>
      <c r="Y13" s="110"/>
      <c r="Z13" s="110"/>
      <c r="AA13" s="110"/>
      <c r="AB13" s="110"/>
      <c r="AC13" s="110"/>
      <c r="AD13" s="120">
        <f t="shared" si="1"/>
        <v>0</v>
      </c>
      <c r="AE13" s="111"/>
      <c r="AF13" s="112"/>
      <c r="AG13" s="108"/>
    </row>
    <row r="14" spans="1:33" ht="15.5">
      <c r="A14" s="107"/>
      <c r="B14" s="33"/>
      <c r="C14" s="33"/>
      <c r="D14" s="33"/>
      <c r="E14" s="108"/>
      <c r="F14" s="33"/>
      <c r="G14" s="109"/>
      <c r="H14" s="118"/>
      <c r="I14" s="132">
        <v>0</v>
      </c>
      <c r="J14" s="133">
        <v>0</v>
      </c>
      <c r="K14" s="134">
        <v>0</v>
      </c>
      <c r="L14" s="135">
        <v>0</v>
      </c>
      <c r="M14" s="132">
        <v>0</v>
      </c>
      <c r="N14" s="136">
        <v>0</v>
      </c>
      <c r="O14" s="131">
        <v>0</v>
      </c>
      <c r="P14" s="135">
        <v>0</v>
      </c>
      <c r="Q14" s="131">
        <v>0</v>
      </c>
      <c r="R14" s="135">
        <v>0</v>
      </c>
      <c r="S14" s="132">
        <v>0</v>
      </c>
      <c r="T14" s="136">
        <v>0</v>
      </c>
      <c r="U14" s="135">
        <v>0</v>
      </c>
      <c r="V14" s="135">
        <v>0</v>
      </c>
      <c r="W14" s="137">
        <f t="shared" si="0"/>
        <v>0</v>
      </c>
      <c r="X14" s="110"/>
      <c r="Y14" s="110"/>
      <c r="Z14" s="110"/>
      <c r="AA14" s="110"/>
      <c r="AB14" s="110"/>
      <c r="AC14" s="110"/>
      <c r="AD14" s="120">
        <f t="shared" si="1"/>
        <v>0</v>
      </c>
      <c r="AE14" s="111"/>
      <c r="AF14" s="112"/>
      <c r="AG14" s="108"/>
    </row>
    <row r="15" spans="1:33" ht="15.5">
      <c r="A15" s="107"/>
      <c r="B15" s="33"/>
      <c r="C15" s="33"/>
      <c r="D15" s="33"/>
      <c r="E15" s="108"/>
      <c r="F15" s="33"/>
      <c r="G15" s="109"/>
      <c r="H15" s="118"/>
      <c r="I15" s="132">
        <v>0</v>
      </c>
      <c r="J15" s="133">
        <v>0</v>
      </c>
      <c r="K15" s="134">
        <v>0</v>
      </c>
      <c r="L15" s="135">
        <v>0</v>
      </c>
      <c r="M15" s="132">
        <v>0</v>
      </c>
      <c r="N15" s="136">
        <v>0</v>
      </c>
      <c r="O15" s="131">
        <v>0</v>
      </c>
      <c r="P15" s="135">
        <v>0</v>
      </c>
      <c r="Q15" s="131">
        <v>0</v>
      </c>
      <c r="R15" s="135">
        <v>0</v>
      </c>
      <c r="S15" s="132">
        <v>0</v>
      </c>
      <c r="T15" s="136">
        <v>0</v>
      </c>
      <c r="U15" s="135">
        <v>0</v>
      </c>
      <c r="V15" s="135">
        <v>0</v>
      </c>
      <c r="W15" s="137">
        <f t="shared" si="0"/>
        <v>0</v>
      </c>
      <c r="X15" s="110"/>
      <c r="Y15" s="110"/>
      <c r="Z15" s="110"/>
      <c r="AA15" s="110"/>
      <c r="AB15" s="110"/>
      <c r="AC15" s="110"/>
      <c r="AD15" s="120">
        <f t="shared" si="1"/>
        <v>0</v>
      </c>
      <c r="AE15" s="111"/>
      <c r="AF15" s="112"/>
      <c r="AG15" s="108"/>
    </row>
    <row r="16" spans="1:33" ht="15.5">
      <c r="A16" s="107"/>
      <c r="B16" s="33"/>
      <c r="C16" s="33"/>
      <c r="D16" s="33"/>
      <c r="E16" s="108"/>
      <c r="F16" s="33"/>
      <c r="G16" s="109"/>
      <c r="H16" s="118"/>
      <c r="I16" s="132">
        <v>0</v>
      </c>
      <c r="J16" s="133">
        <v>0</v>
      </c>
      <c r="K16" s="134">
        <v>0</v>
      </c>
      <c r="L16" s="135">
        <v>0</v>
      </c>
      <c r="M16" s="132">
        <v>0</v>
      </c>
      <c r="N16" s="136">
        <v>0</v>
      </c>
      <c r="O16" s="131">
        <v>0</v>
      </c>
      <c r="P16" s="135">
        <v>0</v>
      </c>
      <c r="Q16" s="131">
        <v>0</v>
      </c>
      <c r="R16" s="135">
        <v>0</v>
      </c>
      <c r="S16" s="132">
        <v>0</v>
      </c>
      <c r="T16" s="136">
        <v>0</v>
      </c>
      <c r="U16" s="135">
        <v>0</v>
      </c>
      <c r="V16" s="135">
        <v>0</v>
      </c>
      <c r="W16" s="137">
        <f t="shared" si="0"/>
        <v>0</v>
      </c>
      <c r="X16" s="110"/>
      <c r="Y16" s="110"/>
      <c r="Z16" s="110"/>
      <c r="AA16" s="110"/>
      <c r="AB16" s="110"/>
      <c r="AC16" s="110"/>
      <c r="AD16" s="120">
        <f t="shared" si="1"/>
        <v>0</v>
      </c>
      <c r="AE16" s="111"/>
      <c r="AF16" s="112"/>
      <c r="AG16" s="108"/>
    </row>
  </sheetData>
  <sheetProtection selectLockedCells="1"/>
  <protectedRanges>
    <protectedRange sqref="AG6:AG16 G6:V16 B6:E16" name="Rango1"/>
    <protectedRange sqref="AD6:AE16" name="Rango1_2"/>
    <protectedRange sqref="A6:A16 F6:F16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6 X6:AC16 F6:I16 A6:D16">
    <cfRule type="expression" dxfId="3" priority="254" stopIfTrue="1">
      <formula>"SEVERSTAL"</formula>
    </cfRule>
  </conditionalFormatting>
  <conditionalFormatting sqref="AG6:AG16 AD6:AE16 E6:E16">
    <cfRule type="cellIs" dxfId="2" priority="255" stopIfTrue="1" operator="equal">
      <formula>"APROBADO"</formula>
    </cfRule>
    <cfRule type="cellIs" dxfId="1" priority="256" stopIfTrue="1" operator="equal">
      <formula>"ESPERA"</formula>
    </cfRule>
    <cfRule type="cellIs" dxfId="0" priority="257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