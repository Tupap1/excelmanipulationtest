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1" i="5" l="1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/>
  <c r="V65" i="5"/>
  <c r="AC65" i="5" s="1"/>
  <c r="V66" i="5"/>
  <c r="AC66" i="5" s="1"/>
  <c r="V67" i="5"/>
  <c r="AC67" i="5" s="1"/>
  <c r="V68" i="5"/>
  <c r="AC68" i="5"/>
  <c r="V69" i="5"/>
  <c r="AC69" i="5" s="1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89" i="5"/>
  <c r="AC89" i="5" s="1"/>
  <c r="V90" i="5"/>
  <c r="AC90" i="5" s="1"/>
  <c r="V15" i="5"/>
  <c r="AC15" i="5" s="1"/>
  <c r="V16" i="5"/>
  <c r="V17" i="5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AB5" i="5"/>
  <c r="AC5" i="5" s="1"/>
  <c r="AD4" i="5"/>
  <c r="AE4" i="5" s="1"/>
  <c r="AC4" i="5"/>
  <c r="AD5" i="5" l="1"/>
  <c r="AE5" i="5" s="1"/>
  <c r="V13" i="5"/>
  <c r="AC13" i="5" s="1"/>
  <c r="V14" i="5"/>
  <c r="AC14" i="5" s="1"/>
  <c r="AC16" i="5"/>
  <c r="AC17" i="5"/>
  <c r="V12" i="5" l="1"/>
  <c r="AC12" i="5" s="1"/>
  <c r="V11" i="5" l="1"/>
  <c r="AC11" i="5" s="1"/>
  <c r="V10" i="5" l="1"/>
  <c r="AC10" i="5" s="1"/>
  <c r="V9" i="5" l="1"/>
  <c r="AC9" i="5" s="1"/>
  <c r="V8" i="5" l="1"/>
  <c r="AC8" i="5" s="1"/>
  <c r="V7" i="5" l="1"/>
  <c r="AC7" i="5" s="1"/>
</calcChain>
</file>

<file path=xl/comments1.xml><?xml version="1.0" encoding="utf-8"?>
<comments xmlns="http://schemas.openxmlformats.org/spreadsheetml/2006/main">
  <authors>
    <author>LAMBRANO R. Osbaldo E.       TENARIS</author>
    <author>LAMBRANO Osbaldo E. TENARIS</author>
    <author>ARRIETA C. Carlos G. TENARIS</author>
  </authors>
  <commentList>
    <comment ref="AD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Z1, Z6, Z7 y Z12 =530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Z1, Z6, Z7 y Z12 =525
Z2, Z8, Z9, Z10 y Z11 =530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Z1, Z6, Z7 y Z12 =535
Z2, Z8, Z9, Z10 y Z11 =540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0" shapeId="0">
      <text>
        <r>
          <rPr>
            <b/>
            <sz val="11"/>
            <color indexed="81"/>
            <rFont val="Tahoma"/>
            <family val="2"/>
          </rPr>
          <t>Z1,  Z7, Z8 =533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18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D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Z1,7, 8  =520</t>
        </r>
      </text>
    </comment>
    <comment ref="R25" authorId="2" shapeId="0">
      <text>
        <r>
          <rPr>
            <b/>
            <sz val="9"/>
            <color indexed="81"/>
            <rFont val="Tahoma"/>
            <family val="2"/>
          </rPr>
          <t>DUPLICADO
140.3 - 152.2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25" authorId="2" shapeId="0">
      <text>
        <r>
          <rPr>
            <b/>
            <sz val="9"/>
            <color indexed="81"/>
            <rFont val="Tahoma"/>
            <family val="2"/>
          </rPr>
          <t>DUPLICADO
138.7 - 150.3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6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7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F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G28" authorId="1" shapeId="0">
      <text>
        <r>
          <rPr>
            <b/>
            <sz val="9"/>
            <color indexed="81"/>
            <rFont val="Tahoma"/>
            <family val="2"/>
          </rPr>
          <t>Z1, Z6, Z7, Z12 =618</t>
        </r>
      </text>
    </comment>
    <comment ref="AD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F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G29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D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F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G30" authorId="1" shapeId="0">
      <text>
        <r>
          <rPr>
            <b/>
            <sz val="9"/>
            <color indexed="81"/>
            <rFont val="Tahoma"/>
            <family val="2"/>
          </rPr>
          <t>Z1, Z6, Z7, Z12 =622</t>
        </r>
      </text>
    </comment>
    <comment ref="AD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1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D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2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D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F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G33" authorId="1" shapeId="0">
      <text>
        <r>
          <rPr>
            <b/>
            <sz val="9"/>
            <color indexed="81"/>
            <rFont val="Tahoma"/>
            <family val="2"/>
          </rPr>
          <t>Z1, Z6, Z7, Z12 =620</t>
        </r>
      </text>
    </comment>
    <comment ref="AD34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F34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G34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D35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F35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G35" authorId="1" shapeId="0">
      <text>
        <r>
          <rPr>
            <b/>
            <sz val="9"/>
            <color indexed="81"/>
            <rFont val="Tahoma"/>
            <family val="2"/>
          </rPr>
          <t>Z1,  Z7 =618</t>
        </r>
      </text>
    </comment>
    <comment ref="AD36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F36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G36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D37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F37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G37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D38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F38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G38" authorId="1" shapeId="0">
      <text>
        <r>
          <rPr>
            <b/>
            <sz val="9"/>
            <color indexed="81"/>
            <rFont val="Tahoma"/>
            <family val="2"/>
          </rPr>
          <t>Z1,  Z7 =615</t>
        </r>
      </text>
    </comment>
    <comment ref="AD39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  <comment ref="AF39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  <comment ref="AG39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  <comment ref="AD40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  <comment ref="AF40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  <comment ref="AG40" authorId="1" shapeId="0">
      <text>
        <r>
          <rPr>
            <b/>
            <sz val="9"/>
            <color indexed="81"/>
            <rFont val="Tahoma"/>
            <family val="2"/>
          </rPr>
          <t>Z1,  Z7 =614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Y26" authorId="0" shapeId="0">
      <text>
        <r>
          <rPr>
            <b/>
            <sz val="9"/>
            <color indexed="81"/>
            <rFont val="Tahoma"/>
            <family val="2"/>
          </rPr>
          <t>Fallan sesores los 3 sensores de techo de via rodillos 5 salida horno austenizado generando que el kick salida de otro giro estando el tubo en la vias rodillo a recostando el tbo a la pared.
PENDIENTES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<sst xmlns="http://schemas.openxmlformats.org/spreadsheetml/2006/main" count="308" uniqueCount="140">
  <si>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</si>
  <si>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</si>
  <si>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</si>
  <si>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</si>
  <si>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</si>
  <si>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</si>
  <si>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</si>
  <si>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</si>
  <si>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</si>
  <si>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</si>
  <si>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</si>
  <si>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</si>
  <si>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</si>
  <si>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</si>
  <si>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</si>
  <si>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</si>
  <si>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</si>
  <si>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</si>
  <si>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</si>
  <si>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</si>
  <si>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</si>
  <si>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</si>
  <si>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</si>
  <si>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</si>
  <si>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</si>
  <si>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</si>
  <si>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</si>
  <si>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</si>
  <si>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</si>
  <si>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</si>
  <si>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</si>
  <si>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</si>
  <si>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</si>
  <si>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</si>
  <si>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</si>
  <si>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</si>
  <si>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</si>
  <si>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</si>
  <si>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</si>
  <si>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</si>
  <si>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</si>
  <si>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</si>
  <si>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</si>
  <si>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</si>
  <si>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</si>
  <si>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</si>
  <si>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</si>
  <si>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</si>
  <si>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</si>
  <si>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</si>
  <si>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</si>
  <si>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</si>
  <si>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</si>
  <si>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</si>
  <si>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</si>
  <si>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</si>
  <si>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</si>
  <si>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</si>
  <si>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</si>
  <si>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</si>
  <si>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</si>
  <si>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</si>
  <si>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</si>
  <si>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</si>
  <si>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</si>
  <si>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</si>
  <si>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</si>
  <si>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</si>
  <si>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</si>
  <si>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</si>
  <si>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</si>
  <si>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</si>
  <si>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</si>
  <si>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</si>
  <si>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</si>
  <si>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</si>
  <si>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</si>
  <si>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</si>
  <si>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</si>
  <si>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</si>
  <si>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</si>
  <si>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</si>
  <si>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</si>
  <si>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</si>
  <si>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</si>
  <si>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</si>
  <si>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</si>
  <si>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</si>
  <si>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</si>
  <si>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</si>
  <si>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1 al 34</t>
  </si>
  <si>
    <t>TPC 196.85 x 15 mm P110 ICCY</t>
  </si>
  <si>
    <t>TAMSA</t>
  </si>
  <si>
    <t>35 al 91</t>
  </si>
  <si>
    <t>1 al 15</t>
  </si>
  <si>
    <t>16 al 25</t>
  </si>
  <si>
    <t>1 al 63</t>
  </si>
  <si>
    <t>42 SP</t>
  </si>
  <si>
    <t>64 al 92</t>
  </si>
  <si>
    <t>1 al 30</t>
  </si>
  <si>
    <t>1 al 40</t>
  </si>
  <si>
    <t>Estado 27</t>
  </si>
  <si>
    <t>Ciclo</t>
  </si>
  <si>
    <t>Res.</t>
  </si>
  <si>
    <t>T/Hr</t>
  </si>
  <si>
    <t xml:space="preserve"> H. Temple</t>
  </si>
  <si>
    <t xml:space="preserve"> H. Revenido</t>
  </si>
  <si>
    <t>Tubos   x   Turno</t>
  </si>
  <si>
    <t>Estado 99</t>
  </si>
  <si>
    <t>1 al 80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</si>
  <si>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</si>
  <si>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</si>
  <si>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</si>
  <si>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</si>
  <si>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</si>
  <si>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</si>
  <si>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</si>
  <si>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</si>
  <si>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</si>
  <si>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 al 45</t>
  </si>
  <si>
    <t>PROVEEDOR</t>
  </si>
  <si>
    <t>P110IC/ICY</t>
  </si>
  <si>
    <t>1 al 70</t>
  </si>
  <si>
    <r>
      <t xml:space="preserve">12653 </t>
    </r>
    <r>
      <rPr>
        <b/>
        <sz val="12"/>
        <color indexed="8"/>
        <rFont val="Arial"/>
        <family val="2"/>
      </rPr>
      <t>PB</t>
    </r>
  </si>
  <si>
    <t>71 al 160</t>
  </si>
  <si>
    <t>1 al 25</t>
  </si>
  <si>
    <t>1 al 38</t>
  </si>
  <si>
    <r>
      <t xml:space="preserve">20432 </t>
    </r>
    <r>
      <rPr>
        <b/>
        <sz val="12"/>
        <color indexed="8"/>
        <rFont val="Arial"/>
        <family val="2"/>
      </rPr>
      <t>PB</t>
    </r>
  </si>
  <si>
    <r>
      <t xml:space="preserve">20432 </t>
    </r>
    <r>
      <rPr>
        <b/>
        <sz val="12"/>
        <rFont val="Frutiger 45 Light"/>
        <family val="2"/>
      </rPr>
      <t>PB</t>
    </r>
  </si>
  <si>
    <t>RECHAZADO</t>
  </si>
  <si>
    <r>
      <t xml:space="preserve">20481 </t>
    </r>
    <r>
      <rPr>
        <b/>
        <sz val="12"/>
        <color indexed="8"/>
        <rFont val="Arial"/>
        <family val="2"/>
      </rPr>
      <t>PB</t>
    </r>
  </si>
  <si>
    <r>
      <t xml:space="preserve">20481 </t>
    </r>
    <r>
      <rPr>
        <b/>
        <sz val="12"/>
        <rFont val="Frutiger 45 Light"/>
        <family val="2"/>
      </rPr>
      <t>PB</t>
    </r>
  </si>
  <si>
    <t>1 al 23</t>
  </si>
  <si>
    <t>TPC 196,85 x 15 P110ICY</t>
  </si>
  <si>
    <t>1 al 8</t>
  </si>
  <si>
    <t>1 al 19</t>
  </si>
  <si>
    <t>1 al 2</t>
  </si>
  <si>
    <t>1 al 16</t>
  </si>
  <si>
    <t>1 SP</t>
  </si>
  <si>
    <t>1 al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</si>
</sst>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Arial"/>
      <family val="2"/>
    </font>
    <font>
      <b/>
      <sz val="12"/>
      <color rgb="FF0000FF"/>
      <name val="Arial"/>
      <family val="2"/>
    </font>
    <font>
      <b/>
      <sz val="12"/>
      <name val="Frutiger 45 Light"/>
      <family val="2"/>
    </font>
    <font>
      <i/>
      <sz val="12"/>
      <color rgb="FFFF0000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9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5" fillId="0" borderId="23" xfId="0" applyFont="1" applyBorder="1"/>
    <xf numFmtId="165" fontId="55" fillId="0" borderId="23" xfId="0" applyNumberFormat="1" applyFont="1" applyBorder="1" applyAlignment="1">
      <alignment horizontal="center"/>
    </xf>
    <xf numFmtId="0" fontId="55" fillId="0" borderId="21" xfId="0" applyFont="1" applyBorder="1" applyAlignment="1">
      <alignment horizontal="center"/>
    </xf>
    <xf numFmtId="0" fontId="59" fillId="0" borderId="0" xfId="0" applyFont="1" applyAlignment="1">
      <alignment horizontal="center"/>
    </xf>
    <xf numFmtId="3" fontId="61" fillId="0" borderId="5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2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21" fontId="46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5" xfId="0" applyNumberFormat="1" applyFont="1" applyBorder="1" applyAlignment="1">
      <alignment horizontal="center"/>
    </xf>
    <xf numFmtId="0" fontId="61" fillId="0" borderId="2" xfId="3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0" fontId="61" fillId="0" borderId="3" xfId="0" applyFont="1" applyBorder="1" applyAlignment="1">
      <alignment horizontal="center"/>
    </xf>
    <xf numFmtId="3" fontId="61" fillId="0" borderId="5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2" xfId="0" applyNumberFormat="1" applyFont="1" applyBorder="1" applyAlignment="1">
      <alignment horizontal="center"/>
    </xf>
    <xf numFmtId="0" fontId="64" fillId="0" borderId="2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15" fontId="60" fillId="0" borderId="4" xfId="0" applyNumberFormat="1" applyFont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Border="1" applyAlignment="1">
      <alignment horizontal="center"/>
    </xf>
    <xf numFmtId="3" fontId="62" fillId="7" borderId="2" xfId="0" applyNumberFormat="1" applyFont="1" applyFill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165" fontId="70" fillId="0" borderId="2" xfId="2" applyNumberFormat="1" applyFont="1" applyFill="1" applyBorder="1" applyAlignment="1">
      <alignment horizontal="center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3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4" fillId="0" borderId="1" xfId="0" applyNumberFormat="1" applyFont="1" applyBorder="1" applyAlignment="1" applyProtection="1">
      <alignment horizontal="center"/>
      <protection locked="0"/>
    </xf>
    <xf numFmtId="168" fontId="60" fillId="0" borderId="4" xfId="0" applyNumberFormat="1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79" fillId="9" borderId="32" xfId="4" applyFont="1" applyFill="1" applyBorder="1" applyAlignment="1">
      <alignment horizontal="center"/>
    </xf>
    <xf numFmtId="0" fontId="79" fillId="11" borderId="32" xfId="4" applyFont="1" applyFill="1" applyBorder="1" applyAlignment="1">
      <alignment horizontal="center"/>
    </xf>
    <xf numFmtId="0" fontId="79" fillId="12" borderId="33" xfId="4" applyFont="1" applyFill="1" applyBorder="1" applyAlignment="1">
      <alignment horizontal="center"/>
    </xf>
    <xf numFmtId="0" fontId="80" fillId="14" borderId="2" xfId="4" applyFont="1" applyFill="1" applyBorder="1" applyAlignment="1">
      <alignment horizontal="center" vertical="center" wrapText="1"/>
    </xf>
    <xf numFmtId="0" fontId="80" fillId="10" borderId="2" xfId="4" applyFont="1" applyFill="1" applyBorder="1" applyAlignment="1">
      <alignment horizontal="center" vertical="center" wrapText="1"/>
    </xf>
    <xf numFmtId="0" fontId="79" fillId="9" borderId="2" xfId="4" applyFont="1" applyFill="1" applyBorder="1" applyAlignment="1">
      <alignment horizontal="center" vertical="center" wrapText="1"/>
    </xf>
    <xf numFmtId="0" fontId="79" fillId="11" borderId="2" xfId="4" applyFont="1" applyFill="1" applyBorder="1" applyAlignment="1">
      <alignment horizontal="center" vertical="center" wrapText="1"/>
    </xf>
    <xf numFmtId="0" fontId="79" fillId="12" borderId="2" xfId="4" applyFont="1" applyFill="1" applyBorder="1" applyAlignment="1">
      <alignment horizontal="center" vertical="center" wrapText="1"/>
    </xf>
    <xf numFmtId="168" fontId="22" fillId="7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" fontId="40" fillId="0" borderId="2" xfId="0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1" fontId="42" fillId="0" borderId="2" xfId="0" applyNumberFormat="1" applyFont="1" applyBorder="1" applyAlignment="1">
      <alignment horizontal="center"/>
    </xf>
    <xf numFmtId="168" fontId="22" fillId="2" borderId="2" xfId="0" applyNumberFormat="1" applyFont="1" applyFill="1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8" xfId="0" applyBorder="1" applyAlignment="1">
      <alignment horizontal="center"/>
    </xf>
    <xf numFmtId="169" fontId="22" fillId="2" borderId="2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83" fillId="0" borderId="2" xfId="3" applyFont="1" applyBorder="1" applyAlignment="1">
      <alignment horizontal="center"/>
    </xf>
    <xf numFmtId="0" fontId="61" fillId="15" borderId="2" xfId="0" applyFont="1" applyFill="1" applyBorder="1" applyAlignment="1" applyProtection="1">
      <alignment horizontal="center"/>
      <protection locked="0"/>
    </xf>
    <xf numFmtId="165" fontId="84" fillId="0" borderId="2" xfId="2" applyNumberFormat="1" applyFont="1" applyFill="1" applyBorder="1" applyAlignment="1">
      <alignment horizontal="center"/>
    </xf>
    <xf numFmtId="3" fontId="62" fillId="0" borderId="2" xfId="0" applyNumberFormat="1" applyFont="1" applyBorder="1" applyAlignment="1">
      <alignment horizontal="left"/>
    </xf>
    <xf numFmtId="3" fontId="86" fillId="0" borderId="2" xfId="0" applyNumberFormat="1" applyFont="1" applyBorder="1" applyAlignment="1">
      <alignment horizontal="left"/>
    </xf>
    <xf numFmtId="0" fontId="65" fillId="6" borderId="0" xfId="0" applyFont="1" applyFill="1" applyAlignment="1" applyProtection="1">
      <alignment horizontal="center" vertical="center"/>
      <protection hidden="1"/>
    </xf>
    <xf numFmtId="0" fontId="81" fillId="0" borderId="23" xfId="0" applyFont="1" applyBorder="1" applyAlignment="1">
      <alignment horizontal="center" vertical="center"/>
    </xf>
    <xf numFmtId="0" fontId="81" fillId="0" borderId="19" xfId="0" applyFont="1" applyBorder="1" applyAlignment="1">
      <alignment horizontal="center" vertical="center"/>
    </xf>
    <xf numFmtId="0" fontId="82" fillId="0" borderId="19" xfId="0" applyFont="1" applyBorder="1" applyAlignment="1">
      <alignment horizontal="center" vertical="center"/>
    </xf>
    <xf numFmtId="0" fontId="79" fillId="12" borderId="32" xfId="4" applyFont="1" applyFill="1" applyBorder="1" applyAlignment="1">
      <alignment horizontal="center"/>
    </xf>
    <xf numFmtId="0" fontId="77" fillId="11" borderId="29" xfId="4" applyFont="1" applyFill="1" applyBorder="1" applyAlignment="1">
      <alignment horizontal="center"/>
    </xf>
    <xf numFmtId="0" fontId="76" fillId="9" borderId="28" xfId="4" applyFont="1" applyFill="1" applyBorder="1" applyAlignment="1">
      <alignment horizontal="center"/>
    </xf>
    <xf numFmtId="0" fontId="76" fillId="9" borderId="29" xfId="4" applyFont="1" applyFill="1" applyBorder="1" applyAlignment="1">
      <alignment horizontal="center"/>
    </xf>
    <xf numFmtId="0" fontId="77" fillId="12" borderId="29" xfId="4" applyFont="1" applyFill="1" applyBorder="1" applyAlignment="1">
      <alignment horizontal="center"/>
    </xf>
    <xf numFmtId="0" fontId="77" fillId="12" borderId="30" xfId="4" applyFont="1" applyFill="1" applyBorder="1" applyAlignment="1">
      <alignment horizontal="center"/>
    </xf>
    <xf numFmtId="0" fontId="79" fillId="9" borderId="31" xfId="4" applyFont="1" applyFill="1" applyBorder="1" applyAlignment="1">
      <alignment horizontal="center"/>
    </xf>
    <xf numFmtId="0" fontId="79" fillId="9" borderId="32" xfId="4" applyFont="1" applyFill="1" applyBorder="1" applyAlignment="1">
      <alignment horizontal="center"/>
    </xf>
    <xf numFmtId="0" fontId="78" fillId="13" borderId="12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7" xfId="4" applyFont="1" applyFill="1" applyBorder="1" applyAlignment="1">
      <alignment horizontal="center" vertical="center" shrinkToFit="1"/>
    </xf>
    <xf numFmtId="0" fontId="78" fillId="13" borderId="20" xfId="4" applyFont="1" applyFill="1" applyBorder="1" applyAlignment="1">
      <alignment horizontal="center" vertical="center" shrinkToFit="1"/>
    </xf>
    <xf numFmtId="0" fontId="75" fillId="10" borderId="19" xfId="4" applyFont="1" applyFill="1" applyBorder="1" applyAlignment="1">
      <alignment horizontal="center" vertical="center"/>
    </xf>
    <xf numFmtId="0" fontId="75" fillId="10" borderId="9" xfId="4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75" fillId="10" borderId="8" xfId="4" applyFont="1" applyFill="1" applyBorder="1" applyAlignment="1">
      <alignment horizontal="center" vertical="center"/>
    </xf>
    <xf numFmtId="0" fontId="75" fillId="10" borderId="17" xfId="4" applyFont="1" applyFill="1" applyBorder="1" applyAlignment="1">
      <alignment horizontal="center" vertical="center"/>
    </xf>
    <xf numFmtId="0" fontId="75" fillId="10" borderId="6" xfId="4" applyFont="1" applyFill="1" applyBorder="1" applyAlignment="1">
      <alignment horizontal="center" vertical="center"/>
    </xf>
    <xf numFmtId="0" fontId="78" fillId="10" borderId="8" xfId="4" applyFont="1" applyFill="1" applyBorder="1" applyAlignment="1">
      <alignment horizontal="center" vertical="center" shrinkToFit="1"/>
    </xf>
    <xf numFmtId="0" fontId="78" fillId="10" borderId="17" xfId="4" applyFont="1" applyFill="1" applyBorder="1" applyAlignment="1">
      <alignment horizontal="center" vertical="center" shrinkToFit="1"/>
    </xf>
    <xf numFmtId="0" fontId="78" fillId="13" borderId="11" xfId="4" applyFont="1" applyFill="1" applyBorder="1" applyAlignment="1">
      <alignment horizontal="center" vertical="center" shrinkToFit="1"/>
    </xf>
    <xf numFmtId="0" fontId="78" fillId="13" borderId="10" xfId="4" applyFont="1" applyFill="1" applyBorder="1" applyAlignment="1">
      <alignment horizontal="center" vertical="center" shrinkToFit="1"/>
    </xf>
    <xf numFmtId="0" fontId="50" fillId="8" borderId="0" xfId="0" applyFont="1" applyFill="1" applyAlignment="1">
      <alignment horizontal="center" wrapText="1"/>
    </xf>
    <xf numFmtId="0" fontId="52" fillId="0" borderId="0" xfId="0" applyFont="1" applyAlignment="1">
      <alignment horizontal="center"/>
    </xf>
    <xf numFmtId="0" fontId="63" fillId="5" borderId="23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8" xfId="0" applyFont="1" applyFill="1" applyBorder="1" applyAlignment="1">
      <alignment horizontal="center" vertical="center" wrapText="1"/>
    </xf>
    <xf numFmtId="0" fontId="48" fillId="5" borderId="17" xfId="0" applyFont="1" applyFill="1" applyBorder="1" applyAlignment="1">
      <alignment horizontal="center" vertical="center" wrapText="1"/>
    </xf>
    <xf numFmtId="0" fontId="48" fillId="5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241-445A-8FC0-52EE575D6B6E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241-445A-8FC0-52EE575D6B6E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241-445A-8FC0-52EE575D6B6E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241-445A-8FC0-52EE575D6B6E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241-445A-8FC0-52EE575D6B6E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241-445A-8FC0-52EE575D6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63344"/>
        <c:axId val="322364128"/>
      </c:barChart>
      <c:catAx>
        <c:axId val="32236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41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3641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33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38-44C9-89A5-996165896CB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38-44C9-89A5-996165896CB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A38-44C9-89A5-996165896CB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A38-44C9-89A5-996165896CB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A38-44C9-89A5-996165896CB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A38-44C9-89A5-996165896CB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A38-44C9-89A5-996165896CB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A38-44C9-89A5-996165896CB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A38-44C9-89A5-996165896CB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A38-44C9-89A5-996165896CB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A38-44C9-89A5-996165896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65304"/>
        <c:axId val="171380768"/>
      </c:lineChart>
      <c:catAx>
        <c:axId val="32236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380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1380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653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D6-4181-ABBD-EDA9297DFA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D6-4181-ABBD-EDA9297DFA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D6-4181-ABBD-EDA9297DFA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D6-4181-ABBD-EDA9297DFA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D6-4181-ABBD-EDA9297DFA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D6-4181-ABBD-EDA9297DFA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D6-4181-ABBD-EDA9297DF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7104"/>
        <c:axId val="329347496"/>
      </c:barChart>
      <c:catAx>
        <c:axId val="32934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7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7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61-48F0-8B96-CAC263504C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61-48F0-8B96-CAC263504C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61-48F0-8B96-CAC263504C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61-48F0-8B96-CAC263504C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61-48F0-8B96-CAC263504C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61-48F0-8B96-CAC263504C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61-48F0-8B96-CAC263504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8280"/>
        <c:axId val="329348672"/>
      </c:barChart>
      <c:catAx>
        <c:axId val="32934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8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8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8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6-4C84-97F2-B02AC1F484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6-4C84-97F2-B02AC1F484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6-4C84-97F2-B02AC1F484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6-4C84-97F2-B02AC1F484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6-4C84-97F2-B02AC1F484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6-4C84-97F2-B02AC1F484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6-4C84-97F2-B02AC1F48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49456"/>
        <c:axId val="329349848"/>
      </c:barChart>
      <c:catAx>
        <c:axId val="32934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4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49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CC-4776-B2BE-CA9893B2E7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CC-4776-B2BE-CA9893B2E7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CC-4776-B2BE-CA9893B2E7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CC-4776-B2BE-CA9893B2E7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CC-4776-B2BE-CA9893B2E7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CC-4776-B2BE-CA9893B2E7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CC-4776-B2BE-CA9893B2E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0632"/>
        <c:axId val="329351024"/>
      </c:barChart>
      <c:catAx>
        <c:axId val="32935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68-4FFB-B1C1-A9EE61FAAF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68-4FFB-B1C1-A9EE61FAAF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68-4FFB-B1C1-A9EE61FAAF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68-4FFB-B1C1-A9EE61FAAF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68-4FFB-B1C1-A9EE61FAAF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68-4FFB-B1C1-A9EE61FAAF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68-4FFB-B1C1-A9EE61FAA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2200"/>
        <c:axId val="329351808"/>
      </c:barChart>
      <c:catAx>
        <c:axId val="32935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1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1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AE1-49E9-993A-DE3C224A317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AE1-49E9-993A-DE3C224A317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AE1-49E9-993A-DE3C224A317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AE1-49E9-993A-DE3C224A317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AE1-49E9-993A-DE3C224A317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AE1-49E9-993A-DE3C224A317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AE1-49E9-993A-DE3C224A3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2984"/>
        <c:axId val="329353376"/>
      </c:barChart>
      <c:catAx>
        <c:axId val="32935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9D4-4ECD-9104-83F7543627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9D4-4ECD-9104-83F7543627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9D4-4ECD-9104-83F7543627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D4-4ECD-9104-83F754362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D4-4ECD-9104-83F754362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D4-4ECD-9104-83F754362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9D4-4ECD-9104-83F754362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354160"/>
        <c:axId val="329354552"/>
      </c:barChart>
      <c:catAx>
        <c:axId val="3293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35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35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C4-4034-A3C7-7E307DA744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C4-4034-A3C7-7E307DA744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C4-4034-A3C7-7E307DA744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C4-4034-A3C7-7E307DA744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C4-4034-A3C7-7E307DA744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C4-4034-A3C7-7E307DA744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C4-4034-A3C7-7E307DA74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2576"/>
        <c:axId val="331392968"/>
      </c:barChart>
      <c:catAx>
        <c:axId val="33139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2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2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2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C9-472B-B5C0-7DAA4EDE1E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C9-472B-B5C0-7DAA4EDE1E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C9-472B-B5C0-7DAA4EDE1E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C9-472B-B5C0-7DAA4EDE1E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C9-472B-B5C0-7DAA4EDE1E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C9-472B-B5C0-7DAA4EDE1E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C9-472B-B5C0-7DAA4EDE1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3752"/>
        <c:axId val="331394144"/>
      </c:barChart>
      <c:catAx>
        <c:axId val="33139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035-4C11-AA92-89D70C11CE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035-4C11-AA92-89D70C11CE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035-4C11-AA92-89D70C11CE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035-4C11-AA92-89D70C11CE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035-4C11-AA92-89D70C11CE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035-4C11-AA92-89D70C11CE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035-4C11-AA92-89D70C11C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4928"/>
        <c:axId val="331395320"/>
      </c:barChart>
      <c:catAx>
        <c:axId val="331394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5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5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4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90E-46D1-B4E8-6E2DE85C55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90E-46D1-B4E8-6E2DE85C55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90E-46D1-B4E8-6E2DE85C55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90E-46D1-B4E8-6E2DE85C55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90E-46D1-B4E8-6E2DE85C55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90E-46D1-B4E8-6E2DE85C55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90E-46D1-B4E8-6E2DE85C5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6104"/>
        <c:axId val="331396496"/>
      </c:barChart>
      <c:catAx>
        <c:axId val="33139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6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6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6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D2-431A-87F8-2E4FCA7FF18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D2-431A-87F8-2E4FCA7FF18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D2-431A-87F8-2E4FCA7FF18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D2-431A-87F8-2E4FCA7FF18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D2-431A-87F8-2E4FCA7FF18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D2-431A-87F8-2E4FCA7FF18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D2-431A-87F8-2E4FCA7FF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7280"/>
        <c:axId val="331397672"/>
      </c:barChart>
      <c:catAx>
        <c:axId val="33139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7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7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7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A3-454B-BE9C-CEEF575629B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A3-454B-BE9C-CEEF575629B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A3-454B-BE9C-CEEF575629B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A3-454B-BE9C-CEEF575629B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A3-454B-BE9C-CEEF575629B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A3-454B-BE9C-CEEF575629B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A3-454B-BE9C-CEEF57562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8456"/>
        <c:axId val="331398848"/>
      </c:barChart>
      <c:catAx>
        <c:axId val="331398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398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8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1E-493B-9514-C724A4DC3C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1E-493B-9514-C724A4DC3C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1E-493B-9514-C724A4DC3C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1E-493B-9514-C724A4DC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1E-493B-9514-C724A4DC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1E-493B-9514-C724A4DC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1E-493B-9514-C724A4DC3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399632"/>
        <c:axId val="332885376"/>
      </c:barChart>
      <c:catAx>
        <c:axId val="33139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5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5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399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46-4E6C-9B2C-8E61D1C5720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46-4E6C-9B2C-8E61D1C5720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46-4E6C-9B2C-8E61D1C5720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46-4E6C-9B2C-8E61D1C5720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46-4E6C-9B2C-8E61D1C5720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46-4E6C-9B2C-8E61D1C572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46-4E6C-9B2C-8E61D1C572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6160"/>
        <c:axId val="332886552"/>
      </c:barChart>
      <c:catAx>
        <c:axId val="332886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6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6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6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FC-47AA-BB00-22B3D58BC7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FC-47AA-BB00-22B3D58BC7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FC-47AA-BB00-22B3D58BC7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FC-47AA-BB00-22B3D58BC7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FC-47AA-BB00-22B3D58BC7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FC-47AA-BB00-22B3D58BC7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FC-47AA-BB00-22B3D58BC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7336"/>
        <c:axId val="332887728"/>
      </c:barChart>
      <c:catAx>
        <c:axId val="332887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7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7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7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FA8-4B31-ACDA-1D62902D05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FA8-4B31-ACDA-1D62902D05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FA8-4B31-ACDA-1D62902D05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FA8-4B31-ACDA-1D62902D05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FA8-4B31-ACDA-1D62902D05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FA8-4B31-ACDA-1D62902D05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FA8-4B31-ACDA-1D62902D0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8512"/>
        <c:axId val="332888904"/>
      </c:barChart>
      <c:catAx>
        <c:axId val="33288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8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88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8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C-4E4A-A0EF-7B4DDCAE27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C-4E4A-A0EF-7B4DDCAE27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C-4E4A-A0EF-7B4DDCAE27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C-4E4A-A0EF-7B4DDCAE27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C-4E4A-A0EF-7B4DDCAE27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C-4E4A-A0EF-7B4DDCAE27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C-4E4A-A0EF-7B4DDCAE2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89688"/>
        <c:axId val="332890080"/>
      </c:barChart>
      <c:catAx>
        <c:axId val="332889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0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89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CD-4324-9700-6105386C3D3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CD-4324-9700-6105386C3D3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CD-4324-9700-6105386C3D3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CD-4324-9700-6105386C3D3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CD-4324-9700-6105386C3D3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CD-4324-9700-6105386C3D3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CD-4324-9700-6105386C3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90864"/>
        <c:axId val="332891256"/>
      </c:barChart>
      <c:catAx>
        <c:axId val="33289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0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0D-42C2-B115-C01C120493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0D-42C2-B115-C01C120493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0D-42C2-B115-C01C120493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0D-42C2-B115-C01C120493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0D-42C2-B115-C01C120493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0D-42C2-B115-C01C120493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0D-42C2-B115-C01C12049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92040"/>
        <c:axId val="332892432"/>
      </c:barChart>
      <c:catAx>
        <c:axId val="33289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9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9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74-4CE4-9E28-808E49F646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74-4CE4-9E28-808E49F646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74-4CE4-9E28-808E49F646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74-4CE4-9E28-808E49F646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74-4CE4-9E28-808E49F646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74-4CE4-9E28-808E49F646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74-4CE4-9E28-808E49F64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0528"/>
        <c:axId val="323350920"/>
      </c:barChart>
      <c:catAx>
        <c:axId val="32335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0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0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CE-4150-9760-2C9A82639B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CE-4150-9760-2C9A82639B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CE-4150-9760-2C9A82639B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CE-4150-9760-2C9A82639B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CE-4150-9760-2C9A82639B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CE-4150-9760-2C9A82639B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CE-4150-9760-2C9A82639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1704"/>
        <c:axId val="323352096"/>
      </c:barChart>
      <c:catAx>
        <c:axId val="323351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2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2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1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1B-443F-8B6E-39F90DBDDF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1B-443F-8B6E-39F90DBDDF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1B-443F-8B6E-39F90DBDDF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1B-443F-8B6E-39F90DBDDF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1B-443F-8B6E-39F90DBDDF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1B-443F-8B6E-39F90DBDDF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1B-443F-8B6E-39F90DBD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2880"/>
        <c:axId val="323353272"/>
      </c:barChart>
      <c:catAx>
        <c:axId val="323352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3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3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2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60-40AA-A865-E825E3CA9D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60-40AA-A865-E825E3CA9D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60-40AA-A865-E825E3CA9D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0-40AA-A865-E825E3CA9D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0-40AA-A865-E825E3CA9D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0-40AA-A865-E825E3CA9D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60-40AA-A865-E825E3CA9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54056"/>
        <c:axId val="323354448"/>
      </c:barChart>
      <c:catAx>
        <c:axId val="32335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4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3354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335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237951</xdr:colOff>
      <xdr:row>0</xdr:row>
      <xdr:rowOff>174113</xdr:rowOff>
    </xdr:from>
    <xdr:to>
      <xdr:col>3</xdr:col>
      <xdr:colOff>56771</xdr:colOff>
      <xdr:row>2</xdr:row>
      <xdr:rowOff>245807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7951" y="174113"/>
          <a:ext cx="986401" cy="7988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286774</xdr:colOff>
      <xdr:row>0</xdr:row>
      <xdr:rowOff>174114</xdr:rowOff>
    </xdr:from>
    <xdr:to>
      <xdr:col>4</xdr:col>
      <xdr:colOff>390484</xdr:colOff>
      <xdr:row>2</xdr:row>
      <xdr:rowOff>238782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454355" y="174114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4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4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186" t="s">
        <v>66</v>
      </c>
      <c r="F5" s="186"/>
      <c r="G5" s="186"/>
      <c r="H5" s="186"/>
      <c r="I5" s="186"/>
      <c r="J5" s="186"/>
      <c r="K5" s="186"/>
      <c r="L5" s="186"/>
      <c r="M5" s="186"/>
      <c r="N5" s="70"/>
      <c r="O5" s="63"/>
      <c r="P5" s="63"/>
      <c r="Q5" s="102"/>
      <c r="R5" s="46"/>
      <c r="S5" s="46"/>
      <c r="T5" s="46"/>
      <c r="U5" s="48"/>
    </row>
    <row r="6" spans="1:21" s="8" customFormat="1" ht="17.4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4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4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4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4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4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4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4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4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4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4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4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01"/>
  <sheetViews>
    <sheetView showGridLines="0" tabSelected="1" zoomScale="84" zoomScaleNormal="84" workbookViewId="0">
      <pane xSplit="13" ySplit="4" topLeftCell="N23" activePane="bottomRight" state="frozen"/>
      <selection pane="topRight" activeCell="G1" sqref="G1"/>
      <selection pane="bottomLeft" activeCell="A6" sqref="A6"/>
      <selection pane="bottomRight" activeCell="Q51" sqref="Q51"/>
    </sheetView>
  </sheetViews>
  <sheetFormatPr baseColWidth="10" defaultColWidth="10.625" defaultRowHeight="15"/>
  <cols>
    <col min="1" max="1" width="4.5" customWidth="1"/>
    <col min="2" max="2" width="6" customWidth="1"/>
    <col min="3" max="3" width="4.875" customWidth="1"/>
    <col min="4" max="4" width="10.125" customWidth="1"/>
    <col min="5" max="5" width="14.5" style="3" customWidth="1"/>
    <col min="6" max="6" width="12" style="3" customWidth="1"/>
    <col min="7" max="7" width="10.5" style="3" bestFit="1" customWidth="1"/>
    <col min="8" max="9" width="9.7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 customWidth="1"/>
    <col min="28" max="28" width="15.125" style="9" customWidth="1"/>
    <col min="29" max="31" width="11" style="9" customWidth="1"/>
    <col min="32" max="113" width="11" style="9"/>
  </cols>
  <sheetData>
    <row r="1" spans="1:113" ht="30" customHeight="1" thickBot="1">
      <c r="E1" s="152"/>
      <c r="F1" s="187" t="s">
        <v>18</v>
      </c>
      <c r="G1" s="187"/>
      <c r="H1" s="187"/>
      <c r="I1" s="187"/>
      <c r="J1" s="187"/>
      <c r="K1" s="187"/>
      <c r="L1" s="187"/>
      <c r="M1" s="187"/>
      <c r="N1" s="12"/>
      <c r="O1" s="204"/>
      <c r="P1" s="204"/>
      <c r="Q1" s="204"/>
      <c r="R1" s="204"/>
      <c r="S1" s="204"/>
      <c r="T1" s="204"/>
      <c r="U1" s="204"/>
      <c r="V1" s="204"/>
      <c r="W1" s="204"/>
    </row>
    <row r="2" spans="1:113" ht="27.75" thickBot="1">
      <c r="E2" s="153"/>
      <c r="F2" s="188" t="s">
        <v>19</v>
      </c>
      <c r="G2" s="188"/>
      <c r="H2" s="188"/>
      <c r="I2" s="188"/>
      <c r="J2" s="188"/>
      <c r="K2" s="188"/>
      <c r="L2" s="188"/>
      <c r="M2" s="188"/>
      <c r="N2" s="205" t="s">
        <v>110</v>
      </c>
      <c r="O2" s="206"/>
      <c r="P2" s="202" t="s">
        <v>111</v>
      </c>
      <c r="Q2" s="202"/>
      <c r="R2" s="202"/>
      <c r="S2" s="202"/>
      <c r="T2" s="202"/>
      <c r="U2" s="203"/>
      <c r="V2" s="207" t="s">
        <v>110</v>
      </c>
      <c r="W2" s="202"/>
      <c r="X2" s="192" t="s">
        <v>79</v>
      </c>
      <c r="Y2" s="193"/>
      <c r="Z2" s="193"/>
      <c r="AA2" s="193"/>
      <c r="AB2" s="191" t="s">
        <v>78</v>
      </c>
      <c r="AC2" s="191"/>
      <c r="AD2" s="194" t="s">
        <v>80</v>
      </c>
      <c r="AE2" s="194"/>
      <c r="AF2" s="194"/>
      <c r="AG2" s="194"/>
      <c r="AH2" s="19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7.75">
      <c r="C3" s="35"/>
      <c r="E3" s="154"/>
      <c r="F3" s="189" t="s">
        <v>133</v>
      </c>
      <c r="G3" s="189"/>
      <c r="H3" s="189"/>
      <c r="I3" s="189"/>
      <c r="J3" s="189"/>
      <c r="K3" s="189"/>
      <c r="L3" s="189"/>
      <c r="M3" s="189"/>
      <c r="N3" s="210" t="s">
        <v>89</v>
      </c>
      <c r="O3" s="211"/>
      <c r="P3" s="198" t="s">
        <v>65</v>
      </c>
      <c r="Q3" s="199"/>
      <c r="R3" s="198" t="s">
        <v>86</v>
      </c>
      <c r="S3" s="199"/>
      <c r="T3" s="200" t="s">
        <v>87</v>
      </c>
      <c r="U3" s="201"/>
      <c r="V3" s="208" t="s">
        <v>88</v>
      </c>
      <c r="W3" s="209"/>
      <c r="X3" s="196" t="s">
        <v>75</v>
      </c>
      <c r="Y3" s="197"/>
      <c r="Z3" s="155" t="s">
        <v>76</v>
      </c>
      <c r="AA3" s="155" t="s">
        <v>70</v>
      </c>
      <c r="AB3" s="156" t="s">
        <v>72</v>
      </c>
      <c r="AC3" s="156" t="s">
        <v>74</v>
      </c>
      <c r="AD3" s="190" t="s">
        <v>77</v>
      </c>
      <c r="AE3" s="190"/>
      <c r="AF3" s="190" t="s">
        <v>76</v>
      </c>
      <c r="AG3" s="190"/>
      <c r="AH3" s="157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58" t="s">
        <v>24</v>
      </c>
      <c r="B4" s="158" t="s">
        <v>112</v>
      </c>
      <c r="C4" s="158" t="s">
        <v>113</v>
      </c>
      <c r="D4" s="158" t="s">
        <v>20</v>
      </c>
      <c r="E4" s="158" t="s">
        <v>1</v>
      </c>
      <c r="F4" s="158" t="s">
        <v>114</v>
      </c>
      <c r="G4" s="158" t="s">
        <v>5</v>
      </c>
      <c r="H4" s="158" t="s">
        <v>115</v>
      </c>
      <c r="I4" s="158" t="s">
        <v>57</v>
      </c>
      <c r="J4" s="158" t="s">
        <v>116</v>
      </c>
      <c r="K4" s="158" t="s">
        <v>22</v>
      </c>
      <c r="L4" s="158" t="s">
        <v>23</v>
      </c>
      <c r="M4" s="158" t="s">
        <v>117</v>
      </c>
      <c r="N4" s="159" t="s">
        <v>17</v>
      </c>
      <c r="O4" s="159" t="s">
        <v>2</v>
      </c>
      <c r="P4" s="159" t="s">
        <v>17</v>
      </c>
      <c r="Q4" s="159" t="s">
        <v>2</v>
      </c>
      <c r="R4" s="159" t="s">
        <v>17</v>
      </c>
      <c r="S4" s="159" t="s">
        <v>2</v>
      </c>
      <c r="T4" s="159" t="s">
        <v>17</v>
      </c>
      <c r="U4" s="159" t="s">
        <v>2</v>
      </c>
      <c r="V4" s="159" t="s">
        <v>17</v>
      </c>
      <c r="W4" s="159" t="s">
        <v>2</v>
      </c>
      <c r="X4" s="160" t="s">
        <v>81</v>
      </c>
      <c r="Y4" s="160" t="s">
        <v>82</v>
      </c>
      <c r="Z4" s="160" t="s">
        <v>81</v>
      </c>
      <c r="AA4" s="160" t="s">
        <v>71</v>
      </c>
      <c r="AB4" s="161" t="s">
        <v>73</v>
      </c>
      <c r="AC4" s="161" t="s">
        <v>83</v>
      </c>
      <c r="AD4" s="162" t="s">
        <v>81</v>
      </c>
      <c r="AE4" s="162" t="s">
        <v>82</v>
      </c>
      <c r="AF4" s="162" t="s">
        <v>81</v>
      </c>
      <c r="AG4" s="162" t="s">
        <v>84</v>
      </c>
      <c r="AH4" s="162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75" t="s">
        <v>118</v>
      </c>
      <c r="B5" s="169">
        <v>196.85</v>
      </c>
      <c r="C5" s="169">
        <v>15</v>
      </c>
      <c r="D5" s="175" t="s">
        <v>121</v>
      </c>
      <c r="E5" s="163">
        <v>43904</v>
      </c>
      <c r="F5" s="164" t="s">
        <v>92</v>
      </c>
      <c r="G5" s="27">
        <v>11765</v>
      </c>
      <c r="H5" s="24">
        <v>91626</v>
      </c>
      <c r="I5" s="24">
        <v>3997619</v>
      </c>
      <c r="J5" s="165">
        <v>364</v>
      </c>
      <c r="K5" s="24">
        <v>54</v>
      </c>
      <c r="L5" s="137">
        <v>4</v>
      </c>
      <c r="M5" s="27">
        <v>7</v>
      </c>
      <c r="N5" s="140">
        <v>133.30000000000001</v>
      </c>
      <c r="O5" s="139">
        <v>144</v>
      </c>
      <c r="P5" s="139"/>
      <c r="Q5" s="139"/>
      <c r="R5" s="141"/>
      <c r="S5" s="139"/>
      <c r="T5" s="141"/>
      <c r="U5" s="139"/>
      <c r="V5" s="140">
        <v>136.69999999999999</v>
      </c>
      <c r="W5" s="140">
        <v>147.80000000000001</v>
      </c>
      <c r="X5" s="166">
        <v>880</v>
      </c>
      <c r="Y5" s="166">
        <v>800</v>
      </c>
      <c r="Z5" s="167">
        <v>930</v>
      </c>
      <c r="AA5" s="167">
        <v>160</v>
      </c>
      <c r="AB5" s="168">
        <v>0.1</v>
      </c>
      <c r="AC5" s="167">
        <v>1800</v>
      </c>
      <c r="AD5" s="169">
        <v>567</v>
      </c>
      <c r="AE5" s="169">
        <v>500</v>
      </c>
      <c r="AF5" s="169">
        <v>567</v>
      </c>
      <c r="AG5" s="169">
        <v>567</v>
      </c>
      <c r="AH5" s="167">
        <v>160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75" t="s">
        <v>118</v>
      </c>
      <c r="B6" s="169">
        <v>196.85</v>
      </c>
      <c r="C6" s="169">
        <v>15</v>
      </c>
      <c r="D6" s="175" t="s">
        <v>121</v>
      </c>
      <c r="E6" s="163">
        <v>43904</v>
      </c>
      <c r="F6" s="164" t="s">
        <v>92</v>
      </c>
      <c r="G6" s="27">
        <v>11765</v>
      </c>
      <c r="H6" s="24">
        <v>91626</v>
      </c>
      <c r="I6" s="24">
        <v>3997619</v>
      </c>
      <c r="J6" s="165">
        <v>364</v>
      </c>
      <c r="K6" s="24">
        <v>54</v>
      </c>
      <c r="L6" s="137">
        <v>4</v>
      </c>
      <c r="M6" s="27">
        <v>19</v>
      </c>
      <c r="N6" s="140">
        <v>130.5</v>
      </c>
      <c r="O6" s="139">
        <v>141.1</v>
      </c>
      <c r="P6" s="139">
        <v>134.69999999999999</v>
      </c>
      <c r="Q6" s="139">
        <v>145.69999999999999</v>
      </c>
      <c r="R6" s="139">
        <v>133.9</v>
      </c>
      <c r="S6" s="139">
        <v>145.69999999999999</v>
      </c>
      <c r="T6" s="139">
        <v>135</v>
      </c>
      <c r="U6" s="139">
        <v>145.6</v>
      </c>
      <c r="V6" s="140">
        <v>133.5</v>
      </c>
      <c r="W6" s="140">
        <v>144.9</v>
      </c>
      <c r="X6" s="166">
        <v>880</v>
      </c>
      <c r="Y6" s="166">
        <v>800</v>
      </c>
      <c r="Z6" s="167">
        <v>930</v>
      </c>
      <c r="AA6" s="167">
        <v>160</v>
      </c>
      <c r="AB6" s="168">
        <v>0.1</v>
      </c>
      <c r="AC6" s="167">
        <v>1800</v>
      </c>
      <c r="AD6" s="169">
        <v>567</v>
      </c>
      <c r="AE6" s="169">
        <v>500</v>
      </c>
      <c r="AF6" s="169">
        <v>567</v>
      </c>
      <c r="AG6" s="169">
        <v>567</v>
      </c>
      <c r="AH6" s="167">
        <v>160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75" t="s">
        <v>118</v>
      </c>
      <c r="B7" s="169">
        <v>196.85</v>
      </c>
      <c r="C7" s="169">
        <v>15</v>
      </c>
      <c r="D7" s="175" t="s">
        <v>121</v>
      </c>
      <c r="E7" s="163">
        <v>43909</v>
      </c>
      <c r="F7" s="164" t="s">
        <v>92</v>
      </c>
      <c r="G7" s="27">
        <v>11811</v>
      </c>
      <c r="H7" s="24">
        <v>91626</v>
      </c>
      <c r="I7" s="24">
        <v>3997619</v>
      </c>
      <c r="J7" s="165">
        <v>364</v>
      </c>
      <c r="K7" s="24">
        <v>54</v>
      </c>
      <c r="L7" s="137">
        <v>4</v>
      </c>
      <c r="M7" s="27">
        <v>45</v>
      </c>
      <c r="N7" s="140">
        <v>132</v>
      </c>
      <c r="O7" s="139">
        <v>142.69999999999999</v>
      </c>
      <c r="P7" s="139"/>
      <c r="Q7" s="139"/>
      <c r="R7" s="139"/>
      <c r="S7" s="139"/>
      <c r="T7" s="139"/>
      <c r="U7" s="139"/>
      <c r="V7" s="140">
        <v>132.1</v>
      </c>
      <c r="W7" s="140">
        <v>143.6</v>
      </c>
      <c r="X7" s="166">
        <v>870</v>
      </c>
      <c r="Y7" s="166">
        <v>800</v>
      </c>
      <c r="Z7" s="167">
        <v>930</v>
      </c>
      <c r="AA7" s="167">
        <v>160</v>
      </c>
      <c r="AB7" s="168">
        <v>0.1</v>
      </c>
      <c r="AC7" s="167">
        <v>1800</v>
      </c>
      <c r="AD7" s="169">
        <v>567</v>
      </c>
      <c r="AE7" s="169">
        <v>500</v>
      </c>
      <c r="AF7" s="169">
        <v>567</v>
      </c>
      <c r="AG7" s="169">
        <v>567</v>
      </c>
      <c r="AH7" s="167">
        <v>160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5" t="s">
        <v>118</v>
      </c>
      <c r="B8" s="169">
        <v>196.85</v>
      </c>
      <c r="C8" s="169">
        <v>15</v>
      </c>
      <c r="D8" s="175" t="s">
        <v>121</v>
      </c>
      <c r="E8" s="163">
        <v>43909</v>
      </c>
      <c r="F8" s="164" t="s">
        <v>92</v>
      </c>
      <c r="G8" s="27">
        <v>11811</v>
      </c>
      <c r="H8" s="24">
        <v>91626</v>
      </c>
      <c r="I8" s="24">
        <v>3997619</v>
      </c>
      <c r="J8" s="165">
        <v>364</v>
      </c>
      <c r="K8" s="24">
        <v>54</v>
      </c>
      <c r="L8" s="137">
        <v>4</v>
      </c>
      <c r="M8" s="27">
        <v>75</v>
      </c>
      <c r="N8" s="140">
        <v>131.80000000000001</v>
      </c>
      <c r="O8" s="139">
        <v>142.9</v>
      </c>
      <c r="P8" s="139"/>
      <c r="Q8" s="139"/>
      <c r="R8" s="139"/>
      <c r="S8" s="139"/>
      <c r="T8" s="139"/>
      <c r="U8" s="139"/>
      <c r="V8" s="140">
        <v>133.30000000000001</v>
      </c>
      <c r="W8" s="140">
        <v>143.69999999999999</v>
      </c>
      <c r="X8" s="166">
        <v>870</v>
      </c>
      <c r="Y8" s="166">
        <v>800</v>
      </c>
      <c r="Z8" s="167">
        <v>930</v>
      </c>
      <c r="AA8" s="167">
        <v>160</v>
      </c>
      <c r="AB8" s="168">
        <v>0.1</v>
      </c>
      <c r="AC8" s="167">
        <v>1800</v>
      </c>
      <c r="AD8" s="169">
        <v>567</v>
      </c>
      <c r="AE8" s="169">
        <v>500</v>
      </c>
      <c r="AF8" s="169">
        <v>567</v>
      </c>
      <c r="AG8" s="169">
        <v>567</v>
      </c>
      <c r="AH8" s="167">
        <v>160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5" t="s">
        <v>118</v>
      </c>
      <c r="B9" s="169">
        <v>196.85</v>
      </c>
      <c r="C9" s="169">
        <v>15</v>
      </c>
      <c r="D9" s="175" t="s">
        <v>121</v>
      </c>
      <c r="E9" s="163">
        <v>44218</v>
      </c>
      <c r="F9" s="164" t="s">
        <v>92</v>
      </c>
      <c r="G9" s="27">
        <v>12195</v>
      </c>
      <c r="H9" s="24">
        <v>91824</v>
      </c>
      <c r="I9" s="24">
        <v>3997619</v>
      </c>
      <c r="J9" s="165">
        <v>364</v>
      </c>
      <c r="K9" s="24">
        <v>53</v>
      </c>
      <c r="L9" s="137">
        <v>4.7300000000000004</v>
      </c>
      <c r="M9" s="27">
        <v>5</v>
      </c>
      <c r="N9" s="170">
        <v>130.9</v>
      </c>
      <c r="O9" s="28">
        <v>141.30000000000001</v>
      </c>
      <c r="P9" s="28"/>
      <c r="Q9" s="28"/>
      <c r="R9" s="28"/>
      <c r="S9" s="28"/>
      <c r="T9" s="28"/>
      <c r="U9" s="28"/>
      <c r="V9" s="27">
        <v>130.5</v>
      </c>
      <c r="W9" s="170">
        <v>140.9</v>
      </c>
      <c r="X9" s="166">
        <v>870</v>
      </c>
      <c r="Y9" s="166">
        <v>800</v>
      </c>
      <c r="Z9" s="167">
        <v>930</v>
      </c>
      <c r="AA9" s="167">
        <v>160</v>
      </c>
      <c r="AB9" s="168">
        <v>0.1</v>
      </c>
      <c r="AC9" s="167">
        <v>1800</v>
      </c>
      <c r="AD9" s="169">
        <v>567</v>
      </c>
      <c r="AE9" s="169">
        <v>500</v>
      </c>
      <c r="AF9" s="169">
        <v>567</v>
      </c>
      <c r="AG9" s="169">
        <v>567</v>
      </c>
      <c r="AH9" s="167">
        <v>160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5" t="s">
        <v>118</v>
      </c>
      <c r="B10" s="169">
        <v>196.85</v>
      </c>
      <c r="C10" s="169">
        <v>15</v>
      </c>
      <c r="D10" s="175" t="s">
        <v>121</v>
      </c>
      <c r="E10" s="163">
        <v>44228</v>
      </c>
      <c r="F10" s="164" t="s">
        <v>92</v>
      </c>
      <c r="G10" s="27">
        <v>12272</v>
      </c>
      <c r="H10" s="24">
        <v>91824</v>
      </c>
      <c r="I10" s="24">
        <v>3997619</v>
      </c>
      <c r="J10" s="165">
        <v>364</v>
      </c>
      <c r="K10" s="24">
        <v>53</v>
      </c>
      <c r="L10" s="137">
        <v>4.7300000000000004</v>
      </c>
      <c r="M10" s="27">
        <v>21</v>
      </c>
      <c r="N10" s="170">
        <v>131.19999999999999</v>
      </c>
      <c r="O10" s="28">
        <v>141.1</v>
      </c>
      <c r="P10" s="28"/>
      <c r="Q10" s="28"/>
      <c r="R10" s="28"/>
      <c r="S10" s="28"/>
      <c r="T10" s="28"/>
      <c r="U10" s="28"/>
      <c r="V10" s="27">
        <v>129.30000000000001</v>
      </c>
      <c r="W10" s="170">
        <v>140.69999999999999</v>
      </c>
      <c r="X10" s="166">
        <v>870</v>
      </c>
      <c r="Y10" s="166">
        <v>800</v>
      </c>
      <c r="Z10" s="167">
        <v>930</v>
      </c>
      <c r="AA10" s="167">
        <v>160</v>
      </c>
      <c r="AB10" s="168">
        <v>0.1</v>
      </c>
      <c r="AC10" s="167">
        <v>1800</v>
      </c>
      <c r="AD10" s="169">
        <v>567</v>
      </c>
      <c r="AE10" s="169">
        <v>500</v>
      </c>
      <c r="AF10" s="169">
        <v>567</v>
      </c>
      <c r="AG10" s="169">
        <v>567</v>
      </c>
      <c r="AH10" s="167">
        <v>160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ht="15.75">
      <c r="A11" s="175" t="s">
        <v>118</v>
      </c>
      <c r="B11" s="169">
        <v>196.85</v>
      </c>
      <c r="C11" s="169">
        <v>15</v>
      </c>
      <c r="D11" s="175" t="s">
        <v>121</v>
      </c>
      <c r="E11" s="163">
        <v>44285</v>
      </c>
      <c r="F11" s="164" t="s">
        <v>92</v>
      </c>
      <c r="G11" s="27" t="s">
        <v>123</v>
      </c>
      <c r="H11" s="24">
        <v>91905</v>
      </c>
      <c r="I11" s="24">
        <v>4405991</v>
      </c>
      <c r="J11" s="171">
        <v>654</v>
      </c>
      <c r="K11" s="24">
        <v>58</v>
      </c>
      <c r="L11" s="137">
        <v>5.47</v>
      </c>
      <c r="M11" s="27">
        <v>5</v>
      </c>
      <c r="N11" s="170">
        <v>131.4</v>
      </c>
      <c r="O11" s="28">
        <v>141.30000000000001</v>
      </c>
      <c r="P11" s="28"/>
      <c r="Q11" s="28"/>
      <c r="R11" s="28"/>
      <c r="S11" s="28"/>
      <c r="T11" s="28"/>
      <c r="U11" s="28"/>
      <c r="V11" s="27">
        <v>129.6</v>
      </c>
      <c r="W11" s="170">
        <v>140.1</v>
      </c>
      <c r="X11" s="166">
        <v>870</v>
      </c>
      <c r="Y11" s="166">
        <v>800</v>
      </c>
      <c r="Z11" s="167">
        <v>920</v>
      </c>
      <c r="AA11" s="167">
        <v>200</v>
      </c>
      <c r="AB11" s="168">
        <v>0.1</v>
      </c>
      <c r="AC11" s="167">
        <v>1800</v>
      </c>
      <c r="AD11" s="167">
        <v>535</v>
      </c>
      <c r="AE11" s="167">
        <v>430</v>
      </c>
      <c r="AF11" s="167">
        <v>535</v>
      </c>
      <c r="AG11" s="167">
        <v>535</v>
      </c>
      <c r="AH11" s="169">
        <v>200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 ht="15.75">
      <c r="A12" s="175" t="s">
        <v>118</v>
      </c>
      <c r="B12" s="169">
        <v>196.85</v>
      </c>
      <c r="C12" s="169">
        <v>15</v>
      </c>
      <c r="D12" s="175" t="s">
        <v>121</v>
      </c>
      <c r="E12" s="163">
        <v>44285</v>
      </c>
      <c r="F12" s="164" t="s">
        <v>92</v>
      </c>
      <c r="G12" s="27" t="s">
        <v>123</v>
      </c>
      <c r="H12" s="24">
        <v>91905</v>
      </c>
      <c r="I12" s="24">
        <v>4405991</v>
      </c>
      <c r="J12" s="171">
        <v>654</v>
      </c>
      <c r="K12" s="24">
        <v>58</v>
      </c>
      <c r="L12" s="137">
        <v>5.47</v>
      </c>
      <c r="M12" s="27">
        <v>40</v>
      </c>
      <c r="N12" s="170">
        <v>133.80000000000001</v>
      </c>
      <c r="O12" s="28">
        <v>143.5</v>
      </c>
      <c r="P12" s="28">
        <v>133.6</v>
      </c>
      <c r="Q12" s="28">
        <v>143.6</v>
      </c>
      <c r="R12" s="28">
        <v>133.80000000000001</v>
      </c>
      <c r="S12" s="28">
        <v>144.6</v>
      </c>
      <c r="T12" s="28">
        <v>133.19999999999999</v>
      </c>
      <c r="U12" s="28">
        <v>143.80000000000001</v>
      </c>
      <c r="V12" s="27">
        <v>130.5</v>
      </c>
      <c r="W12" s="170">
        <v>141.6</v>
      </c>
      <c r="X12" s="166">
        <v>870</v>
      </c>
      <c r="Y12" s="166">
        <v>800</v>
      </c>
      <c r="Z12" s="167">
        <v>920</v>
      </c>
      <c r="AA12" s="167">
        <v>200</v>
      </c>
      <c r="AB12" s="168">
        <v>0.1</v>
      </c>
      <c r="AC12" s="167">
        <v>1800</v>
      </c>
      <c r="AD12" s="167">
        <v>535</v>
      </c>
      <c r="AE12" s="167">
        <v>430</v>
      </c>
      <c r="AF12" s="167">
        <v>535</v>
      </c>
      <c r="AG12" s="167">
        <v>535</v>
      </c>
      <c r="AH12" s="169">
        <v>200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 ht="15.75">
      <c r="A13" s="175" t="s">
        <v>118</v>
      </c>
      <c r="B13" s="169">
        <v>196.85</v>
      </c>
      <c r="C13" s="169">
        <v>15</v>
      </c>
      <c r="D13" s="175" t="s">
        <v>121</v>
      </c>
      <c r="E13" s="163">
        <v>44285</v>
      </c>
      <c r="F13" s="164" t="s">
        <v>92</v>
      </c>
      <c r="G13" s="27" t="s">
        <v>123</v>
      </c>
      <c r="H13" s="24">
        <v>91905</v>
      </c>
      <c r="I13" s="24">
        <v>4405991</v>
      </c>
      <c r="J13" s="171">
        <v>654</v>
      </c>
      <c r="K13" s="24">
        <v>58</v>
      </c>
      <c r="L13" s="137">
        <v>5.47</v>
      </c>
      <c r="M13" s="27" t="s">
        <v>97</v>
      </c>
      <c r="N13" s="170">
        <v>131.69999999999999</v>
      </c>
      <c r="O13" s="28">
        <v>141.30000000000001</v>
      </c>
      <c r="P13" s="28"/>
      <c r="Q13" s="28"/>
      <c r="R13" s="28"/>
      <c r="S13" s="28"/>
      <c r="T13" s="28"/>
      <c r="U13" s="28"/>
      <c r="V13" s="27">
        <v>131.69999999999999</v>
      </c>
      <c r="W13" s="170">
        <v>141.30000000000001</v>
      </c>
      <c r="X13" s="166">
        <v>870</v>
      </c>
      <c r="Y13" s="166">
        <v>800</v>
      </c>
      <c r="Z13" s="167">
        <v>920</v>
      </c>
      <c r="AA13" s="167">
        <v>200</v>
      </c>
      <c r="AB13" s="168">
        <v>0.1</v>
      </c>
      <c r="AC13" s="167">
        <v>1800</v>
      </c>
      <c r="AD13" s="167">
        <v>535</v>
      </c>
      <c r="AE13" s="167">
        <v>430</v>
      </c>
      <c r="AF13" s="167">
        <v>535</v>
      </c>
      <c r="AG13" s="167">
        <v>535</v>
      </c>
      <c r="AH13" s="169">
        <v>200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 ht="15.75">
      <c r="A14" s="175" t="s">
        <v>118</v>
      </c>
      <c r="B14" s="169">
        <v>196.85</v>
      </c>
      <c r="C14" s="169">
        <v>15</v>
      </c>
      <c r="D14" s="175" t="s">
        <v>121</v>
      </c>
      <c r="E14" s="163">
        <v>44296</v>
      </c>
      <c r="F14" s="164" t="s">
        <v>92</v>
      </c>
      <c r="G14" s="27">
        <v>12672</v>
      </c>
      <c r="H14" s="24">
        <v>91905</v>
      </c>
      <c r="I14" s="24">
        <v>4405991</v>
      </c>
      <c r="J14" s="171">
        <v>654</v>
      </c>
      <c r="K14" s="24">
        <v>58</v>
      </c>
      <c r="L14" s="137">
        <v>5.47</v>
      </c>
      <c r="M14" s="27">
        <v>72</v>
      </c>
      <c r="N14" s="170">
        <v>132.5</v>
      </c>
      <c r="O14" s="28">
        <v>143.30000000000001</v>
      </c>
      <c r="P14" s="28"/>
      <c r="Q14" s="28"/>
      <c r="R14" s="28"/>
      <c r="S14" s="28"/>
      <c r="T14" s="28"/>
      <c r="U14" s="28"/>
      <c r="V14" s="27">
        <v>131.80000000000001</v>
      </c>
      <c r="W14" s="170">
        <v>141.30000000000001</v>
      </c>
      <c r="X14" s="166">
        <v>870</v>
      </c>
      <c r="Y14" s="166">
        <v>800</v>
      </c>
      <c r="Z14" s="167">
        <v>920</v>
      </c>
      <c r="AA14" s="167">
        <v>200</v>
      </c>
      <c r="AB14" s="168">
        <v>0.1</v>
      </c>
      <c r="AC14" s="167">
        <v>1800</v>
      </c>
      <c r="AD14" s="167">
        <v>535</v>
      </c>
      <c r="AE14" s="167">
        <v>430</v>
      </c>
      <c r="AF14" s="167">
        <v>535</v>
      </c>
      <c r="AG14" s="167">
        <v>535</v>
      </c>
      <c r="AH14" s="169">
        <v>200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 ht="15.75">
      <c r="A15" s="175" t="s">
        <v>118</v>
      </c>
      <c r="B15" s="169">
        <v>196.85</v>
      </c>
      <c r="C15" s="169">
        <v>15</v>
      </c>
      <c r="D15" s="175" t="s">
        <v>121</v>
      </c>
      <c r="E15" s="163">
        <v>44348</v>
      </c>
      <c r="F15" s="164" t="s">
        <v>92</v>
      </c>
      <c r="G15" s="27">
        <v>13011</v>
      </c>
      <c r="H15" s="24">
        <v>91985</v>
      </c>
      <c r="I15" s="24">
        <v>4405991</v>
      </c>
      <c r="J15" s="171">
        <v>654</v>
      </c>
      <c r="K15" s="24">
        <v>60</v>
      </c>
      <c r="L15" s="137">
        <v>4.63</v>
      </c>
      <c r="M15" s="27">
        <v>15</v>
      </c>
      <c r="N15" s="170">
        <v>134.9</v>
      </c>
      <c r="O15" s="28">
        <v>144.19999999999999</v>
      </c>
      <c r="P15" s="28"/>
      <c r="Q15" s="28"/>
      <c r="R15" s="28"/>
      <c r="S15" s="28"/>
      <c r="T15" s="28"/>
      <c r="U15" s="28"/>
      <c r="V15" s="27">
        <v>135.1</v>
      </c>
      <c r="W15" s="170">
        <v>145</v>
      </c>
      <c r="X15" s="166">
        <v>870</v>
      </c>
      <c r="Y15" s="166">
        <v>800</v>
      </c>
      <c r="Z15" s="167">
        <v>910</v>
      </c>
      <c r="AA15" s="167">
        <v>200</v>
      </c>
      <c r="AB15" s="168">
        <v>0.1</v>
      </c>
      <c r="AC15" s="167">
        <v>1800</v>
      </c>
      <c r="AD15" s="167">
        <v>530</v>
      </c>
      <c r="AE15" s="167">
        <v>430</v>
      </c>
      <c r="AF15" s="167">
        <v>530</v>
      </c>
      <c r="AG15" s="167">
        <v>530</v>
      </c>
      <c r="AH15" s="169">
        <v>200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 ht="15.75">
      <c r="A16" s="175" t="s">
        <v>118</v>
      </c>
      <c r="B16" s="169">
        <v>196.85</v>
      </c>
      <c r="C16" s="169">
        <v>15</v>
      </c>
      <c r="D16" s="175" t="s">
        <v>121</v>
      </c>
      <c r="E16" s="172">
        <v>44535</v>
      </c>
      <c r="F16" s="164" t="s">
        <v>92</v>
      </c>
      <c r="G16" s="27">
        <v>14476</v>
      </c>
      <c r="H16" s="24">
        <v>92275</v>
      </c>
      <c r="I16" s="24">
        <v>4405991</v>
      </c>
      <c r="J16" s="171">
        <v>654</v>
      </c>
      <c r="K16" s="24">
        <v>58</v>
      </c>
      <c r="L16" s="27">
        <v>7.17</v>
      </c>
      <c r="M16" s="27">
        <v>1</v>
      </c>
      <c r="N16" s="170">
        <v>130.5</v>
      </c>
      <c r="O16" s="28">
        <v>141.4</v>
      </c>
      <c r="P16" s="28"/>
      <c r="Q16" s="28"/>
      <c r="R16" s="28"/>
      <c r="S16" s="28"/>
      <c r="T16" s="28"/>
      <c r="U16" s="28"/>
      <c r="V16" s="27">
        <v>131.9</v>
      </c>
      <c r="W16" s="170">
        <v>142</v>
      </c>
      <c r="X16" s="166">
        <v>870</v>
      </c>
      <c r="Y16" s="166">
        <v>800</v>
      </c>
      <c r="Z16" s="167">
        <v>910</v>
      </c>
      <c r="AA16" s="167">
        <v>200</v>
      </c>
      <c r="AB16" s="168">
        <v>0.1</v>
      </c>
      <c r="AC16" s="167">
        <v>1800</v>
      </c>
      <c r="AD16" s="167">
        <v>540</v>
      </c>
      <c r="AE16" s="167">
        <v>430</v>
      </c>
      <c r="AF16" s="167">
        <v>540</v>
      </c>
      <c r="AG16" s="167">
        <v>540</v>
      </c>
      <c r="AH16" s="169">
        <v>200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 ht="15.75">
      <c r="A17" s="175" t="s">
        <v>118</v>
      </c>
      <c r="B17" s="169">
        <v>196.85</v>
      </c>
      <c r="C17" s="169">
        <v>15</v>
      </c>
      <c r="D17" s="175" t="s">
        <v>121</v>
      </c>
      <c r="E17" s="172">
        <v>44565</v>
      </c>
      <c r="F17" s="164" t="s">
        <v>92</v>
      </c>
      <c r="G17" s="27">
        <v>14768</v>
      </c>
      <c r="H17" s="24">
        <v>92195</v>
      </c>
      <c r="I17" s="24">
        <v>4405991</v>
      </c>
      <c r="J17" s="171">
        <v>654</v>
      </c>
      <c r="K17" s="24">
        <v>57</v>
      </c>
      <c r="L17" s="27">
        <v>6.44</v>
      </c>
      <c r="M17" s="27">
        <v>6</v>
      </c>
      <c r="N17" s="170">
        <v>132.80000000000001</v>
      </c>
      <c r="O17" s="28">
        <v>142.6</v>
      </c>
      <c r="P17" s="28"/>
      <c r="Q17" s="28"/>
      <c r="R17" s="28"/>
      <c r="S17" s="28"/>
      <c r="T17" s="28"/>
      <c r="U17" s="28"/>
      <c r="V17" s="170">
        <v>133</v>
      </c>
      <c r="W17" s="170">
        <v>142.69999999999999</v>
      </c>
      <c r="X17" s="166">
        <v>850</v>
      </c>
      <c r="Y17" s="166">
        <v>800</v>
      </c>
      <c r="Z17" s="167">
        <v>900</v>
      </c>
      <c r="AA17" s="167">
        <v>200</v>
      </c>
      <c r="AB17" s="168">
        <v>0.1</v>
      </c>
      <c r="AC17" s="167">
        <v>1700</v>
      </c>
      <c r="AD17" s="167">
        <v>538</v>
      </c>
      <c r="AE17" s="167">
        <v>430</v>
      </c>
      <c r="AF17" s="167">
        <v>538</v>
      </c>
      <c r="AG17" s="167">
        <v>538</v>
      </c>
      <c r="AH17" s="169">
        <v>200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 ht="15.75">
      <c r="A18" s="175" t="s">
        <v>118</v>
      </c>
      <c r="B18" s="169">
        <v>196.85</v>
      </c>
      <c r="C18" s="169">
        <v>15</v>
      </c>
      <c r="D18" s="175" t="s">
        <v>121</v>
      </c>
      <c r="E18" s="172">
        <v>44682</v>
      </c>
      <c r="F18" s="164" t="s">
        <v>92</v>
      </c>
      <c r="G18" s="27">
        <v>15861</v>
      </c>
      <c r="H18" s="24">
        <v>92515</v>
      </c>
      <c r="I18" s="24">
        <v>4854609</v>
      </c>
      <c r="J18" s="171">
        <v>654</v>
      </c>
      <c r="K18" s="24">
        <v>58</v>
      </c>
      <c r="L18" s="27">
        <v>3.51</v>
      </c>
      <c r="M18" s="27">
        <v>10</v>
      </c>
      <c r="N18" s="170">
        <v>130.6</v>
      </c>
      <c r="O18" s="28">
        <v>141.5</v>
      </c>
      <c r="P18" s="28"/>
      <c r="Q18" s="28"/>
      <c r="R18" s="28"/>
      <c r="S18" s="28"/>
      <c r="T18" s="28"/>
      <c r="U18" s="28"/>
      <c r="V18" s="27">
        <v>132.30000000000001</v>
      </c>
      <c r="W18" s="170">
        <v>143.6</v>
      </c>
      <c r="X18" s="166">
        <v>850</v>
      </c>
      <c r="Y18" s="166">
        <v>800</v>
      </c>
      <c r="Z18" s="167">
        <v>900</v>
      </c>
      <c r="AA18" s="167">
        <v>200</v>
      </c>
      <c r="AB18" s="168">
        <v>0.1</v>
      </c>
      <c r="AC18" s="167">
        <v>1700</v>
      </c>
      <c r="AD18" s="167">
        <v>525</v>
      </c>
      <c r="AE18" s="167">
        <v>425</v>
      </c>
      <c r="AF18" s="167">
        <v>525</v>
      </c>
      <c r="AG18" s="167">
        <v>525</v>
      </c>
      <c r="AH18" s="178">
        <v>200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 ht="15.75">
      <c r="A19" s="175" t="s">
        <v>118</v>
      </c>
      <c r="B19" s="169">
        <v>196.85</v>
      </c>
      <c r="C19" s="169">
        <v>15</v>
      </c>
      <c r="D19" s="175" t="s">
        <v>121</v>
      </c>
      <c r="E19" s="172">
        <v>44752</v>
      </c>
      <c r="F19" s="164" t="s">
        <v>92</v>
      </c>
      <c r="G19" s="27">
        <v>16495</v>
      </c>
      <c r="H19" s="24">
        <v>92553</v>
      </c>
      <c r="I19" s="24">
        <v>4854609</v>
      </c>
      <c r="J19" s="171">
        <v>654</v>
      </c>
      <c r="K19" s="24">
        <v>57</v>
      </c>
      <c r="L19" s="27">
        <v>3.65</v>
      </c>
      <c r="M19" s="27">
        <v>10</v>
      </c>
      <c r="N19" s="170">
        <v>129.69999999999999</v>
      </c>
      <c r="O19" s="28">
        <v>140.19999999999999</v>
      </c>
      <c r="P19" s="28"/>
      <c r="Q19" s="28"/>
      <c r="R19" s="28"/>
      <c r="S19" s="28"/>
      <c r="T19" s="28"/>
      <c r="U19" s="28"/>
      <c r="V19" s="27">
        <v>129.6</v>
      </c>
      <c r="W19" s="170">
        <v>140</v>
      </c>
      <c r="X19" s="166">
        <v>850</v>
      </c>
      <c r="Y19" s="166">
        <v>800</v>
      </c>
      <c r="Z19" s="167">
        <v>900</v>
      </c>
      <c r="AA19" s="167">
        <v>200</v>
      </c>
      <c r="AB19" s="168">
        <v>0.1</v>
      </c>
      <c r="AC19" s="167">
        <v>1700</v>
      </c>
      <c r="AD19" s="167">
        <v>525</v>
      </c>
      <c r="AE19" s="167">
        <v>425</v>
      </c>
      <c r="AF19" s="167">
        <v>525</v>
      </c>
      <c r="AG19" s="167">
        <v>525</v>
      </c>
      <c r="AH19" s="178">
        <v>200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75" t="s">
        <v>118</v>
      </c>
      <c r="B20" s="169">
        <v>196.85</v>
      </c>
      <c r="C20" s="169">
        <v>15</v>
      </c>
      <c r="D20" s="175" t="s">
        <v>121</v>
      </c>
      <c r="E20" s="179">
        <v>44804</v>
      </c>
      <c r="F20" s="164" t="s">
        <v>92</v>
      </c>
      <c r="G20" s="27">
        <v>17112</v>
      </c>
      <c r="H20" s="24">
        <v>92553</v>
      </c>
      <c r="I20" s="24">
        <v>4854609</v>
      </c>
      <c r="J20" s="27">
        <v>654</v>
      </c>
      <c r="K20" s="24">
        <v>57</v>
      </c>
      <c r="L20" s="27">
        <v>3.65</v>
      </c>
      <c r="M20" s="27">
        <v>80</v>
      </c>
      <c r="N20" s="170">
        <v>131.6</v>
      </c>
      <c r="O20" s="28">
        <v>141.9</v>
      </c>
      <c r="P20" s="28"/>
      <c r="Q20" s="28"/>
      <c r="R20" s="28"/>
      <c r="S20" s="28"/>
      <c r="T20" s="28"/>
      <c r="U20" s="28"/>
      <c r="V20" s="27">
        <v>131.6</v>
      </c>
      <c r="W20" s="170">
        <v>141.4</v>
      </c>
      <c r="X20" s="166">
        <v>860</v>
      </c>
      <c r="Y20" s="166">
        <v>800</v>
      </c>
      <c r="Z20" s="167">
        <v>890</v>
      </c>
      <c r="AA20" s="167">
        <v>200</v>
      </c>
      <c r="AB20" s="168">
        <v>0.1</v>
      </c>
      <c r="AC20" s="167">
        <v>1700</v>
      </c>
      <c r="AD20" s="167">
        <v>520</v>
      </c>
      <c r="AE20" s="167">
        <v>425</v>
      </c>
      <c r="AF20" s="167">
        <v>520</v>
      </c>
      <c r="AG20" s="167">
        <v>520</v>
      </c>
      <c r="AH20" s="178">
        <v>200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>
      <c r="A21" s="175" t="s">
        <v>118</v>
      </c>
      <c r="B21" s="169">
        <v>196.85</v>
      </c>
      <c r="C21" s="169">
        <v>15</v>
      </c>
      <c r="D21" s="175" t="s">
        <v>121</v>
      </c>
      <c r="E21" s="179">
        <v>44836</v>
      </c>
      <c r="F21" s="164" t="s">
        <v>92</v>
      </c>
      <c r="G21" s="27">
        <v>17416</v>
      </c>
      <c r="H21" s="24">
        <v>92554</v>
      </c>
      <c r="I21" s="24">
        <v>4854609</v>
      </c>
      <c r="J21" s="27">
        <v>654</v>
      </c>
      <c r="K21" s="24">
        <v>57</v>
      </c>
      <c r="L21" s="137">
        <v>3.8</v>
      </c>
      <c r="M21" s="27">
        <v>11</v>
      </c>
      <c r="N21" s="170">
        <v>131.1</v>
      </c>
      <c r="O21" s="28">
        <v>142.5</v>
      </c>
      <c r="P21" s="28"/>
      <c r="Q21" s="28"/>
      <c r="R21" s="28"/>
      <c r="S21" s="28"/>
      <c r="T21" s="28"/>
      <c r="U21" s="28"/>
      <c r="V21" s="27">
        <v>127.7</v>
      </c>
      <c r="W21" s="170">
        <v>139.9</v>
      </c>
      <c r="X21" s="166">
        <v>860</v>
      </c>
      <c r="Y21" s="166">
        <v>800</v>
      </c>
      <c r="Z21" s="167">
        <v>890</v>
      </c>
      <c r="AA21" s="167">
        <v>200</v>
      </c>
      <c r="AB21" s="168">
        <v>0.1</v>
      </c>
      <c r="AC21" s="167">
        <v>1700</v>
      </c>
      <c r="AD21" s="167">
        <v>525</v>
      </c>
      <c r="AE21" s="167">
        <v>425</v>
      </c>
      <c r="AF21" s="167">
        <v>525</v>
      </c>
      <c r="AG21" s="167">
        <v>525</v>
      </c>
      <c r="AH21" s="178">
        <v>200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75" t="s">
        <v>118</v>
      </c>
      <c r="B22" s="169">
        <v>196.85</v>
      </c>
      <c r="C22" s="169">
        <v>15</v>
      </c>
      <c r="D22" s="175" t="s">
        <v>121</v>
      </c>
      <c r="E22" s="179">
        <v>44836</v>
      </c>
      <c r="F22" s="164" t="s">
        <v>92</v>
      </c>
      <c r="G22" s="27">
        <v>17417</v>
      </c>
      <c r="H22" s="24">
        <v>92554</v>
      </c>
      <c r="I22" s="24">
        <v>4854609</v>
      </c>
      <c r="J22" s="27">
        <v>654</v>
      </c>
      <c r="K22" s="24">
        <v>57</v>
      </c>
      <c r="L22" s="137">
        <v>3.8</v>
      </c>
      <c r="M22" s="27">
        <v>33</v>
      </c>
      <c r="N22" s="170">
        <v>130.80000000000001</v>
      </c>
      <c r="O22" s="28">
        <v>141.19999999999999</v>
      </c>
      <c r="P22" s="28"/>
      <c r="Q22" s="28"/>
      <c r="R22" s="28"/>
      <c r="S22" s="28"/>
      <c r="T22" s="28"/>
      <c r="U22" s="28"/>
      <c r="V22" s="27">
        <v>128.4</v>
      </c>
      <c r="W22" s="170">
        <v>140.9</v>
      </c>
      <c r="X22" s="166">
        <v>860</v>
      </c>
      <c r="Y22" s="166">
        <v>800</v>
      </c>
      <c r="Z22" s="167">
        <v>890</v>
      </c>
      <c r="AA22" s="167">
        <v>200</v>
      </c>
      <c r="AB22" s="168">
        <v>0.1</v>
      </c>
      <c r="AC22" s="167">
        <v>1700</v>
      </c>
      <c r="AD22" s="167">
        <v>525</v>
      </c>
      <c r="AE22" s="167">
        <v>425</v>
      </c>
      <c r="AF22" s="167">
        <v>525</v>
      </c>
      <c r="AG22" s="167">
        <v>525</v>
      </c>
      <c r="AH22" s="178">
        <v>200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>
      <c r="A23" s="175" t="s">
        <v>118</v>
      </c>
      <c r="B23" s="169">
        <v>196.85</v>
      </c>
      <c r="C23" s="169">
        <v>15</v>
      </c>
      <c r="D23" s="175" t="s">
        <v>121</v>
      </c>
      <c r="E23" s="179">
        <v>44857</v>
      </c>
      <c r="F23" s="164" t="s">
        <v>92</v>
      </c>
      <c r="G23" s="27">
        <v>17631</v>
      </c>
      <c r="H23" s="24">
        <v>92870</v>
      </c>
      <c r="I23" s="24">
        <v>4854609</v>
      </c>
      <c r="J23" s="27">
        <v>654</v>
      </c>
      <c r="K23" s="24">
        <v>57</v>
      </c>
      <c r="L23" s="137">
        <v>3.8</v>
      </c>
      <c r="M23" s="27">
        <v>5</v>
      </c>
      <c r="N23" s="170">
        <v>130.9</v>
      </c>
      <c r="O23" s="28">
        <v>141.5</v>
      </c>
      <c r="P23" s="28"/>
      <c r="Q23" s="28"/>
      <c r="R23" s="28"/>
      <c r="S23" s="28"/>
      <c r="T23" s="28"/>
      <c r="U23" s="28"/>
      <c r="V23" s="27">
        <v>130.19999999999999</v>
      </c>
      <c r="W23" s="170">
        <v>140.9</v>
      </c>
      <c r="X23" s="166">
        <v>860</v>
      </c>
      <c r="Y23" s="166">
        <v>800</v>
      </c>
      <c r="Z23" s="167">
        <v>900</v>
      </c>
      <c r="AA23" s="167">
        <v>200</v>
      </c>
      <c r="AB23" s="168">
        <v>0.1</v>
      </c>
      <c r="AC23" s="167">
        <v>1700</v>
      </c>
      <c r="AD23" s="167">
        <v>520</v>
      </c>
      <c r="AE23" s="167">
        <v>425</v>
      </c>
      <c r="AF23" s="167">
        <v>520</v>
      </c>
      <c r="AG23" s="167">
        <v>520</v>
      </c>
      <c r="AH23" s="178">
        <v>200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 ht="15.75">
      <c r="A24" s="175" t="s">
        <v>118</v>
      </c>
      <c r="B24" s="169">
        <v>196.85</v>
      </c>
      <c r="C24" s="169">
        <v>15</v>
      </c>
      <c r="D24" s="180" t="s">
        <v>121</v>
      </c>
      <c r="E24" s="179">
        <v>45296</v>
      </c>
      <c r="F24" s="164" t="s">
        <v>92</v>
      </c>
      <c r="G24" s="27" t="s">
        <v>127</v>
      </c>
      <c r="H24" s="24">
        <v>93540</v>
      </c>
      <c r="I24" s="24">
        <v>5459298</v>
      </c>
      <c r="J24" s="181">
        <v>776</v>
      </c>
      <c r="K24" s="24">
        <v>61</v>
      </c>
      <c r="L24" s="137">
        <v>3.5</v>
      </c>
      <c r="M24" s="27">
        <v>9</v>
      </c>
      <c r="N24" s="170">
        <v>133.6</v>
      </c>
      <c r="O24" s="28">
        <v>143</v>
      </c>
      <c r="P24" s="28"/>
      <c r="Q24" s="28"/>
      <c r="R24" s="28"/>
      <c r="S24" s="28"/>
      <c r="T24" s="28"/>
      <c r="U24" s="28"/>
      <c r="V24" s="27">
        <v>130.1</v>
      </c>
      <c r="W24" s="170">
        <v>140.30000000000001</v>
      </c>
      <c r="X24" s="166">
        <v>870</v>
      </c>
      <c r="Y24" s="166">
        <v>800</v>
      </c>
      <c r="Z24" s="167">
        <v>920</v>
      </c>
      <c r="AA24" s="175">
        <v>150</v>
      </c>
      <c r="AB24" s="168">
        <v>0.1</v>
      </c>
      <c r="AC24" s="167">
        <v>1750</v>
      </c>
      <c r="AD24" s="169">
        <v>618</v>
      </c>
      <c r="AE24" s="169">
        <v>550</v>
      </c>
      <c r="AF24" s="169">
        <v>618</v>
      </c>
      <c r="AG24" s="169">
        <v>618</v>
      </c>
      <c r="AH24" s="169">
        <v>150</v>
      </c>
      <c r="AI24"/>
      <c r="AJ24"/>
      <c r="AK24"/>
      <c r="AL24"/>
      <c r="AM24"/>
      <c r="AN24"/>
      <c r="AO24"/>
      <c r="AP24"/>
    </row>
    <row r="25" spans="1:113" ht="15.75">
      <c r="A25" s="175" t="s">
        <v>118</v>
      </c>
      <c r="B25" s="169">
        <v>196.85</v>
      </c>
      <c r="C25" s="169">
        <v>15</v>
      </c>
      <c r="D25" s="180" t="s">
        <v>121</v>
      </c>
      <c r="E25" s="179">
        <v>45296</v>
      </c>
      <c r="F25" s="164" t="s">
        <v>92</v>
      </c>
      <c r="G25" s="27" t="s">
        <v>127</v>
      </c>
      <c r="H25" s="24">
        <v>93540</v>
      </c>
      <c r="I25" s="24">
        <v>5459298</v>
      </c>
      <c r="J25" s="181">
        <v>776</v>
      </c>
      <c r="K25" s="24">
        <v>61</v>
      </c>
      <c r="L25" s="137">
        <v>3.5</v>
      </c>
      <c r="M25" s="27">
        <v>24</v>
      </c>
      <c r="N25" s="170">
        <v>132</v>
      </c>
      <c r="O25" s="28">
        <v>142.9</v>
      </c>
      <c r="P25" s="28">
        <v>137.5</v>
      </c>
      <c r="Q25" s="28">
        <v>150.4</v>
      </c>
      <c r="R25" s="183">
        <v>140</v>
      </c>
      <c r="S25" s="28">
        <v>151</v>
      </c>
      <c r="T25" s="183">
        <v>139.6</v>
      </c>
      <c r="U25" s="28">
        <v>149.69999999999999</v>
      </c>
      <c r="V25" s="27">
        <v>134.69999999999999</v>
      </c>
      <c r="W25" s="170">
        <v>145.5</v>
      </c>
      <c r="X25" s="166">
        <v>870</v>
      </c>
      <c r="Y25" s="166">
        <v>800</v>
      </c>
      <c r="Z25" s="167">
        <v>920</v>
      </c>
      <c r="AA25" s="175">
        <v>150</v>
      </c>
      <c r="AB25" s="168">
        <v>0.1</v>
      </c>
      <c r="AC25" s="167">
        <v>1750</v>
      </c>
      <c r="AD25" s="169">
        <v>618</v>
      </c>
      <c r="AE25" s="169">
        <v>550</v>
      </c>
      <c r="AF25" s="169">
        <v>618</v>
      </c>
      <c r="AG25" s="169">
        <v>618</v>
      </c>
      <c r="AH25" s="169">
        <v>150</v>
      </c>
      <c r="AI25"/>
      <c r="AJ25"/>
      <c r="AK25"/>
      <c r="AL25"/>
      <c r="AM25"/>
      <c r="AN25"/>
      <c r="AO25"/>
      <c r="AP25"/>
    </row>
    <row r="26" spans="1:113" ht="15.75">
      <c r="A26" s="175" t="s">
        <v>118</v>
      </c>
      <c r="B26" s="169">
        <v>196.85</v>
      </c>
      <c r="C26" s="169">
        <v>15</v>
      </c>
      <c r="D26" s="180" t="s">
        <v>121</v>
      </c>
      <c r="E26" s="179">
        <v>45304</v>
      </c>
      <c r="F26" s="164" t="s">
        <v>92</v>
      </c>
      <c r="G26" s="27" t="s">
        <v>130</v>
      </c>
      <c r="H26" s="24">
        <v>93558</v>
      </c>
      <c r="I26" s="24">
        <v>5459298</v>
      </c>
      <c r="J26" s="181">
        <v>776</v>
      </c>
      <c r="K26" s="24">
        <v>61</v>
      </c>
      <c r="L26" s="137">
        <v>3.5</v>
      </c>
      <c r="M26" s="27">
        <v>1</v>
      </c>
      <c r="N26" s="170">
        <v>132.5</v>
      </c>
      <c r="O26" s="28">
        <v>141.19999999999999</v>
      </c>
      <c r="P26" s="28"/>
      <c r="Q26" s="28"/>
      <c r="R26" s="28"/>
      <c r="S26" s="28"/>
      <c r="T26" s="28"/>
      <c r="U26" s="28"/>
      <c r="V26" s="27"/>
      <c r="W26" s="170"/>
      <c r="X26" s="166">
        <v>870</v>
      </c>
      <c r="Y26" s="166">
        <v>800</v>
      </c>
      <c r="Z26" s="167">
        <v>920</v>
      </c>
      <c r="AA26" s="169">
        <v>160</v>
      </c>
      <c r="AB26" s="168">
        <v>0.1</v>
      </c>
      <c r="AC26" s="167">
        <v>1750</v>
      </c>
      <c r="AD26" s="169">
        <v>623</v>
      </c>
      <c r="AE26" s="169">
        <v>550</v>
      </c>
      <c r="AF26" s="169">
        <v>623</v>
      </c>
      <c r="AG26" s="169">
        <v>623</v>
      </c>
      <c r="AH26" s="169">
        <v>160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 ht="15.75">
      <c r="A27" s="175" t="s">
        <v>118</v>
      </c>
      <c r="B27" s="169">
        <v>196.85</v>
      </c>
      <c r="C27" s="169">
        <v>15</v>
      </c>
      <c r="D27" s="180" t="s">
        <v>121</v>
      </c>
      <c r="E27" s="179">
        <v>45304</v>
      </c>
      <c r="F27" s="164" t="s">
        <v>92</v>
      </c>
      <c r="G27" s="27" t="s">
        <v>130</v>
      </c>
      <c r="H27" s="24">
        <v>93558</v>
      </c>
      <c r="I27" s="24">
        <v>5459298</v>
      </c>
      <c r="J27" s="181">
        <v>776</v>
      </c>
      <c r="K27" s="24">
        <v>61</v>
      </c>
      <c r="L27" s="137">
        <v>3.5</v>
      </c>
      <c r="M27" s="27">
        <v>5</v>
      </c>
      <c r="N27" s="170">
        <v>135.4</v>
      </c>
      <c r="O27" s="28">
        <v>144</v>
      </c>
      <c r="P27" s="28">
        <v>136.5</v>
      </c>
      <c r="Q27" s="28">
        <v>144.69999999999999</v>
      </c>
      <c r="R27" s="28">
        <v>135.1</v>
      </c>
      <c r="S27" s="28">
        <v>143.30000000000001</v>
      </c>
      <c r="T27" s="28">
        <v>135.4</v>
      </c>
      <c r="U27" s="28">
        <v>143.69999999999999</v>
      </c>
      <c r="V27" s="27">
        <v>136.1</v>
      </c>
      <c r="W27" s="170">
        <v>145</v>
      </c>
      <c r="X27" s="166">
        <v>870</v>
      </c>
      <c r="Y27" s="166">
        <v>800</v>
      </c>
      <c r="Z27" s="167">
        <v>920</v>
      </c>
      <c r="AA27" s="169">
        <v>160</v>
      </c>
      <c r="AB27" s="168">
        <v>0.1</v>
      </c>
      <c r="AC27" s="167">
        <v>1750</v>
      </c>
      <c r="AD27" s="169">
        <v>623</v>
      </c>
      <c r="AE27" s="169">
        <v>550</v>
      </c>
      <c r="AF27" s="169">
        <v>623</v>
      </c>
      <c r="AG27" s="169">
        <v>623</v>
      </c>
      <c r="AH27" s="169">
        <v>160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 ht="15.75">
      <c r="A28" s="175" t="s">
        <v>118</v>
      </c>
      <c r="B28" s="169">
        <v>196.85</v>
      </c>
      <c r="C28" s="169">
        <v>15</v>
      </c>
      <c r="D28" s="180" t="s">
        <v>121</v>
      </c>
      <c r="E28" s="179">
        <v>45304</v>
      </c>
      <c r="F28" s="164" t="s">
        <v>92</v>
      </c>
      <c r="G28" s="27" t="s">
        <v>130</v>
      </c>
      <c r="H28" s="24">
        <v>93558</v>
      </c>
      <c r="I28" s="24">
        <v>5459298</v>
      </c>
      <c r="J28" s="181">
        <v>776</v>
      </c>
      <c r="K28" s="24">
        <v>61</v>
      </c>
      <c r="L28" s="137">
        <v>3.5</v>
      </c>
      <c r="M28" s="27">
        <v>22</v>
      </c>
      <c r="N28" s="170">
        <v>132.6</v>
      </c>
      <c r="O28" s="28">
        <v>141.5</v>
      </c>
      <c r="P28" s="28"/>
      <c r="Q28" s="28"/>
      <c r="R28" s="28"/>
      <c r="S28" s="28"/>
      <c r="T28" s="28"/>
      <c r="U28" s="28"/>
      <c r="V28" s="27">
        <v>136.6</v>
      </c>
      <c r="W28" s="170">
        <v>145.1</v>
      </c>
      <c r="X28" s="166">
        <v>870</v>
      </c>
      <c r="Y28" s="166">
        <v>800</v>
      </c>
      <c r="Z28" s="167">
        <v>920</v>
      </c>
      <c r="AA28" s="169">
        <v>160</v>
      </c>
      <c r="AB28" s="168">
        <v>0.1</v>
      </c>
      <c r="AC28" s="167">
        <v>1750</v>
      </c>
      <c r="AD28" s="169">
        <v>623</v>
      </c>
      <c r="AE28" s="169">
        <v>550</v>
      </c>
      <c r="AF28" s="169">
        <v>623</v>
      </c>
      <c r="AG28" s="169">
        <v>623</v>
      </c>
      <c r="AH28" s="169">
        <v>160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 ht="15.75">
      <c r="A29" s="175" t="s">
        <v>118</v>
      </c>
      <c r="B29" s="169">
        <v>196.85</v>
      </c>
      <c r="C29" s="169">
        <v>15</v>
      </c>
      <c r="D29" s="180" t="s">
        <v>121</v>
      </c>
      <c r="E29" s="179">
        <v>45388</v>
      </c>
      <c r="F29" s="164" t="s">
        <v>92</v>
      </c>
      <c r="G29" s="27">
        <v>21116</v>
      </c>
      <c r="H29" s="24">
        <v>93683</v>
      </c>
      <c r="I29" s="24">
        <v>5566854</v>
      </c>
      <c r="J29" s="181">
        <v>776</v>
      </c>
      <c r="K29" s="24">
        <v>61</v>
      </c>
      <c r="L29" s="137">
        <v>3.5</v>
      </c>
      <c r="M29" s="27">
        <v>3</v>
      </c>
      <c r="N29" s="170"/>
      <c r="O29" s="28"/>
      <c r="P29" s="28"/>
      <c r="Q29" s="28"/>
      <c r="R29" s="28"/>
      <c r="S29" s="28"/>
      <c r="T29" s="28"/>
      <c r="U29" s="28"/>
      <c r="V29" s="170">
        <v>127</v>
      </c>
      <c r="W29" s="170">
        <v>137.30000000000001</v>
      </c>
      <c r="X29" s="166">
        <v>870</v>
      </c>
      <c r="Y29" s="166">
        <v>800</v>
      </c>
      <c r="Z29" s="167">
        <v>920</v>
      </c>
      <c r="AA29" s="169">
        <v>160</v>
      </c>
      <c r="AB29" s="168">
        <v>0.1</v>
      </c>
      <c r="AC29" s="167">
        <v>1750</v>
      </c>
      <c r="AD29" s="169">
        <v>627</v>
      </c>
      <c r="AE29" s="169">
        <v>550</v>
      </c>
      <c r="AF29" s="169">
        <v>627</v>
      </c>
      <c r="AG29" s="169">
        <v>627</v>
      </c>
      <c r="AH29" s="169">
        <v>160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 ht="15.75">
      <c r="A30" s="175" t="s">
        <v>118</v>
      </c>
      <c r="B30" s="169">
        <v>196.85</v>
      </c>
      <c r="C30" s="169">
        <v>15</v>
      </c>
      <c r="D30" s="180" t="s">
        <v>121</v>
      </c>
      <c r="E30" s="179">
        <v>45388</v>
      </c>
      <c r="F30" s="164" t="s">
        <v>92</v>
      </c>
      <c r="G30" s="27">
        <v>21116</v>
      </c>
      <c r="H30" s="24">
        <v>93683</v>
      </c>
      <c r="I30" s="24">
        <v>5566854</v>
      </c>
      <c r="J30" s="181">
        <v>776</v>
      </c>
      <c r="K30" s="24">
        <v>61</v>
      </c>
      <c r="L30" s="137">
        <v>3.5</v>
      </c>
      <c r="M30" s="27">
        <v>13</v>
      </c>
      <c r="N30" s="170">
        <v>130.69999999999999</v>
      </c>
      <c r="O30" s="28">
        <v>140</v>
      </c>
      <c r="P30" s="28"/>
      <c r="Q30" s="28"/>
      <c r="R30" s="28"/>
      <c r="S30" s="28"/>
      <c r="T30" s="28"/>
      <c r="U30" s="28"/>
      <c r="V30" s="27"/>
      <c r="W30" s="170"/>
      <c r="X30" s="166">
        <v>870</v>
      </c>
      <c r="Y30" s="166">
        <v>800</v>
      </c>
      <c r="Z30" s="167">
        <v>920</v>
      </c>
      <c r="AA30" s="169">
        <v>160</v>
      </c>
      <c r="AB30" s="168">
        <v>0.1</v>
      </c>
      <c r="AC30" s="167">
        <v>1750</v>
      </c>
      <c r="AD30" s="169">
        <v>627</v>
      </c>
      <c r="AE30" s="169">
        <v>550</v>
      </c>
      <c r="AF30" s="169">
        <v>627</v>
      </c>
      <c r="AG30" s="169">
        <v>627</v>
      </c>
      <c r="AH30" s="169">
        <v>160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 ht="15.75">
      <c r="A31" s="175" t="s">
        <v>118</v>
      </c>
      <c r="B31" s="169">
        <v>196.85</v>
      </c>
      <c r="C31" s="169">
        <v>15</v>
      </c>
      <c r="D31" s="180" t="s">
        <v>121</v>
      </c>
      <c r="E31" s="179">
        <v>45461</v>
      </c>
      <c r="F31" s="164" t="s">
        <v>92</v>
      </c>
      <c r="G31" s="27">
        <v>21599</v>
      </c>
      <c r="H31" s="24">
        <v>93802</v>
      </c>
      <c r="I31" s="24">
        <v>5637109</v>
      </c>
      <c r="J31" s="181">
        <v>776</v>
      </c>
      <c r="K31" s="24">
        <v>63</v>
      </c>
      <c r="L31" s="27">
        <v>3.17</v>
      </c>
      <c r="M31" s="27">
        <v>9</v>
      </c>
      <c r="N31" s="170">
        <v>128.69999999999999</v>
      </c>
      <c r="O31" s="28">
        <v>140.4</v>
      </c>
      <c r="P31" s="28"/>
      <c r="Q31" s="28"/>
      <c r="R31" s="28"/>
      <c r="S31" s="28"/>
      <c r="T31" s="28"/>
      <c r="U31" s="28"/>
      <c r="V31" s="27"/>
      <c r="W31" s="170"/>
      <c r="X31" s="166">
        <v>870</v>
      </c>
      <c r="Y31" s="166">
        <v>800</v>
      </c>
      <c r="Z31" s="167">
        <v>920</v>
      </c>
      <c r="AA31" s="169">
        <v>160</v>
      </c>
      <c r="AB31" s="168">
        <v>0.1</v>
      </c>
      <c r="AC31" s="167">
        <v>1750</v>
      </c>
      <c r="AD31" s="169">
        <v>624</v>
      </c>
      <c r="AE31" s="169">
        <v>550</v>
      </c>
      <c r="AF31" s="169">
        <v>624</v>
      </c>
      <c r="AG31" s="169">
        <v>624</v>
      </c>
      <c r="AH31" s="169">
        <v>160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 ht="15.75">
      <c r="A32" s="175" t="s">
        <v>118</v>
      </c>
      <c r="B32" s="169">
        <v>196.85</v>
      </c>
      <c r="C32" s="169">
        <v>15</v>
      </c>
      <c r="D32" s="180" t="s">
        <v>121</v>
      </c>
      <c r="E32" s="179">
        <v>45461</v>
      </c>
      <c r="F32" s="164" t="s">
        <v>92</v>
      </c>
      <c r="G32" s="27">
        <v>21599</v>
      </c>
      <c r="H32" s="24">
        <v>93802</v>
      </c>
      <c r="I32" s="24">
        <v>5637109</v>
      </c>
      <c r="J32" s="181">
        <v>776</v>
      </c>
      <c r="K32" s="24">
        <v>63</v>
      </c>
      <c r="L32" s="27">
        <v>3.17</v>
      </c>
      <c r="M32" s="27">
        <v>29</v>
      </c>
      <c r="N32" s="170"/>
      <c r="O32" s="28"/>
      <c r="P32" s="28"/>
      <c r="Q32" s="28"/>
      <c r="R32" s="28"/>
      <c r="S32" s="28"/>
      <c r="T32" s="28"/>
      <c r="U32" s="28"/>
      <c r="V32" s="27">
        <v>128.9</v>
      </c>
      <c r="W32" s="170">
        <v>140.6</v>
      </c>
      <c r="X32" s="166">
        <v>870</v>
      </c>
      <c r="Y32" s="166">
        <v>800</v>
      </c>
      <c r="Z32" s="167">
        <v>920</v>
      </c>
      <c r="AA32" s="169">
        <v>160</v>
      </c>
      <c r="AB32" s="168">
        <v>0.1</v>
      </c>
      <c r="AC32" s="167">
        <v>1750</v>
      </c>
      <c r="AD32" s="169">
        <v>624</v>
      </c>
      <c r="AE32" s="169">
        <v>550</v>
      </c>
      <c r="AF32" s="169">
        <v>624</v>
      </c>
      <c r="AG32" s="169">
        <v>624</v>
      </c>
      <c r="AH32" s="169">
        <v>160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113" ht="15.75">
      <c r="A33" s="175" t="s">
        <v>118</v>
      </c>
      <c r="B33" s="169">
        <v>196.85</v>
      </c>
      <c r="C33" s="169">
        <v>15</v>
      </c>
      <c r="D33" s="180" t="s">
        <v>121</v>
      </c>
      <c r="E33" s="179">
        <v>45485</v>
      </c>
      <c r="F33" s="164" t="s">
        <v>92</v>
      </c>
      <c r="G33" s="27">
        <v>21777</v>
      </c>
      <c r="H33" s="24">
        <v>93806</v>
      </c>
      <c r="I33" s="24">
        <v>5637109</v>
      </c>
      <c r="J33" s="181">
        <v>776</v>
      </c>
      <c r="K33" s="24">
        <v>63</v>
      </c>
      <c r="L33" s="27">
        <v>3.17</v>
      </c>
      <c r="M33" s="27">
        <v>3</v>
      </c>
      <c r="N33" s="170">
        <v>127.9</v>
      </c>
      <c r="O33" s="28">
        <v>139.5</v>
      </c>
      <c r="P33" s="28"/>
      <c r="Q33" s="28"/>
      <c r="R33" s="28"/>
      <c r="S33" s="28"/>
      <c r="T33" s="28"/>
      <c r="U33" s="28"/>
      <c r="V33" s="27">
        <v>130.9</v>
      </c>
      <c r="W33" s="170">
        <v>140.1</v>
      </c>
      <c r="X33" s="166">
        <v>870</v>
      </c>
      <c r="Y33" s="166">
        <v>800</v>
      </c>
      <c r="Z33" s="167">
        <v>920</v>
      </c>
      <c r="AA33" s="169">
        <v>160</v>
      </c>
      <c r="AB33" s="168">
        <v>0.1</v>
      </c>
      <c r="AC33" s="167">
        <v>1750</v>
      </c>
      <c r="AD33" s="169">
        <v>624</v>
      </c>
      <c r="AE33" s="169">
        <v>550</v>
      </c>
      <c r="AF33" s="169">
        <v>624</v>
      </c>
      <c r="AG33" s="169">
        <v>624</v>
      </c>
      <c r="AH33" s="169">
        <v>160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</row>
    <row r="34" spans="1:113" ht="15.75">
      <c r="A34" s="175" t="s">
        <v>118</v>
      </c>
      <c r="B34" s="169">
        <v>196.85</v>
      </c>
      <c r="C34" s="169">
        <v>15</v>
      </c>
      <c r="D34" s="180" t="s">
        <v>121</v>
      </c>
      <c r="E34" s="179">
        <v>45548</v>
      </c>
      <c r="F34" s="164" t="s">
        <v>92</v>
      </c>
      <c r="G34" s="27">
        <v>22015</v>
      </c>
      <c r="H34" s="24">
        <v>93867</v>
      </c>
      <c r="I34" s="24">
        <v>5682637</v>
      </c>
      <c r="J34" s="181">
        <v>776</v>
      </c>
      <c r="K34" s="24">
        <v>61</v>
      </c>
      <c r="L34" s="27">
        <v>3.27</v>
      </c>
      <c r="M34" s="27">
        <v>1</v>
      </c>
      <c r="N34" s="170">
        <v>126.8</v>
      </c>
      <c r="O34" s="28">
        <v>137.9</v>
      </c>
      <c r="P34" s="28"/>
      <c r="Q34" s="28"/>
      <c r="R34" s="28"/>
      <c r="S34" s="28"/>
      <c r="T34" s="28"/>
      <c r="U34" s="28"/>
      <c r="V34" s="27"/>
      <c r="W34" s="170"/>
      <c r="X34" s="166">
        <v>870</v>
      </c>
      <c r="Y34" s="166">
        <v>800</v>
      </c>
      <c r="Z34" s="167">
        <v>920</v>
      </c>
      <c r="AA34" s="169">
        <v>160</v>
      </c>
      <c r="AB34" s="168">
        <v>0.1</v>
      </c>
      <c r="AC34" s="167">
        <v>1750</v>
      </c>
      <c r="AD34" s="169">
        <v>622</v>
      </c>
      <c r="AE34" s="169">
        <v>550</v>
      </c>
      <c r="AF34" s="169">
        <v>622</v>
      </c>
      <c r="AG34" s="169">
        <v>622</v>
      </c>
      <c r="AH34" s="169">
        <v>160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</row>
    <row r="35" spans="1:113" ht="15.75">
      <c r="A35" s="175" t="s">
        <v>118</v>
      </c>
      <c r="B35" s="169">
        <v>196.85</v>
      </c>
      <c r="C35" s="169">
        <v>15</v>
      </c>
      <c r="D35" s="180" t="s">
        <v>121</v>
      </c>
      <c r="E35" s="179">
        <v>45548</v>
      </c>
      <c r="F35" s="164" t="s">
        <v>92</v>
      </c>
      <c r="G35" s="27">
        <v>22016</v>
      </c>
      <c r="H35" s="24">
        <v>93892</v>
      </c>
      <c r="I35" s="24">
        <v>5682637</v>
      </c>
      <c r="J35" s="181">
        <v>776</v>
      </c>
      <c r="K35" s="173">
        <v>63</v>
      </c>
      <c r="L35" s="27">
        <v>3.17</v>
      </c>
      <c r="M35" s="27">
        <v>2</v>
      </c>
      <c r="N35" s="27">
        <v>129.6</v>
      </c>
      <c r="O35" s="28">
        <v>138.69999999999999</v>
      </c>
      <c r="P35" s="176"/>
      <c r="Q35" s="176"/>
      <c r="R35" s="176"/>
      <c r="S35" s="176"/>
      <c r="T35" s="176"/>
      <c r="U35" s="176"/>
      <c r="V35" s="174"/>
      <c r="W35" s="174"/>
      <c r="X35" s="166">
        <v>870</v>
      </c>
      <c r="Y35" s="166">
        <v>800</v>
      </c>
      <c r="Z35" s="167">
        <v>920</v>
      </c>
      <c r="AA35" s="169">
        <v>160</v>
      </c>
      <c r="AB35" s="168">
        <v>0.1</v>
      </c>
      <c r="AC35" s="167">
        <v>1750</v>
      </c>
      <c r="AD35" s="169">
        <v>622</v>
      </c>
      <c r="AE35" s="169">
        <v>550</v>
      </c>
      <c r="AF35" s="169">
        <v>622</v>
      </c>
      <c r="AG35" s="169">
        <v>622</v>
      </c>
      <c r="AH35" s="169">
        <v>160</v>
      </c>
    </row>
    <row r="36" spans="1:113" ht="15.75">
      <c r="A36" s="175" t="s">
        <v>118</v>
      </c>
      <c r="B36" s="169">
        <v>196.85</v>
      </c>
      <c r="C36" s="169">
        <v>15</v>
      </c>
      <c r="D36" s="180" t="s">
        <v>121</v>
      </c>
      <c r="E36" s="179">
        <v>45624</v>
      </c>
      <c r="F36" s="164" t="s">
        <v>92</v>
      </c>
      <c r="G36" s="27">
        <v>22403</v>
      </c>
      <c r="H36" s="24">
        <v>93992</v>
      </c>
      <c r="I36" s="173">
        <v>5737945</v>
      </c>
      <c r="J36" s="181">
        <v>776</v>
      </c>
      <c r="K36" s="173">
        <v>63</v>
      </c>
      <c r="L36" s="27">
        <v>3.17</v>
      </c>
      <c r="M36" s="27" t="s">
        <v>138</v>
      </c>
      <c r="N36" s="27">
        <v>129.5</v>
      </c>
      <c r="O36" s="28">
        <v>139</v>
      </c>
      <c r="P36" s="176"/>
      <c r="Q36" s="176"/>
      <c r="R36" s="176"/>
      <c r="S36" s="176"/>
      <c r="T36" s="176"/>
      <c r="U36" s="176"/>
      <c r="V36" s="174"/>
      <c r="W36" s="174"/>
      <c r="X36" s="166">
        <v>870</v>
      </c>
      <c r="Y36" s="166">
        <v>800</v>
      </c>
      <c r="Z36" s="167">
        <v>920</v>
      </c>
      <c r="AA36" s="169">
        <v>160</v>
      </c>
      <c r="AB36" s="168">
        <v>0.1</v>
      </c>
      <c r="AC36" s="167">
        <v>1750</v>
      </c>
      <c r="AD36" s="169">
        <v>619</v>
      </c>
      <c r="AE36" s="169">
        <v>550</v>
      </c>
      <c r="AF36" s="169">
        <v>619</v>
      </c>
      <c r="AG36" s="169">
        <v>619</v>
      </c>
      <c r="AH36" s="169">
        <v>160</v>
      </c>
    </row>
    <row r="37" spans="1:113" ht="15.75">
      <c r="A37" s="175" t="s">
        <v>118</v>
      </c>
      <c r="B37" s="169">
        <v>196.85</v>
      </c>
      <c r="C37" s="169">
        <v>15</v>
      </c>
      <c r="D37" s="180" t="s">
        <v>121</v>
      </c>
      <c r="E37" s="179">
        <v>45624</v>
      </c>
      <c r="F37" s="164" t="s">
        <v>92</v>
      </c>
      <c r="G37" s="27">
        <v>22403</v>
      </c>
      <c r="H37" s="24">
        <v>93992</v>
      </c>
      <c r="I37" s="173">
        <v>5737945</v>
      </c>
      <c r="J37" s="181">
        <v>776</v>
      </c>
      <c r="K37" s="173">
        <v>63</v>
      </c>
      <c r="L37" s="27">
        <v>3.17</v>
      </c>
      <c r="M37" s="27">
        <v>5</v>
      </c>
      <c r="N37" s="174"/>
      <c r="O37" s="176"/>
      <c r="P37" s="176"/>
      <c r="Q37" s="176"/>
      <c r="R37" s="176"/>
      <c r="S37" s="176"/>
      <c r="T37" s="176"/>
      <c r="U37" s="176"/>
      <c r="V37" s="27">
        <v>130.80000000000001</v>
      </c>
      <c r="W37" s="170">
        <v>139.80000000000001</v>
      </c>
      <c r="X37" s="166">
        <v>870</v>
      </c>
      <c r="Y37" s="166">
        <v>800</v>
      </c>
      <c r="Z37" s="167">
        <v>920</v>
      </c>
      <c r="AA37" s="169">
        <v>160</v>
      </c>
      <c r="AB37" s="168">
        <v>0.1</v>
      </c>
      <c r="AC37" s="167">
        <v>1750</v>
      </c>
      <c r="AD37" s="169">
        <v>619</v>
      </c>
      <c r="AE37" s="169">
        <v>550</v>
      </c>
      <c r="AF37" s="169">
        <v>619</v>
      </c>
      <c r="AG37" s="169">
        <v>619</v>
      </c>
      <c r="AH37" s="169">
        <v>160</v>
      </c>
    </row>
    <row r="38" spans="1:113" ht="15.75">
      <c r="A38" s="175" t="s">
        <v>118</v>
      </c>
      <c r="B38" s="169">
        <v>196.85</v>
      </c>
      <c r="C38" s="169">
        <v>15</v>
      </c>
      <c r="D38" s="180" t="s">
        <v>121</v>
      </c>
      <c r="E38" s="179">
        <v>45624</v>
      </c>
      <c r="F38" s="164" t="s">
        <v>92</v>
      </c>
      <c r="G38" s="27">
        <v>22403</v>
      </c>
      <c r="H38" s="24">
        <v>93992</v>
      </c>
      <c r="I38" s="173">
        <v>5737945</v>
      </c>
      <c r="J38" s="181">
        <v>776</v>
      </c>
      <c r="K38" s="173">
        <v>63</v>
      </c>
      <c r="L38" s="27">
        <v>3.17</v>
      </c>
      <c r="M38" s="27">
        <v>10</v>
      </c>
      <c r="N38" s="27">
        <v>129.4</v>
      </c>
      <c r="O38" s="28">
        <v>140.30000000000001</v>
      </c>
      <c r="P38" s="176"/>
      <c r="Q38" s="176"/>
      <c r="R38" s="176"/>
      <c r="S38" s="176"/>
      <c r="T38" s="176"/>
      <c r="U38" s="176"/>
      <c r="V38" s="27"/>
      <c r="W38" s="170"/>
      <c r="X38" s="166">
        <v>870</v>
      </c>
      <c r="Y38" s="166">
        <v>800</v>
      </c>
      <c r="Z38" s="167">
        <v>920</v>
      </c>
      <c r="AA38" s="169">
        <v>160</v>
      </c>
      <c r="AB38" s="168">
        <v>0.1</v>
      </c>
      <c r="AC38" s="167">
        <v>1750</v>
      </c>
      <c r="AD38" s="169">
        <v>619</v>
      </c>
      <c r="AE38" s="169">
        <v>550</v>
      </c>
      <c r="AF38" s="169">
        <v>619</v>
      </c>
      <c r="AG38" s="169">
        <v>619</v>
      </c>
      <c r="AH38" s="169">
        <v>160</v>
      </c>
    </row>
    <row r="39" spans="1:113" ht="15.75">
      <c r="A39" s="175" t="s">
        <v>118</v>
      </c>
      <c r="B39" s="169">
        <v>196.85</v>
      </c>
      <c r="C39" s="169">
        <v>15</v>
      </c>
      <c r="D39" s="180" t="s">
        <v>121</v>
      </c>
      <c r="E39" s="179">
        <v>45654</v>
      </c>
      <c r="F39" s="164" t="s">
        <v>92</v>
      </c>
      <c r="G39" s="27">
        <v>22506</v>
      </c>
      <c r="H39" s="24">
        <v>94001</v>
      </c>
      <c r="I39" s="173">
        <v>5737991</v>
      </c>
      <c r="J39" s="181">
        <v>776</v>
      </c>
      <c r="K39" s="173">
        <v>61</v>
      </c>
      <c r="L39" s="27">
        <v>3.27</v>
      </c>
      <c r="M39" s="27">
        <v>1</v>
      </c>
      <c r="N39" s="27">
        <v>127.3</v>
      </c>
      <c r="O39" s="28">
        <v>139</v>
      </c>
      <c r="P39" s="176"/>
      <c r="Q39" s="176"/>
      <c r="R39" s="176"/>
      <c r="S39" s="176"/>
      <c r="T39" s="176"/>
      <c r="U39" s="176"/>
      <c r="V39" s="27"/>
      <c r="W39" s="170"/>
      <c r="X39" s="166">
        <v>870</v>
      </c>
      <c r="Y39" s="166">
        <v>800</v>
      </c>
      <c r="Z39" s="167">
        <v>920</v>
      </c>
      <c r="AA39" s="169">
        <v>160</v>
      </c>
      <c r="AB39" s="168">
        <v>0.1</v>
      </c>
      <c r="AC39" s="167">
        <v>1750</v>
      </c>
      <c r="AD39" s="169">
        <v>618</v>
      </c>
      <c r="AE39" s="169">
        <v>550</v>
      </c>
      <c r="AF39" s="169">
        <v>618</v>
      </c>
      <c r="AG39" s="169">
        <v>618</v>
      </c>
      <c r="AH39" s="169">
        <v>160</v>
      </c>
    </row>
    <row r="40" spans="1:113" ht="15.75">
      <c r="A40" s="175" t="s">
        <v>118</v>
      </c>
      <c r="B40" s="169">
        <v>196.85</v>
      </c>
      <c r="C40" s="169">
        <v>15</v>
      </c>
      <c r="D40" s="180" t="s">
        <v>121</v>
      </c>
      <c r="E40" s="179">
        <v>45654</v>
      </c>
      <c r="F40" s="164" t="s">
        <v>92</v>
      </c>
      <c r="G40" s="27">
        <v>22506</v>
      </c>
      <c r="H40" s="24">
        <v>94001</v>
      </c>
      <c r="I40" s="173">
        <v>5737991</v>
      </c>
      <c r="J40" s="181">
        <v>776</v>
      </c>
      <c r="K40" s="173">
        <v>61</v>
      </c>
      <c r="L40" s="27">
        <v>3.27</v>
      </c>
      <c r="M40" s="27">
        <v>11</v>
      </c>
      <c r="N40" s="27"/>
      <c r="O40" s="28"/>
      <c r="P40" s="176"/>
      <c r="Q40" s="176"/>
      <c r="R40" s="176"/>
      <c r="S40" s="176"/>
      <c r="T40" s="176"/>
      <c r="U40" s="176"/>
      <c r="V40" s="27">
        <v>130.4</v>
      </c>
      <c r="W40" s="170">
        <v>141.80000000000001</v>
      </c>
      <c r="X40" s="166">
        <v>870</v>
      </c>
      <c r="Y40" s="166">
        <v>800</v>
      </c>
      <c r="Z40" s="167">
        <v>920</v>
      </c>
      <c r="AA40" s="169">
        <v>160</v>
      </c>
      <c r="AB40" s="168">
        <v>0.1</v>
      </c>
      <c r="AC40" s="167">
        <v>1750</v>
      </c>
      <c r="AD40" s="169">
        <v>618</v>
      </c>
      <c r="AE40" s="169">
        <v>550</v>
      </c>
      <c r="AF40" s="169">
        <v>618</v>
      </c>
      <c r="AG40" s="169">
        <v>618</v>
      </c>
      <c r="AH40" s="169">
        <v>160</v>
      </c>
    </row>
    <row r="41" spans="1:113">
      <c r="A41" s="169"/>
      <c r="B41" s="169"/>
      <c r="C41" s="169"/>
      <c r="D41" s="169"/>
      <c r="E41" s="174"/>
      <c r="F41" s="174"/>
      <c r="G41" s="174"/>
      <c r="H41" s="173"/>
      <c r="I41" s="173"/>
      <c r="J41" s="174"/>
      <c r="K41" s="173"/>
      <c r="L41" s="174"/>
      <c r="M41" s="174"/>
      <c r="N41" s="27"/>
      <c r="O41" s="28"/>
      <c r="P41" s="176"/>
      <c r="Q41" s="176"/>
      <c r="R41" s="176"/>
      <c r="S41" s="176"/>
      <c r="T41" s="176"/>
      <c r="U41" s="176"/>
      <c r="V41" s="27"/>
      <c r="W41" s="170"/>
      <c r="X41" s="177"/>
      <c r="Y41" s="177"/>
      <c r="Z41" s="177"/>
      <c r="AA41" s="177"/>
      <c r="AB41" s="177"/>
      <c r="AC41" s="177"/>
      <c r="AD41" s="177"/>
      <c r="AE41" s="177"/>
      <c r="AF41" s="177"/>
      <c r="AG41" s="177"/>
      <c r="AH41" s="177"/>
    </row>
    <row r="42" spans="1:113">
      <c r="A42" s="169"/>
      <c r="B42" s="169"/>
      <c r="C42" s="169"/>
      <c r="D42" s="169"/>
      <c r="E42" s="174"/>
      <c r="F42" s="174"/>
      <c r="G42" s="174"/>
      <c r="H42" s="173"/>
      <c r="I42" s="173"/>
      <c r="J42" s="174"/>
      <c r="K42" s="173"/>
      <c r="L42" s="174"/>
      <c r="M42" s="174"/>
      <c r="N42" s="27"/>
      <c r="O42" s="28"/>
      <c r="P42" s="176"/>
      <c r="Q42" s="176"/>
      <c r="R42" s="176"/>
      <c r="S42" s="176"/>
      <c r="T42" s="176"/>
      <c r="U42" s="176"/>
      <c r="V42" s="27"/>
      <c r="W42" s="170"/>
      <c r="X42" s="177"/>
      <c r="Y42" s="177"/>
      <c r="Z42" s="177"/>
      <c r="AA42" s="177"/>
      <c r="AB42" s="177"/>
      <c r="AC42" s="177"/>
      <c r="AD42" s="177"/>
      <c r="AE42" s="177"/>
      <c r="AF42" s="177"/>
      <c r="AG42" s="177"/>
      <c r="AH42" s="177"/>
    </row>
    <row r="43" spans="1:113">
      <c r="A43" s="169"/>
      <c r="B43" s="169"/>
      <c r="C43" s="169"/>
      <c r="D43" s="169"/>
      <c r="E43" s="174"/>
      <c r="F43" s="174"/>
      <c r="G43" s="174"/>
      <c r="H43" s="173"/>
      <c r="I43" s="173"/>
      <c r="J43" s="174"/>
      <c r="K43" s="173"/>
      <c r="L43" s="174"/>
      <c r="M43" s="174"/>
      <c r="N43" s="27"/>
      <c r="O43" s="28"/>
      <c r="P43" s="176"/>
      <c r="Q43" s="176"/>
      <c r="R43" s="176"/>
      <c r="S43" s="176"/>
      <c r="T43" s="176"/>
      <c r="U43" s="176"/>
      <c r="V43" s="27"/>
      <c r="W43" s="170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</row>
    <row r="44" spans="1:113">
      <c r="A44" s="169"/>
      <c r="B44" s="169"/>
      <c r="C44" s="169"/>
      <c r="D44" s="169"/>
      <c r="E44" s="174"/>
      <c r="F44" s="174"/>
      <c r="G44" s="174"/>
      <c r="H44" s="173"/>
      <c r="I44" s="173"/>
      <c r="J44" s="174"/>
      <c r="K44" s="173"/>
      <c r="L44" s="174"/>
      <c r="M44" s="174"/>
      <c r="N44" s="27"/>
      <c r="O44" s="28"/>
      <c r="P44" s="176"/>
      <c r="Q44" s="176"/>
      <c r="R44" s="176"/>
      <c r="S44" s="176"/>
      <c r="T44" s="176"/>
      <c r="U44" s="176"/>
      <c r="V44" s="27"/>
      <c r="W44" s="170"/>
      <c r="X44" s="177"/>
      <c r="Y44" s="177"/>
      <c r="Z44" s="177"/>
      <c r="AA44" s="177"/>
      <c r="AB44" s="177"/>
      <c r="AC44" s="177"/>
      <c r="AD44" s="177"/>
      <c r="AE44" s="177"/>
      <c r="AF44" s="177"/>
      <c r="AG44" s="177"/>
      <c r="AH44" s="177"/>
    </row>
    <row r="45" spans="1:113">
      <c r="A45" s="169"/>
      <c r="B45" s="169"/>
      <c r="C45" s="169"/>
      <c r="D45" s="169"/>
      <c r="E45" s="174"/>
      <c r="F45" s="174"/>
      <c r="G45" s="174"/>
      <c r="H45" s="173"/>
      <c r="I45" s="173"/>
      <c r="J45" s="174"/>
      <c r="K45" s="173"/>
      <c r="L45" s="174"/>
      <c r="M45" s="174"/>
      <c r="N45" s="27"/>
      <c r="O45" s="28"/>
      <c r="P45" s="176"/>
      <c r="Q45" s="176"/>
      <c r="R45" s="176"/>
      <c r="S45" s="176"/>
      <c r="T45" s="176"/>
      <c r="U45" s="176"/>
      <c r="V45" s="27"/>
      <c r="W45" s="170"/>
      <c r="X45" s="177"/>
      <c r="Y45" s="177"/>
      <c r="Z45" s="177"/>
      <c r="AA45" s="177"/>
      <c r="AB45" s="177"/>
      <c r="AC45" s="177"/>
      <c r="AD45" s="177"/>
      <c r="AE45" s="177"/>
      <c r="AF45" s="177"/>
      <c r="AG45" s="177"/>
      <c r="AH45" s="177"/>
    </row>
    <row r="46" spans="1:113">
      <c r="A46" s="169"/>
      <c r="B46" s="169"/>
      <c r="C46" s="169"/>
      <c r="D46" s="169"/>
      <c r="E46" s="174"/>
      <c r="F46" s="174"/>
      <c r="G46" s="174"/>
      <c r="H46" s="173"/>
      <c r="I46" s="173"/>
      <c r="J46" s="174"/>
      <c r="K46" s="173"/>
      <c r="L46" s="174"/>
      <c r="M46" s="174"/>
      <c r="N46" s="27"/>
      <c r="O46" s="28"/>
      <c r="P46" s="176"/>
      <c r="Q46" s="176"/>
      <c r="R46" s="176"/>
      <c r="S46" s="176"/>
      <c r="T46" s="176"/>
      <c r="U46" s="176"/>
      <c r="V46" s="27"/>
      <c r="W46" s="170"/>
      <c r="X46" s="177"/>
      <c r="Y46" s="177"/>
      <c r="Z46" s="177"/>
      <c r="AA46" s="177"/>
      <c r="AB46" s="177"/>
      <c r="AC46" s="177"/>
      <c r="AD46" s="177"/>
      <c r="AE46" s="177"/>
      <c r="AF46" s="177"/>
      <c r="AG46" s="177"/>
      <c r="AH46" s="177"/>
    </row>
    <row r="47" spans="1:113">
      <c r="A47" s="169"/>
      <c r="B47" s="169"/>
      <c r="C47" s="169"/>
      <c r="D47" s="169"/>
      <c r="E47" s="174"/>
      <c r="F47" s="174"/>
      <c r="G47" s="174"/>
      <c r="H47" s="173"/>
      <c r="I47" s="173"/>
      <c r="J47" s="174"/>
      <c r="K47" s="173"/>
      <c r="L47" s="174"/>
      <c r="M47" s="174"/>
      <c r="N47" s="27"/>
      <c r="O47" s="28"/>
      <c r="P47" s="176"/>
      <c r="Q47" s="176"/>
      <c r="R47" s="176"/>
      <c r="S47" s="176"/>
      <c r="T47" s="176"/>
      <c r="U47" s="176"/>
      <c r="V47" s="27"/>
      <c r="W47" s="170"/>
      <c r="X47" s="177"/>
      <c r="Y47" s="177"/>
      <c r="Z47" s="177"/>
      <c r="AA47" s="177"/>
      <c r="AB47" s="177"/>
      <c r="AC47" s="177"/>
      <c r="AD47" s="177"/>
      <c r="AE47" s="177"/>
      <c r="AF47" s="177"/>
      <c r="AG47" s="177"/>
      <c r="AH47" s="177"/>
    </row>
    <row r="48" spans="1:113">
      <c r="A48" s="169"/>
      <c r="B48" s="169"/>
      <c r="C48" s="169"/>
      <c r="D48" s="169"/>
      <c r="E48" s="174"/>
      <c r="F48" s="174"/>
      <c r="G48" s="174"/>
      <c r="H48" s="173"/>
      <c r="I48" s="173"/>
      <c r="J48" s="174"/>
      <c r="K48" s="173"/>
      <c r="L48" s="174"/>
      <c r="M48" s="174"/>
      <c r="N48" s="27"/>
      <c r="O48" s="28"/>
      <c r="P48" s="176"/>
      <c r="Q48" s="176"/>
      <c r="R48" s="176"/>
      <c r="S48" s="176"/>
      <c r="T48" s="176"/>
      <c r="U48" s="176"/>
      <c r="V48" s="27"/>
      <c r="W48" s="170"/>
      <c r="X48" s="177"/>
      <c r="Y48" s="177"/>
      <c r="Z48" s="177"/>
      <c r="AA48" s="177"/>
      <c r="AB48" s="177"/>
      <c r="AC48" s="177"/>
      <c r="AD48" s="177"/>
      <c r="AE48" s="177"/>
      <c r="AF48" s="177"/>
      <c r="AG48" s="177"/>
      <c r="AH48" s="177"/>
    </row>
    <row r="49" spans="1:34">
      <c r="A49" s="169"/>
      <c r="B49" s="169"/>
      <c r="C49" s="169"/>
      <c r="D49" s="169"/>
      <c r="E49" s="174"/>
      <c r="F49" s="174"/>
      <c r="G49" s="174"/>
      <c r="H49" s="173"/>
      <c r="I49" s="173"/>
      <c r="J49" s="174"/>
      <c r="K49" s="173"/>
      <c r="L49" s="174"/>
      <c r="M49" s="174"/>
      <c r="N49" s="27"/>
      <c r="O49" s="28"/>
      <c r="P49" s="176"/>
      <c r="Q49" s="176"/>
      <c r="R49" s="176"/>
      <c r="S49" s="176"/>
      <c r="T49" s="176"/>
      <c r="U49" s="176"/>
      <c r="V49" s="27"/>
      <c r="W49" s="170"/>
      <c r="X49" s="177"/>
      <c r="Y49" s="177"/>
      <c r="Z49" s="177"/>
      <c r="AA49" s="177"/>
      <c r="AB49" s="177"/>
      <c r="AC49" s="177"/>
      <c r="AD49" s="177"/>
      <c r="AE49" s="177"/>
      <c r="AF49" s="177"/>
      <c r="AG49" s="177"/>
      <c r="AH49" s="177"/>
    </row>
    <row r="50" spans="1:34">
      <c r="A50" s="169"/>
      <c r="B50" s="169"/>
      <c r="C50" s="169"/>
      <c r="D50" s="169"/>
      <c r="E50" s="174"/>
      <c r="F50" s="174"/>
      <c r="G50" s="174"/>
      <c r="H50" s="173"/>
      <c r="I50" s="173"/>
      <c r="J50" s="174"/>
      <c r="K50" s="173"/>
      <c r="L50" s="174"/>
      <c r="M50" s="174"/>
      <c r="N50" s="27"/>
      <c r="O50" s="28"/>
      <c r="P50" s="176"/>
      <c r="Q50" s="176"/>
      <c r="R50" s="176"/>
      <c r="S50" s="176"/>
      <c r="T50" s="176"/>
      <c r="U50" s="176"/>
      <c r="V50" s="27"/>
      <c r="W50" s="170"/>
      <c r="X50" s="177"/>
      <c r="Y50" s="177"/>
      <c r="Z50" s="177"/>
      <c r="AA50" s="177"/>
      <c r="AB50" s="177"/>
      <c r="AC50" s="177"/>
      <c r="AD50" s="177"/>
      <c r="AE50" s="177"/>
      <c r="AF50" s="177"/>
      <c r="AG50" s="177"/>
      <c r="AH50" s="177"/>
    </row>
    <row r="51" spans="1:34">
      <c r="A51" s="169"/>
      <c r="B51" s="169"/>
      <c r="C51" s="169"/>
      <c r="D51" s="169"/>
      <c r="E51" s="174"/>
      <c r="F51" s="174"/>
      <c r="G51" s="174"/>
      <c r="H51" s="173"/>
      <c r="I51" s="173"/>
      <c r="J51" s="174"/>
      <c r="K51" s="173"/>
      <c r="L51" s="174"/>
      <c r="M51" s="174"/>
      <c r="N51" s="27"/>
      <c r="O51" s="28"/>
      <c r="P51" s="176"/>
      <c r="Q51" s="176"/>
      <c r="R51" s="176"/>
      <c r="S51" s="176"/>
      <c r="T51" s="176"/>
      <c r="U51" s="176"/>
      <c r="V51" s="27"/>
      <c r="W51" s="170"/>
      <c r="X51" s="177"/>
      <c r="Y51" s="177"/>
      <c r="Z51" s="177"/>
      <c r="AA51" s="177"/>
      <c r="AB51" s="177"/>
      <c r="AC51" s="177"/>
      <c r="AD51" s="177"/>
      <c r="AE51" s="177"/>
      <c r="AF51" s="177"/>
      <c r="AG51" s="177"/>
      <c r="AH51" s="177"/>
    </row>
    <row r="52" spans="1:34">
      <c r="A52" s="169"/>
      <c r="B52" s="169"/>
      <c r="C52" s="169"/>
      <c r="D52" s="169"/>
      <c r="E52" s="174"/>
      <c r="F52" s="174"/>
      <c r="G52" s="174"/>
      <c r="H52" s="173"/>
      <c r="I52" s="173"/>
      <c r="J52" s="174"/>
      <c r="K52" s="173"/>
      <c r="L52" s="174"/>
      <c r="M52" s="174"/>
      <c r="N52" s="27"/>
      <c r="O52" s="28"/>
      <c r="P52" s="176"/>
      <c r="Q52" s="176"/>
      <c r="R52" s="176"/>
      <c r="S52" s="176"/>
      <c r="T52" s="176"/>
      <c r="U52" s="176"/>
      <c r="V52" s="27"/>
      <c r="W52" s="170"/>
      <c r="X52" s="177"/>
      <c r="Y52" s="177"/>
      <c r="Z52" s="177"/>
      <c r="AA52" s="177"/>
      <c r="AB52" s="177"/>
      <c r="AC52" s="177"/>
      <c r="AD52" s="177"/>
      <c r="AE52" s="177"/>
      <c r="AF52" s="177"/>
      <c r="AG52" s="177"/>
      <c r="AH52" s="177"/>
    </row>
    <row r="53" spans="1:34">
      <c r="A53" s="169"/>
      <c r="B53" s="169"/>
      <c r="C53" s="169"/>
      <c r="D53" s="169"/>
      <c r="E53" s="174"/>
      <c r="F53" s="174"/>
      <c r="G53" s="174"/>
      <c r="H53" s="173"/>
      <c r="I53" s="173"/>
      <c r="J53" s="174"/>
      <c r="K53" s="173"/>
      <c r="L53" s="174"/>
      <c r="M53" s="174"/>
      <c r="N53" s="27"/>
      <c r="O53" s="28"/>
      <c r="P53" s="176"/>
      <c r="Q53" s="176"/>
      <c r="R53" s="176"/>
      <c r="S53" s="176"/>
      <c r="T53" s="176"/>
      <c r="U53" s="176"/>
      <c r="V53" s="27"/>
      <c r="W53" s="170"/>
      <c r="X53" s="177"/>
      <c r="Y53" s="177"/>
      <c r="Z53" s="177"/>
      <c r="AA53" s="177"/>
      <c r="AB53" s="177"/>
      <c r="AC53" s="177"/>
      <c r="AD53" s="177"/>
      <c r="AE53" s="177"/>
      <c r="AF53" s="177"/>
      <c r="AG53" s="177"/>
      <c r="AH53" s="177"/>
    </row>
    <row r="54" spans="1:34">
      <c r="A54" s="169"/>
      <c r="B54" s="169"/>
      <c r="C54" s="169"/>
      <c r="D54" s="169"/>
      <c r="E54" s="174"/>
      <c r="F54" s="174"/>
      <c r="G54" s="174"/>
      <c r="H54" s="173"/>
      <c r="I54" s="173"/>
      <c r="J54" s="174"/>
      <c r="K54" s="173"/>
      <c r="L54" s="174"/>
      <c r="M54" s="174"/>
      <c r="N54" s="27"/>
      <c r="O54" s="28"/>
      <c r="P54" s="176"/>
      <c r="Q54" s="176"/>
      <c r="R54" s="176"/>
      <c r="S54" s="176"/>
      <c r="T54" s="176"/>
      <c r="U54" s="176"/>
      <c r="V54" s="27"/>
      <c r="W54" s="170"/>
      <c r="X54" s="177"/>
      <c r="Y54" s="177"/>
      <c r="Z54" s="177"/>
      <c r="AA54" s="177"/>
      <c r="AB54" s="177"/>
      <c r="AC54" s="177"/>
      <c r="AD54" s="177"/>
      <c r="AE54" s="177"/>
      <c r="AF54" s="177"/>
      <c r="AG54" s="177"/>
      <c r="AH54" s="177"/>
    </row>
    <row r="55" spans="1:34">
      <c r="A55" s="169"/>
      <c r="B55" s="169"/>
      <c r="C55" s="169"/>
      <c r="D55" s="169"/>
      <c r="E55" s="174"/>
      <c r="F55" s="174"/>
      <c r="G55" s="174"/>
      <c r="H55" s="173"/>
      <c r="I55" s="173"/>
      <c r="J55" s="174"/>
      <c r="K55" s="173"/>
      <c r="L55" s="174"/>
      <c r="M55" s="174"/>
      <c r="N55" s="27"/>
      <c r="O55" s="28"/>
      <c r="P55" s="176"/>
      <c r="Q55" s="176"/>
      <c r="R55" s="176"/>
      <c r="S55" s="176"/>
      <c r="T55" s="176"/>
      <c r="U55" s="176"/>
      <c r="V55" s="27"/>
      <c r="W55" s="170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</row>
    <row r="56" spans="1:34">
      <c r="A56" s="169"/>
      <c r="B56" s="169"/>
      <c r="C56" s="169"/>
      <c r="D56" s="169"/>
      <c r="E56" s="174"/>
      <c r="F56" s="174"/>
      <c r="G56" s="174"/>
      <c r="H56" s="173"/>
      <c r="I56" s="173"/>
      <c r="J56" s="174"/>
      <c r="K56" s="173"/>
      <c r="L56" s="174"/>
      <c r="M56" s="174"/>
      <c r="N56" s="27"/>
      <c r="O56" s="28"/>
      <c r="P56" s="176"/>
      <c r="Q56" s="176"/>
      <c r="R56" s="176"/>
      <c r="S56" s="176"/>
      <c r="T56" s="176"/>
      <c r="U56" s="176"/>
      <c r="V56" s="27"/>
      <c r="W56" s="170"/>
      <c r="X56" s="177"/>
      <c r="Y56" s="177"/>
      <c r="Z56" s="177"/>
      <c r="AA56" s="177"/>
      <c r="AB56" s="177"/>
      <c r="AC56" s="177"/>
      <c r="AD56" s="177"/>
      <c r="AE56" s="177"/>
      <c r="AF56" s="177"/>
      <c r="AG56" s="177"/>
      <c r="AH56" s="177"/>
    </row>
    <row r="57" spans="1:34">
      <c r="A57" s="169"/>
      <c r="B57" s="169"/>
      <c r="C57" s="169"/>
      <c r="D57" s="169"/>
      <c r="E57" s="174"/>
      <c r="F57" s="174"/>
      <c r="G57" s="174"/>
      <c r="H57" s="173"/>
      <c r="I57" s="173"/>
      <c r="J57" s="174"/>
      <c r="K57" s="173"/>
      <c r="L57" s="174"/>
      <c r="M57" s="174"/>
      <c r="N57" s="27"/>
      <c r="O57" s="28"/>
      <c r="P57" s="176"/>
      <c r="Q57" s="176"/>
      <c r="R57" s="176"/>
      <c r="S57" s="176"/>
      <c r="T57" s="176"/>
      <c r="U57" s="176"/>
      <c r="V57" s="27"/>
      <c r="W57" s="170"/>
      <c r="X57" s="177"/>
      <c r="Y57" s="177"/>
      <c r="Z57" s="177"/>
      <c r="AA57" s="177"/>
      <c r="AB57" s="177"/>
      <c r="AC57" s="177"/>
      <c r="AD57" s="177"/>
      <c r="AE57" s="177"/>
      <c r="AF57" s="177"/>
      <c r="AG57" s="177"/>
      <c r="AH57" s="177"/>
    </row>
    <row r="58" spans="1:34">
      <c r="A58" s="169"/>
      <c r="B58" s="169"/>
      <c r="C58" s="169"/>
      <c r="D58" s="169"/>
      <c r="E58" s="174"/>
      <c r="F58" s="174"/>
      <c r="G58" s="174"/>
      <c r="H58" s="173"/>
      <c r="I58" s="173"/>
      <c r="J58" s="174"/>
      <c r="K58" s="173"/>
      <c r="L58" s="174"/>
      <c r="M58" s="174"/>
      <c r="N58" s="27"/>
      <c r="O58" s="28"/>
      <c r="P58" s="176"/>
      <c r="Q58" s="176"/>
      <c r="R58" s="176"/>
      <c r="S58" s="176"/>
      <c r="T58" s="176"/>
      <c r="U58" s="176"/>
      <c r="V58" s="27"/>
      <c r="W58" s="170"/>
      <c r="X58" s="177"/>
      <c r="Y58" s="177"/>
      <c r="Z58" s="177"/>
      <c r="AA58" s="177"/>
      <c r="AB58" s="177"/>
      <c r="AC58" s="177"/>
      <c r="AD58" s="177"/>
      <c r="AE58" s="177"/>
      <c r="AF58" s="177"/>
      <c r="AG58" s="177"/>
      <c r="AH58" s="177"/>
    </row>
    <row r="59" spans="1:34">
      <c r="A59" s="169"/>
      <c r="B59" s="169"/>
      <c r="C59" s="169"/>
      <c r="D59" s="169"/>
      <c r="E59" s="174"/>
      <c r="F59" s="174"/>
      <c r="G59" s="174"/>
      <c r="H59" s="173"/>
      <c r="I59" s="173"/>
      <c r="J59" s="174"/>
      <c r="K59" s="173"/>
      <c r="L59" s="174"/>
      <c r="M59" s="174"/>
      <c r="N59" s="27"/>
      <c r="O59" s="28"/>
      <c r="P59" s="176"/>
      <c r="Q59" s="176"/>
      <c r="R59" s="176"/>
      <c r="S59" s="176"/>
      <c r="T59" s="176"/>
      <c r="U59" s="176"/>
      <c r="V59" s="27"/>
      <c r="W59" s="170"/>
      <c r="X59" s="177"/>
      <c r="Y59" s="177"/>
      <c r="Z59" s="177"/>
      <c r="AA59" s="177"/>
      <c r="AB59" s="177"/>
      <c r="AC59" s="177"/>
      <c r="AD59" s="177"/>
      <c r="AE59" s="177"/>
      <c r="AF59" s="177"/>
      <c r="AG59" s="177"/>
      <c r="AH59" s="177"/>
    </row>
    <row r="60" spans="1:34">
      <c r="A60" s="169"/>
      <c r="B60" s="169"/>
      <c r="C60" s="169"/>
      <c r="D60" s="169"/>
      <c r="E60" s="174"/>
      <c r="F60" s="174"/>
      <c r="G60" s="174"/>
      <c r="H60" s="173"/>
      <c r="I60" s="173"/>
      <c r="J60" s="174"/>
      <c r="K60" s="173"/>
      <c r="L60" s="174"/>
      <c r="M60" s="174"/>
      <c r="N60" s="27"/>
      <c r="O60" s="28"/>
      <c r="P60" s="176"/>
      <c r="Q60" s="176"/>
      <c r="R60" s="176"/>
      <c r="S60" s="176"/>
      <c r="T60" s="176"/>
      <c r="U60" s="176"/>
      <c r="V60" s="27"/>
      <c r="W60" s="170"/>
      <c r="X60" s="177"/>
      <c r="Y60" s="177"/>
      <c r="Z60" s="177"/>
      <c r="AA60" s="177"/>
      <c r="AB60" s="177"/>
      <c r="AC60" s="177"/>
      <c r="AD60" s="177"/>
      <c r="AE60" s="177"/>
      <c r="AF60" s="177"/>
      <c r="AG60" s="177"/>
      <c r="AH60" s="177"/>
    </row>
    <row r="61" spans="1:34">
      <c r="A61" s="169"/>
      <c r="B61" s="169"/>
      <c r="C61" s="169"/>
      <c r="D61" s="169"/>
      <c r="E61" s="174"/>
      <c r="F61" s="174"/>
      <c r="G61" s="174"/>
      <c r="H61" s="173"/>
      <c r="I61" s="173"/>
      <c r="J61" s="174"/>
      <c r="K61" s="173"/>
      <c r="L61" s="174"/>
      <c r="M61" s="174"/>
      <c r="N61" s="27"/>
      <c r="O61" s="28"/>
      <c r="P61" s="176"/>
      <c r="Q61" s="176"/>
      <c r="R61" s="176"/>
      <c r="S61" s="176"/>
      <c r="T61" s="176"/>
      <c r="U61" s="176"/>
      <c r="V61" s="27"/>
      <c r="W61" s="170"/>
      <c r="X61" s="177"/>
      <c r="Y61" s="177"/>
      <c r="Z61" s="177"/>
      <c r="AA61" s="177"/>
      <c r="AB61" s="177"/>
      <c r="AC61" s="177"/>
      <c r="AD61" s="177"/>
      <c r="AE61" s="177"/>
      <c r="AF61" s="177"/>
      <c r="AG61" s="177"/>
      <c r="AH61" s="177"/>
    </row>
    <row r="62" spans="1:34">
      <c r="A62" s="169"/>
      <c r="B62" s="169"/>
      <c r="C62" s="169"/>
      <c r="D62" s="169"/>
      <c r="E62" s="174"/>
      <c r="F62" s="174"/>
      <c r="G62" s="174"/>
      <c r="H62" s="173"/>
      <c r="I62" s="173"/>
      <c r="J62" s="174"/>
      <c r="K62" s="173"/>
      <c r="L62" s="174"/>
      <c r="M62" s="174"/>
      <c r="N62" s="27"/>
      <c r="O62" s="28"/>
      <c r="P62" s="176"/>
      <c r="Q62" s="176"/>
      <c r="R62" s="176"/>
      <c r="S62" s="176"/>
      <c r="T62" s="176"/>
      <c r="U62" s="176"/>
      <c r="V62" s="27"/>
      <c r="W62" s="170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</row>
    <row r="63" spans="1:34">
      <c r="A63" s="169"/>
      <c r="B63" s="169"/>
      <c r="C63" s="169"/>
      <c r="D63" s="169"/>
      <c r="E63" s="174"/>
      <c r="F63" s="174"/>
      <c r="G63" s="174"/>
      <c r="H63" s="173"/>
      <c r="I63" s="173"/>
      <c r="J63" s="174"/>
      <c r="K63" s="173"/>
      <c r="L63" s="174"/>
      <c r="M63" s="174"/>
      <c r="N63" s="27"/>
      <c r="O63" s="28"/>
      <c r="P63" s="176"/>
      <c r="Q63" s="176"/>
      <c r="R63" s="176"/>
      <c r="S63" s="176"/>
      <c r="T63" s="176"/>
      <c r="U63" s="176"/>
      <c r="V63" s="27"/>
      <c r="W63" s="170"/>
      <c r="X63" s="177"/>
      <c r="Y63" s="177"/>
      <c r="Z63" s="177"/>
      <c r="AA63" s="177"/>
      <c r="AB63" s="177"/>
      <c r="AC63" s="177"/>
      <c r="AD63" s="177"/>
      <c r="AE63" s="177"/>
      <c r="AF63" s="177"/>
      <c r="AG63" s="177"/>
      <c r="AH63" s="177"/>
    </row>
    <row r="64" spans="1:34">
      <c r="A64" s="169"/>
      <c r="B64" s="169"/>
      <c r="C64" s="169"/>
      <c r="D64" s="169"/>
      <c r="E64" s="174"/>
      <c r="F64" s="174"/>
      <c r="G64" s="174"/>
      <c r="H64" s="173"/>
      <c r="I64" s="173"/>
      <c r="J64" s="174"/>
      <c r="K64" s="173"/>
      <c r="L64" s="174"/>
      <c r="M64" s="174"/>
      <c r="N64" s="27"/>
      <c r="O64" s="28"/>
      <c r="P64" s="176"/>
      <c r="Q64" s="176"/>
      <c r="R64" s="176"/>
      <c r="S64" s="176"/>
      <c r="T64" s="176"/>
      <c r="U64" s="176"/>
      <c r="V64" s="27"/>
      <c r="W64" s="170"/>
      <c r="X64" s="177"/>
      <c r="Y64" s="177"/>
      <c r="Z64" s="177"/>
      <c r="AA64" s="177"/>
      <c r="AB64" s="177"/>
      <c r="AC64" s="177"/>
      <c r="AD64" s="177"/>
      <c r="AE64" s="177"/>
      <c r="AF64" s="177"/>
      <c r="AG64" s="177"/>
      <c r="AH64" s="177"/>
    </row>
    <row r="65" spans="1:34">
      <c r="A65" s="169"/>
      <c r="B65" s="169"/>
      <c r="C65" s="169"/>
      <c r="D65" s="169"/>
      <c r="E65" s="174"/>
      <c r="F65" s="174"/>
      <c r="G65" s="174"/>
      <c r="H65" s="173"/>
      <c r="I65" s="173"/>
      <c r="J65" s="174"/>
      <c r="K65" s="173"/>
      <c r="L65" s="174"/>
      <c r="M65" s="174"/>
      <c r="N65" s="27"/>
      <c r="O65" s="28"/>
      <c r="P65" s="176"/>
      <c r="Q65" s="176"/>
      <c r="R65" s="176"/>
      <c r="S65" s="176"/>
      <c r="T65" s="176"/>
      <c r="U65" s="176"/>
      <c r="V65" s="27"/>
      <c r="W65" s="170"/>
      <c r="X65" s="177"/>
      <c r="Y65" s="177"/>
      <c r="Z65" s="177"/>
      <c r="AA65" s="177"/>
      <c r="AB65" s="177"/>
      <c r="AC65" s="177"/>
      <c r="AD65" s="177"/>
      <c r="AE65" s="177"/>
      <c r="AF65" s="177"/>
      <c r="AG65" s="177"/>
      <c r="AH65" s="177"/>
    </row>
    <row r="66" spans="1:34">
      <c r="A66" s="169"/>
      <c r="B66" s="169"/>
      <c r="C66" s="169"/>
      <c r="D66" s="169"/>
      <c r="E66" s="174"/>
      <c r="F66" s="174"/>
      <c r="G66" s="174"/>
      <c r="H66" s="173"/>
      <c r="I66" s="173"/>
      <c r="J66" s="174"/>
      <c r="K66" s="173"/>
      <c r="L66" s="174"/>
      <c r="M66" s="174"/>
      <c r="N66" s="27"/>
      <c r="O66" s="28"/>
      <c r="P66" s="176"/>
      <c r="Q66" s="176"/>
      <c r="R66" s="176"/>
      <c r="S66" s="176"/>
      <c r="T66" s="176"/>
      <c r="U66" s="176"/>
      <c r="V66" s="27"/>
      <c r="W66" s="170"/>
      <c r="X66" s="177"/>
      <c r="Y66" s="177"/>
      <c r="Z66" s="177"/>
      <c r="AA66" s="177"/>
      <c r="AB66" s="177"/>
      <c r="AC66" s="177"/>
      <c r="AD66" s="177"/>
      <c r="AE66" s="177"/>
      <c r="AF66" s="177"/>
      <c r="AG66" s="177"/>
      <c r="AH66" s="177"/>
    </row>
    <row r="67" spans="1:34">
      <c r="A67" s="169"/>
      <c r="B67" s="169"/>
      <c r="C67" s="169"/>
      <c r="D67" s="169"/>
      <c r="E67" s="174"/>
      <c r="F67" s="174"/>
      <c r="G67" s="174"/>
      <c r="H67" s="173"/>
      <c r="I67" s="173"/>
      <c r="J67" s="174"/>
      <c r="K67" s="173"/>
      <c r="L67" s="174"/>
      <c r="M67" s="174"/>
      <c r="N67" s="27"/>
      <c r="O67" s="28"/>
      <c r="P67" s="176"/>
      <c r="Q67" s="176"/>
      <c r="R67" s="176"/>
      <c r="S67" s="176"/>
      <c r="T67" s="176"/>
      <c r="U67" s="176"/>
      <c r="V67" s="27"/>
      <c r="W67" s="170"/>
      <c r="X67" s="177"/>
      <c r="Y67" s="177"/>
      <c r="Z67" s="177"/>
      <c r="AA67" s="177"/>
      <c r="AB67" s="177"/>
      <c r="AC67" s="177"/>
      <c r="AD67" s="177"/>
      <c r="AE67" s="177"/>
      <c r="AF67" s="177"/>
      <c r="AG67" s="177"/>
      <c r="AH67" s="177"/>
    </row>
    <row r="68" spans="1:34">
      <c r="A68" s="169"/>
      <c r="B68" s="169"/>
      <c r="C68" s="169"/>
      <c r="D68" s="169"/>
      <c r="E68" s="174"/>
      <c r="F68" s="174"/>
      <c r="G68" s="174"/>
      <c r="H68" s="173"/>
      <c r="I68" s="173"/>
      <c r="J68" s="174"/>
      <c r="K68" s="173"/>
      <c r="L68" s="174"/>
      <c r="M68" s="174"/>
      <c r="N68" s="27"/>
      <c r="O68" s="28"/>
      <c r="P68" s="176"/>
      <c r="Q68" s="176"/>
      <c r="R68" s="176"/>
      <c r="S68" s="176"/>
      <c r="T68" s="176"/>
      <c r="U68" s="176"/>
      <c r="V68" s="27"/>
      <c r="W68" s="170"/>
      <c r="X68" s="177"/>
      <c r="Y68" s="177"/>
      <c r="Z68" s="177"/>
      <c r="AA68" s="177"/>
      <c r="AB68" s="177"/>
      <c r="AC68" s="177"/>
      <c r="AD68" s="177"/>
      <c r="AE68" s="177"/>
      <c r="AF68" s="177"/>
      <c r="AG68" s="177"/>
      <c r="AH68" s="177"/>
    </row>
    <row r="69" spans="1:34">
      <c r="A69" s="169"/>
      <c r="B69" s="169"/>
      <c r="C69" s="169"/>
      <c r="D69" s="169"/>
      <c r="E69" s="174"/>
      <c r="F69" s="174"/>
      <c r="G69" s="174"/>
      <c r="H69" s="173"/>
      <c r="I69" s="173"/>
      <c r="J69" s="174"/>
      <c r="K69" s="173"/>
      <c r="L69" s="174"/>
      <c r="M69" s="174"/>
      <c r="N69" s="27"/>
      <c r="O69" s="28"/>
      <c r="P69" s="176"/>
      <c r="Q69" s="176"/>
      <c r="R69" s="176"/>
      <c r="S69" s="176"/>
      <c r="T69" s="176"/>
      <c r="U69" s="176"/>
      <c r="V69" s="27"/>
      <c r="W69" s="170"/>
      <c r="X69" s="177"/>
      <c r="Y69" s="177"/>
      <c r="Z69" s="177"/>
      <c r="AA69" s="177"/>
      <c r="AB69" s="177"/>
      <c r="AC69" s="177"/>
      <c r="AD69" s="177"/>
      <c r="AE69" s="177"/>
      <c r="AF69" s="177"/>
      <c r="AG69" s="177"/>
      <c r="AH69" s="177"/>
    </row>
    <row r="70" spans="1:34">
      <c r="A70" s="169"/>
      <c r="B70" s="169"/>
      <c r="C70" s="169"/>
      <c r="D70" s="169"/>
      <c r="E70" s="174"/>
      <c r="F70" s="174"/>
      <c r="G70" s="174"/>
      <c r="H70" s="173"/>
      <c r="I70" s="173"/>
      <c r="J70" s="174"/>
      <c r="K70" s="173"/>
      <c r="L70" s="174"/>
      <c r="M70" s="174"/>
      <c r="N70" s="27"/>
      <c r="O70" s="28"/>
      <c r="P70" s="176"/>
      <c r="Q70" s="176"/>
      <c r="R70" s="176"/>
      <c r="S70" s="176"/>
      <c r="T70" s="176"/>
      <c r="U70" s="176"/>
      <c r="V70" s="27"/>
      <c r="W70" s="170"/>
      <c r="X70" s="177"/>
      <c r="Y70" s="177"/>
      <c r="Z70" s="177"/>
      <c r="AA70" s="177"/>
      <c r="AB70" s="177"/>
      <c r="AC70" s="177"/>
      <c r="AD70" s="177"/>
      <c r="AE70" s="177"/>
      <c r="AF70" s="177"/>
      <c r="AG70" s="177"/>
      <c r="AH70" s="177"/>
    </row>
    <row r="71" spans="1:34">
      <c r="A71" s="169"/>
      <c r="B71" s="169"/>
      <c r="C71" s="169"/>
      <c r="D71" s="169"/>
      <c r="E71" s="174"/>
      <c r="F71" s="174"/>
      <c r="G71" s="174"/>
      <c r="H71" s="173"/>
      <c r="I71" s="173"/>
      <c r="J71" s="174"/>
      <c r="K71" s="173"/>
      <c r="L71" s="174"/>
      <c r="M71" s="174"/>
      <c r="N71" s="27"/>
      <c r="O71" s="28"/>
      <c r="P71" s="176"/>
      <c r="Q71" s="176"/>
      <c r="R71" s="176"/>
      <c r="S71" s="176"/>
      <c r="T71" s="176"/>
      <c r="U71" s="176"/>
      <c r="V71" s="27"/>
      <c r="W71" s="170"/>
      <c r="X71" s="177"/>
      <c r="Y71" s="177"/>
      <c r="Z71" s="177"/>
      <c r="AA71" s="177"/>
      <c r="AB71" s="177"/>
      <c r="AC71" s="177"/>
      <c r="AD71" s="177"/>
      <c r="AE71" s="177"/>
      <c r="AF71" s="177"/>
      <c r="AG71" s="177"/>
      <c r="AH71" s="177"/>
    </row>
    <row r="72" spans="1:34">
      <c r="A72" s="169"/>
      <c r="B72" s="169"/>
      <c r="C72" s="169"/>
      <c r="D72" s="169"/>
      <c r="E72" s="174"/>
      <c r="F72" s="174"/>
      <c r="G72" s="174"/>
      <c r="H72" s="173"/>
      <c r="I72" s="173"/>
      <c r="J72" s="174"/>
      <c r="K72" s="173"/>
      <c r="L72" s="174"/>
      <c r="M72" s="174"/>
      <c r="N72" s="27"/>
      <c r="O72" s="28"/>
      <c r="P72" s="176"/>
      <c r="Q72" s="176"/>
      <c r="R72" s="176"/>
      <c r="S72" s="176"/>
      <c r="T72" s="176"/>
      <c r="U72" s="176"/>
      <c r="V72" s="27"/>
      <c r="W72" s="170"/>
      <c r="X72" s="177"/>
      <c r="Y72" s="177"/>
      <c r="Z72" s="177"/>
      <c r="AA72" s="177"/>
      <c r="AB72" s="177"/>
      <c r="AC72" s="177"/>
      <c r="AD72" s="177"/>
      <c r="AE72" s="177"/>
      <c r="AF72" s="177"/>
      <c r="AG72" s="177"/>
      <c r="AH72" s="177"/>
    </row>
    <row r="73" spans="1:34">
      <c r="A73" s="169"/>
      <c r="B73" s="169"/>
      <c r="C73" s="169"/>
      <c r="D73" s="169"/>
      <c r="E73" s="174"/>
      <c r="F73" s="174"/>
      <c r="G73" s="174"/>
      <c r="H73" s="173"/>
      <c r="I73" s="173"/>
      <c r="J73" s="174"/>
      <c r="K73" s="173"/>
      <c r="L73" s="174"/>
      <c r="M73" s="174"/>
      <c r="N73" s="27"/>
      <c r="O73" s="28"/>
      <c r="P73" s="176"/>
      <c r="Q73" s="176"/>
      <c r="R73" s="176"/>
      <c r="S73" s="176"/>
      <c r="T73" s="176"/>
      <c r="U73" s="176"/>
      <c r="V73" s="27"/>
      <c r="W73" s="170"/>
      <c r="X73" s="177"/>
      <c r="Y73" s="177"/>
      <c r="Z73" s="177"/>
      <c r="AA73" s="177"/>
      <c r="AB73" s="177"/>
      <c r="AC73" s="177"/>
      <c r="AD73" s="177"/>
      <c r="AE73" s="177"/>
      <c r="AF73" s="177"/>
      <c r="AG73" s="177"/>
      <c r="AH73" s="177"/>
    </row>
    <row r="74" spans="1:34">
      <c r="A74" s="169"/>
      <c r="B74" s="169"/>
      <c r="C74" s="169"/>
      <c r="D74" s="169"/>
      <c r="E74" s="174"/>
      <c r="F74" s="174"/>
      <c r="G74" s="174"/>
      <c r="H74" s="173"/>
      <c r="I74" s="173"/>
      <c r="J74" s="174"/>
      <c r="K74" s="173"/>
      <c r="L74" s="174"/>
      <c r="M74" s="174"/>
      <c r="N74" s="27"/>
      <c r="O74" s="28"/>
      <c r="P74" s="176"/>
      <c r="Q74" s="176"/>
      <c r="R74" s="176"/>
      <c r="S74" s="176"/>
      <c r="T74" s="176"/>
      <c r="U74" s="176"/>
      <c r="V74" s="27"/>
      <c r="W74" s="170"/>
      <c r="X74" s="177"/>
      <c r="Y74" s="177"/>
      <c r="Z74" s="177"/>
      <c r="AA74" s="177"/>
      <c r="AB74" s="177"/>
      <c r="AC74" s="177"/>
      <c r="AD74" s="177"/>
      <c r="AE74" s="177"/>
      <c r="AF74" s="177"/>
      <c r="AG74" s="177"/>
      <c r="AH74" s="177"/>
    </row>
    <row r="75" spans="1:34">
      <c r="A75" s="169"/>
      <c r="B75" s="169"/>
      <c r="C75" s="169"/>
      <c r="D75" s="169"/>
      <c r="E75" s="174"/>
      <c r="F75" s="174"/>
      <c r="G75" s="174"/>
      <c r="H75" s="173"/>
      <c r="I75" s="173"/>
      <c r="J75" s="174"/>
      <c r="K75" s="173"/>
      <c r="L75" s="174"/>
      <c r="M75" s="174"/>
      <c r="N75" s="27"/>
      <c r="O75" s="28"/>
      <c r="P75" s="176"/>
      <c r="Q75" s="176"/>
      <c r="R75" s="176"/>
      <c r="S75" s="176"/>
      <c r="T75" s="176"/>
      <c r="U75" s="176"/>
      <c r="V75" s="27"/>
      <c r="W75" s="170"/>
      <c r="X75" s="177"/>
      <c r="Y75" s="177"/>
      <c r="Z75" s="177"/>
      <c r="AA75" s="177"/>
      <c r="AB75" s="177"/>
      <c r="AC75" s="177"/>
      <c r="AD75" s="177"/>
      <c r="AE75" s="177"/>
      <c r="AF75" s="177"/>
      <c r="AG75" s="177"/>
      <c r="AH75" s="177"/>
    </row>
    <row r="76" spans="1:34">
      <c r="A76" s="169"/>
      <c r="B76" s="169"/>
      <c r="C76" s="169"/>
      <c r="D76" s="169"/>
      <c r="E76" s="174"/>
      <c r="F76" s="174"/>
      <c r="G76" s="174"/>
      <c r="H76" s="173"/>
      <c r="I76" s="173"/>
      <c r="J76" s="174"/>
      <c r="K76" s="173"/>
      <c r="L76" s="174"/>
      <c r="M76" s="174"/>
      <c r="N76" s="27"/>
      <c r="O76" s="28"/>
      <c r="P76" s="176"/>
      <c r="Q76" s="176"/>
      <c r="R76" s="176"/>
      <c r="S76" s="176"/>
      <c r="T76" s="176"/>
      <c r="U76" s="176"/>
      <c r="V76" s="27"/>
      <c r="W76" s="170"/>
      <c r="X76" s="177"/>
      <c r="Y76" s="177"/>
      <c r="Z76" s="177"/>
      <c r="AA76" s="177"/>
      <c r="AB76" s="177"/>
      <c r="AC76" s="177"/>
      <c r="AD76" s="177"/>
      <c r="AE76" s="177"/>
      <c r="AF76" s="177"/>
      <c r="AG76" s="177"/>
      <c r="AH76" s="177"/>
    </row>
    <row r="77" spans="1:34">
      <c r="A77" s="169"/>
      <c r="B77" s="169"/>
      <c r="C77" s="169"/>
      <c r="D77" s="169"/>
      <c r="E77" s="174"/>
      <c r="F77" s="174"/>
      <c r="G77" s="174"/>
      <c r="H77" s="173"/>
      <c r="I77" s="173"/>
      <c r="J77" s="174"/>
      <c r="K77" s="173"/>
      <c r="L77" s="174"/>
      <c r="M77" s="174"/>
      <c r="N77" s="27"/>
      <c r="O77" s="28"/>
      <c r="P77" s="176"/>
      <c r="Q77" s="176"/>
      <c r="R77" s="176"/>
      <c r="S77" s="176"/>
      <c r="T77" s="176"/>
      <c r="U77" s="176"/>
      <c r="V77" s="27"/>
      <c r="W77" s="170"/>
      <c r="X77" s="177"/>
      <c r="Y77" s="177"/>
      <c r="Z77" s="177"/>
      <c r="AA77" s="177"/>
      <c r="AB77" s="177"/>
      <c r="AC77" s="177"/>
      <c r="AD77" s="177"/>
      <c r="AE77" s="177"/>
      <c r="AF77" s="177"/>
      <c r="AG77" s="177"/>
      <c r="AH77" s="177"/>
    </row>
    <row r="78" spans="1:34">
      <c r="A78" s="169"/>
      <c r="B78" s="169"/>
      <c r="C78" s="169"/>
      <c r="D78" s="169"/>
      <c r="E78" s="174"/>
      <c r="F78" s="174"/>
      <c r="G78" s="174"/>
      <c r="H78" s="173"/>
      <c r="I78" s="173"/>
      <c r="J78" s="174"/>
      <c r="K78" s="173"/>
      <c r="L78" s="174"/>
      <c r="M78" s="174"/>
      <c r="N78" s="27"/>
      <c r="O78" s="28"/>
      <c r="P78" s="176"/>
      <c r="Q78" s="176"/>
      <c r="R78" s="176"/>
      <c r="S78" s="176"/>
      <c r="T78" s="176"/>
      <c r="U78" s="176"/>
      <c r="V78" s="27"/>
      <c r="W78" s="170"/>
      <c r="X78" s="177"/>
      <c r="Y78" s="177"/>
      <c r="Z78" s="177"/>
      <c r="AA78" s="177"/>
      <c r="AB78" s="177"/>
      <c r="AC78" s="177"/>
      <c r="AD78" s="177"/>
      <c r="AE78" s="177"/>
      <c r="AF78" s="177"/>
      <c r="AG78" s="177"/>
      <c r="AH78" s="177"/>
    </row>
    <row r="79" spans="1:34">
      <c r="A79" s="169"/>
      <c r="B79" s="169"/>
      <c r="C79" s="169"/>
      <c r="D79" s="169"/>
      <c r="E79" s="174"/>
      <c r="F79" s="174"/>
      <c r="G79" s="174"/>
      <c r="H79" s="173"/>
      <c r="I79" s="173"/>
      <c r="J79" s="174"/>
      <c r="K79" s="173"/>
      <c r="L79" s="174"/>
      <c r="M79" s="174"/>
      <c r="N79" s="27"/>
      <c r="O79" s="28"/>
      <c r="P79" s="176"/>
      <c r="Q79" s="176"/>
      <c r="R79" s="176"/>
      <c r="S79" s="176"/>
      <c r="T79" s="176"/>
      <c r="U79" s="176"/>
      <c r="V79" s="27"/>
      <c r="W79" s="170"/>
      <c r="X79" s="177"/>
      <c r="Y79" s="177"/>
      <c r="Z79" s="177"/>
      <c r="AA79" s="177"/>
      <c r="AB79" s="177"/>
      <c r="AC79" s="177"/>
      <c r="AD79" s="177"/>
      <c r="AE79" s="177"/>
      <c r="AF79" s="177"/>
      <c r="AG79" s="177"/>
      <c r="AH79" s="177"/>
    </row>
    <row r="80" spans="1:34">
      <c r="A80" s="169"/>
      <c r="B80" s="169"/>
      <c r="C80" s="169"/>
      <c r="D80" s="169"/>
      <c r="E80" s="174"/>
      <c r="F80" s="174"/>
      <c r="G80" s="174"/>
      <c r="H80" s="173"/>
      <c r="I80" s="173"/>
      <c r="J80" s="174"/>
      <c r="K80" s="173"/>
      <c r="L80" s="174"/>
      <c r="M80" s="174"/>
      <c r="N80" s="27"/>
      <c r="O80" s="28"/>
      <c r="P80" s="176"/>
      <c r="Q80" s="176"/>
      <c r="R80" s="176"/>
      <c r="S80" s="176"/>
      <c r="T80" s="176"/>
      <c r="U80" s="176"/>
      <c r="V80" s="27"/>
      <c r="W80" s="170"/>
      <c r="X80" s="177"/>
      <c r="Y80" s="177"/>
      <c r="Z80" s="177"/>
      <c r="AA80" s="177"/>
      <c r="AB80" s="177"/>
      <c r="AC80" s="177"/>
      <c r="AD80" s="177"/>
      <c r="AE80" s="177"/>
      <c r="AF80" s="177"/>
      <c r="AG80" s="177"/>
      <c r="AH80" s="177"/>
    </row>
    <row r="81" spans="1:34">
      <c r="A81" s="169"/>
      <c r="B81" s="169"/>
      <c r="C81" s="169"/>
      <c r="D81" s="169"/>
      <c r="E81" s="174"/>
      <c r="F81" s="174"/>
      <c r="G81" s="174"/>
      <c r="H81" s="173"/>
      <c r="I81" s="173"/>
      <c r="J81" s="174"/>
      <c r="K81" s="173"/>
      <c r="L81" s="174"/>
      <c r="M81" s="174"/>
      <c r="N81" s="27"/>
      <c r="O81" s="28"/>
      <c r="P81" s="176"/>
      <c r="Q81" s="176"/>
      <c r="R81" s="176"/>
      <c r="S81" s="176"/>
      <c r="T81" s="176"/>
      <c r="U81" s="176"/>
      <c r="V81" s="27"/>
      <c r="W81" s="170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77"/>
    </row>
    <row r="82" spans="1:34">
      <c r="A82" s="169"/>
      <c r="B82" s="169"/>
      <c r="C82" s="169"/>
      <c r="D82" s="169"/>
      <c r="E82" s="174"/>
      <c r="F82" s="174"/>
      <c r="G82" s="174"/>
      <c r="H82" s="173"/>
      <c r="I82" s="173"/>
      <c r="J82" s="174"/>
      <c r="K82" s="173"/>
      <c r="L82" s="174"/>
      <c r="M82" s="174"/>
      <c r="N82" s="27"/>
      <c r="O82" s="28"/>
      <c r="P82" s="176"/>
      <c r="Q82" s="176"/>
      <c r="R82" s="176"/>
      <c r="S82" s="176"/>
      <c r="T82" s="176"/>
      <c r="U82" s="176"/>
      <c r="V82" s="27"/>
      <c r="W82" s="170"/>
      <c r="X82" s="177"/>
      <c r="Y82" s="177"/>
      <c r="Z82" s="177"/>
      <c r="AA82" s="177"/>
      <c r="AB82" s="177"/>
      <c r="AC82" s="177"/>
      <c r="AD82" s="177"/>
      <c r="AE82" s="177"/>
      <c r="AF82" s="177"/>
      <c r="AG82" s="177"/>
      <c r="AH82" s="177"/>
    </row>
    <row r="83" spans="1:34">
      <c r="A83" s="169"/>
      <c r="B83" s="169"/>
      <c r="C83" s="169"/>
      <c r="D83" s="169"/>
      <c r="E83" s="174"/>
      <c r="F83" s="174"/>
      <c r="G83" s="174"/>
      <c r="H83" s="173"/>
      <c r="I83" s="173"/>
      <c r="J83" s="174"/>
      <c r="K83" s="173"/>
      <c r="L83" s="174"/>
      <c r="M83" s="174"/>
      <c r="N83" s="27"/>
      <c r="O83" s="28"/>
      <c r="P83" s="176"/>
      <c r="Q83" s="176"/>
      <c r="R83" s="176"/>
      <c r="S83" s="176"/>
      <c r="T83" s="176"/>
      <c r="U83" s="176"/>
      <c r="V83" s="27"/>
      <c r="W83" s="170"/>
      <c r="X83" s="177"/>
      <c r="Y83" s="177"/>
      <c r="Z83" s="177"/>
      <c r="AA83" s="177"/>
      <c r="AB83" s="177"/>
      <c r="AC83" s="177"/>
      <c r="AD83" s="177"/>
      <c r="AE83" s="177"/>
      <c r="AF83" s="177"/>
      <c r="AG83" s="177"/>
      <c r="AH83" s="177"/>
    </row>
    <row r="84" spans="1:34">
      <c r="A84" s="169"/>
      <c r="B84" s="169"/>
      <c r="C84" s="169"/>
      <c r="D84" s="169"/>
      <c r="E84" s="174"/>
      <c r="F84" s="174"/>
      <c r="G84" s="174"/>
      <c r="H84" s="173"/>
      <c r="I84" s="173"/>
      <c r="J84" s="174"/>
      <c r="K84" s="173"/>
      <c r="L84" s="174"/>
      <c r="M84" s="174"/>
      <c r="N84" s="27"/>
      <c r="O84" s="28"/>
      <c r="P84" s="176"/>
      <c r="Q84" s="176"/>
      <c r="R84" s="176"/>
      <c r="S84" s="176"/>
      <c r="T84" s="176"/>
      <c r="U84" s="176"/>
      <c r="V84" s="27"/>
      <c r="W84" s="170"/>
      <c r="X84" s="177"/>
      <c r="Y84" s="177"/>
      <c r="Z84" s="177"/>
      <c r="AA84" s="177"/>
      <c r="AB84" s="177"/>
      <c r="AC84" s="177"/>
      <c r="AD84" s="177"/>
      <c r="AE84" s="177"/>
      <c r="AF84" s="177"/>
      <c r="AG84" s="177"/>
      <c r="AH84" s="177"/>
    </row>
    <row r="85" spans="1:34">
      <c r="A85" s="169"/>
      <c r="B85" s="169"/>
      <c r="C85" s="169"/>
      <c r="D85" s="169"/>
      <c r="E85" s="174"/>
      <c r="F85" s="174"/>
      <c r="G85" s="174"/>
      <c r="H85" s="173"/>
      <c r="I85" s="173"/>
      <c r="J85" s="174"/>
      <c r="K85" s="173"/>
      <c r="L85" s="174"/>
      <c r="M85" s="174"/>
      <c r="N85" s="27"/>
      <c r="O85" s="28"/>
      <c r="P85" s="176"/>
      <c r="Q85" s="176"/>
      <c r="R85" s="176"/>
      <c r="S85" s="176"/>
      <c r="T85" s="176"/>
      <c r="U85" s="176"/>
      <c r="V85" s="27"/>
      <c r="W85" s="170"/>
      <c r="X85" s="177"/>
      <c r="Y85" s="177"/>
      <c r="Z85" s="177"/>
      <c r="AA85" s="177"/>
      <c r="AB85" s="177"/>
      <c r="AC85" s="177"/>
      <c r="AD85" s="177"/>
      <c r="AE85" s="177"/>
      <c r="AF85" s="177"/>
      <c r="AG85" s="177"/>
      <c r="AH85" s="177"/>
    </row>
    <row r="86" spans="1:34">
      <c r="A86" s="169"/>
      <c r="B86" s="169"/>
      <c r="C86" s="169"/>
      <c r="D86" s="169"/>
      <c r="E86" s="174"/>
      <c r="F86" s="174"/>
      <c r="G86" s="174"/>
      <c r="H86" s="173"/>
      <c r="I86" s="173"/>
      <c r="J86" s="174"/>
      <c r="K86" s="173"/>
      <c r="L86" s="174"/>
      <c r="M86" s="174"/>
      <c r="N86" s="27"/>
      <c r="O86" s="28"/>
      <c r="P86" s="176"/>
      <c r="Q86" s="176"/>
      <c r="R86" s="176"/>
      <c r="S86" s="176"/>
      <c r="T86" s="176"/>
      <c r="U86" s="176"/>
      <c r="V86" s="27"/>
      <c r="W86" s="170"/>
      <c r="X86" s="177"/>
      <c r="Y86" s="177"/>
      <c r="Z86" s="177"/>
      <c r="AA86" s="177"/>
      <c r="AB86" s="177"/>
      <c r="AC86" s="177"/>
      <c r="AD86" s="177"/>
      <c r="AE86" s="177"/>
      <c r="AF86" s="177"/>
      <c r="AG86" s="177"/>
      <c r="AH86" s="177"/>
    </row>
    <row r="87" spans="1:34">
      <c r="A87" s="169"/>
      <c r="B87" s="169"/>
      <c r="C87" s="169"/>
      <c r="D87" s="169"/>
      <c r="E87" s="174"/>
      <c r="F87" s="174"/>
      <c r="G87" s="174"/>
      <c r="H87" s="173"/>
      <c r="I87" s="173"/>
      <c r="J87" s="174"/>
      <c r="K87" s="173"/>
      <c r="L87" s="174"/>
      <c r="M87" s="174"/>
      <c r="N87" s="27"/>
      <c r="O87" s="28"/>
      <c r="P87" s="176"/>
      <c r="Q87" s="176"/>
      <c r="R87" s="176"/>
      <c r="S87" s="176"/>
      <c r="T87" s="176"/>
      <c r="U87" s="176"/>
      <c r="V87" s="27"/>
      <c r="W87" s="170"/>
      <c r="X87" s="177"/>
      <c r="Y87" s="177"/>
      <c r="Z87" s="177"/>
      <c r="AA87" s="177"/>
      <c r="AB87" s="177"/>
      <c r="AC87" s="177"/>
      <c r="AD87" s="177"/>
      <c r="AE87" s="177"/>
      <c r="AF87" s="177"/>
      <c r="AG87" s="177"/>
      <c r="AH87" s="177"/>
    </row>
    <row r="88" spans="1:34">
      <c r="A88" s="169"/>
      <c r="B88" s="169"/>
      <c r="C88" s="169"/>
      <c r="D88" s="169"/>
      <c r="E88" s="174"/>
      <c r="F88" s="174"/>
      <c r="G88" s="174"/>
      <c r="H88" s="173"/>
      <c r="I88" s="173"/>
      <c r="J88" s="174"/>
      <c r="K88" s="173"/>
      <c r="L88" s="174"/>
      <c r="M88" s="174"/>
      <c r="N88" s="27"/>
      <c r="O88" s="28"/>
      <c r="P88" s="176"/>
      <c r="Q88" s="176"/>
      <c r="R88" s="176"/>
      <c r="S88" s="176"/>
      <c r="T88" s="176"/>
      <c r="U88" s="176"/>
      <c r="V88" s="27"/>
      <c r="W88" s="170"/>
      <c r="X88" s="177"/>
      <c r="Y88" s="177"/>
      <c r="Z88" s="177"/>
      <c r="AA88" s="177"/>
      <c r="AB88" s="177"/>
      <c r="AC88" s="177"/>
      <c r="AD88" s="177"/>
      <c r="AE88" s="177"/>
      <c r="AF88" s="177"/>
      <c r="AG88" s="177"/>
      <c r="AH88" s="177"/>
    </row>
    <row r="89" spans="1:34">
      <c r="A89" s="169"/>
      <c r="B89" s="169"/>
      <c r="C89" s="169"/>
      <c r="D89" s="169"/>
      <c r="E89" s="174"/>
      <c r="F89" s="174"/>
      <c r="G89" s="174"/>
      <c r="H89" s="173"/>
      <c r="I89" s="173"/>
      <c r="J89" s="174"/>
      <c r="K89" s="173"/>
      <c r="L89" s="174"/>
      <c r="M89" s="174"/>
      <c r="N89" s="27"/>
      <c r="O89" s="28"/>
      <c r="P89" s="176"/>
      <c r="Q89" s="176"/>
      <c r="R89" s="176"/>
      <c r="S89" s="176"/>
      <c r="T89" s="176"/>
      <c r="U89" s="176"/>
      <c r="V89" s="27"/>
      <c r="W89" s="170"/>
      <c r="X89" s="177"/>
      <c r="Y89" s="177"/>
      <c r="Z89" s="177"/>
      <c r="AA89" s="177"/>
      <c r="AB89" s="177"/>
      <c r="AC89" s="177"/>
      <c r="AD89" s="177"/>
      <c r="AE89" s="177"/>
      <c r="AF89" s="177"/>
      <c r="AG89" s="177"/>
      <c r="AH89" s="177"/>
    </row>
    <row r="90" spans="1:34">
      <c r="A90" s="169"/>
      <c r="B90" s="169"/>
      <c r="C90" s="169"/>
      <c r="D90" s="169"/>
      <c r="E90" s="174"/>
      <c r="F90" s="174"/>
      <c r="G90" s="174"/>
      <c r="H90" s="173"/>
      <c r="I90" s="173"/>
      <c r="J90" s="174"/>
      <c r="K90" s="173"/>
      <c r="L90" s="174"/>
      <c r="M90" s="174"/>
      <c r="N90" s="27"/>
      <c r="O90" s="28"/>
      <c r="P90" s="176"/>
      <c r="Q90" s="176"/>
      <c r="R90" s="176"/>
      <c r="S90" s="176"/>
      <c r="T90" s="176"/>
      <c r="U90" s="176"/>
      <c r="V90" s="27"/>
      <c r="W90" s="170"/>
      <c r="X90" s="177"/>
      <c r="Y90" s="177"/>
      <c r="Z90" s="177"/>
      <c r="AA90" s="177"/>
      <c r="AB90" s="177"/>
      <c r="AC90" s="177"/>
      <c r="AD90" s="177"/>
      <c r="AE90" s="177"/>
      <c r="AF90" s="177"/>
      <c r="AG90" s="177"/>
      <c r="AH90" s="177"/>
    </row>
    <row r="91" spans="1:34">
      <c r="A91" s="169"/>
      <c r="B91" s="169"/>
      <c r="C91" s="169"/>
      <c r="D91" s="169"/>
      <c r="E91" s="174"/>
      <c r="F91" s="174"/>
      <c r="G91" s="174"/>
      <c r="H91" s="173"/>
      <c r="I91" s="173"/>
      <c r="J91" s="174"/>
      <c r="K91" s="173"/>
      <c r="L91" s="174"/>
      <c r="M91" s="174"/>
      <c r="N91" s="27"/>
      <c r="O91" s="28"/>
      <c r="P91" s="176"/>
      <c r="Q91" s="176"/>
      <c r="R91" s="176"/>
      <c r="S91" s="176"/>
      <c r="T91" s="176"/>
      <c r="U91" s="176"/>
      <c r="V91" s="27"/>
      <c r="W91" s="170"/>
      <c r="X91" s="177"/>
      <c r="Y91" s="177"/>
      <c r="Z91" s="177"/>
      <c r="AA91" s="177"/>
      <c r="AB91" s="177"/>
      <c r="AC91" s="177"/>
      <c r="AD91" s="177"/>
      <c r="AE91" s="177"/>
      <c r="AF91" s="177"/>
      <c r="AG91" s="177"/>
      <c r="AH91" s="177"/>
    </row>
    <row r="92" spans="1:34">
      <c r="A92" s="169"/>
      <c r="B92" s="169"/>
      <c r="C92" s="169"/>
      <c r="D92" s="169"/>
      <c r="E92" s="174"/>
      <c r="F92" s="174"/>
      <c r="G92" s="174"/>
      <c r="H92" s="173"/>
      <c r="I92" s="173"/>
      <c r="J92" s="174"/>
      <c r="K92" s="173"/>
      <c r="L92" s="174"/>
      <c r="M92" s="174"/>
      <c r="N92" s="27"/>
      <c r="O92" s="28"/>
      <c r="P92" s="176"/>
      <c r="Q92" s="176"/>
      <c r="R92" s="176"/>
      <c r="S92" s="176"/>
      <c r="T92" s="176"/>
      <c r="U92" s="176"/>
      <c r="V92" s="27"/>
      <c r="W92" s="170"/>
      <c r="X92" s="177"/>
      <c r="Y92" s="177"/>
      <c r="Z92" s="177"/>
      <c r="AA92" s="177"/>
      <c r="AB92" s="177"/>
      <c r="AC92" s="177"/>
      <c r="AD92" s="177"/>
      <c r="AE92" s="177"/>
      <c r="AF92" s="177"/>
      <c r="AG92" s="177"/>
      <c r="AH92" s="177"/>
    </row>
    <row r="93" spans="1:34">
      <c r="A93" s="169"/>
      <c r="B93" s="169"/>
      <c r="C93" s="169"/>
      <c r="D93" s="169"/>
      <c r="E93" s="174"/>
      <c r="F93" s="174"/>
      <c r="G93" s="174"/>
      <c r="H93" s="173"/>
      <c r="I93" s="173"/>
      <c r="J93" s="174"/>
      <c r="K93" s="173"/>
      <c r="L93" s="174"/>
      <c r="M93" s="174"/>
      <c r="N93" s="27"/>
      <c r="O93" s="28"/>
      <c r="P93" s="176"/>
      <c r="Q93" s="176"/>
      <c r="R93" s="176"/>
      <c r="S93" s="176"/>
      <c r="T93" s="176"/>
      <c r="U93" s="176"/>
      <c r="V93" s="27"/>
      <c r="W93" s="170"/>
      <c r="X93" s="177"/>
      <c r="Y93" s="177"/>
      <c r="Z93" s="177"/>
      <c r="AA93" s="177"/>
      <c r="AB93" s="177"/>
      <c r="AC93" s="177"/>
      <c r="AD93" s="177"/>
      <c r="AE93" s="177"/>
      <c r="AF93" s="177"/>
      <c r="AG93" s="177"/>
      <c r="AH93" s="177"/>
    </row>
    <row r="94" spans="1:34">
      <c r="A94" s="169"/>
      <c r="B94" s="169"/>
      <c r="C94" s="169"/>
      <c r="D94" s="169"/>
      <c r="E94" s="174"/>
      <c r="F94" s="174"/>
      <c r="G94" s="174"/>
      <c r="H94" s="173"/>
      <c r="I94" s="173"/>
      <c r="J94" s="174"/>
      <c r="K94" s="173"/>
      <c r="L94" s="174"/>
      <c r="M94" s="174"/>
      <c r="N94" s="27"/>
      <c r="O94" s="28"/>
      <c r="P94" s="176"/>
      <c r="Q94" s="176"/>
      <c r="R94" s="176"/>
      <c r="S94" s="176"/>
      <c r="T94" s="176"/>
      <c r="U94" s="176"/>
      <c r="V94" s="27"/>
      <c r="W94" s="170"/>
      <c r="X94" s="177"/>
      <c r="Y94" s="177"/>
      <c r="Z94" s="177"/>
      <c r="AA94" s="177"/>
      <c r="AB94" s="177"/>
      <c r="AC94" s="177"/>
      <c r="AD94" s="177"/>
      <c r="AE94" s="177"/>
      <c r="AF94" s="177"/>
      <c r="AG94" s="177"/>
      <c r="AH94" s="177"/>
    </row>
    <row r="95" spans="1:34">
      <c r="A95" s="169"/>
      <c r="B95" s="169"/>
      <c r="C95" s="169"/>
      <c r="D95" s="169"/>
      <c r="E95" s="174"/>
      <c r="F95" s="174"/>
      <c r="G95" s="174"/>
      <c r="H95" s="173"/>
      <c r="I95" s="173"/>
      <c r="J95" s="174"/>
      <c r="K95" s="173"/>
      <c r="L95" s="174"/>
      <c r="M95" s="174"/>
      <c r="N95" s="27"/>
      <c r="O95" s="28"/>
      <c r="P95" s="176"/>
      <c r="Q95" s="176"/>
      <c r="R95" s="176"/>
      <c r="S95" s="176"/>
      <c r="T95" s="176"/>
      <c r="U95" s="176"/>
      <c r="V95" s="27"/>
      <c r="W95" s="170"/>
      <c r="X95" s="177"/>
      <c r="Y95" s="177"/>
      <c r="Z95" s="177"/>
      <c r="AA95" s="177"/>
      <c r="AB95" s="177"/>
      <c r="AC95" s="177"/>
      <c r="AD95" s="177"/>
      <c r="AE95" s="177"/>
      <c r="AF95" s="177"/>
      <c r="AG95" s="177"/>
      <c r="AH95" s="177"/>
    </row>
    <row r="96" spans="1:34">
      <c r="A96" s="169"/>
      <c r="B96" s="169"/>
      <c r="C96" s="169"/>
      <c r="D96" s="169"/>
      <c r="E96" s="174"/>
      <c r="F96" s="174"/>
      <c r="G96" s="174"/>
      <c r="H96" s="173"/>
      <c r="I96" s="173"/>
      <c r="J96" s="174"/>
      <c r="K96" s="173"/>
      <c r="L96" s="174"/>
      <c r="M96" s="174"/>
      <c r="N96" s="27"/>
      <c r="O96" s="28"/>
      <c r="P96" s="176"/>
      <c r="Q96" s="176"/>
      <c r="R96" s="176"/>
      <c r="S96" s="176"/>
      <c r="T96" s="176"/>
      <c r="U96" s="176"/>
      <c r="V96" s="27"/>
      <c r="W96" s="170"/>
      <c r="X96" s="177"/>
      <c r="Y96" s="177"/>
      <c r="Z96" s="177"/>
      <c r="AA96" s="177"/>
      <c r="AB96" s="177"/>
      <c r="AC96" s="177"/>
      <c r="AD96" s="177"/>
      <c r="AE96" s="177"/>
      <c r="AF96" s="177"/>
      <c r="AG96" s="177"/>
      <c r="AH96" s="177"/>
    </row>
    <row r="97" spans="1:34">
      <c r="A97" s="169"/>
      <c r="B97" s="169"/>
      <c r="C97" s="169"/>
      <c r="D97" s="169"/>
      <c r="E97" s="174"/>
      <c r="F97" s="174"/>
      <c r="G97" s="174"/>
      <c r="H97" s="173"/>
      <c r="I97" s="173"/>
      <c r="J97" s="174"/>
      <c r="K97" s="173"/>
      <c r="L97" s="174"/>
      <c r="M97" s="174"/>
      <c r="N97" s="27"/>
      <c r="O97" s="28"/>
      <c r="P97" s="176"/>
      <c r="Q97" s="176"/>
      <c r="R97" s="176"/>
      <c r="S97" s="176"/>
      <c r="T97" s="176"/>
      <c r="U97" s="176"/>
      <c r="V97" s="27"/>
      <c r="W97" s="170"/>
      <c r="X97" s="177"/>
      <c r="Y97" s="177"/>
      <c r="Z97" s="177"/>
      <c r="AA97" s="177"/>
      <c r="AB97" s="177"/>
      <c r="AC97" s="177"/>
      <c r="AD97" s="177"/>
      <c r="AE97" s="177"/>
      <c r="AF97" s="177"/>
      <c r="AG97" s="177"/>
      <c r="AH97" s="177"/>
    </row>
    <row r="98" spans="1:34">
      <c r="A98" s="169"/>
      <c r="B98" s="169"/>
      <c r="C98" s="169"/>
      <c r="D98" s="169"/>
      <c r="E98" s="174"/>
      <c r="F98" s="174"/>
      <c r="G98" s="174"/>
      <c r="H98" s="173"/>
      <c r="I98" s="173"/>
      <c r="J98" s="174"/>
      <c r="K98" s="173"/>
      <c r="L98" s="174"/>
      <c r="M98" s="174"/>
      <c r="N98" s="27"/>
      <c r="O98" s="28"/>
      <c r="P98" s="176"/>
      <c r="Q98" s="176"/>
      <c r="R98" s="176"/>
      <c r="S98" s="176"/>
      <c r="T98" s="176"/>
      <c r="U98" s="176"/>
      <c r="V98" s="27"/>
      <c r="W98" s="170"/>
      <c r="X98" s="177"/>
      <c r="Y98" s="177"/>
      <c r="Z98" s="177"/>
      <c r="AA98" s="177"/>
      <c r="AB98" s="177"/>
      <c r="AC98" s="177"/>
      <c r="AD98" s="177"/>
      <c r="AE98" s="177"/>
      <c r="AF98" s="177"/>
      <c r="AG98" s="177"/>
      <c r="AH98" s="177"/>
    </row>
    <row r="99" spans="1:34">
      <c r="A99" s="169"/>
      <c r="B99" s="169"/>
      <c r="C99" s="169"/>
      <c r="D99" s="169"/>
      <c r="E99" s="174"/>
      <c r="F99" s="174"/>
      <c r="G99" s="174"/>
      <c r="H99" s="173"/>
      <c r="I99" s="173"/>
      <c r="J99" s="174"/>
      <c r="K99" s="173"/>
      <c r="L99" s="174"/>
      <c r="M99" s="174"/>
      <c r="N99" s="27"/>
      <c r="O99" s="28"/>
      <c r="P99" s="176"/>
      <c r="Q99" s="176"/>
      <c r="R99" s="176"/>
      <c r="S99" s="176"/>
      <c r="T99" s="176"/>
      <c r="U99" s="176"/>
      <c r="V99" s="27"/>
      <c r="W99" s="170"/>
      <c r="X99" s="177"/>
      <c r="Y99" s="177"/>
      <c r="Z99" s="177"/>
      <c r="AA99" s="177"/>
      <c r="AB99" s="177"/>
      <c r="AC99" s="177"/>
      <c r="AD99" s="177"/>
      <c r="AE99" s="177"/>
      <c r="AF99" s="177"/>
      <c r="AG99" s="177"/>
      <c r="AH99" s="177"/>
    </row>
    <row r="100" spans="1:34">
      <c r="A100" s="169"/>
      <c r="B100" s="169"/>
      <c r="C100" s="169"/>
      <c r="D100" s="169"/>
      <c r="E100" s="174"/>
      <c r="F100" s="174"/>
      <c r="G100" s="174"/>
      <c r="H100" s="173"/>
      <c r="I100" s="173"/>
      <c r="J100" s="174"/>
      <c r="K100" s="173"/>
      <c r="L100" s="174"/>
      <c r="M100" s="174"/>
      <c r="N100" s="27"/>
      <c r="O100" s="28"/>
      <c r="P100" s="176"/>
      <c r="Q100" s="176"/>
      <c r="R100" s="176"/>
      <c r="S100" s="176"/>
      <c r="T100" s="176"/>
      <c r="U100" s="176"/>
      <c r="V100" s="27"/>
      <c r="W100" s="170"/>
      <c r="X100" s="177"/>
      <c r="Y100" s="177"/>
      <c r="Z100" s="177"/>
      <c r="AA100" s="177"/>
      <c r="AB100" s="177"/>
      <c r="AC100" s="177"/>
      <c r="AD100" s="177"/>
      <c r="AE100" s="177"/>
      <c r="AF100" s="177"/>
      <c r="AG100" s="177"/>
      <c r="AH100" s="177"/>
    </row>
    <row r="101" spans="1:34">
      <c r="A101" s="169"/>
      <c r="B101" s="169"/>
      <c r="C101" s="169"/>
      <c r="D101" s="169"/>
      <c r="E101" s="174"/>
      <c r="F101" s="174"/>
      <c r="G101" s="174"/>
      <c r="H101" s="173"/>
      <c r="I101" s="173"/>
      <c r="J101" s="174"/>
      <c r="K101" s="173"/>
      <c r="L101" s="174"/>
      <c r="M101" s="174"/>
      <c r="N101" s="27"/>
      <c r="O101" s="28"/>
      <c r="P101" s="176"/>
      <c r="Q101" s="176"/>
      <c r="R101" s="176"/>
      <c r="S101" s="176"/>
      <c r="T101" s="176"/>
      <c r="U101" s="176"/>
      <c r="V101" s="27"/>
      <c r="W101" s="170"/>
      <c r="X101" s="177"/>
      <c r="Y101" s="177"/>
      <c r="Z101" s="177"/>
      <c r="AA101" s="177"/>
      <c r="AB101" s="177"/>
      <c r="AC101" s="177"/>
      <c r="AD101" s="177"/>
      <c r="AE101" s="177"/>
      <c r="AF101" s="177"/>
      <c r="AG101" s="177"/>
      <c r="AH101" s="177"/>
    </row>
    <row r="102" spans="1:34">
      <c r="A102" s="169"/>
      <c r="B102" s="169"/>
      <c r="C102" s="169"/>
      <c r="D102" s="169"/>
      <c r="E102" s="174"/>
      <c r="F102" s="174"/>
      <c r="G102" s="174"/>
      <c r="H102" s="173"/>
      <c r="I102" s="173"/>
      <c r="J102" s="174"/>
      <c r="K102" s="173"/>
      <c r="L102" s="174"/>
      <c r="M102" s="174"/>
      <c r="N102" s="27"/>
      <c r="O102" s="28"/>
      <c r="P102" s="176"/>
      <c r="Q102" s="176"/>
      <c r="R102" s="176"/>
      <c r="S102" s="176"/>
      <c r="T102" s="176"/>
      <c r="U102" s="176"/>
      <c r="V102" s="27"/>
      <c r="W102" s="170"/>
      <c r="X102" s="177"/>
      <c r="Y102" s="177"/>
      <c r="Z102" s="177"/>
      <c r="AA102" s="177"/>
      <c r="AB102" s="177"/>
      <c r="AC102" s="177"/>
      <c r="AD102" s="177"/>
      <c r="AE102" s="177"/>
      <c r="AF102" s="177"/>
      <c r="AG102" s="177"/>
      <c r="AH102" s="177"/>
    </row>
    <row r="103" spans="1:34">
      <c r="A103" s="169"/>
      <c r="B103" s="169"/>
      <c r="C103" s="169"/>
      <c r="D103" s="169"/>
      <c r="E103" s="174"/>
      <c r="F103" s="174"/>
      <c r="G103" s="174"/>
      <c r="H103" s="173"/>
      <c r="I103" s="173"/>
      <c r="J103" s="174"/>
      <c r="K103" s="173"/>
      <c r="L103" s="174"/>
      <c r="M103" s="174"/>
      <c r="N103" s="27"/>
      <c r="O103" s="28"/>
      <c r="P103" s="176"/>
      <c r="Q103" s="176"/>
      <c r="R103" s="176"/>
      <c r="S103" s="176"/>
      <c r="T103" s="176"/>
      <c r="U103" s="176"/>
      <c r="V103" s="27"/>
      <c r="W103" s="170"/>
      <c r="X103" s="177"/>
      <c r="Y103" s="177"/>
      <c r="Z103" s="177"/>
      <c r="AA103" s="177"/>
      <c r="AB103" s="177"/>
      <c r="AC103" s="177"/>
      <c r="AD103" s="177"/>
      <c r="AE103" s="177"/>
      <c r="AF103" s="177"/>
      <c r="AG103" s="177"/>
      <c r="AH103" s="177"/>
    </row>
    <row r="104" spans="1:34">
      <c r="A104" s="169"/>
      <c r="B104" s="169"/>
      <c r="C104" s="169"/>
      <c r="D104" s="169"/>
      <c r="E104" s="174"/>
      <c r="F104" s="174"/>
      <c r="G104" s="174"/>
      <c r="H104" s="173"/>
      <c r="I104" s="173"/>
      <c r="J104" s="174"/>
      <c r="K104" s="173"/>
      <c r="L104" s="174"/>
      <c r="M104" s="174"/>
      <c r="N104" s="27"/>
      <c r="O104" s="28"/>
      <c r="P104" s="176"/>
      <c r="Q104" s="176"/>
      <c r="R104" s="176"/>
      <c r="S104" s="176"/>
      <c r="T104" s="176"/>
      <c r="U104" s="176"/>
      <c r="V104" s="27"/>
      <c r="W104" s="170"/>
      <c r="X104" s="177"/>
      <c r="Y104" s="177"/>
      <c r="Z104" s="177"/>
      <c r="AA104" s="177"/>
      <c r="AB104" s="177"/>
      <c r="AC104" s="177"/>
      <c r="AD104" s="177"/>
      <c r="AE104" s="177"/>
      <c r="AF104" s="177"/>
      <c r="AG104" s="177"/>
      <c r="AH104" s="177"/>
    </row>
    <row r="105" spans="1:34">
      <c r="A105" s="169"/>
      <c r="B105" s="169"/>
      <c r="C105" s="169"/>
      <c r="D105" s="169"/>
      <c r="E105" s="174"/>
      <c r="F105" s="174"/>
      <c r="G105" s="174"/>
      <c r="H105" s="173"/>
      <c r="I105" s="173"/>
      <c r="J105" s="174"/>
      <c r="K105" s="173"/>
      <c r="L105" s="174"/>
      <c r="M105" s="174"/>
      <c r="N105" s="27"/>
      <c r="O105" s="28"/>
      <c r="P105" s="176"/>
      <c r="Q105" s="176"/>
      <c r="R105" s="176"/>
      <c r="S105" s="176"/>
      <c r="T105" s="176"/>
      <c r="U105" s="176"/>
      <c r="V105" s="27"/>
      <c r="W105" s="170"/>
      <c r="X105" s="177"/>
      <c r="Y105" s="177"/>
      <c r="Z105" s="177"/>
      <c r="AA105" s="177"/>
      <c r="AB105" s="177"/>
      <c r="AC105" s="177"/>
      <c r="AD105" s="177"/>
      <c r="AE105" s="177"/>
      <c r="AF105" s="177"/>
      <c r="AG105" s="177"/>
      <c r="AH105" s="177"/>
    </row>
    <row r="106" spans="1:34">
      <c r="A106" s="169"/>
      <c r="B106" s="169"/>
      <c r="C106" s="169"/>
      <c r="D106" s="169"/>
      <c r="E106" s="174"/>
      <c r="F106" s="174"/>
      <c r="G106" s="174"/>
      <c r="H106" s="173"/>
      <c r="I106" s="173"/>
      <c r="J106" s="174"/>
      <c r="K106" s="173"/>
      <c r="L106" s="174"/>
      <c r="M106" s="174"/>
      <c r="N106" s="27"/>
      <c r="O106" s="28"/>
      <c r="P106" s="176"/>
      <c r="Q106" s="176"/>
      <c r="R106" s="176"/>
      <c r="S106" s="176"/>
      <c r="T106" s="176"/>
      <c r="U106" s="176"/>
      <c r="V106" s="27"/>
      <c r="W106" s="170"/>
      <c r="X106" s="177"/>
      <c r="Y106" s="177"/>
      <c r="Z106" s="177"/>
      <c r="AA106" s="177"/>
      <c r="AB106" s="177"/>
      <c r="AC106" s="177"/>
      <c r="AD106" s="177"/>
      <c r="AE106" s="177"/>
      <c r="AF106" s="177"/>
      <c r="AG106" s="177"/>
      <c r="AH106" s="177"/>
    </row>
    <row r="107" spans="1:34">
      <c r="A107" s="169"/>
      <c r="B107" s="169"/>
      <c r="C107" s="169"/>
      <c r="D107" s="169"/>
      <c r="E107" s="174"/>
      <c r="F107" s="174"/>
      <c r="G107" s="174"/>
      <c r="H107" s="173"/>
      <c r="I107" s="173"/>
      <c r="J107" s="174"/>
      <c r="K107" s="173"/>
      <c r="L107" s="174"/>
      <c r="M107" s="174"/>
      <c r="N107" s="27"/>
      <c r="O107" s="28"/>
      <c r="P107" s="176"/>
      <c r="Q107" s="176"/>
      <c r="R107" s="176"/>
      <c r="S107" s="176"/>
      <c r="T107" s="176"/>
      <c r="U107" s="176"/>
      <c r="V107" s="27"/>
      <c r="W107" s="170"/>
      <c r="X107" s="177"/>
      <c r="Y107" s="177"/>
      <c r="Z107" s="177"/>
      <c r="AA107" s="177"/>
      <c r="AB107" s="177"/>
      <c r="AC107" s="177"/>
      <c r="AD107" s="177"/>
      <c r="AE107" s="177"/>
      <c r="AF107" s="177"/>
      <c r="AG107" s="177"/>
      <c r="AH107" s="177"/>
    </row>
    <row r="108" spans="1:34">
      <c r="A108" s="169"/>
      <c r="B108" s="169"/>
      <c r="C108" s="169"/>
      <c r="D108" s="169"/>
      <c r="E108" s="174"/>
      <c r="F108" s="174"/>
      <c r="G108" s="174"/>
      <c r="H108" s="173"/>
      <c r="I108" s="173"/>
      <c r="J108" s="174"/>
      <c r="K108" s="173"/>
      <c r="L108" s="174"/>
      <c r="M108" s="174"/>
      <c r="N108" s="27"/>
      <c r="O108" s="28"/>
      <c r="P108" s="176"/>
      <c r="Q108" s="176"/>
      <c r="R108" s="176"/>
      <c r="S108" s="176"/>
      <c r="T108" s="176"/>
      <c r="U108" s="176"/>
      <c r="V108" s="27"/>
      <c r="W108" s="170"/>
      <c r="X108" s="177"/>
      <c r="Y108" s="177"/>
      <c r="Z108" s="177"/>
      <c r="AA108" s="177"/>
      <c r="AB108" s="177"/>
      <c r="AC108" s="177"/>
      <c r="AD108" s="177"/>
      <c r="AE108" s="177"/>
      <c r="AF108" s="177"/>
      <c r="AG108" s="177"/>
      <c r="AH108" s="177"/>
    </row>
    <row r="109" spans="1:34">
      <c r="A109" s="169"/>
      <c r="B109" s="169"/>
      <c r="C109" s="169"/>
      <c r="D109" s="169"/>
      <c r="E109" s="174"/>
      <c r="F109" s="174"/>
      <c r="G109" s="174"/>
      <c r="H109" s="173"/>
      <c r="I109" s="173"/>
      <c r="J109" s="174"/>
      <c r="K109" s="173"/>
      <c r="L109" s="174"/>
      <c r="M109" s="174"/>
      <c r="N109" s="27"/>
      <c r="O109" s="28"/>
      <c r="P109" s="176"/>
      <c r="Q109" s="176"/>
      <c r="R109" s="176"/>
      <c r="S109" s="176"/>
      <c r="T109" s="176"/>
      <c r="U109" s="176"/>
      <c r="V109" s="27"/>
      <c r="W109" s="170"/>
      <c r="X109" s="177"/>
      <c r="Y109" s="177"/>
      <c r="Z109" s="177"/>
      <c r="AA109" s="177"/>
      <c r="AB109" s="177"/>
      <c r="AC109" s="177"/>
      <c r="AD109" s="177"/>
      <c r="AE109" s="177"/>
      <c r="AF109" s="177"/>
      <c r="AG109" s="177"/>
      <c r="AH109" s="177"/>
    </row>
    <row r="110" spans="1:34">
      <c r="A110" s="169"/>
      <c r="B110" s="169"/>
      <c r="C110" s="169"/>
      <c r="D110" s="169"/>
      <c r="E110" s="174"/>
      <c r="F110" s="174"/>
      <c r="G110" s="174"/>
      <c r="H110" s="173"/>
      <c r="I110" s="173"/>
      <c r="J110" s="174"/>
      <c r="K110" s="173"/>
      <c r="L110" s="174"/>
      <c r="M110" s="174"/>
      <c r="N110" s="27"/>
      <c r="O110" s="28"/>
      <c r="P110" s="176"/>
      <c r="Q110" s="176"/>
      <c r="R110" s="176"/>
      <c r="S110" s="176"/>
      <c r="T110" s="176"/>
      <c r="U110" s="176"/>
      <c r="V110" s="27"/>
      <c r="W110" s="170"/>
      <c r="X110" s="177"/>
      <c r="Y110" s="177"/>
      <c r="Z110" s="177"/>
      <c r="AA110" s="177"/>
      <c r="AB110" s="177"/>
      <c r="AC110" s="177"/>
      <c r="AD110" s="177"/>
      <c r="AE110" s="177"/>
      <c r="AF110" s="177"/>
      <c r="AG110" s="177"/>
      <c r="AH110" s="177"/>
    </row>
    <row r="111" spans="1:34">
      <c r="A111" s="169"/>
      <c r="B111" s="169"/>
      <c r="C111" s="169"/>
      <c r="D111" s="169"/>
      <c r="E111" s="174"/>
      <c r="F111" s="174"/>
      <c r="G111" s="174"/>
      <c r="H111" s="173"/>
      <c r="I111" s="173"/>
      <c r="J111" s="174"/>
      <c r="K111" s="173"/>
      <c r="L111" s="174"/>
      <c r="M111" s="174"/>
      <c r="N111" s="27"/>
      <c r="O111" s="28"/>
      <c r="P111" s="176"/>
      <c r="Q111" s="176"/>
      <c r="R111" s="176"/>
      <c r="S111" s="176"/>
      <c r="T111" s="176"/>
      <c r="U111" s="176"/>
      <c r="V111" s="27"/>
      <c r="W111" s="170"/>
      <c r="X111" s="177"/>
      <c r="Y111" s="177"/>
      <c r="Z111" s="177"/>
      <c r="AA111" s="177"/>
      <c r="AB111" s="177"/>
      <c r="AC111" s="177"/>
      <c r="AD111" s="177"/>
      <c r="AE111" s="177"/>
      <c r="AF111" s="177"/>
      <c r="AG111" s="177"/>
      <c r="AH111" s="177"/>
    </row>
    <row r="112" spans="1:34">
      <c r="A112" s="169"/>
      <c r="B112" s="169"/>
      <c r="C112" s="169"/>
      <c r="D112" s="169"/>
      <c r="E112" s="174"/>
      <c r="F112" s="174"/>
      <c r="G112" s="174"/>
      <c r="H112" s="173"/>
      <c r="I112" s="173"/>
      <c r="J112" s="174"/>
      <c r="K112" s="173"/>
      <c r="L112" s="174"/>
      <c r="M112" s="174"/>
      <c r="N112" s="27"/>
      <c r="O112" s="28"/>
      <c r="P112" s="176"/>
      <c r="Q112" s="176"/>
      <c r="R112" s="176"/>
      <c r="S112" s="176"/>
      <c r="T112" s="176"/>
      <c r="U112" s="176"/>
      <c r="V112" s="27"/>
      <c r="W112" s="170"/>
      <c r="X112" s="177"/>
      <c r="Y112" s="177"/>
      <c r="Z112" s="177"/>
      <c r="AA112" s="177"/>
      <c r="AB112" s="177"/>
      <c r="AC112" s="177"/>
      <c r="AD112" s="177"/>
      <c r="AE112" s="177"/>
      <c r="AF112" s="177"/>
      <c r="AG112" s="177"/>
      <c r="AH112" s="177"/>
    </row>
    <row r="113" spans="1:34">
      <c r="A113" s="169"/>
      <c r="B113" s="169"/>
      <c r="C113" s="169"/>
      <c r="D113" s="169"/>
      <c r="E113" s="174"/>
      <c r="F113" s="174"/>
      <c r="G113" s="174"/>
      <c r="H113" s="173"/>
      <c r="I113" s="173"/>
      <c r="J113" s="174"/>
      <c r="K113" s="173"/>
      <c r="L113" s="174"/>
      <c r="M113" s="174"/>
      <c r="N113" s="27"/>
      <c r="O113" s="28"/>
      <c r="P113" s="176"/>
      <c r="Q113" s="176"/>
      <c r="R113" s="176"/>
      <c r="S113" s="176"/>
      <c r="T113" s="176"/>
      <c r="U113" s="176"/>
      <c r="V113" s="27"/>
      <c r="W113" s="170"/>
      <c r="X113" s="177"/>
      <c r="Y113" s="177"/>
      <c r="Z113" s="177"/>
      <c r="AA113" s="177"/>
      <c r="AB113" s="177"/>
      <c r="AC113" s="177"/>
      <c r="AD113" s="177"/>
      <c r="AE113" s="177"/>
      <c r="AF113" s="177"/>
      <c r="AG113" s="177"/>
      <c r="AH113" s="177"/>
    </row>
    <row r="114" spans="1:34">
      <c r="A114" s="169"/>
      <c r="B114" s="169"/>
      <c r="C114" s="169"/>
      <c r="D114" s="169"/>
      <c r="E114" s="174"/>
      <c r="F114" s="174"/>
      <c r="G114" s="174"/>
      <c r="H114" s="173"/>
      <c r="I114" s="173"/>
      <c r="J114" s="174"/>
      <c r="K114" s="173"/>
      <c r="L114" s="174"/>
      <c r="M114" s="174"/>
      <c r="N114" s="27"/>
      <c r="O114" s="28"/>
      <c r="P114" s="176"/>
      <c r="Q114" s="176"/>
      <c r="R114" s="176"/>
      <c r="S114" s="176"/>
      <c r="T114" s="176"/>
      <c r="U114" s="176"/>
      <c r="V114" s="27"/>
      <c r="W114" s="170"/>
      <c r="X114" s="177"/>
      <c r="Y114" s="177"/>
      <c r="Z114" s="177"/>
      <c r="AA114" s="177"/>
      <c r="AB114" s="177"/>
      <c r="AC114" s="177"/>
      <c r="AD114" s="177"/>
      <c r="AE114" s="177"/>
      <c r="AF114" s="177"/>
      <c r="AG114" s="177"/>
      <c r="AH114" s="177"/>
    </row>
    <row r="115" spans="1:34">
      <c r="A115" s="169"/>
      <c r="B115" s="169"/>
      <c r="C115" s="169"/>
      <c r="D115" s="169"/>
      <c r="E115" s="174"/>
      <c r="F115" s="174"/>
      <c r="G115" s="174"/>
      <c r="H115" s="173"/>
      <c r="I115" s="173"/>
      <c r="J115" s="174"/>
      <c r="K115" s="173"/>
      <c r="L115" s="174"/>
      <c r="M115" s="174"/>
      <c r="N115" s="27"/>
      <c r="O115" s="28"/>
      <c r="P115" s="176"/>
      <c r="Q115" s="176"/>
      <c r="R115" s="176"/>
      <c r="S115" s="176"/>
      <c r="T115" s="176"/>
      <c r="U115" s="176"/>
      <c r="V115" s="27"/>
      <c r="W115" s="170"/>
      <c r="X115" s="177"/>
      <c r="Y115" s="177"/>
      <c r="Z115" s="177"/>
      <c r="AA115" s="177"/>
      <c r="AB115" s="177"/>
      <c r="AC115" s="177"/>
      <c r="AD115" s="177"/>
      <c r="AE115" s="177"/>
      <c r="AF115" s="177"/>
      <c r="AG115" s="177"/>
      <c r="AH115" s="177"/>
    </row>
    <row r="116" spans="1:34">
      <c r="A116" s="169"/>
      <c r="B116" s="169"/>
      <c r="C116" s="169"/>
      <c r="D116" s="169"/>
      <c r="E116" s="174"/>
      <c r="F116" s="174"/>
      <c r="G116" s="174"/>
      <c r="H116" s="173"/>
      <c r="I116" s="173"/>
      <c r="J116" s="174"/>
      <c r="K116" s="173"/>
      <c r="L116" s="174"/>
      <c r="M116" s="174"/>
      <c r="N116" s="27"/>
      <c r="O116" s="28"/>
      <c r="P116" s="176"/>
      <c r="Q116" s="176"/>
      <c r="R116" s="176"/>
      <c r="S116" s="176"/>
      <c r="T116" s="176"/>
      <c r="U116" s="176"/>
      <c r="V116" s="27"/>
      <c r="W116" s="170"/>
      <c r="X116" s="177"/>
      <c r="Y116" s="177"/>
      <c r="Z116" s="177"/>
      <c r="AA116" s="177"/>
      <c r="AB116" s="177"/>
      <c r="AC116" s="177"/>
      <c r="AD116" s="177"/>
      <c r="AE116" s="177"/>
      <c r="AF116" s="177"/>
      <c r="AG116" s="177"/>
      <c r="AH116" s="177"/>
    </row>
    <row r="117" spans="1:34">
      <c r="A117" s="169"/>
      <c r="B117" s="169"/>
      <c r="C117" s="169"/>
      <c r="D117" s="169"/>
      <c r="E117" s="174"/>
      <c r="F117" s="174"/>
      <c r="G117" s="174"/>
      <c r="H117" s="173"/>
      <c r="I117" s="173"/>
      <c r="J117" s="174"/>
      <c r="K117" s="173"/>
      <c r="L117" s="174"/>
      <c r="M117" s="174"/>
      <c r="N117" s="27"/>
      <c r="O117" s="28"/>
      <c r="P117" s="176"/>
      <c r="Q117" s="176"/>
      <c r="R117" s="176"/>
      <c r="S117" s="176"/>
      <c r="T117" s="176"/>
      <c r="U117" s="176"/>
      <c r="V117" s="27"/>
      <c r="W117" s="170"/>
      <c r="X117" s="177"/>
      <c r="Y117" s="177"/>
      <c r="Z117" s="177"/>
      <c r="AA117" s="177"/>
      <c r="AB117" s="177"/>
      <c r="AC117" s="177"/>
      <c r="AD117" s="177"/>
      <c r="AE117" s="177"/>
      <c r="AF117" s="177"/>
      <c r="AG117" s="177"/>
      <c r="AH117" s="177"/>
    </row>
    <row r="118" spans="1:34">
      <c r="A118" s="169"/>
      <c r="B118" s="169"/>
      <c r="C118" s="169"/>
      <c r="D118" s="169"/>
      <c r="E118" s="174"/>
      <c r="F118" s="174"/>
      <c r="G118" s="174"/>
      <c r="H118" s="173"/>
      <c r="I118" s="173"/>
      <c r="J118" s="174"/>
      <c r="K118" s="173"/>
      <c r="L118" s="174"/>
      <c r="M118" s="174"/>
      <c r="N118" s="27"/>
      <c r="O118" s="28"/>
      <c r="P118" s="176"/>
      <c r="Q118" s="176"/>
      <c r="R118" s="176"/>
      <c r="S118" s="176"/>
      <c r="T118" s="176"/>
      <c r="U118" s="176"/>
      <c r="V118" s="27"/>
      <c r="W118" s="170"/>
      <c r="X118" s="177"/>
      <c r="Y118" s="177"/>
      <c r="Z118" s="177"/>
      <c r="AA118" s="177"/>
      <c r="AB118" s="177"/>
      <c r="AC118" s="177"/>
      <c r="AD118" s="177"/>
      <c r="AE118" s="177"/>
      <c r="AF118" s="177"/>
      <c r="AG118" s="177"/>
      <c r="AH118" s="177"/>
    </row>
    <row r="119" spans="1:34">
      <c r="A119" s="169"/>
      <c r="B119" s="169"/>
      <c r="C119" s="169"/>
      <c r="D119" s="169"/>
      <c r="E119" s="174"/>
      <c r="F119" s="174"/>
      <c r="G119" s="174"/>
      <c r="H119" s="173"/>
      <c r="I119" s="173"/>
      <c r="J119" s="174"/>
      <c r="K119" s="173"/>
      <c r="L119" s="174"/>
      <c r="M119" s="174"/>
      <c r="N119" s="27"/>
      <c r="O119" s="28"/>
      <c r="P119" s="176"/>
      <c r="Q119" s="176"/>
      <c r="R119" s="176"/>
      <c r="S119" s="176"/>
      <c r="T119" s="176"/>
      <c r="U119" s="176"/>
      <c r="V119" s="27"/>
      <c r="W119" s="170"/>
      <c r="X119" s="177"/>
      <c r="Y119" s="177"/>
      <c r="Z119" s="177"/>
      <c r="AA119" s="177"/>
      <c r="AB119" s="177"/>
      <c r="AC119" s="177"/>
      <c r="AD119" s="177"/>
      <c r="AE119" s="177"/>
      <c r="AF119" s="177"/>
      <c r="AG119" s="177"/>
      <c r="AH119" s="177"/>
    </row>
    <row r="120" spans="1:34">
      <c r="A120" s="169"/>
      <c r="B120" s="169"/>
      <c r="C120" s="169"/>
      <c r="D120" s="169"/>
      <c r="E120" s="174"/>
      <c r="F120" s="174"/>
      <c r="G120" s="174"/>
      <c r="H120" s="173"/>
      <c r="I120" s="173"/>
      <c r="J120" s="174"/>
      <c r="K120" s="173"/>
      <c r="L120" s="174"/>
      <c r="M120" s="174"/>
      <c r="N120" s="27"/>
      <c r="O120" s="28"/>
      <c r="P120" s="176"/>
      <c r="Q120" s="176"/>
      <c r="R120" s="176"/>
      <c r="S120" s="176"/>
      <c r="T120" s="176"/>
      <c r="U120" s="176"/>
      <c r="V120" s="27"/>
      <c r="W120" s="170"/>
      <c r="X120" s="177"/>
      <c r="Y120" s="177"/>
      <c r="Z120" s="177"/>
      <c r="AA120" s="177"/>
      <c r="AB120" s="177"/>
      <c r="AC120" s="177"/>
      <c r="AD120" s="177"/>
      <c r="AE120" s="177"/>
      <c r="AF120" s="177"/>
      <c r="AG120" s="177"/>
      <c r="AH120" s="177"/>
    </row>
    <row r="121" spans="1:34">
      <c r="A121" s="169"/>
      <c r="B121" s="169"/>
      <c r="C121" s="169"/>
      <c r="D121" s="169"/>
      <c r="E121" s="174"/>
      <c r="F121" s="174"/>
      <c r="G121" s="174"/>
      <c r="H121" s="173"/>
      <c r="I121" s="173"/>
      <c r="J121" s="174"/>
      <c r="K121" s="173"/>
      <c r="L121" s="174"/>
      <c r="M121" s="174"/>
      <c r="N121" s="27"/>
      <c r="O121" s="28"/>
      <c r="P121" s="176"/>
      <c r="Q121" s="176"/>
      <c r="R121" s="176"/>
      <c r="S121" s="176"/>
      <c r="T121" s="176"/>
      <c r="U121" s="176"/>
      <c r="V121" s="27"/>
      <c r="W121" s="170"/>
      <c r="X121" s="177"/>
      <c r="Y121" s="177"/>
      <c r="Z121" s="177"/>
      <c r="AA121" s="177"/>
      <c r="AB121" s="177"/>
      <c r="AC121" s="177"/>
      <c r="AD121" s="177"/>
      <c r="AE121" s="177"/>
      <c r="AF121" s="177"/>
      <c r="AG121" s="177"/>
      <c r="AH121" s="177"/>
    </row>
    <row r="122" spans="1:34">
      <c r="A122" s="169"/>
      <c r="B122" s="169"/>
      <c r="C122" s="169"/>
      <c r="D122" s="169"/>
      <c r="E122" s="174"/>
      <c r="F122" s="174"/>
      <c r="G122" s="174"/>
      <c r="H122" s="173"/>
      <c r="I122" s="173"/>
      <c r="J122" s="174"/>
      <c r="K122" s="173"/>
      <c r="L122" s="174"/>
      <c r="M122" s="174"/>
      <c r="N122" s="27"/>
      <c r="O122" s="28"/>
      <c r="P122" s="176"/>
      <c r="Q122" s="176"/>
      <c r="R122" s="176"/>
      <c r="S122" s="176"/>
      <c r="T122" s="176"/>
      <c r="U122" s="176"/>
      <c r="V122" s="27"/>
      <c r="W122" s="170"/>
      <c r="X122" s="177"/>
      <c r="Y122" s="177"/>
      <c r="Z122" s="177"/>
      <c r="AA122" s="177"/>
      <c r="AB122" s="177"/>
      <c r="AC122" s="177"/>
      <c r="AD122" s="177"/>
      <c r="AE122" s="177"/>
      <c r="AF122" s="177"/>
      <c r="AG122" s="177"/>
      <c r="AH122" s="177"/>
    </row>
    <row r="123" spans="1:34">
      <c r="A123" s="169"/>
      <c r="B123" s="169"/>
      <c r="C123" s="169"/>
      <c r="D123" s="169"/>
      <c r="E123" s="174"/>
      <c r="F123" s="174"/>
      <c r="G123" s="174"/>
      <c r="H123" s="173"/>
      <c r="I123" s="173"/>
      <c r="J123" s="174"/>
      <c r="K123" s="173"/>
      <c r="L123" s="174"/>
      <c r="M123" s="174"/>
      <c r="N123" s="27"/>
      <c r="O123" s="28"/>
      <c r="P123" s="176"/>
      <c r="Q123" s="176"/>
      <c r="R123" s="176"/>
      <c r="S123" s="176"/>
      <c r="T123" s="176"/>
      <c r="U123" s="176"/>
      <c r="V123" s="27"/>
      <c r="W123" s="170"/>
      <c r="X123" s="177"/>
      <c r="Y123" s="177"/>
      <c r="Z123" s="177"/>
      <c r="AA123" s="177"/>
      <c r="AB123" s="177"/>
      <c r="AC123" s="177"/>
      <c r="AD123" s="177"/>
      <c r="AE123" s="177"/>
      <c r="AF123" s="177"/>
      <c r="AG123" s="177"/>
      <c r="AH123" s="177"/>
    </row>
    <row r="124" spans="1:34">
      <c r="A124" s="169"/>
      <c r="B124" s="169"/>
      <c r="C124" s="169"/>
      <c r="D124" s="169"/>
      <c r="E124" s="174"/>
      <c r="F124" s="174"/>
      <c r="G124" s="174"/>
      <c r="H124" s="173"/>
      <c r="I124" s="173"/>
      <c r="J124" s="174"/>
      <c r="K124" s="173"/>
      <c r="L124" s="174"/>
      <c r="M124" s="174"/>
      <c r="N124" s="27"/>
      <c r="O124" s="28"/>
      <c r="P124" s="176"/>
      <c r="Q124" s="176"/>
      <c r="R124" s="176"/>
      <c r="S124" s="176"/>
      <c r="T124" s="176"/>
      <c r="U124" s="176"/>
      <c r="V124" s="27"/>
      <c r="W124" s="170"/>
      <c r="X124" s="177"/>
      <c r="Y124" s="177"/>
      <c r="Z124" s="177"/>
      <c r="AA124" s="177"/>
      <c r="AB124" s="177"/>
      <c r="AC124" s="177"/>
      <c r="AD124" s="177"/>
      <c r="AE124" s="177"/>
      <c r="AF124" s="177"/>
      <c r="AG124" s="177"/>
      <c r="AH124" s="177"/>
    </row>
    <row r="125" spans="1:34">
      <c r="A125" s="169"/>
      <c r="B125" s="169"/>
      <c r="C125" s="169"/>
      <c r="D125" s="169"/>
      <c r="E125" s="174"/>
      <c r="F125" s="174"/>
      <c r="G125" s="174"/>
      <c r="H125" s="173"/>
      <c r="I125" s="173"/>
      <c r="J125" s="174"/>
      <c r="K125" s="173"/>
      <c r="L125" s="174"/>
      <c r="M125" s="174"/>
      <c r="N125" s="27"/>
      <c r="O125" s="28"/>
      <c r="P125" s="176"/>
      <c r="Q125" s="176"/>
      <c r="R125" s="176"/>
      <c r="S125" s="176"/>
      <c r="T125" s="176"/>
      <c r="U125" s="176"/>
      <c r="V125" s="27"/>
      <c r="W125" s="170"/>
      <c r="X125" s="177"/>
      <c r="Y125" s="177"/>
      <c r="Z125" s="177"/>
      <c r="AA125" s="177"/>
      <c r="AB125" s="177"/>
      <c r="AC125" s="177"/>
      <c r="AD125" s="177"/>
      <c r="AE125" s="177"/>
      <c r="AF125" s="177"/>
      <c r="AG125" s="177"/>
      <c r="AH125" s="177"/>
    </row>
    <row r="126" spans="1:34">
      <c r="A126" s="169"/>
      <c r="B126" s="169"/>
      <c r="C126" s="169"/>
      <c r="D126" s="169"/>
      <c r="E126" s="174"/>
      <c r="F126" s="174"/>
      <c r="G126" s="174"/>
      <c r="H126" s="173"/>
      <c r="I126" s="173"/>
      <c r="J126" s="174"/>
      <c r="K126" s="173"/>
      <c r="L126" s="174"/>
      <c r="M126" s="174"/>
      <c r="N126" s="27"/>
      <c r="O126" s="28"/>
      <c r="P126" s="176"/>
      <c r="Q126" s="176"/>
      <c r="R126" s="176"/>
      <c r="S126" s="176"/>
      <c r="T126" s="176"/>
      <c r="U126" s="176"/>
      <c r="V126" s="27"/>
      <c r="W126" s="170"/>
      <c r="X126" s="177"/>
      <c r="Y126" s="177"/>
      <c r="Z126" s="177"/>
      <c r="AA126" s="177"/>
      <c r="AB126" s="177"/>
      <c r="AC126" s="177"/>
      <c r="AD126" s="177"/>
      <c r="AE126" s="177"/>
      <c r="AF126" s="177"/>
      <c r="AG126" s="177"/>
      <c r="AH126" s="177"/>
    </row>
    <row r="127" spans="1:34">
      <c r="A127" s="169"/>
      <c r="B127" s="169"/>
      <c r="C127" s="169"/>
      <c r="D127" s="169"/>
      <c r="E127" s="174"/>
      <c r="F127" s="174"/>
      <c r="G127" s="174"/>
      <c r="H127" s="173"/>
      <c r="I127" s="173"/>
      <c r="J127" s="174"/>
      <c r="K127" s="173"/>
      <c r="L127" s="174"/>
      <c r="M127" s="174"/>
      <c r="N127" s="27"/>
      <c r="O127" s="28"/>
      <c r="P127" s="176"/>
      <c r="Q127" s="176"/>
      <c r="R127" s="176"/>
      <c r="S127" s="176"/>
      <c r="T127" s="176"/>
      <c r="U127" s="176"/>
      <c r="V127" s="27"/>
      <c r="W127" s="170"/>
      <c r="X127" s="177"/>
      <c r="Y127" s="177"/>
      <c r="Z127" s="177"/>
      <c r="AA127" s="177"/>
      <c r="AB127" s="177"/>
      <c r="AC127" s="177"/>
      <c r="AD127" s="177"/>
      <c r="AE127" s="177"/>
      <c r="AF127" s="177"/>
      <c r="AG127" s="177"/>
      <c r="AH127" s="177"/>
    </row>
    <row r="128" spans="1:34">
      <c r="A128" s="169"/>
      <c r="B128" s="169"/>
      <c r="C128" s="169"/>
      <c r="D128" s="169"/>
      <c r="E128" s="174"/>
      <c r="F128" s="174"/>
      <c r="G128" s="174"/>
      <c r="H128" s="173"/>
      <c r="I128" s="173"/>
      <c r="J128" s="174"/>
      <c r="K128" s="173"/>
      <c r="L128" s="174"/>
      <c r="M128" s="174"/>
      <c r="N128" s="27"/>
      <c r="O128" s="28"/>
      <c r="P128" s="176"/>
      <c r="Q128" s="176"/>
      <c r="R128" s="176"/>
      <c r="S128" s="176"/>
      <c r="T128" s="176"/>
      <c r="U128" s="176"/>
      <c r="V128" s="27"/>
      <c r="W128" s="170"/>
      <c r="X128" s="177"/>
      <c r="Y128" s="177"/>
      <c r="Z128" s="177"/>
      <c r="AA128" s="177"/>
      <c r="AB128" s="177"/>
      <c r="AC128" s="177"/>
      <c r="AD128" s="177"/>
      <c r="AE128" s="177"/>
      <c r="AF128" s="177"/>
      <c r="AG128" s="177"/>
      <c r="AH128" s="177"/>
    </row>
    <row r="129" spans="1:34">
      <c r="A129" s="169"/>
      <c r="B129" s="169"/>
      <c r="C129" s="169"/>
      <c r="D129" s="169"/>
      <c r="E129" s="174"/>
      <c r="F129" s="174"/>
      <c r="G129" s="174"/>
      <c r="H129" s="173"/>
      <c r="I129" s="173"/>
      <c r="J129" s="174"/>
      <c r="K129" s="173"/>
      <c r="L129" s="174"/>
      <c r="M129" s="174"/>
      <c r="N129" s="27"/>
      <c r="O129" s="28"/>
      <c r="P129" s="176"/>
      <c r="Q129" s="176"/>
      <c r="R129" s="176"/>
      <c r="S129" s="176"/>
      <c r="T129" s="176"/>
      <c r="U129" s="176"/>
      <c r="V129" s="27"/>
      <c r="W129" s="170"/>
      <c r="X129" s="177"/>
      <c r="Y129" s="177"/>
      <c r="Z129" s="177"/>
      <c r="AA129" s="177"/>
      <c r="AB129" s="177"/>
      <c r="AC129" s="177"/>
      <c r="AD129" s="177"/>
      <c r="AE129" s="177"/>
      <c r="AF129" s="177"/>
      <c r="AG129" s="177"/>
      <c r="AH129" s="177"/>
    </row>
    <row r="130" spans="1:34">
      <c r="A130" s="169"/>
      <c r="B130" s="169"/>
      <c r="C130" s="169"/>
      <c r="D130" s="169"/>
      <c r="E130" s="174"/>
      <c r="F130" s="174"/>
      <c r="G130" s="174"/>
      <c r="H130" s="173"/>
      <c r="I130" s="173"/>
      <c r="J130" s="174"/>
      <c r="K130" s="173"/>
      <c r="L130" s="174"/>
      <c r="M130" s="174"/>
      <c r="N130" s="27"/>
      <c r="O130" s="28"/>
      <c r="P130" s="176"/>
      <c r="Q130" s="176"/>
      <c r="R130" s="176"/>
      <c r="S130" s="176"/>
      <c r="T130" s="176"/>
      <c r="U130" s="176"/>
      <c r="V130" s="27"/>
      <c r="W130" s="170"/>
      <c r="X130" s="177"/>
      <c r="Y130" s="177"/>
      <c r="Z130" s="177"/>
      <c r="AA130" s="177"/>
      <c r="AB130" s="177"/>
      <c r="AC130" s="177"/>
      <c r="AD130" s="177"/>
      <c r="AE130" s="177"/>
      <c r="AF130" s="177"/>
      <c r="AG130" s="177"/>
      <c r="AH130" s="177"/>
    </row>
    <row r="131" spans="1:34">
      <c r="A131" s="169"/>
      <c r="B131" s="169"/>
      <c r="C131" s="169"/>
      <c r="D131" s="169"/>
      <c r="E131" s="174"/>
      <c r="F131" s="174"/>
      <c r="G131" s="174"/>
      <c r="H131" s="173"/>
      <c r="I131" s="173"/>
      <c r="J131" s="174"/>
      <c r="K131" s="173"/>
      <c r="L131" s="174"/>
      <c r="M131" s="174"/>
      <c r="N131" s="27"/>
      <c r="O131" s="28"/>
      <c r="P131" s="176"/>
      <c r="Q131" s="176"/>
      <c r="R131" s="176"/>
      <c r="S131" s="176"/>
      <c r="T131" s="176"/>
      <c r="U131" s="176"/>
      <c r="V131" s="27"/>
      <c r="W131" s="170"/>
      <c r="X131" s="177"/>
      <c r="Y131" s="177"/>
      <c r="Z131" s="177"/>
      <c r="AA131" s="177"/>
      <c r="AB131" s="177"/>
      <c r="AC131" s="177"/>
      <c r="AD131" s="177"/>
      <c r="AE131" s="177"/>
      <c r="AF131" s="177"/>
      <c r="AG131" s="177"/>
      <c r="AH131" s="177"/>
    </row>
    <row r="132" spans="1:34">
      <c r="A132" s="169"/>
      <c r="B132" s="169"/>
      <c r="C132" s="169"/>
      <c r="D132" s="169"/>
      <c r="E132" s="174"/>
      <c r="F132" s="174"/>
      <c r="G132" s="174"/>
      <c r="H132" s="173"/>
      <c r="I132" s="173"/>
      <c r="J132" s="174"/>
      <c r="K132" s="173"/>
      <c r="L132" s="174"/>
      <c r="M132" s="174"/>
      <c r="N132" s="27"/>
      <c r="O132" s="28"/>
      <c r="P132" s="176"/>
      <c r="Q132" s="176"/>
      <c r="R132" s="176"/>
      <c r="S132" s="176"/>
      <c r="T132" s="176"/>
      <c r="U132" s="176"/>
      <c r="V132" s="27"/>
      <c r="W132" s="170"/>
      <c r="X132" s="177"/>
      <c r="Y132" s="177"/>
      <c r="Z132" s="177"/>
      <c r="AA132" s="177"/>
      <c r="AB132" s="177"/>
      <c r="AC132" s="177"/>
      <c r="AD132" s="177"/>
      <c r="AE132" s="177"/>
      <c r="AF132" s="177"/>
      <c r="AG132" s="177"/>
      <c r="AH132" s="177"/>
    </row>
    <row r="133" spans="1:34">
      <c r="A133" s="169"/>
      <c r="B133" s="169"/>
      <c r="C133" s="169"/>
      <c r="D133" s="169"/>
      <c r="E133" s="174"/>
      <c r="F133" s="174"/>
      <c r="G133" s="174"/>
      <c r="H133" s="173"/>
      <c r="I133" s="173"/>
      <c r="J133" s="174"/>
      <c r="K133" s="173"/>
      <c r="L133" s="174"/>
      <c r="M133" s="174"/>
      <c r="N133" s="27"/>
      <c r="O133" s="28"/>
      <c r="P133" s="176"/>
      <c r="Q133" s="176"/>
      <c r="R133" s="176"/>
      <c r="S133" s="176"/>
      <c r="T133" s="176"/>
      <c r="U133" s="176"/>
      <c r="V133" s="27"/>
      <c r="W133" s="170"/>
      <c r="X133" s="177"/>
      <c r="Y133" s="177"/>
      <c r="Z133" s="177"/>
      <c r="AA133" s="177"/>
      <c r="AB133" s="177"/>
      <c r="AC133" s="177"/>
      <c r="AD133" s="177"/>
      <c r="AE133" s="177"/>
      <c r="AF133" s="177"/>
      <c r="AG133" s="177"/>
      <c r="AH133" s="177"/>
    </row>
    <row r="134" spans="1:34">
      <c r="A134" s="169"/>
      <c r="B134" s="169"/>
      <c r="C134" s="169"/>
      <c r="D134" s="169"/>
      <c r="E134" s="174"/>
      <c r="F134" s="174"/>
      <c r="G134" s="174"/>
      <c r="H134" s="173"/>
      <c r="I134" s="173"/>
      <c r="J134" s="174"/>
      <c r="K134" s="173"/>
      <c r="L134" s="174"/>
      <c r="M134" s="174"/>
      <c r="N134" s="27"/>
      <c r="O134" s="28"/>
      <c r="P134" s="176"/>
      <c r="Q134" s="176"/>
      <c r="R134" s="176"/>
      <c r="S134" s="176"/>
      <c r="T134" s="176"/>
      <c r="U134" s="176"/>
      <c r="V134" s="27"/>
      <c r="W134" s="170"/>
      <c r="X134" s="177"/>
      <c r="Y134" s="177"/>
      <c r="Z134" s="177"/>
      <c r="AA134" s="177"/>
      <c r="AB134" s="177"/>
      <c r="AC134" s="177"/>
      <c r="AD134" s="177"/>
      <c r="AE134" s="177"/>
      <c r="AF134" s="177"/>
      <c r="AG134" s="177"/>
      <c r="AH134" s="177"/>
    </row>
    <row r="135" spans="1:34">
      <c r="A135" s="169"/>
      <c r="B135" s="169"/>
      <c r="C135" s="169"/>
      <c r="D135" s="169"/>
      <c r="E135" s="174"/>
      <c r="F135" s="174"/>
      <c r="G135" s="174"/>
      <c r="H135" s="173"/>
      <c r="I135" s="173"/>
      <c r="J135" s="174"/>
      <c r="K135" s="173"/>
      <c r="L135" s="174"/>
      <c r="M135" s="174"/>
      <c r="N135" s="27"/>
      <c r="O135" s="28"/>
      <c r="P135" s="176"/>
      <c r="Q135" s="176"/>
      <c r="R135" s="176"/>
      <c r="S135" s="176"/>
      <c r="T135" s="176"/>
      <c r="U135" s="176"/>
      <c r="V135" s="27"/>
      <c r="W135" s="170"/>
      <c r="X135" s="177"/>
      <c r="Y135" s="177"/>
      <c r="Z135" s="177"/>
      <c r="AA135" s="177"/>
      <c r="AB135" s="177"/>
      <c r="AC135" s="177"/>
      <c r="AD135" s="177"/>
      <c r="AE135" s="177"/>
      <c r="AF135" s="177"/>
      <c r="AG135" s="177"/>
      <c r="AH135" s="177"/>
    </row>
    <row r="136" spans="1:34">
      <c r="A136" s="169"/>
      <c r="B136" s="169"/>
      <c r="C136" s="169"/>
      <c r="D136" s="169"/>
      <c r="E136" s="174"/>
      <c r="F136" s="174"/>
      <c r="G136" s="174"/>
      <c r="H136" s="173"/>
      <c r="I136" s="173"/>
      <c r="J136" s="174"/>
      <c r="K136" s="173"/>
      <c r="L136" s="174"/>
      <c r="M136" s="174"/>
      <c r="N136" s="27"/>
      <c r="O136" s="28"/>
      <c r="P136" s="176"/>
      <c r="Q136" s="176"/>
      <c r="R136" s="176"/>
      <c r="S136" s="176"/>
      <c r="T136" s="176"/>
      <c r="U136" s="176"/>
      <c r="V136" s="27"/>
      <c r="W136" s="170"/>
      <c r="X136" s="177"/>
      <c r="Y136" s="177"/>
      <c r="Z136" s="177"/>
      <c r="AA136" s="177"/>
      <c r="AB136" s="177"/>
      <c r="AC136" s="177"/>
      <c r="AD136" s="177"/>
      <c r="AE136" s="177"/>
      <c r="AF136" s="177"/>
      <c r="AG136" s="177"/>
      <c r="AH136" s="177"/>
    </row>
    <row r="137" spans="1:34">
      <c r="A137" s="169"/>
      <c r="B137" s="169"/>
      <c r="C137" s="169"/>
      <c r="D137" s="169"/>
      <c r="E137" s="174"/>
      <c r="F137" s="174"/>
      <c r="G137" s="174"/>
      <c r="H137" s="173"/>
      <c r="I137" s="173"/>
      <c r="J137" s="174"/>
      <c r="K137" s="173"/>
      <c r="L137" s="174"/>
      <c r="M137" s="174"/>
      <c r="N137" s="27"/>
      <c r="O137" s="28"/>
      <c r="P137" s="176"/>
      <c r="Q137" s="176"/>
      <c r="R137" s="176"/>
      <c r="S137" s="176"/>
      <c r="T137" s="176"/>
      <c r="U137" s="176"/>
      <c r="V137" s="27"/>
      <c r="W137" s="170"/>
      <c r="X137" s="177"/>
      <c r="Y137" s="177"/>
      <c r="Z137" s="177"/>
      <c r="AA137" s="177"/>
      <c r="AB137" s="177"/>
      <c r="AC137" s="177"/>
      <c r="AD137" s="177"/>
      <c r="AE137" s="177"/>
      <c r="AF137" s="177"/>
      <c r="AG137" s="177"/>
      <c r="AH137" s="177"/>
    </row>
    <row r="138" spans="1:34">
      <c r="A138" s="169"/>
      <c r="B138" s="169"/>
      <c r="C138" s="169"/>
      <c r="D138" s="169"/>
      <c r="E138" s="174"/>
      <c r="F138" s="174"/>
      <c r="G138" s="174"/>
      <c r="H138" s="173"/>
      <c r="I138" s="173"/>
      <c r="J138" s="174"/>
      <c r="K138" s="173"/>
      <c r="L138" s="174"/>
      <c r="M138" s="174"/>
      <c r="N138" s="27"/>
      <c r="O138" s="28"/>
      <c r="P138" s="176"/>
      <c r="Q138" s="176"/>
      <c r="R138" s="176"/>
      <c r="S138" s="176"/>
      <c r="T138" s="176"/>
      <c r="U138" s="176"/>
      <c r="V138" s="27"/>
      <c r="W138" s="170"/>
      <c r="X138" s="177"/>
      <c r="Y138" s="177"/>
      <c r="Z138" s="177"/>
      <c r="AA138" s="177"/>
      <c r="AB138" s="177"/>
      <c r="AC138" s="177"/>
      <c r="AD138" s="177"/>
      <c r="AE138" s="177"/>
      <c r="AF138" s="177"/>
      <c r="AG138" s="177"/>
      <c r="AH138" s="177"/>
    </row>
    <row r="139" spans="1:34">
      <c r="A139" s="169"/>
      <c r="B139" s="169"/>
      <c r="C139" s="169"/>
      <c r="D139" s="169"/>
      <c r="E139" s="174"/>
      <c r="F139" s="174"/>
      <c r="G139" s="174"/>
      <c r="H139" s="173"/>
      <c r="I139" s="173"/>
      <c r="J139" s="174"/>
      <c r="K139" s="173"/>
      <c r="L139" s="174"/>
      <c r="M139" s="174"/>
      <c r="N139" s="27"/>
      <c r="O139" s="28"/>
      <c r="P139" s="176"/>
      <c r="Q139" s="176"/>
      <c r="R139" s="176"/>
      <c r="S139" s="176"/>
      <c r="T139" s="176"/>
      <c r="U139" s="176"/>
      <c r="V139" s="27"/>
      <c r="W139" s="170"/>
      <c r="X139" s="177"/>
      <c r="Y139" s="177"/>
      <c r="Z139" s="177"/>
      <c r="AA139" s="177"/>
      <c r="AB139" s="177"/>
      <c r="AC139" s="177"/>
      <c r="AD139" s="177"/>
      <c r="AE139" s="177"/>
      <c r="AF139" s="177"/>
      <c r="AG139" s="177"/>
      <c r="AH139" s="177"/>
    </row>
    <row r="140" spans="1:34">
      <c r="A140" s="169"/>
      <c r="B140" s="169"/>
      <c r="C140" s="169"/>
      <c r="D140" s="169"/>
      <c r="E140" s="174"/>
      <c r="F140" s="174"/>
      <c r="G140" s="174"/>
      <c r="H140" s="173"/>
      <c r="I140" s="173"/>
      <c r="J140" s="174"/>
      <c r="K140" s="173"/>
      <c r="L140" s="174"/>
      <c r="M140" s="174"/>
      <c r="N140" s="27"/>
      <c r="O140" s="28"/>
      <c r="P140" s="176"/>
      <c r="Q140" s="176"/>
      <c r="R140" s="176"/>
      <c r="S140" s="176"/>
      <c r="T140" s="176"/>
      <c r="U140" s="176"/>
      <c r="V140" s="27"/>
      <c r="W140" s="170"/>
      <c r="X140" s="177"/>
      <c r="Y140" s="177"/>
      <c r="Z140" s="177"/>
      <c r="AA140" s="177"/>
      <c r="AB140" s="177"/>
      <c r="AC140" s="177"/>
      <c r="AD140" s="177"/>
      <c r="AE140" s="177"/>
      <c r="AF140" s="177"/>
      <c r="AG140" s="177"/>
      <c r="AH140" s="177"/>
    </row>
    <row r="141" spans="1:34">
      <c r="A141" s="169"/>
      <c r="B141" s="169"/>
      <c r="C141" s="169"/>
      <c r="D141" s="169"/>
      <c r="E141" s="174"/>
      <c r="F141" s="174"/>
      <c r="G141" s="174"/>
      <c r="H141" s="173"/>
      <c r="I141" s="173"/>
      <c r="J141" s="174"/>
      <c r="K141" s="173"/>
      <c r="L141" s="174"/>
      <c r="M141" s="174"/>
      <c r="N141" s="27"/>
      <c r="O141" s="28"/>
      <c r="P141" s="176"/>
      <c r="Q141" s="176"/>
      <c r="R141" s="176"/>
      <c r="S141" s="176"/>
      <c r="T141" s="176"/>
      <c r="U141" s="176"/>
      <c r="V141" s="27"/>
      <c r="W141" s="170"/>
      <c r="X141" s="177"/>
      <c r="Y141" s="177"/>
      <c r="Z141" s="177"/>
      <c r="AA141" s="177"/>
      <c r="AB141" s="177"/>
      <c r="AC141" s="177"/>
      <c r="AD141" s="177"/>
      <c r="AE141" s="177"/>
      <c r="AF141" s="177"/>
      <c r="AG141" s="177"/>
      <c r="AH141" s="177"/>
    </row>
    <row r="142" spans="1:34">
      <c r="A142" s="169"/>
      <c r="B142" s="169"/>
      <c r="C142" s="169"/>
      <c r="D142" s="169"/>
      <c r="E142" s="174"/>
      <c r="F142" s="174"/>
      <c r="G142" s="174"/>
      <c r="H142" s="173"/>
      <c r="I142" s="173"/>
      <c r="J142" s="174"/>
      <c r="K142" s="173"/>
      <c r="L142" s="174"/>
      <c r="M142" s="174"/>
      <c r="N142" s="27"/>
      <c r="O142" s="28"/>
      <c r="P142" s="176"/>
      <c r="Q142" s="176"/>
      <c r="R142" s="176"/>
      <c r="S142" s="176"/>
      <c r="T142" s="176"/>
      <c r="U142" s="176"/>
      <c r="V142" s="27"/>
      <c r="W142" s="170"/>
      <c r="X142" s="177"/>
      <c r="Y142" s="177"/>
      <c r="Z142" s="177"/>
      <c r="AA142" s="177"/>
      <c r="AB142" s="177"/>
      <c r="AC142" s="177"/>
      <c r="AD142" s="177"/>
      <c r="AE142" s="177"/>
      <c r="AF142" s="177"/>
      <c r="AG142" s="177"/>
      <c r="AH142" s="177"/>
    </row>
    <row r="143" spans="1:34">
      <c r="A143" s="169"/>
      <c r="B143" s="169"/>
      <c r="C143" s="169"/>
      <c r="D143" s="169"/>
      <c r="E143" s="174"/>
      <c r="F143" s="174"/>
      <c r="G143" s="174"/>
      <c r="H143" s="173"/>
      <c r="I143" s="173"/>
      <c r="J143" s="174"/>
      <c r="K143" s="173"/>
      <c r="L143" s="174"/>
      <c r="M143" s="174"/>
      <c r="N143" s="27"/>
      <c r="O143" s="28"/>
      <c r="P143" s="176"/>
      <c r="Q143" s="176"/>
      <c r="R143" s="176"/>
      <c r="S143" s="176"/>
      <c r="T143" s="176"/>
      <c r="U143" s="176"/>
      <c r="V143" s="27"/>
      <c r="W143" s="170"/>
      <c r="X143" s="177"/>
      <c r="Y143" s="177"/>
      <c r="Z143" s="177"/>
      <c r="AA143" s="177"/>
      <c r="AB143" s="177"/>
      <c r="AC143" s="177"/>
      <c r="AD143" s="177"/>
      <c r="AE143" s="177"/>
      <c r="AF143" s="177"/>
      <c r="AG143" s="177"/>
      <c r="AH143" s="177"/>
    </row>
    <row r="144" spans="1:34">
      <c r="A144" s="169"/>
      <c r="B144" s="169"/>
      <c r="C144" s="169"/>
      <c r="D144" s="169"/>
      <c r="E144" s="174"/>
      <c r="F144" s="174"/>
      <c r="G144" s="174"/>
      <c r="H144" s="173"/>
      <c r="I144" s="173"/>
      <c r="J144" s="174"/>
      <c r="K144" s="173"/>
      <c r="L144" s="174"/>
      <c r="M144" s="174"/>
      <c r="N144" s="27"/>
      <c r="O144" s="28"/>
      <c r="P144" s="176"/>
      <c r="Q144" s="176"/>
      <c r="R144" s="176"/>
      <c r="S144" s="176"/>
      <c r="T144" s="176"/>
      <c r="U144" s="176"/>
      <c r="V144" s="27"/>
      <c r="W144" s="170"/>
      <c r="X144" s="177"/>
      <c r="Y144" s="177"/>
      <c r="Z144" s="177"/>
      <c r="AA144" s="177"/>
      <c r="AB144" s="177"/>
      <c r="AC144" s="177"/>
      <c r="AD144" s="177"/>
      <c r="AE144" s="177"/>
      <c r="AF144" s="177"/>
      <c r="AG144" s="177"/>
      <c r="AH144" s="177"/>
    </row>
    <row r="145" spans="1:34">
      <c r="A145" s="169"/>
      <c r="B145" s="169"/>
      <c r="C145" s="169"/>
      <c r="D145" s="169"/>
      <c r="E145" s="174"/>
      <c r="F145" s="174"/>
      <c r="G145" s="174"/>
      <c r="H145" s="173"/>
      <c r="I145" s="173"/>
      <c r="J145" s="174"/>
      <c r="K145" s="173"/>
      <c r="L145" s="174"/>
      <c r="M145" s="174"/>
      <c r="N145" s="27"/>
      <c r="O145" s="28"/>
      <c r="P145" s="176"/>
      <c r="Q145" s="176"/>
      <c r="R145" s="176"/>
      <c r="S145" s="176"/>
      <c r="T145" s="176"/>
      <c r="U145" s="176"/>
      <c r="V145" s="27"/>
      <c r="W145" s="170"/>
      <c r="X145" s="177"/>
      <c r="Y145" s="177"/>
      <c r="Z145" s="177"/>
      <c r="AA145" s="177"/>
      <c r="AB145" s="177"/>
      <c r="AC145" s="177"/>
      <c r="AD145" s="177"/>
      <c r="AE145" s="177"/>
      <c r="AF145" s="177"/>
      <c r="AG145" s="177"/>
      <c r="AH145" s="177"/>
    </row>
    <row r="146" spans="1:34">
      <c r="A146" s="169"/>
      <c r="B146" s="169"/>
      <c r="C146" s="169"/>
      <c r="D146" s="169"/>
      <c r="E146" s="174"/>
      <c r="F146" s="174"/>
      <c r="G146" s="174"/>
      <c r="H146" s="173"/>
      <c r="I146" s="173"/>
      <c r="J146" s="174"/>
      <c r="K146" s="173"/>
      <c r="L146" s="174"/>
      <c r="M146" s="174"/>
      <c r="N146" s="27"/>
      <c r="O146" s="28"/>
      <c r="P146" s="176"/>
      <c r="Q146" s="176"/>
      <c r="R146" s="176"/>
      <c r="S146" s="176"/>
      <c r="T146" s="176"/>
      <c r="U146" s="176"/>
      <c r="V146" s="27"/>
      <c r="W146" s="170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</row>
    <row r="147" spans="1:34">
      <c r="A147" s="169"/>
      <c r="B147" s="169"/>
      <c r="C147" s="169"/>
      <c r="D147" s="169"/>
      <c r="E147" s="174"/>
      <c r="F147" s="174"/>
      <c r="G147" s="174"/>
      <c r="H147" s="173"/>
      <c r="I147" s="173"/>
      <c r="J147" s="174"/>
      <c r="K147" s="173"/>
      <c r="L147" s="174"/>
      <c r="M147" s="174"/>
      <c r="N147" s="27"/>
      <c r="O147" s="28"/>
      <c r="P147" s="176"/>
      <c r="Q147" s="176"/>
      <c r="R147" s="176"/>
      <c r="S147" s="176"/>
      <c r="T147" s="176"/>
      <c r="U147" s="176"/>
      <c r="V147" s="27"/>
      <c r="W147" s="170"/>
      <c r="X147" s="177"/>
      <c r="Y147" s="177"/>
      <c r="Z147" s="177"/>
      <c r="AA147" s="177"/>
      <c r="AB147" s="177"/>
      <c r="AC147" s="177"/>
      <c r="AD147" s="177"/>
      <c r="AE147" s="177"/>
      <c r="AF147" s="177"/>
      <c r="AG147" s="177"/>
      <c r="AH147" s="177"/>
    </row>
    <row r="148" spans="1:34">
      <c r="A148" s="169"/>
      <c r="B148" s="169"/>
      <c r="C148" s="169"/>
      <c r="D148" s="169"/>
      <c r="E148" s="174"/>
      <c r="F148" s="174"/>
      <c r="G148" s="174"/>
      <c r="H148" s="173"/>
      <c r="I148" s="173"/>
      <c r="J148" s="174"/>
      <c r="K148" s="173"/>
      <c r="L148" s="174"/>
      <c r="M148" s="174"/>
      <c r="N148" s="27"/>
      <c r="O148" s="28"/>
      <c r="P148" s="176"/>
      <c r="Q148" s="176"/>
      <c r="R148" s="176"/>
      <c r="S148" s="176"/>
      <c r="T148" s="176"/>
      <c r="U148" s="176"/>
      <c r="V148" s="27"/>
      <c r="W148" s="170"/>
      <c r="X148" s="177"/>
      <c r="Y148" s="177"/>
      <c r="Z148" s="177"/>
      <c r="AA148" s="177"/>
      <c r="AB148" s="177"/>
      <c r="AC148" s="177"/>
      <c r="AD148" s="177"/>
      <c r="AE148" s="177"/>
      <c r="AF148" s="177"/>
      <c r="AG148" s="177"/>
      <c r="AH148" s="177"/>
    </row>
    <row r="149" spans="1:34">
      <c r="A149" s="169"/>
      <c r="B149" s="169"/>
      <c r="C149" s="169"/>
      <c r="D149" s="169"/>
      <c r="E149" s="174"/>
      <c r="F149" s="174"/>
      <c r="G149" s="174"/>
      <c r="H149" s="173"/>
      <c r="I149" s="173"/>
      <c r="J149" s="174"/>
      <c r="K149" s="173"/>
      <c r="L149" s="174"/>
      <c r="M149" s="174"/>
      <c r="N149" s="27"/>
      <c r="O149" s="28"/>
      <c r="P149" s="176"/>
      <c r="Q149" s="176"/>
      <c r="R149" s="176"/>
      <c r="S149" s="176"/>
      <c r="T149" s="176"/>
      <c r="U149" s="176"/>
      <c r="V149" s="27"/>
      <c r="W149" s="170"/>
      <c r="X149" s="177"/>
      <c r="Y149" s="177"/>
      <c r="Z149" s="177"/>
      <c r="AA149" s="177"/>
      <c r="AB149" s="177"/>
      <c r="AC149" s="177"/>
      <c r="AD149" s="177"/>
      <c r="AE149" s="177"/>
      <c r="AF149" s="177"/>
      <c r="AG149" s="177"/>
      <c r="AH149" s="177"/>
    </row>
    <row r="150" spans="1:34">
      <c r="A150" s="169"/>
      <c r="B150" s="169"/>
      <c r="C150" s="169"/>
      <c r="D150" s="169"/>
      <c r="E150" s="174"/>
      <c r="F150" s="174"/>
      <c r="G150" s="174"/>
      <c r="H150" s="173"/>
      <c r="I150" s="173"/>
      <c r="J150" s="174"/>
      <c r="K150" s="173"/>
      <c r="L150" s="174"/>
      <c r="M150" s="174"/>
      <c r="N150" s="27"/>
      <c r="O150" s="28"/>
      <c r="P150" s="176"/>
      <c r="Q150" s="176"/>
      <c r="R150" s="176"/>
      <c r="S150" s="176"/>
      <c r="T150" s="176"/>
      <c r="U150" s="176"/>
      <c r="V150" s="27"/>
      <c r="W150" s="170"/>
      <c r="X150" s="177"/>
      <c r="Y150" s="177"/>
      <c r="Z150" s="177"/>
      <c r="AA150" s="177"/>
      <c r="AB150" s="177"/>
      <c r="AC150" s="177"/>
      <c r="AD150" s="177"/>
      <c r="AE150" s="177"/>
      <c r="AF150" s="177"/>
      <c r="AG150" s="177"/>
      <c r="AH150" s="177"/>
    </row>
    <row r="151" spans="1:34">
      <c r="A151" s="169"/>
      <c r="B151" s="169"/>
      <c r="C151" s="169"/>
      <c r="D151" s="169"/>
      <c r="E151" s="174"/>
      <c r="F151" s="174"/>
      <c r="G151" s="174"/>
      <c r="H151" s="173"/>
      <c r="I151" s="173"/>
      <c r="J151" s="174"/>
      <c r="K151" s="173"/>
      <c r="L151" s="174"/>
      <c r="M151" s="174"/>
      <c r="N151" s="27"/>
      <c r="O151" s="28"/>
      <c r="P151" s="176"/>
      <c r="Q151" s="176"/>
      <c r="R151" s="176"/>
      <c r="S151" s="176"/>
      <c r="T151" s="176"/>
      <c r="U151" s="176"/>
      <c r="V151" s="27"/>
      <c r="W151" s="170"/>
      <c r="X151" s="177"/>
      <c r="Y151" s="177"/>
      <c r="Z151" s="177"/>
      <c r="AA151" s="177"/>
      <c r="AB151" s="177"/>
      <c r="AC151" s="177"/>
      <c r="AD151" s="177"/>
      <c r="AE151" s="177"/>
      <c r="AF151" s="177"/>
      <c r="AG151" s="177"/>
      <c r="AH151" s="177"/>
    </row>
    <row r="152" spans="1:34">
      <c r="A152" s="169"/>
      <c r="B152" s="169"/>
      <c r="C152" s="169"/>
      <c r="D152" s="169"/>
      <c r="E152" s="174"/>
      <c r="F152" s="174"/>
      <c r="G152" s="174"/>
      <c r="H152" s="173"/>
      <c r="I152" s="173"/>
      <c r="J152" s="174"/>
      <c r="K152" s="173"/>
      <c r="L152" s="174"/>
      <c r="M152" s="174"/>
      <c r="N152" s="27"/>
      <c r="O152" s="28"/>
      <c r="P152" s="176"/>
      <c r="Q152" s="176"/>
      <c r="R152" s="176"/>
      <c r="S152" s="176"/>
      <c r="T152" s="176"/>
      <c r="U152" s="176"/>
      <c r="V152" s="27"/>
      <c r="W152" s="170"/>
      <c r="X152" s="177"/>
      <c r="Y152" s="177"/>
      <c r="Z152" s="177"/>
      <c r="AA152" s="177"/>
      <c r="AB152" s="177"/>
      <c r="AC152" s="177"/>
      <c r="AD152" s="177"/>
      <c r="AE152" s="177"/>
      <c r="AF152" s="177"/>
      <c r="AG152" s="177"/>
      <c r="AH152" s="177"/>
    </row>
    <row r="153" spans="1:34">
      <c r="A153" s="169"/>
      <c r="B153" s="169"/>
      <c r="C153" s="169"/>
      <c r="D153" s="169"/>
      <c r="E153" s="174"/>
      <c r="F153" s="174"/>
      <c r="G153" s="174"/>
      <c r="H153" s="173"/>
      <c r="I153" s="173"/>
      <c r="J153" s="174"/>
      <c r="K153" s="173"/>
      <c r="L153" s="174"/>
      <c r="M153" s="174"/>
      <c r="N153" s="27"/>
      <c r="O153" s="28"/>
      <c r="P153" s="176"/>
      <c r="Q153" s="176"/>
      <c r="R153" s="176"/>
      <c r="S153" s="176"/>
      <c r="T153" s="176"/>
      <c r="U153" s="176"/>
      <c r="V153" s="27"/>
      <c r="W153" s="170"/>
      <c r="X153" s="177"/>
      <c r="Y153" s="177"/>
      <c r="Z153" s="177"/>
      <c r="AA153" s="177"/>
      <c r="AB153" s="177"/>
      <c r="AC153" s="177"/>
      <c r="AD153" s="177"/>
      <c r="AE153" s="177"/>
      <c r="AF153" s="177"/>
      <c r="AG153" s="177"/>
      <c r="AH153" s="177"/>
    </row>
    <row r="154" spans="1:34">
      <c r="A154" s="169"/>
      <c r="B154" s="169"/>
      <c r="C154" s="169"/>
      <c r="D154" s="169"/>
      <c r="E154" s="174"/>
      <c r="F154" s="174"/>
      <c r="G154" s="174"/>
      <c r="H154" s="173"/>
      <c r="I154" s="173"/>
      <c r="J154" s="174"/>
      <c r="K154" s="173"/>
      <c r="L154" s="174"/>
      <c r="M154" s="174"/>
      <c r="N154" s="27"/>
      <c r="O154" s="28"/>
      <c r="P154" s="176"/>
      <c r="Q154" s="176"/>
      <c r="R154" s="176"/>
      <c r="S154" s="176"/>
      <c r="T154" s="176"/>
      <c r="U154" s="176"/>
      <c r="V154" s="27"/>
      <c r="W154" s="170"/>
      <c r="X154" s="177"/>
      <c r="Y154" s="177"/>
      <c r="Z154" s="177"/>
      <c r="AA154" s="177"/>
      <c r="AB154" s="177"/>
      <c r="AC154" s="177"/>
      <c r="AD154" s="177"/>
      <c r="AE154" s="177"/>
      <c r="AF154" s="177"/>
      <c r="AG154" s="177"/>
      <c r="AH154" s="177"/>
    </row>
    <row r="155" spans="1:34">
      <c r="A155" s="169"/>
      <c r="B155" s="169"/>
      <c r="C155" s="169"/>
      <c r="D155" s="169"/>
      <c r="E155" s="174"/>
      <c r="F155" s="174"/>
      <c r="G155" s="174"/>
      <c r="H155" s="173"/>
      <c r="I155" s="173"/>
      <c r="J155" s="174"/>
      <c r="K155" s="173"/>
      <c r="L155" s="174"/>
      <c r="M155" s="174"/>
      <c r="N155" s="27"/>
      <c r="O155" s="28"/>
      <c r="P155" s="176"/>
      <c r="Q155" s="176"/>
      <c r="R155" s="176"/>
      <c r="S155" s="176"/>
      <c r="T155" s="176"/>
      <c r="U155" s="176"/>
      <c r="V155" s="27"/>
      <c r="W155" s="170"/>
      <c r="X155" s="177"/>
      <c r="Y155" s="177"/>
      <c r="Z155" s="177"/>
      <c r="AA155" s="177"/>
      <c r="AB155" s="177"/>
      <c r="AC155" s="177"/>
      <c r="AD155" s="177"/>
      <c r="AE155" s="177"/>
      <c r="AF155" s="177"/>
      <c r="AG155" s="177"/>
      <c r="AH155" s="177"/>
    </row>
    <row r="156" spans="1:34">
      <c r="A156" s="169"/>
      <c r="B156" s="169"/>
      <c r="C156" s="169"/>
      <c r="D156" s="169"/>
      <c r="E156" s="174"/>
      <c r="F156" s="174"/>
      <c r="G156" s="174"/>
      <c r="H156" s="173"/>
      <c r="I156" s="173"/>
      <c r="J156" s="174"/>
      <c r="K156" s="173"/>
      <c r="L156" s="174"/>
      <c r="M156" s="174"/>
      <c r="N156" s="27"/>
      <c r="O156" s="28"/>
      <c r="P156" s="176"/>
      <c r="Q156" s="176"/>
      <c r="R156" s="176"/>
      <c r="S156" s="176"/>
      <c r="T156" s="176"/>
      <c r="U156" s="176"/>
      <c r="V156" s="27"/>
      <c r="W156" s="170"/>
      <c r="X156" s="177"/>
      <c r="Y156" s="177"/>
      <c r="Z156" s="177"/>
      <c r="AA156" s="177"/>
      <c r="AB156" s="177"/>
      <c r="AC156" s="177"/>
      <c r="AD156" s="177"/>
      <c r="AE156" s="177"/>
      <c r="AF156" s="177"/>
      <c r="AG156" s="177"/>
      <c r="AH156" s="177"/>
    </row>
    <row r="157" spans="1:34">
      <c r="A157" s="169"/>
      <c r="B157" s="169"/>
      <c r="C157" s="169"/>
      <c r="D157" s="169"/>
      <c r="E157" s="174"/>
      <c r="F157" s="174"/>
      <c r="G157" s="174"/>
      <c r="H157" s="173"/>
      <c r="I157" s="173"/>
      <c r="J157" s="174"/>
      <c r="K157" s="173"/>
      <c r="L157" s="174"/>
      <c r="M157" s="174"/>
      <c r="N157" s="27"/>
      <c r="O157" s="28"/>
      <c r="P157" s="176"/>
      <c r="Q157" s="176"/>
      <c r="R157" s="176"/>
      <c r="S157" s="176"/>
      <c r="T157" s="176"/>
      <c r="U157" s="176"/>
      <c r="V157" s="27"/>
      <c r="W157" s="170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77"/>
    </row>
    <row r="158" spans="1:34">
      <c r="A158" s="169"/>
      <c r="B158" s="169"/>
      <c r="C158" s="169"/>
      <c r="D158" s="169"/>
      <c r="E158" s="174"/>
      <c r="F158" s="174"/>
      <c r="G158" s="174"/>
      <c r="H158" s="173"/>
      <c r="I158" s="173"/>
      <c r="J158" s="174"/>
      <c r="K158" s="173"/>
      <c r="L158" s="174"/>
      <c r="M158" s="174"/>
      <c r="N158" s="27"/>
      <c r="O158" s="28"/>
      <c r="P158" s="176"/>
      <c r="Q158" s="176"/>
      <c r="R158" s="176"/>
      <c r="S158" s="176"/>
      <c r="T158" s="176"/>
      <c r="U158" s="176"/>
      <c r="V158" s="27"/>
      <c r="W158" s="170"/>
      <c r="X158" s="177"/>
      <c r="Y158" s="177"/>
      <c r="Z158" s="177"/>
      <c r="AA158" s="177"/>
      <c r="AB158" s="177"/>
      <c r="AC158" s="177"/>
      <c r="AD158" s="177"/>
      <c r="AE158" s="177"/>
      <c r="AF158" s="177"/>
      <c r="AG158" s="177"/>
      <c r="AH158" s="177"/>
    </row>
    <row r="159" spans="1:34">
      <c r="A159" s="169"/>
      <c r="B159" s="169"/>
      <c r="C159" s="169"/>
      <c r="D159" s="169"/>
      <c r="E159" s="174"/>
      <c r="F159" s="174"/>
      <c r="G159" s="174"/>
      <c r="H159" s="173"/>
      <c r="I159" s="173"/>
      <c r="J159" s="174"/>
      <c r="K159" s="173"/>
      <c r="L159" s="174"/>
      <c r="M159" s="174"/>
      <c r="N159" s="27"/>
      <c r="O159" s="28"/>
      <c r="P159" s="176"/>
      <c r="Q159" s="176"/>
      <c r="R159" s="176"/>
      <c r="S159" s="176"/>
      <c r="T159" s="176"/>
      <c r="U159" s="176"/>
      <c r="V159" s="27"/>
      <c r="W159" s="170"/>
      <c r="X159" s="177"/>
      <c r="Y159" s="177"/>
      <c r="Z159" s="177"/>
      <c r="AA159" s="177"/>
      <c r="AB159" s="177"/>
      <c r="AC159" s="177"/>
      <c r="AD159" s="177"/>
      <c r="AE159" s="177"/>
      <c r="AF159" s="177"/>
      <c r="AG159" s="177"/>
      <c r="AH159" s="177"/>
    </row>
    <row r="160" spans="1:34">
      <c r="A160" s="169"/>
      <c r="B160" s="169"/>
      <c r="C160" s="169"/>
      <c r="D160" s="169"/>
      <c r="E160" s="174"/>
      <c r="F160" s="174"/>
      <c r="G160" s="174"/>
      <c r="H160" s="173"/>
      <c r="I160" s="173"/>
      <c r="J160" s="174"/>
      <c r="K160" s="173"/>
      <c r="L160" s="174"/>
      <c r="M160" s="174"/>
      <c r="N160" s="27"/>
      <c r="O160" s="28"/>
      <c r="P160" s="176"/>
      <c r="Q160" s="176"/>
      <c r="R160" s="176"/>
      <c r="S160" s="176"/>
      <c r="T160" s="176"/>
      <c r="U160" s="176"/>
      <c r="V160" s="27"/>
      <c r="W160" s="170"/>
      <c r="X160" s="177"/>
      <c r="Y160" s="177"/>
      <c r="Z160" s="177"/>
      <c r="AA160" s="177"/>
      <c r="AB160" s="177"/>
      <c r="AC160" s="177"/>
      <c r="AD160" s="177"/>
      <c r="AE160" s="177"/>
      <c r="AF160" s="177"/>
      <c r="AG160" s="177"/>
      <c r="AH160" s="177"/>
    </row>
    <row r="161" spans="1:34">
      <c r="A161" s="169"/>
      <c r="B161" s="169"/>
      <c r="C161" s="169"/>
      <c r="D161" s="169"/>
      <c r="E161" s="174"/>
      <c r="F161" s="174"/>
      <c r="G161" s="174"/>
      <c r="H161" s="173"/>
      <c r="I161" s="173"/>
      <c r="J161" s="174"/>
      <c r="K161" s="173"/>
      <c r="L161" s="174"/>
      <c r="M161" s="174"/>
      <c r="N161" s="27"/>
      <c r="O161" s="28"/>
      <c r="P161" s="176"/>
      <c r="Q161" s="176"/>
      <c r="R161" s="176"/>
      <c r="S161" s="176"/>
      <c r="T161" s="176"/>
      <c r="U161" s="176"/>
      <c r="V161" s="27"/>
      <c r="W161" s="170"/>
      <c r="X161" s="177"/>
      <c r="Y161" s="177"/>
      <c r="Z161" s="177"/>
      <c r="AA161" s="177"/>
      <c r="AB161" s="177"/>
      <c r="AC161" s="177"/>
      <c r="AD161" s="177"/>
      <c r="AE161" s="177"/>
      <c r="AF161" s="177"/>
      <c r="AG161" s="177"/>
      <c r="AH161" s="177"/>
    </row>
    <row r="162" spans="1:34">
      <c r="A162" s="169"/>
      <c r="B162" s="169"/>
      <c r="C162" s="169"/>
      <c r="D162" s="169"/>
      <c r="E162" s="174"/>
      <c r="F162" s="174"/>
      <c r="G162" s="174"/>
      <c r="H162" s="173"/>
      <c r="I162" s="173"/>
      <c r="J162" s="174"/>
      <c r="K162" s="173"/>
      <c r="L162" s="174"/>
      <c r="M162" s="174"/>
      <c r="N162" s="27"/>
      <c r="O162" s="28"/>
      <c r="P162" s="176"/>
      <c r="Q162" s="176"/>
      <c r="R162" s="176"/>
      <c r="S162" s="176"/>
      <c r="T162" s="176"/>
      <c r="U162" s="176"/>
      <c r="V162" s="27"/>
      <c r="W162" s="170"/>
      <c r="X162" s="177"/>
      <c r="Y162" s="177"/>
      <c r="Z162" s="177"/>
      <c r="AA162" s="177"/>
      <c r="AB162" s="177"/>
      <c r="AC162" s="177"/>
      <c r="AD162" s="177"/>
      <c r="AE162" s="177"/>
      <c r="AF162" s="177"/>
      <c r="AG162" s="177"/>
      <c r="AH162" s="177"/>
    </row>
    <row r="163" spans="1:34">
      <c r="A163" s="169"/>
      <c r="B163" s="169"/>
      <c r="C163" s="169"/>
      <c r="D163" s="169"/>
      <c r="E163" s="174"/>
      <c r="F163" s="174"/>
      <c r="G163" s="174"/>
      <c r="H163" s="173"/>
      <c r="I163" s="173"/>
      <c r="J163" s="174"/>
      <c r="K163" s="173"/>
      <c r="L163" s="174"/>
      <c r="M163" s="174"/>
      <c r="N163" s="27"/>
      <c r="O163" s="28"/>
      <c r="P163" s="176"/>
      <c r="Q163" s="176"/>
      <c r="R163" s="176"/>
      <c r="S163" s="176"/>
      <c r="T163" s="176"/>
      <c r="U163" s="176"/>
      <c r="V163" s="27"/>
      <c r="W163" s="170"/>
      <c r="X163" s="177"/>
      <c r="Y163" s="177"/>
      <c r="Z163" s="177"/>
      <c r="AA163" s="177"/>
      <c r="AB163" s="177"/>
      <c r="AC163" s="177"/>
      <c r="AD163" s="177"/>
      <c r="AE163" s="177"/>
      <c r="AF163" s="177"/>
      <c r="AG163" s="177"/>
      <c r="AH163" s="177"/>
    </row>
    <row r="164" spans="1:34">
      <c r="A164" s="169"/>
      <c r="B164" s="169"/>
      <c r="C164" s="169"/>
      <c r="D164" s="169"/>
      <c r="E164" s="174"/>
      <c r="F164" s="174"/>
      <c r="G164" s="174"/>
      <c r="H164" s="173"/>
      <c r="I164" s="173"/>
      <c r="J164" s="174"/>
      <c r="K164" s="173"/>
      <c r="L164" s="174"/>
      <c r="M164" s="174"/>
      <c r="N164" s="27"/>
      <c r="O164" s="28"/>
      <c r="P164" s="176"/>
      <c r="Q164" s="176"/>
      <c r="R164" s="176"/>
      <c r="S164" s="176"/>
      <c r="T164" s="176"/>
      <c r="U164" s="176"/>
      <c r="V164" s="27"/>
      <c r="W164" s="170"/>
      <c r="X164" s="177"/>
      <c r="Y164" s="177"/>
      <c r="Z164" s="177"/>
      <c r="AA164" s="177"/>
      <c r="AB164" s="177"/>
      <c r="AC164" s="177"/>
      <c r="AD164" s="177"/>
      <c r="AE164" s="177"/>
      <c r="AF164" s="177"/>
      <c r="AG164" s="177"/>
      <c r="AH164" s="177"/>
    </row>
    <row r="165" spans="1:34">
      <c r="A165" s="169"/>
      <c r="B165" s="169"/>
      <c r="C165" s="169"/>
      <c r="D165" s="169"/>
      <c r="E165" s="174"/>
      <c r="F165" s="174"/>
      <c r="G165" s="174"/>
      <c r="H165" s="173"/>
      <c r="I165" s="173"/>
      <c r="J165" s="174"/>
      <c r="K165" s="173"/>
      <c r="L165" s="174"/>
      <c r="M165" s="174"/>
      <c r="N165" s="27"/>
      <c r="O165" s="28"/>
      <c r="P165" s="176"/>
      <c r="Q165" s="176"/>
      <c r="R165" s="176"/>
      <c r="S165" s="176"/>
      <c r="T165" s="176"/>
      <c r="U165" s="176"/>
      <c r="V165" s="27"/>
      <c r="W165" s="170"/>
      <c r="X165" s="177"/>
      <c r="Y165" s="177"/>
      <c r="Z165" s="177"/>
      <c r="AA165" s="177"/>
      <c r="AB165" s="177"/>
      <c r="AC165" s="177"/>
      <c r="AD165" s="177"/>
      <c r="AE165" s="177"/>
      <c r="AF165" s="177"/>
      <c r="AG165" s="177"/>
      <c r="AH165" s="177"/>
    </row>
    <row r="166" spans="1:34">
      <c r="A166" s="169"/>
      <c r="B166" s="169"/>
      <c r="C166" s="169"/>
      <c r="D166" s="169"/>
      <c r="E166" s="174"/>
      <c r="F166" s="174"/>
      <c r="G166" s="174"/>
      <c r="H166" s="173"/>
      <c r="I166" s="173"/>
      <c r="J166" s="174"/>
      <c r="K166" s="173"/>
      <c r="L166" s="174"/>
      <c r="M166" s="174"/>
      <c r="N166" s="27"/>
      <c r="O166" s="28"/>
      <c r="P166" s="176"/>
      <c r="Q166" s="176"/>
      <c r="R166" s="176"/>
      <c r="S166" s="176"/>
      <c r="T166" s="176"/>
      <c r="U166" s="176"/>
      <c r="V166" s="27"/>
      <c r="W166" s="170"/>
      <c r="X166" s="177"/>
      <c r="Y166" s="177"/>
      <c r="Z166" s="177"/>
      <c r="AA166" s="177"/>
      <c r="AB166" s="177"/>
      <c r="AC166" s="177"/>
      <c r="AD166" s="177"/>
      <c r="AE166" s="177"/>
      <c r="AF166" s="177"/>
      <c r="AG166" s="177"/>
      <c r="AH166" s="177"/>
    </row>
    <row r="167" spans="1:34">
      <c r="A167" s="169"/>
      <c r="B167" s="169"/>
      <c r="C167" s="169"/>
      <c r="D167" s="169"/>
      <c r="E167" s="174"/>
      <c r="F167" s="174"/>
      <c r="G167" s="174"/>
      <c r="H167" s="173"/>
      <c r="I167" s="173"/>
      <c r="J167" s="174"/>
      <c r="K167" s="173"/>
      <c r="L167" s="174"/>
      <c r="M167" s="174"/>
      <c r="N167" s="27"/>
      <c r="O167" s="28"/>
      <c r="P167" s="176"/>
      <c r="Q167" s="176"/>
      <c r="R167" s="176"/>
      <c r="S167" s="176"/>
      <c r="T167" s="176"/>
      <c r="U167" s="176"/>
      <c r="V167" s="27"/>
      <c r="W167" s="170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</row>
    <row r="168" spans="1:34">
      <c r="A168" s="169"/>
      <c r="B168" s="169"/>
      <c r="C168" s="169"/>
      <c r="D168" s="169"/>
      <c r="E168" s="174"/>
      <c r="F168" s="174"/>
      <c r="G168" s="174"/>
      <c r="H168" s="173"/>
      <c r="I168" s="173"/>
      <c r="J168" s="174"/>
      <c r="K168" s="173"/>
      <c r="L168" s="174"/>
      <c r="M168" s="174"/>
      <c r="N168" s="27"/>
      <c r="O168" s="28"/>
      <c r="P168" s="176"/>
      <c r="Q168" s="176"/>
      <c r="R168" s="176"/>
      <c r="S168" s="176"/>
      <c r="T168" s="176"/>
      <c r="U168" s="176"/>
      <c r="V168" s="27"/>
      <c r="W168" s="170"/>
      <c r="X168" s="177"/>
      <c r="Y168" s="177"/>
      <c r="Z168" s="177"/>
      <c r="AA168" s="177"/>
      <c r="AB168" s="177"/>
      <c r="AC168" s="177"/>
      <c r="AD168" s="177"/>
      <c r="AE168" s="177"/>
      <c r="AF168" s="177"/>
      <c r="AG168" s="177"/>
      <c r="AH168" s="177"/>
    </row>
    <row r="169" spans="1:34">
      <c r="A169" s="169"/>
      <c r="B169" s="169"/>
      <c r="C169" s="169"/>
      <c r="D169" s="169"/>
      <c r="E169" s="174"/>
      <c r="F169" s="174"/>
      <c r="G169" s="174"/>
      <c r="H169" s="173"/>
      <c r="I169" s="173"/>
      <c r="J169" s="174"/>
      <c r="K169" s="173"/>
      <c r="L169" s="174"/>
      <c r="M169" s="174"/>
      <c r="N169" s="27"/>
      <c r="O169" s="28"/>
      <c r="P169" s="176"/>
      <c r="Q169" s="176"/>
      <c r="R169" s="176"/>
      <c r="S169" s="176"/>
      <c r="T169" s="176"/>
      <c r="U169" s="176"/>
      <c r="V169" s="27"/>
      <c r="W169" s="170"/>
      <c r="X169" s="177"/>
      <c r="Y169" s="177"/>
      <c r="Z169" s="177"/>
      <c r="AA169" s="177"/>
      <c r="AB169" s="177"/>
      <c r="AC169" s="177"/>
      <c r="AD169" s="177"/>
      <c r="AE169" s="177"/>
      <c r="AF169" s="177"/>
      <c r="AG169" s="177"/>
      <c r="AH169" s="177"/>
    </row>
    <row r="170" spans="1:34">
      <c r="A170" s="169"/>
      <c r="B170" s="169"/>
      <c r="C170" s="169"/>
      <c r="D170" s="169"/>
      <c r="E170" s="174"/>
      <c r="F170" s="174"/>
      <c r="G170" s="174"/>
      <c r="H170" s="173"/>
      <c r="I170" s="173"/>
      <c r="J170" s="174"/>
      <c r="K170" s="173"/>
      <c r="L170" s="174"/>
      <c r="M170" s="174"/>
      <c r="N170" s="27"/>
      <c r="O170" s="28"/>
      <c r="P170" s="176"/>
      <c r="Q170" s="176"/>
      <c r="R170" s="176"/>
      <c r="S170" s="176"/>
      <c r="T170" s="176"/>
      <c r="U170" s="176"/>
      <c r="V170" s="27"/>
      <c r="W170" s="170"/>
      <c r="X170" s="177"/>
      <c r="Y170" s="177"/>
      <c r="Z170" s="177"/>
      <c r="AA170" s="177"/>
      <c r="AB170" s="177"/>
      <c r="AC170" s="177"/>
      <c r="AD170" s="177"/>
      <c r="AE170" s="177"/>
      <c r="AF170" s="177"/>
      <c r="AG170" s="177"/>
      <c r="AH170" s="177"/>
    </row>
    <row r="171" spans="1:34">
      <c r="A171" s="169"/>
      <c r="B171" s="169"/>
      <c r="C171" s="169"/>
      <c r="D171" s="169"/>
      <c r="E171" s="174"/>
      <c r="F171" s="174"/>
      <c r="G171" s="174"/>
      <c r="H171" s="173"/>
      <c r="I171" s="173"/>
      <c r="J171" s="174"/>
      <c r="K171" s="173"/>
      <c r="L171" s="174"/>
      <c r="M171" s="174"/>
      <c r="N171" s="27"/>
      <c r="O171" s="28"/>
      <c r="P171" s="176"/>
      <c r="Q171" s="176"/>
      <c r="R171" s="176"/>
      <c r="S171" s="176"/>
      <c r="T171" s="176"/>
      <c r="U171" s="176"/>
      <c r="V171" s="27"/>
      <c r="W171" s="170"/>
      <c r="X171" s="177"/>
      <c r="Y171" s="177"/>
      <c r="Z171" s="177"/>
      <c r="AA171" s="177"/>
      <c r="AB171" s="177"/>
      <c r="AC171" s="177"/>
      <c r="AD171" s="177"/>
      <c r="AE171" s="177"/>
      <c r="AF171" s="177"/>
      <c r="AG171" s="177"/>
      <c r="AH171" s="177"/>
    </row>
    <row r="172" spans="1:34">
      <c r="A172" s="169"/>
      <c r="B172" s="169"/>
      <c r="C172" s="169"/>
      <c r="D172" s="169"/>
      <c r="E172" s="174"/>
      <c r="F172" s="174"/>
      <c r="G172" s="174"/>
      <c r="H172" s="173"/>
      <c r="I172" s="173"/>
      <c r="J172" s="174"/>
      <c r="K172" s="173"/>
      <c r="L172" s="174"/>
      <c r="M172" s="174"/>
      <c r="N172" s="27"/>
      <c r="O172" s="28"/>
      <c r="P172" s="176"/>
      <c r="Q172" s="176"/>
      <c r="R172" s="176"/>
      <c r="S172" s="176"/>
      <c r="T172" s="176"/>
      <c r="U172" s="176"/>
      <c r="V172" s="27"/>
      <c r="W172" s="170"/>
      <c r="X172" s="177"/>
      <c r="Y172" s="177"/>
      <c r="Z172" s="177"/>
      <c r="AA172" s="177"/>
      <c r="AB172" s="177"/>
      <c r="AC172" s="177"/>
      <c r="AD172" s="177"/>
      <c r="AE172" s="177"/>
      <c r="AF172" s="177"/>
      <c r="AG172" s="177"/>
      <c r="AH172" s="177"/>
    </row>
    <row r="173" spans="1:34">
      <c r="A173" s="169"/>
      <c r="B173" s="169"/>
      <c r="C173" s="169"/>
      <c r="D173" s="169"/>
      <c r="E173" s="174"/>
      <c r="F173" s="174"/>
      <c r="G173" s="174"/>
      <c r="H173" s="173"/>
      <c r="I173" s="173"/>
      <c r="J173" s="174"/>
      <c r="K173" s="173"/>
      <c r="L173" s="174"/>
      <c r="M173" s="174"/>
      <c r="N173" s="27"/>
      <c r="O173" s="28"/>
      <c r="P173" s="176"/>
      <c r="Q173" s="176"/>
      <c r="R173" s="176"/>
      <c r="S173" s="176"/>
      <c r="T173" s="176"/>
      <c r="U173" s="176"/>
      <c r="V173" s="27"/>
      <c r="W173" s="170"/>
      <c r="X173" s="177"/>
      <c r="Y173" s="177"/>
      <c r="Z173" s="177"/>
      <c r="AA173" s="177"/>
      <c r="AB173" s="177"/>
      <c r="AC173" s="177"/>
      <c r="AD173" s="177"/>
      <c r="AE173" s="177"/>
      <c r="AF173" s="177"/>
      <c r="AG173" s="177"/>
      <c r="AH173" s="177"/>
    </row>
    <row r="174" spans="1:34">
      <c r="A174" s="169"/>
      <c r="B174" s="169"/>
      <c r="C174" s="169"/>
      <c r="D174" s="169"/>
      <c r="E174" s="174"/>
      <c r="F174" s="174"/>
      <c r="G174" s="174"/>
      <c r="H174" s="173"/>
      <c r="I174" s="173"/>
      <c r="J174" s="174"/>
      <c r="K174" s="173"/>
      <c r="L174" s="174"/>
      <c r="M174" s="174"/>
      <c r="N174" s="27"/>
      <c r="O174" s="28"/>
      <c r="P174" s="176"/>
      <c r="Q174" s="176"/>
      <c r="R174" s="176"/>
      <c r="S174" s="176"/>
      <c r="T174" s="176"/>
      <c r="U174" s="176"/>
      <c r="V174" s="27"/>
      <c r="W174" s="170"/>
      <c r="X174" s="177"/>
      <c r="Y174" s="177"/>
      <c r="Z174" s="177"/>
      <c r="AA174" s="177"/>
      <c r="AB174" s="177"/>
      <c r="AC174" s="177"/>
      <c r="AD174" s="177"/>
      <c r="AE174" s="177"/>
      <c r="AF174" s="177"/>
      <c r="AG174" s="177"/>
      <c r="AH174" s="177"/>
    </row>
    <row r="175" spans="1:34">
      <c r="A175" s="169"/>
      <c r="B175" s="169"/>
      <c r="C175" s="169"/>
      <c r="D175" s="169"/>
      <c r="E175" s="174"/>
      <c r="F175" s="174"/>
      <c r="G175" s="174"/>
      <c r="H175" s="173"/>
      <c r="I175" s="173"/>
      <c r="J175" s="174"/>
      <c r="K175" s="173"/>
      <c r="L175" s="174"/>
      <c r="M175" s="174"/>
      <c r="N175" s="27"/>
      <c r="O175" s="28"/>
      <c r="P175" s="176"/>
      <c r="Q175" s="176"/>
      <c r="R175" s="176"/>
      <c r="S175" s="176"/>
      <c r="T175" s="176"/>
      <c r="U175" s="176"/>
      <c r="V175" s="27"/>
      <c r="W175" s="170"/>
      <c r="X175" s="177"/>
      <c r="Y175" s="177"/>
      <c r="Z175" s="177"/>
      <c r="AA175" s="177"/>
      <c r="AB175" s="177"/>
      <c r="AC175" s="177"/>
      <c r="AD175" s="177"/>
      <c r="AE175" s="177"/>
      <c r="AF175" s="177"/>
      <c r="AG175" s="177"/>
      <c r="AH175" s="177"/>
    </row>
    <row r="176" spans="1:34">
      <c r="A176" s="169"/>
      <c r="B176" s="169"/>
      <c r="C176" s="169"/>
      <c r="D176" s="169"/>
      <c r="E176" s="174"/>
      <c r="F176" s="174"/>
      <c r="G176" s="174"/>
      <c r="H176" s="173"/>
      <c r="I176" s="173"/>
      <c r="J176" s="174"/>
      <c r="K176" s="173"/>
      <c r="L176" s="174"/>
      <c r="M176" s="174"/>
      <c r="N176" s="27"/>
      <c r="O176" s="28"/>
      <c r="P176" s="176"/>
      <c r="Q176" s="176"/>
      <c r="R176" s="176"/>
      <c r="S176" s="176"/>
      <c r="T176" s="176"/>
      <c r="U176" s="176"/>
      <c r="V176" s="27"/>
      <c r="W176" s="170"/>
      <c r="X176" s="177"/>
      <c r="Y176" s="177"/>
      <c r="Z176" s="177"/>
      <c r="AA176" s="177"/>
      <c r="AB176" s="177"/>
      <c r="AC176" s="177"/>
      <c r="AD176" s="177"/>
      <c r="AE176" s="177"/>
      <c r="AF176" s="177"/>
      <c r="AG176" s="177"/>
      <c r="AH176" s="177"/>
    </row>
    <row r="177" spans="1:34">
      <c r="A177" s="169"/>
      <c r="B177" s="169"/>
      <c r="C177" s="169"/>
      <c r="D177" s="169"/>
      <c r="E177" s="174"/>
      <c r="F177" s="174"/>
      <c r="G177" s="174"/>
      <c r="H177" s="173"/>
      <c r="I177" s="173"/>
      <c r="J177" s="174"/>
      <c r="K177" s="173"/>
      <c r="L177" s="174"/>
      <c r="M177" s="174"/>
      <c r="N177" s="27"/>
      <c r="O177" s="28"/>
      <c r="P177" s="176"/>
      <c r="Q177" s="176"/>
      <c r="R177" s="176"/>
      <c r="S177" s="176"/>
      <c r="T177" s="176"/>
      <c r="U177" s="176"/>
      <c r="V177" s="27"/>
      <c r="W177" s="170"/>
      <c r="X177" s="177"/>
      <c r="Y177" s="177"/>
      <c r="Z177" s="177"/>
      <c r="AA177" s="177"/>
      <c r="AB177" s="177"/>
      <c r="AC177" s="177"/>
      <c r="AD177" s="177"/>
      <c r="AE177" s="177"/>
      <c r="AF177" s="177"/>
      <c r="AG177" s="177"/>
      <c r="AH177" s="177"/>
    </row>
    <row r="178" spans="1:34">
      <c r="E178" s="1"/>
      <c r="F178" s="1"/>
      <c r="G178" s="1"/>
      <c r="H178" s="25"/>
      <c r="I178" s="25"/>
      <c r="J178" s="6"/>
      <c r="K178" s="25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1:34">
      <c r="E179" s="1"/>
      <c r="F179" s="1"/>
      <c r="G179" s="1"/>
      <c r="H179" s="25"/>
      <c r="I179" s="25"/>
      <c r="J179" s="6"/>
      <c r="K179" s="25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1:34">
      <c r="E180" s="1"/>
      <c r="F180" s="1"/>
      <c r="G180" s="1"/>
      <c r="H180" s="25"/>
      <c r="I180" s="25"/>
      <c r="J180" s="6"/>
      <c r="K180" s="25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1:34">
      <c r="E181" s="1"/>
      <c r="F181" s="1"/>
      <c r="G181" s="1"/>
      <c r="H181" s="25"/>
      <c r="I181" s="25"/>
      <c r="J181" s="6"/>
      <c r="K181" s="25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1:34">
      <c r="E182" s="1"/>
      <c r="F182" s="1"/>
      <c r="G182" s="1"/>
      <c r="H182" s="25"/>
      <c r="I182" s="25"/>
      <c r="J182" s="6"/>
      <c r="K182" s="25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1:34">
      <c r="E183" s="1"/>
      <c r="F183" s="1"/>
      <c r="G183" s="1"/>
      <c r="H183" s="25"/>
      <c r="I183" s="25"/>
      <c r="J183" s="6"/>
      <c r="K183" s="25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1:34">
      <c r="E184" s="1"/>
      <c r="F184" s="1"/>
      <c r="G184" s="1"/>
      <c r="H184" s="25"/>
      <c r="I184" s="25"/>
      <c r="J184" s="6"/>
      <c r="K184" s="25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1:34">
      <c r="E185" s="1"/>
      <c r="F185" s="1"/>
      <c r="G185" s="1"/>
      <c r="H185" s="25"/>
      <c r="I185" s="25"/>
      <c r="J185" s="6"/>
      <c r="K185" s="25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1:34">
      <c r="E186" s="1"/>
      <c r="F186" s="1"/>
      <c r="G186" s="1"/>
      <c r="H186" s="25"/>
      <c r="I186" s="25"/>
      <c r="J186" s="6"/>
      <c r="K186" s="25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1:34">
      <c r="E187" s="1"/>
      <c r="F187" s="1"/>
      <c r="G187" s="1"/>
      <c r="H187" s="25"/>
      <c r="I187" s="25"/>
      <c r="J187" s="6"/>
      <c r="K187" s="25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1:34">
      <c r="E188" s="1"/>
      <c r="F188" s="1"/>
      <c r="G188" s="1"/>
      <c r="H188" s="25"/>
      <c r="I188" s="25"/>
      <c r="J188" s="6"/>
      <c r="K188" s="25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1:34">
      <c r="E189" s="1"/>
      <c r="F189" s="1"/>
      <c r="G189" s="1"/>
      <c r="H189" s="25"/>
      <c r="I189" s="25"/>
      <c r="J189" s="6"/>
      <c r="K189" s="25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1:34">
      <c r="E190" s="1"/>
      <c r="F190" s="1"/>
      <c r="G190" s="1"/>
      <c r="H190" s="25"/>
      <c r="I190" s="25"/>
      <c r="J190" s="6"/>
      <c r="K190" s="25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1:34">
      <c r="E191" s="1"/>
      <c r="F191" s="1"/>
      <c r="G191" s="1"/>
      <c r="H191" s="25"/>
      <c r="I191" s="25"/>
      <c r="J191" s="6"/>
      <c r="K191" s="25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1:34">
      <c r="E192" s="1"/>
      <c r="F192" s="1"/>
      <c r="G192" s="1"/>
      <c r="H192" s="25"/>
      <c r="I192" s="25"/>
      <c r="J192" s="6"/>
      <c r="K192" s="25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5:24">
      <c r="E193" s="1"/>
      <c r="F193" s="1"/>
      <c r="G193" s="1"/>
      <c r="H193" s="25"/>
      <c r="I193" s="25"/>
      <c r="J193" s="6"/>
      <c r="K193" s="25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5:24">
      <c r="E194" s="1"/>
      <c r="F194" s="1"/>
      <c r="G194" s="1"/>
      <c r="H194" s="25"/>
      <c r="I194" s="25"/>
      <c r="J194" s="6"/>
      <c r="K194" s="25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5:24">
      <c r="E195" s="1"/>
      <c r="F195" s="1"/>
      <c r="G195" s="1"/>
      <c r="H195" s="25"/>
      <c r="I195" s="25"/>
      <c r="J195" s="6"/>
      <c r="K195" s="25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5:24">
      <c r="E196" s="1"/>
      <c r="F196" s="1"/>
      <c r="G196" s="1"/>
      <c r="H196" s="25"/>
      <c r="I196" s="25"/>
      <c r="J196" s="6"/>
      <c r="K196" s="25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5:24">
      <c r="E197" s="1"/>
      <c r="F197" s="1"/>
      <c r="G197" s="1"/>
      <c r="H197" s="25"/>
      <c r="I197" s="25"/>
      <c r="J197" s="6"/>
      <c r="K197" s="25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5:24">
      <c r="E198" s="1"/>
      <c r="F198" s="1"/>
      <c r="G198" s="1"/>
      <c r="H198" s="25"/>
      <c r="I198" s="25"/>
      <c r="J198" s="6"/>
      <c r="K198" s="25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5:24">
      <c r="E199" s="1"/>
      <c r="F199" s="1"/>
      <c r="G199" s="1"/>
      <c r="H199" s="25"/>
      <c r="I199" s="25"/>
      <c r="J199" s="6"/>
      <c r="K199" s="25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5:24">
      <c r="E200" s="1"/>
      <c r="F200" s="1"/>
      <c r="G200" s="1"/>
      <c r="H200" s="25"/>
      <c r="I200" s="25"/>
      <c r="J200" s="6"/>
      <c r="K200" s="25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5:24">
      <c r="E201" s="1"/>
      <c r="F201" s="1"/>
      <c r="G201" s="1"/>
      <c r="H201" s="25"/>
      <c r="I201" s="25"/>
      <c r="J201" s="6"/>
      <c r="K201" s="25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5:24">
      <c r="E202" s="1"/>
      <c r="F202" s="1"/>
      <c r="G202" s="1"/>
      <c r="H202" s="25"/>
      <c r="I202" s="25"/>
      <c r="J202" s="6"/>
      <c r="K202" s="25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5:24">
      <c r="E203" s="1"/>
      <c r="F203" s="1"/>
      <c r="G203" s="1"/>
      <c r="H203" s="25"/>
      <c r="I203" s="25"/>
      <c r="J203" s="6"/>
      <c r="K203" s="25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5:24">
      <c r="E204" s="1"/>
      <c r="F204" s="1"/>
      <c r="G204" s="1"/>
      <c r="H204" s="25"/>
      <c r="I204" s="25"/>
      <c r="J204" s="6"/>
      <c r="K204" s="25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5:24">
      <c r="E205" s="1"/>
      <c r="F205" s="1"/>
      <c r="G205" s="1"/>
      <c r="H205" s="25"/>
      <c r="I205" s="25"/>
      <c r="J205" s="6"/>
      <c r="K205" s="25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5:24">
      <c r="E206" s="1"/>
      <c r="F206" s="1"/>
      <c r="G206" s="1"/>
      <c r="H206" s="25"/>
      <c r="I206" s="25"/>
      <c r="J206" s="6"/>
      <c r="K206" s="25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5:24">
      <c r="E207" s="1"/>
      <c r="F207" s="1"/>
      <c r="G207" s="1"/>
      <c r="H207" s="25"/>
      <c r="I207" s="25"/>
      <c r="J207" s="6"/>
      <c r="K207" s="25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5:24">
      <c r="E208" s="1"/>
      <c r="F208" s="1"/>
      <c r="G208" s="1"/>
      <c r="H208" s="25"/>
      <c r="I208" s="25"/>
      <c r="J208" s="6"/>
      <c r="K208" s="25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5:24">
      <c r="E209" s="1"/>
      <c r="F209" s="1"/>
      <c r="G209" s="1"/>
      <c r="H209" s="25"/>
      <c r="I209" s="25"/>
      <c r="J209" s="6"/>
      <c r="K209" s="25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5:24">
      <c r="E210" s="1"/>
      <c r="F210" s="1"/>
      <c r="G210" s="1"/>
      <c r="H210" s="25"/>
      <c r="I210" s="25"/>
      <c r="J210" s="6"/>
      <c r="K210" s="25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5:24">
      <c r="E211" s="1"/>
      <c r="F211" s="1"/>
      <c r="G211" s="1"/>
      <c r="H211" s="25"/>
      <c r="I211" s="25"/>
      <c r="J211" s="6"/>
      <c r="K211" s="25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5:24">
      <c r="E212" s="1"/>
      <c r="F212" s="1"/>
      <c r="G212" s="1"/>
      <c r="H212" s="25"/>
      <c r="I212" s="25"/>
      <c r="J212" s="6"/>
      <c r="K212" s="25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5:24">
      <c r="E213" s="1"/>
      <c r="F213" s="1"/>
      <c r="G213" s="1"/>
      <c r="H213" s="25"/>
      <c r="I213" s="25"/>
      <c r="J213" s="6"/>
      <c r="K213" s="25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2"/>
      <c r="W213" s="2"/>
      <c r="X213" s="2"/>
    </row>
    <row r="214" spans="5:24">
      <c r="E214" s="1"/>
      <c r="F214" s="1"/>
      <c r="G214" s="1"/>
      <c r="H214" s="25"/>
      <c r="I214" s="25"/>
      <c r="J214" s="6"/>
      <c r="K214" s="25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2"/>
      <c r="W214" s="2"/>
      <c r="X214" s="2"/>
    </row>
    <row r="215" spans="5:24">
      <c r="E215" s="1"/>
      <c r="F215" s="1"/>
      <c r="G215" s="1"/>
      <c r="H215" s="25"/>
      <c r="I215" s="25"/>
      <c r="J215" s="6"/>
      <c r="K215" s="25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2"/>
      <c r="W215" s="2"/>
      <c r="X215" s="2"/>
    </row>
    <row r="216" spans="5:24">
      <c r="E216" s="1"/>
      <c r="F216" s="1"/>
      <c r="G216" s="1"/>
      <c r="H216" s="25"/>
      <c r="I216" s="25"/>
      <c r="J216" s="6"/>
      <c r="K216" s="25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2"/>
      <c r="W216" s="2"/>
      <c r="X216" s="2"/>
    </row>
    <row r="217" spans="5:24">
      <c r="E217" s="1"/>
      <c r="F217" s="1"/>
      <c r="G217" s="1"/>
      <c r="H217" s="25"/>
      <c r="I217" s="25"/>
      <c r="J217" s="6"/>
      <c r="K217" s="25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2"/>
      <c r="W217" s="2"/>
      <c r="X217" s="2"/>
    </row>
    <row r="218" spans="5:24">
      <c r="E218" s="1"/>
      <c r="F218" s="1"/>
      <c r="G218" s="1"/>
      <c r="H218" s="25"/>
      <c r="I218" s="25"/>
      <c r="J218" s="6"/>
      <c r="K218" s="25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2"/>
      <c r="W218" s="2"/>
      <c r="X218" s="2"/>
    </row>
    <row r="219" spans="5:24">
      <c r="E219" s="1"/>
      <c r="F219" s="1"/>
      <c r="G219" s="1"/>
      <c r="H219" s="25"/>
      <c r="I219" s="25"/>
      <c r="J219" s="6"/>
      <c r="K219" s="25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2"/>
      <c r="W219" s="2"/>
      <c r="X219" s="2"/>
    </row>
    <row r="220" spans="5:24">
      <c r="E220" s="1"/>
      <c r="F220" s="1"/>
      <c r="G220" s="1"/>
      <c r="H220" s="25"/>
      <c r="I220" s="25"/>
      <c r="J220" s="6"/>
      <c r="K220" s="25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2"/>
      <c r="W220" s="2"/>
      <c r="X220" s="2"/>
    </row>
    <row r="221" spans="5:24">
      <c r="E221" s="1"/>
      <c r="F221" s="1"/>
      <c r="G221" s="1"/>
      <c r="H221" s="25"/>
      <c r="I221" s="25"/>
      <c r="J221" s="6"/>
      <c r="K221" s="25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2"/>
      <c r="W221" s="2"/>
      <c r="X221" s="2"/>
    </row>
    <row r="222" spans="5:24">
      <c r="E222" s="1"/>
      <c r="F222" s="1"/>
      <c r="G222" s="1"/>
      <c r="H222" s="25"/>
      <c r="I222" s="25"/>
      <c r="J222" s="6"/>
      <c r="K222" s="25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2"/>
      <c r="W222" s="2"/>
      <c r="X222" s="2"/>
    </row>
    <row r="223" spans="5:24">
      <c r="E223" s="1"/>
      <c r="F223" s="1"/>
      <c r="G223" s="1"/>
      <c r="H223" s="25"/>
      <c r="I223" s="25"/>
      <c r="J223" s="6"/>
      <c r="K223" s="25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2"/>
      <c r="W223" s="2"/>
      <c r="X223" s="2"/>
    </row>
    <row r="224" spans="5:24">
      <c r="E224" s="1"/>
      <c r="F224" s="1"/>
      <c r="G224" s="1"/>
      <c r="H224" s="25"/>
      <c r="I224" s="25"/>
      <c r="J224" s="6"/>
      <c r="K224" s="25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2"/>
      <c r="W224" s="2"/>
      <c r="X224" s="2"/>
    </row>
    <row r="225" spans="5:24">
      <c r="E225" s="1"/>
      <c r="F225" s="1"/>
      <c r="G225" s="1"/>
      <c r="H225" s="25"/>
      <c r="I225" s="25"/>
      <c r="J225" s="6"/>
      <c r="K225" s="25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2"/>
      <c r="W225" s="2"/>
      <c r="X225" s="2"/>
    </row>
    <row r="226" spans="5:24">
      <c r="E226" s="1"/>
      <c r="F226" s="1"/>
      <c r="G226" s="1"/>
      <c r="H226" s="25"/>
      <c r="I226" s="25"/>
      <c r="J226" s="6"/>
      <c r="K226" s="25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2"/>
      <c r="W226" s="2"/>
      <c r="X226" s="2"/>
    </row>
    <row r="227" spans="5:24">
      <c r="E227" s="1"/>
      <c r="F227" s="1"/>
      <c r="G227" s="1"/>
      <c r="H227" s="25"/>
      <c r="I227" s="25"/>
      <c r="J227" s="6"/>
      <c r="K227" s="25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2"/>
      <c r="W227" s="2"/>
      <c r="X227" s="2"/>
    </row>
    <row r="228" spans="5:24">
      <c r="E228" s="1"/>
      <c r="F228" s="1"/>
      <c r="G228" s="1"/>
      <c r="H228" s="25"/>
      <c r="I228" s="25"/>
      <c r="J228" s="6"/>
      <c r="K228" s="25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2"/>
      <c r="W228" s="2"/>
      <c r="X228" s="2"/>
    </row>
    <row r="229" spans="5:24">
      <c r="E229" s="1"/>
      <c r="F229" s="1"/>
      <c r="G229" s="1"/>
      <c r="H229" s="25"/>
      <c r="I229" s="25"/>
      <c r="J229" s="6"/>
      <c r="K229" s="25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2"/>
      <c r="W229" s="2"/>
      <c r="X229" s="2"/>
    </row>
    <row r="230" spans="5:24">
      <c r="E230" s="1"/>
      <c r="F230" s="1"/>
      <c r="G230" s="1"/>
      <c r="H230" s="25"/>
      <c r="I230" s="25"/>
      <c r="J230" s="6"/>
      <c r="K230" s="25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2"/>
      <c r="W230" s="2"/>
      <c r="X230" s="2"/>
    </row>
    <row r="231" spans="5:24">
      <c r="E231" s="1"/>
      <c r="F231" s="1"/>
      <c r="G231" s="1"/>
      <c r="H231" s="25"/>
      <c r="I231" s="25"/>
      <c r="J231" s="6"/>
      <c r="K231" s="25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2"/>
      <c r="W231" s="2"/>
      <c r="X231" s="2"/>
    </row>
    <row r="232" spans="5:24">
      <c r="E232" s="1"/>
      <c r="F232" s="1"/>
      <c r="G232" s="1"/>
      <c r="H232" s="25"/>
      <c r="I232" s="25"/>
      <c r="J232" s="6"/>
      <c r="K232" s="25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2"/>
      <c r="W232" s="2"/>
      <c r="X232" s="2"/>
    </row>
    <row r="233" spans="5:24">
      <c r="E233" s="1"/>
      <c r="F233" s="1"/>
      <c r="G233" s="1"/>
      <c r="H233" s="25"/>
      <c r="I233" s="25"/>
      <c r="J233" s="6"/>
      <c r="K233" s="25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2"/>
      <c r="W233" s="2"/>
      <c r="X233" s="2"/>
    </row>
    <row r="234" spans="5:24">
      <c r="E234" s="1"/>
      <c r="F234" s="1"/>
      <c r="G234" s="1"/>
      <c r="H234" s="25"/>
      <c r="I234" s="25"/>
      <c r="J234" s="6"/>
      <c r="K234" s="25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2"/>
      <c r="W234" s="2"/>
      <c r="X234" s="2"/>
    </row>
    <row r="235" spans="5:24">
      <c r="E235" s="1"/>
      <c r="F235" s="1"/>
      <c r="G235" s="1"/>
      <c r="H235" s="25"/>
      <c r="I235" s="25"/>
      <c r="J235" s="6"/>
      <c r="K235" s="25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2"/>
      <c r="W235" s="2"/>
      <c r="X235" s="2"/>
    </row>
    <row r="236" spans="5:24">
      <c r="E236" s="1"/>
      <c r="F236" s="1"/>
      <c r="G236" s="1"/>
      <c r="H236" s="25"/>
      <c r="I236" s="25"/>
      <c r="J236" s="6"/>
      <c r="K236" s="25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2"/>
      <c r="W236" s="2"/>
      <c r="X236" s="2"/>
    </row>
    <row r="237" spans="5:24">
      <c r="E237" s="1"/>
      <c r="F237" s="1"/>
      <c r="G237" s="1"/>
      <c r="H237" s="25"/>
      <c r="I237" s="25"/>
      <c r="J237" s="6"/>
      <c r="K237" s="25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2"/>
      <c r="W237" s="2"/>
      <c r="X237" s="2"/>
    </row>
    <row r="238" spans="5:24">
      <c r="E238" s="1"/>
      <c r="F238" s="1"/>
      <c r="G238" s="1"/>
      <c r="H238" s="25"/>
      <c r="I238" s="25"/>
      <c r="J238" s="6"/>
      <c r="K238" s="25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2"/>
      <c r="W238" s="2"/>
      <c r="X238" s="2"/>
    </row>
    <row r="239" spans="5:24">
      <c r="E239" s="1"/>
      <c r="F239" s="1"/>
      <c r="G239" s="1"/>
      <c r="H239" s="25"/>
      <c r="I239" s="25"/>
      <c r="J239" s="6"/>
      <c r="K239" s="25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2"/>
      <c r="W239" s="2"/>
      <c r="X239" s="2"/>
    </row>
    <row r="240" spans="5:24">
      <c r="E240" s="1"/>
      <c r="F240" s="1"/>
      <c r="G240" s="1"/>
      <c r="H240" s="25"/>
      <c r="I240" s="25"/>
      <c r="J240" s="6"/>
      <c r="K240" s="25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2"/>
      <c r="W240" s="2"/>
      <c r="X240" s="2"/>
    </row>
    <row r="241" spans="5:24">
      <c r="E241" s="1"/>
      <c r="F241" s="1"/>
      <c r="G241" s="1"/>
      <c r="H241" s="25"/>
      <c r="I241" s="25"/>
      <c r="J241" s="6"/>
      <c r="K241" s="25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2"/>
      <c r="W241" s="2"/>
      <c r="X241" s="2"/>
    </row>
    <row r="242" spans="5:24">
      <c r="E242" s="1"/>
      <c r="F242" s="1"/>
      <c r="G242" s="1"/>
      <c r="H242" s="25"/>
      <c r="I242" s="25"/>
      <c r="J242" s="6"/>
      <c r="K242" s="25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2"/>
      <c r="W242" s="2"/>
      <c r="X242" s="2"/>
    </row>
    <row r="243" spans="5:24">
      <c r="E243" s="1"/>
      <c r="F243" s="1"/>
      <c r="G243" s="1"/>
      <c r="H243" s="25"/>
      <c r="I243" s="25"/>
      <c r="J243" s="6"/>
      <c r="K243" s="25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2"/>
      <c r="W243" s="2"/>
      <c r="X243" s="2"/>
    </row>
    <row r="244" spans="5:24">
      <c r="E244" s="1"/>
      <c r="F244" s="1"/>
      <c r="G244" s="1"/>
      <c r="H244" s="25"/>
      <c r="I244" s="25"/>
      <c r="J244" s="6"/>
      <c r="K244" s="25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2"/>
      <c r="W244" s="2"/>
      <c r="X244" s="2"/>
    </row>
    <row r="245" spans="5:24">
      <c r="E245" s="1"/>
      <c r="F245" s="1"/>
      <c r="G245" s="1"/>
      <c r="H245" s="25"/>
      <c r="I245" s="25"/>
      <c r="J245" s="6"/>
      <c r="K245" s="25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2"/>
      <c r="W245" s="2"/>
      <c r="X245" s="2"/>
    </row>
    <row r="246" spans="5:24">
      <c r="E246" s="1"/>
      <c r="F246" s="1"/>
      <c r="G246" s="1"/>
      <c r="H246" s="25"/>
      <c r="I246" s="25"/>
      <c r="J246" s="6"/>
      <c r="K246" s="25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2"/>
      <c r="W246" s="2"/>
      <c r="X246" s="2"/>
    </row>
    <row r="247" spans="5:24">
      <c r="E247" s="1"/>
      <c r="F247" s="1"/>
      <c r="G247" s="1"/>
      <c r="H247" s="25"/>
      <c r="I247" s="25"/>
      <c r="J247" s="6"/>
      <c r="K247" s="25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2"/>
      <c r="W247" s="2"/>
      <c r="X247" s="2"/>
    </row>
    <row r="248" spans="5:24">
      <c r="E248" s="1"/>
      <c r="F248" s="1"/>
      <c r="G248" s="1"/>
      <c r="H248" s="25"/>
      <c r="I248" s="25"/>
      <c r="J248" s="6"/>
      <c r="K248" s="25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2"/>
      <c r="W248" s="2"/>
      <c r="X248" s="2"/>
    </row>
    <row r="249" spans="5:24">
      <c r="E249" s="1"/>
      <c r="F249" s="1"/>
      <c r="G249" s="1"/>
      <c r="H249" s="25"/>
      <c r="I249" s="25"/>
      <c r="J249" s="6"/>
      <c r="K249" s="25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2"/>
      <c r="W249" s="2"/>
      <c r="X249" s="2"/>
    </row>
    <row r="250" spans="5:24">
      <c r="E250" s="1"/>
      <c r="F250" s="1"/>
      <c r="G250" s="1"/>
      <c r="H250" s="25"/>
      <c r="I250" s="25"/>
      <c r="J250" s="6"/>
      <c r="K250" s="25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2"/>
      <c r="W250" s="2"/>
      <c r="X250" s="2"/>
    </row>
    <row r="251" spans="5:24">
      <c r="E251" s="1"/>
      <c r="F251" s="1"/>
      <c r="G251" s="1"/>
      <c r="H251" s="25"/>
      <c r="I251" s="25"/>
      <c r="J251" s="6"/>
      <c r="K251" s="25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2"/>
      <c r="W251" s="2"/>
      <c r="X251" s="2"/>
    </row>
    <row r="252" spans="5:24">
      <c r="E252" s="1"/>
      <c r="F252" s="1"/>
      <c r="G252" s="1"/>
      <c r="H252" s="25"/>
      <c r="I252" s="25"/>
      <c r="J252" s="6"/>
      <c r="K252" s="25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2"/>
      <c r="W252" s="2"/>
      <c r="X252" s="2"/>
    </row>
    <row r="253" spans="5:24">
      <c r="E253" s="1"/>
      <c r="F253" s="1"/>
      <c r="G253" s="1"/>
      <c r="H253" s="25"/>
      <c r="I253" s="25"/>
      <c r="J253" s="6"/>
      <c r="K253" s="25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2"/>
      <c r="W253" s="2"/>
      <c r="X253" s="2"/>
    </row>
    <row r="254" spans="5:24">
      <c r="E254" s="1"/>
      <c r="F254" s="1"/>
      <c r="G254" s="1"/>
      <c r="H254" s="25"/>
      <c r="I254" s="25"/>
      <c r="J254" s="6"/>
      <c r="K254" s="25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2"/>
      <c r="W254" s="2"/>
      <c r="X254" s="2"/>
    </row>
    <row r="255" spans="5:24">
      <c r="E255" s="1"/>
      <c r="F255" s="1"/>
      <c r="G255" s="1"/>
      <c r="H255" s="25"/>
      <c r="I255" s="25"/>
      <c r="J255" s="6"/>
      <c r="K255" s="25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2"/>
      <c r="W255" s="2"/>
      <c r="X255" s="2"/>
    </row>
    <row r="256" spans="5:24">
      <c r="E256" s="1"/>
      <c r="F256" s="1"/>
      <c r="G256" s="1"/>
      <c r="H256" s="25"/>
      <c r="I256" s="25"/>
      <c r="J256" s="6"/>
      <c r="K256" s="25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2"/>
      <c r="W256" s="2"/>
      <c r="X256" s="2"/>
    </row>
    <row r="257" spans="5:24">
      <c r="E257" s="1"/>
      <c r="F257" s="1"/>
      <c r="G257" s="1"/>
      <c r="H257" s="25"/>
      <c r="I257" s="25"/>
      <c r="J257" s="6"/>
      <c r="K257" s="25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2"/>
      <c r="W257" s="2"/>
      <c r="X257" s="2"/>
    </row>
    <row r="258" spans="5:24">
      <c r="E258" s="1"/>
      <c r="F258" s="1"/>
      <c r="G258" s="1"/>
      <c r="H258" s="25"/>
      <c r="I258" s="25"/>
      <c r="J258" s="6"/>
      <c r="K258" s="25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2"/>
      <c r="W258" s="2"/>
      <c r="X258" s="2"/>
    </row>
    <row r="259" spans="5:24">
      <c r="E259" s="1"/>
      <c r="F259" s="1"/>
      <c r="G259" s="1"/>
      <c r="H259" s="25"/>
      <c r="I259" s="25"/>
      <c r="J259" s="6"/>
      <c r="K259" s="25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2"/>
      <c r="W259" s="2"/>
      <c r="X259" s="2"/>
    </row>
    <row r="260" spans="5:24">
      <c r="E260" s="1"/>
      <c r="F260" s="1"/>
      <c r="G260" s="1"/>
      <c r="H260" s="25"/>
      <c r="I260" s="25"/>
      <c r="J260" s="6"/>
      <c r="K260" s="25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2"/>
      <c r="W260" s="2"/>
      <c r="X260" s="2"/>
    </row>
    <row r="261" spans="5:24">
      <c r="E261" s="1"/>
      <c r="F261" s="1"/>
      <c r="G261" s="1"/>
      <c r="H261" s="25"/>
      <c r="I261" s="25"/>
      <c r="J261" s="6"/>
      <c r="K261" s="25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2"/>
      <c r="W261" s="2"/>
      <c r="X261" s="2"/>
    </row>
    <row r="262" spans="5:24">
      <c r="E262" s="1"/>
      <c r="F262" s="1"/>
      <c r="G262" s="1"/>
      <c r="H262" s="25"/>
      <c r="I262" s="25"/>
      <c r="J262" s="6"/>
      <c r="K262" s="25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2"/>
      <c r="W262" s="2"/>
      <c r="X262" s="2"/>
    </row>
    <row r="263" spans="5:24">
      <c r="E263" s="1"/>
      <c r="F263" s="1"/>
      <c r="G263" s="1"/>
      <c r="H263" s="25"/>
      <c r="I263" s="25"/>
      <c r="J263" s="6"/>
      <c r="K263" s="25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2"/>
      <c r="W263" s="2"/>
      <c r="X263" s="2"/>
    </row>
    <row r="264" spans="5:24">
      <c r="E264" s="1"/>
      <c r="F264" s="1"/>
      <c r="G264" s="1"/>
      <c r="H264" s="25"/>
      <c r="I264" s="25"/>
      <c r="J264" s="6"/>
      <c r="K264" s="25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2"/>
      <c r="W264" s="2"/>
      <c r="X264" s="2"/>
    </row>
    <row r="265" spans="5:24">
      <c r="E265" s="1"/>
      <c r="F265" s="1"/>
      <c r="G265" s="1"/>
      <c r="H265" s="25"/>
      <c r="I265" s="25"/>
      <c r="J265" s="6"/>
      <c r="K265" s="25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2"/>
      <c r="W265" s="2"/>
      <c r="X265" s="2"/>
    </row>
    <row r="266" spans="5:24">
      <c r="E266" s="1"/>
      <c r="F266" s="1"/>
      <c r="G266" s="1"/>
      <c r="H266" s="25"/>
      <c r="I266" s="25"/>
      <c r="J266" s="6"/>
      <c r="K266" s="25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2"/>
      <c r="W266" s="2"/>
      <c r="X266" s="2"/>
    </row>
    <row r="267" spans="5:24">
      <c r="E267" s="1"/>
      <c r="F267" s="1"/>
      <c r="G267" s="1"/>
      <c r="H267" s="25"/>
      <c r="I267" s="25"/>
      <c r="J267" s="6"/>
      <c r="K267" s="25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2"/>
      <c r="W267" s="2"/>
      <c r="X267" s="2"/>
    </row>
    <row r="268" spans="5:24">
      <c r="E268" s="1"/>
      <c r="F268" s="1"/>
      <c r="G268" s="1"/>
      <c r="H268" s="25"/>
      <c r="I268" s="25"/>
      <c r="J268" s="6"/>
      <c r="K268" s="25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2"/>
      <c r="W268" s="2"/>
      <c r="X268" s="2"/>
    </row>
    <row r="269" spans="5:24">
      <c r="E269" s="1"/>
      <c r="F269" s="1"/>
      <c r="G269" s="1"/>
      <c r="H269" s="25"/>
      <c r="I269" s="25"/>
      <c r="J269" s="6"/>
      <c r="K269" s="25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2"/>
      <c r="W269" s="2"/>
      <c r="X269" s="2"/>
    </row>
    <row r="270" spans="5:24">
      <c r="E270" s="1"/>
      <c r="F270" s="1"/>
      <c r="G270" s="1"/>
      <c r="H270" s="25"/>
      <c r="I270" s="25"/>
      <c r="J270" s="6"/>
      <c r="K270" s="25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2"/>
      <c r="W270" s="2"/>
      <c r="X270" s="2"/>
    </row>
    <row r="271" spans="5:24">
      <c r="E271" s="1"/>
      <c r="F271" s="1"/>
      <c r="G271" s="1"/>
      <c r="H271" s="25"/>
      <c r="I271" s="25"/>
      <c r="J271" s="6"/>
      <c r="K271" s="25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2"/>
      <c r="W271" s="2"/>
      <c r="X271" s="2"/>
    </row>
    <row r="272" spans="5:24">
      <c r="E272" s="1"/>
      <c r="F272" s="1"/>
      <c r="G272" s="1"/>
      <c r="H272" s="25"/>
      <c r="I272" s="25"/>
      <c r="J272" s="6"/>
      <c r="K272" s="25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2"/>
      <c r="W272" s="2"/>
      <c r="X272" s="2"/>
    </row>
    <row r="273" spans="5:24">
      <c r="E273" s="1"/>
      <c r="F273" s="1"/>
      <c r="G273" s="1"/>
      <c r="H273" s="25"/>
      <c r="I273" s="25"/>
      <c r="J273" s="6"/>
      <c r="K273" s="25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2"/>
      <c r="W273" s="2"/>
      <c r="X273" s="2"/>
    </row>
    <row r="274" spans="5:24">
      <c r="E274" s="1"/>
      <c r="F274" s="1"/>
      <c r="G274" s="1"/>
      <c r="H274" s="25"/>
      <c r="I274" s="25"/>
      <c r="J274" s="6"/>
      <c r="K274" s="25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2"/>
      <c r="W274" s="2"/>
      <c r="X274" s="2"/>
    </row>
    <row r="275" spans="5:24">
      <c r="E275" s="1"/>
      <c r="F275" s="1"/>
      <c r="G275" s="1"/>
      <c r="H275" s="25"/>
      <c r="I275" s="25"/>
      <c r="J275" s="6"/>
      <c r="K275" s="25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2"/>
      <c r="W275" s="2"/>
      <c r="X275" s="2"/>
    </row>
    <row r="276" spans="5:24">
      <c r="E276" s="1"/>
      <c r="F276" s="1"/>
      <c r="G276" s="1"/>
      <c r="H276" s="25"/>
      <c r="I276" s="25"/>
      <c r="J276" s="6"/>
      <c r="K276" s="25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2"/>
      <c r="W276" s="2"/>
      <c r="X276" s="2"/>
    </row>
    <row r="277" spans="5:24">
      <c r="E277" s="1"/>
      <c r="F277" s="1"/>
      <c r="G277" s="1"/>
      <c r="H277" s="25"/>
      <c r="I277" s="25"/>
      <c r="J277" s="6"/>
      <c r="K277" s="25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2"/>
      <c r="W277" s="2"/>
      <c r="X277" s="2"/>
    </row>
    <row r="278" spans="5:24">
      <c r="E278" s="1"/>
      <c r="F278" s="1"/>
      <c r="G278" s="1"/>
      <c r="H278" s="25"/>
      <c r="I278" s="25"/>
      <c r="J278" s="6"/>
      <c r="K278" s="25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2"/>
      <c r="W278" s="2"/>
      <c r="X278" s="2"/>
    </row>
    <row r="279" spans="5:24">
      <c r="E279" s="1"/>
      <c r="F279" s="1"/>
      <c r="G279" s="1"/>
      <c r="H279" s="25"/>
      <c r="I279" s="25"/>
      <c r="J279" s="6"/>
      <c r="K279" s="25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2"/>
      <c r="W279" s="2"/>
      <c r="X279" s="2"/>
    </row>
    <row r="280" spans="5:24">
      <c r="E280" s="1"/>
      <c r="F280" s="1"/>
      <c r="G280" s="1"/>
      <c r="H280" s="25"/>
      <c r="I280" s="25"/>
      <c r="J280" s="6"/>
      <c r="K280" s="25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2"/>
      <c r="W280" s="2"/>
      <c r="X280" s="2"/>
    </row>
    <row r="281" spans="5:24">
      <c r="E281" s="1"/>
      <c r="F281" s="1"/>
      <c r="G281" s="1"/>
      <c r="H281" s="25"/>
      <c r="I281" s="25"/>
      <c r="J281" s="6"/>
      <c r="K281" s="25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2"/>
      <c r="W281" s="2"/>
      <c r="X281" s="2"/>
    </row>
    <row r="282" spans="5:24">
      <c r="E282" s="1"/>
      <c r="F282" s="1"/>
      <c r="G282" s="1"/>
      <c r="H282" s="25"/>
      <c r="I282" s="25"/>
      <c r="J282" s="6"/>
      <c r="K282" s="25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2"/>
      <c r="W282" s="2"/>
      <c r="X282" s="2"/>
    </row>
    <row r="283" spans="5:24">
      <c r="E283" s="1"/>
      <c r="F283" s="1"/>
      <c r="G283" s="1"/>
      <c r="H283" s="25"/>
      <c r="I283" s="25"/>
      <c r="J283" s="6"/>
      <c r="K283" s="25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2"/>
      <c r="W283" s="2"/>
      <c r="X283" s="2"/>
    </row>
    <row r="284" spans="5:24">
      <c r="E284" s="1"/>
      <c r="F284" s="1"/>
      <c r="G284" s="1"/>
      <c r="H284" s="25"/>
      <c r="I284" s="25"/>
      <c r="J284" s="6"/>
      <c r="K284" s="25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2"/>
      <c r="W284" s="2"/>
      <c r="X284" s="2"/>
    </row>
    <row r="285" spans="5:24">
      <c r="E285" s="1"/>
      <c r="F285" s="1"/>
      <c r="G285" s="1"/>
      <c r="H285" s="25"/>
      <c r="I285" s="25"/>
      <c r="J285" s="6"/>
      <c r="K285" s="25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2"/>
      <c r="W285" s="2"/>
      <c r="X285" s="2"/>
    </row>
    <row r="286" spans="5:24">
      <c r="E286" s="1"/>
      <c r="F286" s="1"/>
      <c r="G286" s="1"/>
      <c r="H286" s="25"/>
      <c r="I286" s="25"/>
      <c r="J286" s="6"/>
      <c r="K286" s="25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2"/>
      <c r="W286" s="2"/>
      <c r="X286" s="2"/>
    </row>
    <row r="287" spans="5:24">
      <c r="E287" s="1"/>
      <c r="F287" s="1"/>
      <c r="G287" s="1"/>
      <c r="H287" s="25"/>
      <c r="I287" s="25"/>
      <c r="J287" s="6"/>
      <c r="K287" s="25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2"/>
      <c r="W287" s="2"/>
      <c r="X287" s="2"/>
    </row>
    <row r="288" spans="5:24">
      <c r="E288" s="1"/>
      <c r="F288" s="1"/>
      <c r="G288" s="1"/>
      <c r="H288" s="25"/>
      <c r="I288" s="25"/>
      <c r="J288" s="6"/>
      <c r="K288" s="25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2"/>
      <c r="W288" s="2"/>
      <c r="X288" s="2"/>
    </row>
    <row r="289" spans="5:24">
      <c r="E289" s="1"/>
      <c r="F289" s="1"/>
      <c r="G289" s="1"/>
      <c r="H289" s="25"/>
      <c r="I289" s="25"/>
      <c r="J289" s="6"/>
      <c r="K289" s="25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2"/>
      <c r="W289" s="2"/>
      <c r="X289" s="2"/>
    </row>
    <row r="290" spans="5:24">
      <c r="E290" s="1"/>
      <c r="F290" s="1"/>
      <c r="G290" s="1"/>
      <c r="H290" s="25"/>
      <c r="I290" s="25"/>
      <c r="J290" s="6"/>
      <c r="K290" s="25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2"/>
      <c r="W290" s="2"/>
      <c r="X290" s="2"/>
    </row>
    <row r="291" spans="5:24">
      <c r="E291" s="1"/>
      <c r="F291" s="1"/>
      <c r="G291" s="1"/>
      <c r="H291" s="25"/>
      <c r="I291" s="25"/>
      <c r="J291" s="6"/>
      <c r="K291" s="25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2"/>
      <c r="W291" s="2"/>
      <c r="X291" s="2"/>
    </row>
    <row r="292" spans="5:24">
      <c r="E292" s="1"/>
      <c r="F292" s="1"/>
      <c r="G292" s="1"/>
      <c r="H292" s="25"/>
      <c r="I292" s="25"/>
      <c r="J292" s="6"/>
      <c r="K292" s="25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2"/>
      <c r="W292" s="2"/>
      <c r="X292" s="2"/>
    </row>
    <row r="293" spans="5:24">
      <c r="E293" s="1"/>
      <c r="F293" s="1"/>
      <c r="G293" s="1"/>
      <c r="H293" s="25"/>
      <c r="I293" s="25"/>
      <c r="J293" s="6"/>
      <c r="K293" s="25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2"/>
      <c r="W293" s="2"/>
      <c r="X293" s="2"/>
    </row>
    <row r="294" spans="5:24">
      <c r="E294" s="1"/>
      <c r="F294" s="1"/>
      <c r="G294" s="1"/>
      <c r="H294" s="25"/>
      <c r="I294" s="25"/>
      <c r="J294" s="6"/>
      <c r="K294" s="25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2"/>
      <c r="W294" s="2"/>
      <c r="X294" s="2"/>
    </row>
    <row r="295" spans="5:24">
      <c r="E295" s="1"/>
      <c r="F295" s="1"/>
      <c r="G295" s="1"/>
      <c r="H295" s="25"/>
      <c r="I295" s="25"/>
      <c r="J295" s="6"/>
      <c r="K295" s="25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2"/>
      <c r="W295" s="2"/>
      <c r="X295" s="2"/>
    </row>
    <row r="296" spans="5:24">
      <c r="E296" s="1"/>
      <c r="F296" s="1"/>
      <c r="G296" s="1"/>
      <c r="H296" s="25"/>
      <c r="I296" s="25"/>
      <c r="J296" s="6"/>
      <c r="K296" s="25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2"/>
      <c r="W296" s="2"/>
      <c r="X296" s="2"/>
    </row>
    <row r="297" spans="5:24">
      <c r="E297" s="1"/>
      <c r="F297" s="1"/>
      <c r="G297" s="1"/>
      <c r="H297" s="25"/>
      <c r="I297" s="25"/>
      <c r="J297" s="6"/>
      <c r="K297" s="25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2"/>
      <c r="W297" s="2"/>
      <c r="X297" s="2"/>
    </row>
    <row r="298" spans="5:24">
      <c r="E298" s="1"/>
      <c r="F298" s="1"/>
      <c r="G298" s="1"/>
      <c r="H298" s="25"/>
      <c r="I298" s="25"/>
      <c r="J298" s="6"/>
      <c r="K298" s="25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2"/>
      <c r="W298" s="2"/>
      <c r="X298" s="2"/>
    </row>
    <row r="299" spans="5:24">
      <c r="E299" s="1"/>
      <c r="F299" s="1"/>
      <c r="G299" s="1"/>
      <c r="H299" s="25"/>
      <c r="I299" s="25"/>
      <c r="J299" s="6"/>
      <c r="K299" s="25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2"/>
      <c r="W299" s="2"/>
      <c r="X299" s="2"/>
    </row>
    <row r="300" spans="5:24">
      <c r="E300" s="1"/>
      <c r="F300" s="1"/>
      <c r="G300" s="1"/>
      <c r="H300" s="25"/>
      <c r="I300" s="25"/>
      <c r="J300" s="6"/>
      <c r="K300" s="25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2"/>
      <c r="W300" s="2"/>
      <c r="X300" s="2"/>
    </row>
    <row r="301" spans="5:24">
      <c r="E301" s="1"/>
      <c r="F301" s="1"/>
      <c r="G301" s="1"/>
      <c r="H301" s="25"/>
      <c r="I301" s="25"/>
      <c r="J301" s="6"/>
      <c r="K301" s="25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2"/>
      <c r="W301" s="2"/>
      <c r="X301" s="2"/>
    </row>
    <row r="302" spans="5:24">
      <c r="E302" s="1"/>
      <c r="F302" s="1"/>
      <c r="G302" s="1"/>
      <c r="H302" s="25"/>
      <c r="I302" s="25"/>
      <c r="J302" s="6"/>
      <c r="K302" s="25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2"/>
      <c r="W302" s="2"/>
      <c r="X302" s="2"/>
    </row>
    <row r="303" spans="5:24">
      <c r="E303" s="1"/>
      <c r="F303" s="1"/>
      <c r="G303" s="1"/>
      <c r="H303" s="25"/>
      <c r="I303" s="25"/>
      <c r="J303" s="6"/>
      <c r="K303" s="25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2"/>
      <c r="W303" s="2"/>
      <c r="X303" s="2"/>
    </row>
    <row r="304" spans="5:24">
      <c r="E304" s="1"/>
      <c r="F304" s="1"/>
      <c r="G304" s="1"/>
      <c r="H304" s="25"/>
      <c r="I304" s="25"/>
      <c r="J304" s="6"/>
      <c r="K304" s="25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2"/>
      <c r="W304" s="2"/>
      <c r="X304" s="2"/>
    </row>
    <row r="305" spans="5:24">
      <c r="E305" s="1"/>
      <c r="F305" s="1"/>
      <c r="G305" s="1"/>
      <c r="H305" s="25"/>
      <c r="I305" s="25"/>
      <c r="J305" s="6"/>
      <c r="K305" s="25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2"/>
      <c r="W305" s="2"/>
      <c r="X305" s="2"/>
    </row>
    <row r="306" spans="5:24">
      <c r="E306" s="1"/>
      <c r="F306" s="1"/>
      <c r="G306" s="1"/>
      <c r="H306" s="25"/>
      <c r="I306" s="25"/>
      <c r="J306" s="6"/>
      <c r="K306" s="25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2"/>
      <c r="W306" s="2"/>
      <c r="X306" s="2"/>
    </row>
    <row r="307" spans="5:24">
      <c r="E307" s="1"/>
      <c r="F307" s="1"/>
      <c r="G307" s="1"/>
      <c r="H307" s="25"/>
      <c r="I307" s="25"/>
      <c r="J307" s="6"/>
      <c r="K307" s="25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2"/>
      <c r="W307" s="2"/>
      <c r="X307" s="2"/>
    </row>
    <row r="308" spans="5:24">
      <c r="E308" s="1"/>
      <c r="F308" s="1"/>
      <c r="G308" s="1"/>
      <c r="H308" s="25"/>
      <c r="I308" s="25"/>
      <c r="J308" s="6"/>
      <c r="K308" s="25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2"/>
      <c r="W308" s="2"/>
      <c r="X308" s="2"/>
    </row>
    <row r="309" spans="5:24">
      <c r="E309" s="1"/>
      <c r="F309" s="1"/>
      <c r="G309" s="1"/>
      <c r="H309" s="25"/>
      <c r="I309" s="25"/>
      <c r="J309" s="6"/>
      <c r="K309" s="25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2"/>
      <c r="W309" s="2"/>
      <c r="X309" s="2"/>
    </row>
    <row r="310" spans="5:24">
      <c r="E310" s="1"/>
      <c r="F310" s="1"/>
      <c r="G310" s="1"/>
      <c r="H310" s="25"/>
      <c r="I310" s="25"/>
      <c r="J310" s="6"/>
      <c r="K310" s="25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2"/>
      <c r="W310" s="2"/>
      <c r="X310" s="2"/>
    </row>
    <row r="311" spans="5:24">
      <c r="E311" s="1"/>
      <c r="F311" s="1"/>
      <c r="G311" s="1"/>
      <c r="H311" s="25"/>
      <c r="I311" s="25"/>
      <c r="J311" s="6"/>
      <c r="K311" s="25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2"/>
      <c r="W311" s="2"/>
      <c r="X311" s="2"/>
    </row>
    <row r="312" spans="5:24">
      <c r="E312" s="1"/>
      <c r="F312" s="1"/>
      <c r="G312" s="1"/>
      <c r="H312" s="25"/>
      <c r="I312" s="25"/>
      <c r="J312" s="6"/>
      <c r="K312" s="25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2"/>
      <c r="W312" s="2"/>
      <c r="X312" s="2"/>
    </row>
    <row r="313" spans="5:24">
      <c r="E313" s="1"/>
      <c r="F313" s="1"/>
      <c r="G313" s="1"/>
      <c r="H313" s="25"/>
      <c r="I313" s="25"/>
      <c r="J313" s="6"/>
      <c r="K313" s="25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2"/>
      <c r="W313" s="2"/>
      <c r="X313" s="2"/>
    </row>
    <row r="314" spans="5:24">
      <c r="E314" s="1"/>
      <c r="F314" s="1"/>
      <c r="G314" s="1"/>
      <c r="H314" s="25"/>
      <c r="I314" s="25"/>
      <c r="J314" s="6"/>
      <c r="K314" s="25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2"/>
      <c r="W314" s="2"/>
      <c r="X314" s="2"/>
    </row>
    <row r="315" spans="5:24">
      <c r="E315" s="1"/>
      <c r="F315" s="1"/>
      <c r="G315" s="1"/>
      <c r="H315" s="25"/>
      <c r="I315" s="25"/>
      <c r="J315" s="6"/>
      <c r="K315" s="25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2"/>
      <c r="W315" s="2"/>
      <c r="X315" s="2"/>
    </row>
    <row r="316" spans="5:24">
      <c r="E316" s="1"/>
      <c r="F316" s="1"/>
      <c r="G316" s="1"/>
      <c r="H316" s="25"/>
      <c r="I316" s="25"/>
      <c r="J316" s="6"/>
      <c r="K316" s="25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2"/>
      <c r="W316" s="2"/>
      <c r="X316" s="2"/>
    </row>
    <row r="317" spans="5:24">
      <c r="E317" s="1"/>
      <c r="F317" s="1"/>
      <c r="G317" s="1"/>
      <c r="H317" s="25"/>
      <c r="I317" s="25"/>
      <c r="J317" s="6"/>
      <c r="K317" s="25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2"/>
      <c r="W317" s="2"/>
      <c r="X317" s="2"/>
    </row>
    <row r="318" spans="5:24">
      <c r="E318" s="1"/>
      <c r="F318" s="1"/>
      <c r="G318" s="1"/>
      <c r="H318" s="25"/>
      <c r="I318" s="25"/>
      <c r="J318" s="6"/>
      <c r="K318" s="25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2"/>
      <c r="W318" s="2"/>
      <c r="X318" s="2"/>
    </row>
    <row r="319" spans="5:24">
      <c r="E319" s="1"/>
      <c r="F319" s="1"/>
      <c r="G319" s="1"/>
      <c r="H319" s="25"/>
      <c r="I319" s="25"/>
      <c r="J319" s="6"/>
      <c r="K319" s="25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2"/>
      <c r="W319" s="2"/>
      <c r="X319" s="2"/>
    </row>
    <row r="320" spans="5:24">
      <c r="E320" s="1"/>
      <c r="F320" s="1"/>
      <c r="G320" s="1"/>
      <c r="H320" s="25"/>
      <c r="I320" s="25"/>
      <c r="J320" s="6"/>
      <c r="K320" s="25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2"/>
      <c r="W320" s="2"/>
      <c r="X320" s="2"/>
    </row>
    <row r="321" spans="5:24">
      <c r="E321" s="1"/>
      <c r="F321" s="1"/>
      <c r="G321" s="1"/>
      <c r="H321" s="25"/>
      <c r="I321" s="25"/>
      <c r="J321" s="6"/>
      <c r="K321" s="25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2"/>
      <c r="W321" s="2"/>
      <c r="X321" s="2"/>
    </row>
    <row r="322" spans="5:24">
      <c r="E322" s="1"/>
      <c r="F322" s="1"/>
      <c r="G322" s="1"/>
      <c r="H322" s="25"/>
      <c r="I322" s="25"/>
      <c r="J322" s="6"/>
      <c r="K322" s="25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2"/>
      <c r="W322" s="2"/>
      <c r="X322" s="2"/>
    </row>
    <row r="323" spans="5:24">
      <c r="E323" s="1"/>
      <c r="F323" s="1"/>
      <c r="G323" s="1"/>
      <c r="H323" s="25"/>
      <c r="I323" s="25"/>
      <c r="J323" s="6"/>
      <c r="K323" s="25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2"/>
      <c r="W323" s="2"/>
      <c r="X323" s="2"/>
    </row>
    <row r="324" spans="5:24">
      <c r="E324" s="1"/>
      <c r="F324" s="1"/>
      <c r="G324" s="1"/>
      <c r="H324" s="25"/>
      <c r="I324" s="25"/>
      <c r="J324" s="6"/>
      <c r="K324" s="25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2"/>
      <c r="W324" s="2"/>
      <c r="X324" s="2"/>
    </row>
    <row r="325" spans="5:24">
      <c r="E325" s="1"/>
      <c r="F325" s="1"/>
      <c r="G325" s="1"/>
      <c r="H325" s="25"/>
      <c r="I325" s="25"/>
      <c r="J325" s="6"/>
      <c r="K325" s="25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2"/>
      <c r="W325" s="2"/>
      <c r="X325" s="2"/>
    </row>
    <row r="326" spans="5:24">
      <c r="E326" s="1"/>
      <c r="F326" s="1"/>
      <c r="G326" s="1"/>
      <c r="H326" s="25"/>
      <c r="I326" s="25"/>
      <c r="J326" s="6"/>
      <c r="K326" s="25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2"/>
      <c r="W326" s="2"/>
      <c r="X326" s="2"/>
    </row>
    <row r="327" spans="5:24">
      <c r="E327" s="1"/>
      <c r="F327" s="1"/>
      <c r="G327" s="1"/>
      <c r="H327" s="25"/>
      <c r="I327" s="25"/>
      <c r="J327" s="6"/>
      <c r="K327" s="25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2"/>
      <c r="W327" s="2"/>
      <c r="X327" s="2"/>
    </row>
    <row r="328" spans="5:24">
      <c r="E328" s="1"/>
      <c r="F328" s="1"/>
      <c r="G328" s="1"/>
      <c r="H328" s="25"/>
      <c r="I328" s="25"/>
      <c r="J328" s="6"/>
      <c r="K328" s="25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2"/>
      <c r="W328" s="2"/>
      <c r="X328" s="2"/>
    </row>
    <row r="329" spans="5:24">
      <c r="E329" s="1"/>
      <c r="F329" s="1"/>
      <c r="G329" s="1"/>
      <c r="H329" s="25"/>
      <c r="I329" s="25"/>
      <c r="J329" s="6"/>
      <c r="K329" s="25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2"/>
      <c r="W329" s="2"/>
      <c r="X329" s="2"/>
    </row>
    <row r="330" spans="5:24">
      <c r="E330" s="1"/>
      <c r="F330" s="1"/>
      <c r="G330" s="1"/>
      <c r="H330" s="25"/>
      <c r="I330" s="25"/>
      <c r="J330" s="6"/>
      <c r="K330" s="25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2"/>
      <c r="W330" s="2"/>
      <c r="X330" s="2"/>
    </row>
    <row r="331" spans="5:24">
      <c r="E331" s="1"/>
      <c r="F331" s="1"/>
      <c r="G331" s="1"/>
      <c r="H331" s="25"/>
      <c r="I331" s="25"/>
      <c r="J331" s="6"/>
      <c r="K331" s="25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2"/>
      <c r="W331" s="2"/>
      <c r="X331" s="2"/>
    </row>
    <row r="332" spans="5:24">
      <c r="E332" s="1"/>
      <c r="F332" s="1"/>
      <c r="G332" s="1"/>
      <c r="H332" s="25"/>
      <c r="I332" s="25"/>
      <c r="J332" s="6"/>
      <c r="K332" s="25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2"/>
      <c r="W332" s="2"/>
      <c r="X332" s="2"/>
    </row>
    <row r="333" spans="5:24">
      <c r="E333" s="1"/>
      <c r="F333" s="1"/>
      <c r="G333" s="1"/>
      <c r="H333" s="25"/>
      <c r="I333" s="25"/>
      <c r="J333" s="6"/>
      <c r="K333" s="25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2"/>
      <c r="W333" s="2"/>
      <c r="X333" s="2"/>
    </row>
    <row r="334" spans="5:24">
      <c r="E334" s="1"/>
      <c r="F334" s="1"/>
      <c r="G334" s="1"/>
      <c r="H334" s="25"/>
      <c r="I334" s="25"/>
      <c r="J334" s="6"/>
      <c r="K334" s="25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2"/>
      <c r="W334" s="2"/>
      <c r="X334" s="2"/>
    </row>
    <row r="335" spans="5:24">
      <c r="E335" s="1"/>
      <c r="F335" s="1"/>
      <c r="G335" s="1"/>
      <c r="H335" s="25"/>
      <c r="I335" s="25"/>
      <c r="J335" s="6"/>
      <c r="K335" s="25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2"/>
      <c r="W335" s="2"/>
      <c r="X335" s="2"/>
    </row>
    <row r="336" spans="5:24">
      <c r="E336" s="1"/>
      <c r="F336" s="1"/>
      <c r="G336" s="1"/>
      <c r="H336" s="25"/>
      <c r="I336" s="25"/>
      <c r="J336" s="6"/>
      <c r="K336" s="25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2"/>
      <c r="W336" s="2"/>
      <c r="X336" s="2"/>
    </row>
    <row r="337" spans="5:24">
      <c r="E337" s="1"/>
      <c r="F337" s="1"/>
      <c r="G337" s="1"/>
      <c r="H337" s="25"/>
      <c r="I337" s="25"/>
      <c r="J337" s="6"/>
      <c r="K337" s="25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2"/>
      <c r="W337" s="2"/>
      <c r="X337" s="2"/>
    </row>
    <row r="338" spans="5:24">
      <c r="E338" s="1"/>
      <c r="F338" s="1"/>
      <c r="G338" s="1"/>
      <c r="H338" s="25"/>
      <c r="I338" s="25"/>
      <c r="J338" s="6"/>
      <c r="K338" s="25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2"/>
      <c r="W338" s="2"/>
      <c r="X338" s="2"/>
    </row>
    <row r="339" spans="5:24">
      <c r="E339" s="1"/>
      <c r="F339" s="1"/>
      <c r="G339" s="1"/>
      <c r="H339" s="25"/>
      <c r="I339" s="25"/>
      <c r="J339" s="6"/>
      <c r="K339" s="25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2"/>
      <c r="W339" s="2"/>
      <c r="X339" s="2"/>
    </row>
    <row r="340" spans="5:24">
      <c r="E340" s="1"/>
      <c r="F340" s="1"/>
      <c r="G340" s="1"/>
      <c r="H340" s="25"/>
      <c r="I340" s="25"/>
      <c r="J340" s="6"/>
      <c r="K340" s="25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2"/>
      <c r="W340" s="2"/>
      <c r="X340" s="2"/>
    </row>
    <row r="341" spans="5:24">
      <c r="E341" s="1"/>
      <c r="F341" s="1"/>
      <c r="G341" s="1"/>
      <c r="H341" s="25"/>
      <c r="I341" s="25"/>
      <c r="J341" s="6"/>
      <c r="K341" s="25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2"/>
      <c r="W341" s="2"/>
      <c r="X341" s="2"/>
    </row>
    <row r="342" spans="5:24">
      <c r="E342" s="1"/>
      <c r="F342" s="1"/>
      <c r="G342" s="1"/>
      <c r="H342" s="25"/>
      <c r="I342" s="25"/>
      <c r="J342" s="6"/>
      <c r="K342" s="25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2"/>
      <c r="W342" s="2"/>
      <c r="X342" s="2"/>
    </row>
    <row r="343" spans="5:24">
      <c r="E343" s="1"/>
      <c r="F343" s="1"/>
      <c r="G343" s="1"/>
      <c r="H343" s="25"/>
      <c r="I343" s="25"/>
      <c r="J343" s="6"/>
      <c r="K343" s="25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2"/>
      <c r="W343" s="2"/>
      <c r="X343" s="2"/>
    </row>
    <row r="344" spans="5:24">
      <c r="E344" s="1"/>
      <c r="F344" s="1"/>
      <c r="G344" s="1"/>
      <c r="H344" s="25"/>
      <c r="I344" s="25"/>
      <c r="J344" s="6"/>
      <c r="K344" s="25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2"/>
      <c r="W344" s="2"/>
      <c r="X344" s="2"/>
    </row>
    <row r="345" spans="5:24">
      <c r="E345" s="1"/>
      <c r="F345" s="1"/>
      <c r="G345" s="1"/>
      <c r="H345" s="25"/>
      <c r="I345" s="25"/>
      <c r="J345" s="6"/>
      <c r="K345" s="25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2"/>
      <c r="W345" s="2"/>
      <c r="X345" s="2"/>
    </row>
    <row r="346" spans="5:24">
      <c r="E346" s="1"/>
      <c r="F346" s="1"/>
      <c r="G346" s="1"/>
      <c r="H346" s="25"/>
      <c r="I346" s="25"/>
      <c r="J346" s="6"/>
      <c r="K346" s="25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2"/>
      <c r="W346" s="2"/>
      <c r="X346" s="2"/>
    </row>
    <row r="347" spans="5:24">
      <c r="E347" s="1"/>
      <c r="F347" s="1"/>
      <c r="G347" s="1"/>
      <c r="H347" s="25"/>
      <c r="I347" s="25"/>
      <c r="J347" s="6"/>
      <c r="K347" s="25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2"/>
      <c r="W347" s="2"/>
      <c r="X347" s="2"/>
    </row>
    <row r="348" spans="5:24">
      <c r="E348" s="1"/>
      <c r="F348" s="1"/>
      <c r="G348" s="1"/>
      <c r="H348" s="25"/>
      <c r="I348" s="25"/>
      <c r="J348" s="6"/>
      <c r="K348" s="25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2"/>
      <c r="W348" s="2"/>
      <c r="X348" s="2"/>
    </row>
    <row r="349" spans="5:24">
      <c r="E349" s="1"/>
      <c r="F349" s="1"/>
      <c r="G349" s="1"/>
      <c r="H349" s="25"/>
      <c r="I349" s="25"/>
      <c r="J349" s="6"/>
      <c r="K349" s="25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2"/>
      <c r="W349" s="2"/>
      <c r="X349" s="2"/>
    </row>
    <row r="350" spans="5:24">
      <c r="E350" s="1"/>
      <c r="F350" s="1"/>
      <c r="G350" s="1"/>
      <c r="H350" s="25"/>
      <c r="I350" s="25"/>
      <c r="J350" s="6"/>
      <c r="K350" s="25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2"/>
      <c r="W350" s="2"/>
      <c r="X350" s="2"/>
    </row>
    <row r="351" spans="5:24">
      <c r="E351" s="1"/>
      <c r="F351" s="1"/>
      <c r="G351" s="1"/>
      <c r="H351" s="25"/>
      <c r="I351" s="25"/>
      <c r="J351" s="6"/>
      <c r="K351" s="25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2"/>
      <c r="W351" s="2"/>
      <c r="X351" s="2"/>
    </row>
    <row r="352" spans="5:24">
      <c r="E352" s="1"/>
      <c r="F352" s="1"/>
      <c r="G352" s="1"/>
      <c r="H352" s="25"/>
      <c r="I352" s="25"/>
      <c r="J352" s="6"/>
      <c r="K352" s="25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2"/>
      <c r="W352" s="2"/>
      <c r="X352" s="2"/>
    </row>
    <row r="353" spans="5:24">
      <c r="E353" s="1"/>
      <c r="F353" s="1"/>
      <c r="G353" s="1"/>
      <c r="H353" s="25"/>
      <c r="I353" s="25"/>
      <c r="J353" s="6"/>
      <c r="K353" s="25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2"/>
      <c r="W353" s="2"/>
      <c r="X353" s="2"/>
    </row>
    <row r="354" spans="5:24">
      <c r="E354" s="1"/>
      <c r="F354" s="1"/>
      <c r="G354" s="1"/>
      <c r="H354" s="25"/>
      <c r="I354" s="25"/>
      <c r="J354" s="6"/>
      <c r="K354" s="25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2"/>
      <c r="W354" s="2"/>
      <c r="X354" s="2"/>
    </row>
    <row r="355" spans="5:24">
      <c r="E355" s="1"/>
      <c r="F355" s="1"/>
      <c r="G355" s="1"/>
      <c r="H355" s="25"/>
      <c r="I355" s="25"/>
      <c r="J355" s="6"/>
      <c r="K355" s="25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2"/>
      <c r="W355" s="2"/>
      <c r="X355" s="2"/>
    </row>
    <row r="356" spans="5:24">
      <c r="E356" s="1"/>
      <c r="F356" s="1"/>
      <c r="G356" s="1"/>
      <c r="H356" s="25"/>
      <c r="I356" s="25"/>
      <c r="J356" s="6"/>
      <c r="K356" s="25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2"/>
      <c r="W356" s="2"/>
      <c r="X356" s="2"/>
    </row>
    <row r="357" spans="5:24">
      <c r="E357" s="1"/>
      <c r="F357" s="1"/>
      <c r="G357" s="1"/>
      <c r="H357" s="25"/>
      <c r="I357" s="25"/>
      <c r="J357" s="6"/>
      <c r="K357" s="25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2"/>
      <c r="W357" s="2"/>
      <c r="X357" s="2"/>
    </row>
    <row r="358" spans="5:24">
      <c r="E358" s="1"/>
      <c r="F358" s="1"/>
      <c r="G358" s="1"/>
      <c r="H358" s="25"/>
      <c r="I358" s="25"/>
      <c r="J358" s="6"/>
      <c r="K358" s="25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2"/>
      <c r="W358" s="2"/>
      <c r="X358" s="2"/>
    </row>
    <row r="359" spans="5:24">
      <c r="E359" s="1"/>
      <c r="F359" s="1"/>
      <c r="G359" s="1"/>
      <c r="H359" s="25"/>
      <c r="I359" s="25"/>
      <c r="J359" s="6"/>
      <c r="K359" s="25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2"/>
      <c r="W359" s="2"/>
      <c r="X359" s="2"/>
    </row>
    <row r="360" spans="5:24">
      <c r="E360" s="1"/>
      <c r="F360" s="1"/>
      <c r="G360" s="1"/>
      <c r="H360" s="25"/>
      <c r="I360" s="25"/>
      <c r="J360" s="6"/>
      <c r="K360" s="25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2"/>
      <c r="W360" s="2"/>
      <c r="X360" s="2"/>
    </row>
    <row r="361" spans="5:24">
      <c r="E361" s="1"/>
      <c r="F361" s="1"/>
      <c r="G361" s="1"/>
      <c r="H361" s="25"/>
      <c r="I361" s="25"/>
      <c r="J361" s="6"/>
      <c r="K361" s="25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2"/>
      <c r="W361" s="2"/>
      <c r="X361" s="2"/>
    </row>
    <row r="362" spans="5:24">
      <c r="E362" s="1"/>
      <c r="F362" s="1"/>
      <c r="G362" s="1"/>
      <c r="H362" s="25"/>
      <c r="I362" s="25"/>
      <c r="J362" s="6"/>
      <c r="K362" s="25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2"/>
      <c r="W362" s="2"/>
      <c r="X362" s="2"/>
    </row>
    <row r="363" spans="5:24">
      <c r="E363" s="1"/>
      <c r="F363" s="1"/>
      <c r="G363" s="1"/>
      <c r="H363" s="25"/>
      <c r="I363" s="25"/>
      <c r="J363" s="6"/>
      <c r="K363" s="25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2"/>
      <c r="W363" s="2"/>
      <c r="X363" s="2"/>
    </row>
    <row r="364" spans="5:24">
      <c r="E364" s="1"/>
      <c r="F364" s="1"/>
      <c r="G364" s="1"/>
      <c r="H364" s="25"/>
      <c r="I364" s="25"/>
      <c r="J364" s="6"/>
      <c r="K364" s="25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2"/>
      <c r="W364" s="2"/>
      <c r="X364" s="2"/>
    </row>
    <row r="365" spans="5:24">
      <c r="E365" s="1"/>
      <c r="F365" s="1"/>
      <c r="G365" s="1"/>
      <c r="H365" s="25"/>
      <c r="I365" s="25"/>
      <c r="J365" s="6"/>
      <c r="K365" s="25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2"/>
      <c r="W365" s="2"/>
      <c r="X365" s="2"/>
    </row>
    <row r="366" spans="5:24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2"/>
      <c r="W366" s="2"/>
      <c r="X366" s="2"/>
    </row>
    <row r="367" spans="5:24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2"/>
      <c r="W367" s="2"/>
      <c r="X367" s="2"/>
    </row>
    <row r="368" spans="5:24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2"/>
      <c r="W368" s="2"/>
      <c r="X368" s="2"/>
    </row>
    <row r="369" spans="5:24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2"/>
      <c r="W369" s="2"/>
      <c r="X369" s="2"/>
    </row>
    <row r="370" spans="5:24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2"/>
      <c r="W370" s="2"/>
      <c r="X370" s="2"/>
    </row>
    <row r="371" spans="5:24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2"/>
      <c r="W371" s="2"/>
      <c r="X371" s="2"/>
    </row>
    <row r="372" spans="5:24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2"/>
      <c r="W372" s="2"/>
      <c r="X372" s="2"/>
    </row>
    <row r="373" spans="5:24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2"/>
      <c r="W373" s="2"/>
      <c r="X373" s="2"/>
    </row>
    <row r="374" spans="5:24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2"/>
      <c r="W374" s="2"/>
      <c r="X374" s="2"/>
    </row>
    <row r="375" spans="5:24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2"/>
      <c r="W375" s="2"/>
      <c r="X375" s="2"/>
    </row>
    <row r="376" spans="5:24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2"/>
      <c r="W376" s="2"/>
      <c r="X376" s="2"/>
    </row>
    <row r="377" spans="5:24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2"/>
      <c r="W377" s="2"/>
      <c r="X377" s="2"/>
    </row>
    <row r="378" spans="5:24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2"/>
      <c r="W378" s="2"/>
      <c r="X378" s="2"/>
    </row>
    <row r="379" spans="5:24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2"/>
      <c r="W379" s="2"/>
      <c r="X379" s="2"/>
    </row>
    <row r="380" spans="5:24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2"/>
      <c r="W380" s="2"/>
      <c r="X380" s="2"/>
    </row>
    <row r="381" spans="5:24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2"/>
      <c r="W381" s="2"/>
      <c r="X381" s="2"/>
    </row>
    <row r="382" spans="5:24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2"/>
      <c r="W382" s="2"/>
      <c r="X382" s="2"/>
    </row>
    <row r="383" spans="5:24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2"/>
      <c r="W383" s="2"/>
      <c r="X383" s="2"/>
    </row>
    <row r="384" spans="5:24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2"/>
      <c r="W384" s="2"/>
      <c r="X384" s="2"/>
    </row>
    <row r="385" spans="5:24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2"/>
      <c r="W385" s="2"/>
      <c r="X385" s="2"/>
    </row>
    <row r="386" spans="5:24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2"/>
      <c r="W386" s="2"/>
      <c r="X386" s="2"/>
    </row>
    <row r="387" spans="5:24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2"/>
      <c r="W387" s="2"/>
      <c r="X387" s="2"/>
    </row>
    <row r="388" spans="5:24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2"/>
      <c r="W388" s="2"/>
      <c r="X388" s="2"/>
    </row>
    <row r="389" spans="5:24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2"/>
      <c r="W389" s="2"/>
      <c r="X389" s="2"/>
    </row>
    <row r="390" spans="5:24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2"/>
      <c r="W390" s="2"/>
      <c r="X390" s="2"/>
    </row>
    <row r="391" spans="5:24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2"/>
      <c r="W391" s="2"/>
      <c r="X391" s="2"/>
    </row>
    <row r="392" spans="5:24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2"/>
      <c r="W392" s="2"/>
      <c r="X392" s="2"/>
    </row>
    <row r="393" spans="5:24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2"/>
      <c r="W393" s="2"/>
      <c r="X393" s="2"/>
    </row>
    <row r="394" spans="5:24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2"/>
      <c r="W394" s="2"/>
      <c r="X394" s="2"/>
    </row>
    <row r="395" spans="5:24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2"/>
      <c r="W395" s="2"/>
      <c r="X395" s="2"/>
    </row>
    <row r="396" spans="5:24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2"/>
      <c r="W396" s="2"/>
      <c r="X396" s="2"/>
    </row>
    <row r="397" spans="5:24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2"/>
      <c r="W397" s="2"/>
      <c r="X397" s="2"/>
    </row>
    <row r="398" spans="5:24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2"/>
      <c r="W398" s="2"/>
      <c r="X398" s="2"/>
    </row>
    <row r="399" spans="5:24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2"/>
      <c r="W399" s="2"/>
      <c r="X399" s="2"/>
    </row>
    <row r="400" spans="5:24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2"/>
      <c r="W400" s="2"/>
      <c r="X400" s="2"/>
    </row>
    <row r="401" spans="5:24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2"/>
      <c r="W401" s="2"/>
      <c r="X401" s="2"/>
    </row>
    <row r="402" spans="5:24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2"/>
      <c r="W402" s="2"/>
      <c r="X402" s="2"/>
    </row>
    <row r="403" spans="5:24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2"/>
      <c r="W403" s="2"/>
      <c r="X403" s="2"/>
    </row>
    <row r="404" spans="5:24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2"/>
      <c r="W404" s="2"/>
      <c r="X404" s="2"/>
    </row>
    <row r="405" spans="5:24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2"/>
      <c r="W405" s="2"/>
      <c r="X405" s="2"/>
    </row>
    <row r="406" spans="5:24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2"/>
      <c r="W406" s="2"/>
      <c r="X406" s="2"/>
    </row>
    <row r="407" spans="5:24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2"/>
      <c r="W407" s="2"/>
      <c r="X407" s="2"/>
    </row>
    <row r="408" spans="5:24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2"/>
      <c r="W408" s="2"/>
      <c r="X408" s="2"/>
    </row>
    <row r="409" spans="5:24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2"/>
      <c r="W409" s="2"/>
      <c r="X409" s="2"/>
    </row>
    <row r="410" spans="5:24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2"/>
      <c r="W410" s="2"/>
      <c r="X410" s="2"/>
    </row>
    <row r="411" spans="5:24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2"/>
      <c r="W411" s="2"/>
      <c r="X411" s="2"/>
    </row>
    <row r="412" spans="5:24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2"/>
      <c r="W412" s="2"/>
      <c r="X412" s="2"/>
    </row>
    <row r="413" spans="5:24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2"/>
      <c r="W413" s="2"/>
      <c r="X413" s="2"/>
    </row>
    <row r="414" spans="5:24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2"/>
      <c r="W414" s="2"/>
      <c r="X414" s="2"/>
    </row>
    <row r="415" spans="5:24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2"/>
      <c r="W415" s="2"/>
      <c r="X415" s="2"/>
    </row>
    <row r="416" spans="5:24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2"/>
      <c r="W416" s="2"/>
      <c r="X416" s="2"/>
    </row>
    <row r="417" spans="5:24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2"/>
      <c r="W417" s="2"/>
      <c r="X417" s="2"/>
    </row>
    <row r="418" spans="5:24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2"/>
      <c r="W418" s="2"/>
      <c r="X418" s="2"/>
    </row>
    <row r="419" spans="5:24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2"/>
      <c r="W419" s="2"/>
      <c r="X419" s="2"/>
    </row>
    <row r="420" spans="5:24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2"/>
      <c r="W420" s="2"/>
      <c r="X420" s="2"/>
    </row>
    <row r="421" spans="5:24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2"/>
      <c r="W421" s="2"/>
      <c r="X421" s="2"/>
    </row>
    <row r="422" spans="5:24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2"/>
      <c r="W422" s="2"/>
      <c r="X422" s="2"/>
    </row>
    <row r="423" spans="5:24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2"/>
      <c r="W423" s="2"/>
      <c r="X423" s="2"/>
    </row>
    <row r="424" spans="5:24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2"/>
      <c r="W424" s="2"/>
      <c r="X424" s="2"/>
    </row>
    <row r="425" spans="5:24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2"/>
      <c r="W425" s="2"/>
      <c r="X425" s="2"/>
    </row>
    <row r="426" spans="5:24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2"/>
      <c r="W426" s="2"/>
      <c r="X426" s="2"/>
    </row>
    <row r="427" spans="5:24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2"/>
      <c r="W427" s="2"/>
      <c r="X427" s="2"/>
    </row>
    <row r="428" spans="5:24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2"/>
      <c r="W428" s="2"/>
      <c r="X428" s="2"/>
    </row>
    <row r="429" spans="5:24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2"/>
      <c r="W429" s="2"/>
      <c r="X429" s="2"/>
    </row>
    <row r="430" spans="5:24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2"/>
      <c r="W430" s="2"/>
      <c r="X430" s="2"/>
    </row>
    <row r="431" spans="5:24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2"/>
      <c r="W431" s="2"/>
      <c r="X431" s="2"/>
    </row>
    <row r="432" spans="5:24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2"/>
      <c r="W432" s="2"/>
      <c r="X432" s="2"/>
    </row>
    <row r="433" spans="5:24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2"/>
      <c r="W433" s="2"/>
      <c r="X433" s="2"/>
    </row>
    <row r="434" spans="5:24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2"/>
      <c r="W434" s="2"/>
      <c r="X434" s="2"/>
    </row>
    <row r="435" spans="5:24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2"/>
      <c r="W435" s="2"/>
      <c r="X435" s="2"/>
    </row>
    <row r="436" spans="5:24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2"/>
      <c r="W436" s="2"/>
      <c r="X436" s="2"/>
    </row>
    <row r="437" spans="5:24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2"/>
      <c r="W437" s="2"/>
      <c r="X437" s="2"/>
    </row>
    <row r="438" spans="5:24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2"/>
      <c r="W438" s="2"/>
      <c r="X438" s="2"/>
    </row>
    <row r="439" spans="5:24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2"/>
      <c r="W439" s="2"/>
      <c r="X439" s="2"/>
    </row>
    <row r="440" spans="5:24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2"/>
      <c r="W440" s="2"/>
      <c r="X440" s="2"/>
    </row>
    <row r="441" spans="5:24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2"/>
      <c r="W441" s="2"/>
      <c r="X441" s="2"/>
    </row>
    <row r="442" spans="5:24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2"/>
      <c r="W442" s="2"/>
      <c r="X442" s="2"/>
    </row>
    <row r="443" spans="5:24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2"/>
      <c r="W443" s="2"/>
      <c r="X443" s="2"/>
    </row>
    <row r="444" spans="5:24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2"/>
      <c r="W444" s="2"/>
      <c r="X444" s="2"/>
    </row>
    <row r="445" spans="5:24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2"/>
      <c r="W445" s="2"/>
      <c r="X445" s="2"/>
    </row>
    <row r="446" spans="5:24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2"/>
      <c r="W446" s="2"/>
      <c r="X446" s="2"/>
    </row>
    <row r="447" spans="5:24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2"/>
      <c r="W447" s="2"/>
      <c r="X447" s="2"/>
    </row>
    <row r="448" spans="5:24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2"/>
      <c r="W448" s="2"/>
      <c r="X448" s="2"/>
    </row>
    <row r="449" spans="5:24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2"/>
      <c r="W449" s="2"/>
      <c r="X449" s="2"/>
    </row>
    <row r="450" spans="5:24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2"/>
      <c r="W450" s="2"/>
      <c r="X450" s="2"/>
    </row>
    <row r="451" spans="5:24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2"/>
      <c r="W451" s="2"/>
      <c r="X451" s="2"/>
    </row>
    <row r="452" spans="5:24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2"/>
      <c r="W452" s="2"/>
      <c r="X452" s="2"/>
    </row>
    <row r="453" spans="5:24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2"/>
      <c r="W453" s="2"/>
      <c r="X453" s="2"/>
    </row>
    <row r="454" spans="5:24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2"/>
      <c r="W454" s="2"/>
      <c r="X454" s="2"/>
    </row>
    <row r="455" spans="5:24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2"/>
      <c r="W455" s="2"/>
      <c r="X455" s="2"/>
    </row>
    <row r="456" spans="5:24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2"/>
      <c r="W456" s="2"/>
      <c r="X456" s="2"/>
    </row>
    <row r="457" spans="5:24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2"/>
      <c r="W457" s="2"/>
      <c r="X457" s="2"/>
    </row>
    <row r="458" spans="5:24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2"/>
      <c r="W458" s="2"/>
      <c r="X458" s="2"/>
    </row>
    <row r="459" spans="5:24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2"/>
      <c r="W459" s="2"/>
      <c r="X459" s="2"/>
    </row>
    <row r="460" spans="5:24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2"/>
      <c r="W460" s="2"/>
      <c r="X460" s="2"/>
    </row>
    <row r="461" spans="5:24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2"/>
      <c r="W461" s="2"/>
      <c r="X461" s="2"/>
    </row>
    <row r="462" spans="5:24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2"/>
      <c r="W462" s="2"/>
      <c r="X462" s="2"/>
    </row>
    <row r="463" spans="5:24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2"/>
      <c r="W463" s="2"/>
      <c r="X463" s="2"/>
    </row>
    <row r="464" spans="5:24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2"/>
      <c r="W464" s="2"/>
      <c r="X464" s="2"/>
    </row>
    <row r="465" spans="5:24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2"/>
      <c r="W465" s="2"/>
      <c r="X465" s="2"/>
    </row>
    <row r="466" spans="5:24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2"/>
      <c r="W466" s="2"/>
      <c r="X466" s="2"/>
    </row>
    <row r="467" spans="5:24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2"/>
      <c r="W467" s="2"/>
      <c r="X467" s="2"/>
    </row>
    <row r="468" spans="5:24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2"/>
      <c r="W468" s="2"/>
      <c r="X468" s="2"/>
    </row>
    <row r="469" spans="5:24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2"/>
      <c r="W469" s="2"/>
      <c r="X469" s="2"/>
    </row>
    <row r="470" spans="5:24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2"/>
      <c r="W470" s="2"/>
      <c r="X470" s="2"/>
    </row>
    <row r="471" spans="5:24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2"/>
      <c r="W471" s="2"/>
      <c r="X471" s="2"/>
    </row>
    <row r="472" spans="5:24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2"/>
      <c r="W472" s="2"/>
      <c r="X472" s="2"/>
    </row>
    <row r="473" spans="5:24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2"/>
      <c r="W473" s="2"/>
      <c r="X473" s="2"/>
    </row>
    <row r="474" spans="5:24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4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4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4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4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4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4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7:7">
      <c r="G1601" s="1"/>
    </row>
  </sheetData>
  <protectedRanges>
    <protectedRange sqref="H5:I23 K5:K23 H26:H28 K31:K34 H29:I35 H36:H40" name="Rango1_1"/>
    <protectedRange sqref="H24:K25 I26:K28 J29:K30 J31:J40" name="Rango1_1_1"/>
    <protectedRange sqref="E24:E40" name="Rango1_1_1_1"/>
  </protectedRanges>
  <autoFilter ref="A4:DI4"/>
  <mergeCells count="18">
    <mergeCell ref="N3:O3"/>
    <mergeCell ref="P3:Q3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</mergeCells>
  <phoneticPr fontId="0" type="noConversion"/>
  <conditionalFormatting sqref="E5:F14">
    <cfRule type="expression" dxfId="72" priority="119" stopIfTrue="1">
      <formula>"SEVERSTAL"</formula>
    </cfRule>
  </conditionalFormatting>
  <conditionalFormatting sqref="H18:I18 H5:I10 H16:H17 K5:K18 K20:K23 H20:I23 K31 H26:H28 H29:I31 K33:K34 H33:H38">
    <cfRule type="cellIs" dxfId="71" priority="120" stopIfTrue="1" operator="equal">
      <formula>"APROBADO"</formula>
    </cfRule>
    <cfRule type="cellIs" dxfId="70" priority="121" stopIfTrue="1" operator="equal">
      <formula>"ESPERA"</formula>
    </cfRule>
    <cfRule type="cellIs" dxfId="69" priority="122" stopIfTrue="1" operator="equal">
      <formula>"RECHAZADO"</formula>
    </cfRule>
  </conditionalFormatting>
  <conditionalFormatting sqref="E16:F18 E20:E23">
    <cfRule type="expression" dxfId="68" priority="60" stopIfTrue="1">
      <formula>"SEVERSTAL"</formula>
    </cfRule>
  </conditionalFormatting>
  <conditionalFormatting sqref="H11:I14">
    <cfRule type="cellIs" dxfId="67" priority="49" stopIfTrue="1" operator="equal">
      <formula>"APROBADO"</formula>
    </cfRule>
    <cfRule type="cellIs" dxfId="66" priority="50" stopIfTrue="1" operator="equal">
      <formula>"ESPERA"</formula>
    </cfRule>
    <cfRule type="cellIs" dxfId="65" priority="51" stopIfTrue="1" operator="equal">
      <formula>"RECHAZADO"</formula>
    </cfRule>
  </conditionalFormatting>
  <conditionalFormatting sqref="E15:F15">
    <cfRule type="expression" dxfId="64" priority="48" stopIfTrue="1">
      <formula>"SEVERSTAL"</formula>
    </cfRule>
  </conditionalFormatting>
  <conditionalFormatting sqref="H15:I15 I16:I17">
    <cfRule type="cellIs" dxfId="63" priority="45" stopIfTrue="1" operator="equal">
      <formula>"APROBADO"</formula>
    </cfRule>
    <cfRule type="cellIs" dxfId="62" priority="46" stopIfTrue="1" operator="equal">
      <formula>"ESPERA"</formula>
    </cfRule>
    <cfRule type="cellIs" dxfId="61" priority="47" stopIfTrue="1" operator="equal">
      <formula>"RECHAZADO"</formula>
    </cfRule>
  </conditionalFormatting>
  <conditionalFormatting sqref="H19:I19 K19">
    <cfRule type="cellIs" dxfId="60" priority="42" stopIfTrue="1" operator="equal">
      <formula>"APROBADO"</formula>
    </cfRule>
    <cfRule type="cellIs" dxfId="59" priority="43" stopIfTrue="1" operator="equal">
      <formula>"ESPERA"</formula>
    </cfRule>
    <cfRule type="cellIs" dxfId="58" priority="44" stopIfTrue="1" operator="equal">
      <formula>"RECHAZADO"</formula>
    </cfRule>
  </conditionalFormatting>
  <conditionalFormatting sqref="E19:F19 F20:F23">
    <cfRule type="expression" dxfId="57" priority="41" stopIfTrue="1">
      <formula>"SEVERSTAL"</formula>
    </cfRule>
  </conditionalFormatting>
  <conditionalFormatting sqref="H24:I25 I26:I28 K24:K30">
    <cfRule type="cellIs" dxfId="56" priority="38" stopIfTrue="1" operator="equal">
      <formula>"APROBADO"</formula>
    </cfRule>
    <cfRule type="cellIs" dxfId="55" priority="39" stopIfTrue="1" operator="equal">
      <formula>"ESPERA"</formula>
    </cfRule>
    <cfRule type="cellIs" dxfId="54" priority="40" stopIfTrue="1" operator="equal">
      <formula>"RECHAZADO"</formula>
    </cfRule>
  </conditionalFormatting>
  <conditionalFormatting sqref="E24:E31">
    <cfRule type="expression" dxfId="53" priority="37" stopIfTrue="1">
      <formula>"SEVERSTAL"</formula>
    </cfRule>
  </conditionalFormatting>
  <conditionalFormatting sqref="F24:F31">
    <cfRule type="expression" dxfId="52" priority="36" stopIfTrue="1">
      <formula>"SEVERSTAL"</formula>
    </cfRule>
  </conditionalFormatting>
  <conditionalFormatting sqref="J24:J31">
    <cfRule type="cellIs" dxfId="51" priority="33" stopIfTrue="1" operator="equal">
      <formula>"APROBADO"</formula>
    </cfRule>
    <cfRule type="cellIs" dxfId="50" priority="34" stopIfTrue="1" operator="equal">
      <formula>"ESPERA"</formula>
    </cfRule>
    <cfRule type="cellIs" dxfId="49" priority="35" stopIfTrue="1" operator="equal">
      <formula>"RECHAZADO"</formula>
    </cfRule>
  </conditionalFormatting>
  <conditionalFormatting sqref="K32 H32:I32 I33:I35">
    <cfRule type="cellIs" dxfId="48" priority="30" stopIfTrue="1" operator="equal">
      <formula>"APROBADO"</formula>
    </cfRule>
    <cfRule type="cellIs" dxfId="47" priority="31" stopIfTrue="1" operator="equal">
      <formula>"ESPERA"</formula>
    </cfRule>
    <cfRule type="cellIs" dxfId="46" priority="32" stopIfTrue="1" operator="equal">
      <formula>"RECHAZADO"</formula>
    </cfRule>
  </conditionalFormatting>
  <conditionalFormatting sqref="E32:E37">
    <cfRule type="expression" dxfId="45" priority="29" stopIfTrue="1">
      <formula>"SEVERSTAL"</formula>
    </cfRule>
  </conditionalFormatting>
  <conditionalFormatting sqref="F32:F37">
    <cfRule type="expression" dxfId="44" priority="28" stopIfTrue="1">
      <formula>"SEVERSTAL"</formula>
    </cfRule>
  </conditionalFormatting>
  <conditionalFormatting sqref="J32:J37">
    <cfRule type="cellIs" dxfId="43" priority="25" stopIfTrue="1" operator="equal">
      <formula>"APROBADO"</formula>
    </cfRule>
    <cfRule type="cellIs" dxfId="42" priority="26" stopIfTrue="1" operator="equal">
      <formula>"ESPERA"</formula>
    </cfRule>
    <cfRule type="cellIs" dxfId="41" priority="27" stopIfTrue="1" operator="equal">
      <formula>"RECHAZADO"</formula>
    </cfRule>
  </conditionalFormatting>
  <conditionalFormatting sqref="E38">
    <cfRule type="expression" dxfId="40" priority="21" stopIfTrue="1">
      <formula>"SEVERSTAL"</formula>
    </cfRule>
  </conditionalFormatting>
  <conditionalFormatting sqref="F38">
    <cfRule type="expression" dxfId="39" priority="20" stopIfTrue="1">
      <formula>"SEVERSTAL"</formula>
    </cfRule>
  </conditionalFormatting>
  <conditionalFormatting sqref="J38">
    <cfRule type="cellIs" dxfId="38" priority="17" stopIfTrue="1" operator="equal">
      <formula>"APROBADO"</formula>
    </cfRule>
    <cfRule type="cellIs" dxfId="37" priority="18" stopIfTrue="1" operator="equal">
      <formula>"ESPERA"</formula>
    </cfRule>
    <cfRule type="cellIs" dxfId="36" priority="19" stopIfTrue="1" operator="equal">
      <formula>"RECHAZADO"</formula>
    </cfRule>
  </conditionalFormatting>
  <conditionalFormatting sqref="H39">
    <cfRule type="cellIs" dxfId="35" priority="14" stopIfTrue="1" operator="equal">
      <formula>"APROBADO"</formula>
    </cfRule>
    <cfRule type="cellIs" dxfId="34" priority="15" stopIfTrue="1" operator="equal">
      <formula>"ESPERA"</formula>
    </cfRule>
    <cfRule type="cellIs" dxfId="33" priority="16" stopIfTrue="1" operator="equal">
      <formula>"RECHAZADO"</formula>
    </cfRule>
  </conditionalFormatting>
  <conditionalFormatting sqref="E39">
    <cfRule type="expression" dxfId="32" priority="13" stopIfTrue="1">
      <formula>"SEVERSTAL"</formula>
    </cfRule>
  </conditionalFormatting>
  <conditionalFormatting sqref="F39">
    <cfRule type="expression" dxfId="31" priority="12" stopIfTrue="1">
      <formula>"SEVERSTAL"</formula>
    </cfRule>
  </conditionalFormatting>
  <conditionalFormatting sqref="J39">
    <cfRule type="cellIs" dxfId="30" priority="9" stopIfTrue="1" operator="equal">
      <formula>"APROBADO"</formula>
    </cfRule>
    <cfRule type="cellIs" dxfId="29" priority="10" stopIfTrue="1" operator="equal">
      <formula>"ESPERA"</formula>
    </cfRule>
    <cfRule type="cellIs" dxfId="28" priority="11" stopIfTrue="1" operator="equal">
      <formula>"RECHAZADO"</formula>
    </cfRule>
  </conditionalFormatting>
  <conditionalFormatting sqref="H40">
    <cfRule type="cellIs" dxfId="27" priority="6" stopIfTrue="1" operator="equal">
      <formula>"APROBADO"</formula>
    </cfRule>
    <cfRule type="cellIs" dxfId="26" priority="7" stopIfTrue="1" operator="equal">
      <formula>"ESPERA"</formula>
    </cfRule>
    <cfRule type="cellIs" dxfId="25" priority="8" stopIfTrue="1" operator="equal">
      <formula>"RECHAZADO"</formula>
    </cfRule>
  </conditionalFormatting>
  <conditionalFormatting sqref="E40">
    <cfRule type="expression" dxfId="24" priority="5" stopIfTrue="1">
      <formula>"SEVERSTAL"</formula>
    </cfRule>
  </conditionalFormatting>
  <conditionalFormatting sqref="F40">
    <cfRule type="expression" dxfId="23" priority="4" stopIfTrue="1">
      <formula>"SEVERSTAL"</formula>
    </cfRule>
  </conditionalFormatting>
  <conditionalFormatting sqref="J40">
    <cfRule type="cellIs" dxfId="22" priority="1" stopIfTrue="1" operator="equal">
      <formula>"APROBADO"</formula>
    </cfRule>
    <cfRule type="cellIs" dxfId="21" priority="2" stopIfTrue="1" operator="equal">
      <formula>"ESPERA"</formula>
    </cfRule>
    <cfRule type="cellIs" dxfId="2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90"/>
  <sheetViews>
    <sheetView showGridLines="0" zoomScale="90" zoomScaleNormal="90" workbookViewId="0">
      <pane xSplit="7" ySplit="6" topLeftCell="H1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1" customWidth="1"/>
    <col min="2" max="2" width="7.125" style="31" customWidth="1"/>
    <col min="3" max="3" width="12.875" style="31" customWidth="1"/>
    <col min="4" max="4" width="10" style="31" customWidth="1"/>
    <col min="5" max="5" width="8.125" style="43" customWidth="1"/>
    <col min="6" max="6" width="9" style="31" customWidth="1"/>
    <col min="7" max="7" width="8.75" style="31" customWidth="1"/>
    <col min="8" max="8" width="12.75" style="134" customWidth="1"/>
    <col min="9" max="21" width="7.625" style="31" customWidth="1"/>
    <col min="22" max="22" width="10.25" style="31" customWidth="1"/>
    <col min="23" max="23" width="6.625" style="31" customWidth="1"/>
    <col min="24" max="24" width="8.375" style="31" customWidth="1"/>
    <col min="25" max="30" width="6.625" style="31" customWidth="1"/>
    <col min="31" max="31" width="6.625" customWidth="1"/>
    <col min="32" max="32" width="7.5" style="43" customWidth="1"/>
    <col min="33" max="16384" width="11" style="31"/>
  </cols>
  <sheetData>
    <row r="1" spans="1:32" ht="27" customHeight="1">
      <c r="A1" s="30"/>
      <c r="B1" s="30"/>
      <c r="C1" s="30"/>
      <c r="D1" s="30"/>
      <c r="E1" s="30"/>
      <c r="F1" s="30"/>
      <c r="G1" s="30" t="s">
        <v>54</v>
      </c>
      <c r="H1" s="131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1"/>
      <c r="AF1" s="30"/>
    </row>
    <row r="2" spans="1:32" ht="30.75">
      <c r="B2" s="32"/>
      <c r="C2" s="32"/>
      <c r="D2" s="32"/>
      <c r="E2" s="30"/>
      <c r="F2" s="33"/>
      <c r="G2" s="33"/>
      <c r="H2" s="132"/>
      <c r="I2" s="34"/>
      <c r="J2" s="35" t="s">
        <v>91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0"/>
      <c r="W2" s="30"/>
      <c r="X2" s="30"/>
      <c r="Y2" s="30"/>
      <c r="Z2" s="30"/>
      <c r="AA2" s="30"/>
      <c r="AB2" s="30"/>
      <c r="AC2" s="30"/>
      <c r="AD2" s="30"/>
      <c r="AE2" s="212" t="s">
        <v>107</v>
      </c>
      <c r="AF2" s="30"/>
    </row>
    <row r="3" spans="1:32" ht="16.5" customHeight="1">
      <c r="A3" s="36"/>
      <c r="B3" s="36"/>
      <c r="C3" s="36"/>
      <c r="D3" s="36"/>
      <c r="E3" s="45"/>
      <c r="F3" s="213"/>
      <c r="G3" s="213"/>
      <c r="H3" s="133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0"/>
      <c r="W3" s="30"/>
      <c r="X3" s="30"/>
      <c r="Y3" s="142"/>
      <c r="Z3" s="143"/>
      <c r="AA3" s="143"/>
      <c r="AB3" s="144" t="s">
        <v>102</v>
      </c>
      <c r="AC3" s="144" t="s">
        <v>103</v>
      </c>
      <c r="AD3" s="144" t="s">
        <v>104</v>
      </c>
      <c r="AE3" s="212"/>
      <c r="AF3" s="30"/>
    </row>
    <row r="4" spans="1:32" ht="26.25" customHeight="1">
      <c r="E4" s="31"/>
      <c r="F4" s="37"/>
      <c r="I4" s="215" t="s">
        <v>55</v>
      </c>
      <c r="J4" s="215"/>
      <c r="K4" s="215"/>
      <c r="L4" s="215"/>
      <c r="M4" s="215"/>
      <c r="N4" s="215"/>
      <c r="O4" s="215"/>
      <c r="P4" s="214" t="s">
        <v>56</v>
      </c>
      <c r="Q4" s="214"/>
      <c r="R4" s="214"/>
      <c r="S4" s="214"/>
      <c r="T4" s="214"/>
      <c r="U4" s="117"/>
      <c r="V4" s="30"/>
      <c r="W4" s="30"/>
      <c r="X4" s="30"/>
      <c r="Y4" s="145"/>
      <c r="Z4" s="145"/>
      <c r="AA4" s="146" t="s">
        <v>105</v>
      </c>
      <c r="AB4" s="147">
        <v>200</v>
      </c>
      <c r="AC4" s="148">
        <f>22*AB4/60</f>
        <v>73.333333333333329</v>
      </c>
      <c r="AD4" s="148">
        <f>3600/AB4</f>
        <v>18</v>
      </c>
      <c r="AE4" s="149">
        <f>AD4*8</f>
        <v>144</v>
      </c>
      <c r="AF4" s="30"/>
    </row>
    <row r="5" spans="1:32" ht="21" customHeight="1">
      <c r="A5" s="38"/>
      <c r="E5" s="31"/>
      <c r="F5" s="39"/>
      <c r="G5" s="40"/>
      <c r="H5" s="133"/>
      <c r="I5" s="217" t="s">
        <v>8</v>
      </c>
      <c r="J5" s="218"/>
      <c r="K5" s="216" t="s">
        <v>9</v>
      </c>
      <c r="L5" s="217"/>
      <c r="M5" s="217"/>
      <c r="N5" s="217"/>
      <c r="O5" s="218"/>
      <c r="P5" s="216" t="s">
        <v>13</v>
      </c>
      <c r="Q5" s="218"/>
      <c r="R5" s="216" t="s">
        <v>9</v>
      </c>
      <c r="S5" s="217"/>
      <c r="T5" s="217"/>
      <c r="U5" s="118"/>
      <c r="V5" s="41"/>
      <c r="W5" s="30"/>
      <c r="X5" s="30"/>
      <c r="Y5" s="145"/>
      <c r="Z5" s="145"/>
      <c r="AA5" s="146" t="s">
        <v>106</v>
      </c>
      <c r="AB5" s="147">
        <f>AB4</f>
        <v>200</v>
      </c>
      <c r="AC5" s="148">
        <f>34*AB5/60</f>
        <v>113.33333333333333</v>
      </c>
      <c r="AD5" s="148">
        <f>3600/AB5</f>
        <v>18</v>
      </c>
      <c r="AE5" s="149">
        <f>AD5*8</f>
        <v>144</v>
      </c>
      <c r="AF5" s="30"/>
    </row>
    <row r="6" spans="1:32" s="129" customFormat="1" ht="56.25" customHeight="1">
      <c r="A6" s="29" t="s">
        <v>1</v>
      </c>
      <c r="B6" s="29" t="s">
        <v>4</v>
      </c>
      <c r="C6" s="29" t="s">
        <v>57</v>
      </c>
      <c r="D6" s="29" t="s">
        <v>120</v>
      </c>
      <c r="E6" s="29" t="s">
        <v>3</v>
      </c>
      <c r="F6" s="29" t="s">
        <v>5</v>
      </c>
      <c r="G6" s="29" t="s">
        <v>12</v>
      </c>
      <c r="H6" s="135" t="s">
        <v>68</v>
      </c>
      <c r="I6" s="29" t="s">
        <v>7</v>
      </c>
      <c r="J6" s="29" t="s">
        <v>61</v>
      </c>
      <c r="K6" s="29" t="s">
        <v>60</v>
      </c>
      <c r="L6" s="29" t="s">
        <v>10</v>
      </c>
      <c r="M6" s="29" t="s">
        <v>11</v>
      </c>
      <c r="N6" s="29" t="s">
        <v>16</v>
      </c>
      <c r="O6" s="29" t="s">
        <v>62</v>
      </c>
      <c r="P6" s="29" t="s">
        <v>63</v>
      </c>
      <c r="Q6" s="29" t="s">
        <v>7</v>
      </c>
      <c r="R6" s="29" t="s">
        <v>10</v>
      </c>
      <c r="S6" s="29" t="s">
        <v>11</v>
      </c>
      <c r="T6" s="29" t="s">
        <v>64</v>
      </c>
      <c r="U6" s="29" t="s">
        <v>60</v>
      </c>
      <c r="V6" s="29" t="s">
        <v>0</v>
      </c>
      <c r="W6" s="29" t="s">
        <v>6</v>
      </c>
      <c r="X6" s="29" t="s">
        <v>108</v>
      </c>
      <c r="Y6" s="29" t="s">
        <v>59</v>
      </c>
      <c r="Z6" s="29" t="s">
        <v>85</v>
      </c>
      <c r="AA6" s="29" t="s">
        <v>67</v>
      </c>
      <c r="AB6" s="29" t="s">
        <v>58</v>
      </c>
      <c r="AC6" s="29" t="s">
        <v>101</v>
      </c>
      <c r="AD6" s="29" t="s">
        <v>52</v>
      </c>
      <c r="AE6" s="29" t="s">
        <v>69</v>
      </c>
      <c r="AF6" s="29" t="s">
        <v>53</v>
      </c>
    </row>
    <row r="7" spans="1:32" s="43" customFormat="1">
      <c r="A7" s="151">
        <v>43904</v>
      </c>
      <c r="B7" s="44">
        <v>3</v>
      </c>
      <c r="C7" s="44">
        <v>3997619</v>
      </c>
      <c r="D7" s="44" t="s">
        <v>92</v>
      </c>
      <c r="E7" s="120">
        <v>91626</v>
      </c>
      <c r="F7" s="44">
        <v>11765</v>
      </c>
      <c r="G7" s="121">
        <v>34</v>
      </c>
      <c r="H7" s="136" t="s">
        <v>90</v>
      </c>
      <c r="I7" s="122">
        <v>0</v>
      </c>
      <c r="J7" s="123">
        <v>1</v>
      </c>
      <c r="K7" s="128">
        <v>0</v>
      </c>
      <c r="L7" s="124">
        <v>0</v>
      </c>
      <c r="M7" s="122">
        <v>0</v>
      </c>
      <c r="N7" s="125">
        <v>0</v>
      </c>
      <c r="O7" s="121">
        <v>0</v>
      </c>
      <c r="P7" s="124">
        <v>1</v>
      </c>
      <c r="Q7" s="121">
        <v>0</v>
      </c>
      <c r="R7" s="124">
        <v>0</v>
      </c>
      <c r="S7" s="122">
        <v>0</v>
      </c>
      <c r="T7" s="124">
        <v>0</v>
      </c>
      <c r="U7" s="124">
        <v>0</v>
      </c>
      <c r="V7" s="42">
        <f t="shared" ref="V7" si="0">+G7-(SUM(I7:N7,P7,Q7,R7,S7,T7,U7))</f>
        <v>32</v>
      </c>
      <c r="W7" s="126"/>
      <c r="X7" s="126"/>
      <c r="Y7" s="126"/>
      <c r="Z7" s="126"/>
      <c r="AA7" s="126"/>
      <c r="AB7" s="126"/>
      <c r="AC7" s="150">
        <f>V7-(Y7+X7)</f>
        <v>32</v>
      </c>
      <c r="AD7" s="127"/>
      <c r="AE7" s="128"/>
      <c r="AF7" s="120"/>
    </row>
    <row r="8" spans="1:32" s="43" customFormat="1">
      <c r="A8" s="151">
        <v>43909</v>
      </c>
      <c r="B8" s="44">
        <v>1</v>
      </c>
      <c r="C8" s="44">
        <v>3997619</v>
      </c>
      <c r="D8" s="44" t="s">
        <v>92</v>
      </c>
      <c r="E8" s="120">
        <v>91626</v>
      </c>
      <c r="F8" s="44">
        <v>11811</v>
      </c>
      <c r="G8" s="121">
        <v>57</v>
      </c>
      <c r="H8" s="136" t="s">
        <v>93</v>
      </c>
      <c r="I8" s="122">
        <v>0</v>
      </c>
      <c r="J8" s="123">
        <v>0</v>
      </c>
      <c r="K8" s="128">
        <v>0</v>
      </c>
      <c r="L8" s="124">
        <v>0</v>
      </c>
      <c r="M8" s="122">
        <v>0</v>
      </c>
      <c r="N8" s="125">
        <v>0</v>
      </c>
      <c r="O8" s="121">
        <v>0</v>
      </c>
      <c r="P8" s="124">
        <v>0</v>
      </c>
      <c r="Q8" s="121">
        <v>0</v>
      </c>
      <c r="R8" s="124">
        <v>0</v>
      </c>
      <c r="S8" s="122">
        <v>0</v>
      </c>
      <c r="T8" s="124">
        <v>0</v>
      </c>
      <c r="U8" s="124">
        <v>0</v>
      </c>
      <c r="V8" s="42">
        <f t="shared" ref="V8" si="1">+G8-(SUM(I8:N8,P8,Q8,R8,S8,T8,U8))</f>
        <v>57</v>
      </c>
      <c r="W8" s="126"/>
      <c r="X8" s="126"/>
      <c r="Y8" s="126"/>
      <c r="Z8" s="126"/>
      <c r="AA8" s="126"/>
      <c r="AB8" s="126"/>
      <c r="AC8" s="150">
        <f t="shared" ref="AC8:AC30" si="2">V8-(Y8+X8)</f>
        <v>57</v>
      </c>
      <c r="AD8" s="127"/>
      <c r="AE8" s="128"/>
      <c r="AF8" s="120"/>
    </row>
    <row r="9" spans="1:32" s="43" customFormat="1">
      <c r="A9" s="151">
        <v>44218</v>
      </c>
      <c r="B9" s="44">
        <v>1</v>
      </c>
      <c r="C9" s="44">
        <v>3997619</v>
      </c>
      <c r="D9" s="44" t="s">
        <v>92</v>
      </c>
      <c r="E9" s="120">
        <v>91824</v>
      </c>
      <c r="F9" s="44">
        <v>12195</v>
      </c>
      <c r="G9" s="121">
        <v>15</v>
      </c>
      <c r="H9" s="136" t="s">
        <v>94</v>
      </c>
      <c r="I9" s="122">
        <v>0</v>
      </c>
      <c r="J9" s="123">
        <v>0</v>
      </c>
      <c r="K9" s="128">
        <v>0</v>
      </c>
      <c r="L9" s="124">
        <v>0</v>
      </c>
      <c r="M9" s="122">
        <v>0</v>
      </c>
      <c r="N9" s="125">
        <v>0</v>
      </c>
      <c r="O9" s="121">
        <v>0</v>
      </c>
      <c r="P9" s="124">
        <v>0</v>
      </c>
      <c r="Q9" s="121">
        <v>0</v>
      </c>
      <c r="R9" s="124">
        <v>0</v>
      </c>
      <c r="S9" s="122">
        <v>0</v>
      </c>
      <c r="T9" s="124">
        <v>0</v>
      </c>
      <c r="U9" s="124">
        <v>0</v>
      </c>
      <c r="V9" s="42">
        <f t="shared" ref="V9" si="3">+G9-(SUM(I9:N9,P9,Q9,R9,S9,T9,U9))</f>
        <v>15</v>
      </c>
      <c r="W9" s="126"/>
      <c r="X9" s="126"/>
      <c r="Y9" s="126"/>
      <c r="Z9" s="126"/>
      <c r="AA9" s="126"/>
      <c r="AB9" s="126"/>
      <c r="AC9" s="150">
        <f t="shared" si="2"/>
        <v>15</v>
      </c>
      <c r="AD9" s="127"/>
      <c r="AE9" s="128"/>
      <c r="AF9" s="120"/>
    </row>
    <row r="10" spans="1:32" s="43" customFormat="1">
      <c r="A10" s="151">
        <v>44228</v>
      </c>
      <c r="B10" s="44">
        <v>3</v>
      </c>
      <c r="C10" s="44">
        <v>3997619</v>
      </c>
      <c r="D10" s="44" t="s">
        <v>92</v>
      </c>
      <c r="E10" s="120">
        <v>91824</v>
      </c>
      <c r="F10" s="44">
        <v>12272</v>
      </c>
      <c r="G10" s="121">
        <v>10</v>
      </c>
      <c r="H10" s="136" t="s">
        <v>95</v>
      </c>
      <c r="I10" s="122">
        <v>0</v>
      </c>
      <c r="J10" s="123">
        <v>0</v>
      </c>
      <c r="K10" s="128">
        <v>0</v>
      </c>
      <c r="L10" s="124">
        <v>0</v>
      </c>
      <c r="M10" s="122">
        <v>0</v>
      </c>
      <c r="N10" s="125">
        <v>0</v>
      </c>
      <c r="O10" s="121">
        <v>0</v>
      </c>
      <c r="P10" s="124">
        <v>0</v>
      </c>
      <c r="Q10" s="121">
        <v>0</v>
      </c>
      <c r="R10" s="124">
        <v>0</v>
      </c>
      <c r="S10" s="122">
        <v>0</v>
      </c>
      <c r="T10" s="124">
        <v>0</v>
      </c>
      <c r="U10" s="124">
        <v>0</v>
      </c>
      <c r="V10" s="42">
        <f t="shared" ref="V10:V30" si="4">+G10-(SUM(I10:N10,P10,Q10,R10,S10,T10,U10))</f>
        <v>10</v>
      </c>
      <c r="W10" s="126"/>
      <c r="X10" s="126"/>
      <c r="Y10" s="126"/>
      <c r="Z10" s="126"/>
      <c r="AA10" s="126"/>
      <c r="AB10" s="126"/>
      <c r="AC10" s="150">
        <f t="shared" si="2"/>
        <v>10</v>
      </c>
      <c r="AD10" s="127"/>
      <c r="AE10" s="128"/>
      <c r="AF10" s="120"/>
    </row>
    <row r="11" spans="1:32" s="43" customFormat="1">
      <c r="A11" s="151">
        <v>44285</v>
      </c>
      <c r="B11" s="44">
        <v>2</v>
      </c>
      <c r="C11" s="44">
        <v>4405991</v>
      </c>
      <c r="D11" s="44" t="s">
        <v>92</v>
      </c>
      <c r="E11" s="120">
        <v>91905</v>
      </c>
      <c r="F11" s="44">
        <v>12653</v>
      </c>
      <c r="G11" s="121">
        <v>63</v>
      </c>
      <c r="H11" s="136" t="s">
        <v>96</v>
      </c>
      <c r="I11" s="122">
        <v>0</v>
      </c>
      <c r="J11" s="123">
        <v>0</v>
      </c>
      <c r="K11" s="128">
        <v>0</v>
      </c>
      <c r="L11" s="124">
        <v>0</v>
      </c>
      <c r="M11" s="122">
        <v>0</v>
      </c>
      <c r="N11" s="125">
        <v>0</v>
      </c>
      <c r="O11" s="121">
        <v>0</v>
      </c>
      <c r="P11" s="124">
        <v>1</v>
      </c>
      <c r="Q11" s="121">
        <v>0</v>
      </c>
      <c r="R11" s="124">
        <v>0</v>
      </c>
      <c r="S11" s="122">
        <v>0</v>
      </c>
      <c r="T11" s="124">
        <v>0</v>
      </c>
      <c r="U11" s="124">
        <v>0</v>
      </c>
      <c r="V11" s="42">
        <f t="shared" si="4"/>
        <v>62</v>
      </c>
      <c r="W11" s="126"/>
      <c r="X11" s="126"/>
      <c r="Y11" s="126"/>
      <c r="Z11" s="126"/>
      <c r="AA11" s="126"/>
      <c r="AB11" s="126"/>
      <c r="AC11" s="150">
        <f t="shared" si="2"/>
        <v>62</v>
      </c>
      <c r="AD11" s="127"/>
      <c r="AE11" s="128"/>
      <c r="AF11" s="120"/>
    </row>
    <row r="12" spans="1:32" s="43" customFormat="1">
      <c r="A12" s="151">
        <v>44297</v>
      </c>
      <c r="B12" s="44">
        <v>1</v>
      </c>
      <c r="C12" s="44">
        <v>4405991</v>
      </c>
      <c r="D12" s="44" t="s">
        <v>92</v>
      </c>
      <c r="E12" s="120">
        <v>91905</v>
      </c>
      <c r="F12" s="44">
        <v>12672</v>
      </c>
      <c r="G12" s="121">
        <v>29</v>
      </c>
      <c r="H12" s="136" t="s">
        <v>98</v>
      </c>
      <c r="I12" s="122">
        <v>0</v>
      </c>
      <c r="J12" s="123">
        <v>0</v>
      </c>
      <c r="K12" s="128">
        <v>0</v>
      </c>
      <c r="L12" s="124">
        <v>0</v>
      </c>
      <c r="M12" s="122">
        <v>0</v>
      </c>
      <c r="N12" s="125">
        <v>0</v>
      </c>
      <c r="O12" s="121">
        <v>0</v>
      </c>
      <c r="P12" s="124">
        <v>0</v>
      </c>
      <c r="Q12" s="121">
        <v>0</v>
      </c>
      <c r="R12" s="124">
        <v>0</v>
      </c>
      <c r="S12" s="122">
        <v>0</v>
      </c>
      <c r="T12" s="124">
        <v>0</v>
      </c>
      <c r="U12" s="124">
        <v>0</v>
      </c>
      <c r="V12" s="42">
        <f t="shared" si="4"/>
        <v>29</v>
      </c>
      <c r="W12" s="126"/>
      <c r="X12" s="126"/>
      <c r="Y12" s="126"/>
      <c r="Z12" s="126"/>
      <c r="AA12" s="126"/>
      <c r="AB12" s="126"/>
      <c r="AC12" s="150">
        <f t="shared" si="2"/>
        <v>29</v>
      </c>
      <c r="AD12" s="127"/>
      <c r="AE12" s="128"/>
      <c r="AF12" s="120"/>
    </row>
    <row r="13" spans="1:32" s="43" customFormat="1">
      <c r="A13" s="151">
        <v>44297</v>
      </c>
      <c r="B13" s="44">
        <v>1</v>
      </c>
      <c r="C13" s="44">
        <v>4405991</v>
      </c>
      <c r="D13" s="44" t="s">
        <v>92</v>
      </c>
      <c r="E13" s="120">
        <v>91905</v>
      </c>
      <c r="F13" s="44">
        <v>12672</v>
      </c>
      <c r="G13" s="121">
        <v>29</v>
      </c>
      <c r="H13" s="136" t="s">
        <v>98</v>
      </c>
      <c r="I13" s="122">
        <v>0</v>
      </c>
      <c r="J13" s="123">
        <v>0</v>
      </c>
      <c r="K13" s="128">
        <v>0</v>
      </c>
      <c r="L13" s="124">
        <v>0</v>
      </c>
      <c r="M13" s="122">
        <v>0</v>
      </c>
      <c r="N13" s="125">
        <v>0</v>
      </c>
      <c r="O13" s="121">
        <v>0</v>
      </c>
      <c r="P13" s="124">
        <v>0</v>
      </c>
      <c r="Q13" s="121">
        <v>0</v>
      </c>
      <c r="R13" s="124">
        <v>0</v>
      </c>
      <c r="S13" s="122">
        <v>0</v>
      </c>
      <c r="T13" s="124">
        <v>0</v>
      </c>
      <c r="U13" s="124">
        <v>0</v>
      </c>
      <c r="V13" s="42">
        <f t="shared" si="4"/>
        <v>29</v>
      </c>
      <c r="W13" s="126"/>
      <c r="X13" s="126"/>
      <c r="Y13" s="126"/>
      <c r="Z13" s="126"/>
      <c r="AA13" s="126"/>
      <c r="AB13" s="126"/>
      <c r="AC13" s="150">
        <f t="shared" si="2"/>
        <v>29</v>
      </c>
      <c r="AD13" s="127"/>
      <c r="AE13" s="128"/>
      <c r="AF13" s="120"/>
    </row>
    <row r="14" spans="1:32" s="43" customFormat="1">
      <c r="A14" s="151">
        <v>44349</v>
      </c>
      <c r="B14" s="44">
        <v>1</v>
      </c>
      <c r="C14" s="24">
        <v>4405991</v>
      </c>
      <c r="D14" s="44" t="s">
        <v>92</v>
      </c>
      <c r="E14" s="24">
        <v>91985</v>
      </c>
      <c r="F14" s="44">
        <v>13011</v>
      </c>
      <c r="G14" s="121">
        <v>30</v>
      </c>
      <c r="H14" s="136" t="s">
        <v>99</v>
      </c>
      <c r="I14" s="122">
        <v>0</v>
      </c>
      <c r="J14" s="123">
        <v>0</v>
      </c>
      <c r="K14" s="128">
        <v>0</v>
      </c>
      <c r="L14" s="124">
        <v>0</v>
      </c>
      <c r="M14" s="122">
        <v>0</v>
      </c>
      <c r="N14" s="125">
        <v>0</v>
      </c>
      <c r="O14" s="121">
        <v>0</v>
      </c>
      <c r="P14" s="124">
        <v>0</v>
      </c>
      <c r="Q14" s="121">
        <v>0</v>
      </c>
      <c r="R14" s="124">
        <v>0</v>
      </c>
      <c r="S14" s="122">
        <v>0</v>
      </c>
      <c r="T14" s="124">
        <v>0</v>
      </c>
      <c r="U14" s="124">
        <v>0</v>
      </c>
      <c r="V14" s="42">
        <f t="shared" si="4"/>
        <v>30</v>
      </c>
      <c r="W14" s="126"/>
      <c r="X14" s="126"/>
      <c r="Y14" s="126"/>
      <c r="Z14" s="126"/>
      <c r="AA14" s="126"/>
      <c r="AB14" s="126"/>
      <c r="AC14" s="150">
        <f t="shared" si="2"/>
        <v>30</v>
      </c>
      <c r="AD14" s="127"/>
      <c r="AE14" s="128"/>
      <c r="AF14" s="120"/>
    </row>
    <row r="15" spans="1:32" s="43" customFormat="1">
      <c r="A15" s="151">
        <v>44535</v>
      </c>
      <c r="B15" s="44">
        <v>2</v>
      </c>
      <c r="C15" s="44">
        <v>4405991</v>
      </c>
      <c r="D15" s="44" t="s">
        <v>92</v>
      </c>
      <c r="E15" s="120">
        <v>92275</v>
      </c>
      <c r="F15" s="44">
        <v>14476</v>
      </c>
      <c r="G15" s="121">
        <v>40</v>
      </c>
      <c r="H15" s="136" t="s">
        <v>100</v>
      </c>
      <c r="I15" s="122">
        <v>0</v>
      </c>
      <c r="J15" s="123">
        <v>0</v>
      </c>
      <c r="K15" s="128">
        <v>0</v>
      </c>
      <c r="L15" s="124">
        <v>0</v>
      </c>
      <c r="M15" s="122">
        <v>0</v>
      </c>
      <c r="N15" s="125">
        <v>0</v>
      </c>
      <c r="O15" s="121">
        <v>0</v>
      </c>
      <c r="P15" s="124">
        <v>0</v>
      </c>
      <c r="Q15" s="121">
        <v>0</v>
      </c>
      <c r="R15" s="124">
        <v>0</v>
      </c>
      <c r="S15" s="122">
        <v>0</v>
      </c>
      <c r="T15" s="124">
        <v>0</v>
      </c>
      <c r="U15" s="124">
        <v>0</v>
      </c>
      <c r="V15" s="42">
        <f t="shared" si="4"/>
        <v>40</v>
      </c>
      <c r="W15" s="126"/>
      <c r="X15" s="126"/>
      <c r="Y15" s="126"/>
      <c r="Z15" s="126"/>
      <c r="AA15" s="126"/>
      <c r="AB15" s="126"/>
      <c r="AC15" s="150">
        <f t="shared" si="2"/>
        <v>40</v>
      </c>
      <c r="AD15" s="127"/>
      <c r="AE15" s="128"/>
      <c r="AF15" s="120"/>
    </row>
    <row r="16" spans="1:32" s="43" customFormat="1">
      <c r="A16" s="151">
        <v>44565</v>
      </c>
      <c r="B16" s="44">
        <v>3</v>
      </c>
      <c r="C16" s="44">
        <v>4405991</v>
      </c>
      <c r="D16" s="44" t="s">
        <v>92</v>
      </c>
      <c r="E16" s="120">
        <v>92195</v>
      </c>
      <c r="F16" s="44">
        <v>14768</v>
      </c>
      <c r="G16" s="121">
        <v>80</v>
      </c>
      <c r="H16" s="136" t="s">
        <v>109</v>
      </c>
      <c r="I16" s="122">
        <v>0</v>
      </c>
      <c r="J16" s="123">
        <v>0</v>
      </c>
      <c r="K16" s="128">
        <v>0</v>
      </c>
      <c r="L16" s="124">
        <v>0</v>
      </c>
      <c r="M16" s="122">
        <v>0</v>
      </c>
      <c r="N16" s="125">
        <v>0</v>
      </c>
      <c r="O16" s="121">
        <v>0</v>
      </c>
      <c r="P16" s="124">
        <v>0</v>
      </c>
      <c r="Q16" s="121">
        <v>0</v>
      </c>
      <c r="R16" s="124">
        <v>0</v>
      </c>
      <c r="S16" s="122">
        <v>0</v>
      </c>
      <c r="T16" s="124">
        <v>0</v>
      </c>
      <c r="U16" s="124">
        <v>0</v>
      </c>
      <c r="V16" s="42">
        <f t="shared" si="4"/>
        <v>80</v>
      </c>
      <c r="W16" s="126"/>
      <c r="X16" s="126"/>
      <c r="Y16" s="126"/>
      <c r="Z16" s="126"/>
      <c r="AA16" s="126"/>
      <c r="AB16" s="126"/>
      <c r="AC16" s="150">
        <f t="shared" si="2"/>
        <v>80</v>
      </c>
      <c r="AD16" s="127"/>
      <c r="AE16" s="128"/>
      <c r="AF16" s="120"/>
    </row>
    <row r="17" spans="1:32" s="43" customFormat="1">
      <c r="A17" s="151">
        <v>44682</v>
      </c>
      <c r="B17" s="44">
        <v>2</v>
      </c>
      <c r="C17" s="44">
        <v>4854609</v>
      </c>
      <c r="D17" s="44" t="s">
        <v>92</v>
      </c>
      <c r="E17" s="120">
        <v>92515</v>
      </c>
      <c r="F17" s="44">
        <v>15861</v>
      </c>
      <c r="G17" s="121">
        <v>45</v>
      </c>
      <c r="H17" s="136" t="s">
        <v>119</v>
      </c>
      <c r="I17" s="122">
        <v>0</v>
      </c>
      <c r="J17" s="123">
        <v>0</v>
      </c>
      <c r="K17" s="128">
        <v>0</v>
      </c>
      <c r="L17" s="124">
        <v>0</v>
      </c>
      <c r="M17" s="122">
        <v>0</v>
      </c>
      <c r="N17" s="125">
        <v>0</v>
      </c>
      <c r="O17" s="121">
        <v>0</v>
      </c>
      <c r="P17" s="124">
        <v>0</v>
      </c>
      <c r="Q17" s="121">
        <v>0</v>
      </c>
      <c r="R17" s="124">
        <v>0</v>
      </c>
      <c r="S17" s="122">
        <v>0</v>
      </c>
      <c r="T17" s="124">
        <v>0</v>
      </c>
      <c r="U17" s="124">
        <v>0</v>
      </c>
      <c r="V17" s="42">
        <f t="shared" si="4"/>
        <v>45</v>
      </c>
      <c r="W17" s="126"/>
      <c r="X17" s="126"/>
      <c r="Y17" s="126"/>
      <c r="Z17" s="126"/>
      <c r="AA17" s="138"/>
      <c r="AB17" s="126"/>
      <c r="AC17" s="150">
        <f t="shared" si="2"/>
        <v>45</v>
      </c>
      <c r="AD17" s="127"/>
      <c r="AE17" s="128"/>
      <c r="AF17" s="120"/>
    </row>
    <row r="18" spans="1:32" s="43" customFormat="1">
      <c r="A18" s="151">
        <v>44752</v>
      </c>
      <c r="B18" s="44">
        <v>1</v>
      </c>
      <c r="C18" s="44">
        <v>4854609</v>
      </c>
      <c r="D18" s="44" t="s">
        <v>92</v>
      </c>
      <c r="E18" s="120">
        <v>92553</v>
      </c>
      <c r="F18" s="44">
        <v>16495</v>
      </c>
      <c r="G18" s="121">
        <v>70</v>
      </c>
      <c r="H18" s="136" t="s">
        <v>122</v>
      </c>
      <c r="I18" s="122">
        <v>0</v>
      </c>
      <c r="J18" s="123">
        <v>0</v>
      </c>
      <c r="K18" s="128">
        <v>0</v>
      </c>
      <c r="L18" s="124">
        <v>0</v>
      </c>
      <c r="M18" s="122">
        <v>0</v>
      </c>
      <c r="N18" s="125">
        <v>0</v>
      </c>
      <c r="O18" s="121">
        <v>0</v>
      </c>
      <c r="P18" s="124">
        <v>0</v>
      </c>
      <c r="Q18" s="121">
        <v>0</v>
      </c>
      <c r="R18" s="124">
        <v>0</v>
      </c>
      <c r="S18" s="122">
        <v>0</v>
      </c>
      <c r="T18" s="124">
        <v>0</v>
      </c>
      <c r="U18" s="124">
        <v>0</v>
      </c>
      <c r="V18" s="42">
        <f t="shared" si="4"/>
        <v>70</v>
      </c>
      <c r="W18" s="126"/>
      <c r="X18" s="126"/>
      <c r="Y18" s="126"/>
      <c r="Z18" s="126"/>
      <c r="AA18" s="126"/>
      <c r="AB18" s="126"/>
      <c r="AC18" s="150">
        <f t="shared" si="2"/>
        <v>70</v>
      </c>
      <c r="AD18" s="127"/>
      <c r="AE18" s="128"/>
      <c r="AF18" s="120"/>
    </row>
    <row r="19" spans="1:32" s="43" customFormat="1">
      <c r="A19" s="151">
        <v>44804</v>
      </c>
      <c r="B19" s="44">
        <v>2</v>
      </c>
      <c r="C19" s="44">
        <v>4854609</v>
      </c>
      <c r="D19" s="44" t="s">
        <v>92</v>
      </c>
      <c r="E19" s="120">
        <v>92553</v>
      </c>
      <c r="F19" s="44">
        <v>17112</v>
      </c>
      <c r="G19" s="121">
        <v>90</v>
      </c>
      <c r="H19" s="136" t="s">
        <v>124</v>
      </c>
      <c r="I19" s="122">
        <v>0</v>
      </c>
      <c r="J19" s="123">
        <v>0</v>
      </c>
      <c r="K19" s="128">
        <v>0</v>
      </c>
      <c r="L19" s="124">
        <v>0</v>
      </c>
      <c r="M19" s="122">
        <v>0</v>
      </c>
      <c r="N19" s="125">
        <v>0</v>
      </c>
      <c r="O19" s="121">
        <v>0</v>
      </c>
      <c r="P19" s="124">
        <v>0</v>
      </c>
      <c r="Q19" s="121">
        <v>0</v>
      </c>
      <c r="R19" s="124">
        <v>0</v>
      </c>
      <c r="S19" s="122">
        <v>0</v>
      </c>
      <c r="T19" s="124">
        <v>0</v>
      </c>
      <c r="U19" s="124">
        <v>0</v>
      </c>
      <c r="V19" s="42">
        <f t="shared" si="4"/>
        <v>90</v>
      </c>
      <c r="W19" s="126"/>
      <c r="X19" s="126"/>
      <c r="Y19" s="126"/>
      <c r="Z19" s="126"/>
      <c r="AA19" s="126"/>
      <c r="AB19" s="126"/>
      <c r="AC19" s="150">
        <f t="shared" si="2"/>
        <v>90</v>
      </c>
      <c r="AD19" s="127"/>
      <c r="AE19" s="128"/>
      <c r="AF19" s="120"/>
    </row>
    <row r="20" spans="1:32" s="43" customFormat="1">
      <c r="A20" s="130">
        <v>44836</v>
      </c>
      <c r="B20" s="44">
        <v>2</v>
      </c>
      <c r="C20" s="44">
        <v>4854609</v>
      </c>
      <c r="D20" s="44" t="s">
        <v>92</v>
      </c>
      <c r="E20" s="120">
        <v>92554</v>
      </c>
      <c r="F20" s="44">
        <v>17416</v>
      </c>
      <c r="G20" s="121">
        <v>25</v>
      </c>
      <c r="H20" s="136" t="s">
        <v>125</v>
      </c>
      <c r="I20" s="122">
        <v>0</v>
      </c>
      <c r="J20" s="123">
        <v>0</v>
      </c>
      <c r="K20" s="128">
        <v>0</v>
      </c>
      <c r="L20" s="124">
        <v>0</v>
      </c>
      <c r="M20" s="122">
        <v>0</v>
      </c>
      <c r="N20" s="125">
        <v>0</v>
      </c>
      <c r="O20" s="121">
        <v>0</v>
      </c>
      <c r="P20" s="124">
        <v>0</v>
      </c>
      <c r="Q20" s="121">
        <v>0</v>
      </c>
      <c r="R20" s="124">
        <v>0</v>
      </c>
      <c r="S20" s="122">
        <v>0</v>
      </c>
      <c r="T20" s="124">
        <v>0</v>
      </c>
      <c r="U20" s="124">
        <v>0</v>
      </c>
      <c r="V20" s="42">
        <f t="shared" si="4"/>
        <v>25</v>
      </c>
      <c r="W20" s="126"/>
      <c r="X20" s="126"/>
      <c r="Y20" s="126"/>
      <c r="Z20" s="126"/>
      <c r="AA20" s="126"/>
      <c r="AB20" s="126"/>
      <c r="AC20" s="150">
        <f t="shared" si="2"/>
        <v>25</v>
      </c>
      <c r="AD20" s="127"/>
      <c r="AE20" s="128"/>
      <c r="AF20" s="120"/>
    </row>
    <row r="21" spans="1:32" s="43" customFormat="1">
      <c r="A21" s="130">
        <v>44836</v>
      </c>
      <c r="B21" s="44">
        <v>2</v>
      </c>
      <c r="C21" s="44">
        <v>4854609</v>
      </c>
      <c r="D21" s="44" t="s">
        <v>92</v>
      </c>
      <c r="E21" s="120">
        <v>92554</v>
      </c>
      <c r="F21" s="44">
        <v>17417</v>
      </c>
      <c r="G21" s="121">
        <v>25</v>
      </c>
      <c r="H21" s="136" t="s">
        <v>125</v>
      </c>
      <c r="I21" s="122">
        <v>0</v>
      </c>
      <c r="J21" s="123">
        <v>0</v>
      </c>
      <c r="K21" s="128">
        <v>0</v>
      </c>
      <c r="L21" s="124">
        <v>0</v>
      </c>
      <c r="M21" s="122">
        <v>0</v>
      </c>
      <c r="N21" s="125">
        <v>0</v>
      </c>
      <c r="O21" s="121">
        <v>0</v>
      </c>
      <c r="P21" s="124">
        <v>0</v>
      </c>
      <c r="Q21" s="121">
        <v>0</v>
      </c>
      <c r="R21" s="124">
        <v>0</v>
      </c>
      <c r="S21" s="122">
        <v>0</v>
      </c>
      <c r="T21" s="124">
        <v>0</v>
      </c>
      <c r="U21" s="124">
        <v>0</v>
      </c>
      <c r="V21" s="42">
        <f t="shared" si="4"/>
        <v>25</v>
      </c>
      <c r="W21" s="126"/>
      <c r="X21" s="126"/>
      <c r="Y21" s="126"/>
      <c r="Z21" s="126"/>
      <c r="AA21" s="126"/>
      <c r="AB21" s="126"/>
      <c r="AC21" s="150">
        <f t="shared" si="2"/>
        <v>25</v>
      </c>
      <c r="AD21" s="127"/>
      <c r="AE21" s="128"/>
      <c r="AF21" s="120"/>
    </row>
    <row r="22" spans="1:32" s="43" customFormat="1">
      <c r="A22" s="130">
        <v>44857</v>
      </c>
      <c r="B22" s="44">
        <v>1</v>
      </c>
      <c r="C22" s="44">
        <v>4854609</v>
      </c>
      <c r="D22" s="44" t="s">
        <v>92</v>
      </c>
      <c r="E22" s="120">
        <v>92870</v>
      </c>
      <c r="F22" s="44">
        <v>17631</v>
      </c>
      <c r="G22" s="121">
        <v>38</v>
      </c>
      <c r="H22" s="136" t="s">
        <v>126</v>
      </c>
      <c r="I22" s="122">
        <v>0</v>
      </c>
      <c r="J22" s="123">
        <v>0</v>
      </c>
      <c r="K22" s="128">
        <v>0</v>
      </c>
      <c r="L22" s="124">
        <v>0</v>
      </c>
      <c r="M22" s="122">
        <v>0</v>
      </c>
      <c r="N22" s="125">
        <v>0</v>
      </c>
      <c r="O22" s="121">
        <v>0</v>
      </c>
      <c r="P22" s="124">
        <v>0</v>
      </c>
      <c r="Q22" s="121">
        <v>0</v>
      </c>
      <c r="R22" s="124">
        <v>0</v>
      </c>
      <c r="S22" s="122">
        <v>0</v>
      </c>
      <c r="T22" s="124">
        <v>0</v>
      </c>
      <c r="U22" s="124">
        <v>0</v>
      </c>
      <c r="V22" s="42">
        <f t="shared" si="4"/>
        <v>38</v>
      </c>
      <c r="W22" s="126"/>
      <c r="X22" s="126"/>
      <c r="Y22" s="126"/>
      <c r="Z22" s="126"/>
      <c r="AA22" s="126"/>
      <c r="AB22" s="126"/>
      <c r="AC22" s="150">
        <f t="shared" si="2"/>
        <v>38</v>
      </c>
      <c r="AD22" s="127"/>
      <c r="AE22" s="128"/>
      <c r="AF22" s="120"/>
    </row>
    <row r="23" spans="1:32" s="43" customFormat="1">
      <c r="A23" s="130">
        <v>45296</v>
      </c>
      <c r="B23" s="44">
        <v>3</v>
      </c>
      <c r="C23" s="44">
        <v>5459298</v>
      </c>
      <c r="D23" s="44" t="s">
        <v>92</v>
      </c>
      <c r="E23" s="120">
        <v>93540</v>
      </c>
      <c r="F23" s="182" t="s">
        <v>128</v>
      </c>
      <c r="G23" s="121">
        <v>40</v>
      </c>
      <c r="H23" s="136" t="s">
        <v>100</v>
      </c>
      <c r="I23" s="122">
        <v>0</v>
      </c>
      <c r="J23" s="123">
        <v>1</v>
      </c>
      <c r="K23" s="128">
        <v>0</v>
      </c>
      <c r="L23" s="124">
        <v>0</v>
      </c>
      <c r="M23" s="122">
        <v>0</v>
      </c>
      <c r="N23" s="125">
        <v>0</v>
      </c>
      <c r="O23" s="121">
        <v>0</v>
      </c>
      <c r="P23" s="124">
        <v>1</v>
      </c>
      <c r="Q23" s="121">
        <v>0</v>
      </c>
      <c r="R23" s="124">
        <v>0</v>
      </c>
      <c r="S23" s="122">
        <v>0</v>
      </c>
      <c r="T23" s="124">
        <v>0</v>
      </c>
      <c r="U23" s="124">
        <v>0</v>
      </c>
      <c r="V23" s="42">
        <f t="shared" si="4"/>
        <v>38</v>
      </c>
      <c r="W23" s="185" t="s">
        <v>129</v>
      </c>
      <c r="X23" s="126"/>
      <c r="Y23" s="126">
        <v>38</v>
      </c>
      <c r="Z23" s="126"/>
      <c r="AA23" s="126"/>
      <c r="AB23" s="126"/>
      <c r="AC23" s="150">
        <f t="shared" si="2"/>
        <v>0</v>
      </c>
      <c r="AD23" s="127"/>
      <c r="AE23" s="128"/>
      <c r="AF23" s="120"/>
    </row>
    <row r="24" spans="1:32" s="43" customFormat="1">
      <c r="A24" s="130">
        <v>45304</v>
      </c>
      <c r="B24" s="44">
        <v>1</v>
      </c>
      <c r="C24" s="44">
        <v>5459298</v>
      </c>
      <c r="D24" s="44" t="s">
        <v>92</v>
      </c>
      <c r="E24" s="120">
        <v>93558</v>
      </c>
      <c r="F24" s="182" t="s">
        <v>131</v>
      </c>
      <c r="G24" s="121">
        <v>38</v>
      </c>
      <c r="H24" s="136" t="s">
        <v>126</v>
      </c>
      <c r="I24" s="122">
        <v>0</v>
      </c>
      <c r="J24" s="123">
        <v>0</v>
      </c>
      <c r="K24" s="128">
        <v>0</v>
      </c>
      <c r="L24" s="124">
        <v>0</v>
      </c>
      <c r="M24" s="122">
        <v>0</v>
      </c>
      <c r="N24" s="125">
        <v>0</v>
      </c>
      <c r="O24" s="121">
        <v>0</v>
      </c>
      <c r="P24" s="124">
        <v>1</v>
      </c>
      <c r="Q24" s="121">
        <v>0</v>
      </c>
      <c r="R24" s="124">
        <v>0</v>
      </c>
      <c r="S24" s="122">
        <v>0</v>
      </c>
      <c r="T24" s="124">
        <v>0</v>
      </c>
      <c r="U24" s="124">
        <v>0</v>
      </c>
      <c r="V24" s="42">
        <f t="shared" si="4"/>
        <v>37</v>
      </c>
      <c r="W24" s="126"/>
      <c r="X24" s="126"/>
      <c r="Y24" s="126"/>
      <c r="Z24" s="126"/>
      <c r="AA24" s="126"/>
      <c r="AB24" s="126"/>
      <c r="AC24" s="150">
        <f t="shared" si="2"/>
        <v>37</v>
      </c>
      <c r="AD24" s="127"/>
      <c r="AE24" s="128"/>
      <c r="AF24" s="120"/>
    </row>
    <row r="25" spans="1:32" s="43" customFormat="1">
      <c r="A25" s="130">
        <v>45388</v>
      </c>
      <c r="B25" s="44">
        <v>2</v>
      </c>
      <c r="C25" s="44">
        <v>5566854</v>
      </c>
      <c r="D25" s="44" t="s">
        <v>92</v>
      </c>
      <c r="E25" s="120">
        <v>93683</v>
      </c>
      <c r="F25" s="44">
        <v>21116</v>
      </c>
      <c r="G25" s="121">
        <v>23</v>
      </c>
      <c r="H25" s="136" t="s">
        <v>132</v>
      </c>
      <c r="I25" s="122">
        <v>0</v>
      </c>
      <c r="J25" s="123">
        <v>0</v>
      </c>
      <c r="K25" s="128">
        <v>0</v>
      </c>
      <c r="L25" s="124">
        <v>0</v>
      </c>
      <c r="M25" s="122">
        <v>0</v>
      </c>
      <c r="N25" s="125">
        <v>0</v>
      </c>
      <c r="O25" s="121">
        <v>0</v>
      </c>
      <c r="P25" s="124">
        <v>0</v>
      </c>
      <c r="Q25" s="121">
        <v>0</v>
      </c>
      <c r="R25" s="124">
        <v>0</v>
      </c>
      <c r="S25" s="122">
        <v>0</v>
      </c>
      <c r="T25" s="124">
        <v>0</v>
      </c>
      <c r="U25" s="124">
        <v>0</v>
      </c>
      <c r="V25" s="42">
        <f t="shared" si="4"/>
        <v>23</v>
      </c>
      <c r="W25" s="126"/>
      <c r="X25" s="126"/>
      <c r="Y25" s="126"/>
      <c r="Z25" s="126"/>
      <c r="AA25" s="126"/>
      <c r="AB25" s="126"/>
      <c r="AC25" s="150">
        <f t="shared" si="2"/>
        <v>23</v>
      </c>
      <c r="AD25" s="127"/>
      <c r="AE25" s="128"/>
      <c r="AF25" s="120"/>
    </row>
    <row r="26" spans="1:32" s="43" customFormat="1">
      <c r="A26" s="130">
        <v>45461</v>
      </c>
      <c r="B26" s="44">
        <v>3</v>
      </c>
      <c r="C26" s="44">
        <v>5637109</v>
      </c>
      <c r="D26" s="44" t="s">
        <v>92</v>
      </c>
      <c r="E26" s="120">
        <v>93802</v>
      </c>
      <c r="F26" s="44">
        <v>21599</v>
      </c>
      <c r="G26" s="121">
        <v>34</v>
      </c>
      <c r="H26" s="136" t="s">
        <v>90</v>
      </c>
      <c r="I26" s="122">
        <v>0</v>
      </c>
      <c r="J26" s="123">
        <v>0</v>
      </c>
      <c r="K26" s="128">
        <v>0</v>
      </c>
      <c r="L26" s="124">
        <v>0</v>
      </c>
      <c r="M26" s="122">
        <v>0</v>
      </c>
      <c r="N26" s="125">
        <v>0</v>
      </c>
      <c r="O26" s="121">
        <v>0</v>
      </c>
      <c r="P26" s="124">
        <v>0</v>
      </c>
      <c r="Q26" s="121">
        <v>0</v>
      </c>
      <c r="R26" s="124">
        <v>0</v>
      </c>
      <c r="S26" s="122">
        <v>0</v>
      </c>
      <c r="T26" s="124">
        <v>0</v>
      </c>
      <c r="U26" s="124">
        <v>0</v>
      </c>
      <c r="V26" s="42">
        <f t="shared" si="4"/>
        <v>34</v>
      </c>
      <c r="W26" s="126"/>
      <c r="X26" s="126"/>
      <c r="Y26" s="126">
        <v>2</v>
      </c>
      <c r="Z26" s="126"/>
      <c r="AA26" s="126"/>
      <c r="AB26" s="126"/>
      <c r="AC26" s="150">
        <f t="shared" si="2"/>
        <v>32</v>
      </c>
      <c r="AD26" s="127"/>
      <c r="AE26" s="128"/>
      <c r="AF26" s="120"/>
    </row>
    <row r="27" spans="1:32" s="43" customFormat="1">
      <c r="A27" s="119">
        <v>45485</v>
      </c>
      <c r="B27" s="44">
        <v>3</v>
      </c>
      <c r="C27" s="44">
        <v>5637109</v>
      </c>
      <c r="D27" s="44" t="s">
        <v>92</v>
      </c>
      <c r="E27" s="120">
        <v>93807</v>
      </c>
      <c r="F27" s="44">
        <v>21778</v>
      </c>
      <c r="G27" s="121">
        <v>8</v>
      </c>
      <c r="H27" s="136" t="s">
        <v>134</v>
      </c>
      <c r="I27" s="122">
        <v>0</v>
      </c>
      <c r="J27" s="123">
        <v>0</v>
      </c>
      <c r="K27" s="128">
        <v>0</v>
      </c>
      <c r="L27" s="124">
        <v>0</v>
      </c>
      <c r="M27" s="122">
        <v>0</v>
      </c>
      <c r="N27" s="125">
        <v>0</v>
      </c>
      <c r="O27" s="121">
        <v>0</v>
      </c>
      <c r="P27" s="124">
        <v>0</v>
      </c>
      <c r="Q27" s="121">
        <v>0</v>
      </c>
      <c r="R27" s="124">
        <v>0</v>
      </c>
      <c r="S27" s="122">
        <v>0</v>
      </c>
      <c r="T27" s="124">
        <v>0</v>
      </c>
      <c r="U27" s="124">
        <v>0</v>
      </c>
      <c r="V27" s="42">
        <f t="shared" si="4"/>
        <v>8</v>
      </c>
      <c r="W27" s="126"/>
      <c r="X27" s="126"/>
      <c r="Y27" s="126"/>
      <c r="Z27" s="126"/>
      <c r="AA27" s="126"/>
      <c r="AB27" s="126"/>
      <c r="AC27" s="150">
        <f t="shared" si="2"/>
        <v>8</v>
      </c>
      <c r="AD27" s="127"/>
      <c r="AE27" s="128"/>
      <c r="AF27" s="120"/>
    </row>
    <row r="28" spans="1:32" s="43" customFormat="1">
      <c r="A28" s="119">
        <v>45548</v>
      </c>
      <c r="B28" s="44">
        <v>2</v>
      </c>
      <c r="C28" s="44">
        <v>5682637</v>
      </c>
      <c r="D28" s="44" t="s">
        <v>92</v>
      </c>
      <c r="E28" s="120">
        <v>93867</v>
      </c>
      <c r="F28" s="44">
        <v>22015</v>
      </c>
      <c r="G28" s="121">
        <v>19</v>
      </c>
      <c r="H28" s="136" t="s">
        <v>135</v>
      </c>
      <c r="I28" s="122">
        <v>0</v>
      </c>
      <c r="J28" s="123">
        <v>0</v>
      </c>
      <c r="K28" s="128">
        <v>0</v>
      </c>
      <c r="L28" s="124">
        <v>0</v>
      </c>
      <c r="M28" s="122">
        <v>0</v>
      </c>
      <c r="N28" s="125">
        <v>0</v>
      </c>
      <c r="O28" s="121">
        <v>0</v>
      </c>
      <c r="P28" s="124">
        <v>0</v>
      </c>
      <c r="Q28" s="121">
        <v>0</v>
      </c>
      <c r="R28" s="124">
        <v>0</v>
      </c>
      <c r="S28" s="122">
        <v>0</v>
      </c>
      <c r="T28" s="124">
        <v>0</v>
      </c>
      <c r="U28" s="124">
        <v>0</v>
      </c>
      <c r="V28" s="42">
        <f t="shared" si="4"/>
        <v>19</v>
      </c>
      <c r="W28" s="126"/>
      <c r="X28" s="126"/>
      <c r="Y28" s="126"/>
      <c r="Z28" s="126"/>
      <c r="AA28" s="126"/>
      <c r="AB28" s="126"/>
      <c r="AC28" s="150">
        <f t="shared" si="2"/>
        <v>19</v>
      </c>
      <c r="AD28" s="127"/>
      <c r="AE28" s="128"/>
      <c r="AF28" s="120"/>
    </row>
    <row r="29" spans="1:32" s="43" customFormat="1">
      <c r="A29" s="119">
        <v>45548</v>
      </c>
      <c r="B29" s="44">
        <v>2</v>
      </c>
      <c r="C29" s="44">
        <v>5682637</v>
      </c>
      <c r="D29" s="44" t="s">
        <v>92</v>
      </c>
      <c r="E29" s="120">
        <v>93892</v>
      </c>
      <c r="F29" s="44">
        <v>22016</v>
      </c>
      <c r="G29" s="121">
        <v>2</v>
      </c>
      <c r="H29" s="136" t="s">
        <v>136</v>
      </c>
      <c r="I29" s="122">
        <v>0</v>
      </c>
      <c r="J29" s="123">
        <v>0</v>
      </c>
      <c r="K29" s="128">
        <v>0</v>
      </c>
      <c r="L29" s="124">
        <v>0</v>
      </c>
      <c r="M29" s="122">
        <v>0</v>
      </c>
      <c r="N29" s="125">
        <v>0</v>
      </c>
      <c r="O29" s="121">
        <v>0</v>
      </c>
      <c r="P29" s="124">
        <v>0</v>
      </c>
      <c r="Q29" s="121">
        <v>0</v>
      </c>
      <c r="R29" s="124">
        <v>0</v>
      </c>
      <c r="S29" s="122">
        <v>0</v>
      </c>
      <c r="T29" s="124">
        <v>0</v>
      </c>
      <c r="U29" s="124">
        <v>0</v>
      </c>
      <c r="V29" s="42">
        <f t="shared" si="4"/>
        <v>2</v>
      </c>
      <c r="W29" s="126"/>
      <c r="X29" s="126"/>
      <c r="Y29" s="126"/>
      <c r="Z29" s="126"/>
      <c r="AA29" s="126"/>
      <c r="AB29" s="126"/>
      <c r="AC29" s="150">
        <f t="shared" si="2"/>
        <v>2</v>
      </c>
      <c r="AD29" s="127"/>
      <c r="AE29" s="128"/>
      <c r="AF29" s="120"/>
    </row>
    <row r="30" spans="1:32" s="43" customFormat="1">
      <c r="A30" s="119">
        <v>45624</v>
      </c>
      <c r="B30" s="44">
        <v>2</v>
      </c>
      <c r="C30" s="44">
        <v>5737945</v>
      </c>
      <c r="D30" s="44" t="s">
        <v>92</v>
      </c>
      <c r="E30" s="120">
        <v>93992</v>
      </c>
      <c r="F30" s="44">
        <v>22403</v>
      </c>
      <c r="G30" s="121">
        <v>16</v>
      </c>
      <c r="H30" s="136" t="s">
        <v>137</v>
      </c>
      <c r="I30" s="122">
        <v>0</v>
      </c>
      <c r="J30" s="123">
        <v>0</v>
      </c>
      <c r="K30" s="128">
        <v>0</v>
      </c>
      <c r="L30" s="124">
        <v>0</v>
      </c>
      <c r="M30" s="122">
        <v>0</v>
      </c>
      <c r="N30" s="125">
        <v>0</v>
      </c>
      <c r="O30" s="121">
        <v>0</v>
      </c>
      <c r="P30" s="124">
        <v>0</v>
      </c>
      <c r="Q30" s="121">
        <v>0</v>
      </c>
      <c r="R30" s="124">
        <v>0</v>
      </c>
      <c r="S30" s="122">
        <v>0</v>
      </c>
      <c r="T30" s="124">
        <v>0</v>
      </c>
      <c r="U30" s="124">
        <v>0</v>
      </c>
      <c r="V30" s="42">
        <f t="shared" si="4"/>
        <v>16</v>
      </c>
      <c r="W30" s="184"/>
      <c r="X30" s="126"/>
      <c r="Y30" s="126"/>
      <c r="Z30" s="126"/>
      <c r="AA30" s="126"/>
      <c r="AB30" s="126"/>
      <c r="AC30" s="150">
        <f t="shared" si="2"/>
        <v>16</v>
      </c>
      <c r="AD30" s="127"/>
      <c r="AE30" s="128"/>
      <c r="AF30" s="120"/>
    </row>
    <row r="31" spans="1:32">
      <c r="A31" s="119">
        <v>45654</v>
      </c>
      <c r="B31" s="44">
        <v>3</v>
      </c>
      <c r="C31" s="44">
        <v>5737991</v>
      </c>
      <c r="D31" s="44" t="s">
        <v>92</v>
      </c>
      <c r="E31" s="120">
        <v>94001</v>
      </c>
      <c r="F31" s="44">
        <v>22506</v>
      </c>
      <c r="G31" s="121">
        <v>33</v>
      </c>
      <c r="H31" s="136" t="s">
        <v>139</v>
      </c>
      <c r="I31" s="122">
        <v>0</v>
      </c>
      <c r="J31" s="123">
        <v>0</v>
      </c>
      <c r="K31" s="128">
        <v>0</v>
      </c>
      <c r="L31" s="124">
        <v>0</v>
      </c>
      <c r="M31" s="122">
        <v>0</v>
      </c>
      <c r="N31" s="125">
        <v>0</v>
      </c>
      <c r="O31" s="121">
        <v>0</v>
      </c>
      <c r="P31" s="124">
        <v>0</v>
      </c>
      <c r="Q31" s="121">
        <v>0</v>
      </c>
      <c r="R31" s="124">
        <v>0</v>
      </c>
      <c r="S31" s="122">
        <v>0</v>
      </c>
      <c r="T31" s="124">
        <v>0</v>
      </c>
      <c r="U31" s="124">
        <v>0</v>
      </c>
      <c r="V31" s="42">
        <f t="shared" ref="V31:V90" si="5">+G31-(SUM(I31:N31,P31,Q31,R31,S31,T31,U31))</f>
        <v>33</v>
      </c>
      <c r="W31" s="126"/>
      <c r="X31" s="126"/>
      <c r="Y31" s="126"/>
      <c r="Z31" s="126"/>
      <c r="AA31" s="126"/>
      <c r="AB31" s="126"/>
      <c r="AC31" s="150">
        <f t="shared" ref="AC31:AC90" si="6">V31-(Y31+X31)</f>
        <v>33</v>
      </c>
      <c r="AD31" s="127"/>
      <c r="AE31" s="128"/>
      <c r="AF31" s="120"/>
    </row>
    <row r="32" spans="1:32">
      <c r="A32" s="119"/>
      <c r="B32" s="44"/>
      <c r="C32" s="44"/>
      <c r="D32" s="44"/>
      <c r="E32" s="120"/>
      <c r="F32" s="44"/>
      <c r="G32" s="121"/>
      <c r="H32" s="136"/>
      <c r="I32" s="122">
        <v>0</v>
      </c>
      <c r="J32" s="123">
        <v>0</v>
      </c>
      <c r="K32" s="128">
        <v>0</v>
      </c>
      <c r="L32" s="124">
        <v>0</v>
      </c>
      <c r="M32" s="122">
        <v>0</v>
      </c>
      <c r="N32" s="125">
        <v>0</v>
      </c>
      <c r="O32" s="121">
        <v>0</v>
      </c>
      <c r="P32" s="124">
        <v>0</v>
      </c>
      <c r="Q32" s="121">
        <v>0</v>
      </c>
      <c r="R32" s="124">
        <v>0</v>
      </c>
      <c r="S32" s="122">
        <v>0</v>
      </c>
      <c r="T32" s="124">
        <v>0</v>
      </c>
      <c r="U32" s="124">
        <v>0</v>
      </c>
      <c r="V32" s="42">
        <f t="shared" si="5"/>
        <v>0</v>
      </c>
      <c r="W32" s="126"/>
      <c r="X32" s="126"/>
      <c r="Y32" s="126"/>
      <c r="Z32" s="126"/>
      <c r="AA32" s="126"/>
      <c r="AB32" s="126"/>
      <c r="AC32" s="150">
        <f t="shared" si="6"/>
        <v>0</v>
      </c>
      <c r="AD32" s="127"/>
      <c r="AE32" s="128"/>
      <c r="AF32" s="120"/>
    </row>
    <row r="33" spans="1:32">
      <c r="A33" s="119"/>
      <c r="B33" s="44"/>
      <c r="C33" s="44"/>
      <c r="D33" s="44"/>
      <c r="E33" s="120"/>
      <c r="F33" s="44"/>
      <c r="G33" s="121"/>
      <c r="H33" s="136"/>
      <c r="I33" s="122">
        <v>0</v>
      </c>
      <c r="J33" s="123">
        <v>0</v>
      </c>
      <c r="K33" s="128">
        <v>0</v>
      </c>
      <c r="L33" s="124">
        <v>0</v>
      </c>
      <c r="M33" s="122">
        <v>0</v>
      </c>
      <c r="N33" s="125">
        <v>0</v>
      </c>
      <c r="O33" s="121">
        <v>0</v>
      </c>
      <c r="P33" s="124">
        <v>0</v>
      </c>
      <c r="Q33" s="121">
        <v>0</v>
      </c>
      <c r="R33" s="124">
        <v>0</v>
      </c>
      <c r="S33" s="122">
        <v>0</v>
      </c>
      <c r="T33" s="124">
        <v>0</v>
      </c>
      <c r="U33" s="124">
        <v>0</v>
      </c>
      <c r="V33" s="42">
        <f t="shared" si="5"/>
        <v>0</v>
      </c>
      <c r="W33" s="126"/>
      <c r="X33" s="126"/>
      <c r="Y33" s="126"/>
      <c r="Z33" s="126"/>
      <c r="AA33" s="126"/>
      <c r="AB33" s="126"/>
      <c r="AC33" s="150">
        <f t="shared" si="6"/>
        <v>0</v>
      </c>
      <c r="AD33" s="127"/>
      <c r="AE33" s="128"/>
      <c r="AF33" s="120"/>
    </row>
    <row r="34" spans="1:32">
      <c r="A34" s="119"/>
      <c r="B34" s="44"/>
      <c r="C34" s="44"/>
      <c r="D34" s="44"/>
      <c r="E34" s="120"/>
      <c r="F34" s="44"/>
      <c r="G34" s="121"/>
      <c r="H34" s="136"/>
      <c r="I34" s="122">
        <v>0</v>
      </c>
      <c r="J34" s="123">
        <v>0</v>
      </c>
      <c r="K34" s="128">
        <v>0</v>
      </c>
      <c r="L34" s="124">
        <v>0</v>
      </c>
      <c r="M34" s="122">
        <v>0</v>
      </c>
      <c r="N34" s="125">
        <v>0</v>
      </c>
      <c r="O34" s="121">
        <v>0</v>
      </c>
      <c r="P34" s="124">
        <v>0</v>
      </c>
      <c r="Q34" s="121">
        <v>0</v>
      </c>
      <c r="R34" s="124">
        <v>0</v>
      </c>
      <c r="S34" s="122">
        <v>0</v>
      </c>
      <c r="T34" s="124">
        <v>0</v>
      </c>
      <c r="U34" s="124">
        <v>0</v>
      </c>
      <c r="V34" s="42">
        <f t="shared" si="5"/>
        <v>0</v>
      </c>
      <c r="W34" s="126"/>
      <c r="X34" s="126"/>
      <c r="Y34" s="126"/>
      <c r="Z34" s="126"/>
      <c r="AA34" s="126"/>
      <c r="AB34" s="126"/>
      <c r="AC34" s="150">
        <f t="shared" si="6"/>
        <v>0</v>
      </c>
      <c r="AD34" s="127"/>
      <c r="AE34" s="128"/>
      <c r="AF34" s="120"/>
    </row>
    <row r="35" spans="1:32">
      <c r="A35" s="119"/>
      <c r="B35" s="44"/>
      <c r="C35" s="44"/>
      <c r="D35" s="44"/>
      <c r="E35" s="120"/>
      <c r="F35" s="44"/>
      <c r="G35" s="121"/>
      <c r="H35" s="136"/>
      <c r="I35" s="122">
        <v>0</v>
      </c>
      <c r="J35" s="123">
        <v>0</v>
      </c>
      <c r="K35" s="128">
        <v>0</v>
      </c>
      <c r="L35" s="124">
        <v>0</v>
      </c>
      <c r="M35" s="122">
        <v>0</v>
      </c>
      <c r="N35" s="125">
        <v>0</v>
      </c>
      <c r="O35" s="121">
        <v>0</v>
      </c>
      <c r="P35" s="124">
        <v>0</v>
      </c>
      <c r="Q35" s="121">
        <v>0</v>
      </c>
      <c r="R35" s="124">
        <v>0</v>
      </c>
      <c r="S35" s="122">
        <v>0</v>
      </c>
      <c r="T35" s="124">
        <v>0</v>
      </c>
      <c r="U35" s="124">
        <v>0</v>
      </c>
      <c r="V35" s="42">
        <f t="shared" si="5"/>
        <v>0</v>
      </c>
      <c r="W35" s="126"/>
      <c r="X35" s="126"/>
      <c r="Y35" s="126"/>
      <c r="Z35" s="126"/>
      <c r="AA35" s="126"/>
      <c r="AB35" s="126"/>
      <c r="AC35" s="150">
        <f t="shared" si="6"/>
        <v>0</v>
      </c>
      <c r="AD35" s="127"/>
      <c r="AE35" s="128"/>
      <c r="AF35" s="120"/>
    </row>
    <row r="36" spans="1:32">
      <c r="A36" s="119"/>
      <c r="B36" s="44"/>
      <c r="C36" s="44"/>
      <c r="D36" s="44"/>
      <c r="E36" s="120"/>
      <c r="F36" s="44"/>
      <c r="G36" s="121"/>
      <c r="H36" s="136"/>
      <c r="I36" s="122">
        <v>0</v>
      </c>
      <c r="J36" s="123">
        <v>0</v>
      </c>
      <c r="K36" s="128">
        <v>0</v>
      </c>
      <c r="L36" s="124">
        <v>0</v>
      </c>
      <c r="M36" s="122">
        <v>0</v>
      </c>
      <c r="N36" s="125">
        <v>0</v>
      </c>
      <c r="O36" s="121">
        <v>0</v>
      </c>
      <c r="P36" s="124">
        <v>0</v>
      </c>
      <c r="Q36" s="121">
        <v>0</v>
      </c>
      <c r="R36" s="124">
        <v>0</v>
      </c>
      <c r="S36" s="122">
        <v>0</v>
      </c>
      <c r="T36" s="124">
        <v>0</v>
      </c>
      <c r="U36" s="124">
        <v>0</v>
      </c>
      <c r="V36" s="42">
        <f t="shared" si="5"/>
        <v>0</v>
      </c>
      <c r="W36" s="126"/>
      <c r="X36" s="126"/>
      <c r="Y36" s="126"/>
      <c r="Z36" s="126"/>
      <c r="AA36" s="126"/>
      <c r="AB36" s="126"/>
      <c r="AC36" s="150">
        <f t="shared" si="6"/>
        <v>0</v>
      </c>
      <c r="AD36" s="127"/>
      <c r="AE36" s="128"/>
      <c r="AF36" s="120"/>
    </row>
    <row r="37" spans="1:32">
      <c r="A37" s="119"/>
      <c r="B37" s="44"/>
      <c r="C37" s="44"/>
      <c r="D37" s="44"/>
      <c r="E37" s="120"/>
      <c r="F37" s="44"/>
      <c r="G37" s="121"/>
      <c r="H37" s="136"/>
      <c r="I37" s="122">
        <v>0</v>
      </c>
      <c r="J37" s="123">
        <v>0</v>
      </c>
      <c r="K37" s="128">
        <v>0</v>
      </c>
      <c r="L37" s="124">
        <v>0</v>
      </c>
      <c r="M37" s="122">
        <v>0</v>
      </c>
      <c r="N37" s="125">
        <v>0</v>
      </c>
      <c r="O37" s="121">
        <v>0</v>
      </c>
      <c r="P37" s="124">
        <v>0</v>
      </c>
      <c r="Q37" s="121">
        <v>0</v>
      </c>
      <c r="R37" s="124">
        <v>0</v>
      </c>
      <c r="S37" s="122">
        <v>0</v>
      </c>
      <c r="T37" s="124">
        <v>0</v>
      </c>
      <c r="U37" s="124">
        <v>0</v>
      </c>
      <c r="V37" s="42">
        <f t="shared" si="5"/>
        <v>0</v>
      </c>
      <c r="W37" s="126"/>
      <c r="X37" s="126"/>
      <c r="Y37" s="126"/>
      <c r="Z37" s="126"/>
      <c r="AA37" s="126"/>
      <c r="AB37" s="126"/>
      <c r="AC37" s="150">
        <f t="shared" si="6"/>
        <v>0</v>
      </c>
      <c r="AD37" s="127"/>
      <c r="AE37" s="128"/>
      <c r="AF37" s="120"/>
    </row>
    <row r="38" spans="1:32">
      <c r="A38" s="119"/>
      <c r="B38" s="44"/>
      <c r="C38" s="44"/>
      <c r="D38" s="44"/>
      <c r="E38" s="120"/>
      <c r="F38" s="44"/>
      <c r="G38" s="121"/>
      <c r="H38" s="136"/>
      <c r="I38" s="122">
        <v>0</v>
      </c>
      <c r="J38" s="123">
        <v>0</v>
      </c>
      <c r="K38" s="128">
        <v>0</v>
      </c>
      <c r="L38" s="124">
        <v>0</v>
      </c>
      <c r="M38" s="122">
        <v>0</v>
      </c>
      <c r="N38" s="125">
        <v>0</v>
      </c>
      <c r="O38" s="121">
        <v>0</v>
      </c>
      <c r="P38" s="124">
        <v>0</v>
      </c>
      <c r="Q38" s="121">
        <v>0</v>
      </c>
      <c r="R38" s="124">
        <v>0</v>
      </c>
      <c r="S38" s="122">
        <v>0</v>
      </c>
      <c r="T38" s="124">
        <v>0</v>
      </c>
      <c r="U38" s="124">
        <v>0</v>
      </c>
      <c r="V38" s="42">
        <f t="shared" si="5"/>
        <v>0</v>
      </c>
      <c r="W38" s="126"/>
      <c r="X38" s="126"/>
      <c r="Y38" s="126"/>
      <c r="Z38" s="126"/>
      <c r="AA38" s="126"/>
      <c r="AB38" s="126"/>
      <c r="AC38" s="150">
        <f t="shared" si="6"/>
        <v>0</v>
      </c>
      <c r="AD38" s="127"/>
      <c r="AE38" s="128"/>
      <c r="AF38" s="120"/>
    </row>
    <row r="39" spans="1:32">
      <c r="A39" s="119"/>
      <c r="B39" s="44"/>
      <c r="C39" s="44"/>
      <c r="D39" s="44"/>
      <c r="E39" s="120"/>
      <c r="F39" s="44"/>
      <c r="G39" s="121"/>
      <c r="H39" s="136"/>
      <c r="I39" s="122">
        <v>0</v>
      </c>
      <c r="J39" s="123">
        <v>0</v>
      </c>
      <c r="K39" s="128">
        <v>0</v>
      </c>
      <c r="L39" s="124">
        <v>0</v>
      </c>
      <c r="M39" s="122">
        <v>0</v>
      </c>
      <c r="N39" s="125">
        <v>0</v>
      </c>
      <c r="O39" s="121">
        <v>0</v>
      </c>
      <c r="P39" s="124">
        <v>0</v>
      </c>
      <c r="Q39" s="121">
        <v>0</v>
      </c>
      <c r="R39" s="124">
        <v>0</v>
      </c>
      <c r="S39" s="122">
        <v>0</v>
      </c>
      <c r="T39" s="124">
        <v>0</v>
      </c>
      <c r="U39" s="124">
        <v>0</v>
      </c>
      <c r="V39" s="42">
        <f t="shared" si="5"/>
        <v>0</v>
      </c>
      <c r="W39" s="126"/>
      <c r="X39" s="126"/>
      <c r="Y39" s="126"/>
      <c r="Z39" s="126"/>
      <c r="AA39" s="126"/>
      <c r="AB39" s="126"/>
      <c r="AC39" s="150">
        <f t="shared" si="6"/>
        <v>0</v>
      </c>
      <c r="AD39" s="127"/>
      <c r="AE39" s="128"/>
      <c r="AF39" s="120"/>
    </row>
    <row r="40" spans="1:32">
      <c r="A40" s="119"/>
      <c r="B40" s="44"/>
      <c r="C40" s="44"/>
      <c r="D40" s="44"/>
      <c r="E40" s="120"/>
      <c r="F40" s="44"/>
      <c r="G40" s="121"/>
      <c r="H40" s="136"/>
      <c r="I40" s="122">
        <v>0</v>
      </c>
      <c r="J40" s="123">
        <v>0</v>
      </c>
      <c r="K40" s="128">
        <v>0</v>
      </c>
      <c r="L40" s="124">
        <v>0</v>
      </c>
      <c r="M40" s="122">
        <v>0</v>
      </c>
      <c r="N40" s="125">
        <v>0</v>
      </c>
      <c r="O40" s="121">
        <v>0</v>
      </c>
      <c r="P40" s="124">
        <v>0</v>
      </c>
      <c r="Q40" s="121">
        <v>0</v>
      </c>
      <c r="R40" s="124">
        <v>0</v>
      </c>
      <c r="S40" s="122">
        <v>0</v>
      </c>
      <c r="T40" s="124">
        <v>0</v>
      </c>
      <c r="U40" s="124">
        <v>0</v>
      </c>
      <c r="V40" s="42">
        <f t="shared" si="5"/>
        <v>0</v>
      </c>
      <c r="W40" s="126"/>
      <c r="X40" s="126"/>
      <c r="Y40" s="126"/>
      <c r="Z40" s="126"/>
      <c r="AA40" s="126"/>
      <c r="AB40" s="126"/>
      <c r="AC40" s="150">
        <f t="shared" si="6"/>
        <v>0</v>
      </c>
      <c r="AD40" s="127"/>
      <c r="AE40" s="128"/>
      <c r="AF40" s="120"/>
    </row>
    <row r="41" spans="1:32">
      <c r="A41" s="119"/>
      <c r="B41" s="44"/>
      <c r="C41" s="44"/>
      <c r="D41" s="44"/>
      <c r="E41" s="120"/>
      <c r="F41" s="44"/>
      <c r="G41" s="121"/>
      <c r="H41" s="136"/>
      <c r="I41" s="122">
        <v>0</v>
      </c>
      <c r="J41" s="123">
        <v>0</v>
      </c>
      <c r="K41" s="128">
        <v>0</v>
      </c>
      <c r="L41" s="124">
        <v>0</v>
      </c>
      <c r="M41" s="122">
        <v>0</v>
      </c>
      <c r="N41" s="125">
        <v>0</v>
      </c>
      <c r="O41" s="121">
        <v>0</v>
      </c>
      <c r="P41" s="124">
        <v>0</v>
      </c>
      <c r="Q41" s="121">
        <v>0</v>
      </c>
      <c r="R41" s="124">
        <v>0</v>
      </c>
      <c r="S41" s="122">
        <v>0</v>
      </c>
      <c r="T41" s="124">
        <v>0</v>
      </c>
      <c r="U41" s="124">
        <v>0</v>
      </c>
      <c r="V41" s="42">
        <f t="shared" si="5"/>
        <v>0</v>
      </c>
      <c r="W41" s="126"/>
      <c r="X41" s="126"/>
      <c r="Y41" s="126"/>
      <c r="Z41" s="126"/>
      <c r="AA41" s="126"/>
      <c r="AB41" s="126"/>
      <c r="AC41" s="150">
        <f t="shared" si="6"/>
        <v>0</v>
      </c>
      <c r="AD41" s="127"/>
      <c r="AE41" s="128"/>
      <c r="AF41" s="120"/>
    </row>
    <row r="42" spans="1:32">
      <c r="A42" s="119"/>
      <c r="B42" s="44"/>
      <c r="C42" s="44"/>
      <c r="D42" s="44"/>
      <c r="E42" s="120"/>
      <c r="F42" s="44"/>
      <c r="G42" s="121"/>
      <c r="H42" s="136"/>
      <c r="I42" s="122">
        <v>0</v>
      </c>
      <c r="J42" s="123">
        <v>0</v>
      </c>
      <c r="K42" s="128">
        <v>0</v>
      </c>
      <c r="L42" s="124">
        <v>0</v>
      </c>
      <c r="M42" s="122">
        <v>0</v>
      </c>
      <c r="N42" s="125">
        <v>0</v>
      </c>
      <c r="O42" s="121">
        <v>0</v>
      </c>
      <c r="P42" s="124">
        <v>0</v>
      </c>
      <c r="Q42" s="121">
        <v>0</v>
      </c>
      <c r="R42" s="124">
        <v>0</v>
      </c>
      <c r="S42" s="122">
        <v>0</v>
      </c>
      <c r="T42" s="124">
        <v>0</v>
      </c>
      <c r="U42" s="124">
        <v>0</v>
      </c>
      <c r="V42" s="42">
        <f t="shared" si="5"/>
        <v>0</v>
      </c>
      <c r="W42" s="126"/>
      <c r="X42" s="126"/>
      <c r="Y42" s="126"/>
      <c r="Z42" s="126"/>
      <c r="AA42" s="126"/>
      <c r="AB42" s="126"/>
      <c r="AC42" s="150">
        <f t="shared" si="6"/>
        <v>0</v>
      </c>
      <c r="AD42" s="127"/>
      <c r="AE42" s="128"/>
      <c r="AF42" s="120"/>
    </row>
    <row r="43" spans="1:32">
      <c r="A43" s="119"/>
      <c r="B43" s="44"/>
      <c r="C43" s="44"/>
      <c r="D43" s="44"/>
      <c r="E43" s="120"/>
      <c r="F43" s="44"/>
      <c r="G43" s="121"/>
      <c r="H43" s="136"/>
      <c r="I43" s="122">
        <v>0</v>
      </c>
      <c r="J43" s="123">
        <v>0</v>
      </c>
      <c r="K43" s="128">
        <v>0</v>
      </c>
      <c r="L43" s="124">
        <v>0</v>
      </c>
      <c r="M43" s="122">
        <v>0</v>
      </c>
      <c r="N43" s="125">
        <v>0</v>
      </c>
      <c r="O43" s="121">
        <v>0</v>
      </c>
      <c r="P43" s="124">
        <v>0</v>
      </c>
      <c r="Q43" s="121">
        <v>0</v>
      </c>
      <c r="R43" s="124">
        <v>0</v>
      </c>
      <c r="S43" s="122">
        <v>0</v>
      </c>
      <c r="T43" s="124">
        <v>0</v>
      </c>
      <c r="U43" s="124">
        <v>0</v>
      </c>
      <c r="V43" s="42">
        <f t="shared" si="5"/>
        <v>0</v>
      </c>
      <c r="W43" s="126"/>
      <c r="X43" s="126"/>
      <c r="Y43" s="126"/>
      <c r="Z43" s="126"/>
      <c r="AA43" s="126"/>
      <c r="AB43" s="126"/>
      <c r="AC43" s="150">
        <f t="shared" si="6"/>
        <v>0</v>
      </c>
      <c r="AD43" s="127"/>
      <c r="AE43" s="128"/>
      <c r="AF43" s="120"/>
    </row>
    <row r="44" spans="1:32">
      <c r="A44" s="119"/>
      <c r="B44" s="44"/>
      <c r="C44" s="44"/>
      <c r="D44" s="44"/>
      <c r="E44" s="120"/>
      <c r="F44" s="44"/>
      <c r="G44" s="121"/>
      <c r="H44" s="136"/>
      <c r="I44" s="122">
        <v>0</v>
      </c>
      <c r="J44" s="123">
        <v>0</v>
      </c>
      <c r="K44" s="128">
        <v>0</v>
      </c>
      <c r="L44" s="124">
        <v>0</v>
      </c>
      <c r="M44" s="122">
        <v>0</v>
      </c>
      <c r="N44" s="125">
        <v>0</v>
      </c>
      <c r="O44" s="121">
        <v>0</v>
      </c>
      <c r="P44" s="124">
        <v>0</v>
      </c>
      <c r="Q44" s="121">
        <v>0</v>
      </c>
      <c r="R44" s="124">
        <v>0</v>
      </c>
      <c r="S44" s="122">
        <v>0</v>
      </c>
      <c r="T44" s="124">
        <v>0</v>
      </c>
      <c r="U44" s="124">
        <v>0</v>
      </c>
      <c r="V44" s="42">
        <f t="shared" si="5"/>
        <v>0</v>
      </c>
      <c r="W44" s="126"/>
      <c r="X44" s="126"/>
      <c r="Y44" s="126"/>
      <c r="Z44" s="126"/>
      <c r="AA44" s="126"/>
      <c r="AB44" s="126"/>
      <c r="AC44" s="150">
        <f t="shared" si="6"/>
        <v>0</v>
      </c>
      <c r="AD44" s="127"/>
      <c r="AE44" s="128"/>
      <c r="AF44" s="120"/>
    </row>
    <row r="45" spans="1:32">
      <c r="A45" s="119"/>
      <c r="B45" s="44"/>
      <c r="C45" s="44"/>
      <c r="D45" s="44"/>
      <c r="E45" s="120"/>
      <c r="F45" s="44"/>
      <c r="G45" s="121"/>
      <c r="H45" s="136"/>
      <c r="I45" s="122">
        <v>0</v>
      </c>
      <c r="J45" s="123">
        <v>0</v>
      </c>
      <c r="K45" s="128">
        <v>0</v>
      </c>
      <c r="L45" s="124">
        <v>0</v>
      </c>
      <c r="M45" s="122">
        <v>0</v>
      </c>
      <c r="N45" s="125">
        <v>0</v>
      </c>
      <c r="O45" s="121">
        <v>0</v>
      </c>
      <c r="P45" s="124">
        <v>0</v>
      </c>
      <c r="Q45" s="121">
        <v>0</v>
      </c>
      <c r="R45" s="124">
        <v>0</v>
      </c>
      <c r="S45" s="122">
        <v>0</v>
      </c>
      <c r="T45" s="124">
        <v>0</v>
      </c>
      <c r="U45" s="124">
        <v>0</v>
      </c>
      <c r="V45" s="42">
        <f t="shared" si="5"/>
        <v>0</v>
      </c>
      <c r="W45" s="126"/>
      <c r="X45" s="126"/>
      <c r="Y45" s="126"/>
      <c r="Z45" s="126"/>
      <c r="AA45" s="126"/>
      <c r="AB45" s="126"/>
      <c r="AC45" s="150">
        <f t="shared" si="6"/>
        <v>0</v>
      </c>
      <c r="AD45" s="127"/>
      <c r="AE45" s="128"/>
      <c r="AF45" s="120"/>
    </row>
    <row r="46" spans="1:32">
      <c r="A46" s="119"/>
      <c r="B46" s="44"/>
      <c r="C46" s="44"/>
      <c r="D46" s="44"/>
      <c r="E46" s="120"/>
      <c r="F46" s="44"/>
      <c r="G46" s="121"/>
      <c r="H46" s="136"/>
      <c r="I46" s="122">
        <v>0</v>
      </c>
      <c r="J46" s="123">
        <v>0</v>
      </c>
      <c r="K46" s="128">
        <v>0</v>
      </c>
      <c r="L46" s="124">
        <v>0</v>
      </c>
      <c r="M46" s="122">
        <v>0</v>
      </c>
      <c r="N46" s="125">
        <v>0</v>
      </c>
      <c r="O46" s="121">
        <v>0</v>
      </c>
      <c r="P46" s="124">
        <v>0</v>
      </c>
      <c r="Q46" s="121">
        <v>0</v>
      </c>
      <c r="R46" s="124">
        <v>0</v>
      </c>
      <c r="S46" s="122">
        <v>0</v>
      </c>
      <c r="T46" s="124">
        <v>0</v>
      </c>
      <c r="U46" s="124">
        <v>0</v>
      </c>
      <c r="V46" s="42">
        <f t="shared" si="5"/>
        <v>0</v>
      </c>
      <c r="W46" s="126"/>
      <c r="X46" s="126"/>
      <c r="Y46" s="126"/>
      <c r="Z46" s="126"/>
      <c r="AA46" s="126"/>
      <c r="AB46" s="126"/>
      <c r="AC46" s="150">
        <f t="shared" si="6"/>
        <v>0</v>
      </c>
      <c r="AD46" s="127"/>
      <c r="AE46" s="128"/>
      <c r="AF46" s="120"/>
    </row>
    <row r="47" spans="1:32">
      <c r="A47" s="119"/>
      <c r="B47" s="44"/>
      <c r="C47" s="44"/>
      <c r="D47" s="44"/>
      <c r="E47" s="120"/>
      <c r="F47" s="44"/>
      <c r="G47" s="121"/>
      <c r="H47" s="136"/>
      <c r="I47" s="122">
        <v>0</v>
      </c>
      <c r="J47" s="123">
        <v>0</v>
      </c>
      <c r="K47" s="128">
        <v>0</v>
      </c>
      <c r="L47" s="124">
        <v>0</v>
      </c>
      <c r="M47" s="122">
        <v>0</v>
      </c>
      <c r="N47" s="125">
        <v>0</v>
      </c>
      <c r="O47" s="121">
        <v>0</v>
      </c>
      <c r="P47" s="124">
        <v>0</v>
      </c>
      <c r="Q47" s="121">
        <v>0</v>
      </c>
      <c r="R47" s="124">
        <v>0</v>
      </c>
      <c r="S47" s="122">
        <v>0</v>
      </c>
      <c r="T47" s="124">
        <v>0</v>
      </c>
      <c r="U47" s="124">
        <v>0</v>
      </c>
      <c r="V47" s="42">
        <f t="shared" si="5"/>
        <v>0</v>
      </c>
      <c r="W47" s="126"/>
      <c r="X47" s="126"/>
      <c r="Y47" s="126"/>
      <c r="Z47" s="126"/>
      <c r="AA47" s="126"/>
      <c r="AB47" s="126"/>
      <c r="AC47" s="150">
        <f t="shared" si="6"/>
        <v>0</v>
      </c>
      <c r="AD47" s="127"/>
      <c r="AE47" s="128"/>
      <c r="AF47" s="120"/>
    </row>
    <row r="48" spans="1:32">
      <c r="A48" s="119"/>
      <c r="B48" s="44"/>
      <c r="C48" s="44"/>
      <c r="D48" s="44"/>
      <c r="E48" s="120"/>
      <c r="F48" s="44"/>
      <c r="G48" s="121"/>
      <c r="H48" s="136"/>
      <c r="I48" s="122">
        <v>0</v>
      </c>
      <c r="J48" s="123">
        <v>0</v>
      </c>
      <c r="K48" s="128">
        <v>0</v>
      </c>
      <c r="L48" s="124">
        <v>0</v>
      </c>
      <c r="M48" s="122">
        <v>0</v>
      </c>
      <c r="N48" s="125">
        <v>0</v>
      </c>
      <c r="O48" s="121">
        <v>0</v>
      </c>
      <c r="P48" s="124">
        <v>0</v>
      </c>
      <c r="Q48" s="121">
        <v>0</v>
      </c>
      <c r="R48" s="124">
        <v>0</v>
      </c>
      <c r="S48" s="122">
        <v>0</v>
      </c>
      <c r="T48" s="124">
        <v>0</v>
      </c>
      <c r="U48" s="124">
        <v>0</v>
      </c>
      <c r="V48" s="42">
        <f t="shared" si="5"/>
        <v>0</v>
      </c>
      <c r="W48" s="126"/>
      <c r="X48" s="126"/>
      <c r="Y48" s="126"/>
      <c r="Z48" s="126"/>
      <c r="AA48" s="126"/>
      <c r="AB48" s="126"/>
      <c r="AC48" s="150">
        <f t="shared" si="6"/>
        <v>0</v>
      </c>
      <c r="AD48" s="127"/>
      <c r="AE48" s="128"/>
      <c r="AF48" s="120"/>
    </row>
    <row r="49" spans="1:32">
      <c r="A49" s="119"/>
      <c r="B49" s="44"/>
      <c r="C49" s="44"/>
      <c r="D49" s="44"/>
      <c r="E49" s="120"/>
      <c r="F49" s="44"/>
      <c r="G49" s="121"/>
      <c r="H49" s="136"/>
      <c r="I49" s="122">
        <v>0</v>
      </c>
      <c r="J49" s="123">
        <v>0</v>
      </c>
      <c r="K49" s="128">
        <v>0</v>
      </c>
      <c r="L49" s="124">
        <v>0</v>
      </c>
      <c r="M49" s="122">
        <v>0</v>
      </c>
      <c r="N49" s="125">
        <v>0</v>
      </c>
      <c r="O49" s="121">
        <v>0</v>
      </c>
      <c r="P49" s="124">
        <v>0</v>
      </c>
      <c r="Q49" s="121">
        <v>0</v>
      </c>
      <c r="R49" s="124">
        <v>0</v>
      </c>
      <c r="S49" s="122">
        <v>0</v>
      </c>
      <c r="T49" s="124">
        <v>0</v>
      </c>
      <c r="U49" s="124">
        <v>0</v>
      </c>
      <c r="V49" s="42">
        <f t="shared" si="5"/>
        <v>0</v>
      </c>
      <c r="W49" s="126"/>
      <c r="X49" s="126"/>
      <c r="Y49" s="126"/>
      <c r="Z49" s="126"/>
      <c r="AA49" s="126"/>
      <c r="AB49" s="126"/>
      <c r="AC49" s="150">
        <f t="shared" si="6"/>
        <v>0</v>
      </c>
      <c r="AD49" s="127"/>
      <c r="AE49" s="128"/>
      <c r="AF49" s="120"/>
    </row>
    <row r="50" spans="1:32">
      <c r="A50" s="119"/>
      <c r="B50" s="44"/>
      <c r="C50" s="44"/>
      <c r="D50" s="44"/>
      <c r="E50" s="120"/>
      <c r="F50" s="44"/>
      <c r="G50" s="121"/>
      <c r="H50" s="136"/>
      <c r="I50" s="122">
        <v>0</v>
      </c>
      <c r="J50" s="123">
        <v>0</v>
      </c>
      <c r="K50" s="128">
        <v>0</v>
      </c>
      <c r="L50" s="124">
        <v>0</v>
      </c>
      <c r="M50" s="122">
        <v>0</v>
      </c>
      <c r="N50" s="125">
        <v>0</v>
      </c>
      <c r="O50" s="121">
        <v>0</v>
      </c>
      <c r="P50" s="124">
        <v>0</v>
      </c>
      <c r="Q50" s="121">
        <v>0</v>
      </c>
      <c r="R50" s="124">
        <v>0</v>
      </c>
      <c r="S50" s="122">
        <v>0</v>
      </c>
      <c r="T50" s="124">
        <v>0</v>
      </c>
      <c r="U50" s="124">
        <v>0</v>
      </c>
      <c r="V50" s="42">
        <f t="shared" si="5"/>
        <v>0</v>
      </c>
      <c r="W50" s="126"/>
      <c r="X50" s="126"/>
      <c r="Y50" s="126"/>
      <c r="Z50" s="126"/>
      <c r="AA50" s="126"/>
      <c r="AB50" s="126"/>
      <c r="AC50" s="150">
        <f t="shared" si="6"/>
        <v>0</v>
      </c>
      <c r="AD50" s="127"/>
      <c r="AE50" s="128"/>
      <c r="AF50" s="120"/>
    </row>
    <row r="51" spans="1:32">
      <c r="A51" s="119"/>
      <c r="B51" s="44"/>
      <c r="C51" s="44"/>
      <c r="D51" s="44"/>
      <c r="E51" s="120"/>
      <c r="F51" s="44"/>
      <c r="G51" s="121"/>
      <c r="H51" s="136"/>
      <c r="I51" s="122">
        <v>0</v>
      </c>
      <c r="J51" s="123">
        <v>0</v>
      </c>
      <c r="K51" s="128">
        <v>0</v>
      </c>
      <c r="L51" s="124">
        <v>0</v>
      </c>
      <c r="M51" s="122">
        <v>0</v>
      </c>
      <c r="N51" s="125">
        <v>0</v>
      </c>
      <c r="O51" s="121">
        <v>0</v>
      </c>
      <c r="P51" s="124">
        <v>0</v>
      </c>
      <c r="Q51" s="121">
        <v>0</v>
      </c>
      <c r="R51" s="124">
        <v>0</v>
      </c>
      <c r="S51" s="122">
        <v>0</v>
      </c>
      <c r="T51" s="124">
        <v>0</v>
      </c>
      <c r="U51" s="124">
        <v>0</v>
      </c>
      <c r="V51" s="42">
        <f t="shared" si="5"/>
        <v>0</v>
      </c>
      <c r="W51" s="126"/>
      <c r="X51" s="126"/>
      <c r="Y51" s="126"/>
      <c r="Z51" s="126"/>
      <c r="AA51" s="126"/>
      <c r="AB51" s="126"/>
      <c r="AC51" s="150">
        <f t="shared" si="6"/>
        <v>0</v>
      </c>
      <c r="AD51" s="127"/>
      <c r="AE51" s="128"/>
      <c r="AF51" s="120"/>
    </row>
    <row r="52" spans="1:32">
      <c r="A52" s="119"/>
      <c r="B52" s="44"/>
      <c r="C52" s="44"/>
      <c r="D52" s="44"/>
      <c r="E52" s="120"/>
      <c r="F52" s="44"/>
      <c r="G52" s="121"/>
      <c r="H52" s="136"/>
      <c r="I52" s="122">
        <v>0</v>
      </c>
      <c r="J52" s="123">
        <v>0</v>
      </c>
      <c r="K52" s="128">
        <v>0</v>
      </c>
      <c r="L52" s="124">
        <v>0</v>
      </c>
      <c r="M52" s="122">
        <v>0</v>
      </c>
      <c r="N52" s="125">
        <v>0</v>
      </c>
      <c r="O52" s="121">
        <v>0</v>
      </c>
      <c r="P52" s="124">
        <v>0</v>
      </c>
      <c r="Q52" s="121">
        <v>0</v>
      </c>
      <c r="R52" s="124">
        <v>0</v>
      </c>
      <c r="S52" s="122">
        <v>0</v>
      </c>
      <c r="T52" s="124">
        <v>0</v>
      </c>
      <c r="U52" s="124">
        <v>0</v>
      </c>
      <c r="V52" s="42">
        <f t="shared" si="5"/>
        <v>0</v>
      </c>
      <c r="W52" s="126"/>
      <c r="X52" s="126"/>
      <c r="Y52" s="126"/>
      <c r="Z52" s="126"/>
      <c r="AA52" s="126"/>
      <c r="AB52" s="126"/>
      <c r="AC52" s="150">
        <f t="shared" si="6"/>
        <v>0</v>
      </c>
      <c r="AD52" s="127"/>
      <c r="AE52" s="128"/>
      <c r="AF52" s="120"/>
    </row>
    <row r="53" spans="1:32">
      <c r="A53" s="119"/>
      <c r="B53" s="44"/>
      <c r="C53" s="44"/>
      <c r="D53" s="44"/>
      <c r="E53" s="120"/>
      <c r="F53" s="44"/>
      <c r="G53" s="121"/>
      <c r="H53" s="136"/>
      <c r="I53" s="122">
        <v>0</v>
      </c>
      <c r="J53" s="123">
        <v>0</v>
      </c>
      <c r="K53" s="128">
        <v>0</v>
      </c>
      <c r="L53" s="124">
        <v>0</v>
      </c>
      <c r="M53" s="122">
        <v>0</v>
      </c>
      <c r="N53" s="125">
        <v>0</v>
      </c>
      <c r="O53" s="121">
        <v>0</v>
      </c>
      <c r="P53" s="124">
        <v>0</v>
      </c>
      <c r="Q53" s="121">
        <v>0</v>
      </c>
      <c r="R53" s="124">
        <v>0</v>
      </c>
      <c r="S53" s="122">
        <v>0</v>
      </c>
      <c r="T53" s="124">
        <v>0</v>
      </c>
      <c r="U53" s="124">
        <v>0</v>
      </c>
      <c r="V53" s="42">
        <f t="shared" si="5"/>
        <v>0</v>
      </c>
      <c r="W53" s="126"/>
      <c r="X53" s="126"/>
      <c r="Y53" s="126"/>
      <c r="Z53" s="126"/>
      <c r="AA53" s="126"/>
      <c r="AB53" s="126"/>
      <c r="AC53" s="150">
        <f t="shared" si="6"/>
        <v>0</v>
      </c>
      <c r="AD53" s="127"/>
      <c r="AE53" s="128"/>
      <c r="AF53" s="120"/>
    </row>
    <row r="54" spans="1:32">
      <c r="A54" s="119"/>
      <c r="B54" s="44"/>
      <c r="C54" s="44"/>
      <c r="D54" s="44"/>
      <c r="E54" s="120"/>
      <c r="F54" s="44"/>
      <c r="G54" s="121"/>
      <c r="H54" s="136"/>
      <c r="I54" s="122">
        <v>0</v>
      </c>
      <c r="J54" s="123">
        <v>0</v>
      </c>
      <c r="K54" s="128">
        <v>0</v>
      </c>
      <c r="L54" s="124">
        <v>0</v>
      </c>
      <c r="M54" s="122">
        <v>0</v>
      </c>
      <c r="N54" s="125">
        <v>0</v>
      </c>
      <c r="O54" s="121">
        <v>0</v>
      </c>
      <c r="P54" s="124">
        <v>0</v>
      </c>
      <c r="Q54" s="121">
        <v>0</v>
      </c>
      <c r="R54" s="124">
        <v>0</v>
      </c>
      <c r="S54" s="122">
        <v>0</v>
      </c>
      <c r="T54" s="124">
        <v>0</v>
      </c>
      <c r="U54" s="124">
        <v>0</v>
      </c>
      <c r="V54" s="42">
        <f t="shared" si="5"/>
        <v>0</v>
      </c>
      <c r="W54" s="126"/>
      <c r="X54" s="126"/>
      <c r="Y54" s="126"/>
      <c r="Z54" s="126"/>
      <c r="AA54" s="126"/>
      <c r="AB54" s="126"/>
      <c r="AC54" s="150">
        <f t="shared" si="6"/>
        <v>0</v>
      </c>
      <c r="AD54" s="127"/>
      <c r="AE54" s="128"/>
      <c r="AF54" s="120"/>
    </row>
    <row r="55" spans="1:32">
      <c r="A55" s="119"/>
      <c r="B55" s="44"/>
      <c r="C55" s="44"/>
      <c r="D55" s="44"/>
      <c r="E55" s="120"/>
      <c r="F55" s="44"/>
      <c r="G55" s="121"/>
      <c r="H55" s="136"/>
      <c r="I55" s="122">
        <v>0</v>
      </c>
      <c r="J55" s="123">
        <v>0</v>
      </c>
      <c r="K55" s="128">
        <v>0</v>
      </c>
      <c r="L55" s="124">
        <v>0</v>
      </c>
      <c r="M55" s="122">
        <v>0</v>
      </c>
      <c r="N55" s="125">
        <v>0</v>
      </c>
      <c r="O55" s="121">
        <v>0</v>
      </c>
      <c r="P55" s="124">
        <v>0</v>
      </c>
      <c r="Q55" s="121">
        <v>0</v>
      </c>
      <c r="R55" s="124">
        <v>0</v>
      </c>
      <c r="S55" s="122">
        <v>0</v>
      </c>
      <c r="T55" s="124">
        <v>0</v>
      </c>
      <c r="U55" s="124">
        <v>0</v>
      </c>
      <c r="V55" s="42">
        <f t="shared" si="5"/>
        <v>0</v>
      </c>
      <c r="W55" s="126"/>
      <c r="X55" s="126"/>
      <c r="Y55" s="126"/>
      <c r="Z55" s="126"/>
      <c r="AA55" s="126"/>
      <c r="AB55" s="126"/>
      <c r="AC55" s="150">
        <f t="shared" si="6"/>
        <v>0</v>
      </c>
      <c r="AD55" s="127"/>
      <c r="AE55" s="128"/>
      <c r="AF55" s="120"/>
    </row>
    <row r="56" spans="1:32">
      <c r="A56" s="119"/>
      <c r="B56" s="44"/>
      <c r="C56" s="44"/>
      <c r="D56" s="44"/>
      <c r="E56" s="120"/>
      <c r="F56" s="44"/>
      <c r="G56" s="121"/>
      <c r="H56" s="136"/>
      <c r="I56" s="122">
        <v>0</v>
      </c>
      <c r="J56" s="123">
        <v>0</v>
      </c>
      <c r="K56" s="128">
        <v>0</v>
      </c>
      <c r="L56" s="124">
        <v>0</v>
      </c>
      <c r="M56" s="122">
        <v>0</v>
      </c>
      <c r="N56" s="125">
        <v>0</v>
      </c>
      <c r="O56" s="121">
        <v>0</v>
      </c>
      <c r="P56" s="124">
        <v>0</v>
      </c>
      <c r="Q56" s="121">
        <v>0</v>
      </c>
      <c r="R56" s="124">
        <v>0</v>
      </c>
      <c r="S56" s="122">
        <v>0</v>
      </c>
      <c r="T56" s="124">
        <v>0</v>
      </c>
      <c r="U56" s="124">
        <v>0</v>
      </c>
      <c r="V56" s="42">
        <f t="shared" si="5"/>
        <v>0</v>
      </c>
      <c r="W56" s="126"/>
      <c r="X56" s="126"/>
      <c r="Y56" s="126"/>
      <c r="Z56" s="126"/>
      <c r="AA56" s="126"/>
      <c r="AB56" s="126"/>
      <c r="AC56" s="150">
        <f t="shared" si="6"/>
        <v>0</v>
      </c>
      <c r="AD56" s="127"/>
      <c r="AE56" s="128"/>
      <c r="AF56" s="120"/>
    </row>
    <row r="57" spans="1:32">
      <c r="A57" s="119"/>
      <c r="B57" s="44"/>
      <c r="C57" s="44"/>
      <c r="D57" s="44"/>
      <c r="E57" s="120"/>
      <c r="F57" s="44"/>
      <c r="G57" s="121"/>
      <c r="H57" s="136"/>
      <c r="I57" s="122">
        <v>0</v>
      </c>
      <c r="J57" s="123">
        <v>0</v>
      </c>
      <c r="K57" s="128">
        <v>0</v>
      </c>
      <c r="L57" s="124">
        <v>0</v>
      </c>
      <c r="M57" s="122">
        <v>0</v>
      </c>
      <c r="N57" s="125">
        <v>0</v>
      </c>
      <c r="O57" s="121">
        <v>0</v>
      </c>
      <c r="P57" s="124">
        <v>0</v>
      </c>
      <c r="Q57" s="121">
        <v>0</v>
      </c>
      <c r="R57" s="124">
        <v>0</v>
      </c>
      <c r="S57" s="122">
        <v>0</v>
      </c>
      <c r="T57" s="124">
        <v>0</v>
      </c>
      <c r="U57" s="124">
        <v>0</v>
      </c>
      <c r="V57" s="42">
        <f t="shared" si="5"/>
        <v>0</v>
      </c>
      <c r="W57" s="126"/>
      <c r="X57" s="126"/>
      <c r="Y57" s="126"/>
      <c r="Z57" s="126"/>
      <c r="AA57" s="126"/>
      <c r="AB57" s="126"/>
      <c r="AC57" s="150">
        <f t="shared" si="6"/>
        <v>0</v>
      </c>
      <c r="AD57" s="127"/>
      <c r="AE57" s="128"/>
      <c r="AF57" s="120"/>
    </row>
    <row r="58" spans="1:32">
      <c r="A58" s="119"/>
      <c r="B58" s="44"/>
      <c r="C58" s="44"/>
      <c r="D58" s="44"/>
      <c r="E58" s="120"/>
      <c r="F58" s="44"/>
      <c r="G58" s="121"/>
      <c r="H58" s="136"/>
      <c r="I58" s="122">
        <v>0</v>
      </c>
      <c r="J58" s="123">
        <v>0</v>
      </c>
      <c r="K58" s="128">
        <v>0</v>
      </c>
      <c r="L58" s="124">
        <v>0</v>
      </c>
      <c r="M58" s="122">
        <v>0</v>
      </c>
      <c r="N58" s="125">
        <v>0</v>
      </c>
      <c r="O58" s="121">
        <v>0</v>
      </c>
      <c r="P58" s="124">
        <v>0</v>
      </c>
      <c r="Q58" s="121">
        <v>0</v>
      </c>
      <c r="R58" s="124">
        <v>0</v>
      </c>
      <c r="S58" s="122">
        <v>0</v>
      </c>
      <c r="T58" s="124">
        <v>0</v>
      </c>
      <c r="U58" s="124">
        <v>0</v>
      </c>
      <c r="V58" s="42">
        <f t="shared" si="5"/>
        <v>0</v>
      </c>
      <c r="W58" s="126"/>
      <c r="X58" s="126"/>
      <c r="Y58" s="126"/>
      <c r="Z58" s="126"/>
      <c r="AA58" s="126"/>
      <c r="AB58" s="126"/>
      <c r="AC58" s="150">
        <f t="shared" si="6"/>
        <v>0</v>
      </c>
      <c r="AD58" s="127"/>
      <c r="AE58" s="128"/>
      <c r="AF58" s="120"/>
    </row>
    <row r="59" spans="1:32">
      <c r="A59" s="119"/>
      <c r="B59" s="44"/>
      <c r="C59" s="44"/>
      <c r="D59" s="44"/>
      <c r="E59" s="120"/>
      <c r="F59" s="44"/>
      <c r="G59" s="121"/>
      <c r="H59" s="136"/>
      <c r="I59" s="122">
        <v>0</v>
      </c>
      <c r="J59" s="123">
        <v>0</v>
      </c>
      <c r="K59" s="128">
        <v>0</v>
      </c>
      <c r="L59" s="124">
        <v>0</v>
      </c>
      <c r="M59" s="122">
        <v>0</v>
      </c>
      <c r="N59" s="125">
        <v>0</v>
      </c>
      <c r="O59" s="121">
        <v>0</v>
      </c>
      <c r="P59" s="124">
        <v>0</v>
      </c>
      <c r="Q59" s="121">
        <v>0</v>
      </c>
      <c r="R59" s="124">
        <v>0</v>
      </c>
      <c r="S59" s="122">
        <v>0</v>
      </c>
      <c r="T59" s="124">
        <v>0</v>
      </c>
      <c r="U59" s="124">
        <v>0</v>
      </c>
      <c r="V59" s="42">
        <f t="shared" si="5"/>
        <v>0</v>
      </c>
      <c r="W59" s="126"/>
      <c r="X59" s="126"/>
      <c r="Y59" s="126"/>
      <c r="Z59" s="126"/>
      <c r="AA59" s="126"/>
      <c r="AB59" s="126"/>
      <c r="AC59" s="150">
        <f t="shared" si="6"/>
        <v>0</v>
      </c>
      <c r="AD59" s="127"/>
      <c r="AE59" s="128"/>
      <c r="AF59" s="120"/>
    </row>
    <row r="60" spans="1:32">
      <c r="A60" s="119"/>
      <c r="B60" s="44"/>
      <c r="C60" s="44"/>
      <c r="D60" s="44"/>
      <c r="E60" s="120"/>
      <c r="F60" s="44"/>
      <c r="G60" s="121"/>
      <c r="H60" s="136"/>
      <c r="I60" s="122">
        <v>0</v>
      </c>
      <c r="J60" s="123">
        <v>0</v>
      </c>
      <c r="K60" s="128">
        <v>0</v>
      </c>
      <c r="L60" s="124">
        <v>0</v>
      </c>
      <c r="M60" s="122">
        <v>0</v>
      </c>
      <c r="N60" s="125">
        <v>0</v>
      </c>
      <c r="O60" s="121">
        <v>0</v>
      </c>
      <c r="P60" s="124">
        <v>0</v>
      </c>
      <c r="Q60" s="121">
        <v>0</v>
      </c>
      <c r="R60" s="124">
        <v>0</v>
      </c>
      <c r="S60" s="122">
        <v>0</v>
      </c>
      <c r="T60" s="124">
        <v>0</v>
      </c>
      <c r="U60" s="124">
        <v>0</v>
      </c>
      <c r="V60" s="42">
        <f t="shared" si="5"/>
        <v>0</v>
      </c>
      <c r="W60" s="126"/>
      <c r="X60" s="126"/>
      <c r="Y60" s="126"/>
      <c r="Z60" s="126"/>
      <c r="AA60" s="126"/>
      <c r="AB60" s="126"/>
      <c r="AC60" s="150">
        <f t="shared" si="6"/>
        <v>0</v>
      </c>
      <c r="AD60" s="127"/>
      <c r="AE60" s="128"/>
      <c r="AF60" s="120"/>
    </row>
    <row r="61" spans="1:32">
      <c r="A61" s="119"/>
      <c r="B61" s="44"/>
      <c r="C61" s="44"/>
      <c r="D61" s="44"/>
      <c r="E61" s="120"/>
      <c r="F61" s="44"/>
      <c r="G61" s="121"/>
      <c r="H61" s="136"/>
      <c r="I61" s="122">
        <v>0</v>
      </c>
      <c r="J61" s="123">
        <v>0</v>
      </c>
      <c r="K61" s="128">
        <v>0</v>
      </c>
      <c r="L61" s="124">
        <v>0</v>
      </c>
      <c r="M61" s="122">
        <v>0</v>
      </c>
      <c r="N61" s="125">
        <v>0</v>
      </c>
      <c r="O61" s="121">
        <v>0</v>
      </c>
      <c r="P61" s="124">
        <v>0</v>
      </c>
      <c r="Q61" s="121">
        <v>0</v>
      </c>
      <c r="R61" s="124">
        <v>0</v>
      </c>
      <c r="S61" s="122">
        <v>0</v>
      </c>
      <c r="T61" s="124">
        <v>0</v>
      </c>
      <c r="U61" s="124">
        <v>0</v>
      </c>
      <c r="V61" s="42">
        <f t="shared" si="5"/>
        <v>0</v>
      </c>
      <c r="W61" s="126"/>
      <c r="X61" s="126"/>
      <c r="Y61" s="126"/>
      <c r="Z61" s="126"/>
      <c r="AA61" s="126"/>
      <c r="AB61" s="126"/>
      <c r="AC61" s="150">
        <f t="shared" si="6"/>
        <v>0</v>
      </c>
      <c r="AD61" s="127"/>
      <c r="AE61" s="128"/>
      <c r="AF61" s="120"/>
    </row>
    <row r="62" spans="1:32">
      <c r="A62" s="119"/>
      <c r="B62" s="44"/>
      <c r="C62" s="44"/>
      <c r="D62" s="44"/>
      <c r="E62" s="120"/>
      <c r="F62" s="44"/>
      <c r="G62" s="121"/>
      <c r="H62" s="136"/>
      <c r="I62" s="122">
        <v>0</v>
      </c>
      <c r="J62" s="123">
        <v>0</v>
      </c>
      <c r="K62" s="128">
        <v>0</v>
      </c>
      <c r="L62" s="124">
        <v>0</v>
      </c>
      <c r="M62" s="122">
        <v>0</v>
      </c>
      <c r="N62" s="125">
        <v>0</v>
      </c>
      <c r="O62" s="121">
        <v>0</v>
      </c>
      <c r="P62" s="124">
        <v>0</v>
      </c>
      <c r="Q62" s="121">
        <v>0</v>
      </c>
      <c r="R62" s="124">
        <v>0</v>
      </c>
      <c r="S62" s="122">
        <v>0</v>
      </c>
      <c r="T62" s="124">
        <v>0</v>
      </c>
      <c r="U62" s="124">
        <v>0</v>
      </c>
      <c r="V62" s="42">
        <f t="shared" si="5"/>
        <v>0</v>
      </c>
      <c r="W62" s="126"/>
      <c r="X62" s="126"/>
      <c r="Y62" s="126"/>
      <c r="Z62" s="126"/>
      <c r="AA62" s="126"/>
      <c r="AB62" s="126"/>
      <c r="AC62" s="150">
        <f t="shared" si="6"/>
        <v>0</v>
      </c>
      <c r="AD62" s="127"/>
      <c r="AE62" s="128"/>
      <c r="AF62" s="120"/>
    </row>
    <row r="63" spans="1:32">
      <c r="A63" s="119"/>
      <c r="B63" s="44"/>
      <c r="C63" s="44"/>
      <c r="D63" s="44"/>
      <c r="E63" s="120"/>
      <c r="F63" s="44"/>
      <c r="G63" s="121"/>
      <c r="H63" s="136"/>
      <c r="I63" s="122">
        <v>0</v>
      </c>
      <c r="J63" s="123">
        <v>0</v>
      </c>
      <c r="K63" s="128">
        <v>0</v>
      </c>
      <c r="L63" s="124">
        <v>0</v>
      </c>
      <c r="M63" s="122">
        <v>0</v>
      </c>
      <c r="N63" s="125">
        <v>0</v>
      </c>
      <c r="O63" s="121">
        <v>0</v>
      </c>
      <c r="P63" s="124">
        <v>0</v>
      </c>
      <c r="Q63" s="121">
        <v>0</v>
      </c>
      <c r="R63" s="124">
        <v>0</v>
      </c>
      <c r="S63" s="122">
        <v>0</v>
      </c>
      <c r="T63" s="124">
        <v>0</v>
      </c>
      <c r="U63" s="124">
        <v>0</v>
      </c>
      <c r="V63" s="42">
        <f t="shared" si="5"/>
        <v>0</v>
      </c>
      <c r="W63" s="126"/>
      <c r="X63" s="126"/>
      <c r="Y63" s="126"/>
      <c r="Z63" s="126"/>
      <c r="AA63" s="126"/>
      <c r="AB63" s="126"/>
      <c r="AC63" s="150">
        <f t="shared" si="6"/>
        <v>0</v>
      </c>
      <c r="AD63" s="127"/>
      <c r="AE63" s="128"/>
      <c r="AF63" s="120"/>
    </row>
    <row r="64" spans="1:32">
      <c r="A64" s="119"/>
      <c r="B64" s="44"/>
      <c r="C64" s="44"/>
      <c r="D64" s="44"/>
      <c r="E64" s="120"/>
      <c r="F64" s="44"/>
      <c r="G64" s="121"/>
      <c r="H64" s="136"/>
      <c r="I64" s="122">
        <v>0</v>
      </c>
      <c r="J64" s="123">
        <v>0</v>
      </c>
      <c r="K64" s="128">
        <v>0</v>
      </c>
      <c r="L64" s="124">
        <v>0</v>
      </c>
      <c r="M64" s="122">
        <v>0</v>
      </c>
      <c r="N64" s="125">
        <v>0</v>
      </c>
      <c r="O64" s="121">
        <v>0</v>
      </c>
      <c r="P64" s="124">
        <v>0</v>
      </c>
      <c r="Q64" s="121">
        <v>0</v>
      </c>
      <c r="R64" s="124">
        <v>0</v>
      </c>
      <c r="S64" s="122">
        <v>0</v>
      </c>
      <c r="T64" s="124">
        <v>0</v>
      </c>
      <c r="U64" s="124">
        <v>0</v>
      </c>
      <c r="V64" s="42">
        <f t="shared" si="5"/>
        <v>0</v>
      </c>
      <c r="W64" s="126"/>
      <c r="X64" s="126"/>
      <c r="Y64" s="126"/>
      <c r="Z64" s="126"/>
      <c r="AA64" s="126"/>
      <c r="AB64" s="126"/>
      <c r="AC64" s="150">
        <f t="shared" si="6"/>
        <v>0</v>
      </c>
      <c r="AD64" s="127"/>
      <c r="AE64" s="128"/>
      <c r="AF64" s="120"/>
    </row>
    <row r="65" spans="1:32">
      <c r="A65" s="119"/>
      <c r="B65" s="44"/>
      <c r="C65" s="44"/>
      <c r="D65" s="44"/>
      <c r="E65" s="120"/>
      <c r="F65" s="44"/>
      <c r="G65" s="121"/>
      <c r="H65" s="136"/>
      <c r="I65" s="122">
        <v>0</v>
      </c>
      <c r="J65" s="123">
        <v>0</v>
      </c>
      <c r="K65" s="128">
        <v>0</v>
      </c>
      <c r="L65" s="124">
        <v>0</v>
      </c>
      <c r="M65" s="122">
        <v>0</v>
      </c>
      <c r="N65" s="125">
        <v>0</v>
      </c>
      <c r="O65" s="121">
        <v>0</v>
      </c>
      <c r="P65" s="124">
        <v>0</v>
      </c>
      <c r="Q65" s="121">
        <v>0</v>
      </c>
      <c r="R65" s="124">
        <v>0</v>
      </c>
      <c r="S65" s="122">
        <v>0</v>
      </c>
      <c r="T65" s="124">
        <v>0</v>
      </c>
      <c r="U65" s="124">
        <v>0</v>
      </c>
      <c r="V65" s="42">
        <f t="shared" si="5"/>
        <v>0</v>
      </c>
      <c r="W65" s="126"/>
      <c r="X65" s="126"/>
      <c r="Y65" s="126"/>
      <c r="Z65" s="126"/>
      <c r="AA65" s="126"/>
      <c r="AB65" s="126"/>
      <c r="AC65" s="150">
        <f t="shared" si="6"/>
        <v>0</v>
      </c>
      <c r="AD65" s="127"/>
      <c r="AE65" s="128"/>
      <c r="AF65" s="120"/>
    </row>
    <row r="66" spans="1:32">
      <c r="A66" s="119"/>
      <c r="B66" s="44"/>
      <c r="C66" s="44"/>
      <c r="D66" s="44"/>
      <c r="E66" s="120"/>
      <c r="F66" s="44"/>
      <c r="G66" s="121"/>
      <c r="H66" s="136"/>
      <c r="I66" s="122">
        <v>0</v>
      </c>
      <c r="J66" s="123">
        <v>0</v>
      </c>
      <c r="K66" s="128">
        <v>0</v>
      </c>
      <c r="L66" s="124">
        <v>0</v>
      </c>
      <c r="M66" s="122">
        <v>0</v>
      </c>
      <c r="N66" s="125">
        <v>0</v>
      </c>
      <c r="O66" s="121">
        <v>0</v>
      </c>
      <c r="P66" s="124">
        <v>0</v>
      </c>
      <c r="Q66" s="121">
        <v>0</v>
      </c>
      <c r="R66" s="124">
        <v>0</v>
      </c>
      <c r="S66" s="122">
        <v>0</v>
      </c>
      <c r="T66" s="124">
        <v>0</v>
      </c>
      <c r="U66" s="124">
        <v>0</v>
      </c>
      <c r="V66" s="42">
        <f t="shared" si="5"/>
        <v>0</v>
      </c>
      <c r="W66" s="126"/>
      <c r="X66" s="126"/>
      <c r="Y66" s="126"/>
      <c r="Z66" s="126"/>
      <c r="AA66" s="126"/>
      <c r="AB66" s="126"/>
      <c r="AC66" s="150">
        <f t="shared" si="6"/>
        <v>0</v>
      </c>
      <c r="AD66" s="127"/>
      <c r="AE66" s="128"/>
      <c r="AF66" s="120"/>
    </row>
    <row r="67" spans="1:32">
      <c r="A67" s="119"/>
      <c r="B67" s="44"/>
      <c r="C67" s="44"/>
      <c r="D67" s="44"/>
      <c r="E67" s="120"/>
      <c r="F67" s="44"/>
      <c r="G67" s="121"/>
      <c r="H67" s="136"/>
      <c r="I67" s="122">
        <v>0</v>
      </c>
      <c r="J67" s="123">
        <v>0</v>
      </c>
      <c r="K67" s="128">
        <v>0</v>
      </c>
      <c r="L67" s="124">
        <v>0</v>
      </c>
      <c r="M67" s="122">
        <v>0</v>
      </c>
      <c r="N67" s="125">
        <v>0</v>
      </c>
      <c r="O67" s="121">
        <v>0</v>
      </c>
      <c r="P67" s="124">
        <v>0</v>
      </c>
      <c r="Q67" s="121">
        <v>0</v>
      </c>
      <c r="R67" s="124">
        <v>0</v>
      </c>
      <c r="S67" s="122">
        <v>0</v>
      </c>
      <c r="T67" s="124">
        <v>0</v>
      </c>
      <c r="U67" s="124">
        <v>0</v>
      </c>
      <c r="V67" s="42">
        <f t="shared" si="5"/>
        <v>0</v>
      </c>
      <c r="W67" s="126"/>
      <c r="X67" s="126"/>
      <c r="Y67" s="126"/>
      <c r="Z67" s="126"/>
      <c r="AA67" s="126"/>
      <c r="AB67" s="126"/>
      <c r="AC67" s="150">
        <f t="shared" si="6"/>
        <v>0</v>
      </c>
      <c r="AD67" s="127"/>
      <c r="AE67" s="128"/>
      <c r="AF67" s="120"/>
    </row>
    <row r="68" spans="1:32">
      <c r="A68" s="119"/>
      <c r="B68" s="44"/>
      <c r="C68" s="44"/>
      <c r="D68" s="44"/>
      <c r="E68" s="120"/>
      <c r="F68" s="44"/>
      <c r="G68" s="121"/>
      <c r="H68" s="136"/>
      <c r="I68" s="122">
        <v>0</v>
      </c>
      <c r="J68" s="123">
        <v>0</v>
      </c>
      <c r="K68" s="128">
        <v>0</v>
      </c>
      <c r="L68" s="124">
        <v>0</v>
      </c>
      <c r="M68" s="122">
        <v>0</v>
      </c>
      <c r="N68" s="125">
        <v>0</v>
      </c>
      <c r="O68" s="121">
        <v>0</v>
      </c>
      <c r="P68" s="124">
        <v>0</v>
      </c>
      <c r="Q68" s="121">
        <v>0</v>
      </c>
      <c r="R68" s="124">
        <v>0</v>
      </c>
      <c r="S68" s="122">
        <v>0</v>
      </c>
      <c r="T68" s="124">
        <v>0</v>
      </c>
      <c r="U68" s="124">
        <v>0</v>
      </c>
      <c r="V68" s="42">
        <f t="shared" si="5"/>
        <v>0</v>
      </c>
      <c r="W68" s="126"/>
      <c r="X68" s="126"/>
      <c r="Y68" s="126"/>
      <c r="Z68" s="126"/>
      <c r="AA68" s="126"/>
      <c r="AB68" s="126"/>
      <c r="AC68" s="150">
        <f t="shared" si="6"/>
        <v>0</v>
      </c>
      <c r="AD68" s="127"/>
      <c r="AE68" s="128"/>
      <c r="AF68" s="120"/>
    </row>
    <row r="69" spans="1:32">
      <c r="A69" s="119"/>
      <c r="B69" s="44"/>
      <c r="C69" s="44"/>
      <c r="D69" s="44"/>
      <c r="E69" s="120"/>
      <c r="F69" s="44"/>
      <c r="G69" s="121"/>
      <c r="H69" s="136"/>
      <c r="I69" s="122">
        <v>0</v>
      </c>
      <c r="J69" s="123">
        <v>0</v>
      </c>
      <c r="K69" s="128">
        <v>0</v>
      </c>
      <c r="L69" s="124">
        <v>0</v>
      </c>
      <c r="M69" s="122">
        <v>0</v>
      </c>
      <c r="N69" s="125">
        <v>0</v>
      </c>
      <c r="O69" s="121">
        <v>0</v>
      </c>
      <c r="P69" s="124">
        <v>0</v>
      </c>
      <c r="Q69" s="121">
        <v>0</v>
      </c>
      <c r="R69" s="124">
        <v>0</v>
      </c>
      <c r="S69" s="122">
        <v>0</v>
      </c>
      <c r="T69" s="124">
        <v>0</v>
      </c>
      <c r="U69" s="124">
        <v>0</v>
      </c>
      <c r="V69" s="42">
        <f t="shared" si="5"/>
        <v>0</v>
      </c>
      <c r="W69" s="126"/>
      <c r="X69" s="126"/>
      <c r="Y69" s="126"/>
      <c r="Z69" s="126"/>
      <c r="AA69" s="126"/>
      <c r="AB69" s="126"/>
      <c r="AC69" s="150">
        <f t="shared" si="6"/>
        <v>0</v>
      </c>
      <c r="AD69" s="127"/>
      <c r="AE69" s="128"/>
      <c r="AF69" s="120"/>
    </row>
    <row r="70" spans="1:32">
      <c r="A70" s="119"/>
      <c r="B70" s="44"/>
      <c r="C70" s="44"/>
      <c r="D70" s="44"/>
      <c r="E70" s="120"/>
      <c r="F70" s="44"/>
      <c r="G70" s="121"/>
      <c r="H70" s="136"/>
      <c r="I70" s="122">
        <v>0</v>
      </c>
      <c r="J70" s="123">
        <v>0</v>
      </c>
      <c r="K70" s="128">
        <v>0</v>
      </c>
      <c r="L70" s="124">
        <v>0</v>
      </c>
      <c r="M70" s="122">
        <v>0</v>
      </c>
      <c r="N70" s="125">
        <v>0</v>
      </c>
      <c r="O70" s="121">
        <v>0</v>
      </c>
      <c r="P70" s="124">
        <v>0</v>
      </c>
      <c r="Q70" s="121">
        <v>0</v>
      </c>
      <c r="R70" s="124">
        <v>0</v>
      </c>
      <c r="S70" s="122">
        <v>0</v>
      </c>
      <c r="T70" s="124">
        <v>0</v>
      </c>
      <c r="U70" s="124">
        <v>0</v>
      </c>
      <c r="V70" s="42">
        <f t="shared" si="5"/>
        <v>0</v>
      </c>
      <c r="W70" s="126"/>
      <c r="X70" s="126"/>
      <c r="Y70" s="126"/>
      <c r="Z70" s="126"/>
      <c r="AA70" s="126"/>
      <c r="AB70" s="126"/>
      <c r="AC70" s="150">
        <f t="shared" si="6"/>
        <v>0</v>
      </c>
      <c r="AD70" s="127"/>
      <c r="AE70" s="128"/>
      <c r="AF70" s="120"/>
    </row>
    <row r="71" spans="1:32">
      <c r="A71" s="119"/>
      <c r="B71" s="44"/>
      <c r="C71" s="44"/>
      <c r="D71" s="44"/>
      <c r="E71" s="120"/>
      <c r="F71" s="44"/>
      <c r="G71" s="121"/>
      <c r="H71" s="136"/>
      <c r="I71" s="122">
        <v>0</v>
      </c>
      <c r="J71" s="123">
        <v>0</v>
      </c>
      <c r="K71" s="128">
        <v>0</v>
      </c>
      <c r="L71" s="124">
        <v>0</v>
      </c>
      <c r="M71" s="122">
        <v>0</v>
      </c>
      <c r="N71" s="125">
        <v>0</v>
      </c>
      <c r="O71" s="121">
        <v>0</v>
      </c>
      <c r="P71" s="124">
        <v>0</v>
      </c>
      <c r="Q71" s="121">
        <v>0</v>
      </c>
      <c r="R71" s="124">
        <v>0</v>
      </c>
      <c r="S71" s="122">
        <v>0</v>
      </c>
      <c r="T71" s="124">
        <v>0</v>
      </c>
      <c r="U71" s="124">
        <v>0</v>
      </c>
      <c r="V71" s="42">
        <f t="shared" si="5"/>
        <v>0</v>
      </c>
      <c r="W71" s="126"/>
      <c r="X71" s="126"/>
      <c r="Y71" s="126"/>
      <c r="Z71" s="126"/>
      <c r="AA71" s="126"/>
      <c r="AB71" s="126"/>
      <c r="AC71" s="150">
        <f t="shared" si="6"/>
        <v>0</v>
      </c>
      <c r="AD71" s="127"/>
      <c r="AE71" s="128"/>
      <c r="AF71" s="120"/>
    </row>
    <row r="72" spans="1:32">
      <c r="A72" s="119"/>
      <c r="B72" s="44"/>
      <c r="C72" s="44"/>
      <c r="D72" s="44"/>
      <c r="E72" s="120"/>
      <c r="F72" s="44"/>
      <c r="G72" s="121"/>
      <c r="H72" s="136"/>
      <c r="I72" s="122">
        <v>0</v>
      </c>
      <c r="J72" s="123">
        <v>0</v>
      </c>
      <c r="K72" s="128">
        <v>0</v>
      </c>
      <c r="L72" s="124">
        <v>0</v>
      </c>
      <c r="M72" s="122">
        <v>0</v>
      </c>
      <c r="N72" s="125">
        <v>0</v>
      </c>
      <c r="O72" s="121">
        <v>0</v>
      </c>
      <c r="P72" s="124">
        <v>0</v>
      </c>
      <c r="Q72" s="121">
        <v>0</v>
      </c>
      <c r="R72" s="124">
        <v>0</v>
      </c>
      <c r="S72" s="122">
        <v>0</v>
      </c>
      <c r="T72" s="124">
        <v>0</v>
      </c>
      <c r="U72" s="124">
        <v>0</v>
      </c>
      <c r="V72" s="42">
        <f t="shared" si="5"/>
        <v>0</v>
      </c>
      <c r="W72" s="126"/>
      <c r="X72" s="126"/>
      <c r="Y72" s="126"/>
      <c r="Z72" s="126"/>
      <c r="AA72" s="126"/>
      <c r="AB72" s="126"/>
      <c r="AC72" s="150">
        <f t="shared" si="6"/>
        <v>0</v>
      </c>
      <c r="AD72" s="127"/>
      <c r="AE72" s="128"/>
      <c r="AF72" s="120"/>
    </row>
    <row r="73" spans="1:32">
      <c r="A73" s="119"/>
      <c r="B73" s="44"/>
      <c r="C73" s="44"/>
      <c r="D73" s="44"/>
      <c r="E73" s="120"/>
      <c r="F73" s="44"/>
      <c r="G73" s="121"/>
      <c r="H73" s="136"/>
      <c r="I73" s="122">
        <v>0</v>
      </c>
      <c r="J73" s="123">
        <v>0</v>
      </c>
      <c r="K73" s="128">
        <v>0</v>
      </c>
      <c r="L73" s="124">
        <v>0</v>
      </c>
      <c r="M73" s="122">
        <v>0</v>
      </c>
      <c r="N73" s="125">
        <v>0</v>
      </c>
      <c r="O73" s="121">
        <v>0</v>
      </c>
      <c r="P73" s="124">
        <v>0</v>
      </c>
      <c r="Q73" s="121">
        <v>0</v>
      </c>
      <c r="R73" s="124">
        <v>0</v>
      </c>
      <c r="S73" s="122">
        <v>0</v>
      </c>
      <c r="T73" s="124">
        <v>0</v>
      </c>
      <c r="U73" s="124">
        <v>0</v>
      </c>
      <c r="V73" s="42">
        <f t="shared" si="5"/>
        <v>0</v>
      </c>
      <c r="W73" s="126"/>
      <c r="X73" s="126"/>
      <c r="Y73" s="126"/>
      <c r="Z73" s="126"/>
      <c r="AA73" s="126"/>
      <c r="AB73" s="126"/>
      <c r="AC73" s="150">
        <f t="shared" si="6"/>
        <v>0</v>
      </c>
      <c r="AD73" s="127"/>
      <c r="AE73" s="128"/>
      <c r="AF73" s="120"/>
    </row>
    <row r="74" spans="1:32">
      <c r="A74" s="119"/>
      <c r="B74" s="44"/>
      <c r="C74" s="44"/>
      <c r="D74" s="44"/>
      <c r="E74" s="120"/>
      <c r="F74" s="44"/>
      <c r="G74" s="121"/>
      <c r="H74" s="136"/>
      <c r="I74" s="122">
        <v>0</v>
      </c>
      <c r="J74" s="123">
        <v>0</v>
      </c>
      <c r="K74" s="128">
        <v>0</v>
      </c>
      <c r="L74" s="124">
        <v>0</v>
      </c>
      <c r="M74" s="122">
        <v>0</v>
      </c>
      <c r="N74" s="125">
        <v>0</v>
      </c>
      <c r="O74" s="121">
        <v>0</v>
      </c>
      <c r="P74" s="124">
        <v>0</v>
      </c>
      <c r="Q74" s="121">
        <v>0</v>
      </c>
      <c r="R74" s="124">
        <v>0</v>
      </c>
      <c r="S74" s="122">
        <v>0</v>
      </c>
      <c r="T74" s="124">
        <v>0</v>
      </c>
      <c r="U74" s="124">
        <v>0</v>
      </c>
      <c r="V74" s="42">
        <f t="shared" si="5"/>
        <v>0</v>
      </c>
      <c r="W74" s="126"/>
      <c r="X74" s="126"/>
      <c r="Y74" s="126"/>
      <c r="Z74" s="126"/>
      <c r="AA74" s="126"/>
      <c r="AB74" s="126"/>
      <c r="AC74" s="150">
        <f t="shared" si="6"/>
        <v>0</v>
      </c>
      <c r="AD74" s="127"/>
      <c r="AE74" s="128"/>
      <c r="AF74" s="120"/>
    </row>
    <row r="75" spans="1:32">
      <c r="A75" s="119"/>
      <c r="B75" s="44"/>
      <c r="C75" s="44"/>
      <c r="D75" s="44"/>
      <c r="E75" s="120"/>
      <c r="F75" s="44"/>
      <c r="G75" s="121"/>
      <c r="H75" s="136"/>
      <c r="I75" s="122">
        <v>0</v>
      </c>
      <c r="J75" s="123">
        <v>0</v>
      </c>
      <c r="K75" s="128">
        <v>0</v>
      </c>
      <c r="L75" s="124">
        <v>0</v>
      </c>
      <c r="M75" s="122">
        <v>0</v>
      </c>
      <c r="N75" s="125">
        <v>0</v>
      </c>
      <c r="O75" s="121">
        <v>0</v>
      </c>
      <c r="P75" s="124">
        <v>0</v>
      </c>
      <c r="Q75" s="121">
        <v>0</v>
      </c>
      <c r="R75" s="124">
        <v>0</v>
      </c>
      <c r="S75" s="122">
        <v>0</v>
      </c>
      <c r="T75" s="124">
        <v>0</v>
      </c>
      <c r="U75" s="124">
        <v>0</v>
      </c>
      <c r="V75" s="42">
        <f t="shared" si="5"/>
        <v>0</v>
      </c>
      <c r="W75" s="126"/>
      <c r="X75" s="126"/>
      <c r="Y75" s="126"/>
      <c r="Z75" s="126"/>
      <c r="AA75" s="126"/>
      <c r="AB75" s="126"/>
      <c r="AC75" s="150">
        <f t="shared" si="6"/>
        <v>0</v>
      </c>
      <c r="AD75" s="127"/>
      <c r="AE75" s="128"/>
      <c r="AF75" s="120"/>
    </row>
    <row r="76" spans="1:32">
      <c r="A76" s="119"/>
      <c r="B76" s="44"/>
      <c r="C76" s="44"/>
      <c r="D76" s="44"/>
      <c r="E76" s="120"/>
      <c r="F76" s="44"/>
      <c r="G76" s="121"/>
      <c r="H76" s="136"/>
      <c r="I76" s="122">
        <v>0</v>
      </c>
      <c r="J76" s="123">
        <v>0</v>
      </c>
      <c r="K76" s="128">
        <v>0</v>
      </c>
      <c r="L76" s="124">
        <v>0</v>
      </c>
      <c r="M76" s="122">
        <v>0</v>
      </c>
      <c r="N76" s="125">
        <v>0</v>
      </c>
      <c r="O76" s="121">
        <v>0</v>
      </c>
      <c r="P76" s="124">
        <v>0</v>
      </c>
      <c r="Q76" s="121">
        <v>0</v>
      </c>
      <c r="R76" s="124">
        <v>0</v>
      </c>
      <c r="S76" s="122">
        <v>0</v>
      </c>
      <c r="T76" s="124">
        <v>0</v>
      </c>
      <c r="U76" s="124">
        <v>0</v>
      </c>
      <c r="V76" s="42">
        <f t="shared" si="5"/>
        <v>0</v>
      </c>
      <c r="W76" s="126"/>
      <c r="X76" s="126"/>
      <c r="Y76" s="126"/>
      <c r="Z76" s="126"/>
      <c r="AA76" s="126"/>
      <c r="AB76" s="126"/>
      <c r="AC76" s="150">
        <f t="shared" si="6"/>
        <v>0</v>
      </c>
      <c r="AD76" s="127"/>
      <c r="AE76" s="128"/>
      <c r="AF76" s="120"/>
    </row>
    <row r="77" spans="1:32">
      <c r="A77" s="119"/>
      <c r="B77" s="44"/>
      <c r="C77" s="44"/>
      <c r="D77" s="44"/>
      <c r="E77" s="120"/>
      <c r="F77" s="44"/>
      <c r="G77" s="121"/>
      <c r="H77" s="136"/>
      <c r="I77" s="122">
        <v>0</v>
      </c>
      <c r="J77" s="123">
        <v>0</v>
      </c>
      <c r="K77" s="128">
        <v>0</v>
      </c>
      <c r="L77" s="124">
        <v>0</v>
      </c>
      <c r="M77" s="122">
        <v>0</v>
      </c>
      <c r="N77" s="125">
        <v>0</v>
      </c>
      <c r="O77" s="121">
        <v>0</v>
      </c>
      <c r="P77" s="124">
        <v>0</v>
      </c>
      <c r="Q77" s="121">
        <v>0</v>
      </c>
      <c r="R77" s="124">
        <v>0</v>
      </c>
      <c r="S77" s="122">
        <v>0</v>
      </c>
      <c r="T77" s="124">
        <v>0</v>
      </c>
      <c r="U77" s="124">
        <v>0</v>
      </c>
      <c r="V77" s="42">
        <f t="shared" si="5"/>
        <v>0</v>
      </c>
      <c r="W77" s="126"/>
      <c r="X77" s="126"/>
      <c r="Y77" s="126"/>
      <c r="Z77" s="126"/>
      <c r="AA77" s="126"/>
      <c r="AB77" s="126"/>
      <c r="AC77" s="150">
        <f t="shared" si="6"/>
        <v>0</v>
      </c>
      <c r="AD77" s="127"/>
      <c r="AE77" s="128"/>
      <c r="AF77" s="120"/>
    </row>
    <row r="78" spans="1:32">
      <c r="A78" s="119"/>
      <c r="B78" s="44"/>
      <c r="C78" s="44"/>
      <c r="D78" s="44"/>
      <c r="E78" s="120"/>
      <c r="F78" s="44"/>
      <c r="G78" s="121"/>
      <c r="H78" s="136"/>
      <c r="I78" s="122">
        <v>0</v>
      </c>
      <c r="J78" s="123">
        <v>0</v>
      </c>
      <c r="K78" s="128">
        <v>0</v>
      </c>
      <c r="L78" s="124">
        <v>0</v>
      </c>
      <c r="M78" s="122">
        <v>0</v>
      </c>
      <c r="N78" s="125">
        <v>0</v>
      </c>
      <c r="O78" s="121">
        <v>0</v>
      </c>
      <c r="P78" s="124">
        <v>0</v>
      </c>
      <c r="Q78" s="121">
        <v>0</v>
      </c>
      <c r="R78" s="124">
        <v>0</v>
      </c>
      <c r="S78" s="122">
        <v>0</v>
      </c>
      <c r="T78" s="124">
        <v>0</v>
      </c>
      <c r="U78" s="124">
        <v>0</v>
      </c>
      <c r="V78" s="42">
        <f t="shared" si="5"/>
        <v>0</v>
      </c>
      <c r="W78" s="126"/>
      <c r="X78" s="126"/>
      <c r="Y78" s="126"/>
      <c r="Z78" s="126"/>
      <c r="AA78" s="126"/>
      <c r="AB78" s="126"/>
      <c r="AC78" s="150">
        <f t="shared" si="6"/>
        <v>0</v>
      </c>
      <c r="AD78" s="127"/>
      <c r="AE78" s="128"/>
      <c r="AF78" s="120"/>
    </row>
    <row r="79" spans="1:32">
      <c r="A79" s="119"/>
      <c r="B79" s="44"/>
      <c r="C79" s="44"/>
      <c r="D79" s="44"/>
      <c r="E79" s="120"/>
      <c r="F79" s="44"/>
      <c r="G79" s="121"/>
      <c r="H79" s="136"/>
      <c r="I79" s="122">
        <v>0</v>
      </c>
      <c r="J79" s="123">
        <v>0</v>
      </c>
      <c r="K79" s="128">
        <v>0</v>
      </c>
      <c r="L79" s="124">
        <v>0</v>
      </c>
      <c r="M79" s="122">
        <v>0</v>
      </c>
      <c r="N79" s="125">
        <v>0</v>
      </c>
      <c r="O79" s="121">
        <v>0</v>
      </c>
      <c r="P79" s="124">
        <v>0</v>
      </c>
      <c r="Q79" s="121">
        <v>0</v>
      </c>
      <c r="R79" s="124">
        <v>0</v>
      </c>
      <c r="S79" s="122">
        <v>0</v>
      </c>
      <c r="T79" s="124">
        <v>0</v>
      </c>
      <c r="U79" s="124">
        <v>0</v>
      </c>
      <c r="V79" s="42">
        <f t="shared" si="5"/>
        <v>0</v>
      </c>
      <c r="W79" s="126"/>
      <c r="X79" s="126"/>
      <c r="Y79" s="126"/>
      <c r="Z79" s="126"/>
      <c r="AA79" s="126"/>
      <c r="AB79" s="126"/>
      <c r="AC79" s="150">
        <f t="shared" si="6"/>
        <v>0</v>
      </c>
      <c r="AD79" s="127"/>
      <c r="AE79" s="128"/>
      <c r="AF79" s="120"/>
    </row>
    <row r="80" spans="1:32">
      <c r="A80" s="119"/>
      <c r="B80" s="44"/>
      <c r="C80" s="44"/>
      <c r="D80" s="44"/>
      <c r="E80" s="120"/>
      <c r="F80" s="44"/>
      <c r="G80" s="121"/>
      <c r="H80" s="136"/>
      <c r="I80" s="122">
        <v>0</v>
      </c>
      <c r="J80" s="123">
        <v>0</v>
      </c>
      <c r="K80" s="128">
        <v>0</v>
      </c>
      <c r="L80" s="124">
        <v>0</v>
      </c>
      <c r="M80" s="122">
        <v>0</v>
      </c>
      <c r="N80" s="125">
        <v>0</v>
      </c>
      <c r="O80" s="121">
        <v>0</v>
      </c>
      <c r="P80" s="124">
        <v>0</v>
      </c>
      <c r="Q80" s="121">
        <v>0</v>
      </c>
      <c r="R80" s="124">
        <v>0</v>
      </c>
      <c r="S80" s="122">
        <v>0</v>
      </c>
      <c r="T80" s="124">
        <v>0</v>
      </c>
      <c r="U80" s="124">
        <v>0</v>
      </c>
      <c r="V80" s="42">
        <f t="shared" si="5"/>
        <v>0</v>
      </c>
      <c r="W80" s="126"/>
      <c r="X80" s="126"/>
      <c r="Y80" s="126"/>
      <c r="Z80" s="126"/>
      <c r="AA80" s="126"/>
      <c r="AB80" s="126"/>
      <c r="AC80" s="150">
        <f t="shared" si="6"/>
        <v>0</v>
      </c>
      <c r="AD80" s="127"/>
      <c r="AE80" s="128"/>
      <c r="AF80" s="120"/>
    </row>
    <row r="81" spans="1:32">
      <c r="A81" s="119"/>
      <c r="B81" s="44"/>
      <c r="C81" s="44"/>
      <c r="D81" s="44"/>
      <c r="E81" s="120"/>
      <c r="F81" s="44"/>
      <c r="G81" s="121"/>
      <c r="H81" s="136"/>
      <c r="I81" s="122">
        <v>0</v>
      </c>
      <c r="J81" s="123">
        <v>0</v>
      </c>
      <c r="K81" s="128">
        <v>0</v>
      </c>
      <c r="L81" s="124">
        <v>0</v>
      </c>
      <c r="M81" s="122">
        <v>0</v>
      </c>
      <c r="N81" s="125">
        <v>0</v>
      </c>
      <c r="O81" s="121">
        <v>0</v>
      </c>
      <c r="P81" s="124">
        <v>0</v>
      </c>
      <c r="Q81" s="121">
        <v>0</v>
      </c>
      <c r="R81" s="124">
        <v>0</v>
      </c>
      <c r="S81" s="122">
        <v>0</v>
      </c>
      <c r="T81" s="124">
        <v>0</v>
      </c>
      <c r="U81" s="124">
        <v>0</v>
      </c>
      <c r="V81" s="42">
        <f t="shared" si="5"/>
        <v>0</v>
      </c>
      <c r="W81" s="126"/>
      <c r="X81" s="126"/>
      <c r="Y81" s="126"/>
      <c r="Z81" s="126"/>
      <c r="AA81" s="126"/>
      <c r="AB81" s="126"/>
      <c r="AC81" s="150">
        <f t="shared" si="6"/>
        <v>0</v>
      </c>
      <c r="AD81" s="127"/>
      <c r="AE81" s="128"/>
      <c r="AF81" s="120"/>
    </row>
    <row r="82" spans="1:32">
      <c r="A82" s="119"/>
      <c r="B82" s="44"/>
      <c r="C82" s="44"/>
      <c r="D82" s="44"/>
      <c r="E82" s="120"/>
      <c r="F82" s="44"/>
      <c r="G82" s="121"/>
      <c r="H82" s="136"/>
      <c r="I82" s="122">
        <v>0</v>
      </c>
      <c r="J82" s="123">
        <v>0</v>
      </c>
      <c r="K82" s="128">
        <v>0</v>
      </c>
      <c r="L82" s="124">
        <v>0</v>
      </c>
      <c r="M82" s="122">
        <v>0</v>
      </c>
      <c r="N82" s="125">
        <v>0</v>
      </c>
      <c r="O82" s="121">
        <v>0</v>
      </c>
      <c r="P82" s="124">
        <v>0</v>
      </c>
      <c r="Q82" s="121">
        <v>0</v>
      </c>
      <c r="R82" s="124">
        <v>0</v>
      </c>
      <c r="S82" s="122">
        <v>0</v>
      </c>
      <c r="T82" s="124">
        <v>0</v>
      </c>
      <c r="U82" s="124">
        <v>0</v>
      </c>
      <c r="V82" s="42">
        <f t="shared" si="5"/>
        <v>0</v>
      </c>
      <c r="W82" s="126"/>
      <c r="X82" s="126"/>
      <c r="Y82" s="126"/>
      <c r="Z82" s="126"/>
      <c r="AA82" s="126"/>
      <c r="AB82" s="126"/>
      <c r="AC82" s="150">
        <f t="shared" si="6"/>
        <v>0</v>
      </c>
      <c r="AD82" s="127"/>
      <c r="AE82" s="128"/>
      <c r="AF82" s="120"/>
    </row>
    <row r="83" spans="1:32">
      <c r="A83" s="119"/>
      <c r="B83" s="44"/>
      <c r="C83" s="44"/>
      <c r="D83" s="44"/>
      <c r="E83" s="120"/>
      <c r="F83" s="44"/>
      <c r="G83" s="121"/>
      <c r="H83" s="136"/>
      <c r="I83" s="122">
        <v>0</v>
      </c>
      <c r="J83" s="123">
        <v>0</v>
      </c>
      <c r="K83" s="128">
        <v>0</v>
      </c>
      <c r="L83" s="124">
        <v>0</v>
      </c>
      <c r="M83" s="122">
        <v>0</v>
      </c>
      <c r="N83" s="125">
        <v>0</v>
      </c>
      <c r="O83" s="121">
        <v>0</v>
      </c>
      <c r="P83" s="124">
        <v>0</v>
      </c>
      <c r="Q83" s="121">
        <v>0</v>
      </c>
      <c r="R83" s="124">
        <v>0</v>
      </c>
      <c r="S83" s="122">
        <v>0</v>
      </c>
      <c r="T83" s="124">
        <v>0</v>
      </c>
      <c r="U83" s="124">
        <v>0</v>
      </c>
      <c r="V83" s="42">
        <f t="shared" si="5"/>
        <v>0</v>
      </c>
      <c r="W83" s="126"/>
      <c r="X83" s="126"/>
      <c r="Y83" s="126"/>
      <c r="Z83" s="126"/>
      <c r="AA83" s="126"/>
      <c r="AB83" s="126"/>
      <c r="AC83" s="150">
        <f t="shared" si="6"/>
        <v>0</v>
      </c>
      <c r="AD83" s="127"/>
      <c r="AE83" s="128"/>
      <c r="AF83" s="120"/>
    </row>
    <row r="84" spans="1:32">
      <c r="A84" s="119"/>
      <c r="B84" s="44"/>
      <c r="C84" s="44"/>
      <c r="D84" s="44"/>
      <c r="E84" s="120"/>
      <c r="F84" s="44"/>
      <c r="G84" s="121"/>
      <c r="H84" s="136"/>
      <c r="I84" s="122">
        <v>0</v>
      </c>
      <c r="J84" s="123">
        <v>0</v>
      </c>
      <c r="K84" s="128">
        <v>0</v>
      </c>
      <c r="L84" s="124">
        <v>0</v>
      </c>
      <c r="M84" s="122">
        <v>0</v>
      </c>
      <c r="N84" s="125">
        <v>0</v>
      </c>
      <c r="O84" s="121">
        <v>0</v>
      </c>
      <c r="P84" s="124">
        <v>0</v>
      </c>
      <c r="Q84" s="121">
        <v>0</v>
      </c>
      <c r="R84" s="124">
        <v>0</v>
      </c>
      <c r="S84" s="122">
        <v>0</v>
      </c>
      <c r="T84" s="124">
        <v>0</v>
      </c>
      <c r="U84" s="124">
        <v>0</v>
      </c>
      <c r="V84" s="42">
        <f t="shared" si="5"/>
        <v>0</v>
      </c>
      <c r="W84" s="126"/>
      <c r="X84" s="126"/>
      <c r="Y84" s="126"/>
      <c r="Z84" s="126"/>
      <c r="AA84" s="126"/>
      <c r="AB84" s="126"/>
      <c r="AC84" s="150">
        <f t="shared" si="6"/>
        <v>0</v>
      </c>
      <c r="AD84" s="127"/>
      <c r="AE84" s="128"/>
      <c r="AF84" s="120"/>
    </row>
    <row r="85" spans="1:32">
      <c r="A85" s="119"/>
      <c r="B85" s="44"/>
      <c r="C85" s="44"/>
      <c r="D85" s="44"/>
      <c r="E85" s="120"/>
      <c r="F85" s="44"/>
      <c r="G85" s="121"/>
      <c r="H85" s="136"/>
      <c r="I85" s="122">
        <v>0</v>
      </c>
      <c r="J85" s="123">
        <v>0</v>
      </c>
      <c r="K85" s="128">
        <v>0</v>
      </c>
      <c r="L85" s="124">
        <v>0</v>
      </c>
      <c r="M85" s="122">
        <v>0</v>
      </c>
      <c r="N85" s="125">
        <v>0</v>
      </c>
      <c r="O85" s="121">
        <v>0</v>
      </c>
      <c r="P85" s="124">
        <v>0</v>
      </c>
      <c r="Q85" s="121">
        <v>0</v>
      </c>
      <c r="R85" s="124">
        <v>0</v>
      </c>
      <c r="S85" s="122">
        <v>0</v>
      </c>
      <c r="T85" s="124">
        <v>0</v>
      </c>
      <c r="U85" s="124">
        <v>0</v>
      </c>
      <c r="V85" s="42">
        <f t="shared" si="5"/>
        <v>0</v>
      </c>
      <c r="W85" s="126"/>
      <c r="X85" s="126"/>
      <c r="Y85" s="126"/>
      <c r="Z85" s="126"/>
      <c r="AA85" s="126"/>
      <c r="AB85" s="126"/>
      <c r="AC85" s="150">
        <f t="shared" si="6"/>
        <v>0</v>
      </c>
      <c r="AD85" s="127"/>
      <c r="AE85" s="128"/>
      <c r="AF85" s="120"/>
    </row>
    <row r="86" spans="1:32">
      <c r="A86" s="119"/>
      <c r="B86" s="44"/>
      <c r="C86" s="44"/>
      <c r="D86" s="44"/>
      <c r="E86" s="120"/>
      <c r="F86" s="44"/>
      <c r="G86" s="121"/>
      <c r="H86" s="136"/>
      <c r="I86" s="122">
        <v>0</v>
      </c>
      <c r="J86" s="123">
        <v>0</v>
      </c>
      <c r="K86" s="128">
        <v>0</v>
      </c>
      <c r="L86" s="124">
        <v>0</v>
      </c>
      <c r="M86" s="122">
        <v>0</v>
      </c>
      <c r="N86" s="125">
        <v>0</v>
      </c>
      <c r="O86" s="121">
        <v>0</v>
      </c>
      <c r="P86" s="124">
        <v>0</v>
      </c>
      <c r="Q86" s="121">
        <v>0</v>
      </c>
      <c r="R86" s="124">
        <v>0</v>
      </c>
      <c r="S86" s="122">
        <v>0</v>
      </c>
      <c r="T86" s="124">
        <v>0</v>
      </c>
      <c r="U86" s="124">
        <v>0</v>
      </c>
      <c r="V86" s="42">
        <f t="shared" si="5"/>
        <v>0</v>
      </c>
      <c r="W86" s="126"/>
      <c r="X86" s="126"/>
      <c r="Y86" s="126"/>
      <c r="Z86" s="126"/>
      <c r="AA86" s="126"/>
      <c r="AB86" s="126"/>
      <c r="AC86" s="150">
        <f t="shared" si="6"/>
        <v>0</v>
      </c>
      <c r="AD86" s="127"/>
      <c r="AE86" s="128"/>
      <c r="AF86" s="120"/>
    </row>
    <row r="87" spans="1:32">
      <c r="A87" s="119"/>
      <c r="B87" s="44"/>
      <c r="C87" s="44"/>
      <c r="D87" s="44"/>
      <c r="E87" s="120"/>
      <c r="F87" s="44"/>
      <c r="G87" s="121"/>
      <c r="H87" s="136"/>
      <c r="I87" s="122">
        <v>0</v>
      </c>
      <c r="J87" s="123">
        <v>0</v>
      </c>
      <c r="K87" s="128">
        <v>0</v>
      </c>
      <c r="L87" s="124">
        <v>0</v>
      </c>
      <c r="M87" s="122">
        <v>0</v>
      </c>
      <c r="N87" s="125">
        <v>0</v>
      </c>
      <c r="O87" s="121">
        <v>0</v>
      </c>
      <c r="P87" s="124">
        <v>0</v>
      </c>
      <c r="Q87" s="121">
        <v>0</v>
      </c>
      <c r="R87" s="124">
        <v>0</v>
      </c>
      <c r="S87" s="122">
        <v>0</v>
      </c>
      <c r="T87" s="124">
        <v>0</v>
      </c>
      <c r="U87" s="124">
        <v>0</v>
      </c>
      <c r="V87" s="42">
        <f t="shared" si="5"/>
        <v>0</v>
      </c>
      <c r="W87" s="126"/>
      <c r="X87" s="126"/>
      <c r="Y87" s="126"/>
      <c r="Z87" s="126"/>
      <c r="AA87" s="126"/>
      <c r="AB87" s="126"/>
      <c r="AC87" s="150">
        <f t="shared" si="6"/>
        <v>0</v>
      </c>
      <c r="AD87" s="127"/>
      <c r="AE87" s="128"/>
      <c r="AF87" s="120"/>
    </row>
    <row r="88" spans="1:32">
      <c r="A88" s="119"/>
      <c r="B88" s="44"/>
      <c r="C88" s="44"/>
      <c r="D88" s="44"/>
      <c r="E88" s="120"/>
      <c r="F88" s="44"/>
      <c r="G88" s="121"/>
      <c r="H88" s="136"/>
      <c r="I88" s="122">
        <v>0</v>
      </c>
      <c r="J88" s="123">
        <v>0</v>
      </c>
      <c r="K88" s="128">
        <v>0</v>
      </c>
      <c r="L88" s="124">
        <v>0</v>
      </c>
      <c r="M88" s="122">
        <v>0</v>
      </c>
      <c r="N88" s="125">
        <v>0</v>
      </c>
      <c r="O88" s="121">
        <v>0</v>
      </c>
      <c r="P88" s="124">
        <v>0</v>
      </c>
      <c r="Q88" s="121">
        <v>0</v>
      </c>
      <c r="R88" s="124">
        <v>0</v>
      </c>
      <c r="S88" s="122">
        <v>0</v>
      </c>
      <c r="T88" s="124">
        <v>0</v>
      </c>
      <c r="U88" s="124">
        <v>0</v>
      </c>
      <c r="V88" s="42">
        <f t="shared" si="5"/>
        <v>0</v>
      </c>
      <c r="W88" s="126"/>
      <c r="X88" s="126"/>
      <c r="Y88" s="126"/>
      <c r="Z88" s="126"/>
      <c r="AA88" s="126"/>
      <c r="AB88" s="126"/>
      <c r="AC88" s="150">
        <f t="shared" si="6"/>
        <v>0</v>
      </c>
      <c r="AD88" s="127"/>
      <c r="AE88" s="128"/>
      <c r="AF88" s="120"/>
    </row>
    <row r="89" spans="1:32">
      <c r="A89" s="119"/>
      <c r="B89" s="44"/>
      <c r="C89" s="44"/>
      <c r="D89" s="44"/>
      <c r="E89" s="120"/>
      <c r="F89" s="44"/>
      <c r="G89" s="121"/>
      <c r="H89" s="136"/>
      <c r="I89" s="122">
        <v>0</v>
      </c>
      <c r="J89" s="123">
        <v>0</v>
      </c>
      <c r="K89" s="128">
        <v>0</v>
      </c>
      <c r="L89" s="124">
        <v>0</v>
      </c>
      <c r="M89" s="122">
        <v>0</v>
      </c>
      <c r="N89" s="125">
        <v>0</v>
      </c>
      <c r="O89" s="121">
        <v>0</v>
      </c>
      <c r="P89" s="124">
        <v>0</v>
      </c>
      <c r="Q89" s="121">
        <v>0</v>
      </c>
      <c r="R89" s="124">
        <v>0</v>
      </c>
      <c r="S89" s="122">
        <v>0</v>
      </c>
      <c r="T89" s="124">
        <v>0</v>
      </c>
      <c r="U89" s="124">
        <v>0</v>
      </c>
      <c r="V89" s="42">
        <f t="shared" si="5"/>
        <v>0</v>
      </c>
      <c r="W89" s="126"/>
      <c r="X89" s="126"/>
      <c r="Y89" s="126"/>
      <c r="Z89" s="126"/>
      <c r="AA89" s="126"/>
      <c r="AB89" s="126"/>
      <c r="AC89" s="150">
        <f t="shared" si="6"/>
        <v>0</v>
      </c>
      <c r="AD89" s="127"/>
      <c r="AE89" s="128"/>
      <c r="AF89" s="120"/>
    </row>
    <row r="90" spans="1:32">
      <c r="A90" s="119"/>
      <c r="B90" s="44"/>
      <c r="C90" s="44"/>
      <c r="D90" s="44"/>
      <c r="E90" s="120"/>
      <c r="F90" s="44"/>
      <c r="G90" s="121"/>
      <c r="H90" s="136"/>
      <c r="I90" s="122">
        <v>0</v>
      </c>
      <c r="J90" s="123">
        <v>0</v>
      </c>
      <c r="K90" s="128">
        <v>0</v>
      </c>
      <c r="L90" s="124">
        <v>0</v>
      </c>
      <c r="M90" s="122">
        <v>0</v>
      </c>
      <c r="N90" s="125">
        <v>0</v>
      </c>
      <c r="O90" s="121">
        <v>0</v>
      </c>
      <c r="P90" s="124">
        <v>0</v>
      </c>
      <c r="Q90" s="121">
        <v>0</v>
      </c>
      <c r="R90" s="124">
        <v>0</v>
      </c>
      <c r="S90" s="122">
        <v>0</v>
      </c>
      <c r="T90" s="124">
        <v>0</v>
      </c>
      <c r="U90" s="124">
        <v>0</v>
      </c>
      <c r="V90" s="42">
        <f t="shared" si="5"/>
        <v>0</v>
      </c>
      <c r="W90" s="126"/>
      <c r="X90" s="126"/>
      <c r="Y90" s="126"/>
      <c r="Z90" s="126"/>
      <c r="AA90" s="126"/>
      <c r="AB90" s="126"/>
      <c r="AC90" s="150">
        <f t="shared" si="6"/>
        <v>0</v>
      </c>
      <c r="AD90" s="127"/>
      <c r="AE90" s="128"/>
      <c r="AF90" s="120"/>
    </row>
  </sheetData>
  <sheetProtection selectLockedCells="1"/>
  <protectedRanges>
    <protectedRange sqref="B7:E7 B11:B14 AF7:AF90 B8:C10 E8:E13 B15:C17 E15:E17 D8:D17 G7:U90 B18:E90" name="Rango1"/>
    <protectedRange sqref="AD7:AD90" name="Rango1_2"/>
    <protectedRange sqref="A7:A13 F7:F90 A15:A90" name="Rango1_1"/>
    <protectedRange sqref="C11:C13" name="Rango1_1_1"/>
    <protectedRange sqref="C14 E14" name="Rango1_1_3"/>
    <protectedRange sqref="AC7:AC90" name="Rango1_2_2_2"/>
  </protectedRanges>
  <mergeCells count="8">
    <mergeCell ref="AE2:AE3"/>
    <mergeCell ref="F3:G3"/>
    <mergeCell ref="P4:T4"/>
    <mergeCell ref="I4:O4"/>
    <mergeCell ref="K5:O5"/>
    <mergeCell ref="I5:J5"/>
    <mergeCell ref="R5:T5"/>
    <mergeCell ref="P5:Q5"/>
  </mergeCells>
  <phoneticPr fontId="0" type="noConversion"/>
  <conditionalFormatting sqref="A7:D7 A11:B13 B14 F7:I15 F16:H16 W7:AB90 I16:I90 L7:U90 A15:C15 B16:C16 A8:C10 G17:H18 A16:A19 B20:B24 D8:D24 B25:D26 F19:H90 A27:D90">
    <cfRule type="expression" dxfId="19" priority="260" stopIfTrue="1">
      <formula>"SEVERSTAL"</formula>
    </cfRule>
  </conditionalFormatting>
  <conditionalFormatting sqref="E7:E13 E15:E16 AF7:AF90 AD7:AD90 E24:E90">
    <cfRule type="cellIs" dxfId="18" priority="261" stopIfTrue="1" operator="equal">
      <formula>"APROBADO"</formula>
    </cfRule>
    <cfRule type="cellIs" dxfId="17" priority="262" stopIfTrue="1" operator="equal">
      <formula>"ESPERA"</formula>
    </cfRule>
    <cfRule type="cellIs" dxfId="16" priority="263" stopIfTrue="1" operator="equal">
      <formula>"RECHAZADO"</formula>
    </cfRule>
  </conditionalFormatting>
  <conditionalFormatting sqref="F17:F18 B17:C18 C19">
    <cfRule type="expression" dxfId="15" priority="25" stopIfTrue="1">
      <formula>"SEVERSTAL"</formula>
    </cfRule>
  </conditionalFormatting>
  <conditionalFormatting sqref="E17:E23">
    <cfRule type="cellIs" dxfId="14" priority="26" stopIfTrue="1" operator="equal">
      <formula>"APROBADO"</formula>
    </cfRule>
    <cfRule type="cellIs" dxfId="13" priority="27" stopIfTrue="1" operator="equal">
      <formula>"ESPERA"</formula>
    </cfRule>
    <cfRule type="cellIs" dxfId="12" priority="28" stopIfTrue="1" operator="equal">
      <formula>"RECHAZADO"</formula>
    </cfRule>
  </conditionalFormatting>
  <conditionalFormatting sqref="B19 C20:C24 A20:A26">
    <cfRule type="expression" dxfId="11" priority="24" stopIfTrue="1">
      <formula>"SEVERSTAL"</formula>
    </cfRule>
  </conditionalFormatting>
  <conditionalFormatting sqref="C11:C13">
    <cfRule type="expression" dxfId="10" priority="16" stopIfTrue="1">
      <formula>"SEVERSTAL"</formula>
    </cfRule>
  </conditionalFormatting>
  <conditionalFormatting sqref="E14">
    <cfRule type="cellIs" dxfId="9" priority="4" stopIfTrue="1" operator="equal">
      <formula>"APROBADO"</formula>
    </cfRule>
    <cfRule type="cellIs" dxfId="8" priority="5" stopIfTrue="1" operator="equal">
      <formula>"ESPERA"</formula>
    </cfRule>
    <cfRule type="cellIs" dxfId="7" priority="6" stopIfTrue="1" operator="equal">
      <formula>"RECHAZADO"</formula>
    </cfRule>
  </conditionalFormatting>
  <conditionalFormatting sqref="A14">
    <cfRule type="expression" dxfId="6" priority="10" stopIfTrue="1">
      <formula>"SEVERSTAL"</formula>
    </cfRule>
  </conditionalFormatting>
  <conditionalFormatting sqref="C14">
    <cfRule type="cellIs" dxfId="5" priority="7" stopIfTrue="1" operator="equal">
      <formula>"APROBADO"</formula>
    </cfRule>
    <cfRule type="cellIs" dxfId="4" priority="8" stopIfTrue="1" operator="equal">
      <formula>"ESPERA"</formula>
    </cfRule>
    <cfRule type="cellIs" dxfId="3" priority="9" stopIfTrue="1" operator="equal">
      <formula>"RECHAZADO"</formula>
    </cfRule>
  </conditionalFormatting>
  <conditionalFormatting sqref="AC7:AC90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2024-12-31T02:57:33Z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