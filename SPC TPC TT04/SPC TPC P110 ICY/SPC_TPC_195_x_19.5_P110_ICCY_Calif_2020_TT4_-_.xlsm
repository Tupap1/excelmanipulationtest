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ICY\"/>
    </mc:Choice>
  </mc:AlternateContent>
  <bookViews>
    <workbookView showSheetTabs="0" xWindow="-105" yWindow="-105" windowWidth="19425" windowHeight="10305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Produccion!$A$5:$AG$73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" i="40516" l="1"/>
  <c r="N1" i="40516"/>
  <c r="W23" i="5" l="1"/>
  <c r="AD23" i="5" s="1"/>
  <c r="AD4" i="5" l="1"/>
  <c r="AE4" i="5" s="1"/>
  <c r="AF3" i="5"/>
  <c r="AG3" i="5" s="1"/>
  <c r="AE3" i="5"/>
  <c r="AF4" i="5" l="1"/>
  <c r="AG4" i="5" s="1"/>
  <c r="W6" i="5" l="1"/>
  <c r="AD6" i="5" s="1"/>
  <c r="W7" i="5"/>
  <c r="AD7" i="5" s="1"/>
  <c r="W8" i="5"/>
  <c r="AD8" i="5" s="1"/>
  <c r="W9" i="5"/>
  <c r="AD9" i="5" s="1"/>
  <c r="W10" i="5"/>
  <c r="AD10" i="5" s="1"/>
  <c r="W11" i="5"/>
  <c r="AD11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</calcChain>
</file>

<file path=xl/comments1.xml><?xml version="1.0" encoding="utf-8"?>
<comments xmlns="http://schemas.openxmlformats.org/spreadsheetml/2006/main">
  <authors>
    <author>LAMBRANO R. Osbaldo E.       TENARIS</author>
    <author>CAMPO B. Carlos I.      TENARIS</author>
    <author>LAMBRANO Osbaldo E. TENARIS</author>
  </authors>
  <commentList>
    <comment ref="V5" authorId="0" shapeId="0">
      <text>
        <r>
          <rPr>
            <b/>
            <sz val="9"/>
            <color indexed="81"/>
            <rFont val="Tahoma"/>
            <family val="2"/>
          </rPr>
          <t>Duplicado:
132.4---140.6
132.1---141.1</t>
        </r>
      </text>
    </comment>
    <comment ref="V7" authorId="0" shapeId="0">
      <text>
        <r>
          <rPr>
            <b/>
            <sz val="9"/>
            <color indexed="81"/>
            <rFont val="Tahoma"/>
            <family val="2"/>
          </rPr>
          <t>Duplicado:
127.1---137.3</t>
        </r>
      </text>
    </comment>
    <comment ref="I10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D10" authorId="1" shapeId="0">
      <text>
        <r>
          <rPr>
            <b/>
            <sz val="9"/>
            <color indexed="81"/>
            <rFont val="Tahoma"/>
            <family val="2"/>
          </rPr>
          <t>Zona  1, 5 y 6 = 520
zona 2, 3 y 4 = 525</t>
        </r>
      </text>
    </comment>
    <comment ref="AF10" authorId="1" shapeId="0">
      <text>
        <r>
          <rPr>
            <b/>
            <sz val="9"/>
            <color indexed="81"/>
            <rFont val="Tahoma"/>
            <family val="2"/>
          </rPr>
          <t>Zona  8, 9 10 = 525
zona 7, 11, 12 = 520</t>
        </r>
      </text>
    </comment>
    <comment ref="AG10" authorId="1" shapeId="0">
      <text>
        <r>
          <rPr>
            <b/>
            <sz val="9"/>
            <color indexed="81"/>
            <rFont val="Tahoma"/>
            <family val="2"/>
          </rPr>
          <t>Zona  8, 9 10 = 525
zona 7, 11, 12 = 520</t>
        </r>
      </text>
    </comment>
    <comment ref="I11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D11" authorId="1" shapeId="0">
      <text>
        <r>
          <rPr>
            <b/>
            <sz val="9"/>
            <color indexed="81"/>
            <rFont val="Tahoma"/>
            <family val="2"/>
          </rPr>
          <t>Zona  1, 5 y 6 = 520
zona 2, 3 y 4 = 525</t>
        </r>
      </text>
    </comment>
    <comment ref="AF11" authorId="1" shapeId="0">
      <text>
        <r>
          <rPr>
            <b/>
            <sz val="9"/>
            <color indexed="81"/>
            <rFont val="Tahoma"/>
            <family val="2"/>
          </rPr>
          <t>Zona  8, 9 10 = 525
zona 7, 11, 12 = 520</t>
        </r>
      </text>
    </comment>
    <comment ref="AG11" authorId="1" shapeId="0">
      <text>
        <r>
          <rPr>
            <b/>
            <sz val="9"/>
            <color indexed="81"/>
            <rFont val="Tahoma"/>
            <family val="2"/>
          </rPr>
          <t>Zona  8, 9 10 = 525
zona 7, 11, 12 = 520</t>
        </r>
      </text>
    </comment>
    <comment ref="I12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D12" authorId="1" shapeId="0">
      <text>
        <r>
          <rPr>
            <b/>
            <sz val="9"/>
            <color indexed="81"/>
            <rFont val="Tahoma"/>
            <family val="2"/>
          </rPr>
          <t>Zona  1, 5 y 6 = 520
zona 2, 3 y 4 = 525</t>
        </r>
      </text>
    </comment>
    <comment ref="AF12" authorId="1" shapeId="0">
      <text>
        <r>
          <rPr>
            <b/>
            <sz val="9"/>
            <color indexed="81"/>
            <rFont val="Tahoma"/>
            <family val="2"/>
          </rPr>
          <t>Zona  8, 9 10 = 525
zona 7, 11, 12 = 520</t>
        </r>
      </text>
    </comment>
    <comment ref="AG12" authorId="1" shapeId="0">
      <text>
        <r>
          <rPr>
            <b/>
            <sz val="9"/>
            <color indexed="81"/>
            <rFont val="Tahoma"/>
            <family val="2"/>
          </rPr>
          <t>Zona  8, 9 10 = 525
zona 7, 11, 12 = 520</t>
        </r>
      </text>
    </comment>
    <comment ref="I13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D13" authorId="0" shapeId="0">
      <text>
        <r>
          <rPr>
            <b/>
            <sz val="9"/>
            <color indexed="81"/>
            <rFont val="Tahoma"/>
            <family val="2"/>
          </rPr>
          <t>Z1=530</t>
        </r>
      </text>
    </comment>
    <comment ref="AF13" authorId="0" shapeId="0">
      <text>
        <r>
          <rPr>
            <b/>
            <sz val="9"/>
            <color indexed="81"/>
            <rFont val="Tahoma"/>
            <family val="2"/>
          </rPr>
          <t>Zona7 =530</t>
        </r>
      </text>
    </comment>
    <comment ref="AG13" authorId="0" shapeId="0">
      <text>
        <r>
          <rPr>
            <b/>
            <sz val="9"/>
            <color indexed="81"/>
            <rFont val="Tahoma"/>
            <family val="2"/>
          </rPr>
          <t>Zona7 =530</t>
        </r>
      </text>
    </comment>
    <comment ref="I14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D14" authorId="0" shapeId="0">
      <text>
        <r>
          <rPr>
            <b/>
            <sz val="9"/>
            <color indexed="81"/>
            <rFont val="Tahoma"/>
            <family val="2"/>
          </rPr>
          <t>Z1=528</t>
        </r>
      </text>
    </comment>
    <comment ref="AF14" authorId="0" shapeId="0">
      <text>
        <r>
          <rPr>
            <b/>
            <sz val="9"/>
            <color indexed="81"/>
            <rFont val="Tahoma"/>
            <family val="2"/>
          </rPr>
          <t>Zona7 =528</t>
        </r>
      </text>
    </comment>
    <comment ref="AG14" authorId="0" shapeId="0">
      <text>
        <r>
          <rPr>
            <b/>
            <sz val="9"/>
            <color indexed="81"/>
            <rFont val="Tahoma"/>
            <family val="2"/>
          </rPr>
          <t>Zona7 =528</t>
        </r>
      </text>
    </comment>
    <comment ref="I15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D15" authorId="0" shapeId="0">
      <text>
        <r>
          <rPr>
            <b/>
            <sz val="9"/>
            <color indexed="81"/>
            <rFont val="Tahoma"/>
            <family val="2"/>
          </rPr>
          <t>Z1=525</t>
        </r>
      </text>
    </comment>
    <comment ref="AF15" authorId="0" shapeId="0">
      <text>
        <r>
          <rPr>
            <b/>
            <sz val="9"/>
            <color indexed="81"/>
            <rFont val="Tahoma"/>
            <family val="2"/>
          </rPr>
          <t>Zona7 =525</t>
        </r>
      </text>
    </comment>
    <comment ref="AG15" authorId="0" shapeId="0">
      <text>
        <r>
          <rPr>
            <b/>
            <sz val="9"/>
            <color indexed="81"/>
            <rFont val="Tahoma"/>
            <family val="2"/>
          </rPr>
          <t>Zona7 =525</t>
        </r>
      </text>
    </comment>
    <comment ref="I16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D16" authorId="0" shapeId="0">
      <text>
        <r>
          <rPr>
            <b/>
            <sz val="9"/>
            <color indexed="81"/>
            <rFont val="Tahoma"/>
            <family val="2"/>
          </rPr>
          <t>Z1=525</t>
        </r>
      </text>
    </comment>
    <comment ref="AF16" authorId="0" shapeId="0">
      <text>
        <r>
          <rPr>
            <b/>
            <sz val="9"/>
            <color indexed="81"/>
            <rFont val="Tahoma"/>
            <family val="2"/>
          </rPr>
          <t>Zona7 =525</t>
        </r>
      </text>
    </comment>
    <comment ref="AG16" authorId="0" shapeId="0">
      <text>
        <r>
          <rPr>
            <b/>
            <sz val="9"/>
            <color indexed="81"/>
            <rFont val="Tahoma"/>
            <family val="2"/>
          </rPr>
          <t>Zona7 =525</t>
        </r>
      </text>
    </comment>
    <comment ref="I17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D17" authorId="0" shapeId="0">
      <text>
        <r>
          <rPr>
            <b/>
            <sz val="9"/>
            <color indexed="81"/>
            <rFont val="Tahoma"/>
            <family val="2"/>
          </rPr>
          <t>Z1=525</t>
        </r>
      </text>
    </comment>
    <comment ref="AF17" authorId="0" shapeId="0">
      <text>
        <r>
          <rPr>
            <b/>
            <sz val="9"/>
            <color indexed="81"/>
            <rFont val="Tahoma"/>
            <family val="2"/>
          </rPr>
          <t>Zona7 =525</t>
        </r>
      </text>
    </comment>
    <comment ref="AG17" authorId="0" shapeId="0">
      <text>
        <r>
          <rPr>
            <b/>
            <sz val="9"/>
            <color indexed="81"/>
            <rFont val="Tahoma"/>
            <family val="2"/>
          </rPr>
          <t>Zona7 =525</t>
        </r>
      </text>
    </comment>
    <comment ref="I18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19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D19" authorId="1" shapeId="0">
      <text>
        <r>
          <rPr>
            <b/>
            <sz val="11"/>
            <color indexed="81"/>
            <rFont val="Tahoma"/>
            <family val="2"/>
          </rPr>
          <t>Z1, Z7 y Z8 = 515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19" authorId="1" shapeId="0">
      <text>
        <r>
          <rPr>
            <b/>
            <sz val="11"/>
            <color indexed="81"/>
            <rFont val="Tahoma"/>
            <family val="2"/>
          </rPr>
          <t>Z1, Z7 y Z8 = 515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19" authorId="1" shapeId="0">
      <text>
        <r>
          <rPr>
            <b/>
            <sz val="11"/>
            <color indexed="81"/>
            <rFont val="Tahoma"/>
            <family val="2"/>
          </rPr>
          <t>Z1, Z7 y Z8 = 515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I20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D20" authorId="1" shapeId="0">
      <text>
        <r>
          <rPr>
            <b/>
            <sz val="11"/>
            <color indexed="81"/>
            <rFont val="Tahoma"/>
            <family val="2"/>
          </rPr>
          <t>Z1, Z7 y Z8 = 515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20" authorId="1" shapeId="0">
      <text>
        <r>
          <rPr>
            <b/>
            <sz val="11"/>
            <color indexed="81"/>
            <rFont val="Tahoma"/>
            <family val="2"/>
          </rPr>
          <t>Z1, Z7 y Z8 = 515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20" authorId="1" shapeId="0">
      <text>
        <r>
          <rPr>
            <b/>
            <sz val="11"/>
            <color indexed="81"/>
            <rFont val="Tahoma"/>
            <family val="2"/>
          </rPr>
          <t>Z1, Z7 y Z8 = 515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I21" authorId="2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AD21" authorId="1" shapeId="0">
      <text>
        <r>
          <rPr>
            <b/>
            <sz val="11"/>
            <color indexed="81"/>
            <rFont val="Tahoma"/>
            <family val="2"/>
          </rPr>
          <t>Z1, Z7 y Z8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21" authorId="1" shapeId="0">
      <text>
        <r>
          <rPr>
            <b/>
            <sz val="11"/>
            <color indexed="81"/>
            <rFont val="Tahoma"/>
            <family val="2"/>
          </rPr>
          <t>Z1, Z7 y Z8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21" authorId="1" shapeId="0">
      <text>
        <r>
          <rPr>
            <b/>
            <sz val="11"/>
            <color indexed="81"/>
            <rFont val="Tahoma"/>
            <family val="2"/>
          </rPr>
          <t>Z1, Z7 y Z8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I22" authorId="2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AD22" authorId="1" shapeId="0">
      <text>
        <r>
          <rPr>
            <b/>
            <sz val="11"/>
            <color indexed="81"/>
            <rFont val="Tahoma"/>
            <family val="2"/>
          </rPr>
          <t>Z1, Z7 y Z8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22" authorId="1" shapeId="0">
      <text>
        <r>
          <rPr>
            <b/>
            <sz val="11"/>
            <color indexed="81"/>
            <rFont val="Tahoma"/>
            <family val="2"/>
          </rPr>
          <t>Z1, Z7 y Z8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22" authorId="1" shapeId="0">
      <text>
        <r>
          <rPr>
            <b/>
            <sz val="11"/>
            <color indexed="81"/>
            <rFont val="Tahoma"/>
            <family val="2"/>
          </rPr>
          <t>Z1, Z7 y Z8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I23" authorId="2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AD23" authorId="1" shapeId="0">
      <text>
        <r>
          <rPr>
            <b/>
            <sz val="11"/>
            <color indexed="81"/>
            <rFont val="Tahoma"/>
            <family val="2"/>
          </rPr>
          <t>Z1, Z7 y Z8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23" authorId="1" shapeId="0">
      <text>
        <r>
          <rPr>
            <b/>
            <sz val="11"/>
            <color indexed="81"/>
            <rFont val="Tahoma"/>
            <family val="2"/>
          </rPr>
          <t>Z1, Z7 y Z8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23" authorId="1" shapeId="0">
      <text>
        <r>
          <rPr>
            <b/>
            <sz val="11"/>
            <color indexed="81"/>
            <rFont val="Tahoma"/>
            <family val="2"/>
          </rPr>
          <t>Z1, Z7 y Z8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I24" authorId="2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AD24" authorId="1" shapeId="0">
      <text>
        <r>
          <rPr>
            <b/>
            <sz val="11"/>
            <color indexed="81"/>
            <rFont val="Tahoma"/>
            <family val="2"/>
          </rPr>
          <t>Z1, Z7 y Z8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24" authorId="1" shapeId="0">
      <text>
        <r>
          <rPr>
            <b/>
            <sz val="11"/>
            <color indexed="81"/>
            <rFont val="Tahoma"/>
            <family val="2"/>
          </rPr>
          <t>Z1, Z7 y Z8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24" authorId="1" shapeId="0">
      <text>
        <r>
          <rPr>
            <b/>
            <sz val="11"/>
            <color indexed="81"/>
            <rFont val="Tahoma"/>
            <family val="2"/>
          </rPr>
          <t>Z1, Z7 y Z8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I25" authorId="2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AD25" authorId="1" shapeId="0">
      <text>
        <r>
          <rPr>
            <b/>
            <sz val="11"/>
            <color indexed="81"/>
            <rFont val="Tahoma"/>
            <family val="2"/>
          </rPr>
          <t>Z1 y Z7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25" authorId="1" shapeId="0">
      <text>
        <r>
          <rPr>
            <b/>
            <sz val="11"/>
            <color indexed="81"/>
            <rFont val="Tahoma"/>
            <family val="2"/>
          </rPr>
          <t>Z1 y Z7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25" authorId="1" shapeId="0">
      <text>
        <r>
          <rPr>
            <b/>
            <sz val="11"/>
            <color indexed="81"/>
            <rFont val="Tahoma"/>
            <family val="2"/>
          </rPr>
          <t>Z1 y Z7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I26" authorId="2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7" authorId="2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8" authorId="2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</commentList>
</comments>
</file>

<file path=xl/comments2.xml><?xml version="1.0" encoding="utf-8"?>
<comments xmlns="http://schemas.openxmlformats.org/spreadsheetml/2006/main">
  <authors>
    <author>CAMPO B. Carlos I.      TENARIS</author>
    <author>LAMBRANO Osbaldo E. TENARIS</author>
  </authors>
  <commentList>
    <comment ref="C8" authorId="0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13" authorId="0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15" authorId="0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16" authorId="0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17" authorId="1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18" authorId="1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19" authorId="1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0" authorId="1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1" authorId="1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" authorId="1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3" authorId="1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</commentList>
</comments>
</file>

<file path=xl/sharedStrings.xml><?xml version="1.0" encoding="utf-8"?>
<sst xmlns="http://schemas.openxmlformats.org/spreadsheetml/2006/main" count="275" uniqueCount="131">
  <si>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</si>
  <si>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</si>
  <si>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</si>
  <si>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</si>
  <si>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</si>
  <si>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</si>
  <si>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</si>
  <si>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</si>
  <si>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</si>
  <si>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</si>
  <si>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</si>
  <si>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</si>
  <si>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</si>
  <si>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</si>
  <si>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</si>
  <si>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</si>
  <si>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</si>
  <si>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</si>
  <si>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</si>
  <si>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</si>
  <si>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</si>
  <si>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</si>
  <si>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</si>
  <si>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</si>
  <si>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</si>
  <si>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</si>
  <si>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</si>
  <si>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</si>
  <si>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</si>
  <si>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</si>
  <si>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</si>
  <si>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</si>
  <si>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</si>
  <si>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</si>
  <si>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</si>
  <si>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</si>
  <si>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</si>
  <si>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</si>
  <si>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</si>
  <si>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</si>
  <si>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</si>
  <si>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</si>
  <si>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</si>
  <si>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</si>
  <si>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</si>
  <si>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</si>
  <si>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</si>
  <si>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</si>
  <si>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</si>
  <si>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</si>
  <si>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</si>
  <si>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</si>
  <si>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</si>
  <si>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</si>
  <si>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</si>
  <si>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</si>
  <si>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</si>
  <si>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</si>
  <si>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</si>
  <si>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</si>
  <si>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</si>
  <si>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</si>
  <si>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</si>
  <si>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</si>
  <si>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</si>
  <si>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</si>
  <si>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</si>
  <si>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</si>
  <si>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</si>
  <si>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</si>
  <si>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</si>
  <si>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</si>
  <si>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</si>
  <si>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</si>
  <si>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</si>
  <si>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</si>
  <si>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</si>
  <si>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</si>
  <si>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</si>
  <si>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</si>
  <si>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</si>
  <si>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</si>
  <si>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</si>
  <si>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</si>
  <si>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</si>
  <si>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</si>
  <si>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</si>
  <si>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</si>
  <si>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</si>
  <si>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</si>
  <si>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Estado 27 OK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</si>
  <si>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</si>
  <si>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</si>
  <si>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</si>
  <si>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</si>
  <si>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</si>
  <si>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</si>
  <si>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</si>
  <si>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al 18</t>
  </si>
  <si>
    <t>TCP 195  - 19.5 P110 ICCY</t>
  </si>
  <si>
    <t>1 al 12</t>
  </si>
  <si>
    <t>1 al 26</t>
  </si>
  <si>
    <t>1 al 20</t>
  </si>
  <si>
    <t>21 al 40</t>
  </si>
  <si>
    <t>1 al 40</t>
  </si>
  <si>
    <t>41 al 51</t>
  </si>
  <si>
    <t>1 al 23</t>
  </si>
  <si>
    <t>1 al 100</t>
  </si>
  <si>
    <t>101 al 114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</si>
  <si>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</si>
  <si>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</si>
  <si>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</si>
  <si>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</si>
  <si>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</si>
  <si>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</si>
  <si>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</si>
  <si>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</si>
  <si>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</si>
  <si>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1 al 24</t>
  </si>
  <si>
    <t>1 al 2</t>
  </si>
  <si>
    <t>1 al 11</t>
  </si>
  <si>
    <t>PROVEEDOR</t>
  </si>
  <si>
    <t xml:space="preserve">P110IC/ICY </t>
  </si>
  <si>
    <t>TPC 195 x 19,5 P110 ICCY</t>
  </si>
  <si>
    <t>1 al 60</t>
  </si>
  <si>
    <t>1 al 46</t>
  </si>
  <si>
    <t>1 al 14</t>
  </si>
  <si>
    <t>1 al 30</t>
  </si>
  <si>
    <t>1 al 22</t>
  </si>
  <si>
    <t>1 al 17</t>
  </si>
  <si>
    <t>1 al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</si>
</sst>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81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9"/>
      <color indexed="81"/>
      <name val="Tahoma"/>
      <family val="2"/>
    </font>
    <font>
      <b/>
      <sz val="12"/>
      <color rgb="FF0000FF"/>
      <name val="Arial"/>
      <family val="2"/>
    </font>
    <font>
      <b/>
      <sz val="11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b/>
      <sz val="22"/>
      <name val="Arial"/>
      <family val="2"/>
    </font>
    <font>
      <b/>
      <sz val="20"/>
      <color indexed="81"/>
      <name val="Tahoma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29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20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8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49" fontId="0" fillId="0" borderId="13" xfId="0" quotePrefix="1" applyNumberFormat="1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3" xfId="0" applyFont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0" fontId="46" fillId="0" borderId="0" xfId="0" applyFont="1"/>
    <xf numFmtId="0" fontId="47" fillId="0" borderId="0" xfId="0" applyFont="1" applyAlignment="1">
      <alignment horizontal="center"/>
    </xf>
    <xf numFmtId="0" fontId="48" fillId="0" borderId="0" xfId="0" applyFont="1"/>
    <xf numFmtId="0" fontId="49" fillId="0" borderId="0" xfId="0" applyFont="1"/>
    <xf numFmtId="14" fontId="50" fillId="0" borderId="0" xfId="0" quotePrefix="1" applyNumberFormat="1" applyFont="1"/>
    <xf numFmtId="14" fontId="50" fillId="0" borderId="0" xfId="0" applyNumberFormat="1" applyFont="1"/>
    <xf numFmtId="165" fontId="47" fillId="0" borderId="0" xfId="0" applyNumberFormat="1" applyFont="1" applyAlignment="1">
      <alignment horizontal="center"/>
    </xf>
    <xf numFmtId="0" fontId="54" fillId="2" borderId="0" xfId="0" applyFont="1" applyFill="1" applyAlignment="1">
      <alignment horizontal="center"/>
    </xf>
    <xf numFmtId="0" fontId="56" fillId="0" borderId="0" xfId="0" applyFont="1" applyAlignment="1">
      <alignment horizontal="center"/>
    </xf>
    <xf numFmtId="3" fontId="58" fillId="0" borderId="6" xfId="0" applyNumberFormat="1" applyFont="1" applyBorder="1" applyAlignment="1">
      <alignment horizontal="center"/>
    </xf>
    <xf numFmtId="0" fontId="58" fillId="0" borderId="0" xfId="0" applyFont="1" applyAlignment="1">
      <alignment horizontal="center"/>
    </xf>
    <xf numFmtId="0" fontId="58" fillId="0" borderId="3" xfId="0" applyFont="1" applyBorder="1" applyAlignment="1" applyProtection="1">
      <alignment horizontal="center"/>
      <protection locked="0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27" fillId="8" borderId="0" xfId="0" applyFont="1" applyFill="1" applyAlignment="1" applyProtection="1">
      <alignment vertical="center"/>
      <protection hidden="1"/>
    </xf>
    <xf numFmtId="0" fontId="43" fillId="8" borderId="0" xfId="0" applyFont="1" applyFill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4" fillId="8" borderId="0" xfId="0" applyFont="1" applyFill="1" applyAlignment="1" applyProtection="1">
      <alignment vertical="center"/>
      <protection hidden="1"/>
    </xf>
    <xf numFmtId="21" fontId="33" fillId="8" borderId="0" xfId="0" applyNumberFormat="1" applyFont="1" applyFill="1" applyAlignment="1" applyProtection="1">
      <alignment horizontal="center" vertical="center"/>
      <protection hidden="1"/>
    </xf>
    <xf numFmtId="21" fontId="30" fillId="8" borderId="0" xfId="0" applyNumberFormat="1" applyFont="1" applyFill="1" applyAlignment="1" applyProtection="1">
      <alignment horizontal="center" vertical="center"/>
      <protection hidden="1"/>
    </xf>
    <xf numFmtId="21" fontId="43" fillId="8" borderId="0" xfId="0" applyNumberFormat="1" applyFont="1" applyFill="1" applyAlignment="1" applyProtection="1">
      <alignment horizontal="center" vertical="center"/>
      <protection hidden="1"/>
    </xf>
    <xf numFmtId="0" fontId="18" fillId="8" borderId="0" xfId="0" applyFont="1" applyFill="1" applyAlignment="1" applyProtection="1">
      <alignment horizontal="center" vertical="center"/>
      <protection hidden="1"/>
    </xf>
    <xf numFmtId="0" fontId="19" fillId="8" borderId="0" xfId="0" applyFont="1" applyFill="1" applyAlignment="1" applyProtection="1">
      <alignment horizontal="center" vertical="center"/>
      <protection hidden="1"/>
    </xf>
    <xf numFmtId="0" fontId="37" fillId="8" borderId="0" xfId="0" applyFont="1" applyFill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/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3" fillId="7" borderId="0" xfId="0" applyFont="1" applyFill="1" applyAlignment="1" applyProtection="1">
      <alignment horizontal="left" vertical="center"/>
      <protection hidden="1"/>
    </xf>
    <xf numFmtId="0" fontId="20" fillId="7" borderId="0" xfId="0" applyFont="1" applyFill="1" applyAlignment="1" applyProtection="1">
      <alignment horizontal="left" vertical="center"/>
      <protection hidden="1"/>
    </xf>
    <xf numFmtId="0" fontId="23" fillId="7" borderId="0" xfId="0" applyFont="1" applyFill="1" applyAlignment="1" applyProtection="1">
      <alignment horizontal="left" vertical="center"/>
      <protection hidden="1"/>
    </xf>
    <xf numFmtId="15" fontId="4" fillId="7" borderId="0" xfId="0" applyNumberFormat="1" applyFont="1" applyFill="1" applyAlignment="1" applyProtection="1">
      <alignment horizontal="center" vertical="center"/>
      <protection hidden="1"/>
    </xf>
    <xf numFmtId="0" fontId="5" fillId="7" borderId="0" xfId="0" applyFont="1" applyFill="1" applyAlignment="1" applyProtection="1">
      <alignment horizontal="center" vertical="center"/>
      <protection hidden="1"/>
    </xf>
    <xf numFmtId="21" fontId="6" fillId="7" borderId="0" xfId="0" applyNumberFormat="1" applyFont="1" applyFill="1" applyAlignment="1" applyProtection="1">
      <alignment horizontal="center" vertical="center"/>
      <protection hidden="1"/>
    </xf>
    <xf numFmtId="0" fontId="7" fillId="7" borderId="0" xfId="0" applyFont="1" applyFill="1" applyAlignment="1" applyProtection="1">
      <alignment horizontal="center" vertical="center"/>
      <protection hidden="1"/>
    </xf>
    <xf numFmtId="0" fontId="24" fillId="7" borderId="0" xfId="0" applyFont="1" applyFill="1" applyAlignment="1" applyProtection="1">
      <alignment horizontal="right" vertical="center"/>
      <protection hidden="1"/>
    </xf>
    <xf numFmtId="0" fontId="24" fillId="7" borderId="0" xfId="0" applyFont="1" applyFill="1" applyAlignment="1" applyProtection="1">
      <alignment horizontal="center" vertical="center"/>
      <protection hidden="1"/>
    </xf>
    <xf numFmtId="0" fontId="6" fillId="7" borderId="0" xfId="0" applyFont="1" applyFill="1" applyAlignment="1" applyProtection="1">
      <alignment horizontal="center" vertical="center"/>
      <protection hidden="1"/>
    </xf>
    <xf numFmtId="21" fontId="25" fillId="7" borderId="0" xfId="0" applyNumberFormat="1" applyFont="1" applyFill="1" applyAlignment="1" applyProtection="1">
      <alignment horizontal="center" vertical="center"/>
      <protection hidden="1"/>
    </xf>
    <xf numFmtId="0" fontId="8" fillId="7" borderId="0" xfId="0" applyFont="1" applyFill="1" applyAlignment="1" applyProtection="1">
      <alignment horizontal="center" vertical="center"/>
      <protection hidden="1"/>
    </xf>
    <xf numFmtId="0" fontId="26" fillId="7" borderId="0" xfId="0" applyFont="1" applyFill="1" applyAlignment="1" applyProtection="1">
      <alignment horizontal="center" vertical="center"/>
      <protection hidden="1"/>
    </xf>
    <xf numFmtId="0" fontId="9" fillId="7" borderId="0" xfId="0" applyFont="1" applyFill="1" applyAlignment="1" applyProtection="1">
      <alignment vertical="center"/>
      <protection hidden="1"/>
    </xf>
    <xf numFmtId="0" fontId="17" fillId="7" borderId="0" xfId="0" applyFont="1" applyFill="1" applyAlignment="1" applyProtection="1">
      <alignment vertical="center"/>
      <protection hidden="1"/>
    </xf>
    <xf numFmtId="0" fontId="4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28" fillId="7" borderId="0" xfId="0" applyFont="1" applyFill="1" applyAlignment="1" applyProtection="1">
      <alignment vertical="center"/>
      <protection hidden="1"/>
    </xf>
    <xf numFmtId="0" fontId="10" fillId="7" borderId="0" xfId="0" applyFont="1" applyFill="1" applyAlignment="1" applyProtection="1">
      <alignment vertical="center"/>
      <protection hidden="1"/>
    </xf>
    <xf numFmtId="0" fontId="21" fillId="7" borderId="0" xfId="0" applyFont="1" applyFill="1" applyAlignment="1" applyProtection="1">
      <alignment vertical="center"/>
      <protection hidden="1"/>
    </xf>
    <xf numFmtId="0" fontId="29" fillId="7" borderId="0" xfId="0" applyFont="1" applyFill="1" applyAlignment="1" applyProtection="1">
      <alignment horizontal="center" vertical="center"/>
      <protection hidden="1"/>
    </xf>
    <xf numFmtId="0" fontId="9" fillId="7" borderId="0" xfId="0" quotePrefix="1" applyFont="1" applyFill="1" applyAlignment="1" applyProtection="1">
      <alignment vertical="center"/>
      <protection hidden="1"/>
    </xf>
    <xf numFmtId="0" fontId="13" fillId="7" borderId="0" xfId="0" applyFont="1" applyFill="1" applyAlignment="1" applyProtection="1">
      <alignment vertical="center"/>
      <protection hidden="1"/>
    </xf>
    <xf numFmtId="21" fontId="32" fillId="7" borderId="0" xfId="0" applyNumberFormat="1" applyFont="1" applyFill="1" applyAlignment="1" applyProtection="1">
      <alignment horizontal="center" vertical="center"/>
      <protection hidden="1"/>
    </xf>
    <xf numFmtId="0" fontId="43" fillId="7" borderId="0" xfId="0" applyFont="1" applyFill="1" applyAlignment="1" applyProtection="1">
      <alignment vertical="center"/>
      <protection hidden="1"/>
    </xf>
    <xf numFmtId="0" fontId="33" fillId="7" borderId="0" xfId="0" applyFont="1" applyFill="1" applyAlignment="1" applyProtection="1">
      <alignment vertical="center"/>
      <protection hidden="1"/>
    </xf>
    <xf numFmtId="0" fontId="35" fillId="7" borderId="0" xfId="0" applyFont="1" applyFill="1" applyAlignment="1" applyProtection="1">
      <alignment vertical="center"/>
      <protection hidden="1"/>
    </xf>
    <xf numFmtId="0" fontId="16" fillId="7" borderId="0" xfId="0" applyFont="1" applyFill="1" applyAlignment="1" applyProtection="1">
      <alignment vertical="center"/>
      <protection hidden="1"/>
    </xf>
    <xf numFmtId="0" fontId="34" fillId="7" borderId="0" xfId="0" applyFont="1" applyFill="1" applyAlignment="1" applyProtection="1">
      <alignment vertical="center"/>
      <protection hidden="1"/>
    </xf>
    <xf numFmtId="0" fontId="36" fillId="7" borderId="0" xfId="0" applyFont="1" applyFill="1" applyAlignment="1" applyProtection="1">
      <alignment vertical="center"/>
      <protection hidden="1"/>
    </xf>
    <xf numFmtId="0" fontId="44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0" fontId="0" fillId="7" borderId="9" xfId="0" applyFill="1" applyBorder="1" applyAlignment="1" applyProtection="1">
      <alignment vertical="center"/>
      <protection hidden="1"/>
    </xf>
    <xf numFmtId="0" fontId="0" fillId="7" borderId="16" xfId="0" applyFill="1" applyBorder="1" applyAlignment="1" applyProtection="1">
      <alignment vertical="center"/>
      <protection hidden="1"/>
    </xf>
    <xf numFmtId="0" fontId="1" fillId="7" borderId="16" xfId="0" applyFont="1" applyFill="1" applyBorder="1" applyAlignment="1" applyProtection="1">
      <alignment vertical="center"/>
      <protection hidden="1"/>
    </xf>
    <xf numFmtId="0" fontId="1" fillId="7" borderId="18" xfId="0" applyFont="1" applyFill="1" applyBorder="1" applyAlignment="1" applyProtection="1">
      <alignment vertical="center"/>
      <protection hidden="1"/>
    </xf>
    <xf numFmtId="0" fontId="0" fillId="7" borderId="20" xfId="0" applyFill="1" applyBorder="1" applyAlignment="1" applyProtection="1">
      <alignment vertical="center"/>
      <protection hidden="1"/>
    </xf>
    <xf numFmtId="0" fontId="1" fillId="7" borderId="22" xfId="0" applyFont="1" applyFill="1" applyBorder="1" applyAlignment="1" applyProtection="1">
      <alignment vertical="center"/>
      <protection hidden="1"/>
    </xf>
    <xf numFmtId="21" fontId="25" fillId="7" borderId="22" xfId="0" applyNumberFormat="1" applyFont="1" applyFill="1" applyBorder="1" applyAlignment="1" applyProtection="1">
      <alignment horizontal="center" vertical="center"/>
      <protection hidden="1"/>
    </xf>
    <xf numFmtId="0" fontId="8" fillId="7" borderId="20" xfId="0" applyFont="1" applyFill="1" applyBorder="1" applyAlignment="1" applyProtection="1">
      <alignment horizontal="center" vertical="center"/>
      <protection hidden="1"/>
    </xf>
    <xf numFmtId="0" fontId="9" fillId="7" borderId="20" xfId="0" applyFont="1" applyFill="1" applyBorder="1" applyAlignment="1" applyProtection="1">
      <alignment vertical="center"/>
      <protection hidden="1"/>
    </xf>
    <xf numFmtId="0" fontId="10" fillId="7" borderId="20" xfId="0" applyFont="1" applyFill="1" applyBorder="1" applyAlignment="1" applyProtection="1">
      <alignment vertical="center"/>
      <protection hidden="1"/>
    </xf>
    <xf numFmtId="0" fontId="27" fillId="7" borderId="22" xfId="0" applyFont="1" applyFill="1" applyBorder="1" applyAlignment="1" applyProtection="1">
      <alignment vertical="center"/>
      <protection hidden="1"/>
    </xf>
    <xf numFmtId="21" fontId="30" fillId="7" borderId="22" xfId="0" applyNumberFormat="1" applyFont="1" applyFill="1" applyBorder="1" applyAlignment="1" applyProtection="1">
      <alignment horizontal="center" vertical="center"/>
      <protection hidden="1"/>
    </xf>
    <xf numFmtId="0" fontId="9" fillId="7" borderId="23" xfId="0" applyFont="1" applyFill="1" applyBorder="1" applyAlignment="1" applyProtection="1">
      <alignment vertical="center"/>
      <protection hidden="1"/>
    </xf>
    <xf numFmtId="0" fontId="9" fillId="7" borderId="21" xfId="0" applyFont="1" applyFill="1" applyBorder="1" applyAlignment="1" applyProtection="1">
      <alignment vertical="center"/>
      <protection hidden="1"/>
    </xf>
    <xf numFmtId="0" fontId="27" fillId="7" borderId="21" xfId="0" applyFont="1" applyFill="1" applyBorder="1" applyAlignment="1" applyProtection="1">
      <alignment vertical="center"/>
      <protection hidden="1"/>
    </xf>
    <xf numFmtId="0" fontId="44" fillId="7" borderId="21" xfId="0" applyFont="1" applyFill="1" applyBorder="1" applyAlignment="1" applyProtection="1">
      <alignment vertical="center"/>
      <protection hidden="1"/>
    </xf>
    <xf numFmtId="0" fontId="43" fillId="7" borderId="21" xfId="0" applyFont="1" applyFill="1" applyBorder="1" applyAlignment="1" applyProtection="1">
      <alignment vertical="center"/>
      <protection hidden="1"/>
    </xf>
    <xf numFmtId="21" fontId="43" fillId="7" borderId="21" xfId="0" applyNumberFormat="1" applyFont="1" applyFill="1" applyBorder="1" applyAlignment="1" applyProtection="1">
      <alignment horizontal="center" vertical="center"/>
      <protection hidden="1"/>
    </xf>
    <xf numFmtId="21" fontId="33" fillId="7" borderId="21" xfId="0" applyNumberFormat="1" applyFont="1" applyFill="1" applyBorder="1" applyAlignment="1" applyProtection="1">
      <alignment horizontal="center" vertical="center"/>
      <protection hidden="1"/>
    </xf>
    <xf numFmtId="21" fontId="30" fillId="7" borderId="19" xfId="0" applyNumberFormat="1" applyFont="1" applyFill="1" applyBorder="1" applyAlignment="1" applyProtection="1">
      <alignment horizontal="center" vertical="center"/>
      <protection hidden="1"/>
    </xf>
    <xf numFmtId="0" fontId="60" fillId="6" borderId="0" xfId="0" applyFont="1" applyFill="1" applyAlignment="1">
      <alignment horizontal="center"/>
    </xf>
    <xf numFmtId="15" fontId="57" fillId="0" borderId="6" xfId="0" applyNumberFormat="1" applyFont="1" applyBorder="1" applyAlignment="1">
      <alignment horizontal="center"/>
    </xf>
    <xf numFmtId="0" fontId="58" fillId="0" borderId="3" xfId="3" applyFont="1" applyBorder="1" applyAlignment="1">
      <alignment horizontal="center"/>
    </xf>
    <xf numFmtId="3" fontId="58" fillId="0" borderId="4" xfId="2" applyNumberFormat="1" applyFont="1" applyFill="1" applyBorder="1" applyAlignment="1" applyProtection="1">
      <alignment horizontal="center"/>
      <protection locked="0"/>
    </xf>
    <xf numFmtId="3" fontId="59" fillId="0" borderId="3" xfId="0" applyNumberFormat="1" applyFont="1" applyBorder="1" applyAlignment="1">
      <alignment horizontal="center"/>
    </xf>
    <xf numFmtId="0" fontId="61" fillId="0" borderId="3" xfId="0" applyFont="1" applyBorder="1" applyAlignment="1" applyProtection="1">
      <alignment horizontal="center"/>
      <protection locked="0"/>
    </xf>
    <xf numFmtId="0" fontId="58" fillId="0" borderId="25" xfId="0" applyFont="1" applyBorder="1" applyAlignment="1">
      <alignment horizontal="center"/>
    </xf>
    <xf numFmtId="0" fontId="45" fillId="8" borderId="0" xfId="0" applyFont="1" applyFill="1" applyAlignment="1">
      <alignment horizontal="center"/>
    </xf>
    <xf numFmtId="0" fontId="63" fillId="0" borderId="0" xfId="0" applyFont="1"/>
    <xf numFmtId="0" fontId="64" fillId="0" borderId="0" xfId="0" applyFont="1"/>
    <xf numFmtId="0" fontId="64" fillId="0" borderId="0" xfId="0" applyFont="1" applyAlignment="1">
      <alignment horizontal="center"/>
    </xf>
    <xf numFmtId="0" fontId="65" fillId="0" borderId="0" xfId="0" applyFont="1" applyAlignment="1">
      <alignment horizontal="center"/>
    </xf>
    <xf numFmtId="3" fontId="65" fillId="0" borderId="24" xfId="2" applyNumberFormat="1" applyFont="1" applyFill="1" applyBorder="1" applyAlignment="1" applyProtection="1">
      <alignment horizontal="center"/>
      <protection locked="0"/>
    </xf>
    <xf numFmtId="2" fontId="40" fillId="0" borderId="3" xfId="0" applyNumberFormat="1" applyFont="1" applyBorder="1" applyAlignment="1">
      <alignment horizontal="center"/>
    </xf>
    <xf numFmtId="3" fontId="58" fillId="0" borderId="2" xfId="2" applyNumberFormat="1" applyFont="1" applyFill="1" applyBorder="1" applyAlignment="1" applyProtection="1">
      <alignment horizontal="center"/>
      <protection locked="0"/>
    </xf>
    <xf numFmtId="3" fontId="58" fillId="0" borderId="1" xfId="2" applyNumberFormat="1" applyFont="1" applyFill="1" applyBorder="1" applyAlignment="1" applyProtection="1">
      <alignment horizontal="center"/>
      <protection locked="0"/>
    </xf>
    <xf numFmtId="0" fontId="58" fillId="0" borderId="2" xfId="0" applyFont="1" applyBorder="1" applyAlignment="1">
      <alignment horizontal="center"/>
    </xf>
    <xf numFmtId="0" fontId="58" fillId="0" borderId="27" xfId="0" applyFont="1" applyBorder="1" applyAlignment="1">
      <alignment horizontal="center"/>
    </xf>
    <xf numFmtId="3" fontId="58" fillId="0" borderId="5" xfId="2" applyNumberFormat="1" applyFont="1" applyFill="1" applyBorder="1" applyAlignment="1" applyProtection="1">
      <alignment horizontal="center"/>
      <protection locked="0"/>
    </xf>
    <xf numFmtId="3" fontId="58" fillId="0" borderId="26" xfId="2" applyNumberFormat="1" applyFont="1" applyFill="1" applyBorder="1" applyAlignment="1" applyProtection="1">
      <alignment horizontal="center"/>
      <protection locked="0"/>
    </xf>
    <xf numFmtId="0" fontId="52" fillId="0" borderId="0" xfId="0" applyFont="1"/>
    <xf numFmtId="165" fontId="52" fillId="0" borderId="0" xfId="0" applyNumberFormat="1" applyFont="1" applyAlignment="1">
      <alignment horizontal="center"/>
    </xf>
    <xf numFmtId="0" fontId="52" fillId="0" borderId="22" xfId="0" applyFont="1" applyBorder="1" applyAlignment="1">
      <alignment horizontal="center"/>
    </xf>
    <xf numFmtId="0" fontId="45" fillId="5" borderId="8" xfId="0" applyFont="1" applyFill="1" applyBorder="1" applyAlignment="1">
      <alignment horizontal="center" vertical="center" wrapText="1"/>
    </xf>
    <xf numFmtId="0" fontId="66" fillId="5" borderId="8" xfId="0" applyFont="1" applyFill="1" applyBorder="1" applyAlignment="1">
      <alignment horizontal="center" vertical="center" wrapText="1"/>
    </xf>
    <xf numFmtId="0" fontId="45" fillId="6" borderId="17" xfId="0" applyFont="1" applyFill="1" applyBorder="1" applyAlignment="1">
      <alignment horizontal="center" vertical="center" wrapText="1"/>
    </xf>
    <xf numFmtId="3" fontId="58" fillId="0" borderId="28" xfId="2" applyNumberFormat="1" applyFont="1" applyFill="1" applyBorder="1" applyAlignment="1" applyProtection="1">
      <alignment horizontal="center"/>
      <protection locked="0"/>
    </xf>
    <xf numFmtId="0" fontId="45" fillId="5" borderId="13" xfId="0" applyFont="1" applyFill="1" applyBorder="1" applyAlignment="1">
      <alignment horizontal="center" vertical="center" wrapText="1"/>
    </xf>
    <xf numFmtId="3" fontId="61" fillId="0" borderId="1" xfId="0" applyNumberFormat="1" applyFont="1" applyBorder="1" applyAlignment="1" applyProtection="1">
      <alignment horizontal="center"/>
      <protection locked="0"/>
    </xf>
    <xf numFmtId="0" fontId="45" fillId="5" borderId="8" xfId="0" applyFont="1" applyFill="1" applyBorder="1" applyAlignment="1">
      <alignment horizontal="center" vertical="center"/>
    </xf>
    <xf numFmtId="0" fontId="51" fillId="9" borderId="0" xfId="0" applyFont="1" applyFill="1" applyAlignment="1">
      <alignment horizontal="center"/>
    </xf>
    <xf numFmtId="0" fontId="46" fillId="9" borderId="0" xfId="0" applyFont="1" applyFill="1"/>
    <xf numFmtId="0" fontId="67" fillId="9" borderId="0" xfId="0" applyFont="1" applyFill="1" applyAlignment="1">
      <alignment horizontal="center"/>
    </xf>
    <xf numFmtId="0" fontId="47" fillId="9" borderId="0" xfId="0" applyFont="1" applyFill="1" applyAlignment="1">
      <alignment horizontal="center"/>
    </xf>
    <xf numFmtId="0" fontId="54" fillId="9" borderId="0" xfId="0" applyFont="1" applyFill="1" applyAlignment="1">
      <alignment horizontal="center"/>
    </xf>
    <xf numFmtId="0" fontId="55" fillId="9" borderId="0" xfId="0" applyFont="1" applyFill="1" applyAlignment="1">
      <alignment horizontal="right"/>
    </xf>
    <xf numFmtId="1" fontId="53" fillId="8" borderId="0" xfId="0" applyNumberFormat="1" applyFont="1" applyFill="1" applyAlignment="1">
      <alignment horizontal="center"/>
    </xf>
    <xf numFmtId="165" fontId="53" fillId="9" borderId="0" xfId="0" applyNumberFormat="1" applyFont="1" applyFill="1" applyAlignment="1">
      <alignment horizontal="center"/>
    </xf>
    <xf numFmtId="1" fontId="47" fillId="9" borderId="0" xfId="0" applyNumberFormat="1" applyFont="1" applyFill="1" applyAlignment="1">
      <alignment horizontal="center"/>
    </xf>
    <xf numFmtId="165" fontId="40" fillId="0" borderId="3" xfId="0" applyNumberFormat="1" applyFont="1" applyBorder="1" applyAlignment="1">
      <alignment horizontal="center"/>
    </xf>
    <xf numFmtId="165" fontId="69" fillId="0" borderId="3" xfId="0" applyNumberFormat="1" applyFont="1" applyBorder="1" applyAlignment="1">
      <alignment horizontal="center"/>
    </xf>
    <xf numFmtId="0" fontId="69" fillId="0" borderId="3" xfId="0" applyFont="1" applyBorder="1" applyAlignment="1">
      <alignment horizontal="center"/>
    </xf>
    <xf numFmtId="165" fontId="69" fillId="0" borderId="3" xfId="2" applyNumberFormat="1" applyFont="1" applyFill="1" applyBorder="1" applyAlignment="1">
      <alignment horizontal="center"/>
    </xf>
    <xf numFmtId="0" fontId="1" fillId="0" borderId="0" xfId="0" applyFont="1"/>
    <xf numFmtId="168" fontId="57" fillId="0" borderId="6" xfId="0" applyNumberFormat="1" applyFont="1" applyBorder="1" applyAlignment="1">
      <alignment horizontal="center"/>
    </xf>
    <xf numFmtId="165" fontId="22" fillId="0" borderId="3" xfId="0" applyNumberFormat="1" applyFont="1" applyBorder="1" applyAlignment="1">
      <alignment horizontal="center"/>
    </xf>
    <xf numFmtId="0" fontId="75" fillId="13" borderId="13" xfId="4" applyFont="1" applyFill="1" applyBorder="1" applyAlignment="1">
      <alignment horizontal="center" vertical="center" wrapText="1"/>
    </xf>
    <xf numFmtId="0" fontId="76" fillId="11" borderId="10" xfId="4" applyFont="1" applyFill="1" applyBorder="1" applyAlignment="1">
      <alignment horizontal="center" vertical="center" wrapText="1"/>
    </xf>
    <xf numFmtId="0" fontId="76" fillId="11" borderId="11" xfId="4" applyFont="1" applyFill="1" applyBorder="1" applyAlignment="1">
      <alignment horizontal="center" vertical="center" wrapText="1"/>
    </xf>
    <xf numFmtId="0" fontId="75" fillId="13" borderId="9" xfId="4" applyFont="1" applyFill="1" applyBorder="1" applyAlignment="1">
      <alignment horizontal="center" vertical="center" wrapText="1"/>
    </xf>
    <xf numFmtId="168" fontId="22" fillId="8" borderId="3" xfId="0" applyNumberFormat="1" applyFont="1" applyFill="1" applyBorder="1" applyAlignment="1">
      <alignment horizontal="center"/>
    </xf>
    <xf numFmtId="15" fontId="22" fillId="3" borderId="3" xfId="0" applyNumberFormat="1" applyFont="1" applyFill="1" applyBorder="1" applyAlignment="1">
      <alignment horizontal="center"/>
    </xf>
    <xf numFmtId="1" fontId="40" fillId="0" borderId="3" xfId="0" applyNumberFormat="1" applyFont="1" applyBorder="1" applyAlignment="1">
      <alignment horizontal="center"/>
    </xf>
    <xf numFmtId="2" fontId="22" fillId="0" borderId="3" xfId="3" applyNumberFormat="1" applyFont="1" applyBorder="1" applyAlignment="1">
      <alignment horizontal="center"/>
    </xf>
    <xf numFmtId="15" fontId="22" fillId="8" borderId="3" xfId="0" applyNumberFormat="1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12" fillId="0" borderId="3" xfId="0" applyFont="1" applyBorder="1"/>
    <xf numFmtId="0" fontId="41" fillId="0" borderId="3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166" fontId="12" fillId="0" borderId="3" xfId="2" applyNumberFormat="1" applyFont="1" applyBorder="1"/>
    <xf numFmtId="0" fontId="0" fillId="3" borderId="3" xfId="0" applyFill="1" applyBorder="1"/>
    <xf numFmtId="0" fontId="1" fillId="0" borderId="3" xfId="0" applyFont="1" applyBorder="1" applyAlignment="1">
      <alignment horizontal="center"/>
    </xf>
    <xf numFmtId="0" fontId="76" fillId="11" borderId="12" xfId="4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8" fontId="22" fillId="8" borderId="1" xfId="0" applyNumberFormat="1" applyFont="1" applyFill="1" applyBorder="1" applyAlignment="1">
      <alignment horizontal="center"/>
    </xf>
    <xf numFmtId="15" fontId="22" fillId="3" borderId="1" xfId="0" applyNumberFormat="1" applyFont="1" applyFill="1" applyBorder="1" applyAlignment="1">
      <alignment horizontal="center"/>
    </xf>
    <xf numFmtId="0" fontId="40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1" fontId="40" fillId="0" borderId="1" xfId="0" applyNumberFormat="1" applyFont="1" applyBorder="1" applyAlignment="1">
      <alignment horizontal="center"/>
    </xf>
    <xf numFmtId="2" fontId="40" fillId="0" borderId="1" xfId="0" applyNumberFormat="1" applyFont="1" applyBorder="1" applyAlignment="1">
      <alignment horizontal="center"/>
    </xf>
    <xf numFmtId="165" fontId="22" fillId="0" borderId="1" xfId="0" applyNumberFormat="1" applyFont="1" applyBorder="1" applyAlignment="1">
      <alignment horizontal="center"/>
    </xf>
    <xf numFmtId="0" fontId="76" fillId="15" borderId="8" xfId="4" applyFont="1" applyFill="1" applyBorder="1" applyAlignment="1">
      <alignment horizontal="center" vertical="center" wrapText="1"/>
    </xf>
    <xf numFmtId="0" fontId="76" fillId="11" borderId="8" xfId="4" applyFont="1" applyFill="1" applyBorder="1" applyAlignment="1">
      <alignment horizontal="center" vertical="center" wrapText="1"/>
    </xf>
    <xf numFmtId="0" fontId="75" fillId="10" borderId="8" xfId="4" applyFont="1" applyFill="1" applyBorder="1" applyAlignment="1">
      <alignment horizontal="center"/>
    </xf>
    <xf numFmtId="0" fontId="75" fillId="12" borderId="8" xfId="4" applyFont="1" applyFill="1" applyBorder="1" applyAlignment="1">
      <alignment horizontal="center"/>
    </xf>
    <xf numFmtId="165" fontId="69" fillId="0" borderId="1" xfId="0" applyNumberFormat="1" applyFont="1" applyBorder="1" applyAlignment="1">
      <alignment horizontal="center"/>
    </xf>
    <xf numFmtId="165" fontId="40" fillId="0" borderId="1" xfId="0" applyNumberFormat="1" applyFont="1" applyBorder="1" applyAlignment="1">
      <alignment horizontal="center"/>
    </xf>
    <xf numFmtId="2" fontId="22" fillId="0" borderId="1" xfId="3" applyNumberFormat="1" applyFont="1" applyBorder="1" applyAlignment="1">
      <alignment horizontal="center"/>
    </xf>
    <xf numFmtId="0" fontId="75" fillId="10" borderId="8" xfId="4" applyFont="1" applyFill="1" applyBorder="1" applyAlignment="1">
      <alignment horizontal="center" vertical="center" wrapText="1"/>
    </xf>
    <xf numFmtId="0" fontId="75" fillId="12" borderId="8" xfId="4" applyFont="1" applyFill="1" applyBorder="1" applyAlignment="1">
      <alignment horizontal="center" vertical="center" wrapText="1"/>
    </xf>
    <xf numFmtId="0" fontId="75" fillId="13" borderId="8" xfId="4" applyFont="1" applyFill="1" applyBorder="1" applyAlignment="1">
      <alignment horizontal="center" vertical="center" wrapText="1"/>
    </xf>
    <xf numFmtId="0" fontId="75" fillId="13" borderId="8" xfId="4" applyFont="1" applyFill="1" applyBorder="1" applyAlignment="1">
      <alignment horizontal="center"/>
    </xf>
    <xf numFmtId="0" fontId="77" fillId="0" borderId="0" xfId="0" applyFont="1" applyAlignment="1">
      <alignment wrapText="1"/>
    </xf>
    <xf numFmtId="0" fontId="77" fillId="0" borderId="21" xfId="0" applyFont="1" applyBorder="1" applyAlignment="1">
      <alignment wrapText="1"/>
    </xf>
    <xf numFmtId="0" fontId="15" fillId="0" borderId="0" xfId="0" applyFont="1" applyAlignment="1">
      <alignment vertical="center"/>
    </xf>
    <xf numFmtId="0" fontId="62" fillId="7" borderId="0" xfId="0" applyFont="1" applyFill="1" applyAlignment="1" applyProtection="1">
      <alignment horizontal="center" vertical="center"/>
      <protection hidden="1"/>
    </xf>
    <xf numFmtId="0" fontId="73" fillId="13" borderId="8" xfId="4" applyFont="1" applyFill="1" applyBorder="1" applyAlignment="1">
      <alignment horizontal="center"/>
    </xf>
    <xf numFmtId="0" fontId="75" fillId="10" borderId="8" xfId="4" applyFont="1" applyFill="1" applyBorder="1" applyAlignment="1">
      <alignment horizontal="center"/>
    </xf>
    <xf numFmtId="0" fontId="75" fillId="13" borderId="8" xfId="4" applyFont="1" applyFill="1" applyBorder="1" applyAlignment="1">
      <alignment horizontal="center"/>
    </xf>
    <xf numFmtId="0" fontId="71" fillId="11" borderId="13" xfId="4" applyFont="1" applyFill="1" applyBorder="1" applyAlignment="1">
      <alignment horizontal="center" vertical="center"/>
    </xf>
    <xf numFmtId="0" fontId="74" fillId="11" borderId="8" xfId="4" applyFont="1" applyFill="1" applyBorder="1" applyAlignment="1">
      <alignment horizontal="center" vertical="center" shrinkToFit="1"/>
    </xf>
    <xf numFmtId="0" fontId="74" fillId="14" borderId="8" xfId="4" applyFont="1" applyFill="1" applyBorder="1" applyAlignment="1">
      <alignment horizontal="center" vertical="center" shrinkToFit="1"/>
    </xf>
    <xf numFmtId="0" fontId="73" fillId="12" borderId="13" xfId="4" applyFont="1" applyFill="1" applyBorder="1" applyAlignment="1">
      <alignment horizontal="center"/>
    </xf>
    <xf numFmtId="0" fontId="72" fillId="10" borderId="13" xfId="4" applyFont="1" applyFill="1" applyBorder="1" applyAlignment="1">
      <alignment horizontal="center"/>
    </xf>
    <xf numFmtId="0" fontId="79" fillId="0" borderId="21" xfId="0" applyFont="1" applyBorder="1" applyAlignment="1">
      <alignment horizontal="center" vertical="center"/>
    </xf>
    <xf numFmtId="0" fontId="79" fillId="0" borderId="17" xfId="0" applyFont="1" applyBorder="1" applyAlignment="1">
      <alignment horizontal="center" vertical="center"/>
    </xf>
    <xf numFmtId="0" fontId="80" fillId="0" borderId="17" xfId="0" applyFont="1" applyBorder="1" applyAlignment="1">
      <alignment horizontal="center" vertical="center"/>
    </xf>
    <xf numFmtId="0" fontId="74" fillId="14" borderId="7" xfId="4" applyFont="1" applyFill="1" applyBorder="1" applyAlignment="1">
      <alignment horizontal="center" vertical="center" shrinkToFit="1"/>
    </xf>
    <xf numFmtId="0" fontId="71" fillId="11" borderId="8" xfId="4" applyFont="1" applyFill="1" applyBorder="1" applyAlignment="1">
      <alignment horizontal="center" vertical="center"/>
    </xf>
    <xf numFmtId="0" fontId="31" fillId="0" borderId="21" xfId="0" applyFont="1" applyBorder="1" applyAlignment="1">
      <alignment horizontal="center" vertical="center"/>
    </xf>
    <xf numFmtId="0" fontId="60" fillId="6" borderId="21" xfId="0" applyFont="1" applyFill="1" applyBorder="1" applyAlignment="1">
      <alignment horizontal="center"/>
    </xf>
    <xf numFmtId="0" fontId="60" fillId="6" borderId="0" xfId="0" applyFont="1" applyFill="1" applyAlignment="1">
      <alignment horizontal="center"/>
    </xf>
    <xf numFmtId="0" fontId="45" fillId="6" borderId="9" xfId="0" applyFont="1" applyFill="1" applyBorder="1" applyAlignment="1">
      <alignment horizontal="center" vertical="center" wrapText="1"/>
    </xf>
    <xf numFmtId="0" fontId="45" fillId="6" borderId="16" xfId="0" applyFont="1" applyFill="1" applyBorder="1" applyAlignment="1">
      <alignment horizontal="center" vertical="center" wrapText="1"/>
    </xf>
    <xf numFmtId="0" fontId="45" fillId="6" borderId="18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25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D89-46DB-BD2D-92CB4E8761ED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D89-46DB-BD2D-92CB4E8761ED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D89-46DB-BD2D-92CB4E8761ED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D89-46DB-BD2D-92CB4E8761ED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D89-46DB-BD2D-92CB4E8761ED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D89-46DB-BD2D-92CB4E876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434512"/>
        <c:axId val="375434904"/>
      </c:barChart>
      <c:catAx>
        <c:axId val="37543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43490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75434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43451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84E-4BC8-AF87-23C1EFCE261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84E-4BC8-AF87-23C1EFCE2610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84E-4BC8-AF87-23C1EFCE2610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84E-4BC8-AF87-23C1EFCE2610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384E-4BC8-AF87-23C1EFCE2610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384E-4BC8-AF87-23C1EFCE2610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384E-4BC8-AF87-23C1EFCE2610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384E-4BC8-AF87-23C1EFCE2610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384E-4BC8-AF87-23C1EFCE2610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384E-4BC8-AF87-23C1EFCE2610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384E-4BC8-AF87-23C1EFCE2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435688"/>
        <c:axId val="387449744"/>
      </c:lineChart>
      <c:catAx>
        <c:axId val="375435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449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7449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43568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C4F-41F0-BC18-495263B612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C4F-41F0-BC18-495263B6128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C4F-41F0-BC18-495263B612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4F-41F0-BC18-495263B612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C4F-41F0-BC18-495263B612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C4F-41F0-BC18-495263B6128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C4F-41F0-BC18-495263B612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C4F-41F0-BC18-495263B612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C4F-41F0-BC18-495263B612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C4F-41F0-BC18-495263B6128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C4F-41F0-BC18-495263B612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C4F-41F0-BC18-495263B612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C4F-41F0-BC18-495263B612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C4F-41F0-BC18-495263B61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8711880"/>
        <c:axId val="378712272"/>
      </c:barChart>
      <c:catAx>
        <c:axId val="378711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712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8712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711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6E6-4B4C-BF10-A15FD75776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6E6-4B4C-BF10-A15FD75776B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6E6-4B4C-BF10-A15FD75776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6E6-4B4C-BF10-A15FD75776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6E6-4B4C-BF10-A15FD75776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6E6-4B4C-BF10-A15FD75776B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6E6-4B4C-BF10-A15FD75776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6E6-4B4C-BF10-A15FD75776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6E6-4B4C-BF10-A15FD75776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6E6-4B4C-BF10-A15FD75776B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6E6-4B4C-BF10-A15FD75776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6E6-4B4C-BF10-A15FD75776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6E6-4B4C-BF10-A15FD75776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6E6-4B4C-BF10-A15FD7577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8713056"/>
        <c:axId val="378713448"/>
      </c:barChart>
      <c:catAx>
        <c:axId val="378713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713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8713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713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F2-47F1-B9FB-1393B51DA3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0F2-47F1-B9FB-1393B51DA3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F2-47F1-B9FB-1393B51DA3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F2-47F1-B9FB-1393B51DA3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F2-47F1-B9FB-1393B51DA3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0F2-47F1-B9FB-1393B51DA3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F2-47F1-B9FB-1393B51DA3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F2-47F1-B9FB-1393B51DA3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F2-47F1-B9FB-1393B51DA3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0F2-47F1-B9FB-1393B51DA3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0F2-47F1-B9FB-1393B51DA3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F2-47F1-B9FB-1393B51DA3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F2-47F1-B9FB-1393B51DA3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0F2-47F1-B9FB-1393B51DA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9080176"/>
        <c:axId val="379080568"/>
      </c:barChart>
      <c:catAx>
        <c:axId val="379080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080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9080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080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17-4DE4-BA8A-8F5A7BBDFF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17-4DE4-BA8A-8F5A7BBDFFC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17-4DE4-BA8A-8F5A7BBDFF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17-4DE4-BA8A-8F5A7BBDFF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17-4DE4-BA8A-8F5A7BBDFF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17-4DE4-BA8A-8F5A7BBDFFC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17-4DE4-BA8A-8F5A7BBDFF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17-4DE4-BA8A-8F5A7BBDFF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17-4DE4-BA8A-8F5A7BBDFF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17-4DE4-BA8A-8F5A7BBDFFC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17-4DE4-BA8A-8F5A7BBDFF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17-4DE4-BA8A-8F5A7BBDFF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17-4DE4-BA8A-8F5A7BBDFF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17-4DE4-BA8A-8F5A7BBDFF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9081352"/>
        <c:axId val="383676376"/>
      </c:barChart>
      <c:catAx>
        <c:axId val="379081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676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676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081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1B-4C44-AA1A-8F08D6345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1B-4C44-AA1A-8F08D63456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1B-4C44-AA1A-8F08D6345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1B-4C44-AA1A-8F08D6345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1B-4C44-AA1A-8F08D6345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1B-4C44-AA1A-8F08D63456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1B-4C44-AA1A-8F08D6345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1B-4C44-AA1A-8F08D6345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1B-4C44-AA1A-8F08D6345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1B-4C44-AA1A-8F08D63456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1B-4C44-AA1A-8F08D6345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1B-4C44-AA1A-8F08D6345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1B-4C44-AA1A-8F08D6345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1B-4C44-AA1A-8F08D6345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677160"/>
        <c:axId val="383677552"/>
      </c:barChart>
      <c:catAx>
        <c:axId val="383677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677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677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677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F5C-40B5-8975-8E24541827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F5C-40B5-8975-8E24541827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F5C-40B5-8975-8E24541827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F5C-40B5-8975-8E24541827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F5C-40B5-8975-8E24541827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F5C-40B5-8975-8E24541827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F5C-40B5-8975-8E24541827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F5C-40B5-8975-8E24541827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F5C-40B5-8975-8E24541827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F5C-40B5-8975-8E24541827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F5C-40B5-8975-8E24541827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F5C-40B5-8975-8E24541827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F5C-40B5-8975-8E24541827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F5C-40B5-8975-8E2454182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387592"/>
        <c:axId val="383387984"/>
      </c:barChart>
      <c:catAx>
        <c:axId val="383387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387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387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387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AD-40B0-AD51-2B7B8B9933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8AD-40B0-AD51-2B7B8B99335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AD-40B0-AD51-2B7B8B9933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AD-40B0-AD51-2B7B8B9933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AD-40B0-AD51-2B7B8B9933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8AD-40B0-AD51-2B7B8B99335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AD-40B0-AD51-2B7B8B9933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AD-40B0-AD51-2B7B8B9933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AD-40B0-AD51-2B7B8B9933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8AD-40B0-AD51-2B7B8B99335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AD-40B0-AD51-2B7B8B9933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AD-40B0-AD51-2B7B8B9933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AD-40B0-AD51-2B7B8B9933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8AD-40B0-AD51-2B7B8B993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388768"/>
        <c:axId val="383389160"/>
      </c:barChart>
      <c:catAx>
        <c:axId val="383388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389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3891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388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0B-43C5-905D-693438E08E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0B-43C5-905D-693438E08E6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0B-43C5-905D-693438E08E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0B-43C5-905D-693438E08E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0B-43C5-905D-693438E08E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0B-43C5-905D-693438E08E6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0B-43C5-905D-693438E08E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0B-43C5-905D-693438E08E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0B-43C5-905D-693438E08E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0B-43C5-905D-693438E08E6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0B-43C5-905D-693438E08E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0B-43C5-905D-693438E08E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0B-43C5-905D-693438E08E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0B-43C5-905D-693438E08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703392"/>
        <c:axId val="383703784"/>
      </c:barChart>
      <c:catAx>
        <c:axId val="383703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703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703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703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3AE-405A-BF65-48C9CD05A7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AE-405A-BF65-48C9CD05A7E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3AE-405A-BF65-48C9CD05A7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AE-405A-BF65-48C9CD05A7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3AE-405A-BF65-48C9CD05A7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3AE-405A-BF65-48C9CD05A7E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3AE-405A-BF65-48C9CD05A7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3AE-405A-BF65-48C9CD05A7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3AE-405A-BF65-48C9CD05A7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3AE-405A-BF65-48C9CD05A7E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3AE-405A-BF65-48C9CD05A7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3AE-405A-BF65-48C9CD05A7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3AE-405A-BF65-48C9CD05A7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3AE-405A-BF65-48C9CD05A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704568"/>
        <c:axId val="375340424"/>
      </c:barChart>
      <c:catAx>
        <c:axId val="383704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40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340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7045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AA-4E94-AF60-A9EF2AC9D5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AA-4E94-AF60-A9EF2AC9D54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AA-4E94-AF60-A9EF2AC9D5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AA-4E94-AF60-A9EF2AC9D5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AA-4E94-AF60-A9EF2AC9D5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AA-4E94-AF60-A9EF2AC9D54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AA-4E94-AF60-A9EF2AC9D5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AA-4E94-AF60-A9EF2AC9D5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AA-4E94-AF60-A9EF2AC9D5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AA-4E94-AF60-A9EF2AC9D54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AA-4E94-AF60-A9EF2AC9D5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AA-4E94-AF60-A9EF2AC9D5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AA-4E94-AF60-A9EF2AC9D5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AA-4E94-AF60-A9EF2AC9D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341208"/>
        <c:axId val="375341600"/>
      </c:barChart>
      <c:catAx>
        <c:axId val="375341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41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341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41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FDC-449B-BA66-7A1ED58BF6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FDC-449B-BA66-7A1ED58BF61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FDC-449B-BA66-7A1ED58BF61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FDC-449B-BA66-7A1ED58BF61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FDC-449B-BA66-7A1ED58BF6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FDC-449B-BA66-7A1ED58BF61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FDC-449B-BA66-7A1ED58BF61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FDC-449B-BA66-7A1ED58BF61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FDC-449B-BA66-7A1ED58BF6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FDC-449B-BA66-7A1ED58BF61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FDC-449B-BA66-7A1ED58BF61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FDC-449B-BA66-7A1ED58BF61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FDC-449B-BA66-7A1ED58BF6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FDC-449B-BA66-7A1ED58BF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866216"/>
        <c:axId val="372866608"/>
      </c:barChart>
      <c:catAx>
        <c:axId val="372866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866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866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8662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60-4FDB-9BEB-078FC1CDE2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760-4FDB-9BEB-078FC1CDE22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60-4FDB-9BEB-078FC1CDE2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60-4FDB-9BEB-078FC1CDE2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760-4FDB-9BEB-078FC1CDE2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760-4FDB-9BEB-078FC1CDE22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60-4FDB-9BEB-078FC1CDE2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60-4FDB-9BEB-078FC1CDE2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60-4FDB-9BEB-078FC1CDE2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760-4FDB-9BEB-078FC1CDE22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760-4FDB-9BEB-078FC1CDE2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760-4FDB-9BEB-078FC1CDE2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760-4FDB-9BEB-078FC1CDE2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760-4FDB-9BEB-078FC1CDE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867392"/>
        <c:axId val="372867784"/>
      </c:barChart>
      <c:catAx>
        <c:axId val="372867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867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867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867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FD7-4B41-99C4-D44A5A3887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FD7-4B41-99C4-D44A5A38877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D7-4B41-99C4-D44A5A3887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D7-4B41-99C4-D44A5A3887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FD7-4B41-99C4-D44A5A3887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FD7-4B41-99C4-D44A5A38877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FD7-4B41-99C4-D44A5A3887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FD7-4B41-99C4-D44A5A3887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FD7-4B41-99C4-D44A5A3887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FD7-4B41-99C4-D44A5A38877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FD7-4B41-99C4-D44A5A3887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FD7-4B41-99C4-D44A5A3887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FD7-4B41-99C4-D44A5A3887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FD7-4B41-99C4-D44A5A388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921904"/>
        <c:axId val="372922296"/>
      </c:barChart>
      <c:catAx>
        <c:axId val="372921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922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922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921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6C-4C25-825D-473C4C67CD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C6C-4C25-825D-473C4C67CD8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6C-4C25-825D-473C4C67CD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6C-4C25-825D-473C4C67CD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6C-4C25-825D-473C4C67CD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C6C-4C25-825D-473C4C67CD8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6C-4C25-825D-473C4C67CD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C6C-4C25-825D-473C4C67CD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C6C-4C25-825D-473C4C67CD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C6C-4C25-825D-473C4C67CD8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C6C-4C25-825D-473C4C67CD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C6C-4C25-825D-473C4C67CD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C6C-4C25-825D-473C4C67CD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C6C-4C25-825D-473C4C67C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923080"/>
        <c:axId val="373003520"/>
      </c:barChart>
      <c:catAx>
        <c:axId val="372923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003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003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923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9CB-4130-B535-94DC5A88ED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9CB-4130-B535-94DC5A88ED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9CB-4130-B535-94DC5A88ED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9CB-4130-B535-94DC5A88ED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9CB-4130-B535-94DC5A88ED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9CB-4130-B535-94DC5A88ED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9CB-4130-B535-94DC5A88ED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9CB-4130-B535-94DC5A88ED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9CB-4130-B535-94DC5A88ED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9CB-4130-B535-94DC5A88ED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9CB-4130-B535-94DC5A88ED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9CB-4130-B535-94DC5A88ED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9CB-4130-B535-94DC5A88ED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9CB-4130-B535-94DC5A88E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004304"/>
        <c:axId val="373004696"/>
      </c:barChart>
      <c:catAx>
        <c:axId val="373004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004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004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004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37-4CA6-A6FB-3964414798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37-4CA6-A6FB-3964414798A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37-4CA6-A6FB-3964414798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37-4CA6-A6FB-3964414798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37-4CA6-A6FB-3964414798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37-4CA6-A6FB-3964414798A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37-4CA6-A6FB-3964414798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37-4CA6-A6FB-3964414798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37-4CA6-A6FB-3964414798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37-4CA6-A6FB-3964414798A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37-4CA6-A6FB-3964414798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37-4CA6-A6FB-3964414798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37-4CA6-A6FB-3964414798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37-4CA6-A6FB-396441479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164296"/>
        <c:axId val="375164688"/>
      </c:barChart>
      <c:catAx>
        <c:axId val="375164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164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164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164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8C-473B-910E-CC47EDF4CB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8C-473B-910E-CC47EDF4CB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8C-473B-910E-CC47EDF4CB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8C-473B-910E-CC47EDF4CB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8C-473B-910E-CC47EDF4CB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8C-473B-910E-CC47EDF4CB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8C-473B-910E-CC47EDF4CB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8C-473B-910E-CC47EDF4CB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8C-473B-910E-CC47EDF4CB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8C-473B-910E-CC47EDF4CB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8C-473B-910E-CC47EDF4CB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8C-473B-910E-CC47EDF4CB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8C-473B-910E-CC47EDF4CB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8C-473B-910E-CC47EDF4C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165472"/>
        <c:axId val="375165864"/>
      </c:barChart>
      <c:catAx>
        <c:axId val="375165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165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1658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165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B9-48F6-BEA5-F81C99ECAA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EB9-48F6-BEA5-F81C99ECAA8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B9-48F6-BEA5-F81C99ECAA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B9-48F6-BEA5-F81C99ECAA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EB9-48F6-BEA5-F81C99ECAA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EB9-48F6-BEA5-F81C99ECAA8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EB9-48F6-BEA5-F81C99ECAA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B9-48F6-BEA5-F81C99ECAA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EB9-48F6-BEA5-F81C99ECAA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EB9-48F6-BEA5-F81C99ECAA8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B9-48F6-BEA5-F81C99ECAA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B9-48F6-BEA5-F81C99ECAA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B9-48F6-BEA5-F81C99ECAA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EB9-48F6-BEA5-F81C99ECA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760104"/>
        <c:axId val="372760496"/>
      </c:barChart>
      <c:catAx>
        <c:axId val="372760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760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760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760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40-427A-93D5-33BD616728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40-427A-93D5-33BD616728C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40-427A-93D5-33BD616728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40-427A-93D5-33BD616728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40-427A-93D5-33BD616728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40-427A-93D5-33BD616728C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40-427A-93D5-33BD616728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40-427A-93D5-33BD616728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40-427A-93D5-33BD616728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40-427A-93D5-33BD616728C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40-427A-93D5-33BD616728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40-427A-93D5-33BD616728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40-427A-93D5-33BD616728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40-427A-93D5-33BD61672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761280"/>
        <c:axId val="381613112"/>
      </c:barChart>
      <c:catAx>
        <c:axId val="372761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1613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1613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761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A9-4267-8C78-B4591361B7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A9-4267-8C78-B4591361B76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A9-4267-8C78-B4591361B76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A9-4267-8C78-B4591361B76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A9-4267-8C78-B4591361B7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A9-4267-8C78-B4591361B76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A9-4267-8C78-B4591361B76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A9-4267-8C78-B4591361B76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A9-4267-8C78-B4591361B7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A9-4267-8C78-B4591361B76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A9-4267-8C78-B4591361B76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A9-4267-8C78-B4591361B76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A9-4267-8C78-B4591361B7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A9-4267-8C78-B4591361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1613896"/>
        <c:axId val="381614288"/>
      </c:barChart>
      <c:catAx>
        <c:axId val="381613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1614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1614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1613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43-447C-993A-A578E9EBB5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643-447C-993A-A578E9EBB5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43-447C-993A-A578E9EBB5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43-447C-993A-A578E9EBB5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43-447C-993A-A578E9EBB5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643-447C-993A-A578E9EBB5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43-447C-993A-A578E9EBB5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43-447C-993A-A578E9EBB5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43-447C-993A-A578E9EBB5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643-447C-993A-A578E9EBB5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43-447C-993A-A578E9EBB5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43-447C-993A-A578E9EBB5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643-447C-993A-A578E9EBB5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643-447C-993A-A578E9EBB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1322336"/>
        <c:axId val="381322728"/>
      </c:barChart>
      <c:catAx>
        <c:axId val="381322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1322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1322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1322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88-41D8-8E48-E629A0BBBB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88-41D8-8E48-E629A0BBBB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88-41D8-8E48-E629A0BBBB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88-41D8-8E48-E629A0BBBB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88-41D8-8E48-E629A0BBBB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88-41D8-8E48-E629A0BBBB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88-41D8-8E48-E629A0BBBB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88-41D8-8E48-E629A0BBBB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88-41D8-8E48-E629A0BBBB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88-41D8-8E48-E629A0BBBB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88-41D8-8E48-E629A0BBBB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88-41D8-8E48-E629A0BBBB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88-41D8-8E48-E629A0BBBB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88-41D8-8E48-E629A0BBB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1323512"/>
        <c:axId val="381323904"/>
      </c:barChart>
      <c:catAx>
        <c:axId val="381323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1323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1323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1323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17-4079-97D7-3240704C71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217-4079-97D7-3240704C71E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17-4079-97D7-3240704C71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17-4079-97D7-3240704C71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17-4079-97D7-3240704C71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217-4079-97D7-3240704C71E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217-4079-97D7-3240704C71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217-4079-97D7-3240704C71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217-4079-97D7-3240704C71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217-4079-97D7-3240704C71E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217-4079-97D7-3240704C71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217-4079-97D7-3240704C71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217-4079-97D7-3240704C71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217-4079-97D7-3240704C7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769216"/>
        <c:axId val="383769608"/>
      </c:barChart>
      <c:catAx>
        <c:axId val="383769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769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769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7692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E9-48E2-A3F5-76D04B5C79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E9-48E2-A3F5-76D04B5C792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E9-48E2-A3F5-76D04B5C79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E9-48E2-A3F5-76D04B5C79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E9-48E2-A3F5-76D04B5C79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E9-48E2-A3F5-76D04B5C792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E9-48E2-A3F5-76D04B5C79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E9-48E2-A3F5-76D04B5C79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E9-48E2-A3F5-76D04B5C79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E9-48E2-A3F5-76D04B5C792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E9-48E2-A3F5-76D04B5C79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E9-48E2-A3F5-76D04B5C79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E9-48E2-A3F5-76D04B5C79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E9-48E2-A3F5-76D04B5C7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770392"/>
        <c:axId val="383770784"/>
      </c:barChart>
      <c:catAx>
        <c:axId val="383770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770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770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770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260685</xdr:colOff>
      <xdr:row>0</xdr:row>
      <xdr:rowOff>100263</xdr:rowOff>
    </xdr:from>
    <xdr:to>
      <xdr:col>3</xdr:col>
      <xdr:colOff>35037</xdr:colOff>
      <xdr:row>2</xdr:row>
      <xdr:rowOff>253891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85" y="100263"/>
          <a:ext cx="997563" cy="895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30078</xdr:colOff>
      <xdr:row>0</xdr:row>
      <xdr:rowOff>200526</xdr:rowOff>
    </xdr:from>
    <xdr:to>
      <xdr:col>4</xdr:col>
      <xdr:colOff>901933</xdr:colOff>
      <xdr:row>2</xdr:row>
      <xdr:rowOff>250424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985210" y="200526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334434</xdr:colOff>
      <xdr:row>0</xdr:row>
      <xdr:rowOff>232834</xdr:rowOff>
    </xdr:from>
    <xdr:to>
      <xdr:col>1</xdr:col>
      <xdr:colOff>279401</xdr:colOff>
      <xdr:row>2</xdr:row>
      <xdr:rowOff>327026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4434" y="232834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tabSelected="1" zoomScaleNormal="100" workbookViewId="0"/>
  </sheetViews>
  <sheetFormatPr baseColWidth="10" defaultColWidth="11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0"/>
      <c r="B1" s="41"/>
      <c r="C1" s="41"/>
      <c r="D1" s="41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2"/>
    </row>
    <row r="2" spans="1:21" s="8" customFormat="1" ht="17.45" customHeight="1">
      <c r="A2" s="43"/>
      <c r="B2" s="91"/>
      <c r="C2" s="92"/>
      <c r="D2" s="92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4"/>
      <c r="R2" s="40"/>
      <c r="S2" s="40"/>
      <c r="T2" s="40"/>
      <c r="U2" s="42"/>
    </row>
    <row r="3" spans="1:21" s="8" customFormat="1" ht="17.45" customHeight="1">
      <c r="A3" s="43"/>
      <c r="B3" s="95"/>
      <c r="C3" s="58"/>
      <c r="D3" s="58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96"/>
      <c r="R3" s="40"/>
      <c r="S3" s="40"/>
      <c r="T3" s="40"/>
      <c r="U3" s="42"/>
    </row>
    <row r="4" spans="1:21" s="8" customFormat="1" ht="10.5" customHeight="1">
      <c r="A4" s="43"/>
      <c r="B4" s="95"/>
      <c r="C4" s="59"/>
      <c r="D4" s="60"/>
      <c r="E4" s="61"/>
      <c r="F4" s="61"/>
      <c r="G4" s="61"/>
      <c r="H4" s="61"/>
      <c r="I4" s="61"/>
      <c r="J4" s="61"/>
      <c r="K4" s="61"/>
      <c r="L4" s="61"/>
      <c r="M4" s="61"/>
      <c r="N4" s="62"/>
      <c r="O4" s="57"/>
      <c r="P4" s="57"/>
      <c r="Q4" s="96"/>
      <c r="R4" s="40"/>
      <c r="S4" s="40"/>
      <c r="T4" s="40"/>
      <c r="U4" s="42"/>
    </row>
    <row r="5" spans="1:21" s="8" customFormat="1" ht="32.25" customHeight="1">
      <c r="A5" s="41"/>
      <c r="B5" s="95"/>
      <c r="C5" s="63"/>
      <c r="D5" s="63"/>
      <c r="E5" s="200" t="s">
        <v>65</v>
      </c>
      <c r="F5" s="200"/>
      <c r="G5" s="200"/>
      <c r="H5" s="200"/>
      <c r="I5" s="200"/>
      <c r="J5" s="200"/>
      <c r="K5" s="200"/>
      <c r="L5" s="200"/>
      <c r="M5" s="200"/>
      <c r="N5" s="64"/>
      <c r="O5" s="57"/>
      <c r="P5" s="57"/>
      <c r="Q5" s="96"/>
      <c r="R5" s="40"/>
      <c r="S5" s="40"/>
      <c r="T5" s="40"/>
      <c r="U5" s="42"/>
    </row>
    <row r="6" spans="1:21" s="8" customFormat="1" ht="17.45" customHeight="1">
      <c r="A6" s="43"/>
      <c r="B6" s="95"/>
      <c r="C6" s="65"/>
      <c r="D6" s="65"/>
      <c r="E6" s="66"/>
      <c r="F6" s="67"/>
      <c r="G6" s="67"/>
      <c r="H6" s="67"/>
      <c r="I6" s="67"/>
      <c r="J6" s="67"/>
      <c r="K6" s="67"/>
      <c r="L6" s="67"/>
      <c r="M6" s="67"/>
      <c r="N6" s="68"/>
      <c r="O6" s="69"/>
      <c r="P6" s="69"/>
      <c r="Q6" s="97"/>
      <c r="R6" s="40"/>
      <c r="S6" s="40"/>
      <c r="T6" s="40"/>
      <c r="U6" s="42"/>
    </row>
    <row r="7" spans="1:21" s="8" customFormat="1" ht="17.45" customHeight="1">
      <c r="A7" s="43"/>
      <c r="B7" s="98"/>
      <c r="C7" s="70"/>
      <c r="D7" s="70"/>
      <c r="E7" s="71"/>
      <c r="F7" s="71"/>
      <c r="G7" s="71"/>
      <c r="H7" s="71"/>
      <c r="I7" s="71"/>
      <c r="J7" s="71"/>
      <c r="K7" s="71"/>
      <c r="L7" s="71"/>
      <c r="M7" s="57"/>
      <c r="N7" s="69"/>
      <c r="O7" s="69"/>
      <c r="P7" s="69"/>
      <c r="Q7" s="97"/>
      <c r="R7" s="40"/>
      <c r="S7" s="40"/>
      <c r="T7" s="40"/>
      <c r="U7" s="42"/>
    </row>
    <row r="8" spans="1:21" s="8" customFormat="1" ht="17.45" customHeight="1">
      <c r="A8" s="43"/>
      <c r="B8" s="99"/>
      <c r="C8" s="72"/>
      <c r="D8" s="72"/>
      <c r="E8" s="73"/>
      <c r="F8" s="74"/>
      <c r="G8" s="74"/>
      <c r="H8" s="74"/>
      <c r="I8" s="75"/>
      <c r="J8" s="75"/>
      <c r="K8" s="75"/>
      <c r="L8" s="76"/>
      <c r="M8" s="57"/>
      <c r="N8" s="57"/>
      <c r="O8" s="69"/>
      <c r="P8" s="69"/>
      <c r="Q8" s="97"/>
      <c r="R8" s="40"/>
      <c r="S8" s="40"/>
      <c r="T8" s="40"/>
      <c r="U8" s="42"/>
    </row>
    <row r="9" spans="1:21" s="8" customFormat="1" ht="17.45" customHeight="1">
      <c r="A9" s="43"/>
      <c r="B9" s="99"/>
      <c r="C9" s="72"/>
      <c r="D9" s="77"/>
      <c r="E9" s="75"/>
      <c r="F9" s="75"/>
      <c r="G9" s="75"/>
      <c r="H9" s="75"/>
      <c r="I9" s="75"/>
      <c r="J9" s="75"/>
      <c r="K9" s="75"/>
      <c r="L9" s="76"/>
      <c r="M9" s="57"/>
      <c r="N9" s="57"/>
      <c r="O9" s="69"/>
      <c r="P9" s="57"/>
      <c r="Q9" s="96"/>
      <c r="R9" s="40"/>
      <c r="S9" s="40"/>
      <c r="T9" s="40"/>
      <c r="U9" s="42"/>
    </row>
    <row r="10" spans="1:21" s="8" customFormat="1" ht="17.45" customHeight="1">
      <c r="A10" s="43"/>
      <c r="B10" s="99"/>
      <c r="C10" s="72"/>
      <c r="D10" s="78"/>
      <c r="E10" s="79"/>
      <c r="F10" s="75"/>
      <c r="G10" s="75"/>
      <c r="H10" s="75"/>
      <c r="I10" s="75"/>
      <c r="J10" s="75"/>
      <c r="K10" s="75"/>
      <c r="L10" s="76"/>
      <c r="M10" s="57"/>
      <c r="N10" s="57"/>
      <c r="O10" s="69"/>
      <c r="P10" s="57"/>
      <c r="Q10" s="96"/>
      <c r="R10" s="40"/>
      <c r="S10" s="40"/>
      <c r="T10" s="40"/>
      <c r="U10" s="42"/>
    </row>
    <row r="11" spans="1:21" s="8" customFormat="1" ht="12" customHeight="1">
      <c r="A11" s="43"/>
      <c r="B11" s="99"/>
      <c r="C11" s="72"/>
      <c r="D11" s="80"/>
      <c r="E11" s="75"/>
      <c r="F11" s="75"/>
      <c r="G11" s="75"/>
      <c r="H11" s="75"/>
      <c r="I11" s="75"/>
      <c r="J11" s="75"/>
      <c r="K11" s="75"/>
      <c r="L11" s="81"/>
      <c r="M11" s="81"/>
      <c r="N11" s="81"/>
      <c r="O11" s="82"/>
      <c r="P11" s="57"/>
      <c r="Q11" s="96"/>
      <c r="R11" s="40"/>
      <c r="S11" s="40"/>
      <c r="T11" s="40"/>
      <c r="U11" s="42"/>
    </row>
    <row r="12" spans="1:21" s="8" customFormat="1" ht="17.45" customHeight="1">
      <c r="A12" s="43"/>
      <c r="B12" s="99"/>
      <c r="C12" s="72"/>
      <c r="D12" s="72"/>
      <c r="E12" s="75"/>
      <c r="F12" s="75"/>
      <c r="G12" s="75"/>
      <c r="H12" s="75"/>
      <c r="I12" s="75"/>
      <c r="J12" s="75"/>
      <c r="K12" s="75"/>
      <c r="L12" s="83"/>
      <c r="M12" s="81"/>
      <c r="N12" s="81"/>
      <c r="O12" s="82"/>
      <c r="P12" s="84"/>
      <c r="Q12" s="96"/>
      <c r="R12" s="40"/>
      <c r="S12" s="40"/>
      <c r="T12" s="40"/>
      <c r="U12" s="42"/>
    </row>
    <row r="13" spans="1:21" s="8" customFormat="1" ht="17.25" customHeight="1">
      <c r="A13" s="43"/>
      <c r="B13" s="100"/>
      <c r="C13" s="72"/>
      <c r="D13" s="72"/>
      <c r="E13" s="85"/>
      <c r="F13" s="75"/>
      <c r="G13" s="75"/>
      <c r="H13" s="75"/>
      <c r="I13" s="75"/>
      <c r="J13" s="75"/>
      <c r="K13" s="75"/>
      <c r="L13" s="83"/>
      <c r="M13" s="81"/>
      <c r="N13" s="81"/>
      <c r="O13" s="82"/>
      <c r="P13" s="84"/>
      <c r="Q13" s="96"/>
      <c r="R13" s="40"/>
      <c r="S13" s="40"/>
      <c r="T13" s="40"/>
      <c r="U13" s="42"/>
    </row>
    <row r="14" spans="1:21" s="8" customFormat="1" ht="17.25" customHeight="1">
      <c r="A14" s="43"/>
      <c r="B14" s="100"/>
      <c r="C14" s="86"/>
      <c r="D14" s="72"/>
      <c r="E14" s="75"/>
      <c r="F14" s="75"/>
      <c r="G14" s="75"/>
      <c r="H14" s="75"/>
      <c r="I14" s="75"/>
      <c r="J14" s="75"/>
      <c r="K14" s="75"/>
      <c r="L14" s="83"/>
      <c r="M14" s="81"/>
      <c r="N14" s="81"/>
      <c r="O14" s="82"/>
      <c r="P14" s="84"/>
      <c r="Q14" s="96"/>
      <c r="R14" s="40"/>
      <c r="S14" s="40"/>
      <c r="T14" s="40"/>
      <c r="U14" s="42"/>
    </row>
    <row r="15" spans="1:21" s="8" customFormat="1" ht="17.45" customHeight="1">
      <c r="A15" s="46"/>
      <c r="B15" s="100"/>
      <c r="C15" s="72"/>
      <c r="D15" s="72"/>
      <c r="E15" s="75"/>
      <c r="F15" s="75"/>
      <c r="G15" s="75"/>
      <c r="H15" s="75"/>
      <c r="I15" s="75"/>
      <c r="J15" s="75"/>
      <c r="K15" s="75"/>
      <c r="L15" s="83"/>
      <c r="M15" s="81"/>
      <c r="N15" s="81"/>
      <c r="O15" s="82"/>
      <c r="P15" s="87"/>
      <c r="Q15" s="101"/>
      <c r="R15" s="40"/>
      <c r="S15" s="40"/>
      <c r="T15" s="40"/>
      <c r="U15" s="42"/>
    </row>
    <row r="16" spans="1:21" s="8" customFormat="1" ht="17.45" customHeight="1">
      <c r="A16" s="46"/>
      <c r="B16" s="99"/>
      <c r="C16" s="72"/>
      <c r="D16" s="72"/>
      <c r="E16" s="88"/>
      <c r="F16" s="75"/>
      <c r="G16" s="75"/>
      <c r="H16" s="75"/>
      <c r="I16" s="75"/>
      <c r="J16" s="75"/>
      <c r="K16" s="75"/>
      <c r="L16" s="83"/>
      <c r="M16" s="81"/>
      <c r="N16" s="81"/>
      <c r="O16" s="82"/>
      <c r="P16" s="87"/>
      <c r="Q16" s="101"/>
      <c r="R16" s="40"/>
      <c r="S16" s="40"/>
      <c r="T16" s="40"/>
      <c r="U16" s="42"/>
    </row>
    <row r="17" spans="1:21" s="8" customFormat="1" ht="17.45" customHeight="1">
      <c r="A17" s="46"/>
      <c r="B17" s="100"/>
      <c r="C17" s="72"/>
      <c r="D17" s="72"/>
      <c r="E17" s="75"/>
      <c r="F17" s="75"/>
      <c r="G17" s="75"/>
      <c r="H17" s="75"/>
      <c r="I17" s="75"/>
      <c r="J17" s="75"/>
      <c r="K17" s="75"/>
      <c r="L17" s="83"/>
      <c r="M17" s="81"/>
      <c r="N17" s="81"/>
      <c r="O17" s="82"/>
      <c r="P17" s="87"/>
      <c r="Q17" s="96"/>
      <c r="R17" s="40"/>
      <c r="S17" s="40"/>
      <c r="T17" s="40"/>
      <c r="U17" s="42"/>
    </row>
    <row r="18" spans="1:21" s="8" customFormat="1" ht="17.25" customHeight="1">
      <c r="A18" s="46"/>
      <c r="B18" s="100"/>
      <c r="C18" s="72"/>
      <c r="D18" s="72"/>
      <c r="E18" s="75"/>
      <c r="F18" s="75"/>
      <c r="G18" s="75"/>
      <c r="H18" s="75"/>
      <c r="I18" s="75"/>
      <c r="J18" s="75"/>
      <c r="K18" s="75"/>
      <c r="L18" s="83"/>
      <c r="M18" s="81"/>
      <c r="N18" s="81"/>
      <c r="O18" s="82"/>
      <c r="P18" s="87"/>
      <c r="Q18" s="96"/>
      <c r="R18" s="40"/>
      <c r="S18" s="40"/>
      <c r="T18" s="40"/>
      <c r="U18" s="42"/>
    </row>
    <row r="19" spans="1:21" s="8" customFormat="1" ht="17.45" customHeight="1">
      <c r="A19" s="46"/>
      <c r="B19" s="99"/>
      <c r="C19" s="72"/>
      <c r="D19" s="72"/>
      <c r="E19" s="75"/>
      <c r="F19" s="75"/>
      <c r="G19" s="75"/>
      <c r="H19" s="75"/>
      <c r="I19" s="75"/>
      <c r="J19" s="75"/>
      <c r="K19" s="75"/>
      <c r="L19" s="89"/>
      <c r="M19" s="81"/>
      <c r="N19" s="81"/>
      <c r="O19" s="82"/>
      <c r="P19" s="87"/>
      <c r="Q19" s="101"/>
      <c r="R19" s="40"/>
      <c r="S19" s="40"/>
      <c r="T19" s="40"/>
      <c r="U19" s="42"/>
    </row>
    <row r="20" spans="1:21" s="8" customFormat="1" ht="17.45" customHeight="1">
      <c r="A20" s="46"/>
      <c r="B20" s="99"/>
      <c r="C20" s="72"/>
      <c r="D20" s="72"/>
      <c r="E20" s="75"/>
      <c r="F20" s="75"/>
      <c r="G20" s="75"/>
      <c r="H20" s="75"/>
      <c r="I20" s="75"/>
      <c r="J20" s="75"/>
      <c r="K20" s="75"/>
      <c r="L20" s="89"/>
      <c r="M20" s="81"/>
      <c r="N20" s="81"/>
      <c r="O20" s="82"/>
      <c r="P20" s="90"/>
      <c r="Q20" s="102"/>
      <c r="R20" s="40"/>
      <c r="S20" s="40"/>
      <c r="T20" s="40"/>
      <c r="U20" s="42"/>
    </row>
    <row r="21" spans="1:21" s="8" customFormat="1" ht="17.45" customHeight="1">
      <c r="A21" s="46"/>
      <c r="B21" s="103"/>
      <c r="C21" s="104"/>
      <c r="D21" s="104"/>
      <c r="E21" s="105"/>
      <c r="F21" s="105"/>
      <c r="G21" s="105"/>
      <c r="H21" s="105"/>
      <c r="I21" s="105"/>
      <c r="J21" s="105"/>
      <c r="K21" s="105"/>
      <c r="L21" s="106"/>
      <c r="M21" s="107"/>
      <c r="N21" s="107"/>
      <c r="O21" s="108"/>
      <c r="P21" s="109"/>
      <c r="Q21" s="110"/>
      <c r="R21" s="40"/>
      <c r="S21" s="40"/>
      <c r="T21" s="40"/>
      <c r="U21" s="42"/>
    </row>
    <row r="22" spans="1:21" s="8" customFormat="1" ht="17.45" customHeight="1">
      <c r="A22" s="46"/>
      <c r="B22" s="51"/>
      <c r="C22" s="52"/>
      <c r="D22" s="52"/>
      <c r="E22" s="53"/>
      <c r="F22" s="44"/>
      <c r="G22" s="44"/>
      <c r="H22" s="44"/>
      <c r="I22" s="44"/>
      <c r="J22" s="44"/>
      <c r="K22" s="44"/>
      <c r="L22" s="47"/>
      <c r="M22" s="45"/>
      <c r="N22" s="45"/>
      <c r="O22" s="50"/>
      <c r="P22" s="48"/>
      <c r="Q22" s="49"/>
      <c r="R22" s="40"/>
      <c r="S22" s="40"/>
      <c r="T22" s="40"/>
      <c r="U22" s="42"/>
    </row>
    <row r="23" spans="1:21" s="8" customFormat="1" ht="15" customHeight="1">
      <c r="A23" s="54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4"/>
      <c r="S23" s="55"/>
      <c r="T23" s="55"/>
      <c r="U23" s="55"/>
    </row>
    <row r="24" spans="1:21" s="8" customFormat="1" ht="15" customHeight="1">
      <c r="A24" s="54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4"/>
      <c r="S24" s="55"/>
      <c r="T24" s="55"/>
      <c r="U24" s="55"/>
    </row>
    <row r="25" spans="1:21" s="8" customFormat="1" ht="15" customHeight="1">
      <c r="A25" s="54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4"/>
      <c r="S25" s="55"/>
      <c r="T25" s="55"/>
      <c r="U25" s="55"/>
    </row>
    <row r="26" spans="1:21">
      <c r="A26" s="54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4"/>
      <c r="S26" s="55"/>
      <c r="T26" s="55"/>
      <c r="U26" s="56"/>
    </row>
    <row r="27" spans="1:21">
      <c r="A27" s="54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4"/>
      <c r="S27" s="55"/>
      <c r="T27" s="55"/>
      <c r="U27" s="56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2" t="s">
        <v>23</v>
      </c>
    </row>
    <row r="72" spans="2:2">
      <c r="B72" s="13" t="s">
        <v>25</v>
      </c>
    </row>
    <row r="73" spans="2:2">
      <c r="B73" s="14" t="s">
        <v>29</v>
      </c>
    </row>
    <row r="74" spans="2:2">
      <c r="B74" s="15"/>
    </row>
    <row r="76" spans="2:2">
      <c r="B76" s="12" t="s">
        <v>23</v>
      </c>
    </row>
    <row r="77" spans="2:2">
      <c r="B77" s="13" t="s">
        <v>26</v>
      </c>
    </row>
    <row r="78" spans="2:2">
      <c r="B78" s="14" t="s">
        <v>30</v>
      </c>
    </row>
    <row r="79" spans="2:2">
      <c r="B79" s="15"/>
    </row>
    <row r="81" spans="2:2">
      <c r="B81" s="12" t="s">
        <v>31</v>
      </c>
    </row>
    <row r="82" spans="2:2">
      <c r="B82" s="13" t="s">
        <v>20</v>
      </c>
    </row>
    <row r="83" spans="2:2">
      <c r="B83" s="14" t="s">
        <v>27</v>
      </c>
    </row>
    <row r="84" spans="2:2">
      <c r="B84" s="14" t="s">
        <v>32</v>
      </c>
    </row>
    <row r="85" spans="2:2">
      <c r="B85" s="14" t="s">
        <v>33</v>
      </c>
    </row>
    <row r="86" spans="2:2">
      <c r="B86" s="14" t="s">
        <v>34</v>
      </c>
    </row>
    <row r="87" spans="2:2">
      <c r="B87" s="15" t="s">
        <v>35</v>
      </c>
    </row>
    <row r="88" spans="2:2">
      <c r="B88" s="5"/>
    </row>
    <row r="89" spans="2:2">
      <c r="B89" s="12" t="s">
        <v>36</v>
      </c>
    </row>
    <row r="90" spans="2:2">
      <c r="B90" s="16">
        <v>23</v>
      </c>
    </row>
    <row r="91" spans="2:2">
      <c r="B91" s="17">
        <v>27</v>
      </c>
    </row>
    <row r="92" spans="2:2">
      <c r="B92" s="17">
        <v>31</v>
      </c>
    </row>
    <row r="93" spans="2:2">
      <c r="B93" s="17">
        <v>41</v>
      </c>
    </row>
    <row r="94" spans="2:2">
      <c r="B94" s="18" t="s">
        <v>37</v>
      </c>
    </row>
    <row r="95" spans="2:2">
      <c r="B95" s="18" t="s">
        <v>38</v>
      </c>
    </row>
    <row r="96" spans="2:2">
      <c r="B96" s="18" t="s">
        <v>28</v>
      </c>
    </row>
    <row r="97" spans="2:2">
      <c r="B97" s="19" t="s">
        <v>39</v>
      </c>
    </row>
    <row r="98" spans="2:2">
      <c r="B98" s="5"/>
    </row>
    <row r="99" spans="2:2">
      <c r="B99" s="12" t="s">
        <v>24</v>
      </c>
    </row>
    <row r="100" spans="2:2">
      <c r="B100" s="20">
        <v>190</v>
      </c>
    </row>
    <row r="101" spans="2:2">
      <c r="B101" s="21">
        <v>217</v>
      </c>
    </row>
    <row r="102" spans="2:2">
      <c r="B102" s="21">
        <v>250</v>
      </c>
    </row>
    <row r="103" spans="2:2">
      <c r="B103" s="21">
        <v>254</v>
      </c>
    </row>
    <row r="104" spans="2:2">
      <c r="B104" s="21">
        <v>271</v>
      </c>
    </row>
    <row r="105" spans="2:2">
      <c r="B105" s="21">
        <v>304</v>
      </c>
    </row>
    <row r="106" spans="2:2">
      <c r="B106" s="21">
        <v>317</v>
      </c>
    </row>
    <row r="107" spans="2:2">
      <c r="B107" s="21">
        <v>362</v>
      </c>
    </row>
    <row r="108" spans="2:2">
      <c r="B108" s="22"/>
    </row>
    <row r="109" spans="2:2">
      <c r="B109" s="5"/>
    </row>
    <row r="110" spans="2:2">
      <c r="B110" s="12" t="s">
        <v>40</v>
      </c>
    </row>
    <row r="111" spans="2:2">
      <c r="B111" s="13" t="s">
        <v>41</v>
      </c>
    </row>
    <row r="112" spans="2:2">
      <c r="B112" s="14" t="s">
        <v>42</v>
      </c>
    </row>
    <row r="113" spans="2:2">
      <c r="B113" s="14" t="s">
        <v>43</v>
      </c>
    </row>
    <row r="114" spans="2:2">
      <c r="B114" s="15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H1506"/>
  <sheetViews>
    <sheetView showGridLines="0" zoomScale="80" zoomScaleNormal="80" workbookViewId="0">
      <pane xSplit="13" ySplit="4" topLeftCell="N24" activePane="bottomRight" state="frozen"/>
      <selection pane="topRight" activeCell="G1" sqref="G1"/>
      <selection pane="bottomLeft" activeCell="A6" sqref="A6"/>
      <selection pane="bottomRight" activeCell="U51" sqref="U51"/>
    </sheetView>
  </sheetViews>
  <sheetFormatPr baseColWidth="10" defaultColWidth="11" defaultRowHeight="15"/>
  <cols>
    <col min="1" max="1" width="4.375" style="5" customWidth="1"/>
    <col min="2" max="2" width="5.625" style="5" customWidth="1"/>
    <col min="3" max="3" width="6" style="5" customWidth="1"/>
    <col min="4" max="4" width="10.5" style="5" customWidth="1"/>
    <col min="5" max="5" width="13.125" style="3" customWidth="1"/>
    <col min="6" max="6" width="12" style="3" customWidth="1"/>
    <col min="7" max="7" width="10.5" style="3" bestFit="1" customWidth="1"/>
    <col min="8" max="9" width="9.625" style="25" customWidth="1"/>
    <col min="10" max="10" width="7.625" style="7" customWidth="1"/>
    <col min="11" max="11" width="7.625" style="25" customWidth="1"/>
    <col min="12" max="12" width="7.625" style="7" customWidth="1"/>
    <col min="13" max="13" width="10.375" style="7" customWidth="1"/>
    <col min="14" max="14" width="6.625" style="3" customWidth="1"/>
    <col min="15" max="21" width="6.625" style="4" customWidth="1"/>
    <col min="22" max="23" width="6.625" style="3" customWidth="1"/>
    <col min="24" max="27" width="11" style="9" customWidth="1"/>
    <col min="28" max="28" width="15.125" style="9" customWidth="1"/>
    <col min="29" max="31" width="11" style="9" customWidth="1"/>
    <col min="32" max="112" width="11" style="9"/>
  </cols>
  <sheetData>
    <row r="1" spans="1:112" ht="30" customHeight="1">
      <c r="F1" s="209" t="s">
        <v>17</v>
      </c>
      <c r="G1" s="209"/>
      <c r="H1" s="209"/>
      <c r="I1" s="209"/>
      <c r="J1" s="209"/>
      <c r="K1" s="209"/>
      <c r="L1" s="209"/>
      <c r="M1" s="209"/>
      <c r="N1" s="214">
        <f>3600/185</f>
        <v>19.45945945945946</v>
      </c>
      <c r="O1" s="214"/>
      <c r="P1" s="199">
        <f>3600/145</f>
        <v>24.827586206896552</v>
      </c>
      <c r="Q1" s="199"/>
      <c r="R1" s="199"/>
      <c r="S1" s="199"/>
      <c r="T1" s="199"/>
      <c r="U1" s="199"/>
      <c r="V1" s="199"/>
      <c r="W1" s="199"/>
    </row>
    <row r="2" spans="1:112" ht="28.5" customHeight="1">
      <c r="D2" s="197"/>
      <c r="E2" s="197"/>
      <c r="F2" s="210" t="s">
        <v>18</v>
      </c>
      <c r="G2" s="210"/>
      <c r="H2" s="210"/>
      <c r="I2" s="210"/>
      <c r="J2" s="210"/>
      <c r="K2" s="210"/>
      <c r="L2" s="210"/>
      <c r="M2" s="210"/>
      <c r="N2" s="213" t="s">
        <v>109</v>
      </c>
      <c r="O2" s="213"/>
      <c r="P2" s="213" t="s">
        <v>110</v>
      </c>
      <c r="Q2" s="213"/>
      <c r="R2" s="213"/>
      <c r="S2" s="213"/>
      <c r="T2" s="213"/>
      <c r="U2" s="213"/>
      <c r="V2" s="204" t="s">
        <v>109</v>
      </c>
      <c r="W2" s="204"/>
      <c r="X2" s="208" t="s">
        <v>78</v>
      </c>
      <c r="Y2" s="208"/>
      <c r="Z2" s="208"/>
      <c r="AA2" s="208"/>
      <c r="AB2" s="207" t="s">
        <v>77</v>
      </c>
      <c r="AC2" s="207"/>
      <c r="AD2" s="201" t="s">
        <v>79</v>
      </c>
      <c r="AE2" s="201"/>
      <c r="AF2" s="201"/>
      <c r="AG2" s="201"/>
      <c r="AH2" s="201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6.25" customHeight="1">
      <c r="D3" s="198"/>
      <c r="E3" s="198"/>
      <c r="F3" s="211" t="s">
        <v>123</v>
      </c>
      <c r="G3" s="211"/>
      <c r="H3" s="211"/>
      <c r="I3" s="211"/>
      <c r="J3" s="211"/>
      <c r="K3" s="211"/>
      <c r="L3" s="211"/>
      <c r="M3" s="211"/>
      <c r="N3" s="206" t="s">
        <v>88</v>
      </c>
      <c r="O3" s="206"/>
      <c r="P3" s="206" t="s">
        <v>64</v>
      </c>
      <c r="Q3" s="206"/>
      <c r="R3" s="206" t="s">
        <v>85</v>
      </c>
      <c r="S3" s="206"/>
      <c r="T3" s="206" t="s">
        <v>87</v>
      </c>
      <c r="U3" s="212"/>
      <c r="V3" s="205" t="s">
        <v>86</v>
      </c>
      <c r="W3" s="205"/>
      <c r="X3" s="202" t="s">
        <v>74</v>
      </c>
      <c r="Y3" s="202"/>
      <c r="Z3" s="188" t="s">
        <v>75</v>
      </c>
      <c r="AA3" s="188" t="s">
        <v>69</v>
      </c>
      <c r="AB3" s="189" t="s">
        <v>71</v>
      </c>
      <c r="AC3" s="189" t="s">
        <v>73</v>
      </c>
      <c r="AD3" s="203" t="s">
        <v>76</v>
      </c>
      <c r="AE3" s="203"/>
      <c r="AF3" s="203" t="s">
        <v>75</v>
      </c>
      <c r="AG3" s="203"/>
      <c r="AH3" s="196" t="s">
        <v>69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30">
      <c r="A4" s="186" t="s">
        <v>23</v>
      </c>
      <c r="B4" s="186" t="s">
        <v>111</v>
      </c>
      <c r="C4" s="186" t="s">
        <v>112</v>
      </c>
      <c r="D4" s="186" t="s">
        <v>19</v>
      </c>
      <c r="E4" s="186" t="s">
        <v>1</v>
      </c>
      <c r="F4" s="186" t="s">
        <v>113</v>
      </c>
      <c r="G4" s="186" t="s">
        <v>5</v>
      </c>
      <c r="H4" s="186" t="s">
        <v>114</v>
      </c>
      <c r="I4" s="186" t="s">
        <v>56</v>
      </c>
      <c r="J4" s="186" t="s">
        <v>115</v>
      </c>
      <c r="K4" s="186" t="s">
        <v>21</v>
      </c>
      <c r="L4" s="186" t="s">
        <v>22</v>
      </c>
      <c r="M4" s="186" t="s">
        <v>116</v>
      </c>
      <c r="N4" s="187" t="s">
        <v>16</v>
      </c>
      <c r="O4" s="176" t="s">
        <v>2</v>
      </c>
      <c r="P4" s="158" t="s">
        <v>16</v>
      </c>
      <c r="Q4" s="158" t="s">
        <v>2</v>
      </c>
      <c r="R4" s="158" t="s">
        <v>16</v>
      </c>
      <c r="S4" s="158" t="s">
        <v>2</v>
      </c>
      <c r="T4" s="158" t="s">
        <v>16</v>
      </c>
      <c r="U4" s="159" t="s">
        <v>2</v>
      </c>
      <c r="V4" s="187" t="s">
        <v>16</v>
      </c>
      <c r="W4" s="187" t="s">
        <v>2</v>
      </c>
      <c r="X4" s="193" t="s">
        <v>80</v>
      </c>
      <c r="Y4" s="193" t="s">
        <v>81</v>
      </c>
      <c r="Z4" s="193" t="s">
        <v>80</v>
      </c>
      <c r="AA4" s="193" t="s">
        <v>70</v>
      </c>
      <c r="AB4" s="194" t="s">
        <v>72</v>
      </c>
      <c r="AC4" s="194" t="s">
        <v>82</v>
      </c>
      <c r="AD4" s="195" t="s">
        <v>80</v>
      </c>
      <c r="AE4" s="195" t="s">
        <v>81</v>
      </c>
      <c r="AF4" s="157" t="s">
        <v>80</v>
      </c>
      <c r="AG4" s="157" t="s">
        <v>83</v>
      </c>
      <c r="AH4" s="160" t="s">
        <v>70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ht="15.75">
      <c r="A5" s="177" t="s">
        <v>117</v>
      </c>
      <c r="B5" s="178">
        <v>195</v>
      </c>
      <c r="C5" s="178">
        <v>19.5</v>
      </c>
      <c r="D5" s="177" t="s">
        <v>122</v>
      </c>
      <c r="E5" s="179">
        <v>44176</v>
      </c>
      <c r="F5" s="180" t="s">
        <v>91</v>
      </c>
      <c r="G5" s="181">
        <v>12041</v>
      </c>
      <c r="H5" s="182">
        <v>91799</v>
      </c>
      <c r="I5" s="182">
        <v>4255761</v>
      </c>
      <c r="J5" s="183">
        <v>776</v>
      </c>
      <c r="K5" s="182">
        <v>61</v>
      </c>
      <c r="L5" s="184">
        <v>2.38</v>
      </c>
      <c r="M5" s="181">
        <v>5</v>
      </c>
      <c r="N5" s="185">
        <v>129.19999999999999</v>
      </c>
      <c r="O5" s="27">
        <v>138.4</v>
      </c>
      <c r="P5" s="27">
        <v>133.5</v>
      </c>
      <c r="Q5" s="27">
        <v>142.80000000000001</v>
      </c>
      <c r="R5" s="27">
        <v>131.69999999999999</v>
      </c>
      <c r="S5" s="27">
        <v>141.9</v>
      </c>
      <c r="T5" s="27">
        <v>135.30000000000001</v>
      </c>
      <c r="U5" s="27">
        <v>144.30000000000001</v>
      </c>
      <c r="V5" s="190">
        <v>125</v>
      </c>
      <c r="W5" s="191">
        <v>136.4</v>
      </c>
      <c r="X5" s="182">
        <v>880</v>
      </c>
      <c r="Y5" s="182">
        <v>800</v>
      </c>
      <c r="Z5" s="182">
        <v>940</v>
      </c>
      <c r="AA5" s="182">
        <v>185</v>
      </c>
      <c r="AB5" s="192">
        <v>0.1</v>
      </c>
      <c r="AC5" s="182">
        <v>1750</v>
      </c>
      <c r="AD5" s="182">
        <v>615</v>
      </c>
      <c r="AE5" s="182">
        <v>530</v>
      </c>
      <c r="AF5" s="23">
        <v>615</v>
      </c>
      <c r="AG5" s="23">
        <v>615</v>
      </c>
      <c r="AH5" s="23">
        <v>185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</row>
    <row r="6" spans="1:112">
      <c r="A6" s="175" t="s">
        <v>117</v>
      </c>
      <c r="B6" s="169">
        <v>195</v>
      </c>
      <c r="C6" s="169">
        <v>19.5</v>
      </c>
      <c r="D6" s="177" t="s">
        <v>122</v>
      </c>
      <c r="E6" s="161">
        <v>44176</v>
      </c>
      <c r="F6" s="162" t="s">
        <v>91</v>
      </c>
      <c r="G6" s="26">
        <v>12041</v>
      </c>
      <c r="H6" s="23">
        <v>91799</v>
      </c>
      <c r="I6" s="23">
        <v>4255761</v>
      </c>
      <c r="J6" s="163">
        <v>776</v>
      </c>
      <c r="K6" s="23">
        <v>61</v>
      </c>
      <c r="L6" s="124">
        <v>2.38</v>
      </c>
      <c r="M6" s="26">
        <v>13</v>
      </c>
      <c r="N6" s="156">
        <v>130.19999999999999</v>
      </c>
      <c r="O6" s="27">
        <v>138.5</v>
      </c>
      <c r="P6" s="27"/>
      <c r="Q6" s="27"/>
      <c r="R6" s="27"/>
      <c r="S6" s="27"/>
      <c r="T6" s="27"/>
      <c r="U6" s="27"/>
      <c r="V6" s="26">
        <v>131.30000000000001</v>
      </c>
      <c r="W6" s="150">
        <v>140</v>
      </c>
      <c r="X6" s="23">
        <v>880</v>
      </c>
      <c r="Y6" s="23">
        <v>800</v>
      </c>
      <c r="Z6" s="23">
        <v>940</v>
      </c>
      <c r="AA6" s="23">
        <v>185</v>
      </c>
      <c r="AB6" s="164">
        <v>0.1</v>
      </c>
      <c r="AC6" s="23">
        <v>1750</v>
      </c>
      <c r="AD6" s="23">
        <v>615</v>
      </c>
      <c r="AE6" s="23">
        <v>530</v>
      </c>
      <c r="AF6" s="23">
        <v>615</v>
      </c>
      <c r="AG6" s="23">
        <v>615</v>
      </c>
      <c r="AH6" s="23">
        <v>185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</row>
    <row r="7" spans="1:112" ht="15.75">
      <c r="A7" s="175" t="s">
        <v>117</v>
      </c>
      <c r="B7" s="169">
        <v>195</v>
      </c>
      <c r="C7" s="169">
        <v>19.5</v>
      </c>
      <c r="D7" s="177" t="s">
        <v>122</v>
      </c>
      <c r="E7" s="161">
        <v>44194</v>
      </c>
      <c r="F7" s="162" t="s">
        <v>91</v>
      </c>
      <c r="G7" s="26">
        <v>12145</v>
      </c>
      <c r="H7" s="23">
        <v>91810</v>
      </c>
      <c r="I7" s="23">
        <v>4255761</v>
      </c>
      <c r="J7" s="163">
        <v>776</v>
      </c>
      <c r="K7" s="23">
        <v>61</v>
      </c>
      <c r="L7" s="124">
        <v>2.38</v>
      </c>
      <c r="M7" s="26">
        <v>7</v>
      </c>
      <c r="N7" s="151">
        <v>126.8</v>
      </c>
      <c r="O7" s="27">
        <v>136.80000000000001</v>
      </c>
      <c r="P7" s="27"/>
      <c r="Q7" s="27"/>
      <c r="R7" s="27"/>
      <c r="S7" s="27"/>
      <c r="T7" s="27"/>
      <c r="U7" s="27"/>
      <c r="V7" s="152">
        <v>127.8</v>
      </c>
      <c r="W7" s="150">
        <v>136.9</v>
      </c>
      <c r="X7" s="23">
        <v>880</v>
      </c>
      <c r="Y7" s="23">
        <v>800</v>
      </c>
      <c r="Z7" s="23">
        <v>930</v>
      </c>
      <c r="AA7" s="23">
        <v>185</v>
      </c>
      <c r="AB7" s="164">
        <v>0.1</v>
      </c>
      <c r="AC7" s="23">
        <v>1750</v>
      </c>
      <c r="AD7" s="23">
        <v>615</v>
      </c>
      <c r="AE7" s="23">
        <v>530</v>
      </c>
      <c r="AF7" s="23">
        <v>615</v>
      </c>
      <c r="AG7" s="23">
        <v>615</v>
      </c>
      <c r="AH7" s="23">
        <v>185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</row>
    <row r="8" spans="1:112" ht="15.75">
      <c r="A8" s="175" t="s">
        <v>117</v>
      </c>
      <c r="B8" s="169">
        <v>195</v>
      </c>
      <c r="C8" s="169">
        <v>19.5</v>
      </c>
      <c r="D8" s="177" t="s">
        <v>122</v>
      </c>
      <c r="E8" s="161">
        <v>44194</v>
      </c>
      <c r="F8" s="162" t="s">
        <v>91</v>
      </c>
      <c r="G8" s="26">
        <v>12145</v>
      </c>
      <c r="H8" s="23">
        <v>91810</v>
      </c>
      <c r="I8" s="23">
        <v>4255761</v>
      </c>
      <c r="J8" s="163">
        <v>776</v>
      </c>
      <c r="K8" s="23">
        <v>61</v>
      </c>
      <c r="L8" s="124">
        <v>2.38</v>
      </c>
      <c r="M8" s="26">
        <v>6</v>
      </c>
      <c r="N8" s="151">
        <v>127.7</v>
      </c>
      <c r="O8" s="27">
        <v>138.1</v>
      </c>
      <c r="P8" s="27"/>
      <c r="Q8" s="27"/>
      <c r="R8" s="27"/>
      <c r="S8" s="27"/>
      <c r="T8" s="27"/>
      <c r="U8" s="27"/>
      <c r="V8" s="26">
        <v>132.30000000000001</v>
      </c>
      <c r="W8" s="150">
        <v>142</v>
      </c>
      <c r="X8" s="23">
        <v>880</v>
      </c>
      <c r="Y8" s="23">
        <v>800</v>
      </c>
      <c r="Z8" s="23">
        <v>930</v>
      </c>
      <c r="AA8" s="23">
        <v>185</v>
      </c>
      <c r="AB8" s="164">
        <v>0.1</v>
      </c>
      <c r="AC8" s="23">
        <v>1750</v>
      </c>
      <c r="AD8" s="23">
        <v>615</v>
      </c>
      <c r="AE8" s="23">
        <v>530</v>
      </c>
      <c r="AF8" s="23">
        <v>615</v>
      </c>
      <c r="AG8" s="23">
        <v>615</v>
      </c>
      <c r="AH8" s="23">
        <v>185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</row>
    <row r="9" spans="1:112" ht="15.75">
      <c r="A9" s="175" t="s">
        <v>117</v>
      </c>
      <c r="B9" s="169">
        <v>195</v>
      </c>
      <c r="C9" s="169">
        <v>19.5</v>
      </c>
      <c r="D9" s="177" t="s">
        <v>122</v>
      </c>
      <c r="E9" s="161">
        <v>44194</v>
      </c>
      <c r="F9" s="162" t="s">
        <v>91</v>
      </c>
      <c r="G9" s="26">
        <v>12145</v>
      </c>
      <c r="H9" s="23">
        <v>91810</v>
      </c>
      <c r="I9" s="23">
        <v>4255761</v>
      </c>
      <c r="J9" s="163">
        <v>776</v>
      </c>
      <c r="K9" s="23">
        <v>61</v>
      </c>
      <c r="L9" s="124">
        <v>2.38</v>
      </c>
      <c r="M9" s="26">
        <v>8</v>
      </c>
      <c r="N9" s="151">
        <v>127.5</v>
      </c>
      <c r="O9" s="27">
        <v>137</v>
      </c>
      <c r="P9" s="27"/>
      <c r="Q9" s="27"/>
      <c r="R9" s="27"/>
      <c r="S9" s="27"/>
      <c r="T9" s="27"/>
      <c r="U9" s="27"/>
      <c r="V9" s="150">
        <v>130</v>
      </c>
      <c r="W9" s="150">
        <v>139.6</v>
      </c>
      <c r="X9" s="23">
        <v>880</v>
      </c>
      <c r="Y9" s="23">
        <v>800</v>
      </c>
      <c r="Z9" s="23">
        <v>930</v>
      </c>
      <c r="AA9" s="23">
        <v>185</v>
      </c>
      <c r="AB9" s="164">
        <v>0.1</v>
      </c>
      <c r="AC9" s="23">
        <v>1750</v>
      </c>
      <c r="AD9" s="23">
        <v>615</v>
      </c>
      <c r="AE9" s="23">
        <v>530</v>
      </c>
      <c r="AF9" s="23">
        <v>615</v>
      </c>
      <c r="AG9" s="23">
        <v>615</v>
      </c>
      <c r="AH9" s="23">
        <v>185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</row>
    <row r="10" spans="1:112">
      <c r="A10" s="175" t="s">
        <v>117</v>
      </c>
      <c r="B10" s="169">
        <v>195</v>
      </c>
      <c r="C10" s="169">
        <v>19.5</v>
      </c>
      <c r="D10" s="177" t="s">
        <v>122</v>
      </c>
      <c r="E10" s="161">
        <v>43877</v>
      </c>
      <c r="F10" s="162" t="s">
        <v>91</v>
      </c>
      <c r="G10" s="26">
        <v>12361</v>
      </c>
      <c r="H10" s="23">
        <v>91858</v>
      </c>
      <c r="I10" s="23">
        <v>4352988</v>
      </c>
      <c r="J10" s="163">
        <v>654</v>
      </c>
      <c r="K10" s="23">
        <v>58</v>
      </c>
      <c r="L10" s="124">
        <v>3.83</v>
      </c>
      <c r="M10" s="26">
        <v>5</v>
      </c>
      <c r="N10" s="156">
        <v>135.1</v>
      </c>
      <c r="O10" s="27">
        <v>145.1</v>
      </c>
      <c r="P10" s="27"/>
      <c r="Q10" s="27"/>
      <c r="R10" s="27"/>
      <c r="S10" s="27"/>
      <c r="T10" s="27"/>
      <c r="U10" s="27"/>
      <c r="V10" s="150">
        <v>132.5</v>
      </c>
      <c r="W10" s="150">
        <v>143.9</v>
      </c>
      <c r="X10" s="23">
        <v>870</v>
      </c>
      <c r="Y10" s="23">
        <v>800</v>
      </c>
      <c r="Z10" s="23">
        <v>920</v>
      </c>
      <c r="AA10" s="23">
        <v>217</v>
      </c>
      <c r="AB10" s="164">
        <v>0.1</v>
      </c>
      <c r="AC10" s="23">
        <v>1800</v>
      </c>
      <c r="AD10" s="23">
        <v>525</v>
      </c>
      <c r="AE10" s="23">
        <v>430</v>
      </c>
      <c r="AF10" s="23">
        <v>525</v>
      </c>
      <c r="AG10" s="23">
        <v>525</v>
      </c>
      <c r="AH10" s="23">
        <v>217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</row>
    <row r="11" spans="1:112" ht="15.75">
      <c r="A11" s="175" t="s">
        <v>117</v>
      </c>
      <c r="B11" s="169">
        <v>195</v>
      </c>
      <c r="C11" s="169">
        <v>19.5</v>
      </c>
      <c r="D11" s="177" t="s">
        <v>122</v>
      </c>
      <c r="E11" s="161">
        <v>43877</v>
      </c>
      <c r="F11" s="162" t="s">
        <v>91</v>
      </c>
      <c r="G11" s="26">
        <v>12361</v>
      </c>
      <c r="H11" s="23">
        <v>91858</v>
      </c>
      <c r="I11" s="23">
        <v>4352988</v>
      </c>
      <c r="J11" s="163">
        <v>654</v>
      </c>
      <c r="K11" s="23">
        <v>58</v>
      </c>
      <c r="L11" s="124">
        <v>3.83</v>
      </c>
      <c r="M11" s="26">
        <v>15</v>
      </c>
      <c r="N11" s="156">
        <v>135.5</v>
      </c>
      <c r="O11" s="27">
        <v>145.6</v>
      </c>
      <c r="P11" s="27">
        <v>137.69999999999999</v>
      </c>
      <c r="Q11" s="27">
        <v>147.5</v>
      </c>
      <c r="R11" s="27">
        <v>135.4</v>
      </c>
      <c r="S11" s="27">
        <v>145.1</v>
      </c>
      <c r="T11" s="153">
        <v>138.19999999999999</v>
      </c>
      <c r="U11" s="27">
        <v>148.4</v>
      </c>
      <c r="V11" s="150">
        <v>134.69999999999999</v>
      </c>
      <c r="W11" s="150">
        <v>144.5</v>
      </c>
      <c r="X11" s="23">
        <v>870</v>
      </c>
      <c r="Y11" s="23">
        <v>800</v>
      </c>
      <c r="Z11" s="23">
        <v>920</v>
      </c>
      <c r="AA11" s="23">
        <v>217</v>
      </c>
      <c r="AB11" s="164">
        <v>0.1</v>
      </c>
      <c r="AC11" s="23">
        <v>1800</v>
      </c>
      <c r="AD11" s="23">
        <v>525</v>
      </c>
      <c r="AE11" s="23">
        <v>430</v>
      </c>
      <c r="AF11" s="23">
        <v>525</v>
      </c>
      <c r="AG11" s="23">
        <v>525</v>
      </c>
      <c r="AH11" s="23">
        <v>217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</row>
    <row r="12" spans="1:112">
      <c r="A12" s="175" t="s">
        <v>117</v>
      </c>
      <c r="B12" s="169">
        <v>195</v>
      </c>
      <c r="C12" s="169">
        <v>19.5</v>
      </c>
      <c r="D12" s="177" t="s">
        <v>122</v>
      </c>
      <c r="E12" s="161">
        <v>43877</v>
      </c>
      <c r="F12" s="162" t="s">
        <v>91</v>
      </c>
      <c r="G12" s="26">
        <v>12361</v>
      </c>
      <c r="H12" s="23">
        <v>91858</v>
      </c>
      <c r="I12" s="23">
        <v>4352988</v>
      </c>
      <c r="J12" s="163">
        <v>654</v>
      </c>
      <c r="K12" s="23">
        <v>58</v>
      </c>
      <c r="L12" s="124">
        <v>3.83</v>
      </c>
      <c r="M12" s="26">
        <v>25</v>
      </c>
      <c r="N12" s="156">
        <v>131.9</v>
      </c>
      <c r="O12" s="27">
        <v>143.1</v>
      </c>
      <c r="P12" s="27"/>
      <c r="Q12" s="27"/>
      <c r="R12" s="27"/>
      <c r="S12" s="27"/>
      <c r="T12" s="27"/>
      <c r="U12" s="27"/>
      <c r="V12" s="150">
        <v>133.9</v>
      </c>
      <c r="W12" s="150">
        <v>144.19999999999999</v>
      </c>
      <c r="X12" s="23">
        <v>870</v>
      </c>
      <c r="Y12" s="23">
        <v>800</v>
      </c>
      <c r="Z12" s="23">
        <v>920</v>
      </c>
      <c r="AA12" s="23">
        <v>217</v>
      </c>
      <c r="AB12" s="164">
        <v>0.1</v>
      </c>
      <c r="AC12" s="23">
        <v>1800</v>
      </c>
      <c r="AD12" s="23">
        <v>525</v>
      </c>
      <c r="AE12" s="23">
        <v>430</v>
      </c>
      <c r="AF12" s="23">
        <v>525</v>
      </c>
      <c r="AG12" s="23">
        <v>525</v>
      </c>
      <c r="AH12" s="23">
        <v>217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</row>
    <row r="13" spans="1:112">
      <c r="A13" s="175" t="s">
        <v>117</v>
      </c>
      <c r="B13" s="169">
        <v>195</v>
      </c>
      <c r="C13" s="169">
        <v>19.5</v>
      </c>
      <c r="D13" s="177" t="s">
        <v>122</v>
      </c>
      <c r="E13" s="161">
        <v>44314</v>
      </c>
      <c r="F13" s="162" t="s">
        <v>91</v>
      </c>
      <c r="G13" s="26">
        <v>12799</v>
      </c>
      <c r="H13" s="23">
        <v>91913</v>
      </c>
      <c r="I13" s="23">
        <v>4352988</v>
      </c>
      <c r="J13" s="163">
        <v>654</v>
      </c>
      <c r="K13" s="23">
        <v>58</v>
      </c>
      <c r="L13" s="124">
        <v>6</v>
      </c>
      <c r="M13" s="26">
        <v>3</v>
      </c>
      <c r="N13" s="156">
        <v>129.80000000000001</v>
      </c>
      <c r="O13" s="27">
        <v>140.6</v>
      </c>
      <c r="P13" s="27"/>
      <c r="Q13" s="27"/>
      <c r="R13" s="27"/>
      <c r="S13" s="27"/>
      <c r="T13" s="27"/>
      <c r="U13" s="27"/>
      <c r="V13" s="26">
        <v>131.9</v>
      </c>
      <c r="W13" s="150">
        <v>142.1</v>
      </c>
      <c r="X13" s="23">
        <v>870</v>
      </c>
      <c r="Y13" s="23">
        <v>800</v>
      </c>
      <c r="Z13" s="23">
        <v>920</v>
      </c>
      <c r="AA13" s="23">
        <v>217</v>
      </c>
      <c r="AB13" s="164">
        <v>0.1</v>
      </c>
      <c r="AC13" s="23">
        <v>1800</v>
      </c>
      <c r="AD13" s="23">
        <v>535</v>
      </c>
      <c r="AE13" s="23">
        <v>435</v>
      </c>
      <c r="AF13" s="23">
        <v>535</v>
      </c>
      <c r="AG13" s="23">
        <v>535</v>
      </c>
      <c r="AH13" s="23">
        <v>217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</row>
    <row r="14" spans="1:112">
      <c r="A14" s="175" t="s">
        <v>117</v>
      </c>
      <c r="B14" s="169">
        <v>195</v>
      </c>
      <c r="C14" s="169">
        <v>19.5</v>
      </c>
      <c r="D14" s="177" t="s">
        <v>122</v>
      </c>
      <c r="E14" s="161">
        <v>44378</v>
      </c>
      <c r="F14" s="162" t="s">
        <v>91</v>
      </c>
      <c r="G14" s="26">
        <v>13243</v>
      </c>
      <c r="H14" s="23">
        <v>91913</v>
      </c>
      <c r="I14" s="23">
        <v>4352988</v>
      </c>
      <c r="J14" s="163">
        <v>654</v>
      </c>
      <c r="K14" s="23">
        <v>58</v>
      </c>
      <c r="L14" s="124">
        <v>6</v>
      </c>
      <c r="M14" s="26">
        <v>27</v>
      </c>
      <c r="N14" s="156">
        <v>134.1</v>
      </c>
      <c r="O14" s="27">
        <v>144.6</v>
      </c>
      <c r="P14" s="27"/>
      <c r="Q14" s="27"/>
      <c r="R14" s="27"/>
      <c r="S14" s="27"/>
      <c r="T14" s="27"/>
      <c r="U14" s="27"/>
      <c r="V14" s="26">
        <v>131.9</v>
      </c>
      <c r="W14" s="150">
        <v>143.5</v>
      </c>
      <c r="X14" s="23">
        <v>870</v>
      </c>
      <c r="Y14" s="23">
        <v>800</v>
      </c>
      <c r="Z14" s="23">
        <v>920</v>
      </c>
      <c r="AA14" s="23">
        <v>217</v>
      </c>
      <c r="AB14" s="164">
        <v>0.1</v>
      </c>
      <c r="AC14" s="23">
        <v>1800</v>
      </c>
      <c r="AD14" s="23">
        <v>535</v>
      </c>
      <c r="AE14" s="23">
        <v>435</v>
      </c>
      <c r="AF14" s="23">
        <v>535</v>
      </c>
      <c r="AG14" s="23">
        <v>535</v>
      </c>
      <c r="AH14" s="23">
        <v>217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</row>
    <row r="15" spans="1:112">
      <c r="A15" s="175" t="s">
        <v>117</v>
      </c>
      <c r="B15" s="169">
        <v>195</v>
      </c>
      <c r="C15" s="169">
        <v>19.5</v>
      </c>
      <c r="D15" s="177" t="s">
        <v>122</v>
      </c>
      <c r="E15" s="161">
        <v>44411</v>
      </c>
      <c r="F15" s="162" t="s">
        <v>91</v>
      </c>
      <c r="G15" s="26">
        <v>13472</v>
      </c>
      <c r="H15" s="23">
        <v>92019</v>
      </c>
      <c r="I15" s="23">
        <v>4352988</v>
      </c>
      <c r="J15" s="163">
        <v>654</v>
      </c>
      <c r="K15" s="23">
        <v>58</v>
      </c>
      <c r="L15" s="124">
        <v>4.9000000000000004</v>
      </c>
      <c r="M15" s="26">
        <v>15</v>
      </c>
      <c r="N15" s="156">
        <v>132.80000000000001</v>
      </c>
      <c r="O15" s="27">
        <v>143.19999999999999</v>
      </c>
      <c r="P15" s="27"/>
      <c r="Q15" s="27"/>
      <c r="R15" s="27"/>
      <c r="S15" s="27"/>
      <c r="T15" s="27"/>
      <c r="U15" s="27"/>
      <c r="V15" s="26">
        <v>133.30000000000001</v>
      </c>
      <c r="W15" s="150">
        <v>142.30000000000001</v>
      </c>
      <c r="X15" s="23">
        <v>870</v>
      </c>
      <c r="Y15" s="23">
        <v>800</v>
      </c>
      <c r="Z15" s="23">
        <v>920</v>
      </c>
      <c r="AA15" s="23">
        <v>217</v>
      </c>
      <c r="AB15" s="164">
        <v>0.1</v>
      </c>
      <c r="AC15" s="23">
        <v>1800</v>
      </c>
      <c r="AD15" s="23">
        <v>530</v>
      </c>
      <c r="AE15" s="23">
        <v>435</v>
      </c>
      <c r="AF15" s="23">
        <v>530</v>
      </c>
      <c r="AG15" s="23">
        <v>530</v>
      </c>
      <c r="AH15" s="23">
        <v>217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</row>
    <row r="16" spans="1:112">
      <c r="A16" s="175" t="s">
        <v>117</v>
      </c>
      <c r="B16" s="169">
        <v>195</v>
      </c>
      <c r="C16" s="169">
        <v>19.5</v>
      </c>
      <c r="D16" s="177" t="s">
        <v>122</v>
      </c>
      <c r="E16" s="161">
        <v>44497</v>
      </c>
      <c r="F16" s="162" t="s">
        <v>91</v>
      </c>
      <c r="G16" s="26">
        <v>14158</v>
      </c>
      <c r="H16" s="23">
        <v>92019</v>
      </c>
      <c r="I16" s="23">
        <v>4352988</v>
      </c>
      <c r="J16" s="163">
        <v>654</v>
      </c>
      <c r="K16" s="23">
        <v>58</v>
      </c>
      <c r="L16" s="124">
        <v>4.9000000000000004</v>
      </c>
      <c r="M16" s="26">
        <v>45</v>
      </c>
      <c r="N16" s="156">
        <v>131.1</v>
      </c>
      <c r="O16" s="27">
        <v>142.30000000000001</v>
      </c>
      <c r="P16" s="27"/>
      <c r="Q16" s="27"/>
      <c r="R16" s="27"/>
      <c r="S16" s="27"/>
      <c r="T16" s="27"/>
      <c r="U16" s="27"/>
      <c r="V16" s="156">
        <v>134.80000000000001</v>
      </c>
      <c r="W16" s="27">
        <v>145.9</v>
      </c>
      <c r="X16" s="23">
        <v>870</v>
      </c>
      <c r="Y16" s="23">
        <v>800</v>
      </c>
      <c r="Z16" s="23">
        <v>920</v>
      </c>
      <c r="AA16" s="23">
        <v>217</v>
      </c>
      <c r="AB16" s="164">
        <v>0.1</v>
      </c>
      <c r="AC16" s="23">
        <v>1800</v>
      </c>
      <c r="AD16" s="23">
        <v>530</v>
      </c>
      <c r="AE16" s="23">
        <v>435</v>
      </c>
      <c r="AF16" s="23">
        <v>530</v>
      </c>
      <c r="AG16" s="23">
        <v>530</v>
      </c>
      <c r="AH16" s="23">
        <v>217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</row>
    <row r="17" spans="1:112">
      <c r="A17" s="175" t="s">
        <v>117</v>
      </c>
      <c r="B17" s="169">
        <v>195</v>
      </c>
      <c r="C17" s="169">
        <v>19.5</v>
      </c>
      <c r="D17" s="177" t="s">
        <v>122</v>
      </c>
      <c r="E17" s="161">
        <v>44497</v>
      </c>
      <c r="F17" s="162" t="s">
        <v>91</v>
      </c>
      <c r="G17" s="26">
        <v>14159</v>
      </c>
      <c r="H17" s="23">
        <v>92210</v>
      </c>
      <c r="I17" s="23">
        <v>4352988</v>
      </c>
      <c r="J17" s="163">
        <v>654</v>
      </c>
      <c r="K17" s="23">
        <v>58</v>
      </c>
      <c r="L17" s="124">
        <v>4.62</v>
      </c>
      <c r="M17" s="26">
        <v>4</v>
      </c>
      <c r="N17" s="156">
        <v>130.19999999999999</v>
      </c>
      <c r="O17" s="27">
        <v>142.6</v>
      </c>
      <c r="P17" s="27"/>
      <c r="Q17" s="27"/>
      <c r="R17" s="27"/>
      <c r="S17" s="27"/>
      <c r="T17" s="27"/>
      <c r="U17" s="27"/>
      <c r="V17" s="26">
        <v>130.1</v>
      </c>
      <c r="W17" s="150">
        <v>142.6</v>
      </c>
      <c r="X17" s="23">
        <v>870</v>
      </c>
      <c r="Y17" s="23">
        <v>800</v>
      </c>
      <c r="Z17" s="23">
        <v>920</v>
      </c>
      <c r="AA17" s="23">
        <v>217</v>
      </c>
      <c r="AB17" s="164">
        <v>0.1</v>
      </c>
      <c r="AC17" s="23">
        <v>1800</v>
      </c>
      <c r="AD17" s="23">
        <v>530</v>
      </c>
      <c r="AE17" s="23">
        <v>435</v>
      </c>
      <c r="AF17" s="23">
        <v>530</v>
      </c>
      <c r="AG17" s="23">
        <v>530</v>
      </c>
      <c r="AH17" s="23">
        <v>217</v>
      </c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</row>
    <row r="18" spans="1:112">
      <c r="A18" s="175" t="s">
        <v>117</v>
      </c>
      <c r="B18" s="169">
        <v>195</v>
      </c>
      <c r="C18" s="169">
        <v>19.5</v>
      </c>
      <c r="D18" s="177" t="s">
        <v>122</v>
      </c>
      <c r="E18" s="161">
        <v>44532</v>
      </c>
      <c r="F18" s="162" t="s">
        <v>91</v>
      </c>
      <c r="G18" s="26">
        <v>14465</v>
      </c>
      <c r="H18" s="23">
        <v>92209</v>
      </c>
      <c r="I18" s="23">
        <v>4255769</v>
      </c>
      <c r="J18" s="163">
        <v>776</v>
      </c>
      <c r="K18" s="23">
        <v>63</v>
      </c>
      <c r="L18" s="124">
        <v>2.67</v>
      </c>
      <c r="M18" s="26">
        <v>2</v>
      </c>
      <c r="N18" s="156">
        <v>133</v>
      </c>
      <c r="O18" s="27">
        <v>142.9</v>
      </c>
      <c r="P18" s="27"/>
      <c r="Q18" s="27"/>
      <c r="R18" s="27"/>
      <c r="S18" s="27"/>
      <c r="T18" s="27"/>
      <c r="U18" s="27"/>
      <c r="V18" s="26">
        <v>131.4</v>
      </c>
      <c r="W18" s="150">
        <v>141.19999999999999</v>
      </c>
      <c r="X18" s="23">
        <v>880</v>
      </c>
      <c r="Y18" s="23">
        <v>800</v>
      </c>
      <c r="Z18" s="23">
        <v>920</v>
      </c>
      <c r="AA18" s="23">
        <v>185</v>
      </c>
      <c r="AB18" s="164">
        <v>0.1</v>
      </c>
      <c r="AC18" s="23">
        <v>1800</v>
      </c>
      <c r="AD18" s="23">
        <v>610</v>
      </c>
      <c r="AE18" s="23">
        <v>530</v>
      </c>
      <c r="AF18" s="23">
        <v>610</v>
      </c>
      <c r="AG18" s="23">
        <v>610</v>
      </c>
      <c r="AH18" s="23">
        <v>185</v>
      </c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</row>
    <row r="19" spans="1:112">
      <c r="A19" s="175" t="s">
        <v>117</v>
      </c>
      <c r="B19" s="169">
        <v>195</v>
      </c>
      <c r="C19" s="169">
        <v>19.5</v>
      </c>
      <c r="D19" s="177" t="s">
        <v>122</v>
      </c>
      <c r="E19" s="161">
        <v>44597</v>
      </c>
      <c r="F19" s="162" t="s">
        <v>91</v>
      </c>
      <c r="G19" s="26">
        <v>15068</v>
      </c>
      <c r="H19" s="23">
        <v>92382</v>
      </c>
      <c r="I19" s="23">
        <v>4352988</v>
      </c>
      <c r="J19" s="163">
        <v>654</v>
      </c>
      <c r="K19" s="23">
        <v>58</v>
      </c>
      <c r="L19" s="124">
        <v>2.66</v>
      </c>
      <c r="M19" s="26">
        <v>12</v>
      </c>
      <c r="N19" s="156">
        <v>133.5</v>
      </c>
      <c r="O19" s="27">
        <v>145.5</v>
      </c>
      <c r="P19" s="27"/>
      <c r="Q19" s="27"/>
      <c r="R19" s="27"/>
      <c r="S19" s="27"/>
      <c r="T19" s="27"/>
      <c r="U19" s="27"/>
      <c r="V19" s="150">
        <v>134.80000000000001</v>
      </c>
      <c r="W19" s="150">
        <v>145.80000000000001</v>
      </c>
      <c r="X19" s="23">
        <v>870</v>
      </c>
      <c r="Y19" s="23">
        <v>800</v>
      </c>
      <c r="Z19" s="23">
        <v>920</v>
      </c>
      <c r="AA19" s="23">
        <v>217</v>
      </c>
      <c r="AB19" s="164">
        <v>0.1</v>
      </c>
      <c r="AC19" s="23">
        <v>1800</v>
      </c>
      <c r="AD19" s="23">
        <v>520</v>
      </c>
      <c r="AE19" s="23">
        <v>430</v>
      </c>
      <c r="AF19" s="23">
        <v>520</v>
      </c>
      <c r="AG19" s="23">
        <v>520</v>
      </c>
      <c r="AH19" s="23">
        <v>217</v>
      </c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</row>
    <row r="20" spans="1:112">
      <c r="A20" s="175" t="s">
        <v>117</v>
      </c>
      <c r="B20" s="169">
        <v>195</v>
      </c>
      <c r="C20" s="169">
        <v>19.5</v>
      </c>
      <c r="D20" s="177" t="s">
        <v>122</v>
      </c>
      <c r="E20" s="161">
        <v>44597</v>
      </c>
      <c r="F20" s="162" t="s">
        <v>91</v>
      </c>
      <c r="G20" s="26">
        <v>15069</v>
      </c>
      <c r="H20" s="23">
        <v>92382</v>
      </c>
      <c r="I20" s="23">
        <v>4352988</v>
      </c>
      <c r="J20" s="163">
        <v>654</v>
      </c>
      <c r="K20" s="23">
        <v>58</v>
      </c>
      <c r="L20" s="124">
        <v>2.66</v>
      </c>
      <c r="M20" s="26">
        <v>102</v>
      </c>
      <c r="N20" s="156">
        <v>132</v>
      </c>
      <c r="O20" s="27">
        <v>144</v>
      </c>
      <c r="P20" s="27"/>
      <c r="Q20" s="27"/>
      <c r="R20" s="27"/>
      <c r="S20" s="27"/>
      <c r="T20" s="27"/>
      <c r="U20" s="27"/>
      <c r="V20" s="150">
        <v>132.19999999999999</v>
      </c>
      <c r="W20" s="150">
        <v>145</v>
      </c>
      <c r="X20" s="23">
        <v>870</v>
      </c>
      <c r="Y20" s="23">
        <v>800</v>
      </c>
      <c r="Z20" s="23">
        <v>920</v>
      </c>
      <c r="AA20" s="23">
        <v>217</v>
      </c>
      <c r="AB20" s="164">
        <v>0.1</v>
      </c>
      <c r="AC20" s="23">
        <v>1800</v>
      </c>
      <c r="AD20" s="23">
        <v>520</v>
      </c>
      <c r="AE20" s="23">
        <v>430</v>
      </c>
      <c r="AF20" s="23">
        <v>520</v>
      </c>
      <c r="AG20" s="23">
        <v>520</v>
      </c>
      <c r="AH20" s="23">
        <v>217</v>
      </c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</row>
    <row r="21" spans="1:112">
      <c r="A21" s="175" t="s">
        <v>117</v>
      </c>
      <c r="B21" s="169">
        <v>195</v>
      </c>
      <c r="C21" s="169">
        <v>19.5</v>
      </c>
      <c r="D21" s="177" t="s">
        <v>122</v>
      </c>
      <c r="E21" s="161">
        <v>44682</v>
      </c>
      <c r="F21" s="162" t="s">
        <v>91</v>
      </c>
      <c r="G21" s="26">
        <v>15858</v>
      </c>
      <c r="H21" s="23">
        <v>92455</v>
      </c>
      <c r="I21" s="23">
        <v>4854610</v>
      </c>
      <c r="J21" s="163">
        <v>654</v>
      </c>
      <c r="K21" s="23">
        <v>58</v>
      </c>
      <c r="L21" s="124">
        <v>3.51</v>
      </c>
      <c r="M21" s="26">
        <v>5</v>
      </c>
      <c r="N21" s="156">
        <v>131.4</v>
      </c>
      <c r="O21" s="27">
        <v>144.1</v>
      </c>
      <c r="P21" s="27"/>
      <c r="Q21" s="27"/>
      <c r="R21" s="27"/>
      <c r="S21" s="27"/>
      <c r="T21" s="27"/>
      <c r="U21" s="27"/>
      <c r="V21" s="26">
        <v>130.6</v>
      </c>
      <c r="W21" s="150">
        <v>143</v>
      </c>
      <c r="X21" s="23">
        <v>870</v>
      </c>
      <c r="Y21" s="23">
        <v>800</v>
      </c>
      <c r="Z21" s="23">
        <v>920</v>
      </c>
      <c r="AA21" s="23">
        <v>217</v>
      </c>
      <c r="AB21" s="164">
        <v>0.1</v>
      </c>
      <c r="AC21" s="23">
        <v>1800</v>
      </c>
      <c r="AD21" s="23">
        <v>525</v>
      </c>
      <c r="AE21" s="23">
        <v>430</v>
      </c>
      <c r="AF21" s="23">
        <v>525</v>
      </c>
      <c r="AG21" s="23">
        <v>525</v>
      </c>
      <c r="AH21" s="23">
        <v>217</v>
      </c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</row>
    <row r="22" spans="1:112">
      <c r="A22" s="175" t="s">
        <v>117</v>
      </c>
      <c r="B22" s="169">
        <v>195</v>
      </c>
      <c r="C22" s="169">
        <v>19.5</v>
      </c>
      <c r="D22" s="177" t="s">
        <v>122</v>
      </c>
      <c r="E22" s="161">
        <v>44682</v>
      </c>
      <c r="F22" s="162" t="s">
        <v>91</v>
      </c>
      <c r="G22" s="26">
        <v>15859</v>
      </c>
      <c r="H22" s="23">
        <v>92519</v>
      </c>
      <c r="I22" s="23">
        <v>4854610</v>
      </c>
      <c r="J22" s="163">
        <v>654</v>
      </c>
      <c r="K22" s="23">
        <v>56</v>
      </c>
      <c r="L22" s="124">
        <v>3.45</v>
      </c>
      <c r="M22" s="26">
        <v>2</v>
      </c>
      <c r="N22" s="156">
        <v>131.9</v>
      </c>
      <c r="O22" s="27">
        <v>143.6</v>
      </c>
      <c r="P22" s="27"/>
      <c r="Q22" s="27"/>
      <c r="R22" s="27"/>
      <c r="S22" s="27"/>
      <c r="T22" s="27"/>
      <c r="U22" s="27"/>
      <c r="V22" s="26">
        <v>130.6</v>
      </c>
      <c r="W22" s="150">
        <v>143</v>
      </c>
      <c r="X22" s="23">
        <v>870</v>
      </c>
      <c r="Y22" s="23">
        <v>800</v>
      </c>
      <c r="Z22" s="23">
        <v>920</v>
      </c>
      <c r="AA22" s="23">
        <v>217</v>
      </c>
      <c r="AB22" s="164">
        <v>0.1</v>
      </c>
      <c r="AC22" s="23">
        <v>1800</v>
      </c>
      <c r="AD22" s="23">
        <v>525</v>
      </c>
      <c r="AE22" s="23">
        <v>430</v>
      </c>
      <c r="AF22" s="23">
        <v>525</v>
      </c>
      <c r="AG22" s="23">
        <v>525</v>
      </c>
      <c r="AH22" s="23">
        <v>217</v>
      </c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</row>
    <row r="23" spans="1:112">
      <c r="A23" s="175" t="s">
        <v>117</v>
      </c>
      <c r="B23" s="169">
        <v>195</v>
      </c>
      <c r="C23" s="169">
        <v>19.5</v>
      </c>
      <c r="D23" s="177" t="s">
        <v>122</v>
      </c>
      <c r="E23" s="161">
        <v>44682</v>
      </c>
      <c r="F23" s="162" t="s">
        <v>91</v>
      </c>
      <c r="G23" s="26">
        <v>15860</v>
      </c>
      <c r="H23" s="23">
        <v>92541</v>
      </c>
      <c r="I23" s="23">
        <v>4854610</v>
      </c>
      <c r="J23" s="163">
        <v>654</v>
      </c>
      <c r="K23" s="23">
        <v>57</v>
      </c>
      <c r="L23" s="124">
        <v>3.65</v>
      </c>
      <c r="M23" s="26">
        <v>3</v>
      </c>
      <c r="N23" s="156">
        <v>130</v>
      </c>
      <c r="O23" s="27">
        <v>142.9</v>
      </c>
      <c r="P23" s="27"/>
      <c r="Q23" s="27"/>
      <c r="R23" s="27"/>
      <c r="S23" s="27"/>
      <c r="T23" s="27"/>
      <c r="U23" s="27"/>
      <c r="V23" s="26">
        <v>129.30000000000001</v>
      </c>
      <c r="W23" s="150">
        <v>142.30000000000001</v>
      </c>
      <c r="X23" s="23">
        <v>870</v>
      </c>
      <c r="Y23" s="23">
        <v>800</v>
      </c>
      <c r="Z23" s="23">
        <v>920</v>
      </c>
      <c r="AA23" s="23">
        <v>217</v>
      </c>
      <c r="AB23" s="164">
        <v>0.1</v>
      </c>
      <c r="AC23" s="23">
        <v>1800</v>
      </c>
      <c r="AD23" s="23">
        <v>525</v>
      </c>
      <c r="AE23" s="23">
        <v>430</v>
      </c>
      <c r="AF23" s="23">
        <v>525</v>
      </c>
      <c r="AG23" s="23">
        <v>525</v>
      </c>
      <c r="AH23" s="23">
        <v>217</v>
      </c>
      <c r="AI23" s="154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</row>
    <row r="24" spans="1:112">
      <c r="A24" s="175" t="s">
        <v>117</v>
      </c>
      <c r="B24" s="169">
        <v>195</v>
      </c>
      <c r="C24" s="169">
        <v>19.5</v>
      </c>
      <c r="D24" s="177" t="s">
        <v>122</v>
      </c>
      <c r="E24" s="161">
        <v>44715</v>
      </c>
      <c r="F24" s="162" t="s">
        <v>91</v>
      </c>
      <c r="G24" s="26">
        <v>16206</v>
      </c>
      <c r="H24" s="23">
        <v>92594</v>
      </c>
      <c r="I24" s="23">
        <v>4854610</v>
      </c>
      <c r="J24" s="163">
        <v>654</v>
      </c>
      <c r="K24" s="23">
        <v>57</v>
      </c>
      <c r="L24" s="124">
        <v>3.65</v>
      </c>
      <c r="M24" s="26">
        <v>7</v>
      </c>
      <c r="N24" s="156">
        <v>131.4</v>
      </c>
      <c r="O24" s="27">
        <v>144.6</v>
      </c>
      <c r="P24" s="27"/>
      <c r="Q24" s="27"/>
      <c r="R24" s="27"/>
      <c r="S24" s="27"/>
      <c r="T24" s="27"/>
      <c r="U24" s="27"/>
      <c r="V24" s="150">
        <v>132</v>
      </c>
      <c r="W24" s="150">
        <v>144.4</v>
      </c>
      <c r="X24" s="23">
        <v>870</v>
      </c>
      <c r="Y24" s="23">
        <v>800</v>
      </c>
      <c r="Z24" s="23">
        <v>920</v>
      </c>
      <c r="AA24" s="23">
        <v>217</v>
      </c>
      <c r="AB24" s="164">
        <v>0.1</v>
      </c>
      <c r="AC24" s="23">
        <v>1800</v>
      </c>
      <c r="AD24" s="23">
        <v>525</v>
      </c>
      <c r="AE24" s="23">
        <v>430</v>
      </c>
      <c r="AF24" s="23">
        <v>525</v>
      </c>
      <c r="AG24" s="23">
        <v>525</v>
      </c>
      <c r="AH24" s="23">
        <v>217</v>
      </c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</row>
    <row r="25" spans="1:112">
      <c r="A25" s="175" t="s">
        <v>117</v>
      </c>
      <c r="B25" s="169">
        <v>195</v>
      </c>
      <c r="C25" s="169">
        <v>19.5</v>
      </c>
      <c r="D25" s="177" t="s">
        <v>122</v>
      </c>
      <c r="E25" s="161">
        <v>44773</v>
      </c>
      <c r="F25" s="162" t="s">
        <v>91</v>
      </c>
      <c r="G25" s="26">
        <v>16777</v>
      </c>
      <c r="H25" s="23">
        <v>92661</v>
      </c>
      <c r="I25" s="23">
        <v>4854610</v>
      </c>
      <c r="J25" s="163">
        <v>654</v>
      </c>
      <c r="K25" s="23">
        <v>58</v>
      </c>
      <c r="L25" s="124">
        <v>3.75</v>
      </c>
      <c r="M25" s="26">
        <v>5</v>
      </c>
      <c r="N25" s="156">
        <v>132.4</v>
      </c>
      <c r="O25" s="27">
        <v>145.19999999999999</v>
      </c>
      <c r="P25" s="27"/>
      <c r="Q25" s="27"/>
      <c r="R25" s="27"/>
      <c r="S25" s="27"/>
      <c r="T25" s="27"/>
      <c r="U25" s="27"/>
      <c r="V25" s="150">
        <v>128.80000000000001</v>
      </c>
      <c r="W25" s="150">
        <v>142</v>
      </c>
      <c r="X25" s="23">
        <v>870</v>
      </c>
      <c r="Y25" s="23">
        <v>800</v>
      </c>
      <c r="Z25" s="23">
        <v>910</v>
      </c>
      <c r="AA25" s="23">
        <v>217</v>
      </c>
      <c r="AB25" s="164">
        <v>0.1</v>
      </c>
      <c r="AC25" s="23">
        <v>1800</v>
      </c>
      <c r="AD25" s="23">
        <v>525</v>
      </c>
      <c r="AE25" s="23">
        <v>430</v>
      </c>
      <c r="AF25" s="23">
        <v>525</v>
      </c>
      <c r="AG25" s="23">
        <v>525</v>
      </c>
      <c r="AH25" s="23">
        <v>217</v>
      </c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</row>
    <row r="26" spans="1:112">
      <c r="A26" s="175" t="s">
        <v>117</v>
      </c>
      <c r="B26" s="169">
        <v>195</v>
      </c>
      <c r="C26" s="169">
        <v>19.5</v>
      </c>
      <c r="D26" s="177" t="s">
        <v>122</v>
      </c>
      <c r="E26" s="161">
        <v>44773</v>
      </c>
      <c r="F26" s="162" t="s">
        <v>91</v>
      </c>
      <c r="G26" s="26">
        <v>17113</v>
      </c>
      <c r="H26" s="23">
        <v>92754</v>
      </c>
      <c r="I26" s="23">
        <v>4854610</v>
      </c>
      <c r="J26" s="163">
        <v>654</v>
      </c>
      <c r="K26" s="23">
        <v>58</v>
      </c>
      <c r="L26" s="124">
        <v>3.75</v>
      </c>
      <c r="M26" s="26">
        <v>8</v>
      </c>
      <c r="N26" s="156">
        <v>131.19999999999999</v>
      </c>
      <c r="O26" s="27">
        <v>143</v>
      </c>
      <c r="P26" s="27"/>
      <c r="Q26" s="27"/>
      <c r="R26" s="27"/>
      <c r="S26" s="27"/>
      <c r="T26" s="27"/>
      <c r="U26" s="27"/>
      <c r="V26" s="150">
        <v>131.1</v>
      </c>
      <c r="W26" s="150">
        <v>141.80000000000001</v>
      </c>
      <c r="X26" s="23">
        <v>870</v>
      </c>
      <c r="Y26" s="23">
        <v>800</v>
      </c>
      <c r="Z26" s="23">
        <v>910</v>
      </c>
      <c r="AA26" s="23">
        <v>217</v>
      </c>
      <c r="AB26" s="164">
        <v>0.1</v>
      </c>
      <c r="AC26" s="23">
        <v>1800</v>
      </c>
      <c r="AD26" s="23">
        <v>520</v>
      </c>
      <c r="AE26" s="23">
        <v>430</v>
      </c>
      <c r="AF26" s="23">
        <v>520</v>
      </c>
      <c r="AG26" s="23">
        <v>520</v>
      </c>
      <c r="AH26" s="23">
        <v>217</v>
      </c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</row>
    <row r="27" spans="1:112">
      <c r="A27" s="175" t="s">
        <v>117</v>
      </c>
      <c r="B27" s="169">
        <v>195</v>
      </c>
      <c r="C27" s="169">
        <v>19.5</v>
      </c>
      <c r="D27" s="177" t="s">
        <v>122</v>
      </c>
      <c r="E27" s="161">
        <v>44836</v>
      </c>
      <c r="F27" s="162" t="s">
        <v>91</v>
      </c>
      <c r="G27" s="26">
        <v>17418</v>
      </c>
      <c r="H27" s="23">
        <v>92790</v>
      </c>
      <c r="I27" s="23">
        <v>4854610</v>
      </c>
      <c r="J27" s="163">
        <v>654</v>
      </c>
      <c r="K27" s="23">
        <v>58</v>
      </c>
      <c r="L27" s="124">
        <v>3.64</v>
      </c>
      <c r="M27" s="26">
        <v>5</v>
      </c>
      <c r="N27" s="156">
        <v>133</v>
      </c>
      <c r="O27" s="27">
        <v>145</v>
      </c>
      <c r="P27" s="27"/>
      <c r="Q27" s="27"/>
      <c r="R27" s="27"/>
      <c r="S27" s="27"/>
      <c r="T27" s="27"/>
      <c r="U27" s="27"/>
      <c r="V27" s="27">
        <v>131.69999999999999</v>
      </c>
      <c r="W27" s="150">
        <v>143.6</v>
      </c>
      <c r="X27" s="23">
        <v>870</v>
      </c>
      <c r="Y27" s="23">
        <v>800</v>
      </c>
      <c r="Z27" s="23">
        <v>910</v>
      </c>
      <c r="AA27" s="23">
        <v>217</v>
      </c>
      <c r="AB27" s="164">
        <v>0.1</v>
      </c>
      <c r="AC27" s="23">
        <v>1800</v>
      </c>
      <c r="AD27" s="23">
        <v>525</v>
      </c>
      <c r="AE27" s="23">
        <v>430</v>
      </c>
      <c r="AF27" s="23">
        <v>525</v>
      </c>
      <c r="AG27" s="23">
        <v>525</v>
      </c>
      <c r="AH27" s="23">
        <v>217</v>
      </c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</row>
    <row r="28" spans="1:112">
      <c r="A28" s="175" t="s">
        <v>117</v>
      </c>
      <c r="B28" s="169">
        <v>195</v>
      </c>
      <c r="C28" s="169">
        <v>19.5</v>
      </c>
      <c r="D28" s="177" t="s">
        <v>122</v>
      </c>
      <c r="E28" s="161">
        <v>44836</v>
      </c>
      <c r="F28" s="162" t="s">
        <v>91</v>
      </c>
      <c r="G28" s="26">
        <v>17419</v>
      </c>
      <c r="H28" s="23">
        <v>92790</v>
      </c>
      <c r="I28" s="23">
        <v>4854610</v>
      </c>
      <c r="J28" s="163">
        <v>654</v>
      </c>
      <c r="K28" s="23">
        <v>58</v>
      </c>
      <c r="L28" s="124">
        <v>3.64</v>
      </c>
      <c r="M28" s="26">
        <v>33</v>
      </c>
      <c r="N28" s="156">
        <v>134.9</v>
      </c>
      <c r="O28" s="27">
        <v>147.30000000000001</v>
      </c>
      <c r="P28" s="27"/>
      <c r="Q28" s="27"/>
      <c r="R28" s="27"/>
      <c r="S28" s="27"/>
      <c r="T28" s="27"/>
      <c r="U28" s="27"/>
      <c r="V28" s="150">
        <v>133.9</v>
      </c>
      <c r="W28" s="150">
        <v>145.6</v>
      </c>
      <c r="X28" s="23">
        <v>870</v>
      </c>
      <c r="Y28" s="23">
        <v>800</v>
      </c>
      <c r="Z28" s="23">
        <v>910</v>
      </c>
      <c r="AA28" s="23">
        <v>217</v>
      </c>
      <c r="AB28" s="164">
        <v>0.1</v>
      </c>
      <c r="AC28" s="23">
        <v>1800</v>
      </c>
      <c r="AD28" s="23">
        <v>525</v>
      </c>
      <c r="AE28" s="23">
        <v>430</v>
      </c>
      <c r="AF28" s="23">
        <v>525</v>
      </c>
      <c r="AG28" s="23">
        <v>525</v>
      </c>
      <c r="AH28" s="23">
        <v>217</v>
      </c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</row>
    <row r="29" spans="1:112">
      <c r="A29" s="175" t="s">
        <v>117</v>
      </c>
      <c r="B29" s="169">
        <v>195</v>
      </c>
      <c r="C29" s="169">
        <v>19.5</v>
      </c>
      <c r="D29" s="177" t="s">
        <v>122</v>
      </c>
      <c r="E29" s="161">
        <v>44568</v>
      </c>
      <c r="F29" s="162" t="s">
        <v>91</v>
      </c>
      <c r="G29" s="26">
        <v>18383</v>
      </c>
      <c r="H29" s="23">
        <v>92940</v>
      </c>
      <c r="I29" s="23">
        <v>5149576</v>
      </c>
      <c r="J29" s="163">
        <v>654</v>
      </c>
      <c r="K29" s="23">
        <v>58</v>
      </c>
      <c r="L29" s="124">
        <v>3.64</v>
      </c>
      <c r="M29" s="26">
        <v>5</v>
      </c>
      <c r="N29" s="156">
        <v>129.1</v>
      </c>
      <c r="O29" s="27">
        <v>142.9</v>
      </c>
      <c r="P29" s="27"/>
      <c r="Q29" s="27"/>
      <c r="R29" s="27"/>
      <c r="S29" s="27"/>
      <c r="T29" s="27"/>
      <c r="U29" s="27"/>
      <c r="V29" s="150">
        <v>128</v>
      </c>
      <c r="W29" s="150">
        <v>141.80000000000001</v>
      </c>
      <c r="X29" s="23">
        <v>870</v>
      </c>
      <c r="Y29" s="23">
        <v>800</v>
      </c>
      <c r="Z29" s="23">
        <v>890</v>
      </c>
      <c r="AA29" s="23">
        <v>217</v>
      </c>
      <c r="AB29" s="164">
        <v>0.1</v>
      </c>
      <c r="AC29" s="23">
        <v>1850</v>
      </c>
      <c r="AD29" s="23">
        <v>525</v>
      </c>
      <c r="AE29" s="23">
        <v>430</v>
      </c>
      <c r="AF29" s="23">
        <v>525</v>
      </c>
      <c r="AG29" s="23">
        <v>525</v>
      </c>
      <c r="AH29" s="23">
        <v>217</v>
      </c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</row>
    <row r="30" spans="1:112">
      <c r="A30" s="175" t="s">
        <v>117</v>
      </c>
      <c r="B30" s="169">
        <v>195</v>
      </c>
      <c r="C30" s="169">
        <v>19.5</v>
      </c>
      <c r="D30" s="177" t="s">
        <v>122</v>
      </c>
      <c r="E30" s="161">
        <v>45155</v>
      </c>
      <c r="F30" s="162" t="s">
        <v>91</v>
      </c>
      <c r="G30" s="26">
        <v>19553</v>
      </c>
      <c r="H30" s="23">
        <v>93159</v>
      </c>
      <c r="I30" s="23">
        <v>5362842</v>
      </c>
      <c r="J30" s="163">
        <v>776</v>
      </c>
      <c r="K30" s="23">
        <v>61</v>
      </c>
      <c r="L30" s="124">
        <v>2.9</v>
      </c>
      <c r="M30" s="26">
        <v>20</v>
      </c>
      <c r="N30" s="156">
        <v>128.4</v>
      </c>
      <c r="O30" s="27">
        <v>139.5</v>
      </c>
      <c r="P30" s="27"/>
      <c r="Q30" s="27"/>
      <c r="R30" s="27"/>
      <c r="S30" s="27"/>
      <c r="T30" s="27"/>
      <c r="U30" s="27"/>
      <c r="V30" s="26"/>
      <c r="W30" s="150"/>
      <c r="X30" s="23">
        <v>860</v>
      </c>
      <c r="Y30" s="23">
        <v>800</v>
      </c>
      <c r="Z30" s="23">
        <v>920</v>
      </c>
      <c r="AA30" s="23">
        <v>185</v>
      </c>
      <c r="AB30" s="164">
        <v>0.1</v>
      </c>
      <c r="AC30" s="23">
        <v>1800</v>
      </c>
      <c r="AD30" s="23">
        <v>620</v>
      </c>
      <c r="AE30" s="23">
        <v>530</v>
      </c>
      <c r="AF30" s="23">
        <v>620</v>
      </c>
      <c r="AG30" s="23">
        <v>620</v>
      </c>
      <c r="AH30" s="23">
        <v>185</v>
      </c>
    </row>
    <row r="31" spans="1:112">
      <c r="A31" s="175" t="s">
        <v>117</v>
      </c>
      <c r="B31" s="169">
        <v>195</v>
      </c>
      <c r="C31" s="169">
        <v>19.5</v>
      </c>
      <c r="D31" s="177" t="s">
        <v>122</v>
      </c>
      <c r="E31" s="161">
        <v>45155</v>
      </c>
      <c r="F31" s="162" t="s">
        <v>91</v>
      </c>
      <c r="G31" s="26">
        <v>19553</v>
      </c>
      <c r="H31" s="23">
        <v>93159</v>
      </c>
      <c r="I31" s="23">
        <v>5362842</v>
      </c>
      <c r="J31" s="163">
        <v>776</v>
      </c>
      <c r="K31" s="23">
        <v>61</v>
      </c>
      <c r="L31" s="124">
        <v>2.9</v>
      </c>
      <c r="M31" s="26">
        <v>5</v>
      </c>
      <c r="N31" s="156"/>
      <c r="O31" s="27"/>
      <c r="P31" s="27"/>
      <c r="Q31" s="27"/>
      <c r="R31" s="27"/>
      <c r="S31" s="27"/>
      <c r="T31" s="27"/>
      <c r="U31" s="27"/>
      <c r="V31" s="26">
        <v>131.1</v>
      </c>
      <c r="W31" s="150">
        <v>142.19999999999999</v>
      </c>
      <c r="X31" s="23">
        <v>860</v>
      </c>
      <c r="Y31" s="23">
        <v>800</v>
      </c>
      <c r="Z31" s="23">
        <v>920</v>
      </c>
      <c r="AA31" s="23">
        <v>185</v>
      </c>
      <c r="AB31" s="164">
        <v>0.1</v>
      </c>
      <c r="AC31" s="23">
        <v>1800</v>
      </c>
      <c r="AD31" s="23">
        <v>620</v>
      </c>
      <c r="AE31" s="23">
        <v>530</v>
      </c>
      <c r="AF31" s="23">
        <v>620</v>
      </c>
      <c r="AG31" s="23">
        <v>620</v>
      </c>
      <c r="AH31" s="23">
        <v>185</v>
      </c>
    </row>
    <row r="32" spans="1:112">
      <c r="A32" s="175" t="s">
        <v>117</v>
      </c>
      <c r="B32" s="169">
        <v>195</v>
      </c>
      <c r="C32" s="169">
        <v>19.5</v>
      </c>
      <c r="D32" s="177" t="s">
        <v>122</v>
      </c>
      <c r="E32" s="161">
        <v>45338</v>
      </c>
      <c r="F32" s="162" t="s">
        <v>91</v>
      </c>
      <c r="G32" s="26">
        <v>20755</v>
      </c>
      <c r="H32" s="23">
        <v>93475</v>
      </c>
      <c r="I32" s="23">
        <v>5459288</v>
      </c>
      <c r="J32" s="163">
        <v>776</v>
      </c>
      <c r="K32" s="23">
        <v>61</v>
      </c>
      <c r="L32" s="124">
        <v>2.79</v>
      </c>
      <c r="M32" s="26">
        <v>6</v>
      </c>
      <c r="N32" s="156">
        <v>130.19999999999999</v>
      </c>
      <c r="O32" s="27">
        <v>141.80000000000001</v>
      </c>
      <c r="P32" s="27"/>
      <c r="Q32" s="27"/>
      <c r="R32" s="27"/>
      <c r="S32" s="27"/>
      <c r="T32" s="27"/>
      <c r="U32" s="27"/>
      <c r="V32" s="26">
        <v>130.5</v>
      </c>
      <c r="W32" s="150">
        <v>142.69999999999999</v>
      </c>
      <c r="X32" s="23">
        <v>870</v>
      </c>
      <c r="Y32" s="23">
        <v>800</v>
      </c>
      <c r="Z32" s="23">
        <v>920</v>
      </c>
      <c r="AA32" s="23">
        <v>185</v>
      </c>
      <c r="AB32" s="164">
        <v>0.1</v>
      </c>
      <c r="AC32" s="23">
        <v>1800</v>
      </c>
      <c r="AD32" s="23">
        <v>617</v>
      </c>
      <c r="AE32" s="23">
        <v>530</v>
      </c>
      <c r="AF32" s="23">
        <v>617</v>
      </c>
      <c r="AG32" s="23">
        <v>617</v>
      </c>
      <c r="AH32" s="23">
        <v>185</v>
      </c>
    </row>
    <row r="33" spans="1:34">
      <c r="A33" s="175" t="s">
        <v>117</v>
      </c>
      <c r="B33" s="169">
        <v>195</v>
      </c>
      <c r="C33" s="169">
        <v>19.5</v>
      </c>
      <c r="D33" s="177" t="s">
        <v>122</v>
      </c>
      <c r="E33" s="161">
        <v>45338</v>
      </c>
      <c r="F33" s="162" t="s">
        <v>91</v>
      </c>
      <c r="G33" s="26">
        <v>20755</v>
      </c>
      <c r="H33" s="23">
        <v>93475</v>
      </c>
      <c r="I33" s="23">
        <v>5459288</v>
      </c>
      <c r="J33" s="163">
        <v>776</v>
      </c>
      <c r="K33" s="23">
        <v>61</v>
      </c>
      <c r="L33" s="124">
        <v>2.79</v>
      </c>
      <c r="M33" s="26">
        <v>10</v>
      </c>
      <c r="N33" s="156">
        <v>131</v>
      </c>
      <c r="O33" s="27">
        <v>141.69999999999999</v>
      </c>
      <c r="P33" s="27"/>
      <c r="Q33" s="27"/>
      <c r="R33" s="27"/>
      <c r="S33" s="27"/>
      <c r="T33" s="27"/>
      <c r="U33" s="27"/>
      <c r="V33" s="26"/>
      <c r="W33" s="150"/>
      <c r="X33" s="23">
        <v>870</v>
      </c>
      <c r="Y33" s="23">
        <v>800</v>
      </c>
      <c r="Z33" s="23">
        <v>920</v>
      </c>
      <c r="AA33" s="23">
        <v>185</v>
      </c>
      <c r="AB33" s="164">
        <v>0.1</v>
      </c>
      <c r="AC33" s="23">
        <v>1800</v>
      </c>
      <c r="AD33" s="23">
        <v>617</v>
      </c>
      <c r="AE33" s="23">
        <v>530</v>
      </c>
      <c r="AF33" s="23">
        <v>617</v>
      </c>
      <c r="AG33" s="23">
        <v>617</v>
      </c>
      <c r="AH33" s="23">
        <v>185</v>
      </c>
    </row>
    <row r="34" spans="1:34">
      <c r="A34" s="175" t="s">
        <v>117</v>
      </c>
      <c r="B34" s="169">
        <v>195</v>
      </c>
      <c r="C34" s="169">
        <v>19.5</v>
      </c>
      <c r="D34" s="177" t="s">
        <v>122</v>
      </c>
      <c r="E34" s="161">
        <v>45460</v>
      </c>
      <c r="F34" s="162" t="s">
        <v>91</v>
      </c>
      <c r="G34" s="26">
        <v>21591</v>
      </c>
      <c r="H34" s="23">
        <v>93799</v>
      </c>
      <c r="I34" s="23">
        <v>5637105</v>
      </c>
      <c r="J34" s="163">
        <v>776</v>
      </c>
      <c r="K34" s="23">
        <v>61</v>
      </c>
      <c r="L34" s="124">
        <v>2.79</v>
      </c>
      <c r="M34" s="26">
        <v>4</v>
      </c>
      <c r="N34" s="156">
        <v>131</v>
      </c>
      <c r="O34" s="27">
        <v>143.30000000000001</v>
      </c>
      <c r="P34" s="27"/>
      <c r="Q34" s="27"/>
      <c r="R34" s="27"/>
      <c r="S34" s="27"/>
      <c r="T34" s="27"/>
      <c r="U34" s="27"/>
      <c r="V34" s="26"/>
      <c r="W34" s="150"/>
      <c r="X34" s="23">
        <v>870</v>
      </c>
      <c r="Y34" s="23">
        <v>800</v>
      </c>
      <c r="Z34" s="23">
        <v>920</v>
      </c>
      <c r="AA34" s="23">
        <v>185</v>
      </c>
      <c r="AB34" s="164">
        <v>0.1</v>
      </c>
      <c r="AC34" s="23">
        <v>1800</v>
      </c>
      <c r="AD34" s="23">
        <v>612</v>
      </c>
      <c r="AE34" s="23">
        <v>530</v>
      </c>
      <c r="AF34" s="23">
        <v>612</v>
      </c>
      <c r="AG34" s="23">
        <v>612</v>
      </c>
      <c r="AH34" s="23">
        <v>185</v>
      </c>
    </row>
    <row r="35" spans="1:34">
      <c r="A35" s="175" t="s">
        <v>117</v>
      </c>
      <c r="B35" s="169">
        <v>195</v>
      </c>
      <c r="C35" s="169">
        <v>19.5</v>
      </c>
      <c r="D35" s="177" t="s">
        <v>122</v>
      </c>
      <c r="E35" s="161">
        <v>45460</v>
      </c>
      <c r="F35" s="162" t="s">
        <v>91</v>
      </c>
      <c r="G35" s="26">
        <v>21591</v>
      </c>
      <c r="H35" s="23">
        <v>93799</v>
      </c>
      <c r="I35" s="23">
        <v>5637105</v>
      </c>
      <c r="J35" s="163">
        <v>776</v>
      </c>
      <c r="K35" s="23">
        <v>61</v>
      </c>
      <c r="L35" s="124">
        <v>2.79</v>
      </c>
      <c r="M35" s="26">
        <v>5</v>
      </c>
      <c r="N35" s="156"/>
      <c r="O35" s="27"/>
      <c r="P35" s="27"/>
      <c r="Q35" s="27"/>
      <c r="R35" s="27"/>
      <c r="S35" s="27"/>
      <c r="T35" s="27"/>
      <c r="U35" s="27"/>
      <c r="V35" s="26">
        <v>130</v>
      </c>
      <c r="W35" s="150">
        <v>142.9</v>
      </c>
      <c r="X35" s="23">
        <v>870</v>
      </c>
      <c r="Y35" s="23">
        <v>800</v>
      </c>
      <c r="Z35" s="23">
        <v>920</v>
      </c>
      <c r="AA35" s="23">
        <v>185</v>
      </c>
      <c r="AB35" s="164">
        <v>0.1</v>
      </c>
      <c r="AC35" s="23">
        <v>1800</v>
      </c>
      <c r="AD35" s="23">
        <v>612</v>
      </c>
      <c r="AE35" s="23">
        <v>530</v>
      </c>
      <c r="AF35" s="23">
        <v>612</v>
      </c>
      <c r="AG35" s="23">
        <v>612</v>
      </c>
      <c r="AH35" s="23">
        <v>185</v>
      </c>
    </row>
    <row r="36" spans="1:34">
      <c r="A36" s="169"/>
      <c r="B36" s="169"/>
      <c r="C36" s="169"/>
      <c r="D36" s="169"/>
      <c r="E36" s="165"/>
      <c r="F36" s="162"/>
      <c r="G36" s="26"/>
      <c r="H36" s="23"/>
      <c r="I36" s="23"/>
      <c r="J36" s="124"/>
      <c r="K36" s="23"/>
      <c r="L36" s="124"/>
      <c r="M36" s="26"/>
      <c r="N36" s="156"/>
      <c r="O36" s="27"/>
      <c r="P36" s="27"/>
      <c r="Q36" s="27"/>
      <c r="R36" s="27"/>
      <c r="S36" s="27"/>
      <c r="T36" s="27"/>
      <c r="U36" s="27"/>
      <c r="V36" s="26"/>
      <c r="W36" s="150"/>
      <c r="X36" s="166"/>
      <c r="Y36" s="166"/>
      <c r="Z36" s="167"/>
      <c r="AA36" s="167"/>
      <c r="AB36" s="168"/>
      <c r="AC36" s="167"/>
      <c r="AD36" s="169"/>
      <c r="AE36" s="169"/>
      <c r="AF36" s="169"/>
      <c r="AG36" s="169"/>
      <c r="AH36" s="167"/>
    </row>
    <row r="37" spans="1:34">
      <c r="A37" s="169"/>
      <c r="B37" s="169"/>
      <c r="C37" s="169"/>
      <c r="D37" s="169"/>
      <c r="E37" s="165"/>
      <c r="F37" s="162"/>
      <c r="G37" s="26"/>
      <c r="H37" s="23"/>
      <c r="I37" s="23"/>
      <c r="J37" s="124"/>
      <c r="K37" s="23"/>
      <c r="L37" s="124"/>
      <c r="M37" s="26"/>
      <c r="N37" s="156"/>
      <c r="O37" s="27"/>
      <c r="P37" s="27"/>
      <c r="Q37" s="27"/>
      <c r="R37" s="27"/>
      <c r="S37" s="27"/>
      <c r="T37" s="27"/>
      <c r="U37" s="27"/>
      <c r="V37" s="26"/>
      <c r="W37" s="150"/>
      <c r="X37" s="166"/>
      <c r="Y37" s="166"/>
      <c r="Z37" s="167"/>
      <c r="AA37" s="167"/>
      <c r="AB37" s="168"/>
      <c r="AC37" s="167"/>
      <c r="AD37" s="169"/>
      <c r="AE37" s="169"/>
      <c r="AF37" s="169"/>
      <c r="AG37" s="169"/>
      <c r="AH37" s="167"/>
    </row>
    <row r="38" spans="1:34">
      <c r="A38" s="169"/>
      <c r="B38" s="169"/>
      <c r="C38" s="169"/>
      <c r="D38" s="169"/>
      <c r="E38" s="165"/>
      <c r="F38" s="162"/>
      <c r="G38" s="26"/>
      <c r="H38" s="23"/>
      <c r="I38" s="23"/>
      <c r="J38" s="124"/>
      <c r="K38" s="23"/>
      <c r="L38" s="124"/>
      <c r="M38" s="26"/>
      <c r="N38" s="156"/>
      <c r="O38" s="27"/>
      <c r="P38" s="27"/>
      <c r="Q38" s="27"/>
      <c r="R38" s="27"/>
      <c r="S38" s="27"/>
      <c r="T38" s="27"/>
      <c r="U38" s="27"/>
      <c r="V38" s="26"/>
      <c r="W38" s="150"/>
      <c r="X38" s="166"/>
      <c r="Y38" s="166"/>
      <c r="Z38" s="167"/>
      <c r="AA38" s="167"/>
      <c r="AB38" s="168"/>
      <c r="AC38" s="167"/>
      <c r="AD38" s="169"/>
      <c r="AE38" s="169"/>
      <c r="AF38" s="169"/>
      <c r="AG38" s="169"/>
      <c r="AH38" s="167"/>
    </row>
    <row r="39" spans="1:34">
      <c r="A39" s="169"/>
      <c r="B39" s="169"/>
      <c r="C39" s="169"/>
      <c r="D39" s="169"/>
      <c r="E39" s="165"/>
      <c r="F39" s="162"/>
      <c r="G39" s="26"/>
      <c r="H39" s="23"/>
      <c r="I39" s="23"/>
      <c r="J39" s="124"/>
      <c r="K39" s="23"/>
      <c r="L39" s="124"/>
      <c r="M39" s="26"/>
      <c r="N39" s="156"/>
      <c r="O39" s="27"/>
      <c r="P39" s="27"/>
      <c r="Q39" s="27"/>
      <c r="R39" s="27"/>
      <c r="S39" s="27"/>
      <c r="T39" s="27"/>
      <c r="U39" s="27"/>
      <c r="V39" s="26"/>
      <c r="W39" s="150"/>
      <c r="X39" s="166"/>
      <c r="Y39" s="166"/>
      <c r="Z39" s="167"/>
      <c r="AA39" s="167"/>
      <c r="AB39" s="168"/>
      <c r="AC39" s="167"/>
      <c r="AD39" s="169"/>
      <c r="AE39" s="169"/>
      <c r="AF39" s="169"/>
      <c r="AG39" s="169"/>
      <c r="AH39" s="167"/>
    </row>
    <row r="40" spans="1:34">
      <c r="A40" s="169"/>
      <c r="B40" s="169"/>
      <c r="C40" s="169"/>
      <c r="D40" s="169"/>
      <c r="E40" s="165"/>
      <c r="F40" s="162"/>
      <c r="G40" s="26"/>
      <c r="H40" s="23"/>
      <c r="I40" s="23"/>
      <c r="J40" s="124"/>
      <c r="K40" s="23"/>
      <c r="L40" s="124"/>
      <c r="M40" s="26"/>
      <c r="N40" s="156"/>
      <c r="O40" s="27"/>
      <c r="P40" s="27"/>
      <c r="Q40" s="27"/>
      <c r="R40" s="27"/>
      <c r="S40" s="27"/>
      <c r="T40" s="27"/>
      <c r="U40" s="27"/>
      <c r="V40" s="26"/>
      <c r="W40" s="150"/>
      <c r="X40" s="166"/>
      <c r="Y40" s="166"/>
      <c r="Z40" s="167"/>
      <c r="AA40" s="167"/>
      <c r="AB40" s="168"/>
      <c r="AC40" s="167"/>
      <c r="AD40" s="169"/>
      <c r="AE40" s="169"/>
      <c r="AF40" s="169"/>
      <c r="AG40" s="169"/>
      <c r="AH40" s="167"/>
    </row>
    <row r="41" spans="1:34">
      <c r="A41" s="169"/>
      <c r="B41" s="169"/>
      <c r="C41" s="169"/>
      <c r="D41" s="169"/>
      <c r="E41" s="165"/>
      <c r="F41" s="162"/>
      <c r="G41" s="26"/>
      <c r="H41" s="23"/>
      <c r="I41" s="23"/>
      <c r="J41" s="124"/>
      <c r="K41" s="23"/>
      <c r="L41" s="124"/>
      <c r="M41" s="26"/>
      <c r="N41" s="156"/>
      <c r="O41" s="27"/>
      <c r="P41" s="27"/>
      <c r="Q41" s="27"/>
      <c r="R41" s="27"/>
      <c r="S41" s="27"/>
      <c r="T41" s="27"/>
      <c r="U41" s="27"/>
      <c r="V41" s="26"/>
      <c r="W41" s="150"/>
      <c r="X41" s="166"/>
      <c r="Y41" s="166"/>
      <c r="Z41" s="167"/>
      <c r="AA41" s="167"/>
      <c r="AB41" s="168"/>
      <c r="AC41" s="167"/>
      <c r="AD41" s="169"/>
      <c r="AE41" s="169"/>
      <c r="AF41" s="169"/>
      <c r="AG41" s="169"/>
      <c r="AH41" s="167"/>
    </row>
    <row r="42" spans="1:34">
      <c r="A42" s="169"/>
      <c r="B42" s="169"/>
      <c r="C42" s="169"/>
      <c r="D42" s="169"/>
      <c r="E42" s="165"/>
      <c r="F42" s="162"/>
      <c r="G42" s="26"/>
      <c r="H42" s="23"/>
      <c r="I42" s="23"/>
      <c r="J42" s="124"/>
      <c r="K42" s="23"/>
      <c r="L42" s="124"/>
      <c r="M42" s="26"/>
      <c r="N42" s="156"/>
      <c r="O42" s="27"/>
      <c r="P42" s="27"/>
      <c r="Q42" s="27"/>
      <c r="R42" s="27"/>
      <c r="S42" s="27"/>
      <c r="T42" s="27"/>
      <c r="U42" s="27"/>
      <c r="V42" s="26"/>
      <c r="W42" s="150"/>
      <c r="X42" s="166"/>
      <c r="Y42" s="166"/>
      <c r="Z42" s="167"/>
      <c r="AA42" s="167"/>
      <c r="AB42" s="168"/>
      <c r="AC42" s="167"/>
      <c r="AD42" s="169"/>
      <c r="AE42" s="169"/>
      <c r="AF42" s="169"/>
      <c r="AG42" s="169"/>
      <c r="AH42" s="167"/>
    </row>
    <row r="43" spans="1:34">
      <c r="A43" s="169"/>
      <c r="B43" s="169"/>
      <c r="C43" s="169"/>
      <c r="D43" s="169"/>
      <c r="E43" s="165"/>
      <c r="F43" s="162"/>
      <c r="G43" s="26"/>
      <c r="H43" s="23"/>
      <c r="I43" s="23"/>
      <c r="J43" s="124"/>
      <c r="K43" s="23"/>
      <c r="L43" s="124"/>
      <c r="M43" s="26"/>
      <c r="N43" s="156"/>
      <c r="O43" s="27"/>
      <c r="P43" s="27"/>
      <c r="Q43" s="27"/>
      <c r="R43" s="27"/>
      <c r="S43" s="27"/>
      <c r="T43" s="27"/>
      <c r="U43" s="27"/>
      <c r="V43" s="26"/>
      <c r="W43" s="150"/>
      <c r="X43" s="166"/>
      <c r="Y43" s="166"/>
      <c r="Z43" s="167"/>
      <c r="AA43" s="167"/>
      <c r="AB43" s="168"/>
      <c r="AC43" s="167"/>
      <c r="AD43" s="169"/>
      <c r="AE43" s="169"/>
      <c r="AF43" s="169"/>
      <c r="AG43" s="169"/>
      <c r="AH43" s="167"/>
    </row>
    <row r="44" spans="1:34">
      <c r="A44" s="169"/>
      <c r="B44" s="169"/>
      <c r="C44" s="169"/>
      <c r="D44" s="169"/>
      <c r="E44" s="165"/>
      <c r="F44" s="162"/>
      <c r="G44" s="26"/>
      <c r="H44" s="23"/>
      <c r="I44" s="23"/>
      <c r="J44" s="124"/>
      <c r="K44" s="23"/>
      <c r="L44" s="124"/>
      <c r="M44" s="26"/>
      <c r="N44" s="156"/>
      <c r="O44" s="27"/>
      <c r="P44" s="27"/>
      <c r="Q44" s="27"/>
      <c r="R44" s="27"/>
      <c r="S44" s="27"/>
      <c r="T44" s="27"/>
      <c r="U44" s="27"/>
      <c r="V44" s="26"/>
      <c r="W44" s="150"/>
      <c r="X44" s="166"/>
      <c r="Y44" s="166"/>
      <c r="Z44" s="167"/>
      <c r="AA44" s="167"/>
      <c r="AB44" s="168"/>
      <c r="AC44" s="167"/>
      <c r="AD44" s="169"/>
      <c r="AE44" s="169"/>
      <c r="AF44" s="169"/>
      <c r="AG44" s="169"/>
      <c r="AH44" s="167"/>
    </row>
    <row r="45" spans="1:34">
      <c r="A45" s="169"/>
      <c r="B45" s="169"/>
      <c r="C45" s="169"/>
      <c r="D45" s="169"/>
      <c r="E45" s="165"/>
      <c r="F45" s="162"/>
      <c r="G45" s="26"/>
      <c r="H45" s="23"/>
      <c r="I45" s="23"/>
      <c r="J45" s="124"/>
      <c r="K45" s="23"/>
      <c r="L45" s="124"/>
      <c r="M45" s="26"/>
      <c r="N45" s="156"/>
      <c r="O45" s="27"/>
      <c r="P45" s="27"/>
      <c r="Q45" s="27"/>
      <c r="R45" s="27"/>
      <c r="S45" s="27"/>
      <c r="T45" s="27"/>
      <c r="U45" s="27"/>
      <c r="V45" s="26"/>
      <c r="W45" s="150"/>
      <c r="X45" s="166"/>
      <c r="Y45" s="166"/>
      <c r="Z45" s="167"/>
      <c r="AA45" s="167"/>
      <c r="AB45" s="168"/>
      <c r="AC45" s="167"/>
      <c r="AD45" s="169"/>
      <c r="AE45" s="169"/>
      <c r="AF45" s="169"/>
      <c r="AG45" s="169"/>
      <c r="AH45" s="167"/>
    </row>
    <row r="46" spans="1:34">
      <c r="A46" s="169"/>
      <c r="B46" s="169"/>
      <c r="C46" s="169"/>
      <c r="D46" s="169"/>
      <c r="E46" s="165"/>
      <c r="F46" s="162"/>
      <c r="G46" s="26"/>
      <c r="H46" s="23"/>
      <c r="I46" s="23"/>
      <c r="J46" s="124"/>
      <c r="K46" s="23"/>
      <c r="L46" s="124"/>
      <c r="M46" s="26"/>
      <c r="N46" s="156"/>
      <c r="O46" s="27"/>
      <c r="P46" s="27"/>
      <c r="Q46" s="27"/>
      <c r="R46" s="27"/>
      <c r="S46" s="27"/>
      <c r="T46" s="27"/>
      <c r="U46" s="27"/>
      <c r="V46" s="26"/>
      <c r="W46" s="150"/>
      <c r="X46" s="166"/>
      <c r="Y46" s="166"/>
      <c r="Z46" s="167"/>
      <c r="AA46" s="167"/>
      <c r="AB46" s="168"/>
      <c r="AC46" s="167"/>
      <c r="AD46" s="169"/>
      <c r="AE46" s="169"/>
      <c r="AF46" s="169"/>
      <c r="AG46" s="169"/>
      <c r="AH46" s="167"/>
    </row>
    <row r="47" spans="1:34">
      <c r="A47" s="169"/>
      <c r="B47" s="169"/>
      <c r="C47" s="169"/>
      <c r="D47" s="169"/>
      <c r="E47" s="165"/>
      <c r="F47" s="162"/>
      <c r="G47" s="26"/>
      <c r="H47" s="23"/>
      <c r="I47" s="23"/>
      <c r="J47" s="124"/>
      <c r="K47" s="23"/>
      <c r="L47" s="124"/>
      <c r="M47" s="26"/>
      <c r="N47" s="156"/>
      <c r="O47" s="27"/>
      <c r="P47" s="27"/>
      <c r="Q47" s="27"/>
      <c r="R47" s="27"/>
      <c r="S47" s="27"/>
      <c r="T47" s="27"/>
      <c r="U47" s="27"/>
      <c r="V47" s="26"/>
      <c r="W47" s="150"/>
      <c r="X47" s="166"/>
      <c r="Y47" s="166"/>
      <c r="Z47" s="167"/>
      <c r="AA47" s="167"/>
      <c r="AB47" s="168"/>
      <c r="AC47" s="167"/>
      <c r="AD47" s="169"/>
      <c r="AE47" s="169"/>
      <c r="AF47" s="169"/>
      <c r="AG47" s="169"/>
      <c r="AH47" s="167"/>
    </row>
    <row r="48" spans="1:34">
      <c r="A48" s="169"/>
      <c r="B48" s="169"/>
      <c r="C48" s="169"/>
      <c r="D48" s="169"/>
      <c r="E48" s="165"/>
      <c r="F48" s="162"/>
      <c r="G48" s="26"/>
      <c r="H48" s="23"/>
      <c r="I48" s="23"/>
      <c r="J48" s="124"/>
      <c r="K48" s="23"/>
      <c r="L48" s="124"/>
      <c r="M48" s="26"/>
      <c r="N48" s="156"/>
      <c r="O48" s="27"/>
      <c r="P48" s="27"/>
      <c r="Q48" s="27"/>
      <c r="R48" s="27"/>
      <c r="S48" s="27"/>
      <c r="T48" s="27"/>
      <c r="U48" s="27"/>
      <c r="V48" s="26"/>
      <c r="W48" s="150"/>
      <c r="X48" s="166"/>
      <c r="Y48" s="166"/>
      <c r="Z48" s="167"/>
      <c r="AA48" s="167"/>
      <c r="AB48" s="168"/>
      <c r="AC48" s="167"/>
      <c r="AD48" s="169"/>
      <c r="AE48" s="169"/>
      <c r="AF48" s="169"/>
      <c r="AG48" s="169"/>
      <c r="AH48" s="167"/>
    </row>
    <row r="49" spans="1:34">
      <c r="A49" s="169"/>
      <c r="B49" s="169"/>
      <c r="C49" s="169"/>
      <c r="D49" s="169"/>
      <c r="E49" s="165"/>
      <c r="F49" s="162"/>
      <c r="G49" s="26"/>
      <c r="H49" s="23"/>
      <c r="I49" s="23"/>
      <c r="J49" s="124"/>
      <c r="K49" s="23"/>
      <c r="L49" s="124"/>
      <c r="M49" s="26"/>
      <c r="N49" s="156"/>
      <c r="O49" s="27"/>
      <c r="P49" s="27"/>
      <c r="Q49" s="27"/>
      <c r="R49" s="27"/>
      <c r="S49" s="27"/>
      <c r="T49" s="27"/>
      <c r="U49" s="27"/>
      <c r="V49" s="26"/>
      <c r="W49" s="150"/>
      <c r="X49" s="166"/>
      <c r="Y49" s="166"/>
      <c r="Z49" s="167"/>
      <c r="AA49" s="167"/>
      <c r="AB49" s="168"/>
      <c r="AC49" s="167"/>
      <c r="AD49" s="169"/>
      <c r="AE49" s="169"/>
      <c r="AF49" s="169"/>
      <c r="AG49" s="169"/>
      <c r="AH49" s="167"/>
    </row>
    <row r="50" spans="1:34">
      <c r="A50" s="169"/>
      <c r="B50" s="169"/>
      <c r="C50" s="169"/>
      <c r="D50" s="169"/>
      <c r="E50" s="165"/>
      <c r="F50" s="162"/>
      <c r="G50" s="26"/>
      <c r="H50" s="23"/>
      <c r="I50" s="23"/>
      <c r="J50" s="124"/>
      <c r="K50" s="23"/>
      <c r="L50" s="124"/>
      <c r="M50" s="26"/>
      <c r="N50" s="156"/>
      <c r="O50" s="27"/>
      <c r="P50" s="27"/>
      <c r="Q50" s="27"/>
      <c r="R50" s="27"/>
      <c r="S50" s="27"/>
      <c r="T50" s="27"/>
      <c r="U50" s="27"/>
      <c r="V50" s="26"/>
      <c r="W50" s="150"/>
      <c r="X50" s="166"/>
      <c r="Y50" s="166"/>
      <c r="Z50" s="167"/>
      <c r="AA50" s="167"/>
      <c r="AB50" s="168"/>
      <c r="AC50" s="167"/>
      <c r="AD50" s="169"/>
      <c r="AE50" s="169"/>
      <c r="AF50" s="169"/>
      <c r="AG50" s="169"/>
      <c r="AH50" s="167"/>
    </row>
    <row r="51" spans="1:34">
      <c r="A51" s="169"/>
      <c r="B51" s="169"/>
      <c r="C51" s="169"/>
      <c r="D51" s="169"/>
      <c r="E51" s="165"/>
      <c r="F51" s="162"/>
      <c r="G51" s="26"/>
      <c r="H51" s="23"/>
      <c r="I51" s="23"/>
      <c r="J51" s="124"/>
      <c r="K51" s="23"/>
      <c r="L51" s="124"/>
      <c r="M51" s="26"/>
      <c r="N51" s="156"/>
      <c r="O51" s="27"/>
      <c r="P51" s="27"/>
      <c r="Q51" s="27"/>
      <c r="R51" s="27"/>
      <c r="S51" s="27"/>
      <c r="T51" s="27"/>
      <c r="U51" s="27"/>
      <c r="V51" s="26"/>
      <c r="W51" s="150"/>
      <c r="X51" s="166"/>
      <c r="Y51" s="166"/>
      <c r="Z51" s="167"/>
      <c r="AA51" s="167"/>
      <c r="AB51" s="168"/>
      <c r="AC51" s="167"/>
      <c r="AD51" s="169"/>
      <c r="AE51" s="169"/>
      <c r="AF51" s="169"/>
      <c r="AG51" s="169"/>
      <c r="AH51" s="167"/>
    </row>
    <row r="52" spans="1:34">
      <c r="A52" s="169"/>
      <c r="B52" s="169"/>
      <c r="C52" s="169"/>
      <c r="D52" s="169"/>
      <c r="E52" s="165"/>
      <c r="F52" s="162"/>
      <c r="G52" s="26"/>
      <c r="H52" s="23"/>
      <c r="I52" s="23"/>
      <c r="J52" s="124"/>
      <c r="K52" s="23"/>
      <c r="L52" s="124"/>
      <c r="M52" s="26"/>
      <c r="N52" s="156"/>
      <c r="O52" s="27"/>
      <c r="P52" s="27"/>
      <c r="Q52" s="27"/>
      <c r="R52" s="27"/>
      <c r="S52" s="27"/>
      <c r="T52" s="27"/>
      <c r="U52" s="27"/>
      <c r="V52" s="26"/>
      <c r="W52" s="150"/>
      <c r="X52" s="166"/>
      <c r="Y52" s="166"/>
      <c r="Z52" s="167"/>
      <c r="AA52" s="167"/>
      <c r="AB52" s="168"/>
      <c r="AC52" s="167"/>
      <c r="AD52" s="169"/>
      <c r="AE52" s="169"/>
      <c r="AF52" s="169"/>
      <c r="AG52" s="169"/>
      <c r="AH52" s="167"/>
    </row>
    <row r="53" spans="1:34">
      <c r="A53" s="169"/>
      <c r="B53" s="169"/>
      <c r="C53" s="169"/>
      <c r="D53" s="169"/>
      <c r="E53" s="165"/>
      <c r="F53" s="162"/>
      <c r="G53" s="26"/>
      <c r="H53" s="23"/>
      <c r="I53" s="23"/>
      <c r="J53" s="124"/>
      <c r="K53" s="23"/>
      <c r="L53" s="124"/>
      <c r="M53" s="26"/>
      <c r="N53" s="156"/>
      <c r="O53" s="27"/>
      <c r="P53" s="27"/>
      <c r="Q53" s="27"/>
      <c r="R53" s="27"/>
      <c r="S53" s="27"/>
      <c r="T53" s="27"/>
      <c r="U53" s="27"/>
      <c r="V53" s="26"/>
      <c r="W53" s="150"/>
      <c r="X53" s="166"/>
      <c r="Y53" s="166"/>
      <c r="Z53" s="167"/>
      <c r="AA53" s="167"/>
      <c r="AB53" s="168"/>
      <c r="AC53" s="167"/>
      <c r="AD53" s="169"/>
      <c r="AE53" s="169"/>
      <c r="AF53" s="169"/>
      <c r="AG53" s="169"/>
      <c r="AH53" s="167"/>
    </row>
    <row r="54" spans="1:34">
      <c r="A54" s="169"/>
      <c r="B54" s="169"/>
      <c r="C54" s="169"/>
      <c r="D54" s="169"/>
      <c r="E54" s="165"/>
      <c r="F54" s="162"/>
      <c r="G54" s="26"/>
      <c r="H54" s="23"/>
      <c r="I54" s="23"/>
      <c r="J54" s="124"/>
      <c r="K54" s="23"/>
      <c r="L54" s="124"/>
      <c r="M54" s="26"/>
      <c r="N54" s="156"/>
      <c r="O54" s="27"/>
      <c r="P54" s="27"/>
      <c r="Q54" s="27"/>
      <c r="R54" s="27"/>
      <c r="S54" s="27"/>
      <c r="T54" s="27"/>
      <c r="U54" s="27"/>
      <c r="V54" s="26"/>
      <c r="W54" s="150"/>
      <c r="X54" s="166"/>
      <c r="Y54" s="166"/>
      <c r="Z54" s="167"/>
      <c r="AA54" s="167"/>
      <c r="AB54" s="168"/>
      <c r="AC54" s="167"/>
      <c r="AD54" s="169"/>
      <c r="AE54" s="169"/>
      <c r="AF54" s="169"/>
      <c r="AG54" s="169"/>
      <c r="AH54" s="167"/>
    </row>
    <row r="55" spans="1:34">
      <c r="A55" s="169"/>
      <c r="B55" s="169"/>
      <c r="C55" s="169"/>
      <c r="D55" s="169"/>
      <c r="E55" s="165"/>
      <c r="F55" s="162"/>
      <c r="G55" s="26"/>
      <c r="H55" s="23"/>
      <c r="I55" s="23"/>
      <c r="J55" s="124"/>
      <c r="K55" s="23"/>
      <c r="L55" s="124"/>
      <c r="M55" s="26"/>
      <c r="N55" s="156"/>
      <c r="O55" s="27"/>
      <c r="P55" s="27"/>
      <c r="Q55" s="27"/>
      <c r="R55" s="27"/>
      <c r="S55" s="27"/>
      <c r="T55" s="27"/>
      <c r="U55" s="27"/>
      <c r="V55" s="26"/>
      <c r="W55" s="150"/>
      <c r="X55" s="166"/>
      <c r="Y55" s="166"/>
      <c r="Z55" s="167"/>
      <c r="AA55" s="167"/>
      <c r="AB55" s="168"/>
      <c r="AC55" s="167"/>
      <c r="AD55" s="169"/>
      <c r="AE55" s="169"/>
      <c r="AF55" s="169"/>
      <c r="AG55" s="169"/>
      <c r="AH55" s="167"/>
    </row>
    <row r="56" spans="1:34">
      <c r="A56" s="169"/>
      <c r="B56" s="169"/>
      <c r="C56" s="169"/>
      <c r="D56" s="169"/>
      <c r="E56" s="165"/>
      <c r="F56" s="162"/>
      <c r="G56" s="26"/>
      <c r="H56" s="23"/>
      <c r="I56" s="23"/>
      <c r="J56" s="124"/>
      <c r="K56" s="23"/>
      <c r="L56" s="124"/>
      <c r="M56" s="26"/>
      <c r="N56" s="156"/>
      <c r="O56" s="27"/>
      <c r="P56" s="27"/>
      <c r="Q56" s="27"/>
      <c r="R56" s="27"/>
      <c r="S56" s="27"/>
      <c r="T56" s="27"/>
      <c r="U56" s="27"/>
      <c r="V56" s="26"/>
      <c r="W56" s="150"/>
      <c r="X56" s="166"/>
      <c r="Y56" s="166"/>
      <c r="Z56" s="167"/>
      <c r="AA56" s="167"/>
      <c r="AB56" s="168"/>
      <c r="AC56" s="167"/>
      <c r="AD56" s="169"/>
      <c r="AE56" s="169"/>
      <c r="AF56" s="169"/>
      <c r="AG56" s="169"/>
      <c r="AH56" s="167"/>
    </row>
    <row r="57" spans="1:34">
      <c r="A57" s="169"/>
      <c r="B57" s="169"/>
      <c r="C57" s="169"/>
      <c r="D57" s="169"/>
      <c r="E57" s="165"/>
      <c r="F57" s="162"/>
      <c r="G57" s="26"/>
      <c r="H57" s="23"/>
      <c r="I57" s="23"/>
      <c r="J57" s="124"/>
      <c r="K57" s="23"/>
      <c r="L57" s="124"/>
      <c r="M57" s="26"/>
      <c r="N57" s="156"/>
      <c r="O57" s="27"/>
      <c r="P57" s="27"/>
      <c r="Q57" s="27"/>
      <c r="R57" s="27"/>
      <c r="S57" s="27"/>
      <c r="T57" s="27"/>
      <c r="U57" s="27"/>
      <c r="V57" s="26"/>
      <c r="W57" s="150"/>
      <c r="X57" s="166"/>
      <c r="Y57" s="166"/>
      <c r="Z57" s="167"/>
      <c r="AA57" s="167"/>
      <c r="AB57" s="168"/>
      <c r="AC57" s="167"/>
      <c r="AD57" s="169"/>
      <c r="AE57" s="169"/>
      <c r="AF57" s="169"/>
      <c r="AG57" s="169"/>
      <c r="AH57" s="167"/>
    </row>
    <row r="58" spans="1:34">
      <c r="A58" s="169"/>
      <c r="B58" s="169"/>
      <c r="C58" s="169"/>
      <c r="D58" s="169"/>
      <c r="E58" s="165"/>
      <c r="F58" s="162"/>
      <c r="G58" s="26"/>
      <c r="H58" s="23"/>
      <c r="I58" s="23"/>
      <c r="J58" s="124"/>
      <c r="K58" s="23"/>
      <c r="L58" s="124"/>
      <c r="M58" s="26"/>
      <c r="N58" s="156"/>
      <c r="O58" s="27"/>
      <c r="P58" s="27"/>
      <c r="Q58" s="27"/>
      <c r="R58" s="27"/>
      <c r="S58" s="27"/>
      <c r="T58" s="27"/>
      <c r="U58" s="27"/>
      <c r="V58" s="26"/>
      <c r="W58" s="150"/>
      <c r="X58" s="166"/>
      <c r="Y58" s="166"/>
      <c r="Z58" s="167"/>
      <c r="AA58" s="167"/>
      <c r="AB58" s="168"/>
      <c r="AC58" s="167"/>
      <c r="AD58" s="169"/>
      <c r="AE58" s="169"/>
      <c r="AF58" s="169"/>
      <c r="AG58" s="169"/>
      <c r="AH58" s="167"/>
    </row>
    <row r="59" spans="1:34">
      <c r="A59" s="169"/>
      <c r="B59" s="169"/>
      <c r="C59" s="169"/>
      <c r="D59" s="169"/>
      <c r="E59" s="165"/>
      <c r="F59" s="162"/>
      <c r="G59" s="26"/>
      <c r="H59" s="23"/>
      <c r="I59" s="23"/>
      <c r="J59" s="124"/>
      <c r="K59" s="23"/>
      <c r="L59" s="124"/>
      <c r="M59" s="26"/>
      <c r="N59" s="156"/>
      <c r="O59" s="27"/>
      <c r="P59" s="27"/>
      <c r="Q59" s="27"/>
      <c r="R59" s="27"/>
      <c r="S59" s="27"/>
      <c r="T59" s="27"/>
      <c r="U59" s="27"/>
      <c r="V59" s="26"/>
      <c r="W59" s="150"/>
      <c r="X59" s="166"/>
      <c r="Y59" s="166"/>
      <c r="Z59" s="167"/>
      <c r="AA59" s="167"/>
      <c r="AB59" s="168"/>
      <c r="AC59" s="167"/>
      <c r="AD59" s="169"/>
      <c r="AE59" s="169"/>
      <c r="AF59" s="169"/>
      <c r="AG59" s="169"/>
      <c r="AH59" s="167"/>
    </row>
    <row r="60" spans="1:34">
      <c r="A60" s="169"/>
      <c r="B60" s="169"/>
      <c r="C60" s="169"/>
      <c r="D60" s="169"/>
      <c r="E60" s="165"/>
      <c r="F60" s="162"/>
      <c r="G60" s="26"/>
      <c r="H60" s="23"/>
      <c r="I60" s="23"/>
      <c r="J60" s="124"/>
      <c r="K60" s="23"/>
      <c r="L60" s="124"/>
      <c r="M60" s="26"/>
      <c r="N60" s="156"/>
      <c r="O60" s="27"/>
      <c r="P60" s="27"/>
      <c r="Q60" s="27"/>
      <c r="R60" s="27"/>
      <c r="S60" s="27"/>
      <c r="T60" s="27"/>
      <c r="U60" s="27"/>
      <c r="V60" s="26"/>
      <c r="W60" s="150"/>
      <c r="X60" s="166"/>
      <c r="Y60" s="166"/>
      <c r="Z60" s="167"/>
      <c r="AA60" s="167"/>
      <c r="AB60" s="168"/>
      <c r="AC60" s="167"/>
      <c r="AD60" s="169"/>
      <c r="AE60" s="169"/>
      <c r="AF60" s="169"/>
      <c r="AG60" s="169"/>
      <c r="AH60" s="167"/>
    </row>
    <row r="61" spans="1:34">
      <c r="A61" s="169"/>
      <c r="B61" s="169"/>
      <c r="C61" s="169"/>
      <c r="D61" s="169"/>
      <c r="E61" s="165"/>
      <c r="F61" s="162"/>
      <c r="G61" s="26"/>
      <c r="H61" s="23"/>
      <c r="I61" s="23"/>
      <c r="J61" s="124"/>
      <c r="K61" s="23"/>
      <c r="L61" s="124"/>
      <c r="M61" s="26"/>
      <c r="N61" s="156"/>
      <c r="O61" s="27"/>
      <c r="P61" s="27"/>
      <c r="Q61" s="27"/>
      <c r="R61" s="27"/>
      <c r="S61" s="27"/>
      <c r="T61" s="27"/>
      <c r="U61" s="27"/>
      <c r="V61" s="26"/>
      <c r="W61" s="150"/>
      <c r="X61" s="166"/>
      <c r="Y61" s="166"/>
      <c r="Z61" s="167"/>
      <c r="AA61" s="167"/>
      <c r="AB61" s="168"/>
      <c r="AC61" s="167"/>
      <c r="AD61" s="169"/>
      <c r="AE61" s="169"/>
      <c r="AF61" s="169"/>
      <c r="AG61" s="169"/>
      <c r="AH61" s="167"/>
    </row>
    <row r="62" spans="1:34">
      <c r="A62" s="169"/>
      <c r="B62" s="169"/>
      <c r="C62" s="169"/>
      <c r="D62" s="169"/>
      <c r="E62" s="165"/>
      <c r="F62" s="162"/>
      <c r="G62" s="26"/>
      <c r="H62" s="23"/>
      <c r="I62" s="23"/>
      <c r="J62" s="124"/>
      <c r="K62" s="23"/>
      <c r="L62" s="124"/>
      <c r="M62" s="26"/>
      <c r="N62" s="156"/>
      <c r="O62" s="27"/>
      <c r="P62" s="27"/>
      <c r="Q62" s="27"/>
      <c r="R62" s="27"/>
      <c r="S62" s="27"/>
      <c r="T62" s="27"/>
      <c r="U62" s="27"/>
      <c r="V62" s="26"/>
      <c r="W62" s="150"/>
      <c r="X62" s="166"/>
      <c r="Y62" s="166"/>
      <c r="Z62" s="167"/>
      <c r="AA62" s="167"/>
      <c r="AB62" s="168"/>
      <c r="AC62" s="167"/>
      <c r="AD62" s="169"/>
      <c r="AE62" s="169"/>
      <c r="AF62" s="169"/>
      <c r="AG62" s="169"/>
      <c r="AH62" s="167"/>
    </row>
    <row r="63" spans="1:34">
      <c r="A63" s="169"/>
      <c r="B63" s="169"/>
      <c r="C63" s="169"/>
      <c r="D63" s="169"/>
      <c r="E63" s="165"/>
      <c r="F63" s="162"/>
      <c r="G63" s="26"/>
      <c r="H63" s="23"/>
      <c r="I63" s="23"/>
      <c r="J63" s="124"/>
      <c r="K63" s="23"/>
      <c r="L63" s="124"/>
      <c r="M63" s="26"/>
      <c r="N63" s="156"/>
      <c r="O63" s="27"/>
      <c r="P63" s="27"/>
      <c r="Q63" s="27"/>
      <c r="R63" s="27"/>
      <c r="S63" s="27"/>
      <c r="T63" s="27"/>
      <c r="U63" s="27"/>
      <c r="V63" s="26"/>
      <c r="W63" s="150"/>
      <c r="X63" s="166"/>
      <c r="Y63" s="166"/>
      <c r="Z63" s="167"/>
      <c r="AA63" s="167"/>
      <c r="AB63" s="168"/>
      <c r="AC63" s="167"/>
      <c r="AD63" s="169"/>
      <c r="AE63" s="169"/>
      <c r="AF63" s="169"/>
      <c r="AG63" s="169"/>
      <c r="AH63" s="167"/>
    </row>
    <row r="64" spans="1:34">
      <c r="A64" s="169"/>
      <c r="B64" s="169"/>
      <c r="C64" s="169"/>
      <c r="D64" s="169"/>
      <c r="E64" s="165"/>
      <c r="F64" s="162"/>
      <c r="G64" s="26"/>
      <c r="H64" s="23"/>
      <c r="I64" s="23"/>
      <c r="J64" s="124"/>
      <c r="K64" s="23"/>
      <c r="L64" s="124"/>
      <c r="M64" s="26"/>
      <c r="N64" s="156"/>
      <c r="O64" s="27"/>
      <c r="P64" s="27"/>
      <c r="Q64" s="27"/>
      <c r="R64" s="27"/>
      <c r="S64" s="27"/>
      <c r="T64" s="27"/>
      <c r="U64" s="27"/>
      <c r="V64" s="26"/>
      <c r="W64" s="150"/>
      <c r="X64" s="166"/>
      <c r="Y64" s="166"/>
      <c r="Z64" s="167"/>
      <c r="AA64" s="167"/>
      <c r="AB64" s="168"/>
      <c r="AC64" s="167"/>
      <c r="AD64" s="169"/>
      <c r="AE64" s="169"/>
      <c r="AF64" s="169"/>
      <c r="AG64" s="169"/>
      <c r="AH64" s="167"/>
    </row>
    <row r="65" spans="1:34">
      <c r="A65" s="169"/>
      <c r="B65" s="169"/>
      <c r="C65" s="169"/>
      <c r="D65" s="169"/>
      <c r="E65" s="165"/>
      <c r="F65" s="162"/>
      <c r="G65" s="26"/>
      <c r="H65" s="23"/>
      <c r="I65" s="23"/>
      <c r="J65" s="124"/>
      <c r="K65" s="23"/>
      <c r="L65" s="124"/>
      <c r="M65" s="26"/>
      <c r="N65" s="156"/>
      <c r="O65" s="27"/>
      <c r="P65" s="27"/>
      <c r="Q65" s="27"/>
      <c r="R65" s="27"/>
      <c r="S65" s="27"/>
      <c r="T65" s="27"/>
      <c r="U65" s="27"/>
      <c r="V65" s="26"/>
      <c r="W65" s="150"/>
      <c r="X65" s="166"/>
      <c r="Y65" s="166"/>
      <c r="Z65" s="167"/>
      <c r="AA65" s="167"/>
      <c r="AB65" s="168"/>
      <c r="AC65" s="167"/>
      <c r="AD65" s="169"/>
      <c r="AE65" s="169"/>
      <c r="AF65" s="169"/>
      <c r="AG65" s="169"/>
      <c r="AH65" s="167"/>
    </row>
    <row r="66" spans="1:34">
      <c r="A66" s="169"/>
      <c r="B66" s="169"/>
      <c r="C66" s="169"/>
      <c r="D66" s="169"/>
      <c r="E66" s="165"/>
      <c r="F66" s="162"/>
      <c r="G66" s="26"/>
      <c r="H66" s="23"/>
      <c r="I66" s="23"/>
      <c r="J66" s="124"/>
      <c r="K66" s="23"/>
      <c r="L66" s="124"/>
      <c r="M66" s="26"/>
      <c r="N66" s="156"/>
      <c r="O66" s="27"/>
      <c r="P66" s="27"/>
      <c r="Q66" s="27"/>
      <c r="R66" s="27"/>
      <c r="S66" s="27"/>
      <c r="T66" s="27"/>
      <c r="U66" s="27"/>
      <c r="V66" s="26"/>
      <c r="W66" s="150"/>
      <c r="X66" s="166"/>
      <c r="Y66" s="166"/>
      <c r="Z66" s="167"/>
      <c r="AA66" s="167"/>
      <c r="AB66" s="168"/>
      <c r="AC66" s="167"/>
      <c r="AD66" s="169"/>
      <c r="AE66" s="169"/>
      <c r="AF66" s="169"/>
      <c r="AG66" s="169"/>
      <c r="AH66" s="167"/>
    </row>
    <row r="67" spans="1:34">
      <c r="A67" s="169"/>
      <c r="B67" s="169"/>
      <c r="C67" s="169"/>
      <c r="D67" s="169"/>
      <c r="E67" s="165"/>
      <c r="F67" s="162"/>
      <c r="G67" s="26"/>
      <c r="H67" s="23"/>
      <c r="I67" s="23"/>
      <c r="J67" s="124"/>
      <c r="K67" s="23"/>
      <c r="L67" s="124"/>
      <c r="M67" s="26"/>
      <c r="N67" s="156"/>
      <c r="O67" s="27"/>
      <c r="P67" s="27"/>
      <c r="Q67" s="27"/>
      <c r="R67" s="27"/>
      <c r="S67" s="27"/>
      <c r="T67" s="27"/>
      <c r="U67" s="27"/>
      <c r="V67" s="26"/>
      <c r="W67" s="150"/>
      <c r="X67" s="166"/>
      <c r="Y67" s="166"/>
      <c r="Z67" s="167"/>
      <c r="AA67" s="167"/>
      <c r="AB67" s="168"/>
      <c r="AC67" s="167"/>
      <c r="AD67" s="169"/>
      <c r="AE67" s="169"/>
      <c r="AF67" s="169"/>
      <c r="AG67" s="169"/>
      <c r="AH67" s="167"/>
    </row>
    <row r="68" spans="1:34">
      <c r="A68" s="169"/>
      <c r="B68" s="169"/>
      <c r="C68" s="169"/>
      <c r="D68" s="169"/>
      <c r="E68" s="165"/>
      <c r="F68" s="162"/>
      <c r="G68" s="26"/>
      <c r="H68" s="23"/>
      <c r="I68" s="23"/>
      <c r="J68" s="124"/>
      <c r="K68" s="23"/>
      <c r="L68" s="124"/>
      <c r="M68" s="26"/>
      <c r="N68" s="156"/>
      <c r="O68" s="27"/>
      <c r="P68" s="27"/>
      <c r="Q68" s="27"/>
      <c r="R68" s="27"/>
      <c r="S68" s="27"/>
      <c r="T68" s="27"/>
      <c r="U68" s="27"/>
      <c r="V68" s="26"/>
      <c r="W68" s="150"/>
      <c r="X68" s="166"/>
      <c r="Y68" s="166"/>
      <c r="Z68" s="167"/>
      <c r="AA68" s="167"/>
      <c r="AB68" s="168"/>
      <c r="AC68" s="167"/>
      <c r="AD68" s="169"/>
      <c r="AE68" s="169"/>
      <c r="AF68" s="169"/>
      <c r="AG68" s="169"/>
      <c r="AH68" s="167"/>
    </row>
    <row r="69" spans="1:34">
      <c r="A69" s="169"/>
      <c r="B69" s="169"/>
      <c r="C69" s="169"/>
      <c r="D69" s="169"/>
      <c r="E69" s="165"/>
      <c r="F69" s="162"/>
      <c r="G69" s="26"/>
      <c r="H69" s="23"/>
      <c r="I69" s="23"/>
      <c r="J69" s="124"/>
      <c r="K69" s="23"/>
      <c r="L69" s="124"/>
      <c r="M69" s="26"/>
      <c r="N69" s="156"/>
      <c r="O69" s="27"/>
      <c r="P69" s="27"/>
      <c r="Q69" s="27"/>
      <c r="R69" s="27"/>
      <c r="S69" s="27"/>
      <c r="T69" s="27"/>
      <c r="U69" s="27"/>
      <c r="V69" s="26"/>
      <c r="W69" s="150"/>
      <c r="X69" s="166"/>
      <c r="Y69" s="166"/>
      <c r="Z69" s="167"/>
      <c r="AA69" s="167"/>
      <c r="AB69" s="168"/>
      <c r="AC69" s="167"/>
      <c r="AD69" s="169"/>
      <c r="AE69" s="169"/>
      <c r="AF69" s="169"/>
      <c r="AG69" s="169"/>
      <c r="AH69" s="167"/>
    </row>
    <row r="70" spans="1:34">
      <c r="A70" s="169"/>
      <c r="B70" s="169"/>
      <c r="C70" s="169"/>
      <c r="D70" s="169"/>
      <c r="E70" s="165"/>
      <c r="F70" s="162"/>
      <c r="G70" s="26"/>
      <c r="H70" s="23"/>
      <c r="I70" s="23"/>
      <c r="J70" s="124"/>
      <c r="K70" s="23"/>
      <c r="L70" s="124"/>
      <c r="M70" s="26"/>
      <c r="N70" s="156"/>
      <c r="O70" s="27"/>
      <c r="P70" s="27"/>
      <c r="Q70" s="27"/>
      <c r="R70" s="27"/>
      <c r="S70" s="27"/>
      <c r="T70" s="27"/>
      <c r="U70" s="27"/>
      <c r="V70" s="26"/>
      <c r="W70" s="150"/>
      <c r="X70" s="166"/>
      <c r="Y70" s="166"/>
      <c r="Z70" s="167"/>
      <c r="AA70" s="167"/>
      <c r="AB70" s="168"/>
      <c r="AC70" s="167"/>
      <c r="AD70" s="169"/>
      <c r="AE70" s="169"/>
      <c r="AF70" s="169"/>
      <c r="AG70" s="169"/>
      <c r="AH70" s="167"/>
    </row>
    <row r="71" spans="1:34">
      <c r="A71" s="169"/>
      <c r="B71" s="169"/>
      <c r="C71" s="169"/>
      <c r="D71" s="169"/>
      <c r="E71" s="165"/>
      <c r="F71" s="162"/>
      <c r="G71" s="26"/>
      <c r="H71" s="23"/>
      <c r="I71" s="23"/>
      <c r="J71" s="124"/>
      <c r="K71" s="23"/>
      <c r="L71" s="124"/>
      <c r="M71" s="26"/>
      <c r="N71" s="156"/>
      <c r="O71" s="27"/>
      <c r="P71" s="27"/>
      <c r="Q71" s="27"/>
      <c r="R71" s="27"/>
      <c r="S71" s="27"/>
      <c r="T71" s="27"/>
      <c r="U71" s="27"/>
      <c r="V71" s="26"/>
      <c r="W71" s="150"/>
      <c r="X71" s="166"/>
      <c r="Y71" s="166"/>
      <c r="Z71" s="167"/>
      <c r="AA71" s="167"/>
      <c r="AB71" s="168"/>
      <c r="AC71" s="167"/>
      <c r="AD71" s="169"/>
      <c r="AE71" s="169"/>
      <c r="AF71" s="169"/>
      <c r="AG71" s="169"/>
      <c r="AH71" s="167"/>
    </row>
    <row r="72" spans="1:34">
      <c r="A72" s="169"/>
      <c r="B72" s="169"/>
      <c r="C72" s="169"/>
      <c r="D72" s="169"/>
      <c r="E72" s="165"/>
      <c r="F72" s="162"/>
      <c r="G72" s="26"/>
      <c r="H72" s="23"/>
      <c r="I72" s="23"/>
      <c r="J72" s="124"/>
      <c r="K72" s="23"/>
      <c r="L72" s="124"/>
      <c r="M72" s="26"/>
      <c r="N72" s="156"/>
      <c r="O72" s="27"/>
      <c r="P72" s="27"/>
      <c r="Q72" s="27"/>
      <c r="R72" s="27"/>
      <c r="S72" s="27"/>
      <c r="T72" s="27"/>
      <c r="U72" s="27"/>
      <c r="V72" s="26"/>
      <c r="W72" s="150"/>
      <c r="X72" s="166"/>
      <c r="Y72" s="166"/>
      <c r="Z72" s="167"/>
      <c r="AA72" s="167"/>
      <c r="AB72" s="168"/>
      <c r="AC72" s="167"/>
      <c r="AD72" s="169"/>
      <c r="AE72" s="169"/>
      <c r="AF72" s="169"/>
      <c r="AG72" s="169"/>
      <c r="AH72" s="167"/>
    </row>
    <row r="73" spans="1:34">
      <c r="A73" s="169"/>
      <c r="B73" s="169"/>
      <c r="C73" s="169"/>
      <c r="D73" s="169"/>
      <c r="E73" s="165"/>
      <c r="F73" s="162"/>
      <c r="G73" s="26"/>
      <c r="H73" s="23"/>
      <c r="I73" s="23"/>
      <c r="J73" s="124"/>
      <c r="K73" s="23"/>
      <c r="L73" s="124"/>
      <c r="M73" s="26"/>
      <c r="N73" s="156"/>
      <c r="O73" s="27"/>
      <c r="P73" s="27"/>
      <c r="Q73" s="27"/>
      <c r="R73" s="27"/>
      <c r="S73" s="27"/>
      <c r="T73" s="27"/>
      <c r="U73" s="27"/>
      <c r="V73" s="26"/>
      <c r="W73" s="150"/>
      <c r="X73" s="166"/>
      <c r="Y73" s="166"/>
      <c r="Z73" s="167"/>
      <c r="AA73" s="167"/>
      <c r="AB73" s="168"/>
      <c r="AC73" s="167"/>
      <c r="AD73" s="169"/>
      <c r="AE73" s="169"/>
      <c r="AF73" s="169"/>
      <c r="AG73" s="169"/>
      <c r="AH73" s="167"/>
    </row>
    <row r="74" spans="1:34">
      <c r="A74" s="169"/>
      <c r="B74" s="169"/>
      <c r="C74" s="169"/>
      <c r="D74" s="169"/>
      <c r="E74" s="165"/>
      <c r="F74" s="162"/>
      <c r="G74" s="26"/>
      <c r="H74" s="23"/>
      <c r="I74" s="23"/>
      <c r="J74" s="124"/>
      <c r="K74" s="23"/>
      <c r="L74" s="124"/>
      <c r="M74" s="26"/>
      <c r="N74" s="156"/>
      <c r="O74" s="27"/>
      <c r="P74" s="27"/>
      <c r="Q74" s="27"/>
      <c r="R74" s="27"/>
      <c r="S74" s="27"/>
      <c r="T74" s="27"/>
      <c r="U74" s="27"/>
      <c r="V74" s="26"/>
      <c r="W74" s="150"/>
      <c r="X74" s="166"/>
      <c r="Y74" s="166"/>
      <c r="Z74" s="167"/>
      <c r="AA74" s="167"/>
      <c r="AB74" s="168"/>
      <c r="AC74" s="167"/>
      <c r="AD74" s="169"/>
      <c r="AE74" s="169"/>
      <c r="AF74" s="169"/>
      <c r="AG74" s="169"/>
      <c r="AH74" s="167"/>
    </row>
    <row r="75" spans="1:34">
      <c r="A75" s="169"/>
      <c r="B75" s="169"/>
      <c r="C75" s="169"/>
      <c r="D75" s="169"/>
      <c r="E75" s="165"/>
      <c r="F75" s="162"/>
      <c r="G75" s="26"/>
      <c r="H75" s="23"/>
      <c r="I75" s="23"/>
      <c r="J75" s="124"/>
      <c r="K75" s="23"/>
      <c r="L75" s="124"/>
      <c r="M75" s="26"/>
      <c r="N75" s="156"/>
      <c r="O75" s="27"/>
      <c r="P75" s="27"/>
      <c r="Q75" s="27"/>
      <c r="R75" s="27"/>
      <c r="S75" s="27"/>
      <c r="T75" s="27"/>
      <c r="U75" s="27"/>
      <c r="V75" s="26"/>
      <c r="W75" s="150"/>
      <c r="X75" s="166"/>
      <c r="Y75" s="166"/>
      <c r="Z75" s="167"/>
      <c r="AA75" s="167"/>
      <c r="AB75" s="168"/>
      <c r="AC75" s="167"/>
      <c r="AD75" s="169"/>
      <c r="AE75" s="169"/>
      <c r="AF75" s="169"/>
      <c r="AG75" s="169"/>
      <c r="AH75" s="167"/>
    </row>
    <row r="76" spans="1:34">
      <c r="A76" s="169"/>
      <c r="B76" s="169"/>
      <c r="C76" s="169"/>
      <c r="D76" s="169"/>
      <c r="E76" s="165"/>
      <c r="F76" s="162"/>
      <c r="G76" s="26"/>
      <c r="H76" s="23"/>
      <c r="I76" s="23"/>
      <c r="J76" s="124"/>
      <c r="K76" s="23"/>
      <c r="L76" s="124"/>
      <c r="M76" s="26"/>
      <c r="N76" s="156"/>
      <c r="O76" s="27"/>
      <c r="P76" s="27"/>
      <c r="Q76" s="27"/>
      <c r="R76" s="27"/>
      <c r="S76" s="27"/>
      <c r="T76" s="27"/>
      <c r="U76" s="27"/>
      <c r="V76" s="26"/>
      <c r="W76" s="150"/>
      <c r="X76" s="166"/>
      <c r="Y76" s="166"/>
      <c r="Z76" s="167"/>
      <c r="AA76" s="167"/>
      <c r="AB76" s="168"/>
      <c r="AC76" s="167"/>
      <c r="AD76" s="169"/>
      <c r="AE76" s="169"/>
      <c r="AF76" s="169"/>
      <c r="AG76" s="169"/>
      <c r="AH76" s="167"/>
    </row>
    <row r="77" spans="1:34">
      <c r="A77" s="169"/>
      <c r="B77" s="169"/>
      <c r="C77" s="169"/>
      <c r="D77" s="169"/>
      <c r="E77" s="165"/>
      <c r="F77" s="162"/>
      <c r="G77" s="26"/>
      <c r="H77" s="23"/>
      <c r="I77" s="23"/>
      <c r="J77" s="124"/>
      <c r="K77" s="23"/>
      <c r="L77" s="124"/>
      <c r="M77" s="26"/>
      <c r="N77" s="156"/>
      <c r="O77" s="27"/>
      <c r="P77" s="27"/>
      <c r="Q77" s="27"/>
      <c r="R77" s="27"/>
      <c r="S77" s="27"/>
      <c r="T77" s="27"/>
      <c r="U77" s="27"/>
      <c r="V77" s="26"/>
      <c r="W77" s="150"/>
      <c r="X77" s="166"/>
      <c r="Y77" s="166"/>
      <c r="Z77" s="167"/>
      <c r="AA77" s="167"/>
      <c r="AB77" s="168"/>
      <c r="AC77" s="167"/>
      <c r="AD77" s="169"/>
      <c r="AE77" s="169"/>
      <c r="AF77" s="169"/>
      <c r="AG77" s="169"/>
      <c r="AH77" s="167"/>
    </row>
    <row r="78" spans="1:34">
      <c r="A78" s="169"/>
      <c r="B78" s="169"/>
      <c r="C78" s="169"/>
      <c r="D78" s="169"/>
      <c r="E78" s="165"/>
      <c r="F78" s="162"/>
      <c r="G78" s="26"/>
      <c r="H78" s="23"/>
      <c r="I78" s="23"/>
      <c r="J78" s="124"/>
      <c r="K78" s="23"/>
      <c r="L78" s="124"/>
      <c r="M78" s="26"/>
      <c r="N78" s="156"/>
      <c r="O78" s="27"/>
      <c r="P78" s="27"/>
      <c r="Q78" s="27"/>
      <c r="R78" s="27"/>
      <c r="S78" s="27"/>
      <c r="T78" s="27"/>
      <c r="U78" s="27"/>
      <c r="V78" s="26"/>
      <c r="W78" s="150"/>
      <c r="X78" s="166"/>
      <c r="Y78" s="166"/>
      <c r="Z78" s="167"/>
      <c r="AA78" s="167"/>
      <c r="AB78" s="168"/>
      <c r="AC78" s="167"/>
      <c r="AD78" s="169"/>
      <c r="AE78" s="169"/>
      <c r="AF78" s="169"/>
      <c r="AG78" s="169"/>
      <c r="AH78" s="167"/>
    </row>
    <row r="79" spans="1:34">
      <c r="A79" s="169"/>
      <c r="B79" s="169"/>
      <c r="C79" s="169"/>
      <c r="D79" s="169"/>
      <c r="E79" s="165"/>
      <c r="F79" s="162"/>
      <c r="G79" s="26"/>
      <c r="H79" s="23"/>
      <c r="I79" s="23"/>
      <c r="J79" s="124"/>
      <c r="K79" s="23"/>
      <c r="L79" s="124"/>
      <c r="M79" s="26"/>
      <c r="N79" s="156"/>
      <c r="O79" s="27"/>
      <c r="P79" s="27"/>
      <c r="Q79" s="27"/>
      <c r="R79" s="27"/>
      <c r="S79" s="27"/>
      <c r="T79" s="27"/>
      <c r="U79" s="27"/>
      <c r="V79" s="26"/>
      <c r="W79" s="150"/>
      <c r="X79" s="166"/>
      <c r="Y79" s="166"/>
      <c r="Z79" s="167"/>
      <c r="AA79" s="167"/>
      <c r="AB79" s="168"/>
      <c r="AC79" s="167"/>
      <c r="AD79" s="169"/>
      <c r="AE79" s="169"/>
      <c r="AF79" s="169"/>
      <c r="AG79" s="169"/>
      <c r="AH79" s="167"/>
    </row>
    <row r="80" spans="1:34">
      <c r="A80" s="169"/>
      <c r="B80" s="169"/>
      <c r="C80" s="169"/>
      <c r="D80" s="169"/>
      <c r="E80" s="165"/>
      <c r="F80" s="162"/>
      <c r="G80" s="26"/>
      <c r="H80" s="23"/>
      <c r="I80" s="23"/>
      <c r="J80" s="124"/>
      <c r="K80" s="23"/>
      <c r="L80" s="124"/>
      <c r="M80" s="26"/>
      <c r="N80" s="156"/>
      <c r="O80" s="27"/>
      <c r="P80" s="27"/>
      <c r="Q80" s="27"/>
      <c r="R80" s="27"/>
      <c r="S80" s="27"/>
      <c r="T80" s="27"/>
      <c r="U80" s="27"/>
      <c r="V80" s="26"/>
      <c r="W80" s="150"/>
      <c r="X80" s="166"/>
      <c r="Y80" s="166"/>
      <c r="Z80" s="167"/>
      <c r="AA80" s="167"/>
      <c r="AB80" s="168"/>
      <c r="AC80" s="167"/>
      <c r="AD80" s="169"/>
      <c r="AE80" s="169"/>
      <c r="AF80" s="169"/>
      <c r="AG80" s="169"/>
      <c r="AH80" s="167"/>
    </row>
    <row r="81" spans="1:34">
      <c r="A81" s="169"/>
      <c r="B81" s="169"/>
      <c r="C81" s="169"/>
      <c r="D81" s="169"/>
      <c r="E81" s="165"/>
      <c r="F81" s="162"/>
      <c r="G81" s="26"/>
      <c r="H81" s="23"/>
      <c r="I81" s="23"/>
      <c r="J81" s="124"/>
      <c r="K81" s="23"/>
      <c r="L81" s="124"/>
      <c r="M81" s="26"/>
      <c r="N81" s="156"/>
      <c r="O81" s="27"/>
      <c r="P81" s="27"/>
      <c r="Q81" s="27"/>
      <c r="R81" s="27"/>
      <c r="S81" s="27"/>
      <c r="T81" s="27"/>
      <c r="U81" s="27"/>
      <c r="V81" s="26"/>
      <c r="W81" s="150"/>
      <c r="X81" s="166"/>
      <c r="Y81" s="166"/>
      <c r="Z81" s="167"/>
      <c r="AA81" s="167"/>
      <c r="AB81" s="168"/>
      <c r="AC81" s="167"/>
      <c r="AD81" s="169"/>
      <c r="AE81" s="169"/>
      <c r="AF81" s="169"/>
      <c r="AG81" s="169"/>
      <c r="AH81" s="167"/>
    </row>
    <row r="82" spans="1:34">
      <c r="A82" s="169"/>
      <c r="B82" s="169"/>
      <c r="C82" s="169"/>
      <c r="D82" s="169"/>
      <c r="E82" s="165"/>
      <c r="F82" s="162"/>
      <c r="G82" s="26"/>
      <c r="H82" s="23"/>
      <c r="I82" s="23"/>
      <c r="J82" s="124"/>
      <c r="K82" s="23"/>
      <c r="L82" s="124"/>
      <c r="M82" s="26"/>
      <c r="N82" s="156"/>
      <c r="O82" s="27"/>
      <c r="P82" s="27"/>
      <c r="Q82" s="27"/>
      <c r="R82" s="27"/>
      <c r="S82" s="27"/>
      <c r="T82" s="27"/>
      <c r="U82" s="27"/>
      <c r="V82" s="26"/>
      <c r="W82" s="150"/>
      <c r="X82" s="166"/>
      <c r="Y82" s="166"/>
      <c r="Z82" s="167"/>
      <c r="AA82" s="167"/>
      <c r="AB82" s="168"/>
      <c r="AC82" s="167"/>
      <c r="AD82" s="169"/>
      <c r="AE82" s="169"/>
      <c r="AF82" s="169"/>
      <c r="AG82" s="169"/>
      <c r="AH82" s="167"/>
    </row>
    <row r="83" spans="1:34">
      <c r="A83" s="169"/>
      <c r="B83" s="169"/>
      <c r="C83" s="169"/>
      <c r="D83" s="169"/>
      <c r="E83" s="165"/>
      <c r="F83" s="162"/>
      <c r="G83" s="26"/>
      <c r="H83" s="23"/>
      <c r="I83" s="23"/>
      <c r="J83" s="124"/>
      <c r="K83" s="23"/>
      <c r="L83" s="124"/>
      <c r="M83" s="26"/>
      <c r="N83" s="156"/>
      <c r="O83" s="27"/>
      <c r="P83" s="27"/>
      <c r="Q83" s="27"/>
      <c r="R83" s="27"/>
      <c r="S83" s="27"/>
      <c r="T83" s="27"/>
      <c r="U83" s="27"/>
      <c r="V83" s="26"/>
      <c r="W83" s="150"/>
      <c r="X83" s="166"/>
      <c r="Y83" s="166"/>
      <c r="Z83" s="167"/>
      <c r="AA83" s="167"/>
      <c r="AB83" s="168"/>
      <c r="AC83" s="167"/>
      <c r="AD83" s="169"/>
      <c r="AE83" s="169"/>
      <c r="AF83" s="169"/>
      <c r="AG83" s="169"/>
      <c r="AH83" s="167"/>
    </row>
    <row r="84" spans="1:34">
      <c r="A84" s="169"/>
      <c r="B84" s="169"/>
      <c r="C84" s="169"/>
      <c r="D84" s="169"/>
      <c r="E84" s="165"/>
      <c r="F84" s="162"/>
      <c r="G84" s="26"/>
      <c r="H84" s="23"/>
      <c r="I84" s="23"/>
      <c r="J84" s="124"/>
      <c r="K84" s="23"/>
      <c r="L84" s="124"/>
      <c r="M84" s="26"/>
      <c r="N84" s="156"/>
      <c r="O84" s="27"/>
      <c r="P84" s="27"/>
      <c r="Q84" s="27"/>
      <c r="R84" s="27"/>
      <c r="S84" s="27"/>
      <c r="T84" s="27"/>
      <c r="U84" s="27"/>
      <c r="V84" s="26"/>
      <c r="W84" s="150"/>
      <c r="X84" s="166"/>
      <c r="Y84" s="166"/>
      <c r="Z84" s="167"/>
      <c r="AA84" s="167"/>
      <c r="AB84" s="168"/>
      <c r="AC84" s="167"/>
      <c r="AD84" s="169"/>
      <c r="AE84" s="169"/>
      <c r="AF84" s="169"/>
      <c r="AG84" s="169"/>
      <c r="AH84" s="167"/>
    </row>
    <row r="85" spans="1:34">
      <c r="A85" s="169"/>
      <c r="B85" s="169"/>
      <c r="C85" s="169"/>
      <c r="D85" s="169"/>
      <c r="E85" s="165"/>
      <c r="F85" s="162"/>
      <c r="G85" s="26"/>
      <c r="H85" s="23"/>
      <c r="I85" s="23"/>
      <c r="J85" s="124"/>
      <c r="K85" s="23"/>
      <c r="L85" s="124"/>
      <c r="M85" s="26"/>
      <c r="N85" s="156"/>
      <c r="O85" s="27"/>
      <c r="P85" s="27"/>
      <c r="Q85" s="27"/>
      <c r="R85" s="27"/>
      <c r="S85" s="27"/>
      <c r="T85" s="27"/>
      <c r="U85" s="27"/>
      <c r="V85" s="26"/>
      <c r="W85" s="150"/>
      <c r="X85" s="166"/>
      <c r="Y85" s="166"/>
      <c r="Z85" s="167"/>
      <c r="AA85" s="167"/>
      <c r="AB85" s="168"/>
      <c r="AC85" s="167"/>
      <c r="AD85" s="169"/>
      <c r="AE85" s="169"/>
      <c r="AF85" s="169"/>
      <c r="AG85" s="169"/>
      <c r="AH85" s="167"/>
    </row>
    <row r="86" spans="1:34">
      <c r="A86" s="169"/>
      <c r="B86" s="169"/>
      <c r="C86" s="169"/>
      <c r="D86" s="169"/>
      <c r="E86" s="165"/>
      <c r="F86" s="162"/>
      <c r="G86" s="26"/>
      <c r="H86" s="23"/>
      <c r="I86" s="23"/>
      <c r="J86" s="124"/>
      <c r="K86" s="23"/>
      <c r="L86" s="124"/>
      <c r="M86" s="26"/>
      <c r="N86" s="156"/>
      <c r="O86" s="27"/>
      <c r="P86" s="27"/>
      <c r="Q86" s="27"/>
      <c r="R86" s="27"/>
      <c r="S86" s="27"/>
      <c r="T86" s="27"/>
      <c r="U86" s="27"/>
      <c r="V86" s="26"/>
      <c r="W86" s="150"/>
      <c r="X86" s="166"/>
      <c r="Y86" s="166"/>
      <c r="Z86" s="167"/>
      <c r="AA86" s="167"/>
      <c r="AB86" s="168"/>
      <c r="AC86" s="167"/>
      <c r="AD86" s="169"/>
      <c r="AE86" s="169"/>
      <c r="AF86" s="169"/>
      <c r="AG86" s="169"/>
      <c r="AH86" s="167"/>
    </row>
    <row r="87" spans="1:34">
      <c r="A87" s="169"/>
      <c r="B87" s="169"/>
      <c r="C87" s="169"/>
      <c r="D87" s="169"/>
      <c r="E87" s="165"/>
      <c r="F87" s="162"/>
      <c r="G87" s="26"/>
      <c r="H87" s="23"/>
      <c r="I87" s="23"/>
      <c r="J87" s="124"/>
      <c r="K87" s="23"/>
      <c r="L87" s="124"/>
      <c r="M87" s="26"/>
      <c r="N87" s="156"/>
      <c r="O87" s="27"/>
      <c r="P87" s="27"/>
      <c r="Q87" s="27"/>
      <c r="R87" s="27"/>
      <c r="S87" s="27"/>
      <c r="T87" s="27"/>
      <c r="U87" s="27"/>
      <c r="V87" s="26"/>
      <c r="W87" s="150"/>
      <c r="X87" s="166"/>
      <c r="Y87" s="166"/>
      <c r="Z87" s="167"/>
      <c r="AA87" s="167"/>
      <c r="AB87" s="168"/>
      <c r="AC87" s="167"/>
      <c r="AD87" s="169"/>
      <c r="AE87" s="169"/>
      <c r="AF87" s="169"/>
      <c r="AG87" s="169"/>
      <c r="AH87" s="167"/>
    </row>
    <row r="88" spans="1:34">
      <c r="A88" s="169"/>
      <c r="B88" s="169"/>
      <c r="C88" s="169"/>
      <c r="D88" s="169"/>
      <c r="E88" s="165"/>
      <c r="F88" s="162"/>
      <c r="G88" s="26"/>
      <c r="H88" s="23"/>
      <c r="I88" s="23"/>
      <c r="J88" s="124"/>
      <c r="K88" s="23"/>
      <c r="L88" s="124"/>
      <c r="M88" s="26"/>
      <c r="N88" s="156"/>
      <c r="O88" s="27"/>
      <c r="P88" s="27"/>
      <c r="Q88" s="27"/>
      <c r="R88" s="27"/>
      <c r="S88" s="27"/>
      <c r="T88" s="27"/>
      <c r="U88" s="27"/>
      <c r="V88" s="26"/>
      <c r="W88" s="150"/>
      <c r="X88" s="166"/>
      <c r="Y88" s="166"/>
      <c r="Z88" s="167"/>
      <c r="AA88" s="167"/>
      <c r="AB88" s="168"/>
      <c r="AC88" s="167"/>
      <c r="AD88" s="169"/>
      <c r="AE88" s="169"/>
      <c r="AF88" s="169"/>
      <c r="AG88" s="169"/>
      <c r="AH88" s="167"/>
    </row>
    <row r="89" spans="1:34">
      <c r="A89" s="169"/>
      <c r="B89" s="169"/>
      <c r="C89" s="169"/>
      <c r="D89" s="169"/>
      <c r="E89" s="165"/>
      <c r="F89" s="162"/>
      <c r="G89" s="26"/>
      <c r="H89" s="23"/>
      <c r="I89" s="23"/>
      <c r="J89" s="124"/>
      <c r="K89" s="23"/>
      <c r="L89" s="124"/>
      <c r="M89" s="26"/>
      <c r="N89" s="156"/>
      <c r="O89" s="27"/>
      <c r="P89" s="27"/>
      <c r="Q89" s="27"/>
      <c r="R89" s="27"/>
      <c r="S89" s="27"/>
      <c r="T89" s="27"/>
      <c r="U89" s="27"/>
      <c r="V89" s="26"/>
      <c r="W89" s="150"/>
      <c r="X89" s="166"/>
      <c r="Y89" s="166"/>
      <c r="Z89" s="167"/>
      <c r="AA89" s="167"/>
      <c r="AB89" s="168"/>
      <c r="AC89" s="167"/>
      <c r="AD89" s="169"/>
      <c r="AE89" s="169"/>
      <c r="AF89" s="169"/>
      <c r="AG89" s="169"/>
      <c r="AH89" s="167"/>
    </row>
    <row r="90" spans="1:34">
      <c r="A90" s="169"/>
      <c r="B90" s="169"/>
      <c r="C90" s="169"/>
      <c r="D90" s="169"/>
      <c r="E90" s="165"/>
      <c r="F90" s="162"/>
      <c r="G90" s="26"/>
      <c r="H90" s="23"/>
      <c r="I90" s="23"/>
      <c r="J90" s="124"/>
      <c r="K90" s="23"/>
      <c r="L90" s="124"/>
      <c r="M90" s="26"/>
      <c r="N90" s="156"/>
      <c r="O90" s="27"/>
      <c r="P90" s="27"/>
      <c r="Q90" s="27"/>
      <c r="R90" s="27"/>
      <c r="S90" s="27"/>
      <c r="T90" s="27"/>
      <c r="U90" s="27"/>
      <c r="V90" s="26"/>
      <c r="W90" s="150"/>
      <c r="X90" s="166"/>
      <c r="Y90" s="166"/>
      <c r="Z90" s="167"/>
      <c r="AA90" s="167"/>
      <c r="AB90" s="168"/>
      <c r="AC90" s="167"/>
      <c r="AD90" s="169"/>
      <c r="AE90" s="169"/>
      <c r="AF90" s="169"/>
      <c r="AG90" s="169"/>
      <c r="AH90" s="167"/>
    </row>
    <row r="91" spans="1:34">
      <c r="A91" s="169"/>
      <c r="B91" s="169"/>
      <c r="C91" s="169"/>
      <c r="D91" s="169"/>
      <c r="E91" s="165"/>
      <c r="F91" s="162"/>
      <c r="G91" s="26"/>
      <c r="H91" s="23"/>
      <c r="I91" s="23"/>
      <c r="J91" s="124"/>
      <c r="K91" s="23"/>
      <c r="L91" s="124"/>
      <c r="M91" s="26"/>
      <c r="N91" s="156"/>
      <c r="O91" s="27"/>
      <c r="P91" s="27"/>
      <c r="Q91" s="27"/>
      <c r="R91" s="27"/>
      <c r="S91" s="27"/>
      <c r="T91" s="27"/>
      <c r="U91" s="27"/>
      <c r="V91" s="26"/>
      <c r="W91" s="150"/>
      <c r="X91" s="166"/>
      <c r="Y91" s="166"/>
      <c r="Z91" s="167"/>
      <c r="AA91" s="167"/>
      <c r="AB91" s="168"/>
      <c r="AC91" s="167"/>
      <c r="AD91" s="169"/>
      <c r="AE91" s="169"/>
      <c r="AF91" s="169"/>
      <c r="AG91" s="169"/>
      <c r="AH91" s="167"/>
    </row>
    <row r="92" spans="1:34">
      <c r="A92" s="169"/>
      <c r="B92" s="169"/>
      <c r="C92" s="169"/>
      <c r="D92" s="169"/>
      <c r="E92" s="165"/>
      <c r="F92" s="162"/>
      <c r="G92" s="26"/>
      <c r="H92" s="23"/>
      <c r="I92" s="23"/>
      <c r="J92" s="124"/>
      <c r="K92" s="23"/>
      <c r="L92" s="124"/>
      <c r="M92" s="26"/>
      <c r="N92" s="156"/>
      <c r="O92" s="27"/>
      <c r="P92" s="27"/>
      <c r="Q92" s="27"/>
      <c r="R92" s="27"/>
      <c r="S92" s="27"/>
      <c r="T92" s="27"/>
      <c r="U92" s="27"/>
      <c r="V92" s="26"/>
      <c r="W92" s="150"/>
      <c r="X92" s="166"/>
      <c r="Y92" s="166"/>
      <c r="Z92" s="167"/>
      <c r="AA92" s="167"/>
      <c r="AB92" s="168"/>
      <c r="AC92" s="167"/>
      <c r="AD92" s="169"/>
      <c r="AE92" s="169"/>
      <c r="AF92" s="169"/>
      <c r="AG92" s="169"/>
      <c r="AH92" s="167"/>
    </row>
    <row r="93" spans="1:34">
      <c r="A93" s="169"/>
      <c r="B93" s="169"/>
      <c r="C93" s="169"/>
      <c r="D93" s="169"/>
      <c r="E93" s="165"/>
      <c r="F93" s="162"/>
      <c r="G93" s="26"/>
      <c r="H93" s="23"/>
      <c r="I93" s="23"/>
      <c r="J93" s="124"/>
      <c r="K93" s="23"/>
      <c r="L93" s="124"/>
      <c r="M93" s="26"/>
      <c r="N93" s="156"/>
      <c r="O93" s="27"/>
      <c r="P93" s="27"/>
      <c r="Q93" s="27"/>
      <c r="R93" s="27"/>
      <c r="S93" s="27"/>
      <c r="T93" s="27"/>
      <c r="U93" s="27"/>
      <c r="V93" s="26"/>
      <c r="W93" s="150"/>
      <c r="X93" s="166"/>
      <c r="Y93" s="166"/>
      <c r="Z93" s="167"/>
      <c r="AA93" s="167"/>
      <c r="AB93" s="168"/>
      <c r="AC93" s="167"/>
      <c r="AD93" s="169"/>
      <c r="AE93" s="169"/>
      <c r="AF93" s="169"/>
      <c r="AG93" s="169"/>
      <c r="AH93" s="167"/>
    </row>
    <row r="94" spans="1:34">
      <c r="A94" s="169"/>
      <c r="B94" s="169"/>
      <c r="C94" s="169"/>
      <c r="D94" s="169"/>
      <c r="E94" s="165"/>
      <c r="F94" s="162"/>
      <c r="G94" s="26"/>
      <c r="H94" s="23"/>
      <c r="I94" s="23"/>
      <c r="J94" s="124"/>
      <c r="K94" s="23"/>
      <c r="L94" s="124"/>
      <c r="M94" s="26"/>
      <c r="N94" s="156"/>
      <c r="O94" s="27"/>
      <c r="P94" s="27"/>
      <c r="Q94" s="27"/>
      <c r="R94" s="27"/>
      <c r="S94" s="27"/>
      <c r="T94" s="27"/>
      <c r="U94" s="27"/>
      <c r="V94" s="26"/>
      <c r="W94" s="150"/>
      <c r="X94" s="166"/>
      <c r="Y94" s="166"/>
      <c r="Z94" s="167"/>
      <c r="AA94" s="167"/>
      <c r="AB94" s="168"/>
      <c r="AC94" s="167"/>
      <c r="AD94" s="169"/>
      <c r="AE94" s="169"/>
      <c r="AF94" s="169"/>
      <c r="AG94" s="169"/>
      <c r="AH94" s="167"/>
    </row>
    <row r="95" spans="1:34">
      <c r="A95" s="169"/>
      <c r="B95" s="169"/>
      <c r="C95" s="169"/>
      <c r="D95" s="169"/>
      <c r="E95" s="165"/>
      <c r="F95" s="162"/>
      <c r="G95" s="26"/>
      <c r="H95" s="23"/>
      <c r="I95" s="23"/>
      <c r="J95" s="124"/>
      <c r="K95" s="23"/>
      <c r="L95" s="124"/>
      <c r="M95" s="26"/>
      <c r="N95" s="156"/>
      <c r="O95" s="27"/>
      <c r="P95" s="27"/>
      <c r="Q95" s="27"/>
      <c r="R95" s="27"/>
      <c r="S95" s="27"/>
      <c r="T95" s="27"/>
      <c r="U95" s="27"/>
      <c r="V95" s="26"/>
      <c r="W95" s="150"/>
      <c r="X95" s="166"/>
      <c r="Y95" s="166"/>
      <c r="Z95" s="167"/>
      <c r="AA95" s="167"/>
      <c r="AB95" s="168"/>
      <c r="AC95" s="167"/>
      <c r="AD95" s="169"/>
      <c r="AE95" s="169"/>
      <c r="AF95" s="169"/>
      <c r="AG95" s="169"/>
      <c r="AH95" s="167"/>
    </row>
    <row r="96" spans="1:34">
      <c r="A96" s="169"/>
      <c r="B96" s="169"/>
      <c r="C96" s="169"/>
      <c r="D96" s="169"/>
      <c r="E96" s="165"/>
      <c r="F96" s="162"/>
      <c r="G96" s="26"/>
      <c r="H96" s="23"/>
      <c r="I96" s="23"/>
      <c r="J96" s="124"/>
      <c r="K96" s="23"/>
      <c r="L96" s="124"/>
      <c r="M96" s="26"/>
      <c r="N96" s="156"/>
      <c r="O96" s="27"/>
      <c r="P96" s="27"/>
      <c r="Q96" s="27"/>
      <c r="R96" s="27"/>
      <c r="S96" s="27"/>
      <c r="T96" s="27"/>
      <c r="U96" s="27"/>
      <c r="V96" s="26"/>
      <c r="W96" s="150"/>
      <c r="X96" s="166"/>
      <c r="Y96" s="166"/>
      <c r="Z96" s="167"/>
      <c r="AA96" s="167"/>
      <c r="AB96" s="168"/>
      <c r="AC96" s="167"/>
      <c r="AD96" s="169"/>
      <c r="AE96" s="169"/>
      <c r="AF96" s="169"/>
      <c r="AG96" s="169"/>
      <c r="AH96" s="167"/>
    </row>
    <row r="97" spans="1:34">
      <c r="A97" s="169"/>
      <c r="B97" s="169"/>
      <c r="C97" s="169"/>
      <c r="D97" s="169"/>
      <c r="E97" s="165"/>
      <c r="F97" s="162"/>
      <c r="G97" s="26"/>
      <c r="H97" s="23"/>
      <c r="I97" s="23"/>
      <c r="J97" s="124"/>
      <c r="K97" s="23"/>
      <c r="L97" s="124"/>
      <c r="M97" s="26"/>
      <c r="N97" s="156"/>
      <c r="O97" s="27"/>
      <c r="P97" s="27"/>
      <c r="Q97" s="27"/>
      <c r="R97" s="27"/>
      <c r="S97" s="27"/>
      <c r="T97" s="27"/>
      <c r="U97" s="27"/>
      <c r="V97" s="26"/>
      <c r="W97" s="150"/>
      <c r="X97" s="166"/>
      <c r="Y97" s="166"/>
      <c r="Z97" s="167"/>
      <c r="AA97" s="167"/>
      <c r="AB97" s="168"/>
      <c r="AC97" s="167"/>
      <c r="AD97" s="169"/>
      <c r="AE97" s="169"/>
      <c r="AF97" s="169"/>
      <c r="AG97" s="169"/>
      <c r="AH97" s="167"/>
    </row>
    <row r="98" spans="1:34">
      <c r="A98" s="169"/>
      <c r="B98" s="169"/>
      <c r="C98" s="169"/>
      <c r="D98" s="169"/>
      <c r="E98" s="165"/>
      <c r="F98" s="162"/>
      <c r="G98" s="26"/>
      <c r="H98" s="23"/>
      <c r="I98" s="23"/>
      <c r="J98" s="124"/>
      <c r="K98" s="23"/>
      <c r="L98" s="124"/>
      <c r="M98" s="26"/>
      <c r="N98" s="156"/>
      <c r="O98" s="27"/>
      <c r="P98" s="27"/>
      <c r="Q98" s="27"/>
      <c r="R98" s="27"/>
      <c r="S98" s="27"/>
      <c r="T98" s="27"/>
      <c r="U98" s="27"/>
      <c r="V98" s="26"/>
      <c r="W98" s="150"/>
      <c r="X98" s="166"/>
      <c r="Y98" s="166"/>
      <c r="Z98" s="167"/>
      <c r="AA98" s="167"/>
      <c r="AB98" s="168"/>
      <c r="AC98" s="167"/>
      <c r="AD98" s="169"/>
      <c r="AE98" s="169"/>
      <c r="AF98" s="169"/>
      <c r="AG98" s="169"/>
      <c r="AH98" s="167"/>
    </row>
    <row r="99" spans="1:34">
      <c r="A99" s="169"/>
      <c r="B99" s="169"/>
      <c r="C99" s="169"/>
      <c r="D99" s="169"/>
      <c r="E99" s="165"/>
      <c r="F99" s="162"/>
      <c r="G99" s="26"/>
      <c r="H99" s="23"/>
      <c r="I99" s="23"/>
      <c r="J99" s="124"/>
      <c r="K99" s="23"/>
      <c r="L99" s="124"/>
      <c r="M99" s="26"/>
      <c r="N99" s="156"/>
      <c r="O99" s="27"/>
      <c r="P99" s="27"/>
      <c r="Q99" s="27"/>
      <c r="R99" s="27"/>
      <c r="S99" s="27"/>
      <c r="T99" s="27"/>
      <c r="U99" s="27"/>
      <c r="V99" s="26"/>
      <c r="W99" s="150"/>
      <c r="X99" s="166"/>
      <c r="Y99" s="166"/>
      <c r="Z99" s="167"/>
      <c r="AA99" s="167"/>
      <c r="AB99" s="168"/>
      <c r="AC99" s="167"/>
      <c r="AD99" s="169"/>
      <c r="AE99" s="169"/>
      <c r="AF99" s="169"/>
      <c r="AG99" s="169"/>
      <c r="AH99" s="167"/>
    </row>
    <row r="100" spans="1:34">
      <c r="A100" s="169"/>
      <c r="B100" s="169"/>
      <c r="C100" s="169"/>
      <c r="D100" s="169"/>
      <c r="E100" s="165"/>
      <c r="F100" s="162"/>
      <c r="G100" s="26"/>
      <c r="H100" s="23"/>
      <c r="I100" s="23"/>
      <c r="J100" s="124"/>
      <c r="K100" s="23"/>
      <c r="L100" s="124"/>
      <c r="M100" s="26"/>
      <c r="N100" s="156"/>
      <c r="O100" s="27"/>
      <c r="P100" s="27"/>
      <c r="Q100" s="27"/>
      <c r="R100" s="27"/>
      <c r="S100" s="27"/>
      <c r="T100" s="27"/>
      <c r="U100" s="27"/>
      <c r="V100" s="26"/>
      <c r="W100" s="150"/>
      <c r="X100" s="166"/>
      <c r="Y100" s="166"/>
      <c r="Z100" s="167"/>
      <c r="AA100" s="167"/>
      <c r="AB100" s="168"/>
      <c r="AC100" s="167"/>
      <c r="AD100" s="169"/>
      <c r="AE100" s="169"/>
      <c r="AF100" s="169"/>
      <c r="AG100" s="169"/>
      <c r="AH100" s="167"/>
    </row>
    <row r="101" spans="1:34">
      <c r="A101" s="169"/>
      <c r="B101" s="169"/>
      <c r="C101" s="169"/>
      <c r="D101" s="169"/>
      <c r="E101" s="165"/>
      <c r="F101" s="162"/>
      <c r="G101" s="26"/>
      <c r="H101" s="23"/>
      <c r="I101" s="23"/>
      <c r="J101" s="124"/>
      <c r="K101" s="23"/>
      <c r="L101" s="124"/>
      <c r="M101" s="26"/>
      <c r="N101" s="156"/>
      <c r="O101" s="27"/>
      <c r="P101" s="27"/>
      <c r="Q101" s="27"/>
      <c r="R101" s="27"/>
      <c r="S101" s="27"/>
      <c r="T101" s="27"/>
      <c r="U101" s="27"/>
      <c r="V101" s="26"/>
      <c r="W101" s="150"/>
      <c r="X101" s="166"/>
      <c r="Y101" s="166"/>
      <c r="Z101" s="167"/>
      <c r="AA101" s="167"/>
      <c r="AB101" s="168"/>
      <c r="AC101" s="167"/>
      <c r="AD101" s="169"/>
      <c r="AE101" s="169"/>
      <c r="AF101" s="169"/>
      <c r="AG101" s="169"/>
      <c r="AH101" s="167"/>
    </row>
    <row r="102" spans="1:34">
      <c r="A102" s="169"/>
      <c r="B102" s="169"/>
      <c r="C102" s="169"/>
      <c r="D102" s="169"/>
      <c r="E102" s="165"/>
      <c r="F102" s="162"/>
      <c r="G102" s="26"/>
      <c r="H102" s="23"/>
      <c r="I102" s="23"/>
      <c r="J102" s="124"/>
      <c r="K102" s="23"/>
      <c r="L102" s="124"/>
      <c r="M102" s="26"/>
      <c r="N102" s="156"/>
      <c r="O102" s="27"/>
      <c r="P102" s="27"/>
      <c r="Q102" s="27"/>
      <c r="R102" s="27"/>
      <c r="S102" s="27"/>
      <c r="T102" s="27"/>
      <c r="U102" s="27"/>
      <c r="V102" s="26"/>
      <c r="W102" s="150"/>
      <c r="X102" s="166"/>
      <c r="Y102" s="166"/>
      <c r="Z102" s="167"/>
      <c r="AA102" s="167"/>
      <c r="AB102" s="168"/>
      <c r="AC102" s="167"/>
      <c r="AD102" s="169"/>
      <c r="AE102" s="169"/>
      <c r="AF102" s="169"/>
      <c r="AG102" s="169"/>
      <c r="AH102" s="167"/>
    </row>
    <row r="103" spans="1:34">
      <c r="A103" s="169"/>
      <c r="B103" s="169"/>
      <c r="C103" s="169"/>
      <c r="D103" s="169"/>
      <c r="E103" s="165"/>
      <c r="F103" s="162"/>
      <c r="G103" s="26"/>
      <c r="H103" s="23"/>
      <c r="I103" s="23"/>
      <c r="J103" s="124"/>
      <c r="K103" s="23"/>
      <c r="L103" s="124"/>
      <c r="M103" s="26"/>
      <c r="N103" s="156"/>
      <c r="O103" s="27"/>
      <c r="P103" s="27"/>
      <c r="Q103" s="27"/>
      <c r="R103" s="27"/>
      <c r="S103" s="27"/>
      <c r="T103" s="27"/>
      <c r="U103" s="27"/>
      <c r="V103" s="26"/>
      <c r="W103" s="150"/>
      <c r="X103" s="166"/>
      <c r="Y103" s="166"/>
      <c r="Z103" s="167"/>
      <c r="AA103" s="167"/>
      <c r="AB103" s="168"/>
      <c r="AC103" s="167"/>
      <c r="AD103" s="169"/>
      <c r="AE103" s="169"/>
      <c r="AF103" s="169"/>
      <c r="AG103" s="169"/>
      <c r="AH103" s="167"/>
    </row>
    <row r="104" spans="1:34">
      <c r="A104" s="169"/>
      <c r="B104" s="169"/>
      <c r="C104" s="169"/>
      <c r="D104" s="169"/>
      <c r="E104" s="165"/>
      <c r="F104" s="162"/>
      <c r="G104" s="26"/>
      <c r="H104" s="23"/>
      <c r="I104" s="23"/>
      <c r="J104" s="124"/>
      <c r="K104" s="23"/>
      <c r="L104" s="124"/>
      <c r="M104" s="26"/>
      <c r="N104" s="156"/>
      <c r="O104" s="27"/>
      <c r="P104" s="27"/>
      <c r="Q104" s="27"/>
      <c r="R104" s="27"/>
      <c r="S104" s="27"/>
      <c r="T104" s="27"/>
      <c r="U104" s="27"/>
      <c r="V104" s="26"/>
      <c r="W104" s="150"/>
      <c r="X104" s="166"/>
      <c r="Y104" s="166"/>
      <c r="Z104" s="167"/>
      <c r="AA104" s="167"/>
      <c r="AB104" s="168"/>
      <c r="AC104" s="167"/>
      <c r="AD104" s="169"/>
      <c r="AE104" s="169"/>
      <c r="AF104" s="169"/>
      <c r="AG104" s="169"/>
      <c r="AH104" s="167"/>
    </row>
    <row r="105" spans="1:34">
      <c r="A105" s="169"/>
      <c r="B105" s="169"/>
      <c r="C105" s="169"/>
      <c r="D105" s="169"/>
      <c r="E105" s="165"/>
      <c r="F105" s="162"/>
      <c r="G105" s="26"/>
      <c r="H105" s="23"/>
      <c r="I105" s="23"/>
      <c r="J105" s="124"/>
      <c r="K105" s="23"/>
      <c r="L105" s="124"/>
      <c r="M105" s="26"/>
      <c r="N105" s="156"/>
      <c r="O105" s="27"/>
      <c r="P105" s="27"/>
      <c r="Q105" s="27"/>
      <c r="R105" s="27"/>
      <c r="S105" s="27"/>
      <c r="T105" s="27"/>
      <c r="U105" s="27"/>
      <c r="V105" s="26"/>
      <c r="W105" s="150"/>
      <c r="X105" s="166"/>
      <c r="Y105" s="166"/>
      <c r="Z105" s="167"/>
      <c r="AA105" s="167"/>
      <c r="AB105" s="168"/>
      <c r="AC105" s="167"/>
      <c r="AD105" s="169"/>
      <c r="AE105" s="169"/>
      <c r="AF105" s="169"/>
      <c r="AG105" s="169"/>
      <c r="AH105" s="167"/>
    </row>
    <row r="106" spans="1:34">
      <c r="A106" s="169"/>
      <c r="B106" s="169"/>
      <c r="C106" s="169"/>
      <c r="D106" s="169"/>
      <c r="E106" s="165"/>
      <c r="F106" s="162"/>
      <c r="G106" s="26"/>
      <c r="H106" s="23"/>
      <c r="I106" s="23"/>
      <c r="J106" s="124"/>
      <c r="K106" s="23"/>
      <c r="L106" s="124"/>
      <c r="M106" s="26"/>
      <c r="N106" s="156"/>
      <c r="O106" s="27"/>
      <c r="P106" s="27"/>
      <c r="Q106" s="27"/>
      <c r="R106" s="27"/>
      <c r="S106" s="27"/>
      <c r="T106" s="27"/>
      <c r="U106" s="27"/>
      <c r="V106" s="26"/>
      <c r="W106" s="150"/>
      <c r="X106" s="166"/>
      <c r="Y106" s="166"/>
      <c r="Z106" s="167"/>
      <c r="AA106" s="167"/>
      <c r="AB106" s="168"/>
      <c r="AC106" s="167"/>
      <c r="AD106" s="169"/>
      <c r="AE106" s="169"/>
      <c r="AF106" s="169"/>
      <c r="AG106" s="169"/>
      <c r="AH106" s="167"/>
    </row>
    <row r="107" spans="1:34">
      <c r="A107" s="169"/>
      <c r="B107" s="169"/>
      <c r="C107" s="169"/>
      <c r="D107" s="169"/>
      <c r="E107" s="165"/>
      <c r="F107" s="162"/>
      <c r="G107" s="26"/>
      <c r="H107" s="23"/>
      <c r="I107" s="23"/>
      <c r="J107" s="124"/>
      <c r="K107" s="23"/>
      <c r="L107" s="124"/>
      <c r="M107" s="26"/>
      <c r="N107" s="156"/>
      <c r="O107" s="27"/>
      <c r="P107" s="27"/>
      <c r="Q107" s="27"/>
      <c r="R107" s="27"/>
      <c r="S107" s="27"/>
      <c r="T107" s="27"/>
      <c r="U107" s="27"/>
      <c r="V107" s="26"/>
      <c r="W107" s="150"/>
      <c r="X107" s="166"/>
      <c r="Y107" s="166"/>
      <c r="Z107" s="167"/>
      <c r="AA107" s="167"/>
      <c r="AB107" s="168"/>
      <c r="AC107" s="167"/>
      <c r="AD107" s="169"/>
      <c r="AE107" s="169"/>
      <c r="AF107" s="169"/>
      <c r="AG107" s="169"/>
      <c r="AH107" s="167"/>
    </row>
    <row r="108" spans="1:34">
      <c r="A108" s="169"/>
      <c r="B108" s="169"/>
      <c r="C108" s="169"/>
      <c r="D108" s="169"/>
      <c r="E108" s="165"/>
      <c r="F108" s="162"/>
      <c r="G108" s="26"/>
      <c r="H108" s="23"/>
      <c r="I108" s="23"/>
      <c r="J108" s="124"/>
      <c r="K108" s="23"/>
      <c r="L108" s="124"/>
      <c r="M108" s="26"/>
      <c r="N108" s="156"/>
      <c r="O108" s="27"/>
      <c r="P108" s="27"/>
      <c r="Q108" s="27"/>
      <c r="R108" s="27"/>
      <c r="S108" s="27"/>
      <c r="T108" s="27"/>
      <c r="U108" s="27"/>
      <c r="V108" s="26"/>
      <c r="W108" s="150"/>
      <c r="X108" s="166"/>
      <c r="Y108" s="166"/>
      <c r="Z108" s="167"/>
      <c r="AA108" s="167"/>
      <c r="AB108" s="168"/>
      <c r="AC108" s="167"/>
      <c r="AD108" s="169"/>
      <c r="AE108" s="169"/>
      <c r="AF108" s="169"/>
      <c r="AG108" s="169"/>
      <c r="AH108" s="167"/>
    </row>
    <row r="109" spans="1:34">
      <c r="A109" s="169"/>
      <c r="B109" s="169"/>
      <c r="C109" s="169"/>
      <c r="D109" s="169"/>
      <c r="E109" s="165"/>
      <c r="F109" s="162"/>
      <c r="G109" s="26"/>
      <c r="H109" s="23"/>
      <c r="I109" s="23"/>
      <c r="J109" s="124"/>
      <c r="K109" s="23"/>
      <c r="L109" s="124"/>
      <c r="M109" s="26"/>
      <c r="N109" s="156"/>
      <c r="O109" s="27"/>
      <c r="P109" s="27"/>
      <c r="Q109" s="27"/>
      <c r="R109" s="27"/>
      <c r="S109" s="27"/>
      <c r="T109" s="27"/>
      <c r="U109" s="27"/>
      <c r="V109" s="26"/>
      <c r="W109" s="150"/>
      <c r="X109" s="166"/>
      <c r="Y109" s="166"/>
      <c r="Z109" s="167"/>
      <c r="AA109" s="167"/>
      <c r="AB109" s="168"/>
      <c r="AC109" s="167"/>
      <c r="AD109" s="169"/>
      <c r="AE109" s="169"/>
      <c r="AF109" s="169"/>
      <c r="AG109" s="169"/>
      <c r="AH109" s="167"/>
    </row>
    <row r="110" spans="1:34">
      <c r="A110" s="169"/>
      <c r="B110" s="169"/>
      <c r="C110" s="169"/>
      <c r="D110" s="169"/>
      <c r="E110" s="165"/>
      <c r="F110" s="162"/>
      <c r="G110" s="26"/>
      <c r="H110" s="23"/>
      <c r="I110" s="23"/>
      <c r="J110" s="124"/>
      <c r="K110" s="23"/>
      <c r="L110" s="124"/>
      <c r="M110" s="26"/>
      <c r="N110" s="156"/>
      <c r="O110" s="27"/>
      <c r="P110" s="27"/>
      <c r="Q110" s="27"/>
      <c r="R110" s="27"/>
      <c r="S110" s="27"/>
      <c r="T110" s="27"/>
      <c r="U110" s="27"/>
      <c r="V110" s="26"/>
      <c r="W110" s="150"/>
      <c r="X110" s="166"/>
      <c r="Y110" s="166"/>
      <c r="Z110" s="167"/>
      <c r="AA110" s="167"/>
      <c r="AB110" s="168"/>
      <c r="AC110" s="167"/>
      <c r="AD110" s="169"/>
      <c r="AE110" s="169"/>
      <c r="AF110" s="169"/>
      <c r="AG110" s="169"/>
      <c r="AH110" s="167"/>
    </row>
    <row r="111" spans="1:34">
      <c r="A111" s="169"/>
      <c r="B111" s="169"/>
      <c r="C111" s="169"/>
      <c r="D111" s="169"/>
      <c r="E111" s="165"/>
      <c r="F111" s="162"/>
      <c r="G111" s="26"/>
      <c r="H111" s="23"/>
      <c r="I111" s="23"/>
      <c r="J111" s="124"/>
      <c r="K111" s="23"/>
      <c r="L111" s="124"/>
      <c r="M111" s="26"/>
      <c r="N111" s="156"/>
      <c r="O111" s="27"/>
      <c r="P111" s="27"/>
      <c r="Q111" s="27"/>
      <c r="R111" s="27"/>
      <c r="S111" s="27"/>
      <c r="T111" s="27"/>
      <c r="U111" s="27"/>
      <c r="V111" s="26"/>
      <c r="W111" s="150"/>
      <c r="X111" s="166"/>
      <c r="Y111" s="166"/>
      <c r="Z111" s="167"/>
      <c r="AA111" s="167"/>
      <c r="AB111" s="168"/>
      <c r="AC111" s="167"/>
      <c r="AD111" s="169"/>
      <c r="AE111" s="169"/>
      <c r="AF111" s="169"/>
      <c r="AG111" s="169"/>
      <c r="AH111" s="167"/>
    </row>
    <row r="112" spans="1:34">
      <c r="A112" s="169"/>
      <c r="B112" s="169"/>
      <c r="C112" s="169"/>
      <c r="D112" s="169"/>
      <c r="E112" s="165"/>
      <c r="F112" s="162"/>
      <c r="G112" s="26"/>
      <c r="H112" s="23"/>
      <c r="I112" s="23"/>
      <c r="J112" s="124"/>
      <c r="K112" s="23"/>
      <c r="L112" s="124"/>
      <c r="M112" s="26"/>
      <c r="N112" s="156"/>
      <c r="O112" s="27"/>
      <c r="P112" s="27"/>
      <c r="Q112" s="27"/>
      <c r="R112" s="27"/>
      <c r="S112" s="27"/>
      <c r="T112" s="27"/>
      <c r="U112" s="27"/>
      <c r="V112" s="26"/>
      <c r="W112" s="150"/>
      <c r="X112" s="166"/>
      <c r="Y112" s="166"/>
      <c r="Z112" s="167"/>
      <c r="AA112" s="167"/>
      <c r="AB112" s="168"/>
      <c r="AC112" s="167"/>
      <c r="AD112" s="169"/>
      <c r="AE112" s="169"/>
      <c r="AF112" s="169"/>
      <c r="AG112" s="169"/>
      <c r="AH112" s="167"/>
    </row>
    <row r="113" spans="1:34">
      <c r="A113" s="169"/>
      <c r="B113" s="169"/>
      <c r="C113" s="169"/>
      <c r="D113" s="169"/>
      <c r="E113" s="165"/>
      <c r="F113" s="162"/>
      <c r="G113" s="26"/>
      <c r="H113" s="23"/>
      <c r="I113" s="23"/>
      <c r="J113" s="124"/>
      <c r="K113" s="23"/>
      <c r="L113" s="124"/>
      <c r="M113" s="26"/>
      <c r="N113" s="156"/>
      <c r="O113" s="27"/>
      <c r="P113" s="27"/>
      <c r="Q113" s="27"/>
      <c r="R113" s="27"/>
      <c r="S113" s="27"/>
      <c r="T113" s="27"/>
      <c r="U113" s="27"/>
      <c r="V113" s="26"/>
      <c r="W113" s="150"/>
      <c r="X113" s="166"/>
      <c r="Y113" s="166"/>
      <c r="Z113" s="167"/>
      <c r="AA113" s="167"/>
      <c r="AB113" s="168"/>
      <c r="AC113" s="167"/>
      <c r="AD113" s="169"/>
      <c r="AE113" s="169"/>
      <c r="AF113" s="169"/>
      <c r="AG113" s="169"/>
      <c r="AH113" s="167"/>
    </row>
    <row r="114" spans="1:34">
      <c r="A114" s="169"/>
      <c r="B114" s="169"/>
      <c r="C114" s="169"/>
      <c r="D114" s="169"/>
      <c r="E114" s="165"/>
      <c r="F114" s="162"/>
      <c r="G114" s="26"/>
      <c r="H114" s="23"/>
      <c r="I114" s="23"/>
      <c r="J114" s="124"/>
      <c r="K114" s="23"/>
      <c r="L114" s="124"/>
      <c r="M114" s="26"/>
      <c r="N114" s="156"/>
      <c r="O114" s="27"/>
      <c r="P114" s="27"/>
      <c r="Q114" s="27"/>
      <c r="R114" s="27"/>
      <c r="S114" s="27"/>
      <c r="T114" s="27"/>
      <c r="U114" s="27"/>
      <c r="V114" s="26"/>
      <c r="W114" s="150"/>
      <c r="X114" s="166"/>
      <c r="Y114" s="166"/>
      <c r="Z114" s="167"/>
      <c r="AA114" s="167"/>
      <c r="AB114" s="168"/>
      <c r="AC114" s="167"/>
      <c r="AD114" s="169"/>
      <c r="AE114" s="169"/>
      <c r="AF114" s="169"/>
      <c r="AG114" s="169"/>
      <c r="AH114" s="167"/>
    </row>
    <row r="115" spans="1:34">
      <c r="A115" s="169"/>
      <c r="B115" s="169"/>
      <c r="C115" s="169"/>
      <c r="D115" s="169"/>
      <c r="E115" s="165"/>
      <c r="F115" s="162"/>
      <c r="G115" s="26"/>
      <c r="H115" s="23"/>
      <c r="I115" s="23"/>
      <c r="J115" s="124"/>
      <c r="K115" s="23"/>
      <c r="L115" s="124"/>
      <c r="M115" s="26"/>
      <c r="N115" s="156"/>
      <c r="O115" s="27"/>
      <c r="P115" s="27"/>
      <c r="Q115" s="27"/>
      <c r="R115" s="27"/>
      <c r="S115" s="27"/>
      <c r="T115" s="27"/>
      <c r="U115" s="27"/>
      <c r="V115" s="26"/>
      <c r="W115" s="150"/>
      <c r="X115" s="166"/>
      <c r="Y115" s="166"/>
      <c r="Z115" s="167"/>
      <c r="AA115" s="167"/>
      <c r="AB115" s="168"/>
      <c r="AC115" s="167"/>
      <c r="AD115" s="169"/>
      <c r="AE115" s="169"/>
      <c r="AF115" s="169"/>
      <c r="AG115" s="169"/>
      <c r="AH115" s="167"/>
    </row>
    <row r="116" spans="1:34">
      <c r="A116" s="169"/>
      <c r="B116" s="169"/>
      <c r="C116" s="169"/>
      <c r="D116" s="169"/>
      <c r="E116" s="165"/>
      <c r="F116" s="162"/>
      <c r="G116" s="26"/>
      <c r="H116" s="23"/>
      <c r="I116" s="23"/>
      <c r="J116" s="124"/>
      <c r="K116" s="23"/>
      <c r="L116" s="124"/>
      <c r="M116" s="26"/>
      <c r="N116" s="156"/>
      <c r="O116" s="27"/>
      <c r="P116" s="27"/>
      <c r="Q116" s="27"/>
      <c r="R116" s="27"/>
      <c r="S116" s="27"/>
      <c r="T116" s="27"/>
      <c r="U116" s="27"/>
      <c r="V116" s="26"/>
      <c r="W116" s="150"/>
      <c r="X116" s="166"/>
      <c r="Y116" s="166"/>
      <c r="Z116" s="167"/>
      <c r="AA116" s="167"/>
      <c r="AB116" s="168"/>
      <c r="AC116" s="167"/>
      <c r="AD116" s="169"/>
      <c r="AE116" s="169"/>
      <c r="AF116" s="169"/>
      <c r="AG116" s="169"/>
      <c r="AH116" s="167"/>
    </row>
    <row r="117" spans="1:34">
      <c r="A117" s="169"/>
      <c r="B117" s="169"/>
      <c r="C117" s="169"/>
      <c r="D117" s="169"/>
      <c r="E117" s="165"/>
      <c r="F117" s="162"/>
      <c r="G117" s="26"/>
      <c r="H117" s="23"/>
      <c r="I117" s="23"/>
      <c r="J117" s="124"/>
      <c r="K117" s="23"/>
      <c r="L117" s="124"/>
      <c r="M117" s="26"/>
      <c r="N117" s="156"/>
      <c r="O117" s="27"/>
      <c r="P117" s="27"/>
      <c r="Q117" s="27"/>
      <c r="R117" s="27"/>
      <c r="S117" s="27"/>
      <c r="T117" s="27"/>
      <c r="U117" s="27"/>
      <c r="V117" s="26"/>
      <c r="W117" s="150"/>
      <c r="X117" s="166"/>
      <c r="Y117" s="166"/>
      <c r="Z117" s="167"/>
      <c r="AA117" s="167"/>
      <c r="AB117" s="168"/>
      <c r="AC117" s="167"/>
      <c r="AD117" s="169"/>
      <c r="AE117" s="169"/>
      <c r="AF117" s="169"/>
      <c r="AG117" s="169"/>
      <c r="AH117" s="167"/>
    </row>
    <row r="118" spans="1:34">
      <c r="A118" s="169"/>
      <c r="B118" s="169"/>
      <c r="C118" s="169"/>
      <c r="D118" s="169"/>
      <c r="E118" s="165"/>
      <c r="F118" s="162"/>
      <c r="G118" s="26"/>
      <c r="H118" s="23"/>
      <c r="I118" s="23"/>
      <c r="J118" s="124"/>
      <c r="K118" s="23"/>
      <c r="L118" s="124"/>
      <c r="M118" s="26"/>
      <c r="N118" s="156"/>
      <c r="O118" s="27"/>
      <c r="P118" s="27"/>
      <c r="Q118" s="27"/>
      <c r="R118" s="27"/>
      <c r="S118" s="27"/>
      <c r="T118" s="27"/>
      <c r="U118" s="27"/>
      <c r="V118" s="26"/>
      <c r="W118" s="150"/>
      <c r="X118" s="166"/>
      <c r="Y118" s="166"/>
      <c r="Z118" s="167"/>
      <c r="AA118" s="167"/>
      <c r="AB118" s="168"/>
      <c r="AC118" s="167"/>
      <c r="AD118" s="169"/>
      <c r="AE118" s="169"/>
      <c r="AF118" s="169"/>
      <c r="AG118" s="169"/>
      <c r="AH118" s="167"/>
    </row>
    <row r="119" spans="1:34">
      <c r="A119" s="169"/>
      <c r="B119" s="169"/>
      <c r="C119" s="169"/>
      <c r="D119" s="169"/>
      <c r="E119" s="165"/>
      <c r="F119" s="162"/>
      <c r="G119" s="26"/>
      <c r="H119" s="23"/>
      <c r="I119" s="23"/>
      <c r="J119" s="124"/>
      <c r="K119" s="23"/>
      <c r="L119" s="124"/>
      <c r="M119" s="26"/>
      <c r="N119" s="156"/>
      <c r="O119" s="27"/>
      <c r="P119" s="27"/>
      <c r="Q119" s="27"/>
      <c r="R119" s="27"/>
      <c r="S119" s="27"/>
      <c r="T119" s="27"/>
      <c r="U119" s="27"/>
      <c r="V119" s="26"/>
      <c r="W119" s="150"/>
      <c r="X119" s="166"/>
      <c r="Y119" s="166"/>
      <c r="Z119" s="167"/>
      <c r="AA119" s="167"/>
      <c r="AB119" s="168"/>
      <c r="AC119" s="167"/>
      <c r="AD119" s="169"/>
      <c r="AE119" s="169"/>
      <c r="AF119" s="169"/>
      <c r="AG119" s="169"/>
      <c r="AH119" s="167"/>
    </row>
    <row r="120" spans="1:34">
      <c r="A120" s="169"/>
      <c r="B120" s="169"/>
      <c r="C120" s="169"/>
      <c r="D120" s="169"/>
      <c r="E120" s="165"/>
      <c r="F120" s="162"/>
      <c r="G120" s="26"/>
      <c r="H120" s="23"/>
      <c r="I120" s="23"/>
      <c r="J120" s="124"/>
      <c r="K120" s="23"/>
      <c r="L120" s="124"/>
      <c r="M120" s="26"/>
      <c r="N120" s="156"/>
      <c r="O120" s="27"/>
      <c r="P120" s="27"/>
      <c r="Q120" s="27"/>
      <c r="R120" s="27"/>
      <c r="S120" s="27"/>
      <c r="T120" s="27"/>
      <c r="U120" s="27"/>
      <c r="V120" s="26"/>
      <c r="W120" s="150"/>
      <c r="X120" s="166"/>
      <c r="Y120" s="166"/>
      <c r="Z120" s="167"/>
      <c r="AA120" s="167"/>
      <c r="AB120" s="168"/>
      <c r="AC120" s="167"/>
      <c r="AD120" s="169"/>
      <c r="AE120" s="169"/>
      <c r="AF120" s="169"/>
      <c r="AG120" s="169"/>
      <c r="AH120" s="167"/>
    </row>
    <row r="121" spans="1:34">
      <c r="A121" s="169"/>
      <c r="B121" s="169"/>
      <c r="C121" s="169"/>
      <c r="D121" s="169"/>
      <c r="E121" s="165"/>
      <c r="F121" s="162"/>
      <c r="G121" s="26"/>
      <c r="H121" s="23"/>
      <c r="I121" s="23"/>
      <c r="J121" s="124"/>
      <c r="K121" s="23"/>
      <c r="L121" s="124"/>
      <c r="M121" s="26"/>
      <c r="N121" s="156"/>
      <c r="O121" s="27"/>
      <c r="P121" s="27"/>
      <c r="Q121" s="27"/>
      <c r="R121" s="27"/>
      <c r="S121" s="27"/>
      <c r="T121" s="27"/>
      <c r="U121" s="27"/>
      <c r="V121" s="26"/>
      <c r="W121" s="150"/>
      <c r="X121" s="166"/>
      <c r="Y121" s="166"/>
      <c r="Z121" s="167"/>
      <c r="AA121" s="167"/>
      <c r="AB121" s="168"/>
      <c r="AC121" s="167"/>
      <c r="AD121" s="169"/>
      <c r="AE121" s="169"/>
      <c r="AF121" s="169"/>
      <c r="AG121" s="169"/>
      <c r="AH121" s="167"/>
    </row>
    <row r="122" spans="1:34">
      <c r="A122" s="169"/>
      <c r="B122" s="169"/>
      <c r="C122" s="169"/>
      <c r="D122" s="169"/>
      <c r="E122" s="165"/>
      <c r="F122" s="162"/>
      <c r="G122" s="26"/>
      <c r="H122" s="23"/>
      <c r="I122" s="23"/>
      <c r="J122" s="124"/>
      <c r="K122" s="23"/>
      <c r="L122" s="124"/>
      <c r="M122" s="26"/>
      <c r="N122" s="156"/>
      <c r="O122" s="27"/>
      <c r="P122" s="27"/>
      <c r="Q122" s="27"/>
      <c r="R122" s="27"/>
      <c r="S122" s="27"/>
      <c r="T122" s="27"/>
      <c r="U122" s="27"/>
      <c r="V122" s="26"/>
      <c r="W122" s="150"/>
      <c r="X122" s="166"/>
      <c r="Y122" s="166"/>
      <c r="Z122" s="167"/>
      <c r="AA122" s="167"/>
      <c r="AB122" s="168"/>
      <c r="AC122" s="167"/>
      <c r="AD122" s="169"/>
      <c r="AE122" s="169"/>
      <c r="AF122" s="169"/>
      <c r="AG122" s="169"/>
      <c r="AH122" s="167"/>
    </row>
    <row r="123" spans="1:34">
      <c r="A123" s="169"/>
      <c r="B123" s="169"/>
      <c r="C123" s="169"/>
      <c r="D123" s="169"/>
      <c r="E123" s="165"/>
      <c r="F123" s="162"/>
      <c r="G123" s="26"/>
      <c r="H123" s="23"/>
      <c r="I123" s="23"/>
      <c r="J123" s="124"/>
      <c r="K123" s="23"/>
      <c r="L123" s="124"/>
      <c r="M123" s="26"/>
      <c r="N123" s="156"/>
      <c r="O123" s="27"/>
      <c r="P123" s="27"/>
      <c r="Q123" s="27"/>
      <c r="R123" s="27"/>
      <c r="S123" s="27"/>
      <c r="T123" s="27"/>
      <c r="U123" s="27"/>
      <c r="V123" s="26"/>
      <c r="W123" s="150"/>
      <c r="X123" s="166"/>
      <c r="Y123" s="166"/>
      <c r="Z123" s="167"/>
      <c r="AA123" s="167"/>
      <c r="AB123" s="168"/>
      <c r="AC123" s="167"/>
      <c r="AD123" s="169"/>
      <c r="AE123" s="169"/>
      <c r="AF123" s="169"/>
      <c r="AG123" s="169"/>
      <c r="AH123" s="167"/>
    </row>
    <row r="124" spans="1:34">
      <c r="A124" s="169"/>
      <c r="B124" s="169"/>
      <c r="C124" s="169"/>
      <c r="D124" s="169"/>
      <c r="E124" s="165"/>
      <c r="F124" s="162"/>
      <c r="G124" s="26"/>
      <c r="H124" s="23"/>
      <c r="I124" s="23"/>
      <c r="J124" s="124"/>
      <c r="K124" s="23"/>
      <c r="L124" s="124"/>
      <c r="M124" s="26"/>
      <c r="N124" s="156"/>
      <c r="O124" s="27"/>
      <c r="P124" s="27"/>
      <c r="Q124" s="27"/>
      <c r="R124" s="27"/>
      <c r="S124" s="27"/>
      <c r="T124" s="27"/>
      <c r="U124" s="27"/>
      <c r="V124" s="26"/>
      <c r="W124" s="150"/>
      <c r="X124" s="166"/>
      <c r="Y124" s="166"/>
      <c r="Z124" s="167"/>
      <c r="AA124" s="167"/>
      <c r="AB124" s="168"/>
      <c r="AC124" s="167"/>
      <c r="AD124" s="169"/>
      <c r="AE124" s="169"/>
      <c r="AF124" s="169"/>
      <c r="AG124" s="169"/>
      <c r="AH124" s="167"/>
    </row>
    <row r="125" spans="1:34">
      <c r="A125" s="169"/>
      <c r="B125" s="169"/>
      <c r="C125" s="169"/>
      <c r="D125" s="169"/>
      <c r="E125" s="165"/>
      <c r="F125" s="162"/>
      <c r="G125" s="26"/>
      <c r="H125" s="23"/>
      <c r="I125" s="23"/>
      <c r="J125" s="124"/>
      <c r="K125" s="23"/>
      <c r="L125" s="124"/>
      <c r="M125" s="26"/>
      <c r="N125" s="156"/>
      <c r="O125" s="27"/>
      <c r="P125" s="27"/>
      <c r="Q125" s="27"/>
      <c r="R125" s="27"/>
      <c r="S125" s="27"/>
      <c r="T125" s="27"/>
      <c r="U125" s="27"/>
      <c r="V125" s="26"/>
      <c r="W125" s="150"/>
      <c r="X125" s="166"/>
      <c r="Y125" s="166"/>
      <c r="Z125" s="167"/>
      <c r="AA125" s="167"/>
      <c r="AB125" s="168"/>
      <c r="AC125" s="167"/>
      <c r="AD125" s="169"/>
      <c r="AE125" s="169"/>
      <c r="AF125" s="169"/>
      <c r="AG125" s="169"/>
      <c r="AH125" s="167"/>
    </row>
    <row r="126" spans="1:34">
      <c r="A126" s="169"/>
      <c r="B126" s="169"/>
      <c r="C126" s="169"/>
      <c r="D126" s="169"/>
      <c r="E126" s="165"/>
      <c r="F126" s="162"/>
      <c r="G126" s="26"/>
      <c r="H126" s="23"/>
      <c r="I126" s="23"/>
      <c r="J126" s="124"/>
      <c r="K126" s="23"/>
      <c r="L126" s="124"/>
      <c r="M126" s="26"/>
      <c r="N126" s="156"/>
      <c r="O126" s="27"/>
      <c r="P126" s="27"/>
      <c r="Q126" s="27"/>
      <c r="R126" s="27"/>
      <c r="S126" s="27"/>
      <c r="T126" s="27"/>
      <c r="U126" s="27"/>
      <c r="V126" s="26"/>
      <c r="W126" s="150"/>
      <c r="X126" s="166"/>
      <c r="Y126" s="166"/>
      <c r="Z126" s="167"/>
      <c r="AA126" s="167"/>
      <c r="AB126" s="168"/>
      <c r="AC126" s="167"/>
      <c r="AD126" s="169"/>
      <c r="AE126" s="169"/>
      <c r="AF126" s="169"/>
      <c r="AG126" s="169"/>
      <c r="AH126" s="167"/>
    </row>
    <row r="127" spans="1:34">
      <c r="A127" s="169"/>
      <c r="B127" s="169"/>
      <c r="C127" s="169"/>
      <c r="D127" s="169"/>
      <c r="E127" s="165"/>
      <c r="F127" s="162"/>
      <c r="G127" s="26"/>
      <c r="H127" s="23"/>
      <c r="I127" s="23"/>
      <c r="J127" s="124"/>
      <c r="K127" s="23"/>
      <c r="L127" s="124"/>
      <c r="M127" s="26"/>
      <c r="N127" s="156"/>
      <c r="O127" s="27"/>
      <c r="P127" s="27"/>
      <c r="Q127" s="27"/>
      <c r="R127" s="27"/>
      <c r="S127" s="27"/>
      <c r="T127" s="27"/>
      <c r="U127" s="27"/>
      <c r="V127" s="26"/>
      <c r="W127" s="150"/>
      <c r="X127" s="166"/>
      <c r="Y127" s="166"/>
      <c r="Z127" s="167"/>
      <c r="AA127" s="167"/>
      <c r="AB127" s="168"/>
      <c r="AC127" s="167"/>
      <c r="AD127" s="169"/>
      <c r="AE127" s="169"/>
      <c r="AF127" s="169"/>
      <c r="AG127" s="169"/>
      <c r="AH127" s="167"/>
    </row>
    <row r="128" spans="1:34">
      <c r="A128" s="169"/>
      <c r="B128" s="169"/>
      <c r="C128" s="169"/>
      <c r="D128" s="169"/>
      <c r="E128" s="165"/>
      <c r="F128" s="162"/>
      <c r="G128" s="26"/>
      <c r="H128" s="23"/>
      <c r="I128" s="23"/>
      <c r="J128" s="124"/>
      <c r="K128" s="23"/>
      <c r="L128" s="124"/>
      <c r="M128" s="26"/>
      <c r="N128" s="156"/>
      <c r="O128" s="27"/>
      <c r="P128" s="27"/>
      <c r="Q128" s="27"/>
      <c r="R128" s="27"/>
      <c r="S128" s="27"/>
      <c r="T128" s="27"/>
      <c r="U128" s="27"/>
      <c r="V128" s="26"/>
      <c r="W128" s="150"/>
      <c r="X128" s="166"/>
      <c r="Y128" s="166"/>
      <c r="Z128" s="167"/>
      <c r="AA128" s="167"/>
      <c r="AB128" s="168"/>
      <c r="AC128" s="167"/>
      <c r="AD128" s="169"/>
      <c r="AE128" s="169"/>
      <c r="AF128" s="169"/>
      <c r="AG128" s="169"/>
      <c r="AH128" s="167"/>
    </row>
    <row r="129" spans="1:34">
      <c r="A129" s="169"/>
      <c r="B129" s="169"/>
      <c r="C129" s="169"/>
      <c r="D129" s="169"/>
      <c r="E129" s="165"/>
      <c r="F129" s="162"/>
      <c r="G129" s="26"/>
      <c r="H129" s="23"/>
      <c r="I129" s="23"/>
      <c r="J129" s="124"/>
      <c r="K129" s="23"/>
      <c r="L129" s="124"/>
      <c r="M129" s="26"/>
      <c r="N129" s="156"/>
      <c r="O129" s="27"/>
      <c r="P129" s="27"/>
      <c r="Q129" s="27"/>
      <c r="R129" s="27"/>
      <c r="S129" s="27"/>
      <c r="T129" s="27"/>
      <c r="U129" s="27"/>
      <c r="V129" s="26"/>
      <c r="W129" s="150"/>
      <c r="X129" s="166"/>
      <c r="Y129" s="166"/>
      <c r="Z129" s="167"/>
      <c r="AA129" s="167"/>
      <c r="AB129" s="168"/>
      <c r="AC129" s="167"/>
      <c r="AD129" s="169"/>
      <c r="AE129" s="169"/>
      <c r="AF129" s="169"/>
      <c r="AG129" s="169"/>
      <c r="AH129" s="167"/>
    </row>
    <row r="130" spans="1:34">
      <c r="A130" s="169"/>
      <c r="B130" s="169"/>
      <c r="C130" s="169"/>
      <c r="D130" s="169"/>
      <c r="E130" s="165"/>
      <c r="F130" s="162"/>
      <c r="G130" s="26"/>
      <c r="H130" s="23"/>
      <c r="I130" s="23"/>
      <c r="J130" s="124"/>
      <c r="K130" s="23"/>
      <c r="L130" s="124"/>
      <c r="M130" s="26"/>
      <c r="N130" s="156"/>
      <c r="O130" s="27"/>
      <c r="P130" s="27"/>
      <c r="Q130" s="27"/>
      <c r="R130" s="27"/>
      <c r="S130" s="27"/>
      <c r="T130" s="27"/>
      <c r="U130" s="27"/>
      <c r="V130" s="26"/>
      <c r="W130" s="150"/>
      <c r="X130" s="166"/>
      <c r="Y130" s="166"/>
      <c r="Z130" s="167"/>
      <c r="AA130" s="167"/>
      <c r="AB130" s="168"/>
      <c r="AC130" s="167"/>
      <c r="AD130" s="169"/>
      <c r="AE130" s="169"/>
      <c r="AF130" s="169"/>
      <c r="AG130" s="169"/>
      <c r="AH130" s="167"/>
    </row>
    <row r="131" spans="1:34">
      <c r="A131" s="169"/>
      <c r="B131" s="169"/>
      <c r="C131" s="169"/>
      <c r="D131" s="169"/>
      <c r="E131" s="165"/>
      <c r="F131" s="162"/>
      <c r="G131" s="26"/>
      <c r="H131" s="23"/>
      <c r="I131" s="23"/>
      <c r="J131" s="124"/>
      <c r="K131" s="23"/>
      <c r="L131" s="124"/>
      <c r="M131" s="26"/>
      <c r="N131" s="156"/>
      <c r="O131" s="27"/>
      <c r="P131" s="27"/>
      <c r="Q131" s="27"/>
      <c r="R131" s="27"/>
      <c r="S131" s="27"/>
      <c r="T131" s="27"/>
      <c r="U131" s="27"/>
      <c r="V131" s="26"/>
      <c r="W131" s="150"/>
      <c r="X131" s="166"/>
      <c r="Y131" s="166"/>
      <c r="Z131" s="167"/>
      <c r="AA131" s="167"/>
      <c r="AB131" s="168"/>
      <c r="AC131" s="167"/>
      <c r="AD131" s="169"/>
      <c r="AE131" s="169"/>
      <c r="AF131" s="169"/>
      <c r="AG131" s="169"/>
      <c r="AH131" s="167"/>
    </row>
    <row r="132" spans="1:34">
      <c r="A132" s="169"/>
      <c r="B132" s="169"/>
      <c r="C132" s="169"/>
      <c r="D132" s="169"/>
      <c r="E132" s="165"/>
      <c r="F132" s="162"/>
      <c r="G132" s="26"/>
      <c r="H132" s="23"/>
      <c r="I132" s="23"/>
      <c r="J132" s="124"/>
      <c r="K132" s="23"/>
      <c r="L132" s="124"/>
      <c r="M132" s="26"/>
      <c r="N132" s="156"/>
      <c r="O132" s="27"/>
      <c r="P132" s="27"/>
      <c r="Q132" s="27"/>
      <c r="R132" s="27"/>
      <c r="S132" s="27"/>
      <c r="T132" s="27"/>
      <c r="U132" s="27"/>
      <c r="V132" s="26"/>
      <c r="W132" s="150"/>
      <c r="X132" s="166"/>
      <c r="Y132" s="166"/>
      <c r="Z132" s="167"/>
      <c r="AA132" s="167"/>
      <c r="AB132" s="168"/>
      <c r="AC132" s="167"/>
      <c r="AD132" s="169"/>
      <c r="AE132" s="169"/>
      <c r="AF132" s="169"/>
      <c r="AG132" s="169"/>
      <c r="AH132" s="167"/>
    </row>
    <row r="133" spans="1:34">
      <c r="A133" s="169"/>
      <c r="B133" s="169"/>
      <c r="C133" s="169"/>
      <c r="D133" s="169"/>
      <c r="E133" s="165"/>
      <c r="F133" s="162"/>
      <c r="G133" s="26"/>
      <c r="H133" s="23"/>
      <c r="I133" s="23"/>
      <c r="J133" s="124"/>
      <c r="K133" s="23"/>
      <c r="L133" s="124"/>
      <c r="M133" s="26"/>
      <c r="N133" s="156"/>
      <c r="O133" s="27"/>
      <c r="P133" s="27"/>
      <c r="Q133" s="27"/>
      <c r="R133" s="27"/>
      <c r="S133" s="27"/>
      <c r="T133" s="27"/>
      <c r="U133" s="27"/>
      <c r="V133" s="26"/>
      <c r="W133" s="150"/>
      <c r="X133" s="166"/>
      <c r="Y133" s="166"/>
      <c r="Z133" s="167"/>
      <c r="AA133" s="167"/>
      <c r="AB133" s="168"/>
      <c r="AC133" s="167"/>
      <c r="AD133" s="169"/>
      <c r="AE133" s="169"/>
      <c r="AF133" s="169"/>
      <c r="AG133" s="169"/>
      <c r="AH133" s="167"/>
    </row>
    <row r="134" spans="1:34">
      <c r="A134" s="169"/>
      <c r="B134" s="169"/>
      <c r="C134" s="169"/>
      <c r="D134" s="169"/>
      <c r="E134" s="165"/>
      <c r="F134" s="162"/>
      <c r="G134" s="26"/>
      <c r="H134" s="23"/>
      <c r="I134" s="23"/>
      <c r="J134" s="124"/>
      <c r="K134" s="23"/>
      <c r="L134" s="124"/>
      <c r="M134" s="26"/>
      <c r="N134" s="156"/>
      <c r="O134" s="27"/>
      <c r="P134" s="27"/>
      <c r="Q134" s="27"/>
      <c r="R134" s="27"/>
      <c r="S134" s="27"/>
      <c r="T134" s="27"/>
      <c r="U134" s="27"/>
      <c r="V134" s="26"/>
      <c r="W134" s="150"/>
      <c r="X134" s="166"/>
      <c r="Y134" s="166"/>
      <c r="Z134" s="167"/>
      <c r="AA134" s="167"/>
      <c r="AB134" s="168"/>
      <c r="AC134" s="167"/>
      <c r="AD134" s="169"/>
      <c r="AE134" s="169"/>
      <c r="AF134" s="169"/>
      <c r="AG134" s="169"/>
      <c r="AH134" s="167"/>
    </row>
    <row r="135" spans="1:34">
      <c r="A135" s="169"/>
      <c r="B135" s="169"/>
      <c r="C135" s="169"/>
      <c r="D135" s="169"/>
      <c r="E135" s="165"/>
      <c r="F135" s="162"/>
      <c r="G135" s="26"/>
      <c r="H135" s="23"/>
      <c r="I135" s="23"/>
      <c r="J135" s="124"/>
      <c r="K135" s="23"/>
      <c r="L135" s="124"/>
      <c r="M135" s="26"/>
      <c r="N135" s="156"/>
      <c r="O135" s="27"/>
      <c r="P135" s="27"/>
      <c r="Q135" s="27"/>
      <c r="R135" s="27"/>
      <c r="S135" s="27"/>
      <c r="T135" s="27"/>
      <c r="U135" s="27"/>
      <c r="V135" s="26"/>
      <c r="W135" s="150"/>
      <c r="X135" s="166"/>
      <c r="Y135" s="166"/>
      <c r="Z135" s="167"/>
      <c r="AA135" s="167"/>
      <c r="AB135" s="168"/>
      <c r="AC135" s="167"/>
      <c r="AD135" s="169"/>
      <c r="AE135" s="169"/>
      <c r="AF135" s="169"/>
      <c r="AG135" s="169"/>
      <c r="AH135" s="167"/>
    </row>
    <row r="136" spans="1:34">
      <c r="A136" s="169"/>
      <c r="B136" s="169"/>
      <c r="C136" s="169"/>
      <c r="D136" s="169"/>
      <c r="E136" s="165"/>
      <c r="F136" s="162"/>
      <c r="G136" s="26"/>
      <c r="H136" s="23"/>
      <c r="I136" s="23"/>
      <c r="J136" s="124"/>
      <c r="K136" s="23"/>
      <c r="L136" s="124"/>
      <c r="M136" s="26"/>
      <c r="N136" s="156"/>
      <c r="O136" s="27"/>
      <c r="P136" s="27"/>
      <c r="Q136" s="27"/>
      <c r="R136" s="27"/>
      <c r="S136" s="27"/>
      <c r="T136" s="27"/>
      <c r="U136" s="27"/>
      <c r="V136" s="26"/>
      <c r="W136" s="150"/>
      <c r="X136" s="166"/>
      <c r="Y136" s="166"/>
      <c r="Z136" s="167"/>
      <c r="AA136" s="167"/>
      <c r="AB136" s="168"/>
      <c r="AC136" s="167"/>
      <c r="AD136" s="169"/>
      <c r="AE136" s="169"/>
      <c r="AF136" s="169"/>
      <c r="AG136" s="169"/>
      <c r="AH136" s="167"/>
    </row>
    <row r="137" spans="1:34">
      <c r="A137" s="169"/>
      <c r="B137" s="169"/>
      <c r="C137" s="169"/>
      <c r="D137" s="169"/>
      <c r="E137" s="165"/>
      <c r="F137" s="162"/>
      <c r="G137" s="26"/>
      <c r="H137" s="23"/>
      <c r="I137" s="23"/>
      <c r="J137" s="124"/>
      <c r="K137" s="23"/>
      <c r="L137" s="124"/>
      <c r="M137" s="26"/>
      <c r="N137" s="156"/>
      <c r="O137" s="27"/>
      <c r="P137" s="27"/>
      <c r="Q137" s="27"/>
      <c r="R137" s="27"/>
      <c r="S137" s="27"/>
      <c r="T137" s="27"/>
      <c r="U137" s="27"/>
      <c r="V137" s="26"/>
      <c r="W137" s="150"/>
      <c r="X137" s="166"/>
      <c r="Y137" s="166"/>
      <c r="Z137" s="167"/>
      <c r="AA137" s="167"/>
      <c r="AB137" s="168"/>
      <c r="AC137" s="167"/>
      <c r="AD137" s="169"/>
      <c r="AE137" s="169"/>
      <c r="AF137" s="169"/>
      <c r="AG137" s="169"/>
      <c r="AH137" s="167"/>
    </row>
    <row r="138" spans="1:34">
      <c r="A138" s="169"/>
      <c r="B138" s="169"/>
      <c r="C138" s="169"/>
      <c r="D138" s="169"/>
      <c r="E138" s="165"/>
      <c r="F138" s="162"/>
      <c r="G138" s="26"/>
      <c r="H138" s="23"/>
      <c r="I138" s="23"/>
      <c r="J138" s="124"/>
      <c r="K138" s="23"/>
      <c r="L138" s="124"/>
      <c r="M138" s="26"/>
      <c r="N138" s="156"/>
      <c r="O138" s="27"/>
      <c r="P138" s="27"/>
      <c r="Q138" s="27"/>
      <c r="R138" s="27"/>
      <c r="S138" s="27"/>
      <c r="T138" s="27"/>
      <c r="U138" s="27"/>
      <c r="V138" s="26"/>
      <c r="W138" s="150"/>
      <c r="X138" s="166"/>
      <c r="Y138" s="166"/>
      <c r="Z138" s="167"/>
      <c r="AA138" s="167"/>
      <c r="AB138" s="168"/>
      <c r="AC138" s="167"/>
      <c r="AD138" s="169"/>
      <c r="AE138" s="169"/>
      <c r="AF138" s="169"/>
      <c r="AG138" s="169"/>
      <c r="AH138" s="167"/>
    </row>
    <row r="139" spans="1:34">
      <c r="A139" s="169"/>
      <c r="B139" s="169"/>
      <c r="C139" s="169"/>
      <c r="D139" s="169"/>
      <c r="E139" s="165"/>
      <c r="F139" s="162"/>
      <c r="G139" s="26"/>
      <c r="H139" s="23"/>
      <c r="I139" s="23"/>
      <c r="J139" s="124"/>
      <c r="K139" s="23"/>
      <c r="L139" s="124"/>
      <c r="M139" s="26"/>
      <c r="N139" s="156"/>
      <c r="O139" s="27"/>
      <c r="P139" s="27"/>
      <c r="Q139" s="27"/>
      <c r="R139" s="27"/>
      <c r="S139" s="27"/>
      <c r="T139" s="27"/>
      <c r="U139" s="27"/>
      <c r="V139" s="26"/>
      <c r="W139" s="150"/>
      <c r="X139" s="166"/>
      <c r="Y139" s="166"/>
      <c r="Z139" s="167"/>
      <c r="AA139" s="167"/>
      <c r="AB139" s="168"/>
      <c r="AC139" s="167"/>
      <c r="AD139" s="169"/>
      <c r="AE139" s="169"/>
      <c r="AF139" s="169"/>
      <c r="AG139" s="169"/>
      <c r="AH139" s="167"/>
    </row>
    <row r="140" spans="1:34">
      <c r="A140" s="169"/>
      <c r="B140" s="169"/>
      <c r="C140" s="169"/>
      <c r="D140" s="169"/>
      <c r="E140" s="165"/>
      <c r="F140" s="162"/>
      <c r="G140" s="26"/>
      <c r="H140" s="23"/>
      <c r="I140" s="23"/>
      <c r="J140" s="124"/>
      <c r="K140" s="23"/>
      <c r="L140" s="124"/>
      <c r="M140" s="26"/>
      <c r="N140" s="156"/>
      <c r="O140" s="27"/>
      <c r="P140" s="27"/>
      <c r="Q140" s="27"/>
      <c r="R140" s="27"/>
      <c r="S140" s="27"/>
      <c r="T140" s="27"/>
      <c r="U140" s="27"/>
      <c r="V140" s="26"/>
      <c r="W140" s="150"/>
      <c r="X140" s="166"/>
      <c r="Y140" s="166"/>
      <c r="Z140" s="167"/>
      <c r="AA140" s="167"/>
      <c r="AB140" s="168"/>
      <c r="AC140" s="167"/>
      <c r="AD140" s="169"/>
      <c r="AE140" s="169"/>
      <c r="AF140" s="169"/>
      <c r="AG140" s="169"/>
      <c r="AH140" s="167"/>
    </row>
    <row r="141" spans="1:34">
      <c r="A141" s="169"/>
      <c r="B141" s="169"/>
      <c r="C141" s="169"/>
      <c r="D141" s="169"/>
      <c r="E141" s="165"/>
      <c r="F141" s="162"/>
      <c r="G141" s="26"/>
      <c r="H141" s="23"/>
      <c r="I141" s="23"/>
      <c r="J141" s="124"/>
      <c r="K141" s="23"/>
      <c r="L141" s="124"/>
      <c r="M141" s="26"/>
      <c r="N141" s="156"/>
      <c r="O141" s="27"/>
      <c r="P141" s="27"/>
      <c r="Q141" s="27"/>
      <c r="R141" s="27"/>
      <c r="S141" s="27"/>
      <c r="T141" s="27"/>
      <c r="U141" s="27"/>
      <c r="V141" s="26"/>
      <c r="W141" s="150"/>
      <c r="X141" s="166"/>
      <c r="Y141" s="166"/>
      <c r="Z141" s="167"/>
      <c r="AA141" s="167"/>
      <c r="AB141" s="168"/>
      <c r="AC141" s="167"/>
      <c r="AD141" s="169"/>
      <c r="AE141" s="169"/>
      <c r="AF141" s="169"/>
      <c r="AG141" s="169"/>
      <c r="AH141" s="167"/>
    </row>
    <row r="142" spans="1:34">
      <c r="A142" s="169"/>
      <c r="B142" s="169"/>
      <c r="C142" s="169"/>
      <c r="D142" s="169"/>
      <c r="E142" s="165"/>
      <c r="F142" s="162"/>
      <c r="G142" s="26"/>
      <c r="H142" s="23"/>
      <c r="I142" s="23"/>
      <c r="J142" s="124"/>
      <c r="K142" s="23"/>
      <c r="L142" s="124"/>
      <c r="M142" s="26"/>
      <c r="N142" s="156"/>
      <c r="O142" s="27"/>
      <c r="P142" s="27"/>
      <c r="Q142" s="27"/>
      <c r="R142" s="27"/>
      <c r="S142" s="27"/>
      <c r="T142" s="27"/>
      <c r="U142" s="27"/>
      <c r="V142" s="26"/>
      <c r="W142" s="150"/>
      <c r="X142" s="166"/>
      <c r="Y142" s="166"/>
      <c r="Z142" s="167"/>
      <c r="AA142" s="167"/>
      <c r="AB142" s="168"/>
      <c r="AC142" s="167"/>
      <c r="AD142" s="169"/>
      <c r="AE142" s="169"/>
      <c r="AF142" s="169"/>
      <c r="AG142" s="169"/>
      <c r="AH142" s="167"/>
    </row>
    <row r="143" spans="1:34">
      <c r="A143" s="169"/>
      <c r="B143" s="169"/>
      <c r="C143" s="169"/>
      <c r="D143" s="169"/>
      <c r="E143" s="165"/>
      <c r="F143" s="162"/>
      <c r="G143" s="26"/>
      <c r="H143" s="23"/>
      <c r="I143" s="23"/>
      <c r="J143" s="124"/>
      <c r="K143" s="23"/>
      <c r="L143" s="124"/>
      <c r="M143" s="26"/>
      <c r="N143" s="156"/>
      <c r="O143" s="27"/>
      <c r="P143" s="27"/>
      <c r="Q143" s="27"/>
      <c r="R143" s="27"/>
      <c r="S143" s="27"/>
      <c r="T143" s="27"/>
      <c r="U143" s="27"/>
      <c r="V143" s="26"/>
      <c r="W143" s="150"/>
      <c r="X143" s="166"/>
      <c r="Y143" s="166"/>
      <c r="Z143" s="167"/>
      <c r="AA143" s="167"/>
      <c r="AB143" s="168"/>
      <c r="AC143" s="167"/>
      <c r="AD143" s="169"/>
      <c r="AE143" s="169"/>
      <c r="AF143" s="169"/>
      <c r="AG143" s="169"/>
      <c r="AH143" s="167"/>
    </row>
    <row r="144" spans="1:34">
      <c r="A144" s="169"/>
      <c r="B144" s="169"/>
      <c r="C144" s="169"/>
      <c r="D144" s="169"/>
      <c r="E144" s="165"/>
      <c r="F144" s="162"/>
      <c r="G144" s="26"/>
      <c r="H144" s="23"/>
      <c r="I144" s="23"/>
      <c r="J144" s="124"/>
      <c r="K144" s="23"/>
      <c r="L144" s="124"/>
      <c r="M144" s="26"/>
      <c r="N144" s="156"/>
      <c r="O144" s="27"/>
      <c r="P144" s="27"/>
      <c r="Q144" s="27"/>
      <c r="R144" s="27"/>
      <c r="S144" s="27"/>
      <c r="T144" s="27"/>
      <c r="U144" s="27"/>
      <c r="V144" s="26"/>
      <c r="W144" s="150"/>
      <c r="X144" s="166"/>
      <c r="Y144" s="166"/>
      <c r="Z144" s="167"/>
      <c r="AA144" s="167"/>
      <c r="AB144" s="168"/>
      <c r="AC144" s="167"/>
      <c r="AD144" s="169"/>
      <c r="AE144" s="169"/>
      <c r="AF144" s="169"/>
      <c r="AG144" s="169"/>
      <c r="AH144" s="167"/>
    </row>
    <row r="145" spans="1:34">
      <c r="A145" s="169"/>
      <c r="B145" s="169"/>
      <c r="C145" s="169"/>
      <c r="D145" s="169"/>
      <c r="E145" s="165"/>
      <c r="F145" s="162"/>
      <c r="G145" s="26"/>
      <c r="H145" s="23"/>
      <c r="I145" s="23"/>
      <c r="J145" s="124"/>
      <c r="K145" s="23"/>
      <c r="L145" s="124"/>
      <c r="M145" s="26"/>
      <c r="N145" s="156"/>
      <c r="O145" s="27"/>
      <c r="P145" s="27"/>
      <c r="Q145" s="27"/>
      <c r="R145" s="27"/>
      <c r="S145" s="27"/>
      <c r="T145" s="27"/>
      <c r="U145" s="27"/>
      <c r="V145" s="26"/>
      <c r="W145" s="150"/>
      <c r="X145" s="166"/>
      <c r="Y145" s="166"/>
      <c r="Z145" s="167"/>
      <c r="AA145" s="167"/>
      <c r="AB145" s="168"/>
      <c r="AC145" s="167"/>
      <c r="AD145" s="169"/>
      <c r="AE145" s="169"/>
      <c r="AF145" s="169"/>
      <c r="AG145" s="169"/>
      <c r="AH145" s="167"/>
    </row>
    <row r="146" spans="1:34">
      <c r="A146" s="169"/>
      <c r="B146" s="169"/>
      <c r="C146" s="169"/>
      <c r="D146" s="169"/>
      <c r="E146" s="165"/>
      <c r="F146" s="162"/>
      <c r="G146" s="26"/>
      <c r="H146" s="23"/>
      <c r="I146" s="23"/>
      <c r="J146" s="124"/>
      <c r="K146" s="23"/>
      <c r="L146" s="124"/>
      <c r="M146" s="26"/>
      <c r="N146" s="156"/>
      <c r="O146" s="27"/>
      <c r="P146" s="27"/>
      <c r="Q146" s="27"/>
      <c r="R146" s="27"/>
      <c r="S146" s="27"/>
      <c r="T146" s="27"/>
      <c r="U146" s="27"/>
      <c r="V146" s="26"/>
      <c r="W146" s="150"/>
      <c r="X146" s="166"/>
      <c r="Y146" s="166"/>
      <c r="Z146" s="167"/>
      <c r="AA146" s="167"/>
      <c r="AB146" s="168"/>
      <c r="AC146" s="167"/>
      <c r="AD146" s="169"/>
      <c r="AE146" s="169"/>
      <c r="AF146" s="169"/>
      <c r="AG146" s="169"/>
      <c r="AH146" s="167"/>
    </row>
    <row r="147" spans="1:34">
      <c r="A147" s="169"/>
      <c r="B147" s="169"/>
      <c r="C147" s="169"/>
      <c r="D147" s="169"/>
      <c r="E147" s="165"/>
      <c r="F147" s="162"/>
      <c r="G147" s="26"/>
      <c r="H147" s="23"/>
      <c r="I147" s="23"/>
      <c r="J147" s="124"/>
      <c r="K147" s="23"/>
      <c r="L147" s="124"/>
      <c r="M147" s="26"/>
      <c r="N147" s="156"/>
      <c r="O147" s="27"/>
      <c r="P147" s="27"/>
      <c r="Q147" s="27"/>
      <c r="R147" s="27"/>
      <c r="S147" s="27"/>
      <c r="T147" s="27"/>
      <c r="U147" s="27"/>
      <c r="V147" s="26"/>
      <c r="W147" s="150"/>
      <c r="X147" s="166"/>
      <c r="Y147" s="166"/>
      <c r="Z147" s="167"/>
      <c r="AA147" s="167"/>
      <c r="AB147" s="168"/>
      <c r="AC147" s="167"/>
      <c r="AD147" s="169"/>
      <c r="AE147" s="169"/>
      <c r="AF147" s="169"/>
      <c r="AG147" s="169"/>
      <c r="AH147" s="167"/>
    </row>
    <row r="148" spans="1:34">
      <c r="A148" s="169"/>
      <c r="B148" s="169"/>
      <c r="C148" s="169"/>
      <c r="D148" s="169"/>
      <c r="E148" s="165"/>
      <c r="F148" s="162"/>
      <c r="G148" s="26"/>
      <c r="H148" s="23"/>
      <c r="I148" s="23"/>
      <c r="J148" s="124"/>
      <c r="K148" s="23"/>
      <c r="L148" s="124"/>
      <c r="M148" s="26"/>
      <c r="N148" s="156"/>
      <c r="O148" s="27"/>
      <c r="P148" s="27"/>
      <c r="Q148" s="27"/>
      <c r="R148" s="27"/>
      <c r="S148" s="27"/>
      <c r="T148" s="27"/>
      <c r="U148" s="27"/>
      <c r="V148" s="26"/>
      <c r="W148" s="150"/>
      <c r="X148" s="166"/>
      <c r="Y148" s="166"/>
      <c r="Z148" s="167"/>
      <c r="AA148" s="167"/>
      <c r="AB148" s="168"/>
      <c r="AC148" s="167"/>
      <c r="AD148" s="169"/>
      <c r="AE148" s="169"/>
      <c r="AF148" s="169"/>
      <c r="AG148" s="169"/>
      <c r="AH148" s="167"/>
    </row>
    <row r="149" spans="1:34">
      <c r="A149" s="169"/>
      <c r="B149" s="169"/>
      <c r="C149" s="169"/>
      <c r="D149" s="169"/>
      <c r="E149" s="165"/>
      <c r="F149" s="162"/>
      <c r="G149" s="26"/>
      <c r="H149" s="23"/>
      <c r="I149" s="23"/>
      <c r="J149" s="124"/>
      <c r="K149" s="23"/>
      <c r="L149" s="124"/>
      <c r="M149" s="26"/>
      <c r="N149" s="156"/>
      <c r="O149" s="27"/>
      <c r="P149" s="27"/>
      <c r="Q149" s="27"/>
      <c r="R149" s="27"/>
      <c r="S149" s="27"/>
      <c r="T149" s="27"/>
      <c r="U149" s="27"/>
      <c r="V149" s="26"/>
      <c r="W149" s="150"/>
      <c r="X149" s="166"/>
      <c r="Y149" s="166"/>
      <c r="Z149" s="167"/>
      <c r="AA149" s="167"/>
      <c r="AB149" s="168"/>
      <c r="AC149" s="167"/>
      <c r="AD149" s="169"/>
      <c r="AE149" s="169"/>
      <c r="AF149" s="169"/>
      <c r="AG149" s="169"/>
      <c r="AH149" s="167"/>
    </row>
    <row r="150" spans="1:34">
      <c r="A150" s="169"/>
      <c r="B150" s="169"/>
      <c r="C150" s="169"/>
      <c r="D150" s="169"/>
      <c r="E150" s="165"/>
      <c r="F150" s="162"/>
      <c r="G150" s="26"/>
      <c r="H150" s="23"/>
      <c r="I150" s="23"/>
      <c r="J150" s="124"/>
      <c r="K150" s="23"/>
      <c r="L150" s="124"/>
      <c r="M150" s="26"/>
      <c r="N150" s="156"/>
      <c r="O150" s="27"/>
      <c r="P150" s="27"/>
      <c r="Q150" s="27"/>
      <c r="R150" s="27"/>
      <c r="S150" s="27"/>
      <c r="T150" s="27"/>
      <c r="U150" s="27"/>
      <c r="V150" s="26"/>
      <c r="W150" s="150"/>
      <c r="X150" s="166"/>
      <c r="Y150" s="166"/>
      <c r="Z150" s="167"/>
      <c r="AA150" s="167"/>
      <c r="AB150" s="168"/>
      <c r="AC150" s="167"/>
      <c r="AD150" s="169"/>
      <c r="AE150" s="169"/>
      <c r="AF150" s="169"/>
      <c r="AG150" s="169"/>
      <c r="AH150" s="167"/>
    </row>
    <row r="151" spans="1:34">
      <c r="A151" s="169"/>
      <c r="B151" s="169"/>
      <c r="C151" s="169"/>
      <c r="D151" s="169"/>
      <c r="E151" s="165"/>
      <c r="F151" s="162"/>
      <c r="G151" s="26"/>
      <c r="H151" s="23"/>
      <c r="I151" s="23"/>
      <c r="J151" s="124"/>
      <c r="K151" s="23"/>
      <c r="L151" s="124"/>
      <c r="M151" s="26"/>
      <c r="N151" s="156"/>
      <c r="O151" s="27"/>
      <c r="P151" s="27"/>
      <c r="Q151" s="27"/>
      <c r="R151" s="27"/>
      <c r="S151" s="27"/>
      <c r="T151" s="27"/>
      <c r="U151" s="27"/>
      <c r="V151" s="26"/>
      <c r="W151" s="150"/>
      <c r="X151" s="166"/>
      <c r="Y151" s="166"/>
      <c r="Z151" s="167"/>
      <c r="AA151" s="167"/>
      <c r="AB151" s="168"/>
      <c r="AC151" s="167"/>
      <c r="AD151" s="169"/>
      <c r="AE151" s="169"/>
      <c r="AF151" s="169"/>
      <c r="AG151" s="169"/>
      <c r="AH151" s="167"/>
    </row>
    <row r="152" spans="1:34">
      <c r="A152" s="169"/>
      <c r="B152" s="169"/>
      <c r="C152" s="169"/>
      <c r="D152" s="169"/>
      <c r="E152" s="165"/>
      <c r="F152" s="162"/>
      <c r="G152" s="26"/>
      <c r="H152" s="23"/>
      <c r="I152" s="23"/>
      <c r="J152" s="124"/>
      <c r="K152" s="23"/>
      <c r="L152" s="124"/>
      <c r="M152" s="26"/>
      <c r="N152" s="156"/>
      <c r="O152" s="27"/>
      <c r="P152" s="27"/>
      <c r="Q152" s="27"/>
      <c r="R152" s="27"/>
      <c r="S152" s="27"/>
      <c r="T152" s="27"/>
      <c r="U152" s="27"/>
      <c r="V152" s="26"/>
      <c r="W152" s="150"/>
      <c r="X152" s="166"/>
      <c r="Y152" s="166"/>
      <c r="Z152" s="167"/>
      <c r="AA152" s="167"/>
      <c r="AB152" s="168"/>
      <c r="AC152" s="167"/>
      <c r="AD152" s="169"/>
      <c r="AE152" s="169"/>
      <c r="AF152" s="169"/>
      <c r="AG152" s="169"/>
      <c r="AH152" s="167"/>
    </row>
    <row r="153" spans="1:34">
      <c r="A153" s="169"/>
      <c r="B153" s="169"/>
      <c r="C153" s="169"/>
      <c r="D153" s="169"/>
      <c r="E153" s="165"/>
      <c r="F153" s="162"/>
      <c r="G153" s="26"/>
      <c r="H153" s="23"/>
      <c r="I153" s="23"/>
      <c r="J153" s="124"/>
      <c r="K153" s="23"/>
      <c r="L153" s="124"/>
      <c r="M153" s="26"/>
      <c r="N153" s="156"/>
      <c r="O153" s="27"/>
      <c r="P153" s="27"/>
      <c r="Q153" s="27"/>
      <c r="R153" s="27"/>
      <c r="S153" s="27"/>
      <c r="T153" s="27"/>
      <c r="U153" s="27"/>
      <c r="V153" s="26"/>
      <c r="W153" s="150"/>
      <c r="X153" s="166"/>
      <c r="Y153" s="166"/>
      <c r="Z153" s="167"/>
      <c r="AA153" s="167"/>
      <c r="AB153" s="168"/>
      <c r="AC153" s="167"/>
      <c r="AD153" s="169"/>
      <c r="AE153" s="169"/>
      <c r="AF153" s="169"/>
      <c r="AG153" s="169"/>
      <c r="AH153" s="167"/>
    </row>
    <row r="154" spans="1:34">
      <c r="A154" s="169"/>
      <c r="B154" s="169"/>
      <c r="C154" s="169"/>
      <c r="D154" s="169"/>
      <c r="E154" s="165"/>
      <c r="F154" s="162"/>
      <c r="G154" s="26"/>
      <c r="H154" s="23"/>
      <c r="I154" s="23"/>
      <c r="J154" s="124"/>
      <c r="K154" s="23"/>
      <c r="L154" s="124"/>
      <c r="M154" s="26"/>
      <c r="N154" s="156"/>
      <c r="O154" s="27"/>
      <c r="P154" s="27"/>
      <c r="Q154" s="27"/>
      <c r="R154" s="27"/>
      <c r="S154" s="27"/>
      <c r="T154" s="27"/>
      <c r="U154" s="27"/>
      <c r="V154" s="26"/>
      <c r="W154" s="150"/>
      <c r="X154" s="166"/>
      <c r="Y154" s="166"/>
      <c r="Z154" s="167"/>
      <c r="AA154" s="167"/>
      <c r="AB154" s="168"/>
      <c r="AC154" s="167"/>
      <c r="AD154" s="169"/>
      <c r="AE154" s="169"/>
      <c r="AF154" s="169"/>
      <c r="AG154" s="169"/>
      <c r="AH154" s="167"/>
    </row>
    <row r="155" spans="1:34">
      <c r="A155" s="169"/>
      <c r="B155" s="169"/>
      <c r="C155" s="169"/>
      <c r="D155" s="169"/>
      <c r="E155" s="165"/>
      <c r="F155" s="162"/>
      <c r="G155" s="26"/>
      <c r="H155" s="23"/>
      <c r="I155" s="23"/>
      <c r="J155" s="124"/>
      <c r="K155" s="23"/>
      <c r="L155" s="124"/>
      <c r="M155" s="26"/>
      <c r="N155" s="156"/>
      <c r="O155" s="27"/>
      <c r="P155" s="27"/>
      <c r="Q155" s="27"/>
      <c r="R155" s="27"/>
      <c r="S155" s="27"/>
      <c r="T155" s="27"/>
      <c r="U155" s="27"/>
      <c r="V155" s="26"/>
      <c r="W155" s="150"/>
      <c r="X155" s="166"/>
      <c r="Y155" s="166"/>
      <c r="Z155" s="167"/>
      <c r="AA155" s="167"/>
      <c r="AB155" s="168"/>
      <c r="AC155" s="167"/>
      <c r="AD155" s="169"/>
      <c r="AE155" s="169"/>
      <c r="AF155" s="169"/>
      <c r="AG155" s="169"/>
      <c r="AH155" s="167"/>
    </row>
    <row r="156" spans="1:34">
      <c r="A156" s="169"/>
      <c r="B156" s="169"/>
      <c r="C156" s="169"/>
      <c r="D156" s="169"/>
      <c r="E156" s="165"/>
      <c r="F156" s="162"/>
      <c r="G156" s="26"/>
      <c r="H156" s="23"/>
      <c r="I156" s="23"/>
      <c r="J156" s="124"/>
      <c r="K156" s="23"/>
      <c r="L156" s="124"/>
      <c r="M156" s="26"/>
      <c r="N156" s="156"/>
      <c r="O156" s="27"/>
      <c r="P156" s="27"/>
      <c r="Q156" s="27"/>
      <c r="R156" s="27"/>
      <c r="S156" s="27"/>
      <c r="T156" s="27"/>
      <c r="U156" s="27"/>
      <c r="V156" s="26"/>
      <c r="W156" s="150"/>
      <c r="X156" s="166"/>
      <c r="Y156" s="166"/>
      <c r="Z156" s="167"/>
      <c r="AA156" s="167"/>
      <c r="AB156" s="168"/>
      <c r="AC156" s="167"/>
      <c r="AD156" s="169"/>
      <c r="AE156" s="169"/>
      <c r="AF156" s="169"/>
      <c r="AG156" s="169"/>
      <c r="AH156" s="167"/>
    </row>
    <row r="157" spans="1:34">
      <c r="A157" s="169"/>
      <c r="B157" s="169"/>
      <c r="C157" s="169"/>
      <c r="D157" s="169"/>
      <c r="E157" s="165"/>
      <c r="F157" s="162"/>
      <c r="G157" s="26"/>
      <c r="H157" s="23"/>
      <c r="I157" s="23"/>
      <c r="J157" s="124"/>
      <c r="K157" s="23"/>
      <c r="L157" s="124"/>
      <c r="M157" s="26"/>
      <c r="N157" s="156"/>
      <c r="O157" s="27"/>
      <c r="P157" s="27"/>
      <c r="Q157" s="27"/>
      <c r="R157" s="27"/>
      <c r="S157" s="27"/>
      <c r="T157" s="27"/>
      <c r="U157" s="27"/>
      <c r="V157" s="26"/>
      <c r="W157" s="150"/>
      <c r="X157" s="166"/>
      <c r="Y157" s="166"/>
      <c r="Z157" s="167"/>
      <c r="AA157" s="167"/>
      <c r="AB157" s="168"/>
      <c r="AC157" s="167"/>
      <c r="AD157" s="169"/>
      <c r="AE157" s="169"/>
      <c r="AF157" s="169"/>
      <c r="AG157" s="169"/>
      <c r="AH157" s="167"/>
    </row>
    <row r="158" spans="1:34">
      <c r="A158" s="169"/>
      <c r="B158" s="169"/>
      <c r="C158" s="169"/>
      <c r="D158" s="169"/>
      <c r="E158" s="165"/>
      <c r="F158" s="162"/>
      <c r="G158" s="26"/>
      <c r="H158" s="23"/>
      <c r="I158" s="23"/>
      <c r="J158" s="124"/>
      <c r="K158" s="23"/>
      <c r="L158" s="124"/>
      <c r="M158" s="26"/>
      <c r="N158" s="156"/>
      <c r="O158" s="27"/>
      <c r="P158" s="27"/>
      <c r="Q158" s="27"/>
      <c r="R158" s="27"/>
      <c r="S158" s="27"/>
      <c r="T158" s="27"/>
      <c r="U158" s="27"/>
      <c r="V158" s="26"/>
      <c r="W158" s="150"/>
      <c r="X158" s="166"/>
      <c r="Y158" s="166"/>
      <c r="Z158" s="167"/>
      <c r="AA158" s="167"/>
      <c r="AB158" s="168"/>
      <c r="AC158" s="167"/>
      <c r="AD158" s="169"/>
      <c r="AE158" s="169"/>
      <c r="AF158" s="169"/>
      <c r="AG158" s="169"/>
      <c r="AH158" s="167"/>
    </row>
    <row r="159" spans="1:34">
      <c r="A159" s="169"/>
      <c r="B159" s="169"/>
      <c r="C159" s="169"/>
      <c r="D159" s="169"/>
      <c r="E159" s="165"/>
      <c r="F159" s="162"/>
      <c r="G159" s="26"/>
      <c r="H159" s="23"/>
      <c r="I159" s="23"/>
      <c r="J159" s="124"/>
      <c r="K159" s="23"/>
      <c r="L159" s="124"/>
      <c r="M159" s="26"/>
      <c r="N159" s="156"/>
      <c r="O159" s="27"/>
      <c r="P159" s="27"/>
      <c r="Q159" s="27"/>
      <c r="R159" s="27"/>
      <c r="S159" s="27"/>
      <c r="T159" s="27"/>
      <c r="U159" s="27"/>
      <c r="V159" s="26"/>
      <c r="W159" s="150"/>
      <c r="X159" s="166"/>
      <c r="Y159" s="166"/>
      <c r="Z159" s="167"/>
      <c r="AA159" s="167"/>
      <c r="AB159" s="168"/>
      <c r="AC159" s="167"/>
      <c r="AD159" s="169"/>
      <c r="AE159" s="169"/>
      <c r="AF159" s="169"/>
      <c r="AG159" s="169"/>
      <c r="AH159" s="167"/>
    </row>
    <row r="160" spans="1:34">
      <c r="A160" s="169"/>
      <c r="B160" s="169"/>
      <c r="C160" s="169"/>
      <c r="D160" s="169"/>
      <c r="E160" s="165"/>
      <c r="F160" s="162"/>
      <c r="G160" s="26"/>
      <c r="H160" s="23"/>
      <c r="I160" s="23"/>
      <c r="J160" s="124"/>
      <c r="K160" s="23"/>
      <c r="L160" s="124"/>
      <c r="M160" s="26"/>
      <c r="N160" s="156"/>
      <c r="O160" s="27"/>
      <c r="P160" s="27"/>
      <c r="Q160" s="27"/>
      <c r="R160" s="27"/>
      <c r="S160" s="27"/>
      <c r="T160" s="27"/>
      <c r="U160" s="27"/>
      <c r="V160" s="26"/>
      <c r="W160" s="150"/>
      <c r="X160" s="166"/>
      <c r="Y160" s="166"/>
      <c r="Z160" s="167"/>
      <c r="AA160" s="167"/>
      <c r="AB160" s="168"/>
      <c r="AC160" s="167"/>
      <c r="AD160" s="169"/>
      <c r="AE160" s="169"/>
      <c r="AF160" s="169"/>
      <c r="AG160" s="169"/>
      <c r="AH160" s="167"/>
    </row>
    <row r="161" spans="1:34">
      <c r="A161" s="169"/>
      <c r="B161" s="169"/>
      <c r="C161" s="169"/>
      <c r="D161" s="169"/>
      <c r="E161" s="165"/>
      <c r="F161" s="162"/>
      <c r="G161" s="26"/>
      <c r="H161" s="23"/>
      <c r="I161" s="23"/>
      <c r="J161" s="124"/>
      <c r="K161" s="23"/>
      <c r="L161" s="124"/>
      <c r="M161" s="26"/>
      <c r="N161" s="156"/>
      <c r="O161" s="27"/>
      <c r="P161" s="27"/>
      <c r="Q161" s="27"/>
      <c r="R161" s="27"/>
      <c r="S161" s="27"/>
      <c r="T161" s="27"/>
      <c r="U161" s="27"/>
      <c r="V161" s="26"/>
      <c r="W161" s="150"/>
      <c r="X161" s="166"/>
      <c r="Y161" s="166"/>
      <c r="Z161" s="167"/>
      <c r="AA161" s="167"/>
      <c r="AB161" s="168"/>
      <c r="AC161" s="167"/>
      <c r="AD161" s="169"/>
      <c r="AE161" s="169"/>
      <c r="AF161" s="169"/>
      <c r="AG161" s="169"/>
      <c r="AH161" s="167"/>
    </row>
    <row r="162" spans="1:34">
      <c r="A162" s="169"/>
      <c r="B162" s="169"/>
      <c r="C162" s="169"/>
      <c r="D162" s="169"/>
      <c r="E162" s="165"/>
      <c r="F162" s="162"/>
      <c r="G162" s="26"/>
      <c r="H162" s="23"/>
      <c r="I162" s="23"/>
      <c r="J162" s="124"/>
      <c r="K162" s="23"/>
      <c r="L162" s="124"/>
      <c r="M162" s="26"/>
      <c r="N162" s="156"/>
      <c r="O162" s="27"/>
      <c r="P162" s="27"/>
      <c r="Q162" s="27"/>
      <c r="R162" s="27"/>
      <c r="S162" s="27"/>
      <c r="T162" s="27"/>
      <c r="U162" s="27"/>
      <c r="V162" s="26"/>
      <c r="W162" s="150"/>
      <c r="X162" s="166"/>
      <c r="Y162" s="166"/>
      <c r="Z162" s="167"/>
      <c r="AA162" s="167"/>
      <c r="AB162" s="168"/>
      <c r="AC162" s="167"/>
      <c r="AD162" s="169"/>
      <c r="AE162" s="169"/>
      <c r="AF162" s="169"/>
      <c r="AG162" s="169"/>
      <c r="AH162" s="167"/>
    </row>
    <row r="163" spans="1:34">
      <c r="A163" s="169"/>
      <c r="B163" s="169"/>
      <c r="C163" s="169"/>
      <c r="D163" s="169"/>
      <c r="E163" s="165"/>
      <c r="F163" s="162"/>
      <c r="G163" s="26"/>
      <c r="H163" s="23"/>
      <c r="I163" s="23"/>
      <c r="J163" s="124"/>
      <c r="K163" s="23"/>
      <c r="L163" s="124"/>
      <c r="M163" s="26"/>
      <c r="N163" s="156"/>
      <c r="O163" s="27"/>
      <c r="P163" s="27"/>
      <c r="Q163" s="27"/>
      <c r="R163" s="27"/>
      <c r="S163" s="27"/>
      <c r="T163" s="27"/>
      <c r="U163" s="27"/>
      <c r="V163" s="26"/>
      <c r="W163" s="150"/>
      <c r="X163" s="166"/>
      <c r="Y163" s="166"/>
      <c r="Z163" s="167"/>
      <c r="AA163" s="167"/>
      <c r="AB163" s="168"/>
      <c r="AC163" s="167"/>
      <c r="AD163" s="169"/>
      <c r="AE163" s="169"/>
      <c r="AF163" s="169"/>
      <c r="AG163" s="169"/>
      <c r="AH163" s="167"/>
    </row>
    <row r="164" spans="1:34">
      <c r="A164" s="169"/>
      <c r="B164" s="169"/>
      <c r="C164" s="169"/>
      <c r="D164" s="169"/>
      <c r="E164" s="165"/>
      <c r="F164" s="162"/>
      <c r="G164" s="26"/>
      <c r="H164" s="23"/>
      <c r="I164" s="23"/>
      <c r="J164" s="124"/>
      <c r="K164" s="23"/>
      <c r="L164" s="124"/>
      <c r="M164" s="26"/>
      <c r="N164" s="156"/>
      <c r="O164" s="27"/>
      <c r="P164" s="27"/>
      <c r="Q164" s="27"/>
      <c r="R164" s="27"/>
      <c r="S164" s="27"/>
      <c r="T164" s="27"/>
      <c r="U164" s="27"/>
      <c r="V164" s="26"/>
      <c r="W164" s="150"/>
      <c r="X164" s="166"/>
      <c r="Y164" s="166"/>
      <c r="Z164" s="167"/>
      <c r="AA164" s="167"/>
      <c r="AB164" s="168"/>
      <c r="AC164" s="167"/>
      <c r="AD164" s="169"/>
      <c r="AE164" s="169"/>
      <c r="AF164" s="169"/>
      <c r="AG164" s="169"/>
      <c r="AH164" s="167"/>
    </row>
    <row r="165" spans="1:34">
      <c r="A165" s="169"/>
      <c r="B165" s="169"/>
      <c r="C165" s="169"/>
      <c r="D165" s="169"/>
      <c r="E165" s="165"/>
      <c r="F165" s="162"/>
      <c r="G165" s="26"/>
      <c r="H165" s="23"/>
      <c r="I165" s="23"/>
      <c r="J165" s="124"/>
      <c r="K165" s="23"/>
      <c r="L165" s="124"/>
      <c r="M165" s="26"/>
      <c r="N165" s="156"/>
      <c r="O165" s="27"/>
      <c r="P165" s="27"/>
      <c r="Q165" s="27"/>
      <c r="R165" s="27"/>
      <c r="S165" s="27"/>
      <c r="T165" s="27"/>
      <c r="U165" s="27"/>
      <c r="V165" s="26"/>
      <c r="W165" s="150"/>
      <c r="X165" s="166"/>
      <c r="Y165" s="166"/>
      <c r="Z165" s="167"/>
      <c r="AA165" s="167"/>
      <c r="AB165" s="168"/>
      <c r="AC165" s="167"/>
      <c r="AD165" s="169"/>
      <c r="AE165" s="169"/>
      <c r="AF165" s="169"/>
      <c r="AG165" s="169"/>
      <c r="AH165" s="167"/>
    </row>
    <row r="166" spans="1:34">
      <c r="A166" s="169"/>
      <c r="B166" s="169"/>
      <c r="C166" s="169"/>
      <c r="D166" s="169"/>
      <c r="E166" s="165"/>
      <c r="F166" s="162"/>
      <c r="G166" s="26"/>
      <c r="H166" s="23"/>
      <c r="I166" s="23"/>
      <c r="J166" s="124"/>
      <c r="K166" s="23"/>
      <c r="L166" s="124"/>
      <c r="M166" s="26"/>
      <c r="N166" s="156"/>
      <c r="O166" s="27"/>
      <c r="P166" s="27"/>
      <c r="Q166" s="27"/>
      <c r="R166" s="27"/>
      <c r="S166" s="27"/>
      <c r="T166" s="27"/>
      <c r="U166" s="27"/>
      <c r="V166" s="26"/>
      <c r="W166" s="150"/>
      <c r="X166" s="166"/>
      <c r="Y166" s="166"/>
      <c r="Z166" s="167"/>
      <c r="AA166" s="167"/>
      <c r="AB166" s="168"/>
      <c r="AC166" s="167"/>
      <c r="AD166" s="169"/>
      <c r="AE166" s="169"/>
      <c r="AF166" s="169"/>
      <c r="AG166" s="169"/>
      <c r="AH166" s="167"/>
    </row>
    <row r="167" spans="1:34">
      <c r="A167" s="169"/>
      <c r="B167" s="169"/>
      <c r="C167" s="169"/>
      <c r="D167" s="169"/>
      <c r="E167" s="165"/>
      <c r="F167" s="162"/>
      <c r="G167" s="26"/>
      <c r="H167" s="23"/>
      <c r="I167" s="23"/>
      <c r="J167" s="124"/>
      <c r="K167" s="23"/>
      <c r="L167" s="124"/>
      <c r="M167" s="26"/>
      <c r="N167" s="156"/>
      <c r="O167" s="27"/>
      <c r="P167" s="27"/>
      <c r="Q167" s="27"/>
      <c r="R167" s="27"/>
      <c r="S167" s="27"/>
      <c r="T167" s="27"/>
      <c r="U167" s="27"/>
      <c r="V167" s="26"/>
      <c r="W167" s="150"/>
      <c r="X167" s="166"/>
      <c r="Y167" s="166"/>
      <c r="Z167" s="167"/>
      <c r="AA167" s="167"/>
      <c r="AB167" s="168"/>
      <c r="AC167" s="167"/>
      <c r="AD167" s="169"/>
      <c r="AE167" s="169"/>
      <c r="AF167" s="169"/>
      <c r="AG167" s="169"/>
      <c r="AH167" s="167"/>
    </row>
    <row r="168" spans="1:34">
      <c r="A168" s="169"/>
      <c r="B168" s="169"/>
      <c r="C168" s="169"/>
      <c r="D168" s="169"/>
      <c r="E168" s="165"/>
      <c r="F168" s="162"/>
      <c r="G168" s="26"/>
      <c r="H168" s="23"/>
      <c r="I168" s="23"/>
      <c r="J168" s="124"/>
      <c r="K168" s="23"/>
      <c r="L168" s="124"/>
      <c r="M168" s="26"/>
      <c r="N168" s="156"/>
      <c r="O168" s="27"/>
      <c r="P168" s="27"/>
      <c r="Q168" s="27"/>
      <c r="R168" s="27"/>
      <c r="S168" s="27"/>
      <c r="T168" s="27"/>
      <c r="U168" s="27"/>
      <c r="V168" s="26"/>
      <c r="W168" s="150"/>
      <c r="X168" s="166"/>
      <c r="Y168" s="166"/>
      <c r="Z168" s="167"/>
      <c r="AA168" s="167"/>
      <c r="AB168" s="168"/>
      <c r="AC168" s="167"/>
      <c r="AD168" s="169"/>
      <c r="AE168" s="169"/>
      <c r="AF168" s="169"/>
      <c r="AG168" s="169"/>
      <c r="AH168" s="167"/>
    </row>
    <row r="169" spans="1:34">
      <c r="A169" s="169"/>
      <c r="B169" s="169"/>
      <c r="C169" s="169"/>
      <c r="D169" s="169"/>
      <c r="E169" s="165"/>
      <c r="F169" s="162"/>
      <c r="G169" s="26"/>
      <c r="H169" s="23"/>
      <c r="I169" s="23"/>
      <c r="J169" s="124"/>
      <c r="K169" s="23"/>
      <c r="L169" s="124"/>
      <c r="M169" s="26"/>
      <c r="N169" s="156"/>
      <c r="O169" s="27"/>
      <c r="P169" s="27"/>
      <c r="Q169" s="27"/>
      <c r="R169" s="27"/>
      <c r="S169" s="27"/>
      <c r="T169" s="27"/>
      <c r="U169" s="27"/>
      <c r="V169" s="26"/>
      <c r="W169" s="150"/>
      <c r="X169" s="166"/>
      <c r="Y169" s="166"/>
      <c r="Z169" s="167"/>
      <c r="AA169" s="167"/>
      <c r="AB169" s="168"/>
      <c r="AC169" s="167"/>
      <c r="AD169" s="169"/>
      <c r="AE169" s="169"/>
      <c r="AF169" s="169"/>
      <c r="AG169" s="169"/>
      <c r="AH169" s="167"/>
    </row>
    <row r="170" spans="1:34">
      <c r="A170" s="169"/>
      <c r="B170" s="169"/>
      <c r="C170" s="169"/>
      <c r="D170" s="169"/>
      <c r="E170" s="165"/>
      <c r="F170" s="162"/>
      <c r="G170" s="26"/>
      <c r="H170" s="23"/>
      <c r="I170" s="23"/>
      <c r="J170" s="124"/>
      <c r="K170" s="23"/>
      <c r="L170" s="124"/>
      <c r="M170" s="26"/>
      <c r="N170" s="156"/>
      <c r="O170" s="27"/>
      <c r="P170" s="27"/>
      <c r="Q170" s="27"/>
      <c r="R170" s="27"/>
      <c r="S170" s="27"/>
      <c r="T170" s="27"/>
      <c r="U170" s="27"/>
      <c r="V170" s="26"/>
      <c r="W170" s="150"/>
      <c r="X170" s="166"/>
      <c r="Y170" s="166"/>
      <c r="Z170" s="167"/>
      <c r="AA170" s="167"/>
      <c r="AB170" s="168"/>
      <c r="AC170" s="167"/>
      <c r="AD170" s="169"/>
      <c r="AE170" s="169"/>
      <c r="AF170" s="169"/>
      <c r="AG170" s="169"/>
      <c r="AH170" s="167"/>
    </row>
    <row r="171" spans="1:34">
      <c r="A171" s="169"/>
      <c r="B171" s="169"/>
      <c r="C171" s="169"/>
      <c r="D171" s="169"/>
      <c r="E171" s="165"/>
      <c r="F171" s="162"/>
      <c r="G171" s="26"/>
      <c r="H171" s="23"/>
      <c r="I171" s="23"/>
      <c r="J171" s="124"/>
      <c r="K171" s="23"/>
      <c r="L171" s="124"/>
      <c r="M171" s="26"/>
      <c r="N171" s="156"/>
      <c r="O171" s="27"/>
      <c r="P171" s="27"/>
      <c r="Q171" s="27"/>
      <c r="R171" s="27"/>
      <c r="S171" s="27"/>
      <c r="T171" s="27"/>
      <c r="U171" s="27"/>
      <c r="V171" s="26"/>
      <c r="W171" s="150"/>
      <c r="X171" s="166"/>
      <c r="Y171" s="166"/>
      <c r="Z171" s="167"/>
      <c r="AA171" s="167"/>
      <c r="AB171" s="168"/>
      <c r="AC171" s="167"/>
      <c r="AD171" s="169"/>
      <c r="AE171" s="169"/>
      <c r="AF171" s="169"/>
      <c r="AG171" s="169"/>
      <c r="AH171" s="167"/>
    </row>
    <row r="172" spans="1:34">
      <c r="A172" s="169"/>
      <c r="B172" s="169"/>
      <c r="C172" s="169"/>
      <c r="D172" s="169"/>
      <c r="E172" s="165"/>
      <c r="F172" s="162"/>
      <c r="G172" s="26"/>
      <c r="H172" s="23"/>
      <c r="I172" s="23"/>
      <c r="J172" s="124"/>
      <c r="K172" s="23"/>
      <c r="L172" s="124"/>
      <c r="M172" s="26"/>
      <c r="N172" s="156"/>
      <c r="O172" s="27"/>
      <c r="P172" s="27"/>
      <c r="Q172" s="27"/>
      <c r="R172" s="27"/>
      <c r="S172" s="27"/>
      <c r="T172" s="27"/>
      <c r="U172" s="27"/>
      <c r="V172" s="26"/>
      <c r="W172" s="150"/>
      <c r="X172" s="166"/>
      <c r="Y172" s="166"/>
      <c r="Z172" s="167"/>
      <c r="AA172" s="167"/>
      <c r="AB172" s="168"/>
      <c r="AC172" s="167"/>
      <c r="AD172" s="169"/>
      <c r="AE172" s="169"/>
      <c r="AF172" s="169"/>
      <c r="AG172" s="169"/>
      <c r="AH172" s="167"/>
    </row>
    <row r="173" spans="1:34">
      <c r="A173" s="169"/>
      <c r="B173" s="169"/>
      <c r="C173" s="169"/>
      <c r="D173" s="169"/>
      <c r="E173" s="165"/>
      <c r="F173" s="162"/>
      <c r="G173" s="26"/>
      <c r="H173" s="23"/>
      <c r="I173" s="23"/>
      <c r="J173" s="124"/>
      <c r="K173" s="23"/>
      <c r="L173" s="124"/>
      <c r="M173" s="26"/>
      <c r="N173" s="156"/>
      <c r="O173" s="27"/>
      <c r="P173" s="27"/>
      <c r="Q173" s="27"/>
      <c r="R173" s="27"/>
      <c r="S173" s="27"/>
      <c r="T173" s="27"/>
      <c r="U173" s="27"/>
      <c r="V173" s="26"/>
      <c r="W173" s="150"/>
      <c r="X173" s="166"/>
      <c r="Y173" s="166"/>
      <c r="Z173" s="167"/>
      <c r="AA173" s="167"/>
      <c r="AB173" s="168"/>
      <c r="AC173" s="167"/>
      <c r="AD173" s="169"/>
      <c r="AE173" s="169"/>
      <c r="AF173" s="169"/>
      <c r="AG173" s="169"/>
      <c r="AH173" s="167"/>
    </row>
    <row r="174" spans="1:34">
      <c r="A174" s="169"/>
      <c r="B174" s="169"/>
      <c r="C174" s="169"/>
      <c r="D174" s="169"/>
      <c r="E174" s="165"/>
      <c r="F174" s="162"/>
      <c r="G174" s="26"/>
      <c r="H174" s="23"/>
      <c r="I174" s="23"/>
      <c r="J174" s="124"/>
      <c r="K174" s="23"/>
      <c r="L174" s="124"/>
      <c r="M174" s="26"/>
      <c r="N174" s="156"/>
      <c r="O174" s="27"/>
      <c r="P174" s="27"/>
      <c r="Q174" s="27"/>
      <c r="R174" s="27"/>
      <c r="S174" s="27"/>
      <c r="T174" s="27"/>
      <c r="U174" s="27"/>
      <c r="V174" s="26"/>
      <c r="W174" s="150"/>
      <c r="X174" s="166"/>
      <c r="Y174" s="166"/>
      <c r="Z174" s="167"/>
      <c r="AA174" s="167"/>
      <c r="AB174" s="168"/>
      <c r="AC174" s="167"/>
      <c r="AD174" s="169"/>
      <c r="AE174" s="169"/>
      <c r="AF174" s="169"/>
      <c r="AG174" s="169"/>
      <c r="AH174" s="167"/>
    </row>
    <row r="175" spans="1:34">
      <c r="A175" s="169"/>
      <c r="B175" s="169"/>
      <c r="C175" s="169"/>
      <c r="D175" s="169"/>
      <c r="E175" s="165"/>
      <c r="F175" s="162"/>
      <c r="G175" s="26"/>
      <c r="H175" s="23"/>
      <c r="I175" s="23"/>
      <c r="J175" s="124"/>
      <c r="K175" s="23"/>
      <c r="L175" s="124"/>
      <c r="M175" s="26"/>
      <c r="N175" s="156"/>
      <c r="O175" s="27"/>
      <c r="P175" s="27"/>
      <c r="Q175" s="27"/>
      <c r="R175" s="27"/>
      <c r="S175" s="27"/>
      <c r="T175" s="27"/>
      <c r="U175" s="27"/>
      <c r="V175" s="26"/>
      <c r="W175" s="150"/>
      <c r="X175" s="166"/>
      <c r="Y175" s="166"/>
      <c r="Z175" s="167"/>
      <c r="AA175" s="167"/>
      <c r="AB175" s="168"/>
      <c r="AC175" s="167"/>
      <c r="AD175" s="169"/>
      <c r="AE175" s="169"/>
      <c r="AF175" s="169"/>
      <c r="AG175" s="169"/>
      <c r="AH175" s="167"/>
    </row>
    <row r="176" spans="1:34">
      <c r="A176" s="169"/>
      <c r="B176" s="169"/>
      <c r="C176" s="169"/>
      <c r="D176" s="169"/>
      <c r="E176" s="165"/>
      <c r="F176" s="162"/>
      <c r="G176" s="26"/>
      <c r="H176" s="23"/>
      <c r="I176" s="23"/>
      <c r="J176" s="124"/>
      <c r="K176" s="23"/>
      <c r="L176" s="124"/>
      <c r="M176" s="26"/>
      <c r="N176" s="156"/>
      <c r="O176" s="27"/>
      <c r="P176" s="27"/>
      <c r="Q176" s="27"/>
      <c r="R176" s="27"/>
      <c r="S176" s="27"/>
      <c r="T176" s="27"/>
      <c r="U176" s="27"/>
      <c r="V176" s="26"/>
      <c r="W176" s="150"/>
      <c r="X176" s="166"/>
      <c r="Y176" s="166"/>
      <c r="Z176" s="167"/>
      <c r="AA176" s="167"/>
      <c r="AB176" s="168"/>
      <c r="AC176" s="167"/>
      <c r="AD176" s="169"/>
      <c r="AE176" s="169"/>
      <c r="AF176" s="169"/>
      <c r="AG176" s="169"/>
      <c r="AH176" s="167"/>
    </row>
    <row r="177" spans="1:34">
      <c r="A177" s="169"/>
      <c r="B177" s="169"/>
      <c r="C177" s="169"/>
      <c r="D177" s="169"/>
      <c r="E177" s="165"/>
      <c r="F177" s="162"/>
      <c r="G177" s="26"/>
      <c r="H177" s="23"/>
      <c r="I177" s="23"/>
      <c r="J177" s="124"/>
      <c r="K177" s="23"/>
      <c r="L177" s="124"/>
      <c r="M177" s="26"/>
      <c r="N177" s="156"/>
      <c r="O177" s="27"/>
      <c r="P177" s="27"/>
      <c r="Q177" s="27"/>
      <c r="R177" s="27"/>
      <c r="S177" s="27"/>
      <c r="T177" s="27"/>
      <c r="U177" s="27"/>
      <c r="V177" s="26"/>
      <c r="W177" s="150"/>
      <c r="X177" s="166"/>
      <c r="Y177" s="166"/>
      <c r="Z177" s="167"/>
      <c r="AA177" s="167"/>
      <c r="AB177" s="168"/>
      <c r="AC177" s="167"/>
      <c r="AD177" s="169"/>
      <c r="AE177" s="169"/>
      <c r="AF177" s="169"/>
      <c r="AG177" s="169"/>
      <c r="AH177" s="167"/>
    </row>
    <row r="178" spans="1:34">
      <c r="A178" s="169"/>
      <c r="B178" s="169"/>
      <c r="C178" s="169"/>
      <c r="D178" s="169"/>
      <c r="E178" s="165"/>
      <c r="F178" s="162"/>
      <c r="G178" s="26"/>
      <c r="H178" s="23"/>
      <c r="I178" s="23"/>
      <c r="J178" s="124"/>
      <c r="K178" s="23"/>
      <c r="L178" s="124"/>
      <c r="M178" s="26"/>
      <c r="N178" s="156"/>
      <c r="O178" s="27"/>
      <c r="P178" s="27"/>
      <c r="Q178" s="27"/>
      <c r="R178" s="27"/>
      <c r="S178" s="27"/>
      <c r="T178" s="27"/>
      <c r="U178" s="27"/>
      <c r="V178" s="26"/>
      <c r="W178" s="150"/>
      <c r="X178" s="166"/>
      <c r="Y178" s="166"/>
      <c r="Z178" s="167"/>
      <c r="AA178" s="167"/>
      <c r="AB178" s="168"/>
      <c r="AC178" s="167"/>
      <c r="AD178" s="169"/>
      <c r="AE178" s="169"/>
      <c r="AF178" s="169"/>
      <c r="AG178" s="169"/>
      <c r="AH178" s="167"/>
    </row>
    <row r="179" spans="1:34">
      <c r="A179" s="169"/>
      <c r="B179" s="169"/>
      <c r="C179" s="169"/>
      <c r="D179" s="169"/>
      <c r="E179" s="165"/>
      <c r="F179" s="162"/>
      <c r="G179" s="26"/>
      <c r="H179" s="23"/>
      <c r="I179" s="23"/>
      <c r="J179" s="124"/>
      <c r="K179" s="23"/>
      <c r="L179" s="124"/>
      <c r="M179" s="26"/>
      <c r="N179" s="156"/>
      <c r="O179" s="27"/>
      <c r="P179" s="27"/>
      <c r="Q179" s="27"/>
      <c r="R179" s="27"/>
      <c r="S179" s="27"/>
      <c r="T179" s="27"/>
      <c r="U179" s="27"/>
      <c r="V179" s="26"/>
      <c r="W179" s="150"/>
      <c r="X179" s="166"/>
      <c r="Y179" s="166"/>
      <c r="Z179" s="167"/>
      <c r="AA179" s="167"/>
      <c r="AB179" s="168"/>
      <c r="AC179" s="167"/>
      <c r="AD179" s="169"/>
      <c r="AE179" s="169"/>
      <c r="AF179" s="169"/>
      <c r="AG179" s="169"/>
      <c r="AH179" s="167"/>
    </row>
    <row r="180" spans="1:34">
      <c r="A180" s="169"/>
      <c r="B180" s="169"/>
      <c r="C180" s="169"/>
      <c r="D180" s="169"/>
      <c r="E180" s="165"/>
      <c r="F180" s="162"/>
      <c r="G180" s="26"/>
      <c r="H180" s="23"/>
      <c r="I180" s="23"/>
      <c r="J180" s="124"/>
      <c r="K180" s="23"/>
      <c r="L180" s="124"/>
      <c r="M180" s="26"/>
      <c r="N180" s="156"/>
      <c r="O180" s="27"/>
      <c r="P180" s="27"/>
      <c r="Q180" s="27"/>
      <c r="R180" s="27"/>
      <c r="S180" s="27"/>
      <c r="T180" s="27"/>
      <c r="U180" s="27"/>
      <c r="V180" s="26"/>
      <c r="W180" s="150"/>
      <c r="X180" s="166"/>
      <c r="Y180" s="166"/>
      <c r="Z180" s="167"/>
      <c r="AA180" s="167"/>
      <c r="AB180" s="168"/>
      <c r="AC180" s="167"/>
      <c r="AD180" s="169"/>
      <c r="AE180" s="169"/>
      <c r="AF180" s="169"/>
      <c r="AG180" s="169"/>
      <c r="AH180" s="167"/>
    </row>
    <row r="181" spans="1:34">
      <c r="A181" s="169"/>
      <c r="B181" s="169"/>
      <c r="C181" s="169"/>
      <c r="D181" s="169"/>
      <c r="E181" s="165"/>
      <c r="F181" s="162"/>
      <c r="G181" s="26"/>
      <c r="H181" s="23"/>
      <c r="I181" s="23"/>
      <c r="J181" s="124"/>
      <c r="K181" s="23"/>
      <c r="L181" s="124"/>
      <c r="M181" s="26"/>
      <c r="N181" s="156"/>
      <c r="O181" s="27"/>
      <c r="P181" s="27"/>
      <c r="Q181" s="27"/>
      <c r="R181" s="27"/>
      <c r="S181" s="27"/>
      <c r="T181" s="27"/>
      <c r="U181" s="27"/>
      <c r="V181" s="26"/>
      <c r="W181" s="150"/>
      <c r="X181" s="166"/>
      <c r="Y181" s="166"/>
      <c r="Z181" s="167"/>
      <c r="AA181" s="167"/>
      <c r="AB181" s="168"/>
      <c r="AC181" s="167"/>
      <c r="AD181" s="169"/>
      <c r="AE181" s="169"/>
      <c r="AF181" s="169"/>
      <c r="AG181" s="169"/>
      <c r="AH181" s="167"/>
    </row>
    <row r="182" spans="1:34">
      <c r="A182" s="169"/>
      <c r="B182" s="169"/>
      <c r="C182" s="169"/>
      <c r="D182" s="169"/>
      <c r="E182" s="165"/>
      <c r="F182" s="162"/>
      <c r="G182" s="26"/>
      <c r="H182" s="23"/>
      <c r="I182" s="23"/>
      <c r="J182" s="124"/>
      <c r="K182" s="23"/>
      <c r="L182" s="124"/>
      <c r="M182" s="26"/>
      <c r="N182" s="156"/>
      <c r="O182" s="27"/>
      <c r="P182" s="27"/>
      <c r="Q182" s="27"/>
      <c r="R182" s="27"/>
      <c r="S182" s="27"/>
      <c r="T182" s="27"/>
      <c r="U182" s="27"/>
      <c r="V182" s="26"/>
      <c r="W182" s="150"/>
      <c r="X182" s="166"/>
      <c r="Y182" s="166"/>
      <c r="Z182" s="167"/>
      <c r="AA182" s="167"/>
      <c r="AB182" s="168"/>
      <c r="AC182" s="167"/>
      <c r="AD182" s="169"/>
      <c r="AE182" s="169"/>
      <c r="AF182" s="169"/>
      <c r="AG182" s="169"/>
      <c r="AH182" s="167"/>
    </row>
    <row r="183" spans="1:34">
      <c r="A183" s="169"/>
      <c r="B183" s="169"/>
      <c r="C183" s="169"/>
      <c r="D183" s="169"/>
      <c r="E183" s="165"/>
      <c r="F183" s="162"/>
      <c r="G183" s="26"/>
      <c r="H183" s="23"/>
      <c r="I183" s="23"/>
      <c r="J183" s="124"/>
      <c r="K183" s="23"/>
      <c r="L183" s="124"/>
      <c r="M183" s="26"/>
      <c r="N183" s="156"/>
      <c r="O183" s="27"/>
      <c r="P183" s="27"/>
      <c r="Q183" s="27"/>
      <c r="R183" s="27"/>
      <c r="S183" s="27"/>
      <c r="T183" s="27"/>
      <c r="U183" s="27"/>
      <c r="V183" s="26"/>
      <c r="W183" s="150"/>
      <c r="X183" s="166"/>
      <c r="Y183" s="166"/>
      <c r="Z183" s="167"/>
      <c r="AA183" s="167"/>
      <c r="AB183" s="168"/>
      <c r="AC183" s="167"/>
      <c r="AD183" s="169"/>
      <c r="AE183" s="169"/>
      <c r="AF183" s="169"/>
      <c r="AG183" s="169"/>
      <c r="AH183" s="167"/>
    </row>
    <row r="184" spans="1:34">
      <c r="A184" s="169"/>
      <c r="B184" s="169"/>
      <c r="C184" s="169"/>
      <c r="D184" s="169"/>
      <c r="E184" s="165"/>
      <c r="F184" s="162"/>
      <c r="G184" s="26"/>
      <c r="H184" s="23"/>
      <c r="I184" s="23"/>
      <c r="J184" s="124"/>
      <c r="K184" s="23"/>
      <c r="L184" s="124"/>
      <c r="M184" s="26"/>
      <c r="N184" s="156"/>
      <c r="O184" s="27"/>
      <c r="P184" s="27"/>
      <c r="Q184" s="27"/>
      <c r="R184" s="27"/>
      <c r="S184" s="27"/>
      <c r="T184" s="27"/>
      <c r="U184" s="27"/>
      <c r="V184" s="26"/>
      <c r="W184" s="150"/>
      <c r="X184" s="166"/>
      <c r="Y184" s="166"/>
      <c r="Z184" s="167"/>
      <c r="AA184" s="167"/>
      <c r="AB184" s="168"/>
      <c r="AC184" s="167"/>
      <c r="AD184" s="169"/>
      <c r="AE184" s="169"/>
      <c r="AF184" s="169"/>
      <c r="AG184" s="169"/>
      <c r="AH184" s="167"/>
    </row>
    <row r="185" spans="1:34">
      <c r="A185" s="169"/>
      <c r="B185" s="169"/>
      <c r="C185" s="169"/>
      <c r="D185" s="169"/>
      <c r="E185" s="165"/>
      <c r="F185" s="162"/>
      <c r="G185" s="26"/>
      <c r="H185" s="23"/>
      <c r="I185" s="23"/>
      <c r="J185" s="124"/>
      <c r="K185" s="23"/>
      <c r="L185" s="124"/>
      <c r="M185" s="26"/>
      <c r="N185" s="156"/>
      <c r="O185" s="27"/>
      <c r="P185" s="27"/>
      <c r="Q185" s="27"/>
      <c r="R185" s="27"/>
      <c r="S185" s="27"/>
      <c r="T185" s="27"/>
      <c r="U185" s="27"/>
      <c r="V185" s="26"/>
      <c r="W185" s="150"/>
      <c r="X185" s="166"/>
      <c r="Y185" s="166"/>
      <c r="Z185" s="167"/>
      <c r="AA185" s="167"/>
      <c r="AB185" s="168"/>
      <c r="AC185" s="167"/>
      <c r="AD185" s="169"/>
      <c r="AE185" s="169"/>
      <c r="AF185" s="169"/>
      <c r="AG185" s="169"/>
      <c r="AH185" s="167"/>
    </row>
    <row r="186" spans="1:34">
      <c r="A186" s="169"/>
      <c r="B186" s="169"/>
      <c r="C186" s="169"/>
      <c r="D186" s="169"/>
      <c r="E186" s="165"/>
      <c r="F186" s="162"/>
      <c r="G186" s="26"/>
      <c r="H186" s="23"/>
      <c r="I186" s="23"/>
      <c r="J186" s="124"/>
      <c r="K186" s="23"/>
      <c r="L186" s="124"/>
      <c r="M186" s="26"/>
      <c r="N186" s="156"/>
      <c r="O186" s="27"/>
      <c r="P186" s="27"/>
      <c r="Q186" s="27"/>
      <c r="R186" s="27"/>
      <c r="S186" s="27"/>
      <c r="T186" s="27"/>
      <c r="U186" s="27"/>
      <c r="V186" s="26"/>
      <c r="W186" s="150"/>
      <c r="X186" s="166"/>
      <c r="Y186" s="166"/>
      <c r="Z186" s="167"/>
      <c r="AA186" s="167"/>
      <c r="AB186" s="168"/>
      <c r="AC186" s="167"/>
      <c r="AD186" s="169"/>
      <c r="AE186" s="169"/>
      <c r="AF186" s="169"/>
      <c r="AG186" s="169"/>
      <c r="AH186" s="167"/>
    </row>
    <row r="187" spans="1:34">
      <c r="A187" s="169"/>
      <c r="B187" s="169"/>
      <c r="C187" s="169"/>
      <c r="D187" s="169"/>
      <c r="E187" s="165"/>
      <c r="F187" s="162"/>
      <c r="G187" s="26"/>
      <c r="H187" s="23"/>
      <c r="I187" s="23"/>
      <c r="J187" s="124"/>
      <c r="K187" s="23"/>
      <c r="L187" s="124"/>
      <c r="M187" s="26"/>
      <c r="N187" s="156"/>
      <c r="O187" s="27"/>
      <c r="P187" s="27"/>
      <c r="Q187" s="27"/>
      <c r="R187" s="27"/>
      <c r="S187" s="27"/>
      <c r="T187" s="27"/>
      <c r="U187" s="27"/>
      <c r="V187" s="26"/>
      <c r="W187" s="150"/>
      <c r="X187" s="166"/>
      <c r="Y187" s="166"/>
      <c r="Z187" s="167"/>
      <c r="AA187" s="167"/>
      <c r="AB187" s="168"/>
      <c r="AC187" s="167"/>
      <c r="AD187" s="169"/>
      <c r="AE187" s="169"/>
      <c r="AF187" s="169"/>
      <c r="AG187" s="169"/>
      <c r="AH187" s="167"/>
    </row>
    <row r="188" spans="1:34">
      <c r="A188" s="169"/>
      <c r="B188" s="169"/>
      <c r="C188" s="169"/>
      <c r="D188" s="169"/>
      <c r="E188" s="165"/>
      <c r="F188" s="162"/>
      <c r="G188" s="26"/>
      <c r="H188" s="23"/>
      <c r="I188" s="23"/>
      <c r="J188" s="124"/>
      <c r="K188" s="23"/>
      <c r="L188" s="124"/>
      <c r="M188" s="26"/>
      <c r="N188" s="156"/>
      <c r="O188" s="27"/>
      <c r="P188" s="27"/>
      <c r="Q188" s="27"/>
      <c r="R188" s="27"/>
      <c r="S188" s="27"/>
      <c r="T188" s="27"/>
      <c r="U188" s="27"/>
      <c r="V188" s="26"/>
      <c r="W188" s="150"/>
      <c r="X188" s="166"/>
      <c r="Y188" s="166"/>
      <c r="Z188" s="167"/>
      <c r="AA188" s="167"/>
      <c r="AB188" s="168"/>
      <c r="AC188" s="167"/>
      <c r="AD188" s="169"/>
      <c r="AE188" s="169"/>
      <c r="AF188" s="169"/>
      <c r="AG188" s="169"/>
      <c r="AH188" s="167"/>
    </row>
    <row r="189" spans="1:34">
      <c r="A189" s="169"/>
      <c r="B189" s="169"/>
      <c r="C189" s="169"/>
      <c r="D189" s="169"/>
      <c r="E189" s="165"/>
      <c r="F189" s="162"/>
      <c r="G189" s="26"/>
      <c r="H189" s="23"/>
      <c r="I189" s="23"/>
      <c r="J189" s="124"/>
      <c r="K189" s="23"/>
      <c r="L189" s="124"/>
      <c r="M189" s="26"/>
      <c r="N189" s="156"/>
      <c r="O189" s="27"/>
      <c r="P189" s="27"/>
      <c r="Q189" s="27"/>
      <c r="R189" s="27"/>
      <c r="S189" s="27"/>
      <c r="T189" s="27"/>
      <c r="U189" s="27"/>
      <c r="V189" s="26"/>
      <c r="W189" s="150"/>
      <c r="X189" s="166"/>
      <c r="Y189" s="166"/>
      <c r="Z189" s="167"/>
      <c r="AA189" s="167"/>
      <c r="AB189" s="168"/>
      <c r="AC189" s="167"/>
      <c r="AD189" s="169"/>
      <c r="AE189" s="169"/>
      <c r="AF189" s="169"/>
      <c r="AG189" s="169"/>
      <c r="AH189" s="167"/>
    </row>
    <row r="190" spans="1:34">
      <c r="A190" s="169"/>
      <c r="B190" s="169"/>
      <c r="C190" s="169"/>
      <c r="D190" s="169"/>
      <c r="E190" s="165"/>
      <c r="F190" s="162"/>
      <c r="G190" s="26"/>
      <c r="H190" s="23"/>
      <c r="I190" s="23"/>
      <c r="J190" s="124"/>
      <c r="K190" s="23"/>
      <c r="L190" s="124"/>
      <c r="M190" s="26"/>
      <c r="N190" s="156"/>
      <c r="O190" s="27"/>
      <c r="P190" s="27"/>
      <c r="Q190" s="27"/>
      <c r="R190" s="27"/>
      <c r="S190" s="27"/>
      <c r="T190" s="27"/>
      <c r="U190" s="27"/>
      <c r="V190" s="26"/>
      <c r="W190" s="150"/>
      <c r="X190" s="166"/>
      <c r="Y190" s="166"/>
      <c r="Z190" s="167"/>
      <c r="AA190" s="167"/>
      <c r="AB190" s="168"/>
      <c r="AC190" s="167"/>
      <c r="AD190" s="169"/>
      <c r="AE190" s="169"/>
      <c r="AF190" s="169"/>
      <c r="AG190" s="169"/>
      <c r="AH190" s="167"/>
    </row>
    <row r="191" spans="1:34">
      <c r="A191" s="169"/>
      <c r="B191" s="169"/>
      <c r="C191" s="169"/>
      <c r="D191" s="169"/>
      <c r="E191" s="165"/>
      <c r="F191" s="162"/>
      <c r="G191" s="26"/>
      <c r="H191" s="23"/>
      <c r="I191" s="23"/>
      <c r="J191" s="124"/>
      <c r="K191" s="23"/>
      <c r="L191" s="124"/>
      <c r="M191" s="26"/>
      <c r="N191" s="156"/>
      <c r="O191" s="27"/>
      <c r="P191" s="27"/>
      <c r="Q191" s="27"/>
      <c r="R191" s="27"/>
      <c r="S191" s="27"/>
      <c r="T191" s="27"/>
      <c r="U191" s="27"/>
      <c r="V191" s="26"/>
      <c r="W191" s="150"/>
      <c r="X191" s="166"/>
      <c r="Y191" s="166"/>
      <c r="Z191" s="167"/>
      <c r="AA191" s="167"/>
      <c r="AB191" s="168"/>
      <c r="AC191" s="167"/>
      <c r="AD191" s="169"/>
      <c r="AE191" s="169"/>
      <c r="AF191" s="169"/>
      <c r="AG191" s="169"/>
      <c r="AH191" s="167"/>
    </row>
    <row r="192" spans="1:34">
      <c r="A192" s="169"/>
      <c r="B192" s="169"/>
      <c r="C192" s="169"/>
      <c r="D192" s="169"/>
      <c r="E192" s="165"/>
      <c r="F192" s="162"/>
      <c r="G192" s="26"/>
      <c r="H192" s="23"/>
      <c r="I192" s="23"/>
      <c r="J192" s="124"/>
      <c r="K192" s="23"/>
      <c r="L192" s="124"/>
      <c r="M192" s="26"/>
      <c r="N192" s="156"/>
      <c r="O192" s="27"/>
      <c r="P192" s="27"/>
      <c r="Q192" s="27"/>
      <c r="R192" s="27"/>
      <c r="S192" s="27"/>
      <c r="T192" s="27"/>
      <c r="U192" s="27"/>
      <c r="V192" s="26"/>
      <c r="W192" s="150"/>
      <c r="X192" s="166"/>
      <c r="Y192" s="166"/>
      <c r="Z192" s="167"/>
      <c r="AA192" s="167"/>
      <c r="AB192" s="168"/>
      <c r="AC192" s="167"/>
      <c r="AD192" s="169"/>
      <c r="AE192" s="169"/>
      <c r="AF192" s="169"/>
      <c r="AG192" s="169"/>
      <c r="AH192" s="167"/>
    </row>
    <row r="193" spans="1:34">
      <c r="A193" s="169"/>
      <c r="B193" s="169"/>
      <c r="C193" s="169"/>
      <c r="D193" s="169"/>
      <c r="E193" s="165"/>
      <c r="F193" s="162"/>
      <c r="G193" s="26"/>
      <c r="H193" s="23"/>
      <c r="I193" s="23"/>
      <c r="J193" s="124"/>
      <c r="K193" s="23"/>
      <c r="L193" s="124"/>
      <c r="M193" s="26"/>
      <c r="N193" s="156"/>
      <c r="O193" s="27"/>
      <c r="P193" s="27"/>
      <c r="Q193" s="27"/>
      <c r="R193" s="27"/>
      <c r="S193" s="27"/>
      <c r="T193" s="27"/>
      <c r="U193" s="27"/>
      <c r="V193" s="26"/>
      <c r="W193" s="150"/>
      <c r="X193" s="166"/>
      <c r="Y193" s="166"/>
      <c r="Z193" s="167"/>
      <c r="AA193" s="167"/>
      <c r="AB193" s="168"/>
      <c r="AC193" s="167"/>
      <c r="AD193" s="169"/>
      <c r="AE193" s="169"/>
      <c r="AF193" s="169"/>
      <c r="AG193" s="169"/>
      <c r="AH193" s="167"/>
    </row>
    <row r="194" spans="1:34">
      <c r="A194" s="169"/>
      <c r="B194" s="169"/>
      <c r="C194" s="169"/>
      <c r="D194" s="169"/>
      <c r="E194" s="165"/>
      <c r="F194" s="162"/>
      <c r="G194" s="26"/>
      <c r="H194" s="23"/>
      <c r="I194" s="23"/>
      <c r="J194" s="124"/>
      <c r="K194" s="23"/>
      <c r="L194" s="124"/>
      <c r="M194" s="26"/>
      <c r="N194" s="156"/>
      <c r="O194" s="27"/>
      <c r="P194" s="27"/>
      <c r="Q194" s="27"/>
      <c r="R194" s="27"/>
      <c r="S194" s="27"/>
      <c r="T194" s="27"/>
      <c r="U194" s="27"/>
      <c r="V194" s="26"/>
      <c r="W194" s="150"/>
      <c r="X194" s="166"/>
      <c r="Y194" s="166"/>
      <c r="Z194" s="167"/>
      <c r="AA194" s="167"/>
      <c r="AB194" s="168"/>
      <c r="AC194" s="167"/>
      <c r="AD194" s="169"/>
      <c r="AE194" s="169"/>
      <c r="AF194" s="169"/>
      <c r="AG194" s="169"/>
      <c r="AH194" s="167"/>
    </row>
    <row r="195" spans="1:34">
      <c r="A195" s="169"/>
      <c r="B195" s="169"/>
      <c r="C195" s="169"/>
      <c r="D195" s="169"/>
      <c r="E195" s="165"/>
      <c r="F195" s="162"/>
      <c r="G195" s="26"/>
      <c r="H195" s="23"/>
      <c r="I195" s="23"/>
      <c r="J195" s="124"/>
      <c r="K195" s="23"/>
      <c r="L195" s="124"/>
      <c r="M195" s="26"/>
      <c r="N195" s="156"/>
      <c r="O195" s="27"/>
      <c r="P195" s="27"/>
      <c r="Q195" s="27"/>
      <c r="R195" s="27"/>
      <c r="S195" s="27"/>
      <c r="T195" s="27"/>
      <c r="U195" s="27"/>
      <c r="V195" s="26"/>
      <c r="W195" s="150"/>
      <c r="X195" s="166"/>
      <c r="Y195" s="166"/>
      <c r="Z195" s="167"/>
      <c r="AA195" s="167"/>
      <c r="AB195" s="168"/>
      <c r="AC195" s="167"/>
      <c r="AD195" s="169"/>
      <c r="AE195" s="169"/>
      <c r="AF195" s="169"/>
      <c r="AG195" s="169"/>
      <c r="AH195" s="167"/>
    </row>
    <row r="196" spans="1:34">
      <c r="A196" s="169"/>
      <c r="B196" s="169"/>
      <c r="C196" s="169"/>
      <c r="D196" s="169"/>
      <c r="E196" s="165"/>
      <c r="F196" s="162"/>
      <c r="G196" s="26"/>
      <c r="H196" s="23"/>
      <c r="I196" s="23"/>
      <c r="J196" s="124"/>
      <c r="K196" s="23"/>
      <c r="L196" s="124"/>
      <c r="M196" s="26"/>
      <c r="N196" s="156"/>
      <c r="O196" s="27"/>
      <c r="P196" s="27"/>
      <c r="Q196" s="27"/>
      <c r="R196" s="27"/>
      <c r="S196" s="27"/>
      <c r="T196" s="27"/>
      <c r="U196" s="27"/>
      <c r="V196" s="26"/>
      <c r="W196" s="150"/>
      <c r="X196" s="166"/>
      <c r="Y196" s="166"/>
      <c r="Z196" s="167"/>
      <c r="AA196" s="167"/>
      <c r="AB196" s="168"/>
      <c r="AC196" s="167"/>
      <c r="AD196" s="169"/>
      <c r="AE196" s="169"/>
      <c r="AF196" s="169"/>
      <c r="AG196" s="169"/>
      <c r="AH196" s="167"/>
    </row>
    <row r="197" spans="1:34">
      <c r="A197" s="169"/>
      <c r="B197" s="169"/>
      <c r="C197" s="169"/>
      <c r="D197" s="169"/>
      <c r="E197" s="165"/>
      <c r="F197" s="162"/>
      <c r="G197" s="26"/>
      <c r="H197" s="23"/>
      <c r="I197" s="23"/>
      <c r="J197" s="124"/>
      <c r="K197" s="23"/>
      <c r="L197" s="124"/>
      <c r="M197" s="26"/>
      <c r="N197" s="156"/>
      <c r="O197" s="27"/>
      <c r="P197" s="27"/>
      <c r="Q197" s="27"/>
      <c r="R197" s="27"/>
      <c r="S197" s="27"/>
      <c r="T197" s="27"/>
      <c r="U197" s="27"/>
      <c r="V197" s="26"/>
      <c r="W197" s="150"/>
      <c r="X197" s="166"/>
      <c r="Y197" s="166"/>
      <c r="Z197" s="167"/>
      <c r="AA197" s="167"/>
      <c r="AB197" s="168"/>
      <c r="AC197" s="167"/>
      <c r="AD197" s="169"/>
      <c r="AE197" s="169"/>
      <c r="AF197" s="169"/>
      <c r="AG197" s="169"/>
      <c r="AH197" s="167"/>
    </row>
    <row r="198" spans="1:34">
      <c r="A198" s="169"/>
      <c r="B198" s="169"/>
      <c r="C198" s="169"/>
      <c r="D198" s="169"/>
      <c r="E198" s="165"/>
      <c r="F198" s="162"/>
      <c r="G198" s="26"/>
      <c r="H198" s="23"/>
      <c r="I198" s="23"/>
      <c r="J198" s="124"/>
      <c r="K198" s="23"/>
      <c r="L198" s="124"/>
      <c r="M198" s="26"/>
      <c r="N198" s="156"/>
      <c r="O198" s="27"/>
      <c r="P198" s="27"/>
      <c r="Q198" s="27"/>
      <c r="R198" s="27"/>
      <c r="S198" s="27"/>
      <c r="T198" s="27"/>
      <c r="U198" s="27"/>
      <c r="V198" s="26"/>
      <c r="W198" s="150"/>
      <c r="X198" s="166"/>
      <c r="Y198" s="166"/>
      <c r="Z198" s="167"/>
      <c r="AA198" s="167"/>
      <c r="AB198" s="168"/>
      <c r="AC198" s="167"/>
      <c r="AD198" s="169"/>
      <c r="AE198" s="169"/>
      <c r="AF198" s="169"/>
      <c r="AG198" s="169"/>
      <c r="AH198" s="167"/>
    </row>
    <row r="199" spans="1:34">
      <c r="A199" s="169"/>
      <c r="B199" s="169"/>
      <c r="C199" s="169"/>
      <c r="D199" s="169"/>
      <c r="E199" s="165"/>
      <c r="F199" s="162"/>
      <c r="G199" s="26"/>
      <c r="H199" s="23"/>
      <c r="I199" s="23"/>
      <c r="J199" s="124"/>
      <c r="K199" s="23"/>
      <c r="L199" s="124"/>
      <c r="M199" s="26"/>
      <c r="N199" s="156"/>
      <c r="O199" s="27"/>
      <c r="P199" s="27"/>
      <c r="Q199" s="27"/>
      <c r="R199" s="27"/>
      <c r="S199" s="27"/>
      <c r="T199" s="27"/>
      <c r="U199" s="27"/>
      <c r="V199" s="26"/>
      <c r="W199" s="150"/>
      <c r="X199" s="166"/>
      <c r="Y199" s="166"/>
      <c r="Z199" s="167"/>
      <c r="AA199" s="167"/>
      <c r="AB199" s="168"/>
      <c r="AC199" s="167"/>
      <c r="AD199" s="169"/>
      <c r="AE199" s="169"/>
      <c r="AF199" s="169"/>
      <c r="AG199" s="169"/>
      <c r="AH199" s="167"/>
    </row>
    <row r="200" spans="1:34">
      <c r="A200" s="169"/>
      <c r="B200" s="169"/>
      <c r="C200" s="169"/>
      <c r="D200" s="169"/>
      <c r="E200" s="165"/>
      <c r="F200" s="162"/>
      <c r="G200" s="26"/>
      <c r="H200" s="23"/>
      <c r="I200" s="23"/>
      <c r="J200" s="124"/>
      <c r="K200" s="23"/>
      <c r="L200" s="124"/>
      <c r="M200" s="26"/>
      <c r="N200" s="156"/>
      <c r="O200" s="27"/>
      <c r="P200" s="27"/>
      <c r="Q200" s="27"/>
      <c r="R200" s="27"/>
      <c r="S200" s="27"/>
      <c r="T200" s="27"/>
      <c r="U200" s="27"/>
      <c r="V200" s="26"/>
      <c r="W200" s="150"/>
      <c r="X200" s="166"/>
      <c r="Y200" s="166"/>
      <c r="Z200" s="167"/>
      <c r="AA200" s="167"/>
      <c r="AB200" s="168"/>
      <c r="AC200" s="167"/>
      <c r="AD200" s="169"/>
      <c r="AE200" s="169"/>
      <c r="AF200" s="169"/>
      <c r="AG200" s="169"/>
      <c r="AH200" s="167"/>
    </row>
    <row r="201" spans="1:34">
      <c r="A201" s="169"/>
      <c r="B201" s="169"/>
      <c r="C201" s="169"/>
      <c r="D201" s="169"/>
      <c r="E201" s="165"/>
      <c r="F201" s="162"/>
      <c r="G201" s="26"/>
      <c r="H201" s="23"/>
      <c r="I201" s="23"/>
      <c r="J201" s="124"/>
      <c r="K201" s="23"/>
      <c r="L201" s="124"/>
      <c r="M201" s="26"/>
      <c r="N201" s="156"/>
      <c r="O201" s="27"/>
      <c r="P201" s="27"/>
      <c r="Q201" s="27"/>
      <c r="R201" s="27"/>
      <c r="S201" s="27"/>
      <c r="T201" s="27"/>
      <c r="U201" s="27"/>
      <c r="V201" s="26"/>
      <c r="W201" s="150"/>
      <c r="X201" s="166"/>
      <c r="Y201" s="166"/>
      <c r="Z201" s="167"/>
      <c r="AA201" s="167"/>
      <c r="AB201" s="168"/>
      <c r="AC201" s="167"/>
      <c r="AD201" s="169"/>
      <c r="AE201" s="169"/>
      <c r="AF201" s="169"/>
      <c r="AG201" s="169"/>
      <c r="AH201" s="167"/>
    </row>
    <row r="202" spans="1:34">
      <c r="A202" s="169"/>
      <c r="B202" s="169"/>
      <c r="C202" s="169"/>
      <c r="D202" s="169"/>
      <c r="E202" s="165"/>
      <c r="F202" s="162"/>
      <c r="G202" s="26"/>
      <c r="H202" s="23"/>
      <c r="I202" s="23"/>
      <c r="J202" s="124"/>
      <c r="K202" s="23"/>
      <c r="L202" s="124"/>
      <c r="M202" s="26"/>
      <c r="N202" s="156"/>
      <c r="O202" s="27"/>
      <c r="P202" s="27"/>
      <c r="Q202" s="27"/>
      <c r="R202" s="27"/>
      <c r="S202" s="27"/>
      <c r="T202" s="27"/>
      <c r="U202" s="27"/>
      <c r="V202" s="26"/>
      <c r="W202" s="150"/>
      <c r="X202" s="166"/>
      <c r="Y202" s="166"/>
      <c r="Z202" s="167"/>
      <c r="AA202" s="167"/>
      <c r="AB202" s="168"/>
      <c r="AC202" s="167"/>
      <c r="AD202" s="169"/>
      <c r="AE202" s="169"/>
      <c r="AF202" s="169"/>
      <c r="AG202" s="169"/>
      <c r="AH202" s="167"/>
    </row>
    <row r="203" spans="1:34">
      <c r="A203" s="169"/>
      <c r="B203" s="169"/>
      <c r="C203" s="169"/>
      <c r="D203" s="169"/>
      <c r="E203" s="165"/>
      <c r="F203" s="162"/>
      <c r="G203" s="26"/>
      <c r="H203" s="23"/>
      <c r="I203" s="23"/>
      <c r="J203" s="124"/>
      <c r="K203" s="23"/>
      <c r="L203" s="124"/>
      <c r="M203" s="26"/>
      <c r="N203" s="156"/>
      <c r="O203" s="27"/>
      <c r="P203" s="27"/>
      <c r="Q203" s="27"/>
      <c r="R203" s="27"/>
      <c r="S203" s="27"/>
      <c r="T203" s="27"/>
      <c r="U203" s="27"/>
      <c r="V203" s="26"/>
      <c r="W203" s="150"/>
      <c r="X203" s="166"/>
      <c r="Y203" s="166"/>
      <c r="Z203" s="167"/>
      <c r="AA203" s="167"/>
      <c r="AB203" s="168"/>
      <c r="AC203" s="167"/>
      <c r="AD203" s="169"/>
      <c r="AE203" s="169"/>
      <c r="AF203" s="169"/>
      <c r="AG203" s="169"/>
      <c r="AH203" s="167"/>
    </row>
    <row r="204" spans="1:34">
      <c r="A204" s="169"/>
      <c r="B204" s="169"/>
      <c r="C204" s="169"/>
      <c r="D204" s="169"/>
      <c r="E204" s="165"/>
      <c r="F204" s="162"/>
      <c r="G204" s="26"/>
      <c r="H204" s="23"/>
      <c r="I204" s="23"/>
      <c r="J204" s="124"/>
      <c r="K204" s="23"/>
      <c r="L204" s="124"/>
      <c r="M204" s="26"/>
      <c r="N204" s="156"/>
      <c r="O204" s="27"/>
      <c r="P204" s="27"/>
      <c r="Q204" s="27"/>
      <c r="R204" s="27"/>
      <c r="S204" s="27"/>
      <c r="T204" s="27"/>
      <c r="U204" s="27"/>
      <c r="V204" s="26"/>
      <c r="W204" s="150"/>
      <c r="X204" s="166"/>
      <c r="Y204" s="166"/>
      <c r="Z204" s="167"/>
      <c r="AA204" s="167"/>
      <c r="AB204" s="168"/>
      <c r="AC204" s="167"/>
      <c r="AD204" s="169"/>
      <c r="AE204" s="169"/>
      <c r="AF204" s="169"/>
      <c r="AG204" s="169"/>
      <c r="AH204" s="167"/>
    </row>
    <row r="205" spans="1:34">
      <c r="A205" s="169"/>
      <c r="B205" s="169"/>
      <c r="C205" s="169"/>
      <c r="D205" s="169"/>
      <c r="E205" s="165"/>
      <c r="F205" s="162"/>
      <c r="G205" s="26"/>
      <c r="H205" s="23"/>
      <c r="I205" s="23"/>
      <c r="J205" s="124"/>
      <c r="K205" s="23"/>
      <c r="L205" s="124"/>
      <c r="M205" s="26"/>
      <c r="N205" s="156"/>
      <c r="O205" s="27"/>
      <c r="P205" s="27"/>
      <c r="Q205" s="27"/>
      <c r="R205" s="27"/>
      <c r="S205" s="27"/>
      <c r="T205" s="27"/>
      <c r="U205" s="27"/>
      <c r="V205" s="26"/>
      <c r="W205" s="150"/>
      <c r="X205" s="166"/>
      <c r="Y205" s="166"/>
      <c r="Z205" s="167"/>
      <c r="AA205" s="167"/>
      <c r="AB205" s="168"/>
      <c r="AC205" s="167"/>
      <c r="AD205" s="169"/>
      <c r="AE205" s="169"/>
      <c r="AF205" s="169"/>
      <c r="AG205" s="169"/>
      <c r="AH205" s="167"/>
    </row>
    <row r="206" spans="1:34">
      <c r="A206" s="169"/>
      <c r="B206" s="169"/>
      <c r="C206" s="169"/>
      <c r="D206" s="169"/>
      <c r="E206" s="165"/>
      <c r="F206" s="162"/>
      <c r="G206" s="26"/>
      <c r="H206" s="23"/>
      <c r="I206" s="23"/>
      <c r="J206" s="124"/>
      <c r="K206" s="23"/>
      <c r="L206" s="124"/>
      <c r="M206" s="26"/>
      <c r="N206" s="156"/>
      <c r="O206" s="27"/>
      <c r="P206" s="27"/>
      <c r="Q206" s="27"/>
      <c r="R206" s="27"/>
      <c r="S206" s="27"/>
      <c r="T206" s="27"/>
      <c r="U206" s="27"/>
      <c r="V206" s="26"/>
      <c r="W206" s="150"/>
      <c r="X206" s="166"/>
      <c r="Y206" s="166"/>
      <c r="Z206" s="167"/>
      <c r="AA206" s="167"/>
      <c r="AB206" s="168"/>
      <c r="AC206" s="167"/>
      <c r="AD206" s="169"/>
      <c r="AE206" s="169"/>
      <c r="AF206" s="169"/>
      <c r="AG206" s="169"/>
      <c r="AH206" s="167"/>
    </row>
    <row r="207" spans="1:34">
      <c r="A207" s="169"/>
      <c r="B207" s="169"/>
      <c r="C207" s="169"/>
      <c r="D207" s="169"/>
      <c r="E207" s="165"/>
      <c r="F207" s="162"/>
      <c r="G207" s="26"/>
      <c r="H207" s="23"/>
      <c r="I207" s="23"/>
      <c r="J207" s="124"/>
      <c r="K207" s="23"/>
      <c r="L207" s="124"/>
      <c r="M207" s="26"/>
      <c r="N207" s="156"/>
      <c r="O207" s="27"/>
      <c r="P207" s="27"/>
      <c r="Q207" s="27"/>
      <c r="R207" s="27"/>
      <c r="S207" s="27"/>
      <c r="T207" s="27"/>
      <c r="U207" s="27"/>
      <c r="V207" s="26"/>
      <c r="W207" s="150"/>
      <c r="X207" s="166"/>
      <c r="Y207" s="166"/>
      <c r="Z207" s="167"/>
      <c r="AA207" s="167"/>
      <c r="AB207" s="168"/>
      <c r="AC207" s="167"/>
      <c r="AD207" s="169"/>
      <c r="AE207" s="169"/>
      <c r="AF207" s="169"/>
      <c r="AG207" s="169"/>
      <c r="AH207" s="167"/>
    </row>
    <row r="208" spans="1:34">
      <c r="A208" s="169"/>
      <c r="B208" s="169"/>
      <c r="C208" s="169"/>
      <c r="D208" s="169"/>
      <c r="E208" s="165"/>
      <c r="F208" s="162"/>
      <c r="G208" s="26"/>
      <c r="H208" s="23"/>
      <c r="I208" s="23"/>
      <c r="J208" s="124"/>
      <c r="K208" s="23"/>
      <c r="L208" s="124"/>
      <c r="M208" s="26"/>
      <c r="N208" s="156"/>
      <c r="O208" s="27"/>
      <c r="P208" s="27"/>
      <c r="Q208" s="27"/>
      <c r="R208" s="27"/>
      <c r="S208" s="27"/>
      <c r="T208" s="27"/>
      <c r="U208" s="27"/>
      <c r="V208" s="26"/>
      <c r="W208" s="150"/>
      <c r="X208" s="166"/>
      <c r="Y208" s="166"/>
      <c r="Z208" s="167"/>
      <c r="AA208" s="167"/>
      <c r="AB208" s="168"/>
      <c r="AC208" s="167"/>
      <c r="AD208" s="169"/>
      <c r="AE208" s="169"/>
      <c r="AF208" s="169"/>
      <c r="AG208" s="169"/>
      <c r="AH208" s="167"/>
    </row>
    <row r="209" spans="1:34">
      <c r="A209" s="169"/>
      <c r="B209" s="169"/>
      <c r="C209" s="169"/>
      <c r="D209" s="169"/>
      <c r="E209" s="165"/>
      <c r="F209" s="162"/>
      <c r="G209" s="26"/>
      <c r="H209" s="23"/>
      <c r="I209" s="23"/>
      <c r="J209" s="124"/>
      <c r="K209" s="23"/>
      <c r="L209" s="124"/>
      <c r="M209" s="26"/>
      <c r="N209" s="156"/>
      <c r="O209" s="27"/>
      <c r="P209" s="27"/>
      <c r="Q209" s="27"/>
      <c r="R209" s="27"/>
      <c r="S209" s="27"/>
      <c r="T209" s="27"/>
      <c r="U209" s="27"/>
      <c r="V209" s="26"/>
      <c r="W209" s="150"/>
      <c r="X209" s="166"/>
      <c r="Y209" s="166"/>
      <c r="Z209" s="167"/>
      <c r="AA209" s="167"/>
      <c r="AB209" s="168"/>
      <c r="AC209" s="167"/>
      <c r="AD209" s="169"/>
      <c r="AE209" s="169"/>
      <c r="AF209" s="169"/>
      <c r="AG209" s="169"/>
      <c r="AH209" s="167"/>
    </row>
    <row r="210" spans="1:34">
      <c r="A210" s="169"/>
      <c r="B210" s="169"/>
      <c r="C210" s="169"/>
      <c r="D210" s="169"/>
      <c r="E210" s="165"/>
      <c r="F210" s="162"/>
      <c r="G210" s="26"/>
      <c r="H210" s="23"/>
      <c r="I210" s="23"/>
      <c r="J210" s="124"/>
      <c r="K210" s="23"/>
      <c r="L210" s="124"/>
      <c r="M210" s="26"/>
      <c r="N210" s="156"/>
      <c r="O210" s="27"/>
      <c r="P210" s="27"/>
      <c r="Q210" s="27"/>
      <c r="R210" s="27"/>
      <c r="S210" s="27"/>
      <c r="T210" s="27"/>
      <c r="U210" s="27"/>
      <c r="V210" s="26"/>
      <c r="W210" s="150"/>
      <c r="X210" s="166"/>
      <c r="Y210" s="166"/>
      <c r="Z210" s="167"/>
      <c r="AA210" s="167"/>
      <c r="AB210" s="168"/>
      <c r="AC210" s="167"/>
      <c r="AD210" s="169"/>
      <c r="AE210" s="169"/>
      <c r="AF210" s="169"/>
      <c r="AG210" s="169"/>
      <c r="AH210" s="167"/>
    </row>
    <row r="211" spans="1:34">
      <c r="A211" s="169"/>
      <c r="B211" s="169"/>
      <c r="C211" s="169"/>
      <c r="D211" s="169"/>
      <c r="E211" s="165"/>
      <c r="F211" s="162"/>
      <c r="G211" s="26"/>
      <c r="H211" s="23"/>
      <c r="I211" s="23"/>
      <c r="J211" s="124"/>
      <c r="K211" s="23"/>
      <c r="L211" s="124"/>
      <c r="M211" s="26"/>
      <c r="N211" s="156"/>
      <c r="O211" s="27"/>
      <c r="P211" s="27"/>
      <c r="Q211" s="27"/>
      <c r="R211" s="27"/>
      <c r="S211" s="27"/>
      <c r="T211" s="27"/>
      <c r="U211" s="27"/>
      <c r="V211" s="26"/>
      <c r="W211" s="150"/>
      <c r="X211" s="166"/>
      <c r="Y211" s="166"/>
      <c r="Z211" s="167"/>
      <c r="AA211" s="167"/>
      <c r="AB211" s="168"/>
      <c r="AC211" s="167"/>
      <c r="AD211" s="169"/>
      <c r="AE211" s="169"/>
      <c r="AF211" s="169"/>
      <c r="AG211" s="169"/>
      <c r="AH211" s="167"/>
    </row>
    <row r="212" spans="1:34">
      <c r="A212" s="169"/>
      <c r="B212" s="169"/>
      <c r="C212" s="169"/>
      <c r="D212" s="169"/>
      <c r="E212" s="165"/>
      <c r="F212" s="162"/>
      <c r="G212" s="26"/>
      <c r="H212" s="23"/>
      <c r="I212" s="23"/>
      <c r="J212" s="124"/>
      <c r="K212" s="23"/>
      <c r="L212" s="124"/>
      <c r="M212" s="26"/>
      <c r="N212" s="156"/>
      <c r="O212" s="27"/>
      <c r="P212" s="27"/>
      <c r="Q212" s="27"/>
      <c r="R212" s="27"/>
      <c r="S212" s="27"/>
      <c r="T212" s="27"/>
      <c r="U212" s="27"/>
      <c r="V212" s="26"/>
      <c r="W212" s="150"/>
      <c r="X212" s="166"/>
      <c r="Y212" s="166"/>
      <c r="Z212" s="167"/>
      <c r="AA212" s="167"/>
      <c r="AB212" s="168"/>
      <c r="AC212" s="167"/>
      <c r="AD212" s="169"/>
      <c r="AE212" s="169"/>
      <c r="AF212" s="169"/>
      <c r="AG212" s="169"/>
      <c r="AH212" s="167"/>
    </row>
    <row r="213" spans="1:34">
      <c r="A213" s="169"/>
      <c r="B213" s="169"/>
      <c r="C213" s="169"/>
      <c r="D213" s="169"/>
      <c r="E213" s="165"/>
      <c r="F213" s="162"/>
      <c r="G213" s="26"/>
      <c r="H213" s="23"/>
      <c r="I213" s="23"/>
      <c r="J213" s="124"/>
      <c r="K213" s="23"/>
      <c r="L213" s="124"/>
      <c r="M213" s="26"/>
      <c r="N213" s="156"/>
      <c r="O213" s="27"/>
      <c r="P213" s="27"/>
      <c r="Q213" s="27"/>
      <c r="R213" s="27"/>
      <c r="S213" s="27"/>
      <c r="T213" s="27"/>
      <c r="U213" s="27"/>
      <c r="V213" s="26"/>
      <c r="W213" s="150"/>
      <c r="X213" s="166"/>
      <c r="Y213" s="166"/>
      <c r="Z213" s="167"/>
      <c r="AA213" s="167"/>
      <c r="AB213" s="168"/>
      <c r="AC213" s="167"/>
      <c r="AD213" s="169"/>
      <c r="AE213" s="169"/>
      <c r="AF213" s="169"/>
      <c r="AG213" s="169"/>
      <c r="AH213" s="167"/>
    </row>
    <row r="214" spans="1:34">
      <c r="A214" s="169"/>
      <c r="B214" s="169"/>
      <c r="C214" s="169"/>
      <c r="D214" s="169"/>
      <c r="E214" s="165"/>
      <c r="F214" s="162"/>
      <c r="G214" s="26"/>
      <c r="H214" s="23"/>
      <c r="I214" s="23"/>
      <c r="J214" s="124"/>
      <c r="K214" s="23"/>
      <c r="L214" s="124"/>
      <c r="M214" s="26"/>
      <c r="N214" s="156"/>
      <c r="O214" s="27"/>
      <c r="P214" s="27"/>
      <c r="Q214" s="27"/>
      <c r="R214" s="27"/>
      <c r="S214" s="27"/>
      <c r="T214" s="27"/>
      <c r="U214" s="27"/>
      <c r="V214" s="26"/>
      <c r="W214" s="150"/>
      <c r="X214" s="166"/>
      <c r="Y214" s="166"/>
      <c r="Z214" s="167"/>
      <c r="AA214" s="167"/>
      <c r="AB214" s="168"/>
      <c r="AC214" s="167"/>
      <c r="AD214" s="169"/>
      <c r="AE214" s="169"/>
      <c r="AF214" s="169"/>
      <c r="AG214" s="169"/>
      <c r="AH214" s="167"/>
    </row>
    <row r="215" spans="1:34">
      <c r="A215" s="169"/>
      <c r="B215" s="169"/>
      <c r="C215" s="169"/>
      <c r="D215" s="169"/>
      <c r="E215" s="165"/>
      <c r="F215" s="162"/>
      <c r="G215" s="26"/>
      <c r="H215" s="23"/>
      <c r="I215" s="23"/>
      <c r="J215" s="124"/>
      <c r="K215" s="23"/>
      <c r="L215" s="124"/>
      <c r="M215" s="26"/>
      <c r="N215" s="156"/>
      <c r="O215" s="27"/>
      <c r="P215" s="27"/>
      <c r="Q215" s="27"/>
      <c r="R215" s="27"/>
      <c r="S215" s="27"/>
      <c r="T215" s="27"/>
      <c r="U215" s="27"/>
      <c r="V215" s="26"/>
      <c r="W215" s="150"/>
      <c r="X215" s="166"/>
      <c r="Y215" s="166"/>
      <c r="Z215" s="167"/>
      <c r="AA215" s="167"/>
      <c r="AB215" s="168"/>
      <c r="AC215" s="167"/>
      <c r="AD215" s="169"/>
      <c r="AE215" s="169"/>
      <c r="AF215" s="169"/>
      <c r="AG215" s="169"/>
      <c r="AH215" s="167"/>
    </row>
    <row r="216" spans="1:34">
      <c r="A216" s="169"/>
      <c r="B216" s="169"/>
      <c r="C216" s="169"/>
      <c r="D216" s="169"/>
      <c r="E216" s="165"/>
      <c r="F216" s="162"/>
      <c r="G216" s="26"/>
      <c r="H216" s="23"/>
      <c r="I216" s="23"/>
      <c r="J216" s="124"/>
      <c r="K216" s="23"/>
      <c r="L216" s="124"/>
      <c r="M216" s="26"/>
      <c r="N216" s="156"/>
      <c r="O216" s="27"/>
      <c r="P216" s="27"/>
      <c r="Q216" s="27"/>
      <c r="R216" s="27"/>
      <c r="S216" s="27"/>
      <c r="T216" s="27"/>
      <c r="U216" s="27"/>
      <c r="V216" s="26"/>
      <c r="W216" s="150"/>
      <c r="X216" s="166"/>
      <c r="Y216" s="166"/>
      <c r="Z216" s="167"/>
      <c r="AA216" s="167"/>
      <c r="AB216" s="168"/>
      <c r="AC216" s="167"/>
      <c r="AD216" s="169"/>
      <c r="AE216" s="169"/>
      <c r="AF216" s="169"/>
      <c r="AG216" s="169"/>
      <c r="AH216" s="167"/>
    </row>
    <row r="217" spans="1:34">
      <c r="A217" s="169"/>
      <c r="B217" s="169"/>
      <c r="C217" s="169"/>
      <c r="D217" s="169"/>
      <c r="E217" s="165"/>
      <c r="F217" s="162"/>
      <c r="G217" s="26"/>
      <c r="H217" s="23"/>
      <c r="I217" s="23"/>
      <c r="J217" s="124"/>
      <c r="K217" s="23"/>
      <c r="L217" s="124"/>
      <c r="M217" s="26"/>
      <c r="N217" s="156"/>
      <c r="O217" s="27"/>
      <c r="P217" s="27"/>
      <c r="Q217" s="27"/>
      <c r="R217" s="27"/>
      <c r="S217" s="27"/>
      <c r="T217" s="27"/>
      <c r="U217" s="27"/>
      <c r="V217" s="26"/>
      <c r="W217" s="150"/>
      <c r="X217" s="166"/>
      <c r="Y217" s="166"/>
      <c r="Z217" s="167"/>
      <c r="AA217" s="167"/>
      <c r="AB217" s="168"/>
      <c r="AC217" s="167"/>
      <c r="AD217" s="169"/>
      <c r="AE217" s="169"/>
      <c r="AF217" s="169"/>
      <c r="AG217" s="169"/>
      <c r="AH217" s="167"/>
    </row>
    <row r="218" spans="1:34">
      <c r="A218" s="169"/>
      <c r="B218" s="169"/>
      <c r="C218" s="169"/>
      <c r="D218" s="169"/>
      <c r="E218" s="165"/>
      <c r="F218" s="162"/>
      <c r="G218" s="26"/>
      <c r="H218" s="23"/>
      <c r="I218" s="23"/>
      <c r="J218" s="124"/>
      <c r="K218" s="23"/>
      <c r="L218" s="124"/>
      <c r="M218" s="26"/>
      <c r="N218" s="156"/>
      <c r="O218" s="27"/>
      <c r="P218" s="27"/>
      <c r="Q218" s="27"/>
      <c r="R218" s="27"/>
      <c r="S218" s="27"/>
      <c r="T218" s="27"/>
      <c r="U218" s="27"/>
      <c r="V218" s="26"/>
      <c r="W218" s="150"/>
      <c r="X218" s="166"/>
      <c r="Y218" s="166"/>
      <c r="Z218" s="167"/>
      <c r="AA218" s="167"/>
      <c r="AB218" s="168"/>
      <c r="AC218" s="167"/>
      <c r="AD218" s="169"/>
      <c r="AE218" s="169"/>
      <c r="AF218" s="169"/>
      <c r="AG218" s="169"/>
      <c r="AH218" s="167"/>
    </row>
    <row r="219" spans="1:34">
      <c r="A219" s="169"/>
      <c r="B219" s="169"/>
      <c r="C219" s="169"/>
      <c r="D219" s="169"/>
      <c r="E219" s="165"/>
      <c r="F219" s="162"/>
      <c r="G219" s="26"/>
      <c r="H219" s="23"/>
      <c r="I219" s="23"/>
      <c r="J219" s="124"/>
      <c r="K219" s="23"/>
      <c r="L219" s="124"/>
      <c r="M219" s="26"/>
      <c r="N219" s="156"/>
      <c r="O219" s="27"/>
      <c r="P219" s="27"/>
      <c r="Q219" s="27"/>
      <c r="R219" s="27"/>
      <c r="S219" s="27"/>
      <c r="T219" s="27"/>
      <c r="U219" s="27"/>
      <c r="V219" s="26"/>
      <c r="W219" s="150"/>
      <c r="X219" s="166"/>
      <c r="Y219" s="166"/>
      <c r="Z219" s="167"/>
      <c r="AA219" s="167"/>
      <c r="AB219" s="168"/>
      <c r="AC219" s="167"/>
      <c r="AD219" s="169"/>
      <c r="AE219" s="169"/>
      <c r="AF219" s="169"/>
      <c r="AG219" s="169"/>
      <c r="AH219" s="167"/>
    </row>
    <row r="220" spans="1:34">
      <c r="A220" s="169"/>
      <c r="B220" s="169"/>
      <c r="C220" s="169"/>
      <c r="D220" s="169"/>
      <c r="E220" s="165"/>
      <c r="F220" s="162"/>
      <c r="G220" s="26"/>
      <c r="H220" s="23"/>
      <c r="I220" s="23"/>
      <c r="J220" s="124"/>
      <c r="K220" s="23"/>
      <c r="L220" s="124"/>
      <c r="M220" s="26"/>
      <c r="N220" s="156"/>
      <c r="O220" s="27"/>
      <c r="P220" s="27"/>
      <c r="Q220" s="27"/>
      <c r="R220" s="27"/>
      <c r="S220" s="27"/>
      <c r="T220" s="27"/>
      <c r="U220" s="27"/>
      <c r="V220" s="26"/>
      <c r="W220" s="150"/>
      <c r="X220" s="166"/>
      <c r="Y220" s="166"/>
      <c r="Z220" s="167"/>
      <c r="AA220" s="167"/>
      <c r="AB220" s="168"/>
      <c r="AC220" s="167"/>
      <c r="AD220" s="169"/>
      <c r="AE220" s="169"/>
      <c r="AF220" s="169"/>
      <c r="AG220" s="169"/>
      <c r="AH220" s="167"/>
    </row>
    <row r="221" spans="1:34">
      <c r="A221" s="169"/>
      <c r="B221" s="169"/>
      <c r="C221" s="169"/>
      <c r="D221" s="169"/>
      <c r="E221" s="165"/>
      <c r="F221" s="162"/>
      <c r="G221" s="26"/>
      <c r="H221" s="23"/>
      <c r="I221" s="23"/>
      <c r="J221" s="124"/>
      <c r="K221" s="23"/>
      <c r="L221" s="124"/>
      <c r="M221" s="26"/>
      <c r="N221" s="156"/>
      <c r="O221" s="27"/>
      <c r="P221" s="27"/>
      <c r="Q221" s="27"/>
      <c r="R221" s="27"/>
      <c r="S221" s="27"/>
      <c r="T221" s="27"/>
      <c r="U221" s="27"/>
      <c r="V221" s="26"/>
      <c r="W221" s="150"/>
      <c r="X221" s="166"/>
      <c r="Y221" s="166"/>
      <c r="Z221" s="167"/>
      <c r="AA221" s="167"/>
      <c r="AB221" s="168"/>
      <c r="AC221" s="167"/>
      <c r="AD221" s="169"/>
      <c r="AE221" s="169"/>
      <c r="AF221" s="169"/>
      <c r="AG221" s="169"/>
      <c r="AH221" s="167"/>
    </row>
    <row r="222" spans="1:34">
      <c r="A222" s="169"/>
      <c r="B222" s="169"/>
      <c r="C222" s="169"/>
      <c r="D222" s="169"/>
      <c r="E222" s="165"/>
      <c r="F222" s="162"/>
      <c r="G222" s="26"/>
      <c r="H222" s="23"/>
      <c r="I222" s="23"/>
      <c r="J222" s="124"/>
      <c r="K222" s="23"/>
      <c r="L222" s="124"/>
      <c r="M222" s="26"/>
      <c r="N222" s="156"/>
      <c r="O222" s="27"/>
      <c r="P222" s="27"/>
      <c r="Q222" s="27"/>
      <c r="R222" s="27"/>
      <c r="S222" s="27"/>
      <c r="T222" s="27"/>
      <c r="U222" s="27"/>
      <c r="V222" s="26"/>
      <c r="W222" s="150"/>
      <c r="X222" s="166"/>
      <c r="Y222" s="166"/>
      <c r="Z222" s="167"/>
      <c r="AA222" s="167"/>
      <c r="AB222" s="168"/>
      <c r="AC222" s="167"/>
      <c r="AD222" s="169"/>
      <c r="AE222" s="169"/>
      <c r="AF222" s="169"/>
      <c r="AG222" s="169"/>
      <c r="AH222" s="167"/>
    </row>
    <row r="223" spans="1:34">
      <c r="A223" s="169"/>
      <c r="B223" s="169"/>
      <c r="C223" s="169"/>
      <c r="D223" s="169"/>
      <c r="E223" s="165"/>
      <c r="F223" s="162"/>
      <c r="G223" s="26"/>
      <c r="H223" s="23"/>
      <c r="I223" s="23"/>
      <c r="J223" s="124"/>
      <c r="K223" s="23"/>
      <c r="L223" s="124"/>
      <c r="M223" s="26"/>
      <c r="N223" s="156"/>
      <c r="O223" s="27"/>
      <c r="P223" s="27"/>
      <c r="Q223" s="27"/>
      <c r="R223" s="27"/>
      <c r="S223" s="27"/>
      <c r="T223" s="27"/>
      <c r="U223" s="27"/>
      <c r="V223" s="26"/>
      <c r="W223" s="150"/>
      <c r="X223" s="166"/>
      <c r="Y223" s="166"/>
      <c r="Z223" s="167"/>
      <c r="AA223" s="167"/>
      <c r="AB223" s="168"/>
      <c r="AC223" s="167"/>
      <c r="AD223" s="169"/>
      <c r="AE223" s="169"/>
      <c r="AF223" s="169"/>
      <c r="AG223" s="169"/>
      <c r="AH223" s="167"/>
    </row>
    <row r="224" spans="1:34">
      <c r="A224" s="169"/>
      <c r="B224" s="169"/>
      <c r="C224" s="169"/>
      <c r="D224" s="169"/>
      <c r="E224" s="165"/>
      <c r="F224" s="162"/>
      <c r="G224" s="26"/>
      <c r="H224" s="23"/>
      <c r="I224" s="23"/>
      <c r="J224" s="124"/>
      <c r="K224" s="23"/>
      <c r="L224" s="124"/>
      <c r="M224" s="26"/>
      <c r="N224" s="156"/>
      <c r="O224" s="27"/>
      <c r="P224" s="27"/>
      <c r="Q224" s="27"/>
      <c r="R224" s="27"/>
      <c r="S224" s="27"/>
      <c r="T224" s="27"/>
      <c r="U224" s="27"/>
      <c r="V224" s="26"/>
      <c r="W224" s="150"/>
      <c r="X224" s="166"/>
      <c r="Y224" s="166"/>
      <c r="Z224" s="167"/>
      <c r="AA224" s="167"/>
      <c r="AB224" s="168"/>
      <c r="AC224" s="167"/>
      <c r="AD224" s="169"/>
      <c r="AE224" s="169"/>
      <c r="AF224" s="169"/>
      <c r="AG224" s="169"/>
      <c r="AH224" s="167"/>
    </row>
    <row r="225" spans="1:34">
      <c r="A225" s="169"/>
      <c r="B225" s="169"/>
      <c r="C225" s="169"/>
      <c r="D225" s="169"/>
      <c r="E225" s="165"/>
      <c r="F225" s="162"/>
      <c r="G225" s="26"/>
      <c r="H225" s="23"/>
      <c r="I225" s="23"/>
      <c r="J225" s="124"/>
      <c r="K225" s="23"/>
      <c r="L225" s="124"/>
      <c r="M225" s="26"/>
      <c r="N225" s="156"/>
      <c r="O225" s="27"/>
      <c r="P225" s="27"/>
      <c r="Q225" s="27"/>
      <c r="R225" s="27"/>
      <c r="S225" s="27"/>
      <c r="T225" s="27"/>
      <c r="U225" s="27"/>
      <c r="V225" s="26"/>
      <c r="W225" s="150"/>
      <c r="X225" s="166"/>
      <c r="Y225" s="166"/>
      <c r="Z225" s="167"/>
      <c r="AA225" s="167"/>
      <c r="AB225" s="168"/>
      <c r="AC225" s="167"/>
      <c r="AD225" s="169"/>
      <c r="AE225" s="169"/>
      <c r="AF225" s="169"/>
      <c r="AG225" s="169"/>
      <c r="AH225" s="167"/>
    </row>
    <row r="226" spans="1:34">
      <c r="A226" s="169"/>
      <c r="B226" s="169"/>
      <c r="C226" s="169"/>
      <c r="D226" s="169"/>
      <c r="E226" s="165"/>
      <c r="F226" s="162"/>
      <c r="G226" s="26"/>
      <c r="H226" s="23"/>
      <c r="I226" s="23"/>
      <c r="J226" s="124"/>
      <c r="K226" s="23"/>
      <c r="L226" s="124"/>
      <c r="M226" s="26"/>
      <c r="N226" s="156"/>
      <c r="O226" s="27"/>
      <c r="P226" s="27"/>
      <c r="Q226" s="27"/>
      <c r="R226" s="27"/>
      <c r="S226" s="27"/>
      <c r="T226" s="27"/>
      <c r="U226" s="27"/>
      <c r="V226" s="26"/>
      <c r="W226" s="150"/>
      <c r="X226" s="166"/>
      <c r="Y226" s="166"/>
      <c r="Z226" s="167"/>
      <c r="AA226" s="167"/>
      <c r="AB226" s="168"/>
      <c r="AC226" s="167"/>
      <c r="AD226" s="169"/>
      <c r="AE226" s="169"/>
      <c r="AF226" s="169"/>
      <c r="AG226" s="169"/>
      <c r="AH226" s="167"/>
    </row>
    <row r="227" spans="1:34">
      <c r="A227" s="169"/>
      <c r="B227" s="169"/>
      <c r="C227" s="169"/>
      <c r="D227" s="169"/>
      <c r="E227" s="165"/>
      <c r="F227" s="162"/>
      <c r="G227" s="26"/>
      <c r="H227" s="23"/>
      <c r="I227" s="23"/>
      <c r="J227" s="124"/>
      <c r="K227" s="23"/>
      <c r="L227" s="124"/>
      <c r="M227" s="26"/>
      <c r="N227" s="156"/>
      <c r="O227" s="27"/>
      <c r="P227" s="27"/>
      <c r="Q227" s="27"/>
      <c r="R227" s="27"/>
      <c r="S227" s="27"/>
      <c r="T227" s="27"/>
      <c r="U227" s="27"/>
      <c r="V227" s="26"/>
      <c r="W227" s="150"/>
      <c r="X227" s="166"/>
      <c r="Y227" s="166"/>
      <c r="Z227" s="167"/>
      <c r="AA227" s="167"/>
      <c r="AB227" s="168"/>
      <c r="AC227" s="167"/>
      <c r="AD227" s="169"/>
      <c r="AE227" s="169"/>
      <c r="AF227" s="169"/>
      <c r="AG227" s="169"/>
      <c r="AH227" s="167"/>
    </row>
    <row r="228" spans="1:34">
      <c r="A228" s="169"/>
      <c r="B228" s="169"/>
      <c r="C228" s="169"/>
      <c r="D228" s="169"/>
      <c r="E228" s="165"/>
      <c r="F228" s="162"/>
      <c r="G228" s="26"/>
      <c r="H228" s="23"/>
      <c r="I228" s="23"/>
      <c r="J228" s="124"/>
      <c r="K228" s="23"/>
      <c r="L228" s="124"/>
      <c r="M228" s="26"/>
      <c r="N228" s="156"/>
      <c r="O228" s="27"/>
      <c r="P228" s="27"/>
      <c r="Q228" s="27"/>
      <c r="R228" s="27"/>
      <c r="S228" s="27"/>
      <c r="T228" s="27"/>
      <c r="U228" s="27"/>
      <c r="V228" s="26"/>
      <c r="W228" s="150"/>
      <c r="X228" s="166"/>
      <c r="Y228" s="166"/>
      <c r="Z228" s="167"/>
      <c r="AA228" s="167"/>
      <c r="AB228" s="168"/>
      <c r="AC228" s="167"/>
      <c r="AD228" s="169"/>
      <c r="AE228" s="169"/>
      <c r="AF228" s="169"/>
      <c r="AG228" s="169"/>
      <c r="AH228" s="167"/>
    </row>
    <row r="229" spans="1:34">
      <c r="A229" s="169"/>
      <c r="B229" s="169"/>
      <c r="C229" s="169"/>
      <c r="D229" s="169"/>
      <c r="E229" s="165"/>
      <c r="F229" s="162"/>
      <c r="G229" s="26"/>
      <c r="H229" s="23"/>
      <c r="I229" s="23"/>
      <c r="J229" s="124"/>
      <c r="K229" s="23"/>
      <c r="L229" s="124"/>
      <c r="M229" s="26"/>
      <c r="N229" s="156"/>
      <c r="O229" s="27"/>
      <c r="P229" s="27"/>
      <c r="Q229" s="27"/>
      <c r="R229" s="27"/>
      <c r="S229" s="27"/>
      <c r="T229" s="27"/>
      <c r="U229" s="27"/>
      <c r="V229" s="26"/>
      <c r="W229" s="150"/>
      <c r="X229" s="166"/>
      <c r="Y229" s="166"/>
      <c r="Z229" s="167"/>
      <c r="AA229" s="167"/>
      <c r="AB229" s="168"/>
      <c r="AC229" s="167"/>
      <c r="AD229" s="169"/>
      <c r="AE229" s="169"/>
      <c r="AF229" s="169"/>
      <c r="AG229" s="169"/>
      <c r="AH229" s="167"/>
    </row>
    <row r="230" spans="1:34">
      <c r="A230" s="169"/>
      <c r="B230" s="169"/>
      <c r="C230" s="169"/>
      <c r="D230" s="169"/>
      <c r="E230" s="165"/>
      <c r="F230" s="162"/>
      <c r="G230" s="26"/>
      <c r="H230" s="23"/>
      <c r="I230" s="23"/>
      <c r="J230" s="124"/>
      <c r="K230" s="23"/>
      <c r="L230" s="124"/>
      <c r="M230" s="26"/>
      <c r="N230" s="156"/>
      <c r="O230" s="27"/>
      <c r="P230" s="27"/>
      <c r="Q230" s="27"/>
      <c r="R230" s="27"/>
      <c r="S230" s="27"/>
      <c r="T230" s="27"/>
      <c r="U230" s="27"/>
      <c r="V230" s="26"/>
      <c r="W230" s="150"/>
      <c r="X230" s="166"/>
      <c r="Y230" s="166"/>
      <c r="Z230" s="167"/>
      <c r="AA230" s="167"/>
      <c r="AB230" s="168"/>
      <c r="AC230" s="167"/>
      <c r="AD230" s="169"/>
      <c r="AE230" s="169"/>
      <c r="AF230" s="169"/>
      <c r="AG230" s="169"/>
      <c r="AH230" s="167"/>
    </row>
    <row r="231" spans="1:34">
      <c r="A231" s="169"/>
      <c r="B231" s="169"/>
      <c r="C231" s="169"/>
      <c r="D231" s="169"/>
      <c r="E231" s="165"/>
      <c r="F231" s="162"/>
      <c r="G231" s="26"/>
      <c r="H231" s="23"/>
      <c r="I231" s="23"/>
      <c r="J231" s="124"/>
      <c r="K231" s="23"/>
      <c r="L231" s="124"/>
      <c r="M231" s="26"/>
      <c r="N231" s="156"/>
      <c r="O231" s="27"/>
      <c r="P231" s="27"/>
      <c r="Q231" s="27"/>
      <c r="R231" s="27"/>
      <c r="S231" s="27"/>
      <c r="T231" s="27"/>
      <c r="U231" s="27"/>
      <c r="V231" s="26"/>
      <c r="W231" s="150"/>
      <c r="X231" s="166"/>
      <c r="Y231" s="166"/>
      <c r="Z231" s="167"/>
      <c r="AA231" s="167"/>
      <c r="AB231" s="168"/>
      <c r="AC231" s="167"/>
      <c r="AD231" s="169"/>
      <c r="AE231" s="169"/>
      <c r="AF231" s="169"/>
      <c r="AG231" s="169"/>
      <c r="AH231" s="167"/>
    </row>
    <row r="232" spans="1:34">
      <c r="A232" s="169"/>
      <c r="B232" s="169"/>
      <c r="C232" s="169"/>
      <c r="D232" s="169"/>
      <c r="E232" s="165"/>
      <c r="F232" s="162"/>
      <c r="G232" s="26"/>
      <c r="H232" s="23"/>
      <c r="I232" s="23"/>
      <c r="J232" s="124"/>
      <c r="K232" s="23"/>
      <c r="L232" s="124"/>
      <c r="M232" s="26"/>
      <c r="N232" s="156"/>
      <c r="O232" s="27"/>
      <c r="P232" s="27"/>
      <c r="Q232" s="27"/>
      <c r="R232" s="27"/>
      <c r="S232" s="27"/>
      <c r="T232" s="27"/>
      <c r="U232" s="27"/>
      <c r="V232" s="26"/>
      <c r="W232" s="150"/>
      <c r="X232" s="166"/>
      <c r="Y232" s="166"/>
      <c r="Z232" s="167"/>
      <c r="AA232" s="167"/>
      <c r="AB232" s="168"/>
      <c r="AC232" s="167"/>
      <c r="AD232" s="169"/>
      <c r="AE232" s="169"/>
      <c r="AF232" s="169"/>
      <c r="AG232" s="169"/>
      <c r="AH232" s="167"/>
    </row>
    <row r="233" spans="1:34">
      <c r="A233" s="169"/>
      <c r="B233" s="169"/>
      <c r="C233" s="169"/>
      <c r="D233" s="169"/>
      <c r="E233" s="165"/>
      <c r="F233" s="162"/>
      <c r="G233" s="26"/>
      <c r="H233" s="23"/>
      <c r="I233" s="23"/>
      <c r="J233" s="124"/>
      <c r="K233" s="23"/>
      <c r="L233" s="124"/>
      <c r="M233" s="26"/>
      <c r="N233" s="156"/>
      <c r="O233" s="27"/>
      <c r="P233" s="27"/>
      <c r="Q233" s="27"/>
      <c r="R233" s="27"/>
      <c r="S233" s="27"/>
      <c r="T233" s="27"/>
      <c r="U233" s="27"/>
      <c r="V233" s="26"/>
      <c r="W233" s="150"/>
      <c r="X233" s="166"/>
      <c r="Y233" s="166"/>
      <c r="Z233" s="167"/>
      <c r="AA233" s="167"/>
      <c r="AB233" s="168"/>
      <c r="AC233" s="167"/>
      <c r="AD233" s="169"/>
      <c r="AE233" s="169"/>
      <c r="AF233" s="169"/>
      <c r="AG233" s="169"/>
      <c r="AH233" s="167"/>
    </row>
    <row r="234" spans="1:34">
      <c r="A234" s="169"/>
      <c r="B234" s="169"/>
      <c r="C234" s="169"/>
      <c r="D234" s="169"/>
      <c r="E234" s="165"/>
      <c r="F234" s="162"/>
      <c r="G234" s="26"/>
      <c r="H234" s="23"/>
      <c r="I234" s="23"/>
      <c r="J234" s="124"/>
      <c r="K234" s="23"/>
      <c r="L234" s="124"/>
      <c r="M234" s="26"/>
      <c r="N234" s="156"/>
      <c r="O234" s="27"/>
      <c r="P234" s="27"/>
      <c r="Q234" s="27"/>
      <c r="R234" s="27"/>
      <c r="S234" s="27"/>
      <c r="T234" s="27"/>
      <c r="U234" s="27"/>
      <c r="V234" s="26"/>
      <c r="W234" s="150"/>
      <c r="X234" s="166"/>
      <c r="Y234" s="166"/>
      <c r="Z234" s="167"/>
      <c r="AA234" s="167"/>
      <c r="AB234" s="168"/>
      <c r="AC234" s="167"/>
      <c r="AD234" s="169"/>
      <c r="AE234" s="169"/>
      <c r="AF234" s="169"/>
      <c r="AG234" s="169"/>
      <c r="AH234" s="167"/>
    </row>
    <row r="235" spans="1:34">
      <c r="A235" s="169"/>
      <c r="B235" s="169"/>
      <c r="C235" s="169"/>
      <c r="D235" s="169"/>
      <c r="E235" s="165"/>
      <c r="F235" s="162"/>
      <c r="G235" s="26"/>
      <c r="H235" s="23"/>
      <c r="I235" s="23"/>
      <c r="J235" s="124"/>
      <c r="K235" s="23"/>
      <c r="L235" s="124"/>
      <c r="M235" s="26"/>
      <c r="N235" s="156"/>
      <c r="O235" s="27"/>
      <c r="P235" s="27"/>
      <c r="Q235" s="27"/>
      <c r="R235" s="27"/>
      <c r="S235" s="27"/>
      <c r="T235" s="27"/>
      <c r="U235" s="27"/>
      <c r="V235" s="26"/>
      <c r="W235" s="150"/>
      <c r="X235" s="166"/>
      <c r="Y235" s="166"/>
      <c r="Z235" s="167"/>
      <c r="AA235" s="167"/>
      <c r="AB235" s="168"/>
      <c r="AC235" s="167"/>
      <c r="AD235" s="169"/>
      <c r="AE235" s="169"/>
      <c r="AF235" s="169"/>
      <c r="AG235" s="169"/>
      <c r="AH235" s="167"/>
    </row>
    <row r="236" spans="1:34">
      <c r="A236" s="169"/>
      <c r="B236" s="169"/>
      <c r="C236" s="169"/>
      <c r="D236" s="169"/>
      <c r="E236" s="165"/>
      <c r="F236" s="162"/>
      <c r="G236" s="26"/>
      <c r="H236" s="23"/>
      <c r="I236" s="23"/>
      <c r="J236" s="124"/>
      <c r="K236" s="23"/>
      <c r="L236" s="124"/>
      <c r="M236" s="26"/>
      <c r="N236" s="156"/>
      <c r="O236" s="27"/>
      <c r="P236" s="27"/>
      <c r="Q236" s="27"/>
      <c r="R236" s="27"/>
      <c r="S236" s="27"/>
      <c r="T236" s="27"/>
      <c r="U236" s="27"/>
      <c r="V236" s="26"/>
      <c r="W236" s="150"/>
      <c r="X236" s="166"/>
      <c r="Y236" s="166"/>
      <c r="Z236" s="167"/>
      <c r="AA236" s="167"/>
      <c r="AB236" s="168"/>
      <c r="AC236" s="167"/>
      <c r="AD236" s="169"/>
      <c r="AE236" s="169"/>
      <c r="AF236" s="169"/>
      <c r="AG236" s="169"/>
      <c r="AH236" s="167"/>
    </row>
    <row r="237" spans="1:34">
      <c r="A237" s="169"/>
      <c r="B237" s="169"/>
      <c r="C237" s="169"/>
      <c r="D237" s="169"/>
      <c r="E237" s="165"/>
      <c r="F237" s="162"/>
      <c r="G237" s="26"/>
      <c r="H237" s="23"/>
      <c r="I237" s="23"/>
      <c r="J237" s="124"/>
      <c r="K237" s="23"/>
      <c r="L237" s="124"/>
      <c r="M237" s="26"/>
      <c r="N237" s="156"/>
      <c r="O237" s="27"/>
      <c r="P237" s="27"/>
      <c r="Q237" s="27"/>
      <c r="R237" s="27"/>
      <c r="S237" s="27"/>
      <c r="T237" s="27"/>
      <c r="U237" s="27"/>
      <c r="V237" s="26"/>
      <c r="W237" s="150"/>
      <c r="X237" s="166"/>
      <c r="Y237" s="166"/>
      <c r="Z237" s="167"/>
      <c r="AA237" s="167"/>
      <c r="AB237" s="168"/>
      <c r="AC237" s="167"/>
      <c r="AD237" s="169"/>
      <c r="AE237" s="169"/>
      <c r="AF237" s="169"/>
      <c r="AG237" s="169"/>
      <c r="AH237" s="167"/>
    </row>
    <row r="238" spans="1:34">
      <c r="A238" s="169"/>
      <c r="B238" s="169"/>
      <c r="C238" s="169"/>
      <c r="D238" s="169"/>
      <c r="E238" s="165"/>
      <c r="F238" s="162"/>
      <c r="G238" s="26"/>
      <c r="H238" s="23"/>
      <c r="I238" s="23"/>
      <c r="J238" s="124"/>
      <c r="K238" s="23"/>
      <c r="L238" s="124"/>
      <c r="M238" s="26"/>
      <c r="N238" s="156"/>
      <c r="O238" s="27"/>
      <c r="P238" s="27"/>
      <c r="Q238" s="27"/>
      <c r="R238" s="27"/>
      <c r="S238" s="27"/>
      <c r="T238" s="27"/>
      <c r="U238" s="27"/>
      <c r="V238" s="26"/>
      <c r="W238" s="150"/>
      <c r="X238" s="166"/>
      <c r="Y238" s="166"/>
      <c r="Z238" s="167"/>
      <c r="AA238" s="167"/>
      <c r="AB238" s="168"/>
      <c r="AC238" s="167"/>
      <c r="AD238" s="169"/>
      <c r="AE238" s="169"/>
      <c r="AF238" s="169"/>
      <c r="AG238" s="169"/>
      <c r="AH238" s="167"/>
    </row>
    <row r="239" spans="1:34">
      <c r="A239" s="169"/>
      <c r="B239" s="169"/>
      <c r="C239" s="169"/>
      <c r="D239" s="169"/>
      <c r="E239" s="165"/>
      <c r="F239" s="162"/>
      <c r="G239" s="26"/>
      <c r="H239" s="23"/>
      <c r="I239" s="23"/>
      <c r="J239" s="124"/>
      <c r="K239" s="23"/>
      <c r="L239" s="124"/>
      <c r="M239" s="26"/>
      <c r="N239" s="156"/>
      <c r="O239" s="27"/>
      <c r="P239" s="27"/>
      <c r="Q239" s="27"/>
      <c r="R239" s="27"/>
      <c r="S239" s="27"/>
      <c r="T239" s="27"/>
      <c r="U239" s="27"/>
      <c r="V239" s="26"/>
      <c r="W239" s="150"/>
      <c r="X239" s="166"/>
      <c r="Y239" s="166"/>
      <c r="Z239" s="167"/>
      <c r="AA239" s="167"/>
      <c r="AB239" s="168"/>
      <c r="AC239" s="167"/>
      <c r="AD239" s="169"/>
      <c r="AE239" s="169"/>
      <c r="AF239" s="169"/>
      <c r="AG239" s="169"/>
      <c r="AH239" s="167"/>
    </row>
    <row r="240" spans="1:34">
      <c r="A240" s="169"/>
      <c r="B240" s="169"/>
      <c r="C240" s="169"/>
      <c r="D240" s="169"/>
      <c r="E240" s="165"/>
      <c r="F240" s="162"/>
      <c r="G240" s="26"/>
      <c r="H240" s="23"/>
      <c r="I240" s="23"/>
      <c r="J240" s="124"/>
      <c r="K240" s="23"/>
      <c r="L240" s="124"/>
      <c r="M240" s="26"/>
      <c r="N240" s="156"/>
      <c r="O240" s="27"/>
      <c r="P240" s="27"/>
      <c r="Q240" s="27"/>
      <c r="R240" s="27"/>
      <c r="S240" s="27"/>
      <c r="T240" s="27"/>
      <c r="U240" s="27"/>
      <c r="V240" s="26"/>
      <c r="W240" s="150"/>
      <c r="X240" s="166"/>
      <c r="Y240" s="166"/>
      <c r="Z240" s="167"/>
      <c r="AA240" s="167"/>
      <c r="AB240" s="168"/>
      <c r="AC240" s="167"/>
      <c r="AD240" s="169"/>
      <c r="AE240" s="169"/>
      <c r="AF240" s="169"/>
      <c r="AG240" s="169"/>
      <c r="AH240" s="167"/>
    </row>
    <row r="241" spans="1:34">
      <c r="A241" s="169"/>
      <c r="B241" s="169"/>
      <c r="C241" s="169"/>
      <c r="D241" s="169"/>
      <c r="E241" s="165"/>
      <c r="F241" s="162"/>
      <c r="G241" s="26"/>
      <c r="H241" s="23"/>
      <c r="I241" s="23"/>
      <c r="J241" s="124"/>
      <c r="K241" s="23"/>
      <c r="L241" s="124"/>
      <c r="M241" s="26"/>
      <c r="N241" s="156"/>
      <c r="O241" s="27"/>
      <c r="P241" s="27"/>
      <c r="Q241" s="27"/>
      <c r="R241" s="27"/>
      <c r="S241" s="27"/>
      <c r="T241" s="27"/>
      <c r="U241" s="27"/>
      <c r="V241" s="26"/>
      <c r="W241" s="150"/>
      <c r="X241" s="166"/>
      <c r="Y241" s="166"/>
      <c r="Z241" s="167"/>
      <c r="AA241" s="167"/>
      <c r="AB241" s="168"/>
      <c r="AC241" s="167"/>
      <c r="AD241" s="169"/>
      <c r="AE241" s="169"/>
      <c r="AF241" s="169"/>
      <c r="AG241" s="169"/>
      <c r="AH241" s="167"/>
    </row>
    <row r="242" spans="1:34">
      <c r="A242" s="169"/>
      <c r="B242" s="169"/>
      <c r="C242" s="169"/>
      <c r="D242" s="169"/>
      <c r="E242" s="165"/>
      <c r="F242" s="162"/>
      <c r="G242" s="26"/>
      <c r="H242" s="23"/>
      <c r="I242" s="23"/>
      <c r="J242" s="124"/>
      <c r="K242" s="23"/>
      <c r="L242" s="124"/>
      <c r="M242" s="26"/>
      <c r="N242" s="156"/>
      <c r="O242" s="27"/>
      <c r="P242" s="27"/>
      <c r="Q242" s="27"/>
      <c r="R242" s="27"/>
      <c r="S242" s="27"/>
      <c r="T242" s="27"/>
      <c r="U242" s="27"/>
      <c r="V242" s="26"/>
      <c r="W242" s="150"/>
      <c r="X242" s="166"/>
      <c r="Y242" s="166"/>
      <c r="Z242" s="167"/>
      <c r="AA242" s="167"/>
      <c r="AB242" s="168"/>
      <c r="AC242" s="167"/>
      <c r="AD242" s="169"/>
      <c r="AE242" s="169"/>
      <c r="AF242" s="169"/>
      <c r="AG242" s="169"/>
      <c r="AH242" s="167"/>
    </row>
    <row r="243" spans="1:34">
      <c r="A243" s="169"/>
      <c r="B243" s="169"/>
      <c r="C243" s="169"/>
      <c r="D243" s="169"/>
      <c r="E243" s="165"/>
      <c r="F243" s="162"/>
      <c r="G243" s="26"/>
      <c r="H243" s="23"/>
      <c r="I243" s="23"/>
      <c r="J243" s="124"/>
      <c r="K243" s="23"/>
      <c r="L243" s="124"/>
      <c r="M243" s="26"/>
      <c r="N243" s="156"/>
      <c r="O243" s="27"/>
      <c r="P243" s="27"/>
      <c r="Q243" s="27"/>
      <c r="R243" s="27"/>
      <c r="S243" s="27"/>
      <c r="T243" s="27"/>
      <c r="U243" s="27"/>
      <c r="V243" s="26"/>
      <c r="W243" s="150"/>
      <c r="X243" s="166"/>
      <c r="Y243" s="166"/>
      <c r="Z243" s="167"/>
      <c r="AA243" s="167"/>
      <c r="AB243" s="168"/>
      <c r="AC243" s="167"/>
      <c r="AD243" s="169"/>
      <c r="AE243" s="169"/>
      <c r="AF243" s="169"/>
      <c r="AG243" s="169"/>
      <c r="AH243" s="167"/>
    </row>
    <row r="244" spans="1:34">
      <c r="A244" s="169"/>
      <c r="B244" s="169"/>
      <c r="C244" s="169"/>
      <c r="D244" s="169"/>
      <c r="E244" s="165"/>
      <c r="F244" s="162"/>
      <c r="G244" s="26"/>
      <c r="H244" s="23"/>
      <c r="I244" s="23"/>
      <c r="J244" s="124"/>
      <c r="K244" s="23"/>
      <c r="L244" s="124"/>
      <c r="M244" s="26"/>
      <c r="N244" s="156"/>
      <c r="O244" s="27"/>
      <c r="P244" s="27"/>
      <c r="Q244" s="27"/>
      <c r="R244" s="27"/>
      <c r="S244" s="27"/>
      <c r="T244" s="27"/>
      <c r="U244" s="27"/>
      <c r="V244" s="26"/>
      <c r="W244" s="150"/>
      <c r="X244" s="166"/>
      <c r="Y244" s="166"/>
      <c r="Z244" s="167"/>
      <c r="AA244" s="167"/>
      <c r="AB244" s="168"/>
      <c r="AC244" s="167"/>
      <c r="AD244" s="169"/>
      <c r="AE244" s="169"/>
      <c r="AF244" s="169"/>
      <c r="AG244" s="169"/>
      <c r="AH244" s="167"/>
    </row>
    <row r="245" spans="1:34">
      <c r="A245" s="169"/>
      <c r="B245" s="169"/>
      <c r="C245" s="169"/>
      <c r="D245" s="169"/>
      <c r="E245" s="165"/>
      <c r="F245" s="162"/>
      <c r="G245" s="26"/>
      <c r="H245" s="23"/>
      <c r="I245" s="23"/>
      <c r="J245" s="124"/>
      <c r="K245" s="23"/>
      <c r="L245" s="124"/>
      <c r="M245" s="26"/>
      <c r="N245" s="156"/>
      <c r="O245" s="27"/>
      <c r="P245" s="27"/>
      <c r="Q245" s="27"/>
      <c r="R245" s="27"/>
      <c r="S245" s="27"/>
      <c r="T245" s="27"/>
      <c r="U245" s="27"/>
      <c r="V245" s="26"/>
      <c r="W245" s="150"/>
      <c r="X245" s="166"/>
      <c r="Y245" s="166"/>
      <c r="Z245" s="167"/>
      <c r="AA245" s="167"/>
      <c r="AB245" s="168"/>
      <c r="AC245" s="167"/>
      <c r="AD245" s="169"/>
      <c r="AE245" s="169"/>
      <c r="AF245" s="169"/>
      <c r="AG245" s="169"/>
      <c r="AH245" s="167"/>
    </row>
    <row r="246" spans="1:34">
      <c r="A246" s="169"/>
      <c r="B246" s="169"/>
      <c r="C246" s="169"/>
      <c r="D246" s="169"/>
      <c r="E246" s="165"/>
      <c r="F246" s="162"/>
      <c r="G246" s="26"/>
      <c r="H246" s="23"/>
      <c r="I246" s="23"/>
      <c r="J246" s="124"/>
      <c r="K246" s="23"/>
      <c r="L246" s="124"/>
      <c r="M246" s="26"/>
      <c r="N246" s="156"/>
      <c r="O246" s="27"/>
      <c r="P246" s="27"/>
      <c r="Q246" s="27"/>
      <c r="R246" s="27"/>
      <c r="S246" s="27"/>
      <c r="T246" s="27"/>
      <c r="U246" s="27"/>
      <c r="V246" s="26"/>
      <c r="W246" s="150"/>
      <c r="X246" s="166"/>
      <c r="Y246" s="166"/>
      <c r="Z246" s="167"/>
      <c r="AA246" s="167"/>
      <c r="AB246" s="168"/>
      <c r="AC246" s="167"/>
      <c r="AD246" s="169"/>
      <c r="AE246" s="169"/>
      <c r="AF246" s="169"/>
      <c r="AG246" s="169"/>
      <c r="AH246" s="167"/>
    </row>
    <row r="247" spans="1:34">
      <c r="A247" s="169"/>
      <c r="B247" s="169"/>
      <c r="C247" s="169"/>
      <c r="D247" s="169"/>
      <c r="E247" s="165"/>
      <c r="F247" s="162"/>
      <c r="G247" s="26"/>
      <c r="H247" s="23"/>
      <c r="I247" s="23"/>
      <c r="J247" s="124"/>
      <c r="K247" s="23"/>
      <c r="L247" s="124"/>
      <c r="M247" s="26"/>
      <c r="N247" s="156"/>
      <c r="O247" s="27"/>
      <c r="P247" s="27"/>
      <c r="Q247" s="27"/>
      <c r="R247" s="27"/>
      <c r="S247" s="27"/>
      <c r="T247" s="27"/>
      <c r="U247" s="27"/>
      <c r="V247" s="26"/>
      <c r="W247" s="150"/>
      <c r="X247" s="166"/>
      <c r="Y247" s="166"/>
      <c r="Z247" s="167"/>
      <c r="AA247" s="167"/>
      <c r="AB247" s="168"/>
      <c r="AC247" s="167"/>
      <c r="AD247" s="169"/>
      <c r="AE247" s="169"/>
      <c r="AF247" s="169"/>
      <c r="AG247" s="169"/>
      <c r="AH247" s="167"/>
    </row>
    <row r="248" spans="1:34">
      <c r="A248" s="169"/>
      <c r="B248" s="169"/>
      <c r="C248" s="169"/>
      <c r="D248" s="169"/>
      <c r="E248" s="165"/>
      <c r="F248" s="162"/>
      <c r="G248" s="26"/>
      <c r="H248" s="23"/>
      <c r="I248" s="23"/>
      <c r="J248" s="124"/>
      <c r="K248" s="23"/>
      <c r="L248" s="124"/>
      <c r="M248" s="26"/>
      <c r="N248" s="156"/>
      <c r="O248" s="27"/>
      <c r="P248" s="27"/>
      <c r="Q248" s="27"/>
      <c r="R248" s="27"/>
      <c r="S248" s="27"/>
      <c r="T248" s="27"/>
      <c r="U248" s="27"/>
      <c r="V248" s="26"/>
      <c r="W248" s="150"/>
      <c r="X248" s="166"/>
      <c r="Y248" s="166"/>
      <c r="Z248" s="167"/>
      <c r="AA248" s="167"/>
      <c r="AB248" s="168"/>
      <c r="AC248" s="167"/>
      <c r="AD248" s="169"/>
      <c r="AE248" s="169"/>
      <c r="AF248" s="169"/>
      <c r="AG248" s="169"/>
      <c r="AH248" s="167"/>
    </row>
    <row r="249" spans="1:34">
      <c r="A249" s="169"/>
      <c r="B249" s="169"/>
      <c r="C249" s="169"/>
      <c r="D249" s="169"/>
      <c r="E249" s="165"/>
      <c r="F249" s="162"/>
      <c r="G249" s="26"/>
      <c r="H249" s="23"/>
      <c r="I249" s="23"/>
      <c r="J249" s="124"/>
      <c r="K249" s="23"/>
      <c r="L249" s="124"/>
      <c r="M249" s="26"/>
      <c r="N249" s="156"/>
      <c r="O249" s="27"/>
      <c r="P249" s="27"/>
      <c r="Q249" s="27"/>
      <c r="R249" s="27"/>
      <c r="S249" s="27"/>
      <c r="T249" s="27"/>
      <c r="U249" s="27"/>
      <c r="V249" s="26"/>
      <c r="W249" s="150"/>
      <c r="X249" s="166"/>
      <c r="Y249" s="166"/>
      <c r="Z249" s="167"/>
      <c r="AA249" s="167"/>
      <c r="AB249" s="168"/>
      <c r="AC249" s="167"/>
      <c r="AD249" s="169"/>
      <c r="AE249" s="169"/>
      <c r="AF249" s="169"/>
      <c r="AG249" s="169"/>
      <c r="AH249" s="167"/>
    </row>
    <row r="250" spans="1:34">
      <c r="A250" s="169"/>
      <c r="B250" s="169"/>
      <c r="C250" s="169"/>
      <c r="D250" s="169"/>
      <c r="E250" s="165"/>
      <c r="F250" s="162"/>
      <c r="G250" s="26"/>
      <c r="H250" s="23"/>
      <c r="I250" s="23"/>
      <c r="J250" s="124"/>
      <c r="K250" s="23"/>
      <c r="L250" s="124"/>
      <c r="M250" s="26"/>
      <c r="N250" s="156"/>
      <c r="O250" s="27"/>
      <c r="P250" s="27"/>
      <c r="Q250" s="27"/>
      <c r="R250" s="27"/>
      <c r="S250" s="27"/>
      <c r="T250" s="27"/>
      <c r="U250" s="27"/>
      <c r="V250" s="26"/>
      <c r="W250" s="150"/>
      <c r="X250" s="166"/>
      <c r="Y250" s="166"/>
      <c r="Z250" s="167"/>
      <c r="AA250" s="167"/>
      <c r="AB250" s="168"/>
      <c r="AC250" s="167"/>
      <c r="AD250" s="169"/>
      <c r="AE250" s="169"/>
      <c r="AF250" s="169"/>
      <c r="AG250" s="169"/>
      <c r="AH250" s="167"/>
    </row>
    <row r="251" spans="1:34">
      <c r="A251" s="169"/>
      <c r="B251" s="169"/>
      <c r="C251" s="169"/>
      <c r="D251" s="169"/>
      <c r="E251" s="165"/>
      <c r="F251" s="162"/>
      <c r="G251" s="26"/>
      <c r="H251" s="23"/>
      <c r="I251" s="23"/>
      <c r="J251" s="124"/>
      <c r="K251" s="23"/>
      <c r="L251" s="124"/>
      <c r="M251" s="26"/>
      <c r="N251" s="156"/>
      <c r="O251" s="27"/>
      <c r="P251" s="27"/>
      <c r="Q251" s="27"/>
      <c r="R251" s="27"/>
      <c r="S251" s="27"/>
      <c r="T251" s="27"/>
      <c r="U251" s="27"/>
      <c r="V251" s="26"/>
      <c r="W251" s="150"/>
      <c r="X251" s="166"/>
      <c r="Y251" s="166"/>
      <c r="Z251" s="167"/>
      <c r="AA251" s="167"/>
      <c r="AB251" s="168"/>
      <c r="AC251" s="167"/>
      <c r="AD251" s="169"/>
      <c r="AE251" s="169"/>
      <c r="AF251" s="169"/>
      <c r="AG251" s="169"/>
      <c r="AH251" s="167"/>
    </row>
    <row r="252" spans="1:34">
      <c r="A252" s="169"/>
      <c r="B252" s="169"/>
      <c r="C252" s="169"/>
      <c r="D252" s="169"/>
      <c r="E252" s="165"/>
      <c r="F252" s="162"/>
      <c r="G252" s="26"/>
      <c r="H252" s="23"/>
      <c r="I252" s="23"/>
      <c r="J252" s="124"/>
      <c r="K252" s="23"/>
      <c r="L252" s="124"/>
      <c r="M252" s="26"/>
      <c r="N252" s="156"/>
      <c r="O252" s="27"/>
      <c r="P252" s="27"/>
      <c r="Q252" s="27"/>
      <c r="R252" s="27"/>
      <c r="S252" s="27"/>
      <c r="T252" s="27"/>
      <c r="U252" s="27"/>
      <c r="V252" s="26"/>
      <c r="W252" s="150"/>
      <c r="X252" s="166"/>
      <c r="Y252" s="166"/>
      <c r="Z252" s="167"/>
      <c r="AA252" s="167"/>
      <c r="AB252" s="168"/>
      <c r="AC252" s="167"/>
      <c r="AD252" s="169"/>
      <c r="AE252" s="169"/>
      <c r="AF252" s="169"/>
      <c r="AG252" s="169"/>
      <c r="AH252" s="167"/>
    </row>
    <row r="253" spans="1:34">
      <c r="A253" s="169"/>
      <c r="B253" s="169"/>
      <c r="C253" s="169"/>
      <c r="D253" s="169"/>
      <c r="E253" s="165"/>
      <c r="F253" s="162"/>
      <c r="G253" s="26"/>
      <c r="H253" s="23"/>
      <c r="I253" s="23"/>
      <c r="J253" s="124"/>
      <c r="K253" s="23"/>
      <c r="L253" s="124"/>
      <c r="M253" s="26"/>
      <c r="N253" s="156"/>
      <c r="O253" s="27"/>
      <c r="P253" s="27"/>
      <c r="Q253" s="27"/>
      <c r="R253" s="27"/>
      <c r="S253" s="27"/>
      <c r="T253" s="27"/>
      <c r="U253" s="27"/>
      <c r="V253" s="26"/>
      <c r="W253" s="150"/>
      <c r="X253" s="166"/>
      <c r="Y253" s="166"/>
      <c r="Z253" s="167"/>
      <c r="AA253" s="167"/>
      <c r="AB253" s="168"/>
      <c r="AC253" s="167"/>
      <c r="AD253" s="169"/>
      <c r="AE253" s="169"/>
      <c r="AF253" s="169"/>
      <c r="AG253" s="169"/>
      <c r="AH253" s="167"/>
    </row>
    <row r="254" spans="1:34">
      <c r="A254" s="169"/>
      <c r="B254" s="169"/>
      <c r="C254" s="169"/>
      <c r="D254" s="169"/>
      <c r="E254" s="165"/>
      <c r="F254" s="162"/>
      <c r="G254" s="26"/>
      <c r="H254" s="23"/>
      <c r="I254" s="23"/>
      <c r="J254" s="124"/>
      <c r="K254" s="23"/>
      <c r="L254" s="124"/>
      <c r="M254" s="26"/>
      <c r="N254" s="156"/>
      <c r="O254" s="27"/>
      <c r="P254" s="27"/>
      <c r="Q254" s="27"/>
      <c r="R254" s="27"/>
      <c r="S254" s="27"/>
      <c r="T254" s="27"/>
      <c r="U254" s="27"/>
      <c r="V254" s="26"/>
      <c r="W254" s="150"/>
      <c r="X254" s="166"/>
      <c r="Y254" s="166"/>
      <c r="Z254" s="167"/>
      <c r="AA254" s="167"/>
      <c r="AB254" s="168"/>
      <c r="AC254" s="167"/>
      <c r="AD254" s="169"/>
      <c r="AE254" s="169"/>
      <c r="AF254" s="169"/>
      <c r="AG254" s="169"/>
      <c r="AH254" s="167"/>
    </row>
    <row r="255" spans="1:34">
      <c r="A255" s="169"/>
      <c r="B255" s="169"/>
      <c r="C255" s="169"/>
      <c r="D255" s="169"/>
      <c r="E255" s="165"/>
      <c r="F255" s="162"/>
      <c r="G255" s="26"/>
      <c r="H255" s="23"/>
      <c r="I255" s="23"/>
      <c r="J255" s="124"/>
      <c r="K255" s="23"/>
      <c r="L255" s="124"/>
      <c r="M255" s="26"/>
      <c r="N255" s="156"/>
      <c r="O255" s="27"/>
      <c r="P255" s="27"/>
      <c r="Q255" s="27"/>
      <c r="R255" s="27"/>
      <c r="S255" s="27"/>
      <c r="T255" s="27"/>
      <c r="U255" s="27"/>
      <c r="V255" s="26"/>
      <c r="W255" s="150"/>
      <c r="X255" s="166"/>
      <c r="Y255" s="166"/>
      <c r="Z255" s="167"/>
      <c r="AA255" s="167"/>
      <c r="AB255" s="168"/>
      <c r="AC255" s="167"/>
      <c r="AD255" s="169"/>
      <c r="AE255" s="169"/>
      <c r="AF255" s="169"/>
      <c r="AG255" s="169"/>
      <c r="AH255" s="167"/>
    </row>
    <row r="256" spans="1:34">
      <c r="A256" s="169"/>
      <c r="B256" s="169"/>
      <c r="C256" s="169"/>
      <c r="D256" s="169"/>
      <c r="E256" s="165"/>
      <c r="F256" s="162"/>
      <c r="G256" s="26"/>
      <c r="H256" s="23"/>
      <c r="I256" s="23"/>
      <c r="J256" s="124"/>
      <c r="K256" s="23"/>
      <c r="L256" s="124"/>
      <c r="M256" s="26"/>
      <c r="N256" s="156"/>
      <c r="O256" s="27"/>
      <c r="P256" s="27"/>
      <c r="Q256" s="27"/>
      <c r="R256" s="27"/>
      <c r="S256" s="27"/>
      <c r="T256" s="27"/>
      <c r="U256" s="27"/>
      <c r="V256" s="26"/>
      <c r="W256" s="150"/>
      <c r="X256" s="166"/>
      <c r="Y256" s="166"/>
      <c r="Z256" s="167"/>
      <c r="AA256" s="167"/>
      <c r="AB256" s="168"/>
      <c r="AC256" s="167"/>
      <c r="AD256" s="169"/>
      <c r="AE256" s="169"/>
      <c r="AF256" s="169"/>
      <c r="AG256" s="169"/>
      <c r="AH256" s="167"/>
    </row>
    <row r="257" spans="1:34">
      <c r="A257" s="169"/>
      <c r="B257" s="169"/>
      <c r="C257" s="169"/>
      <c r="D257" s="169"/>
      <c r="E257" s="165"/>
      <c r="F257" s="162"/>
      <c r="G257" s="26"/>
      <c r="H257" s="23"/>
      <c r="I257" s="23"/>
      <c r="J257" s="124"/>
      <c r="K257" s="23"/>
      <c r="L257" s="124"/>
      <c r="M257" s="26"/>
      <c r="N257" s="156"/>
      <c r="O257" s="27"/>
      <c r="P257" s="27"/>
      <c r="Q257" s="27"/>
      <c r="R257" s="27"/>
      <c r="S257" s="27"/>
      <c r="T257" s="27"/>
      <c r="U257" s="27"/>
      <c r="V257" s="26"/>
      <c r="W257" s="150"/>
      <c r="X257" s="166"/>
      <c r="Y257" s="166"/>
      <c r="Z257" s="167"/>
      <c r="AA257" s="167"/>
      <c r="AB257" s="168"/>
      <c r="AC257" s="167"/>
      <c r="AD257" s="169"/>
      <c r="AE257" s="169"/>
      <c r="AF257" s="169"/>
      <c r="AG257" s="169"/>
      <c r="AH257" s="167"/>
    </row>
    <row r="258" spans="1:34">
      <c r="A258" s="169"/>
      <c r="B258" s="169"/>
      <c r="C258" s="169"/>
      <c r="D258" s="169"/>
      <c r="E258" s="165"/>
      <c r="F258" s="162"/>
      <c r="G258" s="26"/>
      <c r="H258" s="23"/>
      <c r="I258" s="23"/>
      <c r="J258" s="124"/>
      <c r="K258" s="23"/>
      <c r="L258" s="124"/>
      <c r="M258" s="26"/>
      <c r="N258" s="156"/>
      <c r="O258" s="27"/>
      <c r="P258" s="27"/>
      <c r="Q258" s="27"/>
      <c r="R258" s="27"/>
      <c r="S258" s="27"/>
      <c r="T258" s="27"/>
      <c r="U258" s="27"/>
      <c r="V258" s="26"/>
      <c r="W258" s="150"/>
      <c r="X258" s="166"/>
      <c r="Y258" s="166"/>
      <c r="Z258" s="167"/>
      <c r="AA258" s="167"/>
      <c r="AB258" s="168"/>
      <c r="AC258" s="167"/>
      <c r="AD258" s="169"/>
      <c r="AE258" s="169"/>
      <c r="AF258" s="169"/>
      <c r="AG258" s="169"/>
      <c r="AH258" s="167"/>
    </row>
    <row r="259" spans="1:34">
      <c r="A259" s="169"/>
      <c r="B259" s="169"/>
      <c r="C259" s="169"/>
      <c r="D259" s="169"/>
      <c r="E259" s="165"/>
      <c r="F259" s="162"/>
      <c r="G259" s="26"/>
      <c r="H259" s="23"/>
      <c r="I259" s="23"/>
      <c r="J259" s="124"/>
      <c r="K259" s="23"/>
      <c r="L259" s="124"/>
      <c r="M259" s="26"/>
      <c r="N259" s="156"/>
      <c r="O259" s="27"/>
      <c r="P259" s="27"/>
      <c r="Q259" s="27"/>
      <c r="R259" s="27"/>
      <c r="S259" s="27"/>
      <c r="T259" s="27"/>
      <c r="U259" s="27"/>
      <c r="V259" s="26"/>
      <c r="W259" s="150"/>
      <c r="X259" s="166"/>
      <c r="Y259" s="166"/>
      <c r="Z259" s="167"/>
      <c r="AA259" s="167"/>
      <c r="AB259" s="168"/>
      <c r="AC259" s="167"/>
      <c r="AD259" s="169"/>
      <c r="AE259" s="169"/>
      <c r="AF259" s="169"/>
      <c r="AG259" s="169"/>
      <c r="AH259" s="167"/>
    </row>
    <row r="260" spans="1:34">
      <c r="A260" s="169"/>
      <c r="B260" s="169"/>
      <c r="C260" s="169"/>
      <c r="D260" s="169"/>
      <c r="E260" s="165"/>
      <c r="F260" s="162"/>
      <c r="G260" s="26"/>
      <c r="H260" s="23"/>
      <c r="I260" s="23"/>
      <c r="J260" s="124"/>
      <c r="K260" s="23"/>
      <c r="L260" s="124"/>
      <c r="M260" s="26"/>
      <c r="N260" s="156"/>
      <c r="O260" s="27"/>
      <c r="P260" s="27"/>
      <c r="Q260" s="27"/>
      <c r="R260" s="27"/>
      <c r="S260" s="27"/>
      <c r="T260" s="27"/>
      <c r="U260" s="27"/>
      <c r="V260" s="26"/>
      <c r="W260" s="150"/>
      <c r="X260" s="166"/>
      <c r="Y260" s="166"/>
      <c r="Z260" s="167"/>
      <c r="AA260" s="167"/>
      <c r="AB260" s="168"/>
      <c r="AC260" s="167"/>
      <c r="AD260" s="169"/>
      <c r="AE260" s="169"/>
      <c r="AF260" s="169"/>
      <c r="AG260" s="169"/>
      <c r="AH260" s="167"/>
    </row>
    <row r="261" spans="1:34">
      <c r="A261" s="169"/>
      <c r="B261" s="169"/>
      <c r="C261" s="169"/>
      <c r="D261" s="169"/>
      <c r="E261" s="165"/>
      <c r="F261" s="162"/>
      <c r="G261" s="26"/>
      <c r="H261" s="23"/>
      <c r="I261" s="23"/>
      <c r="J261" s="124"/>
      <c r="K261" s="23"/>
      <c r="L261" s="124"/>
      <c r="M261" s="26"/>
      <c r="N261" s="156"/>
      <c r="O261" s="27"/>
      <c r="P261" s="27"/>
      <c r="Q261" s="27"/>
      <c r="R261" s="27"/>
      <c r="S261" s="27"/>
      <c r="T261" s="27"/>
      <c r="U261" s="27"/>
      <c r="V261" s="26"/>
      <c r="W261" s="150"/>
      <c r="X261" s="166"/>
      <c r="Y261" s="166"/>
      <c r="Z261" s="167"/>
      <c r="AA261" s="167"/>
      <c r="AB261" s="168"/>
      <c r="AC261" s="167"/>
      <c r="AD261" s="169"/>
      <c r="AE261" s="169"/>
      <c r="AF261" s="169"/>
      <c r="AG261" s="169"/>
      <c r="AH261" s="167"/>
    </row>
    <row r="262" spans="1:34">
      <c r="A262" s="169"/>
      <c r="B262" s="169"/>
      <c r="C262" s="169"/>
      <c r="D262" s="169"/>
      <c r="E262" s="165"/>
      <c r="F262" s="162"/>
      <c r="G262" s="26"/>
      <c r="H262" s="23"/>
      <c r="I262" s="23"/>
      <c r="J262" s="124"/>
      <c r="K262" s="23"/>
      <c r="L262" s="124"/>
      <c r="M262" s="26"/>
      <c r="N262" s="156"/>
      <c r="O262" s="27"/>
      <c r="P262" s="27"/>
      <c r="Q262" s="27"/>
      <c r="R262" s="27"/>
      <c r="S262" s="27"/>
      <c r="T262" s="27"/>
      <c r="U262" s="27"/>
      <c r="V262" s="26"/>
      <c r="W262" s="150"/>
      <c r="X262" s="166"/>
      <c r="Y262" s="166"/>
      <c r="Z262" s="167"/>
      <c r="AA262" s="167"/>
      <c r="AB262" s="168"/>
      <c r="AC262" s="167"/>
      <c r="AD262" s="169"/>
      <c r="AE262" s="169"/>
      <c r="AF262" s="169"/>
      <c r="AG262" s="169"/>
      <c r="AH262" s="167"/>
    </row>
    <row r="263" spans="1:34">
      <c r="A263" s="169"/>
      <c r="B263" s="169"/>
      <c r="C263" s="169"/>
      <c r="D263" s="169"/>
      <c r="E263" s="165"/>
      <c r="F263" s="162"/>
      <c r="G263" s="26"/>
      <c r="H263" s="23"/>
      <c r="I263" s="23"/>
      <c r="J263" s="124"/>
      <c r="K263" s="23"/>
      <c r="L263" s="124"/>
      <c r="M263" s="26"/>
      <c r="N263" s="156"/>
      <c r="O263" s="27"/>
      <c r="P263" s="27"/>
      <c r="Q263" s="27"/>
      <c r="R263" s="27"/>
      <c r="S263" s="27"/>
      <c r="T263" s="27"/>
      <c r="U263" s="27"/>
      <c r="V263" s="26"/>
      <c r="W263" s="150"/>
      <c r="X263" s="166"/>
      <c r="Y263" s="166"/>
      <c r="Z263" s="167"/>
      <c r="AA263" s="167"/>
      <c r="AB263" s="168"/>
      <c r="AC263" s="167"/>
      <c r="AD263" s="169"/>
      <c r="AE263" s="169"/>
      <c r="AF263" s="169"/>
      <c r="AG263" s="169"/>
      <c r="AH263" s="167"/>
    </row>
    <row r="264" spans="1:34">
      <c r="A264" s="169"/>
      <c r="B264" s="169"/>
      <c r="C264" s="169"/>
      <c r="D264" s="169"/>
      <c r="E264" s="165"/>
      <c r="F264" s="162"/>
      <c r="G264" s="26"/>
      <c r="H264" s="23"/>
      <c r="I264" s="23"/>
      <c r="J264" s="124"/>
      <c r="K264" s="23"/>
      <c r="L264" s="124"/>
      <c r="M264" s="26"/>
      <c r="N264" s="156"/>
      <c r="O264" s="27"/>
      <c r="P264" s="27"/>
      <c r="Q264" s="27"/>
      <c r="R264" s="27"/>
      <c r="S264" s="27"/>
      <c r="T264" s="27"/>
      <c r="U264" s="27"/>
      <c r="V264" s="26"/>
      <c r="W264" s="150"/>
      <c r="X264" s="166"/>
      <c r="Y264" s="166"/>
      <c r="Z264" s="167"/>
      <c r="AA264" s="167"/>
      <c r="AB264" s="168"/>
      <c r="AC264" s="167"/>
      <c r="AD264" s="169"/>
      <c r="AE264" s="169"/>
      <c r="AF264" s="169"/>
      <c r="AG264" s="169"/>
      <c r="AH264" s="167"/>
    </row>
    <row r="265" spans="1:34">
      <c r="A265" s="169"/>
      <c r="B265" s="169"/>
      <c r="C265" s="169"/>
      <c r="D265" s="169"/>
      <c r="E265" s="165"/>
      <c r="F265" s="162"/>
      <c r="G265" s="26"/>
      <c r="H265" s="23"/>
      <c r="I265" s="23"/>
      <c r="J265" s="124"/>
      <c r="K265" s="23"/>
      <c r="L265" s="124"/>
      <c r="M265" s="26"/>
      <c r="N265" s="156"/>
      <c r="O265" s="27"/>
      <c r="P265" s="27"/>
      <c r="Q265" s="27"/>
      <c r="R265" s="27"/>
      <c r="S265" s="27"/>
      <c r="T265" s="27"/>
      <c r="U265" s="27"/>
      <c r="V265" s="26"/>
      <c r="W265" s="150"/>
      <c r="X265" s="166"/>
      <c r="Y265" s="166"/>
      <c r="Z265" s="167"/>
      <c r="AA265" s="167"/>
      <c r="AB265" s="168"/>
      <c r="AC265" s="167"/>
      <c r="AD265" s="169"/>
      <c r="AE265" s="169"/>
      <c r="AF265" s="169"/>
      <c r="AG265" s="169"/>
      <c r="AH265" s="167"/>
    </row>
    <row r="266" spans="1:34">
      <c r="A266" s="169"/>
      <c r="B266" s="169"/>
      <c r="C266" s="169"/>
      <c r="D266" s="169"/>
      <c r="E266" s="165"/>
      <c r="F266" s="162"/>
      <c r="G266" s="26"/>
      <c r="H266" s="23"/>
      <c r="I266" s="23"/>
      <c r="J266" s="124"/>
      <c r="K266" s="23"/>
      <c r="L266" s="124"/>
      <c r="M266" s="26"/>
      <c r="N266" s="156"/>
      <c r="O266" s="27"/>
      <c r="P266" s="27"/>
      <c r="Q266" s="27"/>
      <c r="R266" s="27"/>
      <c r="S266" s="27"/>
      <c r="T266" s="27"/>
      <c r="U266" s="27"/>
      <c r="V266" s="26"/>
      <c r="W266" s="150"/>
      <c r="X266" s="166"/>
      <c r="Y266" s="166"/>
      <c r="Z266" s="167"/>
      <c r="AA266" s="167"/>
      <c r="AB266" s="168"/>
      <c r="AC266" s="167"/>
      <c r="AD266" s="169"/>
      <c r="AE266" s="169"/>
      <c r="AF266" s="169"/>
      <c r="AG266" s="169"/>
      <c r="AH266" s="167"/>
    </row>
    <row r="267" spans="1:34">
      <c r="A267" s="169"/>
      <c r="B267" s="169"/>
      <c r="C267" s="169"/>
      <c r="D267" s="169"/>
      <c r="E267" s="165"/>
      <c r="F267" s="162"/>
      <c r="G267" s="26"/>
      <c r="H267" s="23"/>
      <c r="I267" s="23"/>
      <c r="J267" s="124"/>
      <c r="K267" s="23"/>
      <c r="L267" s="124"/>
      <c r="M267" s="26"/>
      <c r="N267" s="156"/>
      <c r="O267" s="27"/>
      <c r="P267" s="27"/>
      <c r="Q267" s="27"/>
      <c r="R267" s="27"/>
      <c r="S267" s="27"/>
      <c r="T267" s="27"/>
      <c r="U267" s="27"/>
      <c r="V267" s="26"/>
      <c r="W267" s="150"/>
      <c r="X267" s="166"/>
      <c r="Y267" s="166"/>
      <c r="Z267" s="167"/>
      <c r="AA267" s="167"/>
      <c r="AB267" s="168"/>
      <c r="AC267" s="167"/>
      <c r="AD267" s="169"/>
      <c r="AE267" s="169"/>
      <c r="AF267" s="169"/>
      <c r="AG267" s="169"/>
      <c r="AH267" s="167"/>
    </row>
    <row r="268" spans="1:34">
      <c r="A268" s="169"/>
      <c r="B268" s="169"/>
      <c r="C268" s="169"/>
      <c r="D268" s="169"/>
      <c r="E268" s="165"/>
      <c r="F268" s="162"/>
      <c r="G268" s="26"/>
      <c r="H268" s="23"/>
      <c r="I268" s="23"/>
      <c r="J268" s="124"/>
      <c r="K268" s="23"/>
      <c r="L268" s="124"/>
      <c r="M268" s="26"/>
      <c r="N268" s="156"/>
      <c r="O268" s="27"/>
      <c r="P268" s="27"/>
      <c r="Q268" s="27"/>
      <c r="R268" s="27"/>
      <c r="S268" s="27"/>
      <c r="T268" s="27"/>
      <c r="U268" s="27"/>
      <c r="V268" s="26"/>
      <c r="W268" s="150"/>
      <c r="X268" s="166"/>
      <c r="Y268" s="166"/>
      <c r="Z268" s="167"/>
      <c r="AA268" s="167"/>
      <c r="AB268" s="168"/>
      <c r="AC268" s="167"/>
      <c r="AD268" s="169"/>
      <c r="AE268" s="169"/>
      <c r="AF268" s="169"/>
      <c r="AG268" s="169"/>
      <c r="AH268" s="167"/>
    </row>
    <row r="269" spans="1:34">
      <c r="A269" s="169"/>
      <c r="B269" s="169"/>
      <c r="C269" s="169"/>
      <c r="D269" s="169"/>
      <c r="E269" s="165"/>
      <c r="F269" s="162"/>
      <c r="G269" s="26"/>
      <c r="H269" s="23"/>
      <c r="I269" s="23"/>
      <c r="J269" s="124"/>
      <c r="K269" s="23"/>
      <c r="L269" s="124"/>
      <c r="M269" s="26"/>
      <c r="N269" s="156"/>
      <c r="O269" s="27"/>
      <c r="P269" s="27"/>
      <c r="Q269" s="27"/>
      <c r="R269" s="27"/>
      <c r="S269" s="27"/>
      <c r="T269" s="27"/>
      <c r="U269" s="27"/>
      <c r="V269" s="26"/>
      <c r="W269" s="150"/>
      <c r="X269" s="166"/>
      <c r="Y269" s="166"/>
      <c r="Z269" s="167"/>
      <c r="AA269" s="167"/>
      <c r="AB269" s="168"/>
      <c r="AC269" s="167"/>
      <c r="AD269" s="169"/>
      <c r="AE269" s="169"/>
      <c r="AF269" s="169"/>
      <c r="AG269" s="169"/>
      <c r="AH269" s="167"/>
    </row>
    <row r="270" spans="1:34">
      <c r="A270" s="169"/>
      <c r="B270" s="169"/>
      <c r="C270" s="169"/>
      <c r="D270" s="169"/>
      <c r="E270" s="165"/>
      <c r="F270" s="162"/>
      <c r="G270" s="26"/>
      <c r="H270" s="23"/>
      <c r="I270" s="23"/>
      <c r="J270" s="124"/>
      <c r="K270" s="23"/>
      <c r="L270" s="124"/>
      <c r="M270" s="26"/>
      <c r="N270" s="156"/>
      <c r="O270" s="27"/>
      <c r="P270" s="27"/>
      <c r="Q270" s="27"/>
      <c r="R270" s="27"/>
      <c r="S270" s="27"/>
      <c r="T270" s="27"/>
      <c r="U270" s="27"/>
      <c r="V270" s="26"/>
      <c r="W270" s="150"/>
      <c r="X270" s="166"/>
      <c r="Y270" s="166"/>
      <c r="Z270" s="167"/>
      <c r="AA270" s="167"/>
      <c r="AB270" s="168"/>
      <c r="AC270" s="167"/>
      <c r="AD270" s="169"/>
      <c r="AE270" s="169"/>
      <c r="AF270" s="169"/>
      <c r="AG270" s="169"/>
      <c r="AH270" s="167"/>
    </row>
    <row r="271" spans="1:34">
      <c r="A271" s="169"/>
      <c r="B271" s="169"/>
      <c r="C271" s="169"/>
      <c r="D271" s="169"/>
      <c r="E271" s="165"/>
      <c r="F271" s="162"/>
      <c r="G271" s="26"/>
      <c r="H271" s="23"/>
      <c r="I271" s="23"/>
      <c r="J271" s="124"/>
      <c r="K271" s="23"/>
      <c r="L271" s="124"/>
      <c r="M271" s="26"/>
      <c r="N271" s="156"/>
      <c r="O271" s="27"/>
      <c r="P271" s="27"/>
      <c r="Q271" s="27"/>
      <c r="R271" s="27"/>
      <c r="S271" s="27"/>
      <c r="T271" s="27"/>
      <c r="U271" s="27"/>
      <c r="V271" s="26"/>
      <c r="W271" s="150"/>
      <c r="X271" s="166"/>
      <c r="Y271" s="166"/>
      <c r="Z271" s="167"/>
      <c r="AA271" s="167"/>
      <c r="AB271" s="168"/>
      <c r="AC271" s="167"/>
      <c r="AD271" s="169"/>
      <c r="AE271" s="169"/>
      <c r="AF271" s="169"/>
      <c r="AG271" s="169"/>
      <c r="AH271" s="167"/>
    </row>
    <row r="272" spans="1:34">
      <c r="A272" s="169"/>
      <c r="B272" s="169"/>
      <c r="C272" s="169"/>
      <c r="D272" s="169"/>
      <c r="E272" s="165"/>
      <c r="F272" s="162"/>
      <c r="G272" s="26"/>
      <c r="H272" s="23"/>
      <c r="I272" s="23"/>
      <c r="J272" s="124"/>
      <c r="K272" s="23"/>
      <c r="L272" s="124"/>
      <c r="M272" s="26"/>
      <c r="N272" s="156"/>
      <c r="O272" s="27"/>
      <c r="P272" s="27"/>
      <c r="Q272" s="27"/>
      <c r="R272" s="27"/>
      <c r="S272" s="27"/>
      <c r="T272" s="27"/>
      <c r="U272" s="27"/>
      <c r="V272" s="26"/>
      <c r="W272" s="150"/>
      <c r="X272" s="166"/>
      <c r="Y272" s="166"/>
      <c r="Z272" s="167"/>
      <c r="AA272" s="167"/>
      <c r="AB272" s="168"/>
      <c r="AC272" s="167"/>
      <c r="AD272" s="169"/>
      <c r="AE272" s="169"/>
      <c r="AF272" s="169"/>
      <c r="AG272" s="169"/>
      <c r="AH272" s="167"/>
    </row>
    <row r="273" spans="1:34">
      <c r="A273" s="169"/>
      <c r="B273" s="169"/>
      <c r="C273" s="169"/>
      <c r="D273" s="169"/>
      <c r="E273" s="165"/>
      <c r="F273" s="162"/>
      <c r="G273" s="26"/>
      <c r="H273" s="23"/>
      <c r="I273" s="23"/>
      <c r="J273" s="124"/>
      <c r="K273" s="23"/>
      <c r="L273" s="124"/>
      <c r="M273" s="26"/>
      <c r="N273" s="156"/>
      <c r="O273" s="27"/>
      <c r="P273" s="27"/>
      <c r="Q273" s="27"/>
      <c r="R273" s="27"/>
      <c r="S273" s="27"/>
      <c r="T273" s="27"/>
      <c r="U273" s="27"/>
      <c r="V273" s="26"/>
      <c r="W273" s="150"/>
      <c r="X273" s="166"/>
      <c r="Y273" s="166"/>
      <c r="Z273" s="167"/>
      <c r="AA273" s="167"/>
      <c r="AB273" s="168"/>
      <c r="AC273" s="167"/>
      <c r="AD273" s="169"/>
      <c r="AE273" s="169"/>
      <c r="AF273" s="169"/>
      <c r="AG273" s="169"/>
      <c r="AH273" s="167"/>
    </row>
    <row r="274" spans="1:34">
      <c r="A274" s="169"/>
      <c r="B274" s="169"/>
      <c r="C274" s="169"/>
      <c r="D274" s="169"/>
      <c r="E274" s="165"/>
      <c r="F274" s="162"/>
      <c r="G274" s="26"/>
      <c r="H274" s="23"/>
      <c r="I274" s="23"/>
      <c r="J274" s="124"/>
      <c r="K274" s="23"/>
      <c r="L274" s="124"/>
      <c r="M274" s="26"/>
      <c r="N274" s="156"/>
      <c r="O274" s="27"/>
      <c r="P274" s="27"/>
      <c r="Q274" s="27"/>
      <c r="R274" s="27"/>
      <c r="S274" s="27"/>
      <c r="T274" s="27"/>
      <c r="U274" s="27"/>
      <c r="V274" s="26"/>
      <c r="W274" s="150"/>
      <c r="X274" s="166"/>
      <c r="Y274" s="166"/>
      <c r="Z274" s="167"/>
      <c r="AA274" s="167"/>
      <c r="AB274" s="168"/>
      <c r="AC274" s="167"/>
      <c r="AD274" s="169"/>
      <c r="AE274" s="169"/>
      <c r="AF274" s="169"/>
      <c r="AG274" s="169"/>
      <c r="AH274" s="167"/>
    </row>
    <row r="275" spans="1:34">
      <c r="A275" s="169"/>
      <c r="B275" s="169"/>
      <c r="C275" s="169"/>
      <c r="D275" s="169"/>
      <c r="E275" s="165"/>
      <c r="F275" s="162"/>
      <c r="G275" s="26"/>
      <c r="H275" s="23"/>
      <c r="I275" s="23"/>
      <c r="J275" s="124"/>
      <c r="K275" s="23"/>
      <c r="L275" s="124"/>
      <c r="M275" s="26"/>
      <c r="N275" s="156"/>
      <c r="O275" s="27"/>
      <c r="P275" s="27"/>
      <c r="Q275" s="27"/>
      <c r="R275" s="27"/>
      <c r="S275" s="27"/>
      <c r="T275" s="27"/>
      <c r="U275" s="27"/>
      <c r="V275" s="26"/>
      <c r="W275" s="150"/>
      <c r="X275" s="166"/>
      <c r="Y275" s="166"/>
      <c r="Z275" s="167"/>
      <c r="AA275" s="167"/>
      <c r="AB275" s="168"/>
      <c r="AC275" s="167"/>
      <c r="AD275" s="169"/>
      <c r="AE275" s="169"/>
      <c r="AF275" s="169"/>
      <c r="AG275" s="169"/>
      <c r="AH275" s="167"/>
    </row>
    <row r="276" spans="1:34">
      <c r="A276" s="169"/>
      <c r="B276" s="169"/>
      <c r="C276" s="169"/>
      <c r="D276" s="169"/>
      <c r="E276" s="165"/>
      <c r="F276" s="162"/>
      <c r="G276" s="26"/>
      <c r="H276" s="23"/>
      <c r="I276" s="23"/>
      <c r="J276" s="124"/>
      <c r="K276" s="23"/>
      <c r="L276" s="124"/>
      <c r="M276" s="26"/>
      <c r="N276" s="156"/>
      <c r="O276" s="27"/>
      <c r="P276" s="27"/>
      <c r="Q276" s="27"/>
      <c r="R276" s="27"/>
      <c r="S276" s="27"/>
      <c r="T276" s="27"/>
      <c r="U276" s="27"/>
      <c r="V276" s="26"/>
      <c r="W276" s="150"/>
      <c r="X276" s="166"/>
      <c r="Y276" s="166"/>
      <c r="Z276" s="167"/>
      <c r="AA276" s="167"/>
      <c r="AB276" s="168"/>
      <c r="AC276" s="167"/>
      <c r="AD276" s="169"/>
      <c r="AE276" s="169"/>
      <c r="AF276" s="169"/>
      <c r="AG276" s="169"/>
      <c r="AH276" s="167"/>
    </row>
    <row r="277" spans="1:34">
      <c r="A277" s="169"/>
      <c r="B277" s="169"/>
      <c r="C277" s="169"/>
      <c r="D277" s="169"/>
      <c r="E277" s="165"/>
      <c r="F277" s="162"/>
      <c r="G277" s="26"/>
      <c r="H277" s="23"/>
      <c r="I277" s="23"/>
      <c r="J277" s="124"/>
      <c r="K277" s="23"/>
      <c r="L277" s="124"/>
      <c r="M277" s="26"/>
      <c r="N277" s="156"/>
      <c r="O277" s="27"/>
      <c r="P277" s="27"/>
      <c r="Q277" s="27"/>
      <c r="R277" s="27"/>
      <c r="S277" s="27"/>
      <c r="T277" s="27"/>
      <c r="U277" s="27"/>
      <c r="V277" s="26"/>
      <c r="W277" s="150"/>
      <c r="X277" s="166"/>
      <c r="Y277" s="166"/>
      <c r="Z277" s="167"/>
      <c r="AA277" s="167"/>
      <c r="AB277" s="168"/>
      <c r="AC277" s="167"/>
      <c r="AD277" s="169"/>
      <c r="AE277" s="169"/>
      <c r="AF277" s="169"/>
      <c r="AG277" s="169"/>
      <c r="AH277" s="167"/>
    </row>
    <row r="278" spans="1:34">
      <c r="A278" s="169"/>
      <c r="B278" s="169"/>
      <c r="C278" s="169"/>
      <c r="D278" s="169"/>
      <c r="E278" s="165"/>
      <c r="F278" s="162"/>
      <c r="G278" s="26"/>
      <c r="H278" s="23"/>
      <c r="I278" s="23"/>
      <c r="J278" s="124"/>
      <c r="K278" s="23"/>
      <c r="L278" s="124"/>
      <c r="M278" s="26"/>
      <c r="N278" s="156"/>
      <c r="O278" s="27"/>
      <c r="P278" s="27"/>
      <c r="Q278" s="27"/>
      <c r="R278" s="27"/>
      <c r="S278" s="27"/>
      <c r="T278" s="27"/>
      <c r="U278" s="27"/>
      <c r="V278" s="26"/>
      <c r="W278" s="150"/>
      <c r="X278" s="166"/>
      <c r="Y278" s="166"/>
      <c r="Z278" s="167"/>
      <c r="AA278" s="167"/>
      <c r="AB278" s="168"/>
      <c r="AC278" s="167"/>
      <c r="AD278" s="169"/>
      <c r="AE278" s="169"/>
      <c r="AF278" s="169"/>
      <c r="AG278" s="169"/>
      <c r="AH278" s="167"/>
    </row>
    <row r="279" spans="1:34">
      <c r="A279" s="169"/>
      <c r="B279" s="169"/>
      <c r="C279" s="169"/>
      <c r="D279" s="169"/>
      <c r="E279" s="165"/>
      <c r="F279" s="162"/>
      <c r="G279" s="26"/>
      <c r="H279" s="23"/>
      <c r="I279" s="23"/>
      <c r="J279" s="124"/>
      <c r="K279" s="23"/>
      <c r="L279" s="124"/>
      <c r="M279" s="26"/>
      <c r="N279" s="156"/>
      <c r="O279" s="27"/>
      <c r="P279" s="27"/>
      <c r="Q279" s="27"/>
      <c r="R279" s="27"/>
      <c r="S279" s="27"/>
      <c r="T279" s="27"/>
      <c r="U279" s="27"/>
      <c r="V279" s="26"/>
      <c r="W279" s="150"/>
      <c r="X279" s="166"/>
      <c r="Y279" s="166"/>
      <c r="Z279" s="167"/>
      <c r="AA279" s="167"/>
      <c r="AB279" s="168"/>
      <c r="AC279" s="167"/>
      <c r="AD279" s="169"/>
      <c r="AE279" s="169"/>
      <c r="AF279" s="169"/>
      <c r="AG279" s="169"/>
      <c r="AH279" s="167"/>
    </row>
    <row r="280" spans="1:34">
      <c r="A280" s="169"/>
      <c r="B280" s="169"/>
      <c r="C280" s="169"/>
      <c r="D280" s="169"/>
      <c r="E280" s="165"/>
      <c r="F280" s="162"/>
      <c r="G280" s="26"/>
      <c r="H280" s="23"/>
      <c r="I280" s="23"/>
      <c r="J280" s="124"/>
      <c r="K280" s="23"/>
      <c r="L280" s="124"/>
      <c r="M280" s="26"/>
      <c r="N280" s="156"/>
      <c r="O280" s="27"/>
      <c r="P280" s="27"/>
      <c r="Q280" s="27"/>
      <c r="R280" s="27"/>
      <c r="S280" s="27"/>
      <c r="T280" s="27"/>
      <c r="U280" s="27"/>
      <c r="V280" s="26"/>
      <c r="W280" s="150"/>
      <c r="X280" s="166"/>
      <c r="Y280" s="166"/>
      <c r="Z280" s="167"/>
      <c r="AA280" s="167"/>
      <c r="AB280" s="168"/>
      <c r="AC280" s="167"/>
      <c r="AD280" s="169"/>
      <c r="AE280" s="169"/>
      <c r="AF280" s="169"/>
      <c r="AG280" s="169"/>
      <c r="AH280" s="167"/>
    </row>
    <row r="281" spans="1:34">
      <c r="A281" s="169"/>
      <c r="B281" s="169"/>
      <c r="C281" s="169"/>
      <c r="D281" s="169"/>
      <c r="E281" s="165"/>
      <c r="F281" s="162"/>
      <c r="G281" s="26"/>
      <c r="H281" s="23"/>
      <c r="I281" s="23"/>
      <c r="J281" s="124"/>
      <c r="K281" s="23"/>
      <c r="L281" s="124"/>
      <c r="M281" s="26"/>
      <c r="N281" s="156"/>
      <c r="O281" s="27"/>
      <c r="P281" s="27"/>
      <c r="Q281" s="27"/>
      <c r="R281" s="27"/>
      <c r="S281" s="27"/>
      <c r="T281" s="27"/>
      <c r="U281" s="27"/>
      <c r="V281" s="26"/>
      <c r="W281" s="150"/>
      <c r="X281" s="166"/>
      <c r="Y281" s="166"/>
      <c r="Z281" s="167"/>
      <c r="AA281" s="167"/>
      <c r="AB281" s="168"/>
      <c r="AC281" s="167"/>
      <c r="AD281" s="169"/>
      <c r="AE281" s="169"/>
      <c r="AF281" s="169"/>
      <c r="AG281" s="169"/>
      <c r="AH281" s="167"/>
    </row>
    <row r="282" spans="1:34">
      <c r="A282" s="169"/>
      <c r="B282" s="169"/>
      <c r="C282" s="169"/>
      <c r="D282" s="169"/>
      <c r="E282" s="165"/>
      <c r="F282" s="162"/>
      <c r="G282" s="26"/>
      <c r="H282" s="23"/>
      <c r="I282" s="23"/>
      <c r="J282" s="124"/>
      <c r="K282" s="23"/>
      <c r="L282" s="124"/>
      <c r="M282" s="26"/>
      <c r="N282" s="156"/>
      <c r="O282" s="27"/>
      <c r="P282" s="27"/>
      <c r="Q282" s="27"/>
      <c r="R282" s="27"/>
      <c r="S282" s="27"/>
      <c r="T282" s="27"/>
      <c r="U282" s="27"/>
      <c r="V282" s="26"/>
      <c r="W282" s="150"/>
      <c r="X282" s="166"/>
      <c r="Y282" s="166"/>
      <c r="Z282" s="167"/>
      <c r="AA282" s="167"/>
      <c r="AB282" s="168"/>
      <c r="AC282" s="167"/>
      <c r="AD282" s="169"/>
      <c r="AE282" s="169"/>
      <c r="AF282" s="169"/>
      <c r="AG282" s="169"/>
      <c r="AH282" s="167"/>
    </row>
    <row r="283" spans="1:34">
      <c r="A283" s="169"/>
      <c r="B283" s="169"/>
      <c r="C283" s="169"/>
      <c r="D283" s="169"/>
      <c r="E283" s="165"/>
      <c r="F283" s="162"/>
      <c r="G283" s="26"/>
      <c r="H283" s="23"/>
      <c r="I283" s="23"/>
      <c r="J283" s="124"/>
      <c r="K283" s="23"/>
      <c r="L283" s="124"/>
      <c r="M283" s="26"/>
      <c r="N283" s="156"/>
      <c r="O283" s="27"/>
      <c r="P283" s="27"/>
      <c r="Q283" s="27"/>
      <c r="R283" s="27"/>
      <c r="S283" s="27"/>
      <c r="T283" s="27"/>
      <c r="U283" s="27"/>
      <c r="V283" s="26"/>
      <c r="W283" s="150"/>
      <c r="X283" s="166"/>
      <c r="Y283" s="166"/>
      <c r="Z283" s="167"/>
      <c r="AA283" s="167"/>
      <c r="AB283" s="168"/>
      <c r="AC283" s="167"/>
      <c r="AD283" s="169"/>
      <c r="AE283" s="169"/>
      <c r="AF283" s="169"/>
      <c r="AG283" s="169"/>
      <c r="AH283" s="167"/>
    </row>
    <row r="284" spans="1:34">
      <c r="A284" s="169"/>
      <c r="B284" s="169"/>
      <c r="C284" s="169"/>
      <c r="D284" s="169"/>
      <c r="E284" s="165"/>
      <c r="F284" s="162"/>
      <c r="G284" s="26"/>
      <c r="H284" s="23"/>
      <c r="I284" s="23"/>
      <c r="J284" s="124"/>
      <c r="K284" s="23"/>
      <c r="L284" s="124"/>
      <c r="M284" s="26"/>
      <c r="N284" s="156"/>
      <c r="O284" s="27"/>
      <c r="P284" s="27"/>
      <c r="Q284" s="27"/>
      <c r="R284" s="27"/>
      <c r="S284" s="27"/>
      <c r="T284" s="27"/>
      <c r="U284" s="27"/>
      <c r="V284" s="26"/>
      <c r="W284" s="150"/>
      <c r="X284" s="166"/>
      <c r="Y284" s="166"/>
      <c r="Z284" s="167"/>
      <c r="AA284" s="167"/>
      <c r="AB284" s="168"/>
      <c r="AC284" s="167"/>
      <c r="AD284" s="169"/>
      <c r="AE284" s="169"/>
      <c r="AF284" s="169"/>
      <c r="AG284" s="169"/>
      <c r="AH284" s="167"/>
    </row>
    <row r="285" spans="1:34">
      <c r="A285" s="169"/>
      <c r="B285" s="169"/>
      <c r="C285" s="169"/>
      <c r="D285" s="169"/>
      <c r="E285" s="165"/>
      <c r="F285" s="162"/>
      <c r="G285" s="26"/>
      <c r="H285" s="23"/>
      <c r="I285" s="23"/>
      <c r="J285" s="124"/>
      <c r="K285" s="23"/>
      <c r="L285" s="124"/>
      <c r="M285" s="26"/>
      <c r="N285" s="156"/>
      <c r="O285" s="27"/>
      <c r="P285" s="27"/>
      <c r="Q285" s="27"/>
      <c r="R285" s="27"/>
      <c r="S285" s="27"/>
      <c r="T285" s="27"/>
      <c r="U285" s="27"/>
      <c r="V285" s="26"/>
      <c r="W285" s="150"/>
      <c r="X285" s="166"/>
      <c r="Y285" s="166"/>
      <c r="Z285" s="167"/>
      <c r="AA285" s="167"/>
      <c r="AB285" s="168"/>
      <c r="AC285" s="167"/>
      <c r="AD285" s="169"/>
      <c r="AE285" s="169"/>
      <c r="AF285" s="169"/>
      <c r="AG285" s="169"/>
      <c r="AH285" s="167"/>
    </row>
    <row r="286" spans="1:34">
      <c r="A286" s="169"/>
      <c r="B286" s="169"/>
      <c r="C286" s="169"/>
      <c r="D286" s="169"/>
      <c r="E286" s="165"/>
      <c r="F286" s="162"/>
      <c r="G286" s="26"/>
      <c r="H286" s="23"/>
      <c r="I286" s="23"/>
      <c r="J286" s="124"/>
      <c r="K286" s="23"/>
      <c r="L286" s="124"/>
      <c r="M286" s="26"/>
      <c r="N286" s="156"/>
      <c r="O286" s="27"/>
      <c r="P286" s="27"/>
      <c r="Q286" s="27"/>
      <c r="R286" s="27"/>
      <c r="S286" s="27"/>
      <c r="T286" s="27"/>
      <c r="U286" s="27"/>
      <c r="V286" s="26"/>
      <c r="W286" s="150"/>
      <c r="X286" s="166"/>
      <c r="Y286" s="166"/>
      <c r="Z286" s="167"/>
      <c r="AA286" s="167"/>
      <c r="AB286" s="168"/>
      <c r="AC286" s="167"/>
      <c r="AD286" s="169"/>
      <c r="AE286" s="169"/>
      <c r="AF286" s="169"/>
      <c r="AG286" s="169"/>
      <c r="AH286" s="167"/>
    </row>
    <row r="287" spans="1:34">
      <c r="A287" s="169"/>
      <c r="B287" s="169"/>
      <c r="C287" s="169"/>
      <c r="D287" s="169"/>
      <c r="E287" s="165"/>
      <c r="F287" s="162"/>
      <c r="G287" s="26"/>
      <c r="H287" s="23"/>
      <c r="I287" s="23"/>
      <c r="J287" s="124"/>
      <c r="K287" s="23"/>
      <c r="L287" s="124"/>
      <c r="M287" s="26"/>
      <c r="N287" s="156"/>
      <c r="O287" s="27"/>
      <c r="P287" s="27"/>
      <c r="Q287" s="27"/>
      <c r="R287" s="27"/>
      <c r="S287" s="27"/>
      <c r="T287" s="27"/>
      <c r="U287" s="27"/>
      <c r="V287" s="26"/>
      <c r="W287" s="150"/>
      <c r="X287" s="166"/>
      <c r="Y287" s="166"/>
      <c r="Z287" s="167"/>
      <c r="AA287" s="167"/>
      <c r="AB287" s="168"/>
      <c r="AC287" s="167"/>
      <c r="AD287" s="169"/>
      <c r="AE287" s="169"/>
      <c r="AF287" s="169"/>
      <c r="AG287" s="169"/>
      <c r="AH287" s="167"/>
    </row>
    <row r="288" spans="1:34">
      <c r="A288" s="169"/>
      <c r="B288" s="169"/>
      <c r="C288" s="169"/>
      <c r="D288" s="169"/>
      <c r="E288" s="170"/>
      <c r="F288" s="170"/>
      <c r="G288" s="170"/>
      <c r="H288" s="171"/>
      <c r="I288" s="171"/>
      <c r="J288" s="172"/>
      <c r="K288" s="171"/>
      <c r="L288" s="172"/>
      <c r="M288" s="172"/>
      <c r="N288" s="170"/>
      <c r="O288" s="173"/>
      <c r="P288" s="173"/>
      <c r="Q288" s="173"/>
      <c r="R288" s="173"/>
      <c r="S288" s="173"/>
      <c r="T288" s="173"/>
      <c r="U288" s="173"/>
      <c r="V288" s="170"/>
      <c r="W288" s="170"/>
      <c r="X288" s="174"/>
      <c r="Y288" s="174"/>
      <c r="Z288" s="174"/>
      <c r="AA288" s="174"/>
      <c r="AB288" s="174"/>
      <c r="AC288" s="174"/>
      <c r="AD288" s="174"/>
      <c r="AE288" s="174"/>
      <c r="AF288" s="174"/>
      <c r="AG288" s="174"/>
      <c r="AH288" s="174"/>
    </row>
    <row r="289" spans="1:34">
      <c r="A289" s="169"/>
      <c r="B289" s="169"/>
      <c r="C289" s="169"/>
      <c r="D289" s="169"/>
      <c r="E289" s="170"/>
      <c r="F289" s="170"/>
      <c r="G289" s="170"/>
      <c r="H289" s="171"/>
      <c r="I289" s="171"/>
      <c r="J289" s="172"/>
      <c r="K289" s="171"/>
      <c r="L289" s="172"/>
      <c r="M289" s="172"/>
      <c r="N289" s="170"/>
      <c r="O289" s="173"/>
      <c r="P289" s="173"/>
      <c r="Q289" s="173"/>
      <c r="R289" s="173"/>
      <c r="S289" s="173"/>
      <c r="T289" s="173"/>
      <c r="U289" s="173"/>
      <c r="V289" s="170"/>
      <c r="W289" s="170"/>
      <c r="X289" s="174"/>
      <c r="Y289" s="174"/>
      <c r="Z289" s="174"/>
      <c r="AA289" s="174"/>
      <c r="AB289" s="174"/>
      <c r="AC289" s="174"/>
      <c r="AD289" s="174"/>
      <c r="AE289" s="174"/>
      <c r="AF289" s="174"/>
      <c r="AG289" s="174"/>
      <c r="AH289" s="174"/>
    </row>
    <row r="290" spans="1:34">
      <c r="A290" s="169"/>
      <c r="B290" s="169"/>
      <c r="C290" s="169"/>
      <c r="D290" s="169"/>
      <c r="E290" s="170"/>
      <c r="F290" s="170"/>
      <c r="G290" s="170"/>
      <c r="H290" s="171"/>
      <c r="I290" s="171"/>
      <c r="J290" s="172"/>
      <c r="K290" s="171"/>
      <c r="L290" s="172"/>
      <c r="M290" s="172"/>
      <c r="N290" s="170"/>
      <c r="O290" s="173"/>
      <c r="P290" s="173"/>
      <c r="Q290" s="173"/>
      <c r="R290" s="173"/>
      <c r="S290" s="173"/>
      <c r="T290" s="173"/>
      <c r="U290" s="173"/>
      <c r="V290" s="170"/>
      <c r="W290" s="170"/>
      <c r="X290" s="174"/>
      <c r="Y290" s="174"/>
      <c r="Z290" s="174"/>
      <c r="AA290" s="174"/>
      <c r="AB290" s="174"/>
      <c r="AC290" s="174"/>
      <c r="AD290" s="174"/>
      <c r="AE290" s="174"/>
      <c r="AF290" s="174"/>
      <c r="AG290" s="174"/>
      <c r="AH290" s="174"/>
    </row>
    <row r="291" spans="1:34">
      <c r="A291" s="169"/>
      <c r="B291" s="169"/>
      <c r="C291" s="169"/>
      <c r="D291" s="169"/>
      <c r="E291" s="170"/>
      <c r="F291" s="170"/>
      <c r="G291" s="170"/>
      <c r="H291" s="171"/>
      <c r="I291" s="171"/>
      <c r="J291" s="172"/>
      <c r="K291" s="171"/>
      <c r="L291" s="172"/>
      <c r="M291" s="172"/>
      <c r="N291" s="170"/>
      <c r="O291" s="173"/>
      <c r="P291" s="173"/>
      <c r="Q291" s="173"/>
      <c r="R291" s="173"/>
      <c r="S291" s="173"/>
      <c r="T291" s="173"/>
      <c r="U291" s="173"/>
      <c r="V291" s="170"/>
      <c r="W291" s="170"/>
      <c r="X291" s="174"/>
      <c r="Y291" s="174"/>
      <c r="Z291" s="174"/>
      <c r="AA291" s="174"/>
      <c r="AB291" s="174"/>
      <c r="AC291" s="174"/>
      <c r="AD291" s="174"/>
      <c r="AE291" s="174"/>
      <c r="AF291" s="174"/>
      <c r="AG291" s="174"/>
      <c r="AH291" s="174"/>
    </row>
    <row r="292" spans="1:34">
      <c r="A292" s="169"/>
      <c r="B292" s="169"/>
      <c r="C292" s="169"/>
      <c r="D292" s="169"/>
      <c r="E292" s="170"/>
      <c r="F292" s="170"/>
      <c r="G292" s="170"/>
      <c r="H292" s="171"/>
      <c r="I292" s="171"/>
      <c r="J292" s="172"/>
      <c r="K292" s="171"/>
      <c r="L292" s="172"/>
      <c r="M292" s="172"/>
      <c r="N292" s="170"/>
      <c r="O292" s="173"/>
      <c r="P292" s="173"/>
      <c r="Q292" s="173"/>
      <c r="R292" s="173"/>
      <c r="S292" s="173"/>
      <c r="T292" s="173"/>
      <c r="U292" s="173"/>
      <c r="V292" s="170"/>
      <c r="W292" s="170"/>
      <c r="X292" s="174"/>
      <c r="Y292" s="174"/>
      <c r="Z292" s="174"/>
      <c r="AA292" s="174"/>
      <c r="AB292" s="174"/>
      <c r="AC292" s="174"/>
      <c r="AD292" s="174"/>
      <c r="AE292" s="174"/>
      <c r="AF292" s="174"/>
      <c r="AG292" s="174"/>
      <c r="AH292" s="174"/>
    </row>
    <row r="293" spans="1:34">
      <c r="A293" s="169"/>
      <c r="B293" s="169"/>
      <c r="C293" s="169"/>
      <c r="D293" s="169"/>
      <c r="E293" s="170"/>
      <c r="F293" s="170"/>
      <c r="G293" s="170"/>
      <c r="H293" s="171"/>
      <c r="I293" s="171"/>
      <c r="J293" s="172"/>
      <c r="K293" s="171"/>
      <c r="L293" s="172"/>
      <c r="M293" s="172"/>
      <c r="N293" s="170"/>
      <c r="O293" s="173"/>
      <c r="P293" s="173"/>
      <c r="Q293" s="173"/>
      <c r="R293" s="173"/>
      <c r="S293" s="173"/>
      <c r="T293" s="173"/>
      <c r="U293" s="173"/>
      <c r="V293" s="170"/>
      <c r="W293" s="170"/>
      <c r="X293" s="174"/>
      <c r="Y293" s="174"/>
      <c r="Z293" s="174"/>
      <c r="AA293" s="174"/>
      <c r="AB293" s="174"/>
      <c r="AC293" s="174"/>
      <c r="AD293" s="174"/>
      <c r="AE293" s="174"/>
      <c r="AF293" s="174"/>
      <c r="AG293" s="174"/>
      <c r="AH293" s="174"/>
    </row>
    <row r="294" spans="1:34">
      <c r="A294" s="169"/>
      <c r="B294" s="169"/>
      <c r="C294" s="169"/>
      <c r="D294" s="169"/>
      <c r="E294" s="170"/>
      <c r="F294" s="170"/>
      <c r="G294" s="170"/>
      <c r="H294" s="171"/>
      <c r="I294" s="171"/>
      <c r="J294" s="172"/>
      <c r="K294" s="171"/>
      <c r="L294" s="172"/>
      <c r="M294" s="172"/>
      <c r="N294" s="170"/>
      <c r="O294" s="173"/>
      <c r="P294" s="173"/>
      <c r="Q294" s="173"/>
      <c r="R294" s="173"/>
      <c r="S294" s="173"/>
      <c r="T294" s="173"/>
      <c r="U294" s="173"/>
      <c r="V294" s="170"/>
      <c r="W294" s="170"/>
      <c r="X294" s="174"/>
      <c r="Y294" s="174"/>
      <c r="Z294" s="174"/>
      <c r="AA294" s="174"/>
      <c r="AB294" s="174"/>
      <c r="AC294" s="174"/>
      <c r="AD294" s="174"/>
      <c r="AE294" s="174"/>
      <c r="AF294" s="174"/>
      <c r="AG294" s="174"/>
      <c r="AH294" s="174"/>
    </row>
    <row r="295" spans="1:34">
      <c r="A295" s="169"/>
      <c r="B295" s="169"/>
      <c r="C295" s="169"/>
      <c r="D295" s="169"/>
      <c r="E295" s="170"/>
      <c r="F295" s="170"/>
      <c r="G295" s="170"/>
      <c r="H295" s="171"/>
      <c r="I295" s="171"/>
      <c r="J295" s="172"/>
      <c r="K295" s="171"/>
      <c r="L295" s="172"/>
      <c r="M295" s="172"/>
      <c r="N295" s="170"/>
      <c r="O295" s="173"/>
      <c r="P295" s="173"/>
      <c r="Q295" s="173"/>
      <c r="R295" s="173"/>
      <c r="S295" s="173"/>
      <c r="T295" s="173"/>
      <c r="U295" s="173"/>
      <c r="V295" s="170"/>
      <c r="W295" s="170"/>
      <c r="X295" s="174"/>
      <c r="Y295" s="174"/>
      <c r="Z295" s="174"/>
      <c r="AA295" s="174"/>
      <c r="AB295" s="174"/>
      <c r="AC295" s="174"/>
      <c r="AD295" s="174"/>
      <c r="AE295" s="174"/>
      <c r="AF295" s="174"/>
      <c r="AG295" s="174"/>
      <c r="AH295" s="174"/>
    </row>
    <row r="296" spans="1:34">
      <c r="A296" s="169"/>
      <c r="B296" s="169"/>
      <c r="C296" s="169"/>
      <c r="D296" s="169"/>
      <c r="E296" s="170"/>
      <c r="F296" s="170"/>
      <c r="G296" s="170"/>
      <c r="H296" s="171"/>
      <c r="I296" s="171"/>
      <c r="J296" s="172"/>
      <c r="K296" s="171"/>
      <c r="L296" s="172"/>
      <c r="M296" s="172"/>
      <c r="N296" s="170"/>
      <c r="O296" s="173"/>
      <c r="P296" s="173"/>
      <c r="Q296" s="173"/>
      <c r="R296" s="173"/>
      <c r="S296" s="173"/>
      <c r="T296" s="173"/>
      <c r="U296" s="173"/>
      <c r="V296" s="170"/>
      <c r="W296" s="170"/>
      <c r="X296" s="174"/>
      <c r="Y296" s="174"/>
      <c r="Z296" s="174"/>
      <c r="AA296" s="174"/>
      <c r="AB296" s="174"/>
      <c r="AC296" s="174"/>
      <c r="AD296" s="174"/>
      <c r="AE296" s="174"/>
      <c r="AF296" s="174"/>
      <c r="AG296" s="174"/>
      <c r="AH296" s="174"/>
    </row>
    <row r="297" spans="1:34">
      <c r="A297" s="169"/>
      <c r="B297" s="169"/>
      <c r="C297" s="169"/>
      <c r="D297" s="169"/>
      <c r="E297" s="170"/>
      <c r="F297" s="170"/>
      <c r="G297" s="170"/>
      <c r="H297" s="171"/>
      <c r="I297" s="171"/>
      <c r="J297" s="172"/>
      <c r="K297" s="171"/>
      <c r="L297" s="172"/>
      <c r="M297" s="172"/>
      <c r="N297" s="170"/>
      <c r="O297" s="173"/>
      <c r="P297" s="173"/>
      <c r="Q297" s="173"/>
      <c r="R297" s="173"/>
      <c r="S297" s="173"/>
      <c r="T297" s="173"/>
      <c r="U297" s="173"/>
      <c r="V297" s="170"/>
      <c r="W297" s="170"/>
      <c r="X297" s="174"/>
      <c r="Y297" s="174"/>
      <c r="Z297" s="174"/>
      <c r="AA297" s="174"/>
      <c r="AB297" s="174"/>
      <c r="AC297" s="174"/>
      <c r="AD297" s="174"/>
      <c r="AE297" s="174"/>
      <c r="AF297" s="174"/>
      <c r="AG297" s="174"/>
      <c r="AH297" s="174"/>
    </row>
    <row r="298" spans="1:34">
      <c r="A298" s="169"/>
      <c r="B298" s="169"/>
      <c r="C298" s="169"/>
      <c r="D298" s="169"/>
      <c r="E298" s="170"/>
      <c r="F298" s="170"/>
      <c r="G298" s="170"/>
      <c r="H298" s="171"/>
      <c r="I298" s="171"/>
      <c r="J298" s="172"/>
      <c r="K298" s="171"/>
      <c r="L298" s="172"/>
      <c r="M298" s="172"/>
      <c r="N298" s="170"/>
      <c r="O298" s="173"/>
      <c r="P298" s="173"/>
      <c r="Q298" s="173"/>
      <c r="R298" s="173"/>
      <c r="S298" s="173"/>
      <c r="T298" s="173"/>
      <c r="U298" s="173"/>
      <c r="V298" s="170"/>
      <c r="W298" s="170"/>
      <c r="X298" s="174"/>
      <c r="Y298" s="174"/>
      <c r="Z298" s="174"/>
      <c r="AA298" s="174"/>
      <c r="AB298" s="174"/>
      <c r="AC298" s="174"/>
      <c r="AD298" s="174"/>
      <c r="AE298" s="174"/>
      <c r="AF298" s="174"/>
      <c r="AG298" s="174"/>
      <c r="AH298" s="174"/>
    </row>
    <row r="299" spans="1:34">
      <c r="A299" s="169"/>
      <c r="B299" s="169"/>
      <c r="C299" s="169"/>
      <c r="D299" s="169"/>
      <c r="E299" s="170"/>
      <c r="F299" s="170"/>
      <c r="G299" s="170"/>
      <c r="H299" s="171"/>
      <c r="I299" s="171"/>
      <c r="J299" s="172"/>
      <c r="K299" s="171"/>
      <c r="L299" s="172"/>
      <c r="M299" s="172"/>
      <c r="N299" s="170"/>
      <c r="O299" s="173"/>
      <c r="P299" s="173"/>
      <c r="Q299" s="173"/>
      <c r="R299" s="173"/>
      <c r="S299" s="173"/>
      <c r="T299" s="173"/>
      <c r="U299" s="173"/>
      <c r="V299" s="170"/>
      <c r="W299" s="170"/>
      <c r="X299" s="174"/>
      <c r="Y299" s="174"/>
      <c r="Z299" s="174"/>
      <c r="AA299" s="174"/>
      <c r="AB299" s="174"/>
      <c r="AC299" s="174"/>
      <c r="AD299" s="174"/>
      <c r="AE299" s="174"/>
      <c r="AF299" s="174"/>
      <c r="AG299" s="174"/>
      <c r="AH299" s="174"/>
    </row>
    <row r="300" spans="1:34">
      <c r="A300" s="169"/>
      <c r="B300" s="169"/>
      <c r="C300" s="169"/>
      <c r="D300" s="169"/>
      <c r="E300" s="170"/>
      <c r="F300" s="170"/>
      <c r="G300" s="170"/>
      <c r="H300" s="171"/>
      <c r="I300" s="171"/>
      <c r="J300" s="172"/>
      <c r="K300" s="171"/>
      <c r="L300" s="172"/>
      <c r="M300" s="172"/>
      <c r="N300" s="170"/>
      <c r="O300" s="173"/>
      <c r="P300" s="173"/>
      <c r="Q300" s="173"/>
      <c r="R300" s="173"/>
      <c r="S300" s="173"/>
      <c r="T300" s="173"/>
      <c r="U300" s="173"/>
      <c r="V300" s="170"/>
      <c r="W300" s="170"/>
      <c r="X300" s="174"/>
      <c r="Y300" s="174"/>
      <c r="Z300" s="174"/>
      <c r="AA300" s="174"/>
      <c r="AB300" s="174"/>
      <c r="AC300" s="174"/>
      <c r="AD300" s="174"/>
      <c r="AE300" s="174"/>
      <c r="AF300" s="174"/>
      <c r="AG300" s="174"/>
      <c r="AH300" s="174"/>
    </row>
    <row r="301" spans="1:34">
      <c r="A301" s="169"/>
      <c r="B301" s="169"/>
      <c r="C301" s="169"/>
      <c r="D301" s="169"/>
      <c r="E301" s="170"/>
      <c r="F301" s="170"/>
      <c r="G301" s="170"/>
      <c r="H301" s="171"/>
      <c r="I301" s="171"/>
      <c r="J301" s="172"/>
      <c r="K301" s="171"/>
      <c r="L301" s="172"/>
      <c r="M301" s="172"/>
      <c r="N301" s="170"/>
      <c r="O301" s="173"/>
      <c r="P301" s="173"/>
      <c r="Q301" s="173"/>
      <c r="R301" s="173"/>
      <c r="S301" s="173"/>
      <c r="T301" s="173"/>
      <c r="U301" s="173"/>
      <c r="V301" s="170"/>
      <c r="W301" s="170"/>
      <c r="X301" s="174"/>
      <c r="Y301" s="174"/>
      <c r="Z301" s="174"/>
      <c r="AA301" s="174"/>
      <c r="AB301" s="174"/>
      <c r="AC301" s="174"/>
      <c r="AD301" s="174"/>
      <c r="AE301" s="174"/>
      <c r="AF301" s="174"/>
      <c r="AG301" s="174"/>
      <c r="AH301" s="174"/>
    </row>
    <row r="302" spans="1:34">
      <c r="A302" s="169"/>
      <c r="B302" s="169"/>
      <c r="C302" s="169"/>
      <c r="D302" s="169"/>
      <c r="E302" s="170"/>
      <c r="F302" s="170"/>
      <c r="G302" s="170"/>
      <c r="H302" s="171"/>
      <c r="I302" s="171"/>
      <c r="J302" s="172"/>
      <c r="K302" s="171"/>
      <c r="L302" s="172"/>
      <c r="M302" s="172"/>
      <c r="N302" s="170"/>
      <c r="O302" s="173"/>
      <c r="P302" s="173"/>
      <c r="Q302" s="173"/>
      <c r="R302" s="173"/>
      <c r="S302" s="173"/>
      <c r="T302" s="173"/>
      <c r="U302" s="173"/>
      <c r="V302" s="170"/>
      <c r="W302" s="170"/>
      <c r="X302" s="174"/>
      <c r="Y302" s="174"/>
      <c r="Z302" s="174"/>
      <c r="AA302" s="174"/>
      <c r="AB302" s="174"/>
      <c r="AC302" s="174"/>
      <c r="AD302" s="174"/>
      <c r="AE302" s="174"/>
      <c r="AF302" s="174"/>
      <c r="AG302" s="174"/>
      <c r="AH302" s="174"/>
    </row>
    <row r="303" spans="1:34">
      <c r="A303" s="169"/>
      <c r="B303" s="169"/>
      <c r="C303" s="169"/>
      <c r="D303" s="169"/>
      <c r="E303" s="170"/>
      <c r="F303" s="170"/>
      <c r="G303" s="170"/>
      <c r="H303" s="171"/>
      <c r="I303" s="171"/>
      <c r="J303" s="172"/>
      <c r="K303" s="171"/>
      <c r="L303" s="172"/>
      <c r="M303" s="172"/>
      <c r="N303" s="170"/>
      <c r="O303" s="173"/>
      <c r="P303" s="173"/>
      <c r="Q303" s="173"/>
      <c r="R303" s="173"/>
      <c r="S303" s="173"/>
      <c r="T303" s="173"/>
      <c r="U303" s="173"/>
      <c r="V303" s="170"/>
      <c r="W303" s="170"/>
      <c r="X303" s="174"/>
      <c r="Y303" s="174"/>
      <c r="Z303" s="174"/>
      <c r="AA303" s="174"/>
      <c r="AB303" s="174"/>
      <c r="AC303" s="174"/>
      <c r="AD303" s="174"/>
      <c r="AE303" s="174"/>
      <c r="AF303" s="174"/>
      <c r="AG303" s="174"/>
      <c r="AH303" s="174"/>
    </row>
    <row r="304" spans="1:34">
      <c r="A304" s="169"/>
      <c r="B304" s="169"/>
      <c r="C304" s="169"/>
      <c r="D304" s="169"/>
      <c r="E304" s="170"/>
      <c r="F304" s="170"/>
      <c r="G304" s="170"/>
      <c r="H304" s="171"/>
      <c r="I304" s="171"/>
      <c r="J304" s="172"/>
      <c r="K304" s="171"/>
      <c r="L304" s="172"/>
      <c r="M304" s="172"/>
      <c r="N304" s="170"/>
      <c r="O304" s="173"/>
      <c r="P304" s="173"/>
      <c r="Q304" s="173"/>
      <c r="R304" s="173"/>
      <c r="S304" s="173"/>
      <c r="T304" s="173"/>
      <c r="U304" s="173"/>
      <c r="V304" s="170"/>
      <c r="W304" s="170"/>
      <c r="X304" s="174"/>
      <c r="Y304" s="174"/>
      <c r="Z304" s="174"/>
      <c r="AA304" s="174"/>
      <c r="AB304" s="174"/>
      <c r="AC304" s="174"/>
      <c r="AD304" s="174"/>
      <c r="AE304" s="174"/>
      <c r="AF304" s="174"/>
      <c r="AG304" s="174"/>
      <c r="AH304" s="174"/>
    </row>
    <row r="305" spans="1:34">
      <c r="A305" s="169"/>
      <c r="B305" s="169"/>
      <c r="C305" s="169"/>
      <c r="D305" s="169"/>
      <c r="E305" s="170"/>
      <c r="F305" s="170"/>
      <c r="G305" s="170"/>
      <c r="H305" s="171"/>
      <c r="I305" s="171"/>
      <c r="J305" s="172"/>
      <c r="K305" s="171"/>
      <c r="L305" s="172"/>
      <c r="M305" s="172"/>
      <c r="N305" s="170"/>
      <c r="O305" s="173"/>
      <c r="P305" s="173"/>
      <c r="Q305" s="173"/>
      <c r="R305" s="173"/>
      <c r="S305" s="173"/>
      <c r="T305" s="173"/>
      <c r="U305" s="173"/>
      <c r="V305" s="170"/>
      <c r="W305" s="170"/>
      <c r="X305" s="174"/>
      <c r="Y305" s="174"/>
      <c r="Z305" s="174"/>
      <c r="AA305" s="174"/>
      <c r="AB305" s="174"/>
      <c r="AC305" s="174"/>
      <c r="AD305" s="174"/>
      <c r="AE305" s="174"/>
      <c r="AF305" s="174"/>
      <c r="AG305" s="174"/>
      <c r="AH305" s="174"/>
    </row>
    <row r="306" spans="1:34">
      <c r="A306" s="169"/>
      <c r="B306" s="169"/>
      <c r="C306" s="169"/>
      <c r="D306" s="169"/>
      <c r="E306" s="170"/>
      <c r="F306" s="170"/>
      <c r="G306" s="170"/>
      <c r="H306" s="171"/>
      <c r="I306" s="171"/>
      <c r="J306" s="172"/>
      <c r="K306" s="171"/>
      <c r="L306" s="172"/>
      <c r="M306" s="172"/>
      <c r="N306" s="170"/>
      <c r="O306" s="173"/>
      <c r="P306" s="173"/>
      <c r="Q306" s="173"/>
      <c r="R306" s="173"/>
      <c r="S306" s="173"/>
      <c r="T306" s="173"/>
      <c r="U306" s="173"/>
      <c r="V306" s="170"/>
      <c r="W306" s="170"/>
      <c r="X306" s="174"/>
      <c r="Y306" s="174"/>
      <c r="Z306" s="174"/>
      <c r="AA306" s="174"/>
      <c r="AB306" s="174"/>
      <c r="AC306" s="174"/>
      <c r="AD306" s="174"/>
      <c r="AE306" s="174"/>
      <c r="AF306" s="174"/>
      <c r="AG306" s="174"/>
      <c r="AH306" s="174"/>
    </row>
    <row r="307" spans="1:34">
      <c r="A307" s="169"/>
      <c r="B307" s="169"/>
      <c r="C307" s="169"/>
      <c r="D307" s="169"/>
      <c r="E307" s="170"/>
      <c r="F307" s="170"/>
      <c r="G307" s="170"/>
      <c r="H307" s="171"/>
      <c r="I307" s="171"/>
      <c r="J307" s="172"/>
      <c r="K307" s="171"/>
      <c r="L307" s="172"/>
      <c r="M307" s="172"/>
      <c r="N307" s="170"/>
      <c r="O307" s="173"/>
      <c r="P307" s="173"/>
      <c r="Q307" s="173"/>
      <c r="R307" s="173"/>
      <c r="S307" s="173"/>
      <c r="T307" s="173"/>
      <c r="U307" s="173"/>
      <c r="V307" s="170"/>
      <c r="W307" s="170"/>
      <c r="X307" s="174"/>
      <c r="Y307" s="174"/>
      <c r="Z307" s="174"/>
      <c r="AA307" s="174"/>
      <c r="AB307" s="174"/>
      <c r="AC307" s="174"/>
      <c r="AD307" s="174"/>
      <c r="AE307" s="174"/>
      <c r="AF307" s="174"/>
      <c r="AG307" s="174"/>
      <c r="AH307" s="174"/>
    </row>
    <row r="308" spans="1:34">
      <c r="A308" s="169"/>
      <c r="B308" s="169"/>
      <c r="C308" s="169"/>
      <c r="D308" s="169"/>
      <c r="E308" s="170"/>
      <c r="F308" s="170"/>
      <c r="G308" s="170"/>
      <c r="H308" s="171"/>
      <c r="I308" s="171"/>
      <c r="J308" s="172"/>
      <c r="K308" s="171"/>
      <c r="L308" s="172"/>
      <c r="M308" s="172"/>
      <c r="N308" s="170"/>
      <c r="O308" s="173"/>
      <c r="P308" s="173"/>
      <c r="Q308" s="173"/>
      <c r="R308" s="173"/>
      <c r="S308" s="173"/>
      <c r="T308" s="173"/>
      <c r="U308" s="173"/>
      <c r="V308" s="170"/>
      <c r="W308" s="170"/>
      <c r="X308" s="174"/>
      <c r="Y308" s="174"/>
      <c r="Z308" s="174"/>
      <c r="AA308" s="174"/>
      <c r="AB308" s="174"/>
      <c r="AC308" s="174"/>
      <c r="AD308" s="174"/>
      <c r="AE308" s="174"/>
      <c r="AF308" s="174"/>
      <c r="AG308" s="174"/>
      <c r="AH308" s="174"/>
    </row>
    <row r="309" spans="1:34">
      <c r="A309" s="169"/>
      <c r="B309" s="169"/>
      <c r="C309" s="169"/>
      <c r="D309" s="169"/>
      <c r="E309" s="170"/>
      <c r="F309" s="170"/>
      <c r="G309" s="170"/>
      <c r="H309" s="171"/>
      <c r="I309" s="171"/>
      <c r="J309" s="172"/>
      <c r="K309" s="171"/>
      <c r="L309" s="172"/>
      <c r="M309" s="172"/>
      <c r="N309" s="170"/>
      <c r="O309" s="173"/>
      <c r="P309" s="173"/>
      <c r="Q309" s="173"/>
      <c r="R309" s="173"/>
      <c r="S309" s="173"/>
      <c r="T309" s="173"/>
      <c r="U309" s="173"/>
      <c r="V309" s="170"/>
      <c r="W309" s="170"/>
      <c r="X309" s="174"/>
      <c r="Y309" s="174"/>
      <c r="Z309" s="174"/>
      <c r="AA309" s="174"/>
      <c r="AB309" s="174"/>
      <c r="AC309" s="174"/>
      <c r="AD309" s="174"/>
      <c r="AE309" s="174"/>
      <c r="AF309" s="174"/>
      <c r="AG309" s="174"/>
      <c r="AH309" s="174"/>
    </row>
    <row r="310" spans="1:34">
      <c r="A310" s="169"/>
      <c r="B310" s="169"/>
      <c r="C310" s="169"/>
      <c r="D310" s="169"/>
      <c r="E310" s="170"/>
      <c r="F310" s="170"/>
      <c r="G310" s="170"/>
      <c r="H310" s="171"/>
      <c r="I310" s="171"/>
      <c r="J310" s="172"/>
      <c r="K310" s="171"/>
      <c r="L310" s="172"/>
      <c r="M310" s="172"/>
      <c r="N310" s="170"/>
      <c r="O310" s="173"/>
      <c r="P310" s="173"/>
      <c r="Q310" s="173"/>
      <c r="R310" s="173"/>
      <c r="S310" s="173"/>
      <c r="T310" s="173"/>
      <c r="U310" s="173"/>
      <c r="V310" s="170"/>
      <c r="W310" s="170"/>
      <c r="X310" s="174"/>
      <c r="Y310" s="174"/>
      <c r="Z310" s="174"/>
      <c r="AA310" s="174"/>
      <c r="AB310" s="174"/>
      <c r="AC310" s="174"/>
      <c r="AD310" s="174"/>
      <c r="AE310" s="174"/>
      <c r="AF310" s="174"/>
      <c r="AG310" s="174"/>
      <c r="AH310" s="174"/>
    </row>
    <row r="311" spans="1:34">
      <c r="A311" s="169"/>
      <c r="B311" s="169"/>
      <c r="C311" s="169"/>
      <c r="D311" s="169"/>
      <c r="E311" s="170"/>
      <c r="F311" s="170"/>
      <c r="G311" s="170"/>
      <c r="H311" s="171"/>
      <c r="I311" s="171"/>
      <c r="J311" s="172"/>
      <c r="K311" s="171"/>
      <c r="L311" s="172"/>
      <c r="M311" s="172"/>
      <c r="N311" s="170"/>
      <c r="O311" s="173"/>
      <c r="P311" s="173"/>
      <c r="Q311" s="173"/>
      <c r="R311" s="173"/>
      <c r="S311" s="173"/>
      <c r="T311" s="173"/>
      <c r="U311" s="173"/>
      <c r="V311" s="170"/>
      <c r="W311" s="170"/>
      <c r="X311" s="174"/>
      <c r="Y311" s="174"/>
      <c r="Z311" s="174"/>
      <c r="AA311" s="174"/>
      <c r="AB311" s="174"/>
      <c r="AC311" s="174"/>
      <c r="AD311" s="174"/>
      <c r="AE311" s="174"/>
      <c r="AF311" s="174"/>
      <c r="AG311" s="174"/>
      <c r="AH311" s="174"/>
    </row>
    <row r="312" spans="1:34">
      <c r="A312" s="169"/>
      <c r="B312" s="169"/>
      <c r="C312" s="169"/>
      <c r="D312" s="169"/>
      <c r="E312" s="170"/>
      <c r="F312" s="170"/>
      <c r="G312" s="170"/>
      <c r="H312" s="171"/>
      <c r="I312" s="171"/>
      <c r="J312" s="172"/>
      <c r="K312" s="171"/>
      <c r="L312" s="172"/>
      <c r="M312" s="172"/>
      <c r="N312" s="170"/>
      <c r="O312" s="173"/>
      <c r="P312" s="173"/>
      <c r="Q312" s="173"/>
      <c r="R312" s="173"/>
      <c r="S312" s="173"/>
      <c r="T312" s="173"/>
      <c r="U312" s="173"/>
      <c r="V312" s="170"/>
      <c r="W312" s="170"/>
      <c r="X312" s="174"/>
      <c r="Y312" s="174"/>
      <c r="Z312" s="174"/>
      <c r="AA312" s="174"/>
      <c r="AB312" s="174"/>
      <c r="AC312" s="174"/>
      <c r="AD312" s="174"/>
      <c r="AE312" s="174"/>
      <c r="AF312" s="174"/>
      <c r="AG312" s="174"/>
      <c r="AH312" s="174"/>
    </row>
    <row r="313" spans="1:34">
      <c r="A313" s="169"/>
      <c r="B313" s="169"/>
      <c r="C313" s="169"/>
      <c r="D313" s="169"/>
      <c r="E313" s="170"/>
      <c r="F313" s="170"/>
      <c r="G313" s="170"/>
      <c r="H313" s="171"/>
      <c r="I313" s="171"/>
      <c r="J313" s="172"/>
      <c r="K313" s="171"/>
      <c r="L313" s="172"/>
      <c r="M313" s="172"/>
      <c r="N313" s="170"/>
      <c r="O313" s="173"/>
      <c r="P313" s="173"/>
      <c r="Q313" s="173"/>
      <c r="R313" s="173"/>
      <c r="S313" s="173"/>
      <c r="T313" s="173"/>
      <c r="U313" s="173"/>
      <c r="V313" s="170"/>
      <c r="W313" s="170"/>
      <c r="X313" s="174"/>
      <c r="Y313" s="174"/>
      <c r="Z313" s="174"/>
      <c r="AA313" s="174"/>
      <c r="AB313" s="174"/>
      <c r="AC313" s="174"/>
      <c r="AD313" s="174"/>
      <c r="AE313" s="174"/>
      <c r="AF313" s="174"/>
      <c r="AG313" s="174"/>
      <c r="AH313" s="174"/>
    </row>
    <row r="314" spans="1:34">
      <c r="A314" s="169"/>
      <c r="B314" s="169"/>
      <c r="C314" s="169"/>
      <c r="D314" s="169"/>
      <c r="E314" s="170"/>
      <c r="F314" s="170"/>
      <c r="G314" s="170"/>
      <c r="H314" s="171"/>
      <c r="I314" s="171"/>
      <c r="J314" s="172"/>
      <c r="K314" s="171"/>
      <c r="L314" s="172"/>
      <c r="M314" s="172"/>
      <c r="N314" s="170"/>
      <c r="O314" s="173"/>
      <c r="P314" s="173"/>
      <c r="Q314" s="173"/>
      <c r="R314" s="173"/>
      <c r="S314" s="173"/>
      <c r="T314" s="173"/>
      <c r="U314" s="173"/>
      <c r="V314" s="170"/>
      <c r="W314" s="170"/>
      <c r="X314" s="174"/>
      <c r="Y314" s="174"/>
      <c r="Z314" s="174"/>
      <c r="AA314" s="174"/>
      <c r="AB314" s="174"/>
      <c r="AC314" s="174"/>
      <c r="AD314" s="174"/>
      <c r="AE314" s="174"/>
      <c r="AF314" s="174"/>
      <c r="AG314" s="174"/>
      <c r="AH314" s="174"/>
    </row>
    <row r="315" spans="1:34">
      <c r="A315" s="169"/>
      <c r="B315" s="169"/>
      <c r="C315" s="169"/>
      <c r="D315" s="169"/>
      <c r="E315" s="170"/>
      <c r="F315" s="170"/>
      <c r="G315" s="170"/>
      <c r="H315" s="171"/>
      <c r="I315" s="171"/>
      <c r="J315" s="172"/>
      <c r="K315" s="171"/>
      <c r="L315" s="172"/>
      <c r="M315" s="172"/>
      <c r="N315" s="170"/>
      <c r="O315" s="173"/>
      <c r="P315" s="173"/>
      <c r="Q315" s="173"/>
      <c r="R315" s="173"/>
      <c r="S315" s="173"/>
      <c r="T315" s="173"/>
      <c r="U315" s="173"/>
      <c r="V315" s="170"/>
      <c r="W315" s="170"/>
      <c r="X315" s="174"/>
      <c r="Y315" s="174"/>
      <c r="Z315" s="174"/>
      <c r="AA315" s="174"/>
      <c r="AB315" s="174"/>
      <c r="AC315" s="174"/>
      <c r="AD315" s="174"/>
      <c r="AE315" s="174"/>
      <c r="AF315" s="174"/>
      <c r="AG315" s="174"/>
      <c r="AH315" s="174"/>
    </row>
    <row r="316" spans="1:34">
      <c r="A316" s="169"/>
      <c r="B316" s="169"/>
      <c r="C316" s="169"/>
      <c r="D316" s="169"/>
      <c r="E316" s="170"/>
      <c r="F316" s="170"/>
      <c r="G316" s="170"/>
      <c r="H316" s="171"/>
      <c r="I316" s="171"/>
      <c r="J316" s="172"/>
      <c r="K316" s="171"/>
      <c r="L316" s="172"/>
      <c r="M316" s="172"/>
      <c r="N316" s="170"/>
      <c r="O316" s="173"/>
      <c r="P316" s="173"/>
      <c r="Q316" s="173"/>
      <c r="R316" s="173"/>
      <c r="S316" s="173"/>
      <c r="T316" s="173"/>
      <c r="U316" s="173"/>
      <c r="V316" s="170"/>
      <c r="W316" s="170"/>
      <c r="X316" s="174"/>
      <c r="Y316" s="174"/>
      <c r="Z316" s="174"/>
      <c r="AA316" s="174"/>
      <c r="AB316" s="174"/>
      <c r="AC316" s="174"/>
      <c r="AD316" s="174"/>
      <c r="AE316" s="174"/>
      <c r="AF316" s="174"/>
      <c r="AG316" s="174"/>
      <c r="AH316" s="174"/>
    </row>
    <row r="317" spans="1:34">
      <c r="A317" s="169"/>
      <c r="B317" s="169"/>
      <c r="C317" s="169"/>
      <c r="D317" s="169"/>
      <c r="E317" s="170"/>
      <c r="F317" s="170"/>
      <c r="G317" s="170"/>
      <c r="H317" s="171"/>
      <c r="I317" s="171"/>
      <c r="J317" s="172"/>
      <c r="K317" s="171"/>
      <c r="L317" s="172"/>
      <c r="M317" s="172"/>
      <c r="N317" s="170"/>
      <c r="O317" s="173"/>
      <c r="P317" s="173"/>
      <c r="Q317" s="173"/>
      <c r="R317" s="173"/>
      <c r="S317" s="173"/>
      <c r="T317" s="173"/>
      <c r="U317" s="173"/>
      <c r="V317" s="170"/>
      <c r="W317" s="170"/>
      <c r="X317" s="174"/>
      <c r="Y317" s="174"/>
      <c r="Z317" s="174"/>
      <c r="AA317" s="174"/>
      <c r="AB317" s="174"/>
      <c r="AC317" s="174"/>
      <c r="AD317" s="174"/>
      <c r="AE317" s="174"/>
      <c r="AF317" s="174"/>
      <c r="AG317" s="174"/>
      <c r="AH317" s="174"/>
    </row>
    <row r="318" spans="1:34">
      <c r="A318" s="169"/>
      <c r="B318" s="169"/>
      <c r="C318" s="169"/>
      <c r="D318" s="169"/>
      <c r="E318" s="170"/>
      <c r="F318" s="170"/>
      <c r="G318" s="170"/>
      <c r="H318" s="171"/>
      <c r="I318" s="171"/>
      <c r="J318" s="172"/>
      <c r="K318" s="171"/>
      <c r="L318" s="172"/>
      <c r="M318" s="172"/>
      <c r="N318" s="170"/>
      <c r="O318" s="173"/>
      <c r="P318" s="173"/>
      <c r="Q318" s="173"/>
      <c r="R318" s="173"/>
      <c r="S318" s="173"/>
      <c r="T318" s="173"/>
      <c r="U318" s="173"/>
      <c r="V318" s="170"/>
      <c r="W318" s="170"/>
      <c r="X318" s="174"/>
      <c r="Y318" s="174"/>
      <c r="Z318" s="174"/>
      <c r="AA318" s="174"/>
      <c r="AB318" s="174"/>
      <c r="AC318" s="174"/>
      <c r="AD318" s="174"/>
      <c r="AE318" s="174"/>
      <c r="AF318" s="174"/>
      <c r="AG318" s="174"/>
      <c r="AH318" s="174"/>
    </row>
    <row r="319" spans="1:34">
      <c r="A319" s="169"/>
      <c r="B319" s="169"/>
      <c r="C319" s="169"/>
      <c r="D319" s="169"/>
      <c r="E319" s="170"/>
      <c r="F319" s="170"/>
      <c r="G319" s="170"/>
      <c r="H319" s="171"/>
      <c r="I319" s="171"/>
      <c r="J319" s="172"/>
      <c r="K319" s="171"/>
      <c r="L319" s="172"/>
      <c r="M319" s="172"/>
      <c r="N319" s="170"/>
      <c r="O319" s="173"/>
      <c r="P319" s="173"/>
      <c r="Q319" s="173"/>
      <c r="R319" s="173"/>
      <c r="S319" s="173"/>
      <c r="T319" s="173"/>
      <c r="U319" s="173"/>
      <c r="V319" s="170"/>
      <c r="W319" s="170"/>
      <c r="X319" s="174"/>
      <c r="Y319" s="174"/>
      <c r="Z319" s="174"/>
      <c r="AA319" s="174"/>
      <c r="AB319" s="174"/>
      <c r="AC319" s="174"/>
      <c r="AD319" s="174"/>
      <c r="AE319" s="174"/>
      <c r="AF319" s="174"/>
      <c r="AG319" s="174"/>
      <c r="AH319" s="174"/>
    </row>
    <row r="320" spans="1:34">
      <c r="A320" s="169"/>
      <c r="B320" s="169"/>
      <c r="C320" s="169"/>
      <c r="D320" s="169"/>
      <c r="E320" s="170"/>
      <c r="F320" s="170"/>
      <c r="G320" s="170"/>
      <c r="H320" s="171"/>
      <c r="I320" s="171"/>
      <c r="J320" s="172"/>
      <c r="K320" s="171"/>
      <c r="L320" s="172"/>
      <c r="M320" s="172"/>
      <c r="N320" s="170"/>
      <c r="O320" s="173"/>
      <c r="P320" s="173"/>
      <c r="Q320" s="173"/>
      <c r="R320" s="173"/>
      <c r="S320" s="173"/>
      <c r="T320" s="173"/>
      <c r="U320" s="173"/>
      <c r="V320" s="170"/>
      <c r="W320" s="170"/>
      <c r="X320" s="174"/>
      <c r="Y320" s="174"/>
      <c r="Z320" s="174"/>
      <c r="AA320" s="174"/>
      <c r="AB320" s="174"/>
      <c r="AC320" s="174"/>
      <c r="AD320" s="174"/>
      <c r="AE320" s="174"/>
      <c r="AF320" s="174"/>
      <c r="AG320" s="174"/>
      <c r="AH320" s="174"/>
    </row>
    <row r="321" spans="1:34">
      <c r="A321" s="169"/>
      <c r="B321" s="169"/>
      <c r="C321" s="169"/>
      <c r="D321" s="169"/>
      <c r="E321" s="170"/>
      <c r="F321" s="170"/>
      <c r="G321" s="170"/>
      <c r="H321" s="171"/>
      <c r="I321" s="171"/>
      <c r="J321" s="172"/>
      <c r="K321" s="171"/>
      <c r="L321" s="172"/>
      <c r="M321" s="172"/>
      <c r="N321" s="170"/>
      <c r="O321" s="173"/>
      <c r="P321" s="173"/>
      <c r="Q321" s="173"/>
      <c r="R321" s="173"/>
      <c r="S321" s="173"/>
      <c r="T321" s="173"/>
      <c r="U321" s="173"/>
      <c r="V321" s="170"/>
      <c r="W321" s="170"/>
      <c r="X321" s="174"/>
      <c r="Y321" s="174"/>
      <c r="Z321" s="174"/>
      <c r="AA321" s="174"/>
      <c r="AB321" s="174"/>
      <c r="AC321" s="174"/>
      <c r="AD321" s="174"/>
      <c r="AE321" s="174"/>
      <c r="AF321" s="174"/>
      <c r="AG321" s="174"/>
      <c r="AH321" s="174"/>
    </row>
    <row r="322" spans="1:34">
      <c r="A322" s="169"/>
      <c r="B322" s="169"/>
      <c r="C322" s="169"/>
      <c r="D322" s="169"/>
      <c r="E322" s="170"/>
      <c r="F322" s="170"/>
      <c r="G322" s="170"/>
      <c r="H322" s="171"/>
      <c r="I322" s="171"/>
      <c r="J322" s="172"/>
      <c r="K322" s="171"/>
      <c r="L322" s="172"/>
      <c r="M322" s="172"/>
      <c r="N322" s="170"/>
      <c r="O322" s="173"/>
      <c r="P322" s="173"/>
      <c r="Q322" s="173"/>
      <c r="R322" s="173"/>
      <c r="S322" s="173"/>
      <c r="T322" s="173"/>
      <c r="U322" s="173"/>
      <c r="V322" s="170"/>
      <c r="W322" s="170"/>
      <c r="X322" s="174"/>
      <c r="Y322" s="174"/>
      <c r="Z322" s="174"/>
      <c r="AA322" s="174"/>
      <c r="AB322" s="174"/>
      <c r="AC322" s="174"/>
      <c r="AD322" s="174"/>
      <c r="AE322" s="174"/>
      <c r="AF322" s="174"/>
      <c r="AG322" s="174"/>
      <c r="AH322" s="174"/>
    </row>
    <row r="323" spans="1:34">
      <c r="A323" s="169"/>
      <c r="B323" s="169"/>
      <c r="C323" s="169"/>
      <c r="D323" s="169"/>
      <c r="E323" s="170"/>
      <c r="F323" s="170"/>
      <c r="G323" s="170"/>
      <c r="H323" s="171"/>
      <c r="I323" s="171"/>
      <c r="J323" s="172"/>
      <c r="K323" s="171"/>
      <c r="L323" s="172"/>
      <c r="M323" s="172"/>
      <c r="N323" s="170"/>
      <c r="O323" s="173"/>
      <c r="P323" s="173"/>
      <c r="Q323" s="173"/>
      <c r="R323" s="173"/>
      <c r="S323" s="173"/>
      <c r="T323" s="173"/>
      <c r="U323" s="173"/>
      <c r="V323" s="170"/>
      <c r="W323" s="170"/>
      <c r="X323" s="174"/>
      <c r="Y323" s="174"/>
      <c r="Z323" s="174"/>
      <c r="AA323" s="174"/>
      <c r="AB323" s="174"/>
      <c r="AC323" s="174"/>
      <c r="AD323" s="174"/>
      <c r="AE323" s="174"/>
      <c r="AF323" s="174"/>
      <c r="AG323" s="174"/>
      <c r="AH323" s="174"/>
    </row>
    <row r="324" spans="1:34">
      <c r="A324" s="169"/>
      <c r="B324" s="169"/>
      <c r="C324" s="169"/>
      <c r="D324" s="169"/>
      <c r="E324" s="170"/>
      <c r="F324" s="170"/>
      <c r="G324" s="170"/>
      <c r="H324" s="171"/>
      <c r="I324" s="171"/>
      <c r="J324" s="172"/>
      <c r="K324" s="171"/>
      <c r="L324" s="172"/>
      <c r="M324" s="172"/>
      <c r="N324" s="170"/>
      <c r="O324" s="173"/>
      <c r="P324" s="173"/>
      <c r="Q324" s="173"/>
      <c r="R324" s="173"/>
      <c r="S324" s="173"/>
      <c r="T324" s="173"/>
      <c r="U324" s="173"/>
      <c r="V324" s="170"/>
      <c r="W324" s="170"/>
      <c r="X324" s="174"/>
      <c r="Y324" s="174"/>
      <c r="Z324" s="174"/>
      <c r="AA324" s="174"/>
      <c r="AB324" s="174"/>
      <c r="AC324" s="174"/>
      <c r="AD324" s="174"/>
      <c r="AE324" s="174"/>
      <c r="AF324" s="174"/>
      <c r="AG324" s="174"/>
      <c r="AH324" s="174"/>
    </row>
    <row r="325" spans="1:34">
      <c r="A325" s="169"/>
      <c r="B325" s="169"/>
      <c r="C325" s="169"/>
      <c r="D325" s="169"/>
      <c r="E325" s="170"/>
      <c r="F325" s="170"/>
      <c r="G325" s="170"/>
      <c r="H325" s="171"/>
      <c r="I325" s="171"/>
      <c r="J325" s="172"/>
      <c r="K325" s="171"/>
      <c r="L325" s="172"/>
      <c r="M325" s="172"/>
      <c r="N325" s="170"/>
      <c r="O325" s="173"/>
      <c r="P325" s="173"/>
      <c r="Q325" s="173"/>
      <c r="R325" s="173"/>
      <c r="S325" s="173"/>
      <c r="T325" s="173"/>
      <c r="U325" s="173"/>
      <c r="V325" s="170"/>
      <c r="W325" s="170"/>
      <c r="X325" s="174"/>
      <c r="Y325" s="174"/>
      <c r="Z325" s="174"/>
      <c r="AA325" s="174"/>
      <c r="AB325" s="174"/>
      <c r="AC325" s="174"/>
      <c r="AD325" s="174"/>
      <c r="AE325" s="174"/>
      <c r="AF325" s="174"/>
      <c r="AG325" s="174"/>
      <c r="AH325" s="174"/>
    </row>
    <row r="326" spans="1:34">
      <c r="A326" s="169"/>
      <c r="B326" s="169"/>
      <c r="C326" s="169"/>
      <c r="D326" s="169"/>
      <c r="E326" s="170"/>
      <c r="F326" s="170"/>
      <c r="G326" s="170"/>
      <c r="H326" s="171"/>
      <c r="I326" s="171"/>
      <c r="J326" s="172"/>
      <c r="K326" s="171"/>
      <c r="L326" s="172"/>
      <c r="M326" s="172"/>
      <c r="N326" s="170"/>
      <c r="O326" s="173"/>
      <c r="P326" s="173"/>
      <c r="Q326" s="173"/>
      <c r="R326" s="173"/>
      <c r="S326" s="173"/>
      <c r="T326" s="173"/>
      <c r="U326" s="173"/>
      <c r="V326" s="170"/>
      <c r="W326" s="170"/>
      <c r="X326" s="174"/>
      <c r="Y326" s="174"/>
      <c r="Z326" s="174"/>
      <c r="AA326" s="174"/>
      <c r="AB326" s="174"/>
      <c r="AC326" s="174"/>
      <c r="AD326" s="174"/>
      <c r="AE326" s="174"/>
      <c r="AF326" s="174"/>
      <c r="AG326" s="174"/>
      <c r="AH326" s="174"/>
    </row>
    <row r="327" spans="1:34">
      <c r="A327" s="169"/>
      <c r="B327" s="169"/>
      <c r="C327" s="169"/>
      <c r="D327" s="169"/>
      <c r="E327" s="170"/>
      <c r="F327" s="170"/>
      <c r="G327" s="170"/>
      <c r="H327" s="171"/>
      <c r="I327" s="171"/>
      <c r="J327" s="172"/>
      <c r="K327" s="171"/>
      <c r="L327" s="172"/>
      <c r="M327" s="172"/>
      <c r="N327" s="170"/>
      <c r="O327" s="173"/>
      <c r="P327" s="173"/>
      <c r="Q327" s="173"/>
      <c r="R327" s="173"/>
      <c r="S327" s="173"/>
      <c r="T327" s="173"/>
      <c r="U327" s="173"/>
      <c r="V327" s="170"/>
      <c r="W327" s="170"/>
      <c r="X327" s="174"/>
      <c r="Y327" s="174"/>
      <c r="Z327" s="174"/>
      <c r="AA327" s="174"/>
      <c r="AB327" s="174"/>
      <c r="AC327" s="174"/>
      <c r="AD327" s="174"/>
      <c r="AE327" s="174"/>
      <c r="AF327" s="174"/>
      <c r="AG327" s="174"/>
      <c r="AH327" s="174"/>
    </row>
    <row r="328" spans="1:34">
      <c r="A328" s="169"/>
      <c r="B328" s="169"/>
      <c r="C328" s="169"/>
      <c r="D328" s="169"/>
      <c r="E328" s="170"/>
      <c r="F328" s="170"/>
      <c r="G328" s="170"/>
      <c r="H328" s="171"/>
      <c r="I328" s="171"/>
      <c r="J328" s="172"/>
      <c r="K328" s="171"/>
      <c r="L328" s="172"/>
      <c r="M328" s="172"/>
      <c r="N328" s="170"/>
      <c r="O328" s="173"/>
      <c r="P328" s="173"/>
      <c r="Q328" s="173"/>
      <c r="R328" s="173"/>
      <c r="S328" s="173"/>
      <c r="T328" s="173"/>
      <c r="U328" s="173"/>
      <c r="V328" s="170"/>
      <c r="W328" s="170"/>
      <c r="X328" s="174"/>
      <c r="Y328" s="174"/>
      <c r="Z328" s="174"/>
      <c r="AA328" s="174"/>
      <c r="AB328" s="174"/>
      <c r="AC328" s="174"/>
      <c r="AD328" s="174"/>
      <c r="AE328" s="174"/>
      <c r="AF328" s="174"/>
      <c r="AG328" s="174"/>
      <c r="AH328" s="174"/>
    </row>
    <row r="329" spans="1:34">
      <c r="A329" s="169"/>
      <c r="B329" s="169"/>
      <c r="C329" s="169"/>
      <c r="D329" s="169"/>
      <c r="E329" s="170"/>
      <c r="F329" s="170"/>
      <c r="G329" s="170"/>
      <c r="H329" s="171"/>
      <c r="I329" s="171"/>
      <c r="J329" s="172"/>
      <c r="K329" s="171"/>
      <c r="L329" s="172"/>
      <c r="M329" s="172"/>
      <c r="N329" s="170"/>
      <c r="O329" s="173"/>
      <c r="P329" s="173"/>
      <c r="Q329" s="173"/>
      <c r="R329" s="173"/>
      <c r="S329" s="173"/>
      <c r="T329" s="173"/>
      <c r="U329" s="173"/>
      <c r="V329" s="170"/>
      <c r="W329" s="170"/>
      <c r="X329" s="174"/>
      <c r="Y329" s="174"/>
      <c r="Z329" s="174"/>
      <c r="AA329" s="174"/>
      <c r="AB329" s="174"/>
      <c r="AC329" s="174"/>
      <c r="AD329" s="174"/>
      <c r="AE329" s="174"/>
      <c r="AF329" s="174"/>
      <c r="AG329" s="174"/>
      <c r="AH329" s="174"/>
    </row>
    <row r="330" spans="1:34">
      <c r="A330" s="169"/>
      <c r="B330" s="169"/>
      <c r="C330" s="169"/>
      <c r="D330" s="169"/>
      <c r="E330" s="170"/>
      <c r="F330" s="170"/>
      <c r="G330" s="170"/>
      <c r="H330" s="171"/>
      <c r="I330" s="171"/>
      <c r="J330" s="172"/>
      <c r="K330" s="171"/>
      <c r="L330" s="172"/>
      <c r="M330" s="172"/>
      <c r="N330" s="170"/>
      <c r="O330" s="173"/>
      <c r="P330" s="173"/>
      <c r="Q330" s="173"/>
      <c r="R330" s="173"/>
      <c r="S330" s="173"/>
      <c r="T330" s="173"/>
      <c r="U330" s="173"/>
      <c r="V330" s="170"/>
      <c r="W330" s="170"/>
      <c r="X330" s="174"/>
      <c r="Y330" s="174"/>
      <c r="Z330" s="174"/>
      <c r="AA330" s="174"/>
      <c r="AB330" s="174"/>
      <c r="AC330" s="174"/>
      <c r="AD330" s="174"/>
      <c r="AE330" s="174"/>
      <c r="AF330" s="174"/>
      <c r="AG330" s="174"/>
      <c r="AH330" s="174"/>
    </row>
    <row r="331" spans="1:34">
      <c r="A331" s="169"/>
      <c r="B331" s="169"/>
      <c r="C331" s="169"/>
      <c r="D331" s="169"/>
      <c r="E331" s="170"/>
      <c r="F331" s="170"/>
      <c r="G331" s="170"/>
      <c r="H331" s="171"/>
      <c r="I331" s="171"/>
      <c r="J331" s="172"/>
      <c r="K331" s="171"/>
      <c r="L331" s="172"/>
      <c r="M331" s="172"/>
      <c r="N331" s="170"/>
      <c r="O331" s="173"/>
      <c r="P331" s="173"/>
      <c r="Q331" s="173"/>
      <c r="R331" s="173"/>
      <c r="S331" s="173"/>
      <c r="T331" s="173"/>
      <c r="U331" s="173"/>
      <c r="V331" s="170"/>
      <c r="W331" s="170"/>
      <c r="X331" s="174"/>
      <c r="Y331" s="174"/>
      <c r="Z331" s="174"/>
      <c r="AA331" s="174"/>
      <c r="AB331" s="174"/>
      <c r="AC331" s="174"/>
      <c r="AD331" s="174"/>
      <c r="AE331" s="174"/>
      <c r="AF331" s="174"/>
      <c r="AG331" s="174"/>
      <c r="AH331" s="174"/>
    </row>
    <row r="332" spans="1:34">
      <c r="A332" s="169"/>
      <c r="B332" s="169"/>
      <c r="C332" s="169"/>
      <c r="D332" s="169"/>
      <c r="E332" s="170"/>
      <c r="F332" s="170"/>
      <c r="G332" s="170"/>
      <c r="H332" s="171"/>
      <c r="I332" s="171"/>
      <c r="J332" s="172"/>
      <c r="K332" s="171"/>
      <c r="L332" s="172"/>
      <c r="M332" s="172"/>
      <c r="N332" s="170"/>
      <c r="O332" s="173"/>
      <c r="P332" s="173"/>
      <c r="Q332" s="173"/>
      <c r="R332" s="173"/>
      <c r="S332" s="173"/>
      <c r="T332" s="173"/>
      <c r="U332" s="173"/>
      <c r="V332" s="170"/>
      <c r="W332" s="170"/>
      <c r="X332" s="174"/>
      <c r="Y332" s="174"/>
      <c r="Z332" s="174"/>
      <c r="AA332" s="174"/>
      <c r="AB332" s="174"/>
      <c r="AC332" s="174"/>
      <c r="AD332" s="174"/>
      <c r="AE332" s="174"/>
      <c r="AF332" s="174"/>
      <c r="AG332" s="174"/>
      <c r="AH332" s="174"/>
    </row>
    <row r="333" spans="1:34">
      <c r="A333" s="169"/>
      <c r="B333" s="169"/>
      <c r="C333" s="169"/>
      <c r="D333" s="169"/>
      <c r="E333" s="170"/>
      <c r="F333" s="170"/>
      <c r="G333" s="170"/>
      <c r="H333" s="171"/>
      <c r="I333" s="171"/>
      <c r="J333" s="172"/>
      <c r="K333" s="171"/>
      <c r="L333" s="172"/>
      <c r="M333" s="172"/>
      <c r="N333" s="170"/>
      <c r="O333" s="173"/>
      <c r="P333" s="173"/>
      <c r="Q333" s="173"/>
      <c r="R333" s="173"/>
      <c r="S333" s="173"/>
      <c r="T333" s="173"/>
      <c r="U333" s="173"/>
      <c r="V333" s="170"/>
      <c r="W333" s="170"/>
      <c r="X333" s="174"/>
      <c r="Y333" s="174"/>
      <c r="Z333" s="174"/>
      <c r="AA333" s="174"/>
      <c r="AB333" s="174"/>
      <c r="AC333" s="174"/>
      <c r="AD333" s="174"/>
      <c r="AE333" s="174"/>
      <c r="AF333" s="174"/>
      <c r="AG333" s="174"/>
      <c r="AH333" s="174"/>
    </row>
    <row r="334" spans="1:34">
      <c r="A334" s="169"/>
      <c r="B334" s="169"/>
      <c r="C334" s="169"/>
      <c r="D334" s="169"/>
      <c r="E334" s="170"/>
      <c r="F334" s="170"/>
      <c r="G334" s="170"/>
      <c r="H334" s="171"/>
      <c r="I334" s="171"/>
      <c r="J334" s="172"/>
      <c r="K334" s="171"/>
      <c r="L334" s="172"/>
      <c r="M334" s="172"/>
      <c r="N334" s="170"/>
      <c r="O334" s="173"/>
      <c r="P334" s="173"/>
      <c r="Q334" s="173"/>
      <c r="R334" s="173"/>
      <c r="S334" s="173"/>
      <c r="T334" s="173"/>
      <c r="U334" s="173"/>
      <c r="V334" s="170"/>
      <c r="W334" s="170"/>
      <c r="X334" s="174"/>
      <c r="Y334" s="174"/>
      <c r="Z334" s="174"/>
      <c r="AA334" s="174"/>
      <c r="AB334" s="174"/>
      <c r="AC334" s="174"/>
      <c r="AD334" s="174"/>
      <c r="AE334" s="174"/>
      <c r="AF334" s="174"/>
      <c r="AG334" s="174"/>
      <c r="AH334" s="174"/>
    </row>
    <row r="335" spans="1:34">
      <c r="A335" s="169"/>
      <c r="B335" s="169"/>
      <c r="C335" s="169"/>
      <c r="D335" s="169"/>
      <c r="E335" s="170"/>
      <c r="F335" s="170"/>
      <c r="G335" s="170"/>
      <c r="H335" s="171"/>
      <c r="I335" s="171"/>
      <c r="J335" s="172"/>
      <c r="K335" s="171"/>
      <c r="L335" s="172"/>
      <c r="M335" s="172"/>
      <c r="N335" s="170"/>
      <c r="O335" s="173"/>
      <c r="P335" s="173"/>
      <c r="Q335" s="173"/>
      <c r="R335" s="173"/>
      <c r="S335" s="173"/>
      <c r="T335" s="173"/>
      <c r="U335" s="173"/>
      <c r="V335" s="170"/>
      <c r="W335" s="170"/>
      <c r="X335" s="174"/>
      <c r="Y335" s="174"/>
      <c r="Z335" s="174"/>
      <c r="AA335" s="174"/>
      <c r="AB335" s="174"/>
      <c r="AC335" s="174"/>
      <c r="AD335" s="174"/>
      <c r="AE335" s="174"/>
      <c r="AF335" s="174"/>
      <c r="AG335" s="174"/>
      <c r="AH335" s="174"/>
    </row>
    <row r="336" spans="1:34">
      <c r="A336" s="169"/>
      <c r="B336" s="169"/>
      <c r="C336" s="169"/>
      <c r="D336" s="169"/>
      <c r="E336" s="170"/>
      <c r="F336" s="170"/>
      <c r="G336" s="170"/>
      <c r="H336" s="171"/>
      <c r="I336" s="171"/>
      <c r="J336" s="172"/>
      <c r="K336" s="171"/>
      <c r="L336" s="172"/>
      <c r="M336" s="172"/>
      <c r="N336" s="170"/>
      <c r="O336" s="173"/>
      <c r="P336" s="173"/>
      <c r="Q336" s="173"/>
      <c r="R336" s="173"/>
      <c r="S336" s="173"/>
      <c r="T336" s="173"/>
      <c r="U336" s="173"/>
      <c r="V336" s="170"/>
      <c r="W336" s="170"/>
      <c r="X336" s="174"/>
      <c r="Y336" s="174"/>
      <c r="Z336" s="174"/>
      <c r="AA336" s="174"/>
      <c r="AB336" s="174"/>
      <c r="AC336" s="174"/>
      <c r="AD336" s="174"/>
      <c r="AE336" s="174"/>
      <c r="AF336" s="174"/>
      <c r="AG336" s="174"/>
      <c r="AH336" s="174"/>
    </row>
    <row r="337" spans="1:34">
      <c r="A337" s="169"/>
      <c r="B337" s="169"/>
      <c r="C337" s="169"/>
      <c r="D337" s="169"/>
      <c r="E337" s="170"/>
      <c r="F337" s="170"/>
      <c r="G337" s="170"/>
      <c r="H337" s="171"/>
      <c r="I337" s="171"/>
      <c r="J337" s="172"/>
      <c r="K337" s="171"/>
      <c r="L337" s="172"/>
      <c r="M337" s="172"/>
      <c r="N337" s="170"/>
      <c r="O337" s="173"/>
      <c r="P337" s="173"/>
      <c r="Q337" s="173"/>
      <c r="R337" s="173"/>
      <c r="S337" s="173"/>
      <c r="T337" s="173"/>
      <c r="U337" s="173"/>
      <c r="V337" s="170"/>
      <c r="W337" s="170"/>
      <c r="X337" s="174"/>
      <c r="Y337" s="174"/>
      <c r="Z337" s="174"/>
      <c r="AA337" s="174"/>
      <c r="AB337" s="174"/>
      <c r="AC337" s="174"/>
      <c r="AD337" s="174"/>
      <c r="AE337" s="174"/>
      <c r="AF337" s="174"/>
      <c r="AG337" s="174"/>
      <c r="AH337" s="174"/>
    </row>
    <row r="338" spans="1:34">
      <c r="A338" s="169"/>
      <c r="B338" s="169"/>
      <c r="C338" s="169"/>
      <c r="D338" s="169"/>
      <c r="E338" s="170"/>
      <c r="F338" s="170"/>
      <c r="G338" s="170"/>
      <c r="H338" s="171"/>
      <c r="I338" s="171"/>
      <c r="J338" s="172"/>
      <c r="K338" s="171"/>
      <c r="L338" s="172"/>
      <c r="M338" s="172"/>
      <c r="N338" s="170"/>
      <c r="O338" s="173"/>
      <c r="P338" s="173"/>
      <c r="Q338" s="173"/>
      <c r="R338" s="173"/>
      <c r="S338" s="173"/>
      <c r="T338" s="173"/>
      <c r="U338" s="173"/>
      <c r="V338" s="170"/>
      <c r="W338" s="170"/>
      <c r="X338" s="174"/>
      <c r="Y338" s="174"/>
      <c r="Z338" s="174"/>
      <c r="AA338" s="174"/>
      <c r="AB338" s="174"/>
      <c r="AC338" s="174"/>
      <c r="AD338" s="174"/>
      <c r="AE338" s="174"/>
      <c r="AF338" s="174"/>
      <c r="AG338" s="174"/>
      <c r="AH338" s="174"/>
    </row>
    <row r="339" spans="1:34">
      <c r="A339" s="169"/>
      <c r="B339" s="169"/>
      <c r="C339" s="169"/>
      <c r="D339" s="169"/>
      <c r="E339" s="170"/>
      <c r="F339" s="170"/>
      <c r="G339" s="170"/>
      <c r="H339" s="171"/>
      <c r="I339" s="171"/>
      <c r="J339" s="172"/>
      <c r="K339" s="171"/>
      <c r="L339" s="172"/>
      <c r="M339" s="172"/>
      <c r="N339" s="170"/>
      <c r="O339" s="173"/>
      <c r="P339" s="173"/>
      <c r="Q339" s="173"/>
      <c r="R339" s="173"/>
      <c r="S339" s="173"/>
      <c r="T339" s="173"/>
      <c r="U339" s="173"/>
      <c r="V339" s="170"/>
      <c r="W339" s="170"/>
      <c r="X339" s="174"/>
      <c r="Y339" s="174"/>
      <c r="Z339" s="174"/>
      <c r="AA339" s="174"/>
      <c r="AB339" s="174"/>
      <c r="AC339" s="174"/>
      <c r="AD339" s="174"/>
      <c r="AE339" s="174"/>
      <c r="AF339" s="174"/>
      <c r="AG339" s="174"/>
      <c r="AH339" s="174"/>
    </row>
    <row r="340" spans="1:34">
      <c r="A340" s="169"/>
      <c r="B340" s="169"/>
      <c r="C340" s="169"/>
      <c r="D340" s="169"/>
      <c r="E340" s="170"/>
      <c r="F340" s="170"/>
      <c r="G340" s="170"/>
      <c r="H340" s="171"/>
      <c r="I340" s="171"/>
      <c r="J340" s="172"/>
      <c r="K340" s="171"/>
      <c r="L340" s="172"/>
      <c r="M340" s="172"/>
      <c r="N340" s="170"/>
      <c r="O340" s="173"/>
      <c r="P340" s="173"/>
      <c r="Q340" s="173"/>
      <c r="R340" s="173"/>
      <c r="S340" s="173"/>
      <c r="T340" s="173"/>
      <c r="U340" s="173"/>
      <c r="V340" s="170"/>
      <c r="W340" s="170"/>
      <c r="X340" s="174"/>
      <c r="Y340" s="174"/>
      <c r="Z340" s="174"/>
      <c r="AA340" s="174"/>
      <c r="AB340" s="174"/>
      <c r="AC340" s="174"/>
      <c r="AD340" s="174"/>
      <c r="AE340" s="174"/>
      <c r="AF340" s="174"/>
      <c r="AG340" s="174"/>
      <c r="AH340" s="174"/>
    </row>
    <row r="341" spans="1:34">
      <c r="A341" s="169"/>
      <c r="B341" s="169"/>
      <c r="C341" s="169"/>
      <c r="D341" s="169"/>
      <c r="E341" s="170"/>
      <c r="F341" s="170"/>
      <c r="G341" s="170"/>
      <c r="H341" s="171"/>
      <c r="I341" s="171"/>
      <c r="J341" s="172"/>
      <c r="K341" s="171"/>
      <c r="L341" s="172"/>
      <c r="M341" s="172"/>
      <c r="N341" s="170"/>
      <c r="O341" s="173"/>
      <c r="P341" s="173"/>
      <c r="Q341" s="173"/>
      <c r="R341" s="173"/>
      <c r="S341" s="173"/>
      <c r="T341" s="173"/>
      <c r="U341" s="173"/>
      <c r="V341" s="170"/>
      <c r="W341" s="170"/>
      <c r="X341" s="174"/>
      <c r="Y341" s="174"/>
      <c r="Z341" s="174"/>
      <c r="AA341" s="174"/>
      <c r="AB341" s="174"/>
      <c r="AC341" s="174"/>
      <c r="AD341" s="174"/>
      <c r="AE341" s="174"/>
      <c r="AF341" s="174"/>
      <c r="AG341" s="174"/>
      <c r="AH341" s="174"/>
    </row>
    <row r="342" spans="1:34">
      <c r="A342" s="169"/>
      <c r="B342" s="169"/>
      <c r="C342" s="169"/>
      <c r="D342" s="169"/>
      <c r="E342" s="170"/>
      <c r="F342" s="170"/>
      <c r="G342" s="170"/>
      <c r="H342" s="171"/>
      <c r="I342" s="171"/>
      <c r="J342" s="172"/>
      <c r="K342" s="171"/>
      <c r="L342" s="172"/>
      <c r="M342" s="172"/>
      <c r="N342" s="170"/>
      <c r="O342" s="173"/>
      <c r="P342" s="173"/>
      <c r="Q342" s="173"/>
      <c r="R342" s="173"/>
      <c r="S342" s="173"/>
      <c r="T342" s="173"/>
      <c r="U342" s="173"/>
      <c r="V342" s="170"/>
      <c r="W342" s="170"/>
      <c r="X342" s="174"/>
      <c r="Y342" s="174"/>
      <c r="Z342" s="174"/>
      <c r="AA342" s="174"/>
      <c r="AB342" s="174"/>
      <c r="AC342" s="174"/>
      <c r="AD342" s="174"/>
      <c r="AE342" s="174"/>
      <c r="AF342" s="174"/>
      <c r="AG342" s="174"/>
      <c r="AH342" s="174"/>
    </row>
    <row r="343" spans="1:34">
      <c r="A343" s="169"/>
      <c r="B343" s="169"/>
      <c r="C343" s="169"/>
      <c r="D343" s="169"/>
      <c r="E343" s="170"/>
      <c r="F343" s="170"/>
      <c r="G343" s="170"/>
      <c r="H343" s="171"/>
      <c r="I343" s="171"/>
      <c r="J343" s="172"/>
      <c r="K343" s="171"/>
      <c r="L343" s="172"/>
      <c r="M343" s="172"/>
      <c r="N343" s="170"/>
      <c r="O343" s="173"/>
      <c r="P343" s="173"/>
      <c r="Q343" s="173"/>
      <c r="R343" s="173"/>
      <c r="S343" s="173"/>
      <c r="T343" s="173"/>
      <c r="U343" s="173"/>
      <c r="V343" s="170"/>
      <c r="W343" s="170"/>
      <c r="X343" s="174"/>
      <c r="Y343" s="174"/>
      <c r="Z343" s="174"/>
      <c r="AA343" s="174"/>
      <c r="AB343" s="174"/>
      <c r="AC343" s="174"/>
      <c r="AD343" s="174"/>
      <c r="AE343" s="174"/>
      <c r="AF343" s="174"/>
      <c r="AG343" s="174"/>
      <c r="AH343" s="174"/>
    </row>
    <row r="344" spans="1:34">
      <c r="A344" s="169"/>
      <c r="B344" s="169"/>
      <c r="C344" s="169"/>
      <c r="D344" s="169"/>
      <c r="E344" s="170"/>
      <c r="F344" s="170"/>
      <c r="G344" s="170"/>
      <c r="H344" s="171"/>
      <c r="I344" s="171"/>
      <c r="J344" s="172"/>
      <c r="K344" s="171"/>
      <c r="L344" s="172"/>
      <c r="M344" s="172"/>
      <c r="N344" s="170"/>
      <c r="O344" s="173"/>
      <c r="P344" s="173"/>
      <c r="Q344" s="173"/>
      <c r="R344" s="173"/>
      <c r="S344" s="173"/>
      <c r="T344" s="173"/>
      <c r="U344" s="173"/>
      <c r="V344" s="170"/>
      <c r="W344" s="170"/>
      <c r="X344" s="174"/>
      <c r="Y344" s="174"/>
      <c r="Z344" s="174"/>
      <c r="AA344" s="174"/>
      <c r="AB344" s="174"/>
      <c r="AC344" s="174"/>
      <c r="AD344" s="174"/>
      <c r="AE344" s="174"/>
      <c r="AF344" s="174"/>
      <c r="AG344" s="174"/>
      <c r="AH344" s="174"/>
    </row>
    <row r="345" spans="1:34">
      <c r="A345" s="169"/>
      <c r="B345" s="169"/>
      <c r="C345" s="169"/>
      <c r="D345" s="169"/>
      <c r="E345" s="170"/>
      <c r="F345" s="170"/>
      <c r="G345" s="170"/>
      <c r="H345" s="171"/>
      <c r="I345" s="171"/>
      <c r="J345" s="172"/>
      <c r="K345" s="171"/>
      <c r="L345" s="172"/>
      <c r="M345" s="172"/>
      <c r="N345" s="170"/>
      <c r="O345" s="173"/>
      <c r="P345" s="173"/>
      <c r="Q345" s="173"/>
      <c r="R345" s="173"/>
      <c r="S345" s="173"/>
      <c r="T345" s="173"/>
      <c r="U345" s="173"/>
      <c r="V345" s="170"/>
      <c r="W345" s="170"/>
      <c r="X345" s="174"/>
      <c r="Y345" s="174"/>
      <c r="Z345" s="174"/>
      <c r="AA345" s="174"/>
      <c r="AB345" s="174"/>
      <c r="AC345" s="174"/>
      <c r="AD345" s="174"/>
      <c r="AE345" s="174"/>
      <c r="AF345" s="174"/>
      <c r="AG345" s="174"/>
      <c r="AH345" s="174"/>
    </row>
    <row r="346" spans="1:34">
      <c r="A346" s="169"/>
      <c r="B346" s="169"/>
      <c r="C346" s="169"/>
      <c r="D346" s="169"/>
      <c r="E346" s="170"/>
      <c r="F346" s="170"/>
      <c r="G346" s="170"/>
      <c r="H346" s="171"/>
      <c r="I346" s="171"/>
      <c r="J346" s="172"/>
      <c r="K346" s="171"/>
      <c r="L346" s="172"/>
      <c r="M346" s="172"/>
      <c r="N346" s="170"/>
      <c r="O346" s="173"/>
      <c r="P346" s="173"/>
      <c r="Q346" s="173"/>
      <c r="R346" s="173"/>
      <c r="S346" s="173"/>
      <c r="T346" s="173"/>
      <c r="U346" s="173"/>
      <c r="V346" s="170"/>
      <c r="W346" s="170"/>
      <c r="X346" s="174"/>
      <c r="Y346" s="174"/>
      <c r="Z346" s="174"/>
      <c r="AA346" s="174"/>
      <c r="AB346" s="174"/>
      <c r="AC346" s="174"/>
      <c r="AD346" s="174"/>
      <c r="AE346" s="174"/>
      <c r="AF346" s="174"/>
      <c r="AG346" s="174"/>
      <c r="AH346" s="174"/>
    </row>
    <row r="347" spans="1:34">
      <c r="A347" s="169"/>
      <c r="B347" s="169"/>
      <c r="C347" s="169"/>
      <c r="D347" s="169"/>
      <c r="E347" s="170"/>
      <c r="F347" s="170"/>
      <c r="G347" s="170"/>
      <c r="H347" s="171"/>
      <c r="I347" s="171"/>
      <c r="J347" s="172"/>
      <c r="K347" s="171"/>
      <c r="L347" s="172"/>
      <c r="M347" s="172"/>
      <c r="N347" s="170"/>
      <c r="O347" s="173"/>
      <c r="P347" s="173"/>
      <c r="Q347" s="173"/>
      <c r="R347" s="173"/>
      <c r="S347" s="173"/>
      <c r="T347" s="173"/>
      <c r="U347" s="173"/>
      <c r="V347" s="170"/>
      <c r="W347" s="170"/>
      <c r="X347" s="174"/>
      <c r="Y347" s="174"/>
      <c r="Z347" s="174"/>
      <c r="AA347" s="174"/>
      <c r="AB347" s="174"/>
      <c r="AC347" s="174"/>
      <c r="AD347" s="174"/>
      <c r="AE347" s="174"/>
      <c r="AF347" s="174"/>
      <c r="AG347" s="174"/>
      <c r="AH347" s="174"/>
    </row>
    <row r="348" spans="1:34">
      <c r="A348" s="169"/>
      <c r="B348" s="169"/>
      <c r="C348" s="169"/>
      <c r="D348" s="169"/>
      <c r="E348" s="170"/>
      <c r="F348" s="170"/>
      <c r="G348" s="170"/>
      <c r="H348" s="171"/>
      <c r="I348" s="171"/>
      <c r="J348" s="172"/>
      <c r="K348" s="171"/>
      <c r="L348" s="172"/>
      <c r="M348" s="172"/>
      <c r="N348" s="170"/>
      <c r="O348" s="173"/>
      <c r="P348" s="173"/>
      <c r="Q348" s="173"/>
      <c r="R348" s="173"/>
      <c r="S348" s="173"/>
      <c r="T348" s="173"/>
      <c r="U348" s="173"/>
      <c r="V348" s="170"/>
      <c r="W348" s="170"/>
      <c r="X348" s="174"/>
      <c r="Y348" s="174"/>
      <c r="Z348" s="174"/>
      <c r="AA348" s="174"/>
      <c r="AB348" s="174"/>
      <c r="AC348" s="174"/>
      <c r="AD348" s="174"/>
      <c r="AE348" s="174"/>
      <c r="AF348" s="174"/>
      <c r="AG348" s="174"/>
      <c r="AH348" s="174"/>
    </row>
    <row r="349" spans="1:34">
      <c r="A349" s="169"/>
      <c r="B349" s="169"/>
      <c r="C349" s="169"/>
      <c r="D349" s="169"/>
      <c r="E349" s="170"/>
      <c r="F349" s="170"/>
      <c r="G349" s="170"/>
      <c r="H349" s="171"/>
      <c r="I349" s="171"/>
      <c r="J349" s="172"/>
      <c r="K349" s="171"/>
      <c r="L349" s="172"/>
      <c r="M349" s="172"/>
      <c r="N349" s="170"/>
      <c r="O349" s="173"/>
      <c r="P349" s="173"/>
      <c r="Q349" s="173"/>
      <c r="R349" s="173"/>
      <c r="S349" s="173"/>
      <c r="T349" s="173"/>
      <c r="U349" s="173"/>
      <c r="V349" s="170"/>
      <c r="W349" s="170"/>
      <c r="X349" s="174"/>
      <c r="Y349" s="174"/>
      <c r="Z349" s="174"/>
      <c r="AA349" s="174"/>
      <c r="AB349" s="174"/>
      <c r="AC349" s="174"/>
      <c r="AD349" s="174"/>
      <c r="AE349" s="174"/>
      <c r="AF349" s="174"/>
      <c r="AG349" s="174"/>
      <c r="AH349" s="174"/>
    </row>
    <row r="350" spans="1:34">
      <c r="A350" s="169"/>
      <c r="B350" s="169"/>
      <c r="C350" s="169"/>
      <c r="D350" s="169"/>
      <c r="E350" s="170"/>
      <c r="F350" s="170"/>
      <c r="G350" s="170"/>
      <c r="H350" s="171"/>
      <c r="I350" s="171"/>
      <c r="J350" s="172"/>
      <c r="K350" s="171"/>
      <c r="L350" s="172"/>
      <c r="M350" s="172"/>
      <c r="N350" s="170"/>
      <c r="O350" s="173"/>
      <c r="P350" s="173"/>
      <c r="Q350" s="173"/>
      <c r="R350" s="173"/>
      <c r="S350" s="173"/>
      <c r="T350" s="173"/>
      <c r="U350" s="173"/>
      <c r="V350" s="170"/>
      <c r="W350" s="170"/>
      <c r="X350" s="174"/>
      <c r="Y350" s="174"/>
      <c r="Z350" s="174"/>
      <c r="AA350" s="174"/>
      <c r="AB350" s="174"/>
      <c r="AC350" s="174"/>
      <c r="AD350" s="174"/>
      <c r="AE350" s="174"/>
      <c r="AF350" s="174"/>
      <c r="AG350" s="174"/>
      <c r="AH350" s="174"/>
    </row>
    <row r="351" spans="1:34">
      <c r="A351" s="169"/>
      <c r="B351" s="169"/>
      <c r="C351" s="169"/>
      <c r="D351" s="169"/>
      <c r="E351" s="170"/>
      <c r="F351" s="170"/>
      <c r="G351" s="170"/>
      <c r="H351" s="171"/>
      <c r="I351" s="171"/>
      <c r="J351" s="172"/>
      <c r="K351" s="171"/>
      <c r="L351" s="172"/>
      <c r="M351" s="172"/>
      <c r="N351" s="170"/>
      <c r="O351" s="173"/>
      <c r="P351" s="173"/>
      <c r="Q351" s="173"/>
      <c r="R351" s="173"/>
      <c r="S351" s="173"/>
      <c r="T351" s="173"/>
      <c r="U351" s="173"/>
      <c r="V351" s="170"/>
      <c r="W351" s="170"/>
      <c r="X351" s="174"/>
      <c r="Y351" s="174"/>
      <c r="Z351" s="174"/>
      <c r="AA351" s="174"/>
      <c r="AB351" s="174"/>
      <c r="AC351" s="174"/>
      <c r="AD351" s="174"/>
      <c r="AE351" s="174"/>
      <c r="AF351" s="174"/>
      <c r="AG351" s="174"/>
      <c r="AH351" s="174"/>
    </row>
    <row r="352" spans="1:34">
      <c r="A352" s="169"/>
      <c r="B352" s="169"/>
      <c r="C352" s="169"/>
      <c r="D352" s="169"/>
      <c r="E352" s="170"/>
      <c r="F352" s="170"/>
      <c r="G352" s="170"/>
      <c r="H352" s="171"/>
      <c r="I352" s="171"/>
      <c r="J352" s="172"/>
      <c r="K352" s="171"/>
      <c r="L352" s="172"/>
      <c r="M352" s="172"/>
      <c r="N352" s="170"/>
      <c r="O352" s="173"/>
      <c r="P352" s="173"/>
      <c r="Q352" s="173"/>
      <c r="R352" s="173"/>
      <c r="S352" s="173"/>
      <c r="T352" s="173"/>
      <c r="U352" s="173"/>
      <c r="V352" s="170"/>
      <c r="W352" s="170"/>
      <c r="X352" s="174"/>
      <c r="Y352" s="174"/>
      <c r="Z352" s="174"/>
      <c r="AA352" s="174"/>
      <c r="AB352" s="174"/>
      <c r="AC352" s="174"/>
      <c r="AD352" s="174"/>
      <c r="AE352" s="174"/>
      <c r="AF352" s="174"/>
      <c r="AG352" s="174"/>
      <c r="AH352" s="174"/>
    </row>
    <row r="353" spans="1:34">
      <c r="A353" s="169"/>
      <c r="B353" s="169"/>
      <c r="C353" s="169"/>
      <c r="D353" s="169"/>
      <c r="E353" s="170"/>
      <c r="F353" s="170"/>
      <c r="G353" s="170"/>
      <c r="H353" s="171"/>
      <c r="I353" s="171"/>
      <c r="J353" s="172"/>
      <c r="K353" s="171"/>
      <c r="L353" s="172"/>
      <c r="M353" s="172"/>
      <c r="N353" s="170"/>
      <c r="O353" s="173"/>
      <c r="P353" s="173"/>
      <c r="Q353" s="173"/>
      <c r="R353" s="173"/>
      <c r="S353" s="173"/>
      <c r="T353" s="173"/>
      <c r="U353" s="173"/>
      <c r="V353" s="170"/>
      <c r="W353" s="170"/>
      <c r="X353" s="174"/>
      <c r="Y353" s="174"/>
      <c r="Z353" s="174"/>
      <c r="AA353" s="174"/>
      <c r="AB353" s="174"/>
      <c r="AC353" s="174"/>
      <c r="AD353" s="174"/>
      <c r="AE353" s="174"/>
      <c r="AF353" s="174"/>
      <c r="AG353" s="174"/>
      <c r="AH353" s="174"/>
    </row>
    <row r="354" spans="1:34">
      <c r="A354" s="169"/>
      <c r="B354" s="169"/>
      <c r="C354" s="169"/>
      <c r="D354" s="169"/>
      <c r="E354" s="170"/>
      <c r="F354" s="170"/>
      <c r="G354" s="170"/>
      <c r="H354" s="171"/>
      <c r="I354" s="171"/>
      <c r="J354" s="172"/>
      <c r="K354" s="171"/>
      <c r="L354" s="172"/>
      <c r="M354" s="172"/>
      <c r="N354" s="170"/>
      <c r="O354" s="173"/>
      <c r="P354" s="173"/>
      <c r="Q354" s="173"/>
      <c r="R354" s="173"/>
      <c r="S354" s="173"/>
      <c r="T354" s="173"/>
      <c r="U354" s="173"/>
      <c r="V354" s="170"/>
      <c r="W354" s="170"/>
      <c r="X354" s="174"/>
      <c r="Y354" s="174"/>
      <c r="Z354" s="174"/>
      <c r="AA354" s="174"/>
      <c r="AB354" s="174"/>
      <c r="AC354" s="174"/>
      <c r="AD354" s="174"/>
      <c r="AE354" s="174"/>
      <c r="AF354" s="174"/>
      <c r="AG354" s="174"/>
      <c r="AH354" s="174"/>
    </row>
    <row r="355" spans="1:34">
      <c r="A355" s="169"/>
      <c r="B355" s="169"/>
      <c r="C355" s="169"/>
      <c r="D355" s="169"/>
      <c r="E355" s="170"/>
      <c r="F355" s="170"/>
      <c r="G355" s="170"/>
      <c r="H355" s="171"/>
      <c r="I355" s="171"/>
      <c r="J355" s="172"/>
      <c r="K355" s="171"/>
      <c r="L355" s="172"/>
      <c r="M355" s="172"/>
      <c r="N355" s="170"/>
      <c r="O355" s="173"/>
      <c r="P355" s="173"/>
      <c r="Q355" s="173"/>
      <c r="R355" s="173"/>
      <c r="S355" s="173"/>
      <c r="T355" s="173"/>
      <c r="U355" s="173"/>
      <c r="V355" s="170"/>
      <c r="W355" s="170"/>
      <c r="X355" s="174"/>
      <c r="Y355" s="174"/>
      <c r="Z355" s="174"/>
      <c r="AA355" s="174"/>
      <c r="AB355" s="174"/>
      <c r="AC355" s="174"/>
      <c r="AD355" s="174"/>
      <c r="AE355" s="174"/>
      <c r="AF355" s="174"/>
      <c r="AG355" s="174"/>
      <c r="AH355" s="174"/>
    </row>
    <row r="356" spans="1:34">
      <c r="A356" s="169"/>
      <c r="B356" s="169"/>
      <c r="C356" s="169"/>
      <c r="D356" s="169"/>
      <c r="E356" s="170"/>
      <c r="F356" s="170"/>
      <c r="G356" s="170"/>
      <c r="H356" s="171"/>
      <c r="I356" s="171"/>
      <c r="J356" s="172"/>
      <c r="K356" s="171"/>
      <c r="L356" s="172"/>
      <c r="M356" s="172"/>
      <c r="N356" s="170"/>
      <c r="O356" s="173"/>
      <c r="P356" s="173"/>
      <c r="Q356" s="173"/>
      <c r="R356" s="173"/>
      <c r="S356" s="173"/>
      <c r="T356" s="173"/>
      <c r="U356" s="173"/>
      <c r="V356" s="170"/>
      <c r="W356" s="170"/>
      <c r="X356" s="174"/>
      <c r="Y356" s="174"/>
      <c r="Z356" s="174"/>
      <c r="AA356" s="174"/>
      <c r="AB356" s="174"/>
      <c r="AC356" s="174"/>
      <c r="AD356" s="174"/>
      <c r="AE356" s="174"/>
      <c r="AF356" s="174"/>
      <c r="AG356" s="174"/>
      <c r="AH356" s="174"/>
    </row>
    <row r="357" spans="1:34">
      <c r="A357" s="169"/>
      <c r="B357" s="169"/>
      <c r="C357" s="169"/>
      <c r="D357" s="169"/>
      <c r="E357" s="170"/>
      <c r="F357" s="170"/>
      <c r="G357" s="170"/>
      <c r="H357" s="171"/>
      <c r="I357" s="171"/>
      <c r="J357" s="172"/>
      <c r="K357" s="171"/>
      <c r="L357" s="172"/>
      <c r="M357" s="172"/>
      <c r="N357" s="170"/>
      <c r="O357" s="173"/>
      <c r="P357" s="173"/>
      <c r="Q357" s="173"/>
      <c r="R357" s="173"/>
      <c r="S357" s="173"/>
      <c r="T357" s="173"/>
      <c r="U357" s="173"/>
      <c r="V357" s="170"/>
      <c r="W357" s="170"/>
      <c r="X357" s="174"/>
      <c r="Y357" s="174"/>
      <c r="Z357" s="174"/>
      <c r="AA357" s="174"/>
      <c r="AB357" s="174"/>
      <c r="AC357" s="174"/>
      <c r="AD357" s="174"/>
      <c r="AE357" s="174"/>
      <c r="AF357" s="174"/>
      <c r="AG357" s="174"/>
      <c r="AH357" s="174"/>
    </row>
    <row r="358" spans="1:34">
      <c r="A358" s="169"/>
      <c r="B358" s="169"/>
      <c r="C358" s="169"/>
      <c r="D358" s="169"/>
      <c r="E358" s="170"/>
      <c r="F358" s="170"/>
      <c r="G358" s="170"/>
      <c r="H358" s="171"/>
      <c r="I358" s="171"/>
      <c r="J358" s="172"/>
      <c r="K358" s="171"/>
      <c r="L358" s="172"/>
      <c r="M358" s="172"/>
      <c r="N358" s="170"/>
      <c r="O358" s="173"/>
      <c r="P358" s="173"/>
      <c r="Q358" s="173"/>
      <c r="R358" s="173"/>
      <c r="S358" s="173"/>
      <c r="T358" s="173"/>
      <c r="U358" s="173"/>
      <c r="V358" s="170"/>
      <c r="W358" s="170"/>
      <c r="X358" s="174"/>
      <c r="Y358" s="174"/>
      <c r="Z358" s="174"/>
      <c r="AA358" s="174"/>
      <c r="AB358" s="174"/>
      <c r="AC358" s="174"/>
      <c r="AD358" s="174"/>
      <c r="AE358" s="174"/>
      <c r="AF358" s="174"/>
      <c r="AG358" s="174"/>
      <c r="AH358" s="174"/>
    </row>
    <row r="359" spans="1:34">
      <c r="A359" s="169"/>
      <c r="B359" s="169"/>
      <c r="C359" s="169"/>
      <c r="D359" s="169"/>
      <c r="E359" s="170"/>
      <c r="F359" s="170"/>
      <c r="G359" s="170"/>
      <c r="H359" s="171"/>
      <c r="I359" s="171"/>
      <c r="J359" s="172"/>
      <c r="K359" s="171"/>
      <c r="L359" s="172"/>
      <c r="M359" s="172"/>
      <c r="N359" s="170"/>
      <c r="O359" s="173"/>
      <c r="P359" s="173"/>
      <c r="Q359" s="173"/>
      <c r="R359" s="173"/>
      <c r="S359" s="173"/>
      <c r="T359" s="173"/>
      <c r="U359" s="173"/>
      <c r="V359" s="170"/>
      <c r="W359" s="170"/>
      <c r="X359" s="174"/>
      <c r="Y359" s="174"/>
      <c r="Z359" s="174"/>
      <c r="AA359" s="174"/>
      <c r="AB359" s="174"/>
      <c r="AC359" s="174"/>
      <c r="AD359" s="174"/>
      <c r="AE359" s="174"/>
      <c r="AF359" s="174"/>
      <c r="AG359" s="174"/>
      <c r="AH359" s="174"/>
    </row>
    <row r="360" spans="1:34">
      <c r="A360" s="169"/>
      <c r="B360" s="169"/>
      <c r="C360" s="169"/>
      <c r="D360" s="169"/>
      <c r="E360" s="170"/>
      <c r="F360" s="170"/>
      <c r="G360" s="170"/>
      <c r="H360" s="171"/>
      <c r="I360" s="171"/>
      <c r="J360" s="172"/>
      <c r="K360" s="171"/>
      <c r="L360" s="172"/>
      <c r="M360" s="172"/>
      <c r="N360" s="170"/>
      <c r="O360" s="173"/>
      <c r="P360" s="173"/>
      <c r="Q360" s="173"/>
      <c r="R360" s="173"/>
      <c r="S360" s="173"/>
      <c r="T360" s="173"/>
      <c r="U360" s="173"/>
      <c r="V360" s="170"/>
      <c r="W360" s="170"/>
      <c r="X360" s="174"/>
      <c r="Y360" s="174"/>
      <c r="Z360" s="174"/>
      <c r="AA360" s="174"/>
      <c r="AB360" s="174"/>
      <c r="AC360" s="174"/>
      <c r="AD360" s="174"/>
      <c r="AE360" s="174"/>
      <c r="AF360" s="174"/>
      <c r="AG360" s="174"/>
      <c r="AH360" s="174"/>
    </row>
    <row r="361" spans="1:34">
      <c r="A361" s="169"/>
      <c r="B361" s="169"/>
      <c r="C361" s="169"/>
      <c r="D361" s="169"/>
      <c r="E361" s="170"/>
      <c r="F361" s="170"/>
      <c r="G361" s="170"/>
      <c r="H361" s="171"/>
      <c r="I361" s="171"/>
      <c r="J361" s="172"/>
      <c r="K361" s="171"/>
      <c r="L361" s="172"/>
      <c r="M361" s="172"/>
      <c r="N361" s="170"/>
      <c r="O361" s="173"/>
      <c r="P361" s="173"/>
      <c r="Q361" s="173"/>
      <c r="R361" s="173"/>
      <c r="S361" s="173"/>
      <c r="T361" s="173"/>
      <c r="U361" s="173"/>
      <c r="V361" s="170"/>
      <c r="W361" s="170"/>
      <c r="X361" s="174"/>
      <c r="Y361" s="174"/>
      <c r="Z361" s="174"/>
      <c r="AA361" s="174"/>
      <c r="AB361" s="174"/>
      <c r="AC361" s="174"/>
      <c r="AD361" s="174"/>
      <c r="AE361" s="174"/>
      <c r="AF361" s="174"/>
      <c r="AG361" s="174"/>
      <c r="AH361" s="174"/>
    </row>
    <row r="362" spans="1:34">
      <c r="A362" s="169"/>
      <c r="B362" s="169"/>
      <c r="C362" s="169"/>
      <c r="D362" s="169"/>
      <c r="E362" s="170"/>
      <c r="F362" s="170"/>
      <c r="G362" s="170"/>
      <c r="H362" s="171"/>
      <c r="I362" s="171"/>
      <c r="J362" s="172"/>
      <c r="K362" s="171"/>
      <c r="L362" s="172"/>
      <c r="M362" s="172"/>
      <c r="N362" s="170"/>
      <c r="O362" s="173"/>
      <c r="P362" s="173"/>
      <c r="Q362" s="173"/>
      <c r="R362" s="173"/>
      <c r="S362" s="173"/>
      <c r="T362" s="173"/>
      <c r="U362" s="173"/>
      <c r="V362" s="170"/>
      <c r="W362" s="170"/>
      <c r="X362" s="174"/>
      <c r="Y362" s="174"/>
      <c r="Z362" s="174"/>
      <c r="AA362" s="174"/>
      <c r="AB362" s="174"/>
      <c r="AC362" s="174"/>
      <c r="AD362" s="174"/>
      <c r="AE362" s="174"/>
      <c r="AF362" s="174"/>
      <c r="AG362" s="174"/>
      <c r="AH362" s="174"/>
    </row>
    <row r="363" spans="1:34">
      <c r="A363" s="169"/>
      <c r="B363" s="169"/>
      <c r="C363" s="169"/>
      <c r="D363" s="169"/>
      <c r="E363" s="170"/>
      <c r="F363" s="170"/>
      <c r="G363" s="170"/>
      <c r="H363" s="171"/>
      <c r="I363" s="171"/>
      <c r="J363" s="172"/>
      <c r="K363" s="171"/>
      <c r="L363" s="172"/>
      <c r="M363" s="172"/>
      <c r="N363" s="170"/>
      <c r="O363" s="173"/>
      <c r="P363" s="173"/>
      <c r="Q363" s="173"/>
      <c r="R363" s="173"/>
      <c r="S363" s="173"/>
      <c r="T363" s="173"/>
      <c r="U363" s="173"/>
      <c r="V363" s="170"/>
      <c r="W363" s="170"/>
      <c r="X363" s="174"/>
      <c r="Y363" s="174"/>
      <c r="Z363" s="174"/>
      <c r="AA363" s="174"/>
      <c r="AB363" s="174"/>
      <c r="AC363" s="174"/>
      <c r="AD363" s="174"/>
      <c r="AE363" s="174"/>
      <c r="AF363" s="174"/>
      <c r="AG363" s="174"/>
      <c r="AH363" s="174"/>
    </row>
    <row r="364" spans="1:34">
      <c r="A364" s="169"/>
      <c r="B364" s="169"/>
      <c r="C364" s="169"/>
      <c r="D364" s="169"/>
      <c r="E364" s="170"/>
      <c r="F364" s="170"/>
      <c r="G364" s="170"/>
      <c r="H364" s="171"/>
      <c r="I364" s="171"/>
      <c r="J364" s="172"/>
      <c r="K364" s="171"/>
      <c r="L364" s="172"/>
      <c r="M364" s="172"/>
      <c r="N364" s="170"/>
      <c r="O364" s="173"/>
      <c r="P364" s="173"/>
      <c r="Q364" s="173"/>
      <c r="R364" s="173"/>
      <c r="S364" s="173"/>
      <c r="T364" s="173"/>
      <c r="U364" s="173"/>
      <c r="V364" s="170"/>
      <c r="W364" s="170"/>
      <c r="X364" s="174"/>
      <c r="Y364" s="174"/>
      <c r="Z364" s="174"/>
      <c r="AA364" s="174"/>
      <c r="AB364" s="174"/>
      <c r="AC364" s="174"/>
      <c r="AD364" s="174"/>
      <c r="AE364" s="174"/>
      <c r="AF364" s="174"/>
      <c r="AG364" s="174"/>
      <c r="AH364" s="174"/>
    </row>
    <row r="365" spans="1:34">
      <c r="A365" s="169"/>
      <c r="B365" s="169"/>
      <c r="C365" s="169"/>
      <c r="D365" s="169"/>
      <c r="E365" s="170"/>
      <c r="F365" s="170"/>
      <c r="G365" s="170"/>
      <c r="H365" s="171"/>
      <c r="I365" s="171"/>
      <c r="J365" s="172"/>
      <c r="K365" s="171"/>
      <c r="L365" s="172"/>
      <c r="M365" s="172"/>
      <c r="N365" s="170"/>
      <c r="O365" s="173"/>
      <c r="P365" s="173"/>
      <c r="Q365" s="173"/>
      <c r="R365" s="173"/>
      <c r="S365" s="173"/>
      <c r="T365" s="173"/>
      <c r="U365" s="173"/>
      <c r="V365" s="170"/>
      <c r="W365" s="170"/>
      <c r="X365" s="174"/>
      <c r="Y365" s="174"/>
      <c r="Z365" s="174"/>
      <c r="AA365" s="174"/>
      <c r="AB365" s="174"/>
      <c r="AC365" s="174"/>
      <c r="AD365" s="174"/>
      <c r="AE365" s="174"/>
      <c r="AF365" s="174"/>
      <c r="AG365" s="174"/>
      <c r="AH365" s="174"/>
    </row>
    <row r="366" spans="1:34">
      <c r="A366" s="169"/>
      <c r="B366" s="169"/>
      <c r="C366" s="169"/>
      <c r="D366" s="169"/>
      <c r="E366" s="170"/>
      <c r="F366" s="170"/>
      <c r="G366" s="170"/>
      <c r="H366" s="171"/>
      <c r="I366" s="171"/>
      <c r="J366" s="172"/>
      <c r="K366" s="171"/>
      <c r="L366" s="172"/>
      <c r="M366" s="172"/>
      <c r="N366" s="170"/>
      <c r="O366" s="173"/>
      <c r="P366" s="173"/>
      <c r="Q366" s="173"/>
      <c r="R366" s="173"/>
      <c r="S366" s="173"/>
      <c r="T366" s="173"/>
      <c r="U366" s="173"/>
      <c r="V366" s="170"/>
      <c r="W366" s="170"/>
      <c r="X366" s="174"/>
      <c r="Y366" s="174"/>
      <c r="Z366" s="174"/>
      <c r="AA366" s="174"/>
      <c r="AB366" s="174"/>
      <c r="AC366" s="174"/>
      <c r="AD366" s="174"/>
      <c r="AE366" s="174"/>
      <c r="AF366" s="174"/>
      <c r="AG366" s="174"/>
      <c r="AH366" s="174"/>
    </row>
    <row r="367" spans="1:34">
      <c r="A367" s="169"/>
      <c r="B367" s="169"/>
      <c r="C367" s="169"/>
      <c r="D367" s="169"/>
      <c r="E367" s="170"/>
      <c r="F367" s="170"/>
      <c r="G367" s="170"/>
      <c r="H367" s="171"/>
      <c r="I367" s="171"/>
      <c r="J367" s="172"/>
      <c r="K367" s="171"/>
      <c r="L367" s="172"/>
      <c r="M367" s="172"/>
      <c r="N367" s="170"/>
      <c r="O367" s="173"/>
      <c r="P367" s="173"/>
      <c r="Q367" s="173"/>
      <c r="R367" s="173"/>
      <c r="S367" s="173"/>
      <c r="T367" s="173"/>
      <c r="U367" s="173"/>
      <c r="V367" s="170"/>
      <c r="W367" s="170"/>
      <c r="X367" s="174"/>
      <c r="Y367" s="174"/>
      <c r="Z367" s="174"/>
      <c r="AA367" s="174"/>
      <c r="AB367" s="174"/>
      <c r="AC367" s="174"/>
      <c r="AD367" s="174"/>
      <c r="AE367" s="174"/>
      <c r="AF367" s="174"/>
      <c r="AG367" s="174"/>
      <c r="AH367" s="174"/>
    </row>
    <row r="368" spans="1:34">
      <c r="A368" s="169"/>
      <c r="B368" s="169"/>
      <c r="C368" s="169"/>
      <c r="D368" s="169"/>
      <c r="E368" s="170"/>
      <c r="F368" s="170"/>
      <c r="G368" s="170"/>
      <c r="H368" s="171"/>
      <c r="I368" s="171"/>
      <c r="J368" s="172"/>
      <c r="K368" s="171"/>
      <c r="L368" s="172"/>
      <c r="M368" s="172"/>
      <c r="N368" s="170"/>
      <c r="O368" s="173"/>
      <c r="P368" s="173"/>
      <c r="Q368" s="173"/>
      <c r="R368" s="173"/>
      <c r="S368" s="173"/>
      <c r="T368" s="173"/>
      <c r="U368" s="173"/>
      <c r="V368" s="170"/>
      <c r="W368" s="170"/>
      <c r="X368" s="174"/>
      <c r="Y368" s="174"/>
      <c r="Z368" s="174"/>
      <c r="AA368" s="174"/>
      <c r="AB368" s="174"/>
      <c r="AC368" s="174"/>
      <c r="AD368" s="174"/>
      <c r="AE368" s="174"/>
      <c r="AF368" s="174"/>
      <c r="AG368" s="174"/>
      <c r="AH368" s="174"/>
    </row>
    <row r="369" spans="1:34">
      <c r="A369" s="169"/>
      <c r="B369" s="169"/>
      <c r="C369" s="169"/>
      <c r="D369" s="169"/>
      <c r="E369" s="170"/>
      <c r="F369" s="170"/>
      <c r="G369" s="170"/>
      <c r="H369" s="171"/>
      <c r="I369" s="171"/>
      <c r="J369" s="172"/>
      <c r="K369" s="171"/>
      <c r="L369" s="172"/>
      <c r="M369" s="172"/>
      <c r="N369" s="170"/>
      <c r="O369" s="173"/>
      <c r="P369" s="173"/>
      <c r="Q369" s="173"/>
      <c r="R369" s="173"/>
      <c r="S369" s="173"/>
      <c r="T369" s="173"/>
      <c r="U369" s="173"/>
      <c r="V369" s="170"/>
      <c r="W369" s="170"/>
      <c r="X369" s="174"/>
      <c r="Y369" s="174"/>
      <c r="Z369" s="174"/>
      <c r="AA369" s="174"/>
      <c r="AB369" s="174"/>
      <c r="AC369" s="174"/>
      <c r="AD369" s="174"/>
      <c r="AE369" s="174"/>
      <c r="AF369" s="174"/>
      <c r="AG369" s="174"/>
      <c r="AH369" s="174"/>
    </row>
    <row r="370" spans="1:34">
      <c r="A370" s="169"/>
      <c r="B370" s="169"/>
      <c r="C370" s="169"/>
      <c r="D370" s="169"/>
      <c r="E370" s="170"/>
      <c r="F370" s="170"/>
      <c r="G370" s="170"/>
      <c r="H370" s="171"/>
      <c r="I370" s="171"/>
      <c r="J370" s="172"/>
      <c r="K370" s="171"/>
      <c r="L370" s="172"/>
      <c r="M370" s="172"/>
      <c r="N370" s="170"/>
      <c r="O370" s="173"/>
      <c r="P370" s="173"/>
      <c r="Q370" s="173"/>
      <c r="R370" s="173"/>
      <c r="S370" s="173"/>
      <c r="T370" s="173"/>
      <c r="U370" s="173"/>
      <c r="V370" s="170"/>
      <c r="W370" s="170"/>
      <c r="X370" s="174"/>
      <c r="Y370" s="174"/>
      <c r="Z370" s="174"/>
      <c r="AA370" s="174"/>
      <c r="AB370" s="174"/>
      <c r="AC370" s="174"/>
      <c r="AD370" s="174"/>
      <c r="AE370" s="174"/>
      <c r="AF370" s="174"/>
      <c r="AG370" s="174"/>
      <c r="AH370" s="174"/>
    </row>
    <row r="371" spans="1:34">
      <c r="A371" s="169"/>
      <c r="B371" s="169"/>
      <c r="C371" s="169"/>
      <c r="D371" s="169"/>
      <c r="E371" s="170"/>
      <c r="F371" s="170"/>
      <c r="G371" s="170"/>
      <c r="H371" s="171"/>
      <c r="I371" s="171"/>
      <c r="J371" s="172"/>
      <c r="K371" s="171"/>
      <c r="L371" s="172"/>
      <c r="M371" s="172"/>
      <c r="N371" s="170"/>
      <c r="O371" s="173"/>
      <c r="P371" s="173"/>
      <c r="Q371" s="173"/>
      <c r="R371" s="173"/>
      <c r="S371" s="173"/>
      <c r="T371" s="173"/>
      <c r="U371" s="173"/>
      <c r="V371" s="170"/>
      <c r="W371" s="170"/>
      <c r="X371" s="174"/>
      <c r="Y371" s="174"/>
      <c r="Z371" s="174"/>
      <c r="AA371" s="174"/>
      <c r="AB371" s="174"/>
      <c r="AC371" s="174"/>
      <c r="AD371" s="174"/>
      <c r="AE371" s="174"/>
      <c r="AF371" s="174"/>
      <c r="AG371" s="174"/>
      <c r="AH371" s="174"/>
    </row>
    <row r="372" spans="1:34">
      <c r="A372" s="169"/>
      <c r="B372" s="169"/>
      <c r="C372" s="169"/>
      <c r="D372" s="169"/>
      <c r="E372" s="170"/>
      <c r="F372" s="170"/>
      <c r="G372" s="170"/>
      <c r="H372" s="171"/>
      <c r="I372" s="171"/>
      <c r="J372" s="172"/>
      <c r="K372" s="171"/>
      <c r="L372" s="172"/>
      <c r="M372" s="172"/>
      <c r="N372" s="170"/>
      <c r="O372" s="173"/>
      <c r="P372" s="173"/>
      <c r="Q372" s="173"/>
      <c r="R372" s="173"/>
      <c r="S372" s="173"/>
      <c r="T372" s="173"/>
      <c r="U372" s="173"/>
      <c r="V372" s="170"/>
      <c r="W372" s="170"/>
      <c r="X372" s="174"/>
      <c r="Y372" s="174"/>
      <c r="Z372" s="174"/>
      <c r="AA372" s="174"/>
      <c r="AB372" s="174"/>
      <c r="AC372" s="174"/>
      <c r="AD372" s="174"/>
      <c r="AE372" s="174"/>
      <c r="AF372" s="174"/>
      <c r="AG372" s="174"/>
      <c r="AH372" s="174"/>
    </row>
    <row r="373" spans="1:34">
      <c r="A373" s="169"/>
      <c r="B373" s="169"/>
      <c r="C373" s="169"/>
      <c r="D373" s="169"/>
      <c r="E373" s="170"/>
      <c r="F373" s="170"/>
      <c r="G373" s="170"/>
      <c r="H373" s="171"/>
      <c r="I373" s="171"/>
      <c r="J373" s="172"/>
      <c r="K373" s="171"/>
      <c r="L373" s="172"/>
      <c r="M373" s="172"/>
      <c r="N373" s="170"/>
      <c r="O373" s="173"/>
      <c r="P373" s="173"/>
      <c r="Q373" s="173"/>
      <c r="R373" s="173"/>
      <c r="S373" s="173"/>
      <c r="T373" s="173"/>
      <c r="U373" s="173"/>
      <c r="V373" s="170"/>
      <c r="W373" s="170"/>
      <c r="X373" s="174"/>
      <c r="Y373" s="174"/>
      <c r="Z373" s="174"/>
      <c r="AA373" s="174"/>
      <c r="AB373" s="174"/>
      <c r="AC373" s="174"/>
      <c r="AD373" s="174"/>
      <c r="AE373" s="174"/>
      <c r="AF373" s="174"/>
      <c r="AG373" s="174"/>
      <c r="AH373" s="174"/>
    </row>
    <row r="374" spans="1:34">
      <c r="A374" s="169"/>
      <c r="B374" s="169"/>
      <c r="C374" s="169"/>
      <c r="D374" s="169"/>
      <c r="E374" s="170"/>
      <c r="F374" s="170"/>
      <c r="G374" s="170"/>
      <c r="H374" s="171"/>
      <c r="I374" s="171"/>
      <c r="J374" s="172"/>
      <c r="K374" s="171"/>
      <c r="L374" s="172"/>
      <c r="M374" s="172"/>
      <c r="N374" s="170"/>
      <c r="O374" s="173"/>
      <c r="P374" s="173"/>
      <c r="Q374" s="173"/>
      <c r="R374" s="173"/>
      <c r="S374" s="173"/>
      <c r="T374" s="173"/>
      <c r="U374" s="173"/>
      <c r="V374" s="170"/>
      <c r="W374" s="170"/>
      <c r="X374" s="174"/>
      <c r="Y374" s="174"/>
      <c r="Z374" s="174"/>
      <c r="AA374" s="174"/>
      <c r="AB374" s="174"/>
      <c r="AC374" s="174"/>
      <c r="AD374" s="174"/>
      <c r="AE374" s="174"/>
      <c r="AF374" s="174"/>
      <c r="AG374" s="174"/>
      <c r="AH374" s="174"/>
    </row>
    <row r="375" spans="1:34">
      <c r="A375" s="169"/>
      <c r="B375" s="169"/>
      <c r="C375" s="169"/>
      <c r="D375" s="169"/>
      <c r="E375" s="170"/>
      <c r="F375" s="170"/>
      <c r="G375" s="170"/>
      <c r="H375" s="171"/>
      <c r="I375" s="171"/>
      <c r="J375" s="172"/>
      <c r="K375" s="171"/>
      <c r="L375" s="172"/>
      <c r="M375" s="172"/>
      <c r="N375" s="170"/>
      <c r="O375" s="173"/>
      <c r="P375" s="173"/>
      <c r="Q375" s="173"/>
      <c r="R375" s="173"/>
      <c r="S375" s="173"/>
      <c r="T375" s="173"/>
      <c r="U375" s="173"/>
      <c r="V375" s="170"/>
      <c r="W375" s="170"/>
      <c r="X375" s="174"/>
      <c r="Y375" s="174"/>
      <c r="Z375" s="174"/>
      <c r="AA375" s="174"/>
      <c r="AB375" s="174"/>
      <c r="AC375" s="174"/>
      <c r="AD375" s="174"/>
      <c r="AE375" s="174"/>
      <c r="AF375" s="174"/>
      <c r="AG375" s="174"/>
      <c r="AH375" s="174"/>
    </row>
    <row r="376" spans="1:34">
      <c r="A376" s="169"/>
      <c r="B376" s="169"/>
      <c r="C376" s="169"/>
      <c r="D376" s="169"/>
      <c r="E376" s="170"/>
      <c r="F376" s="170"/>
      <c r="G376" s="170"/>
      <c r="H376" s="171"/>
      <c r="I376" s="171"/>
      <c r="J376" s="172"/>
      <c r="K376" s="171"/>
      <c r="L376" s="172"/>
      <c r="M376" s="172"/>
      <c r="N376" s="170"/>
      <c r="O376" s="173"/>
      <c r="P376" s="173"/>
      <c r="Q376" s="173"/>
      <c r="R376" s="173"/>
      <c r="S376" s="173"/>
      <c r="T376" s="173"/>
      <c r="U376" s="173"/>
      <c r="V376" s="170"/>
      <c r="W376" s="170"/>
      <c r="X376" s="174"/>
      <c r="Y376" s="174"/>
      <c r="Z376" s="174"/>
      <c r="AA376" s="174"/>
      <c r="AB376" s="174"/>
      <c r="AC376" s="174"/>
      <c r="AD376" s="174"/>
      <c r="AE376" s="174"/>
      <c r="AF376" s="174"/>
      <c r="AG376" s="174"/>
      <c r="AH376" s="174"/>
    </row>
    <row r="377" spans="1:34">
      <c r="A377" s="169"/>
      <c r="B377" s="169"/>
      <c r="C377" s="169"/>
      <c r="D377" s="169"/>
      <c r="E377" s="170"/>
      <c r="F377" s="170"/>
      <c r="G377" s="170"/>
      <c r="H377" s="171"/>
      <c r="I377" s="171"/>
      <c r="J377" s="172"/>
      <c r="K377" s="171"/>
      <c r="L377" s="172"/>
      <c r="M377" s="172"/>
      <c r="N377" s="170"/>
      <c r="O377" s="173"/>
      <c r="P377" s="173"/>
      <c r="Q377" s="173"/>
      <c r="R377" s="173"/>
      <c r="S377" s="173"/>
      <c r="T377" s="173"/>
      <c r="U377" s="173"/>
      <c r="V377" s="170"/>
      <c r="W377" s="170"/>
      <c r="X377" s="174"/>
      <c r="Y377" s="174"/>
      <c r="Z377" s="174"/>
      <c r="AA377" s="174"/>
      <c r="AB377" s="174"/>
      <c r="AC377" s="174"/>
      <c r="AD377" s="174"/>
      <c r="AE377" s="174"/>
      <c r="AF377" s="174"/>
      <c r="AG377" s="174"/>
      <c r="AH377" s="174"/>
    </row>
    <row r="378" spans="1:34">
      <c r="A378" s="169"/>
      <c r="B378" s="169"/>
      <c r="C378" s="169"/>
      <c r="D378" s="169"/>
      <c r="E378" s="170"/>
      <c r="F378" s="170"/>
      <c r="G378" s="170"/>
      <c r="H378" s="171"/>
      <c r="I378" s="171"/>
      <c r="J378" s="172"/>
      <c r="K378" s="171"/>
      <c r="L378" s="172"/>
      <c r="M378" s="172"/>
      <c r="N378" s="170"/>
      <c r="O378" s="173"/>
      <c r="P378" s="173"/>
      <c r="Q378" s="173"/>
      <c r="R378" s="173"/>
      <c r="S378" s="173"/>
      <c r="T378" s="173"/>
      <c r="U378" s="173"/>
      <c r="V378" s="170"/>
      <c r="W378" s="170"/>
      <c r="X378" s="174"/>
      <c r="Y378" s="174"/>
      <c r="Z378" s="174"/>
      <c r="AA378" s="174"/>
      <c r="AB378" s="174"/>
      <c r="AC378" s="174"/>
      <c r="AD378" s="174"/>
      <c r="AE378" s="174"/>
      <c r="AF378" s="174"/>
      <c r="AG378" s="174"/>
      <c r="AH378" s="174"/>
    </row>
    <row r="379" spans="1:34">
      <c r="A379" s="169"/>
      <c r="B379" s="169"/>
      <c r="C379" s="169"/>
      <c r="D379" s="169"/>
      <c r="E379" s="170"/>
      <c r="F379" s="170"/>
      <c r="G379" s="170"/>
      <c r="H379" s="171"/>
      <c r="I379" s="171"/>
      <c r="J379" s="172"/>
      <c r="K379" s="171"/>
      <c r="L379" s="172"/>
      <c r="M379" s="172"/>
      <c r="N379" s="170"/>
      <c r="O379" s="173"/>
      <c r="P379" s="173"/>
      <c r="Q379" s="173"/>
      <c r="R379" s="173"/>
      <c r="S379" s="173"/>
      <c r="T379" s="173"/>
      <c r="U379" s="173"/>
      <c r="V379" s="170"/>
      <c r="W379" s="170"/>
      <c r="X379" s="174"/>
      <c r="Y379" s="174"/>
      <c r="Z379" s="174"/>
      <c r="AA379" s="174"/>
      <c r="AB379" s="174"/>
      <c r="AC379" s="174"/>
      <c r="AD379" s="174"/>
      <c r="AE379" s="174"/>
      <c r="AF379" s="174"/>
      <c r="AG379" s="174"/>
      <c r="AH379" s="174"/>
    </row>
    <row r="380" spans="1:34">
      <c r="A380" s="169"/>
      <c r="B380" s="169"/>
      <c r="C380" s="169"/>
      <c r="D380" s="169"/>
      <c r="E380" s="170"/>
      <c r="F380" s="170"/>
      <c r="G380" s="170"/>
      <c r="H380" s="171"/>
      <c r="I380" s="171"/>
      <c r="J380" s="172"/>
      <c r="K380" s="171"/>
      <c r="L380" s="172"/>
      <c r="M380" s="172"/>
      <c r="N380" s="170"/>
      <c r="O380" s="173"/>
      <c r="P380" s="173"/>
      <c r="Q380" s="173"/>
      <c r="R380" s="173"/>
      <c r="S380" s="173"/>
      <c r="T380" s="173"/>
      <c r="U380" s="173"/>
      <c r="V380" s="170"/>
      <c r="W380" s="170"/>
      <c r="X380" s="174"/>
      <c r="Y380" s="174"/>
      <c r="Z380" s="174"/>
      <c r="AA380" s="174"/>
      <c r="AB380" s="174"/>
      <c r="AC380" s="174"/>
      <c r="AD380" s="174"/>
      <c r="AE380" s="174"/>
      <c r="AF380" s="174"/>
      <c r="AG380" s="174"/>
      <c r="AH380" s="174"/>
    </row>
    <row r="381" spans="1:34">
      <c r="A381" s="169"/>
      <c r="B381" s="169"/>
      <c r="C381" s="169"/>
      <c r="D381" s="169"/>
      <c r="E381" s="170"/>
      <c r="F381" s="170"/>
      <c r="G381" s="170"/>
      <c r="H381" s="171"/>
      <c r="I381" s="171"/>
      <c r="J381" s="172"/>
      <c r="K381" s="171"/>
      <c r="L381" s="172"/>
      <c r="M381" s="172"/>
      <c r="N381" s="170"/>
      <c r="O381" s="173"/>
      <c r="P381" s="173"/>
      <c r="Q381" s="173"/>
      <c r="R381" s="173"/>
      <c r="S381" s="173"/>
      <c r="T381" s="173"/>
      <c r="U381" s="173"/>
      <c r="V381" s="170"/>
      <c r="W381" s="170"/>
      <c r="X381" s="174"/>
      <c r="Y381" s="174"/>
      <c r="Z381" s="174"/>
      <c r="AA381" s="174"/>
      <c r="AB381" s="174"/>
      <c r="AC381" s="174"/>
      <c r="AD381" s="174"/>
      <c r="AE381" s="174"/>
      <c r="AF381" s="174"/>
      <c r="AG381" s="174"/>
      <c r="AH381" s="174"/>
    </row>
    <row r="382" spans="1:34">
      <c r="A382" s="169"/>
      <c r="B382" s="169"/>
      <c r="C382" s="169"/>
      <c r="D382" s="169"/>
      <c r="E382" s="170"/>
      <c r="F382" s="170"/>
      <c r="G382" s="170"/>
      <c r="H382" s="171"/>
      <c r="I382" s="171"/>
      <c r="J382" s="172"/>
      <c r="K382" s="171"/>
      <c r="L382" s="172"/>
      <c r="M382" s="172"/>
      <c r="N382" s="170"/>
      <c r="O382" s="173"/>
      <c r="P382" s="173"/>
      <c r="Q382" s="173"/>
      <c r="R382" s="173"/>
      <c r="S382" s="173"/>
      <c r="T382" s="173"/>
      <c r="U382" s="173"/>
      <c r="V382" s="170"/>
      <c r="W382" s="170"/>
      <c r="X382" s="174"/>
      <c r="Y382" s="174"/>
      <c r="Z382" s="174"/>
      <c r="AA382" s="174"/>
      <c r="AB382" s="174"/>
      <c r="AC382" s="174"/>
      <c r="AD382" s="174"/>
      <c r="AE382" s="174"/>
      <c r="AF382" s="174"/>
      <c r="AG382" s="174"/>
      <c r="AH382" s="174"/>
    </row>
    <row r="383" spans="1:34">
      <c r="A383" s="169"/>
      <c r="B383" s="169"/>
      <c r="C383" s="169"/>
      <c r="D383" s="169"/>
      <c r="E383" s="170"/>
      <c r="F383" s="170"/>
      <c r="G383" s="170"/>
      <c r="H383" s="171"/>
      <c r="I383" s="171"/>
      <c r="J383" s="172"/>
      <c r="K383" s="171"/>
      <c r="L383" s="172"/>
      <c r="M383" s="172"/>
      <c r="N383" s="170"/>
      <c r="O383" s="173"/>
      <c r="P383" s="173"/>
      <c r="Q383" s="173"/>
      <c r="R383" s="173"/>
      <c r="S383" s="173"/>
      <c r="T383" s="173"/>
      <c r="U383" s="173"/>
      <c r="V383" s="170"/>
      <c r="W383" s="170"/>
      <c r="X383" s="174"/>
      <c r="Y383" s="174"/>
      <c r="Z383" s="174"/>
      <c r="AA383" s="174"/>
      <c r="AB383" s="174"/>
      <c r="AC383" s="174"/>
      <c r="AD383" s="174"/>
      <c r="AE383" s="174"/>
      <c r="AF383" s="174"/>
      <c r="AG383" s="174"/>
      <c r="AH383" s="174"/>
    </row>
    <row r="384" spans="1:34">
      <c r="A384" s="169"/>
      <c r="B384" s="169"/>
      <c r="C384" s="169"/>
      <c r="D384" s="169"/>
      <c r="E384" s="170"/>
      <c r="F384" s="170"/>
      <c r="G384" s="170"/>
      <c r="H384" s="171"/>
      <c r="I384" s="171"/>
      <c r="J384" s="172"/>
      <c r="K384" s="171"/>
      <c r="L384" s="172"/>
      <c r="M384" s="172"/>
      <c r="N384" s="170"/>
      <c r="O384" s="173"/>
      <c r="P384" s="173"/>
      <c r="Q384" s="173"/>
      <c r="R384" s="173"/>
      <c r="S384" s="173"/>
      <c r="T384" s="173"/>
      <c r="U384" s="173"/>
      <c r="V384" s="170"/>
      <c r="W384" s="170"/>
      <c r="X384" s="174"/>
      <c r="Y384" s="174"/>
      <c r="Z384" s="174"/>
      <c r="AA384" s="174"/>
      <c r="AB384" s="174"/>
      <c r="AC384" s="174"/>
      <c r="AD384" s="174"/>
      <c r="AE384" s="174"/>
      <c r="AF384" s="174"/>
      <c r="AG384" s="174"/>
      <c r="AH384" s="174"/>
    </row>
    <row r="385" spans="1:34">
      <c r="A385" s="169"/>
      <c r="B385" s="169"/>
      <c r="C385" s="169"/>
      <c r="D385" s="169"/>
      <c r="E385" s="170"/>
      <c r="F385" s="170"/>
      <c r="G385" s="170"/>
      <c r="H385" s="171"/>
      <c r="I385" s="171"/>
      <c r="J385" s="172"/>
      <c r="K385" s="171"/>
      <c r="L385" s="172"/>
      <c r="M385" s="172"/>
      <c r="N385" s="170"/>
      <c r="O385" s="173"/>
      <c r="P385" s="173"/>
      <c r="Q385" s="173"/>
      <c r="R385" s="173"/>
      <c r="S385" s="173"/>
      <c r="T385" s="173"/>
      <c r="U385" s="173"/>
      <c r="V385" s="170"/>
      <c r="W385" s="170"/>
      <c r="X385" s="174"/>
      <c r="Y385" s="174"/>
      <c r="Z385" s="174"/>
      <c r="AA385" s="174"/>
      <c r="AB385" s="174"/>
      <c r="AC385" s="174"/>
      <c r="AD385" s="174"/>
      <c r="AE385" s="174"/>
      <c r="AF385" s="174"/>
      <c r="AG385" s="174"/>
      <c r="AH385" s="174"/>
    </row>
    <row r="386" spans="1:34">
      <c r="A386" s="169"/>
      <c r="B386" s="169"/>
      <c r="C386" s="169"/>
      <c r="D386" s="169"/>
      <c r="E386" s="170"/>
      <c r="F386" s="170"/>
      <c r="G386" s="170"/>
      <c r="H386" s="171"/>
      <c r="I386" s="171"/>
      <c r="J386" s="172"/>
      <c r="K386" s="171"/>
      <c r="L386" s="172"/>
      <c r="M386" s="172"/>
      <c r="N386" s="170"/>
      <c r="O386" s="173"/>
      <c r="P386" s="173"/>
      <c r="Q386" s="173"/>
      <c r="R386" s="173"/>
      <c r="S386" s="173"/>
      <c r="T386" s="173"/>
      <c r="U386" s="173"/>
      <c r="V386" s="170"/>
      <c r="W386" s="170"/>
      <c r="X386" s="174"/>
      <c r="Y386" s="174"/>
      <c r="Z386" s="174"/>
      <c r="AA386" s="174"/>
      <c r="AB386" s="174"/>
      <c r="AC386" s="174"/>
      <c r="AD386" s="174"/>
      <c r="AE386" s="174"/>
      <c r="AF386" s="174"/>
      <c r="AG386" s="174"/>
      <c r="AH386" s="174"/>
    </row>
    <row r="387" spans="1:34">
      <c r="A387" s="169"/>
      <c r="B387" s="169"/>
      <c r="C387" s="169"/>
      <c r="D387" s="169"/>
      <c r="E387" s="170"/>
      <c r="F387" s="170"/>
      <c r="G387" s="170"/>
      <c r="H387" s="171"/>
      <c r="I387" s="171"/>
      <c r="J387" s="172"/>
      <c r="K387" s="171"/>
      <c r="L387" s="172"/>
      <c r="M387" s="172"/>
      <c r="N387" s="170"/>
      <c r="O387" s="173"/>
      <c r="P387" s="173"/>
      <c r="Q387" s="173"/>
      <c r="R387" s="173"/>
      <c r="S387" s="173"/>
      <c r="T387" s="173"/>
      <c r="U387" s="173"/>
      <c r="V387" s="170"/>
      <c r="W387" s="170"/>
      <c r="X387" s="174"/>
      <c r="Y387" s="174"/>
      <c r="Z387" s="174"/>
      <c r="AA387" s="174"/>
      <c r="AB387" s="174"/>
      <c r="AC387" s="174"/>
      <c r="AD387" s="174"/>
      <c r="AE387" s="174"/>
      <c r="AF387" s="174"/>
      <c r="AG387" s="174"/>
      <c r="AH387" s="174"/>
    </row>
    <row r="388" spans="1:34">
      <c r="A388" s="169"/>
      <c r="B388" s="169"/>
      <c r="C388" s="169"/>
      <c r="D388" s="169"/>
      <c r="E388" s="170"/>
      <c r="F388" s="170"/>
      <c r="G388" s="170"/>
      <c r="H388" s="171"/>
      <c r="I388" s="171"/>
      <c r="J388" s="172"/>
      <c r="K388" s="171"/>
      <c r="L388" s="172"/>
      <c r="M388" s="172"/>
      <c r="N388" s="170"/>
      <c r="O388" s="173"/>
      <c r="P388" s="173"/>
      <c r="Q388" s="173"/>
      <c r="R388" s="173"/>
      <c r="S388" s="173"/>
      <c r="T388" s="173"/>
      <c r="U388" s="173"/>
      <c r="V388" s="170"/>
      <c r="W388" s="170"/>
      <c r="X388" s="174"/>
      <c r="Y388" s="174"/>
      <c r="Z388" s="174"/>
      <c r="AA388" s="174"/>
      <c r="AB388" s="174"/>
      <c r="AC388" s="174"/>
      <c r="AD388" s="174"/>
      <c r="AE388" s="174"/>
      <c r="AF388" s="174"/>
      <c r="AG388" s="174"/>
      <c r="AH388" s="174"/>
    </row>
    <row r="389" spans="1:34">
      <c r="A389" s="169"/>
      <c r="B389" s="169"/>
      <c r="C389" s="169"/>
      <c r="D389" s="169"/>
      <c r="E389" s="170"/>
      <c r="F389" s="170"/>
      <c r="G389" s="170"/>
      <c r="H389" s="171"/>
      <c r="I389" s="171"/>
      <c r="J389" s="172"/>
      <c r="K389" s="171"/>
      <c r="L389" s="172"/>
      <c r="M389" s="172"/>
      <c r="N389" s="170"/>
      <c r="O389" s="173"/>
      <c r="P389" s="173"/>
      <c r="Q389" s="173"/>
      <c r="R389" s="173"/>
      <c r="S389" s="173"/>
      <c r="T389" s="173"/>
      <c r="U389" s="173"/>
      <c r="V389" s="170"/>
      <c r="W389" s="170"/>
      <c r="X389" s="174"/>
      <c r="Y389" s="174"/>
      <c r="Z389" s="174"/>
      <c r="AA389" s="174"/>
      <c r="AB389" s="174"/>
      <c r="AC389" s="174"/>
      <c r="AD389" s="174"/>
      <c r="AE389" s="174"/>
      <c r="AF389" s="174"/>
      <c r="AG389" s="174"/>
      <c r="AH389" s="174"/>
    </row>
    <row r="390" spans="1:34">
      <c r="A390" s="169"/>
      <c r="B390" s="169"/>
      <c r="C390" s="169"/>
      <c r="D390" s="169"/>
      <c r="E390" s="170"/>
      <c r="F390" s="170"/>
      <c r="G390" s="170"/>
      <c r="H390" s="171"/>
      <c r="I390" s="171"/>
      <c r="J390" s="172"/>
      <c r="K390" s="171"/>
      <c r="L390" s="172"/>
      <c r="M390" s="172"/>
      <c r="N390" s="170"/>
      <c r="O390" s="173"/>
      <c r="P390" s="173"/>
      <c r="Q390" s="173"/>
      <c r="R390" s="173"/>
      <c r="S390" s="173"/>
      <c r="T390" s="173"/>
      <c r="U390" s="173"/>
      <c r="V390" s="170"/>
      <c r="W390" s="170"/>
      <c r="X390" s="174"/>
      <c r="Y390" s="174"/>
      <c r="Z390" s="174"/>
      <c r="AA390" s="174"/>
      <c r="AB390" s="174"/>
      <c r="AC390" s="174"/>
      <c r="AD390" s="174"/>
      <c r="AE390" s="174"/>
      <c r="AF390" s="174"/>
      <c r="AG390" s="174"/>
      <c r="AH390" s="174"/>
    </row>
    <row r="391" spans="1:34">
      <c r="A391" s="169"/>
      <c r="B391" s="169"/>
      <c r="C391" s="169"/>
      <c r="D391" s="169"/>
      <c r="E391" s="170"/>
      <c r="F391" s="170"/>
      <c r="G391" s="170"/>
      <c r="H391" s="171"/>
      <c r="I391" s="171"/>
      <c r="J391" s="172"/>
      <c r="K391" s="171"/>
      <c r="L391" s="172"/>
      <c r="M391" s="172"/>
      <c r="N391" s="170"/>
      <c r="O391" s="173"/>
      <c r="P391" s="173"/>
      <c r="Q391" s="173"/>
      <c r="R391" s="173"/>
      <c r="S391" s="173"/>
      <c r="T391" s="173"/>
      <c r="U391" s="173"/>
      <c r="V391" s="170"/>
      <c r="W391" s="170"/>
      <c r="X391" s="174"/>
      <c r="Y391" s="174"/>
      <c r="Z391" s="174"/>
      <c r="AA391" s="174"/>
      <c r="AB391" s="174"/>
      <c r="AC391" s="174"/>
      <c r="AD391" s="174"/>
      <c r="AE391" s="174"/>
      <c r="AF391" s="174"/>
      <c r="AG391" s="174"/>
      <c r="AH391" s="174"/>
    </row>
    <row r="392" spans="1:34">
      <c r="A392" s="169"/>
      <c r="B392" s="169"/>
      <c r="C392" s="169"/>
      <c r="D392" s="169"/>
      <c r="E392" s="170"/>
      <c r="F392" s="170"/>
      <c r="G392" s="170"/>
      <c r="H392" s="171"/>
      <c r="I392" s="171"/>
      <c r="J392" s="172"/>
      <c r="K392" s="171"/>
      <c r="L392" s="172"/>
      <c r="M392" s="172"/>
      <c r="N392" s="170"/>
      <c r="O392" s="173"/>
      <c r="P392" s="173"/>
      <c r="Q392" s="173"/>
      <c r="R392" s="173"/>
      <c r="S392" s="173"/>
      <c r="T392" s="173"/>
      <c r="U392" s="173"/>
      <c r="V392" s="170"/>
      <c r="W392" s="170"/>
      <c r="X392" s="174"/>
      <c r="Y392" s="174"/>
      <c r="Z392" s="174"/>
      <c r="AA392" s="174"/>
      <c r="AB392" s="174"/>
      <c r="AC392" s="174"/>
      <c r="AD392" s="174"/>
      <c r="AE392" s="174"/>
      <c r="AF392" s="174"/>
      <c r="AG392" s="174"/>
      <c r="AH392" s="174"/>
    </row>
    <row r="393" spans="1:34">
      <c r="A393" s="169"/>
      <c r="B393" s="169"/>
      <c r="C393" s="169"/>
      <c r="D393" s="169"/>
      <c r="E393" s="170"/>
      <c r="F393" s="170"/>
      <c r="G393" s="170"/>
      <c r="H393" s="171"/>
      <c r="I393" s="171"/>
      <c r="J393" s="172"/>
      <c r="K393" s="171"/>
      <c r="L393" s="172"/>
      <c r="M393" s="172"/>
      <c r="N393" s="170"/>
      <c r="O393" s="173"/>
      <c r="P393" s="173"/>
      <c r="Q393" s="173"/>
      <c r="R393" s="173"/>
      <c r="S393" s="173"/>
      <c r="T393" s="173"/>
      <c r="U393" s="173"/>
      <c r="V393" s="170"/>
      <c r="W393" s="170"/>
      <c r="X393" s="174"/>
      <c r="Y393" s="174"/>
      <c r="Z393" s="174"/>
      <c r="AA393" s="174"/>
      <c r="AB393" s="174"/>
      <c r="AC393" s="174"/>
      <c r="AD393" s="174"/>
      <c r="AE393" s="174"/>
      <c r="AF393" s="174"/>
      <c r="AG393" s="174"/>
      <c r="AH393" s="174"/>
    </row>
    <row r="394" spans="1:34">
      <c r="A394" s="169"/>
      <c r="B394" s="169"/>
      <c r="C394" s="169"/>
      <c r="D394" s="169"/>
      <c r="E394" s="170"/>
      <c r="F394" s="170"/>
      <c r="G394" s="170"/>
      <c r="H394" s="171"/>
      <c r="I394" s="171"/>
      <c r="J394" s="172"/>
      <c r="K394" s="171"/>
      <c r="L394" s="172"/>
      <c r="M394" s="172"/>
      <c r="N394" s="170"/>
      <c r="O394" s="173"/>
      <c r="P394" s="173"/>
      <c r="Q394" s="173"/>
      <c r="R394" s="173"/>
      <c r="S394" s="173"/>
      <c r="T394" s="173"/>
      <c r="U394" s="173"/>
      <c r="V394" s="170"/>
      <c r="W394" s="170"/>
      <c r="X394" s="174"/>
      <c r="Y394" s="174"/>
      <c r="Z394" s="174"/>
      <c r="AA394" s="174"/>
      <c r="AB394" s="174"/>
      <c r="AC394" s="174"/>
      <c r="AD394" s="174"/>
      <c r="AE394" s="174"/>
      <c r="AF394" s="174"/>
      <c r="AG394" s="174"/>
      <c r="AH394" s="174"/>
    </row>
    <row r="395" spans="1:34">
      <c r="A395" s="169"/>
      <c r="B395" s="169"/>
      <c r="C395" s="169"/>
      <c r="D395" s="169"/>
      <c r="E395" s="170"/>
      <c r="F395" s="170"/>
      <c r="G395" s="170"/>
      <c r="H395" s="171"/>
      <c r="I395" s="171"/>
      <c r="J395" s="172"/>
      <c r="K395" s="171"/>
      <c r="L395" s="172"/>
      <c r="M395" s="172"/>
      <c r="N395" s="170"/>
      <c r="O395" s="173"/>
      <c r="P395" s="173"/>
      <c r="Q395" s="173"/>
      <c r="R395" s="173"/>
      <c r="S395" s="173"/>
      <c r="T395" s="173"/>
      <c r="U395" s="173"/>
      <c r="V395" s="170"/>
      <c r="W395" s="170"/>
      <c r="X395" s="174"/>
      <c r="Y395" s="174"/>
      <c r="Z395" s="174"/>
      <c r="AA395" s="174"/>
      <c r="AB395" s="174"/>
      <c r="AC395" s="174"/>
      <c r="AD395" s="174"/>
      <c r="AE395" s="174"/>
      <c r="AF395" s="174"/>
      <c r="AG395" s="174"/>
      <c r="AH395" s="174"/>
    </row>
    <row r="396" spans="1:34">
      <c r="A396" s="169"/>
      <c r="B396" s="169"/>
      <c r="C396" s="169"/>
      <c r="D396" s="169"/>
      <c r="E396" s="170"/>
      <c r="F396" s="170"/>
      <c r="G396" s="170"/>
      <c r="H396" s="171"/>
      <c r="I396" s="171"/>
      <c r="J396" s="172"/>
      <c r="K396" s="171"/>
      <c r="L396" s="172"/>
      <c r="M396" s="172"/>
      <c r="N396" s="170"/>
      <c r="O396" s="173"/>
      <c r="P396" s="173"/>
      <c r="Q396" s="173"/>
      <c r="R396" s="173"/>
      <c r="S396" s="173"/>
      <c r="T396" s="173"/>
      <c r="U396" s="173"/>
      <c r="V396" s="170"/>
      <c r="W396" s="170"/>
      <c r="X396" s="174"/>
      <c r="Y396" s="174"/>
      <c r="Z396" s="174"/>
      <c r="AA396" s="174"/>
      <c r="AB396" s="174"/>
      <c r="AC396" s="174"/>
      <c r="AD396" s="174"/>
      <c r="AE396" s="174"/>
      <c r="AF396" s="174"/>
      <c r="AG396" s="174"/>
      <c r="AH396" s="174"/>
    </row>
    <row r="397" spans="1:34">
      <c r="A397" s="169"/>
      <c r="B397" s="169"/>
      <c r="C397" s="169"/>
      <c r="D397" s="169"/>
      <c r="E397" s="170"/>
      <c r="F397" s="170"/>
      <c r="G397" s="170"/>
      <c r="H397" s="171"/>
      <c r="I397" s="171"/>
      <c r="J397" s="172"/>
      <c r="K397" s="171"/>
      <c r="L397" s="172"/>
      <c r="M397" s="172"/>
      <c r="N397" s="170"/>
      <c r="O397" s="173"/>
      <c r="P397" s="173"/>
      <c r="Q397" s="173"/>
      <c r="R397" s="173"/>
      <c r="S397" s="173"/>
      <c r="T397" s="173"/>
      <c r="U397" s="173"/>
      <c r="V397" s="170"/>
      <c r="W397" s="170"/>
      <c r="X397" s="174"/>
      <c r="Y397" s="174"/>
      <c r="Z397" s="174"/>
      <c r="AA397" s="174"/>
      <c r="AB397" s="174"/>
      <c r="AC397" s="174"/>
      <c r="AD397" s="174"/>
      <c r="AE397" s="174"/>
      <c r="AF397" s="174"/>
      <c r="AG397" s="174"/>
      <c r="AH397" s="174"/>
    </row>
    <row r="398" spans="1:34">
      <c r="A398" s="169"/>
      <c r="B398" s="169"/>
      <c r="C398" s="169"/>
      <c r="D398" s="169"/>
      <c r="E398" s="170"/>
      <c r="F398" s="170"/>
      <c r="G398" s="170"/>
      <c r="H398" s="171"/>
      <c r="I398" s="171"/>
      <c r="J398" s="172"/>
      <c r="K398" s="171"/>
      <c r="L398" s="172"/>
      <c r="M398" s="172"/>
      <c r="N398" s="170"/>
      <c r="O398" s="173"/>
      <c r="P398" s="173"/>
      <c r="Q398" s="173"/>
      <c r="R398" s="173"/>
      <c r="S398" s="173"/>
      <c r="T398" s="173"/>
      <c r="U398" s="173"/>
      <c r="V398" s="170"/>
      <c r="W398" s="170"/>
      <c r="X398" s="174"/>
      <c r="Y398" s="174"/>
      <c r="Z398" s="174"/>
      <c r="AA398" s="174"/>
      <c r="AB398" s="174"/>
      <c r="AC398" s="174"/>
      <c r="AD398" s="174"/>
      <c r="AE398" s="174"/>
      <c r="AF398" s="174"/>
      <c r="AG398" s="174"/>
      <c r="AH398" s="174"/>
    </row>
    <row r="399" spans="1:34">
      <c r="A399" s="169"/>
      <c r="B399" s="169"/>
      <c r="C399" s="169"/>
      <c r="D399" s="169"/>
      <c r="E399" s="170"/>
      <c r="F399" s="170"/>
      <c r="G399" s="170"/>
      <c r="H399" s="171"/>
      <c r="I399" s="171"/>
      <c r="J399" s="172"/>
      <c r="K399" s="171"/>
      <c r="L399" s="172"/>
      <c r="M399" s="172"/>
      <c r="N399" s="170"/>
      <c r="O399" s="173"/>
      <c r="P399" s="173"/>
      <c r="Q399" s="173"/>
      <c r="R399" s="173"/>
      <c r="S399" s="173"/>
      <c r="T399" s="173"/>
      <c r="U399" s="173"/>
      <c r="V399" s="170"/>
      <c r="W399" s="170"/>
      <c r="X399" s="174"/>
      <c r="Y399" s="174"/>
      <c r="Z399" s="174"/>
      <c r="AA399" s="174"/>
      <c r="AB399" s="174"/>
      <c r="AC399" s="174"/>
      <c r="AD399" s="174"/>
      <c r="AE399" s="174"/>
      <c r="AF399" s="174"/>
      <c r="AG399" s="174"/>
      <c r="AH399" s="174"/>
    </row>
    <row r="400" spans="1:34">
      <c r="A400" s="169"/>
      <c r="B400" s="169"/>
      <c r="C400" s="169"/>
      <c r="D400" s="169"/>
      <c r="E400" s="170"/>
      <c r="F400" s="170"/>
      <c r="G400" s="170"/>
      <c r="H400" s="171"/>
      <c r="I400" s="171"/>
      <c r="J400" s="172"/>
      <c r="K400" s="171"/>
      <c r="L400" s="172"/>
      <c r="M400" s="172"/>
      <c r="N400" s="170"/>
      <c r="O400" s="173"/>
      <c r="P400" s="173"/>
      <c r="Q400" s="173"/>
      <c r="R400" s="173"/>
      <c r="S400" s="173"/>
      <c r="T400" s="173"/>
      <c r="U400" s="173"/>
      <c r="V400" s="170"/>
      <c r="W400" s="170"/>
      <c r="X400" s="174"/>
      <c r="Y400" s="174"/>
      <c r="Z400" s="174"/>
      <c r="AA400" s="174"/>
      <c r="AB400" s="174"/>
      <c r="AC400" s="174"/>
      <c r="AD400" s="174"/>
      <c r="AE400" s="174"/>
      <c r="AF400" s="174"/>
      <c r="AG400" s="174"/>
      <c r="AH400" s="174"/>
    </row>
    <row r="401" spans="1:34">
      <c r="A401" s="169"/>
      <c r="B401" s="169"/>
      <c r="C401" s="169"/>
      <c r="D401" s="169"/>
      <c r="E401" s="170"/>
      <c r="F401" s="170"/>
      <c r="G401" s="170"/>
      <c r="H401" s="171"/>
      <c r="I401" s="171"/>
      <c r="J401" s="172"/>
      <c r="K401" s="171"/>
      <c r="L401" s="172"/>
      <c r="M401" s="172"/>
      <c r="N401" s="170"/>
      <c r="O401" s="173"/>
      <c r="P401" s="173"/>
      <c r="Q401" s="173"/>
      <c r="R401" s="173"/>
      <c r="S401" s="173"/>
      <c r="T401" s="173"/>
      <c r="U401" s="173"/>
      <c r="V401" s="170"/>
      <c r="W401" s="170"/>
      <c r="X401" s="174"/>
      <c r="Y401" s="174"/>
      <c r="Z401" s="174"/>
      <c r="AA401" s="174"/>
      <c r="AB401" s="174"/>
      <c r="AC401" s="174"/>
      <c r="AD401" s="174"/>
      <c r="AE401" s="174"/>
      <c r="AF401" s="174"/>
      <c r="AG401" s="174"/>
      <c r="AH401" s="174"/>
    </row>
    <row r="402" spans="1:34">
      <c r="A402" s="169"/>
      <c r="B402" s="169"/>
      <c r="C402" s="169"/>
      <c r="D402" s="169"/>
      <c r="E402" s="170"/>
      <c r="F402" s="170"/>
      <c r="G402" s="170"/>
      <c r="H402" s="171"/>
      <c r="I402" s="171"/>
      <c r="J402" s="172"/>
      <c r="K402" s="171"/>
      <c r="L402" s="172"/>
      <c r="M402" s="172"/>
      <c r="N402" s="170"/>
      <c r="O402" s="173"/>
      <c r="P402" s="173"/>
      <c r="Q402" s="173"/>
      <c r="R402" s="173"/>
      <c r="S402" s="173"/>
      <c r="T402" s="173"/>
      <c r="U402" s="173"/>
      <c r="V402" s="170"/>
      <c r="W402" s="170"/>
      <c r="X402" s="174"/>
      <c r="Y402" s="174"/>
      <c r="Z402" s="174"/>
      <c r="AA402" s="174"/>
      <c r="AB402" s="174"/>
      <c r="AC402" s="174"/>
      <c r="AD402" s="174"/>
      <c r="AE402" s="174"/>
      <c r="AF402" s="174"/>
      <c r="AG402" s="174"/>
      <c r="AH402" s="174"/>
    </row>
    <row r="403" spans="1:34">
      <c r="A403" s="169"/>
      <c r="B403" s="169"/>
      <c r="C403" s="169"/>
      <c r="D403" s="169"/>
      <c r="E403" s="170"/>
      <c r="F403" s="170"/>
      <c r="G403" s="170"/>
      <c r="H403" s="171"/>
      <c r="I403" s="171"/>
      <c r="J403" s="172"/>
      <c r="K403" s="171"/>
      <c r="L403" s="172"/>
      <c r="M403" s="172"/>
      <c r="N403" s="170"/>
      <c r="O403" s="173"/>
      <c r="P403" s="173"/>
      <c r="Q403" s="173"/>
      <c r="R403" s="173"/>
      <c r="S403" s="173"/>
      <c r="T403" s="173"/>
      <c r="U403" s="173"/>
      <c r="V403" s="170"/>
      <c r="W403" s="170"/>
      <c r="X403" s="174"/>
      <c r="Y403" s="174"/>
      <c r="Z403" s="174"/>
      <c r="AA403" s="174"/>
      <c r="AB403" s="174"/>
      <c r="AC403" s="174"/>
      <c r="AD403" s="174"/>
      <c r="AE403" s="174"/>
      <c r="AF403" s="174"/>
      <c r="AG403" s="174"/>
      <c r="AH403" s="174"/>
    </row>
    <row r="404" spans="1:34">
      <c r="A404" s="169"/>
      <c r="B404" s="169"/>
      <c r="C404" s="169"/>
      <c r="D404" s="169"/>
      <c r="E404" s="170"/>
      <c r="F404" s="170"/>
      <c r="G404" s="170"/>
      <c r="H404" s="171"/>
      <c r="I404" s="171"/>
      <c r="J404" s="172"/>
      <c r="K404" s="171"/>
      <c r="L404" s="172"/>
      <c r="M404" s="172"/>
      <c r="N404" s="170"/>
      <c r="O404" s="173"/>
      <c r="P404" s="173"/>
      <c r="Q404" s="173"/>
      <c r="R404" s="173"/>
      <c r="S404" s="173"/>
      <c r="T404" s="173"/>
      <c r="U404" s="173"/>
      <c r="V404" s="170"/>
      <c r="W404" s="170"/>
      <c r="X404" s="174"/>
      <c r="Y404" s="174"/>
      <c r="Z404" s="174"/>
      <c r="AA404" s="174"/>
      <c r="AB404" s="174"/>
      <c r="AC404" s="174"/>
      <c r="AD404" s="174"/>
      <c r="AE404" s="174"/>
      <c r="AF404" s="174"/>
      <c r="AG404" s="174"/>
      <c r="AH404" s="174"/>
    </row>
    <row r="405" spans="1:34">
      <c r="A405" s="169"/>
      <c r="B405" s="169"/>
      <c r="C405" s="169"/>
      <c r="D405" s="169"/>
      <c r="E405" s="170"/>
      <c r="F405" s="170"/>
      <c r="G405" s="170"/>
      <c r="H405" s="171"/>
      <c r="I405" s="171"/>
      <c r="J405" s="172"/>
      <c r="K405" s="171"/>
      <c r="L405" s="172"/>
      <c r="M405" s="172"/>
      <c r="N405" s="170"/>
      <c r="O405" s="173"/>
      <c r="P405" s="173"/>
      <c r="Q405" s="173"/>
      <c r="R405" s="173"/>
      <c r="S405" s="173"/>
      <c r="T405" s="173"/>
      <c r="U405" s="173"/>
      <c r="V405" s="170"/>
      <c r="W405" s="170"/>
      <c r="X405" s="174"/>
      <c r="Y405" s="174"/>
      <c r="Z405" s="174"/>
      <c r="AA405" s="174"/>
      <c r="AB405" s="174"/>
      <c r="AC405" s="174"/>
      <c r="AD405" s="174"/>
      <c r="AE405" s="174"/>
      <c r="AF405" s="174"/>
      <c r="AG405" s="174"/>
      <c r="AH405" s="174"/>
    </row>
    <row r="406" spans="1:34">
      <c r="A406" s="169"/>
      <c r="B406" s="169"/>
      <c r="C406" s="169"/>
      <c r="D406" s="169"/>
      <c r="E406" s="170"/>
      <c r="F406" s="170"/>
      <c r="G406" s="170"/>
      <c r="H406" s="171"/>
      <c r="I406" s="171"/>
      <c r="J406" s="172"/>
      <c r="K406" s="171"/>
      <c r="L406" s="172"/>
      <c r="M406" s="172"/>
      <c r="N406" s="170"/>
      <c r="O406" s="173"/>
      <c r="P406" s="173"/>
      <c r="Q406" s="173"/>
      <c r="R406" s="173"/>
      <c r="S406" s="173"/>
      <c r="T406" s="173"/>
      <c r="U406" s="173"/>
      <c r="V406" s="170"/>
      <c r="W406" s="170"/>
      <c r="X406" s="174"/>
      <c r="Y406" s="174"/>
      <c r="Z406" s="174"/>
      <c r="AA406" s="174"/>
      <c r="AB406" s="174"/>
      <c r="AC406" s="174"/>
      <c r="AD406" s="174"/>
      <c r="AE406" s="174"/>
      <c r="AF406" s="174"/>
      <c r="AG406" s="174"/>
      <c r="AH406" s="174"/>
    </row>
    <row r="407" spans="1:34">
      <c r="A407" s="169"/>
      <c r="B407" s="169"/>
      <c r="C407" s="169"/>
      <c r="D407" s="169"/>
      <c r="E407" s="170"/>
      <c r="F407" s="170"/>
      <c r="G407" s="170"/>
      <c r="H407" s="171"/>
      <c r="I407" s="171"/>
      <c r="J407" s="172"/>
      <c r="K407" s="171"/>
      <c r="L407" s="172"/>
      <c r="M407" s="172"/>
      <c r="N407" s="170"/>
      <c r="O407" s="173"/>
      <c r="P407" s="173"/>
      <c r="Q407" s="173"/>
      <c r="R407" s="173"/>
      <c r="S407" s="173"/>
      <c r="T407" s="173"/>
      <c r="U407" s="173"/>
      <c r="V407" s="170"/>
      <c r="W407" s="170"/>
      <c r="X407" s="174"/>
      <c r="Y407" s="174"/>
      <c r="Z407" s="174"/>
      <c r="AA407" s="174"/>
      <c r="AB407" s="174"/>
      <c r="AC407" s="174"/>
      <c r="AD407" s="174"/>
      <c r="AE407" s="174"/>
      <c r="AF407" s="174"/>
      <c r="AG407" s="174"/>
      <c r="AH407" s="174"/>
    </row>
    <row r="408" spans="1:34">
      <c r="A408" s="169"/>
      <c r="B408" s="169"/>
      <c r="C408" s="169"/>
      <c r="D408" s="169"/>
      <c r="E408" s="170"/>
      <c r="F408" s="170"/>
      <c r="G408" s="170"/>
      <c r="H408" s="171"/>
      <c r="I408" s="171"/>
      <c r="J408" s="172"/>
      <c r="K408" s="171"/>
      <c r="L408" s="172"/>
      <c r="M408" s="172"/>
      <c r="N408" s="170"/>
      <c r="O408" s="173"/>
      <c r="P408" s="173"/>
      <c r="Q408" s="173"/>
      <c r="R408" s="173"/>
      <c r="S408" s="173"/>
      <c r="T408" s="173"/>
      <c r="U408" s="173"/>
      <c r="V408" s="170"/>
      <c r="W408" s="170"/>
      <c r="X408" s="174"/>
      <c r="Y408" s="174"/>
      <c r="Z408" s="174"/>
      <c r="AA408" s="174"/>
      <c r="AB408" s="174"/>
      <c r="AC408" s="174"/>
      <c r="AD408" s="174"/>
      <c r="AE408" s="174"/>
      <c r="AF408" s="174"/>
      <c r="AG408" s="174"/>
      <c r="AH408" s="174"/>
    </row>
    <row r="409" spans="1:34">
      <c r="A409" s="169"/>
      <c r="B409" s="169"/>
      <c r="C409" s="169"/>
      <c r="D409" s="169"/>
      <c r="E409" s="170"/>
      <c r="F409" s="170"/>
      <c r="G409" s="170"/>
      <c r="H409" s="171"/>
      <c r="I409" s="171"/>
      <c r="J409" s="172"/>
      <c r="K409" s="171"/>
      <c r="L409" s="172"/>
      <c r="M409" s="172"/>
      <c r="N409" s="170"/>
      <c r="O409" s="173"/>
      <c r="P409" s="173"/>
      <c r="Q409" s="173"/>
      <c r="R409" s="173"/>
      <c r="S409" s="173"/>
      <c r="T409" s="173"/>
      <c r="U409" s="173"/>
      <c r="V409" s="170"/>
      <c r="W409" s="170"/>
      <c r="X409" s="174"/>
      <c r="Y409" s="174"/>
      <c r="Z409" s="174"/>
      <c r="AA409" s="174"/>
      <c r="AB409" s="174"/>
      <c r="AC409" s="174"/>
      <c r="AD409" s="174"/>
      <c r="AE409" s="174"/>
      <c r="AF409" s="174"/>
      <c r="AG409" s="174"/>
      <c r="AH409" s="174"/>
    </row>
    <row r="410" spans="1:34">
      <c r="A410" s="169"/>
      <c r="B410" s="169"/>
      <c r="C410" s="169"/>
      <c r="D410" s="169"/>
      <c r="E410" s="170"/>
      <c r="F410" s="170"/>
      <c r="G410" s="170"/>
      <c r="H410" s="171"/>
      <c r="I410" s="171"/>
      <c r="J410" s="172"/>
      <c r="K410" s="171"/>
      <c r="L410" s="172"/>
      <c r="M410" s="172"/>
      <c r="N410" s="170"/>
      <c r="O410" s="173"/>
      <c r="P410" s="173"/>
      <c r="Q410" s="173"/>
      <c r="R410" s="173"/>
      <c r="S410" s="173"/>
      <c r="T410" s="173"/>
      <c r="U410" s="173"/>
      <c r="V410" s="170"/>
      <c r="W410" s="170"/>
      <c r="X410" s="174"/>
      <c r="Y410" s="174"/>
      <c r="Z410" s="174"/>
      <c r="AA410" s="174"/>
      <c r="AB410" s="174"/>
      <c r="AC410" s="174"/>
      <c r="AD410" s="174"/>
      <c r="AE410" s="174"/>
      <c r="AF410" s="174"/>
      <c r="AG410" s="174"/>
      <c r="AH410" s="174"/>
    </row>
    <row r="411" spans="1:34">
      <c r="A411" s="169"/>
      <c r="B411" s="169"/>
      <c r="C411" s="169"/>
      <c r="D411" s="169"/>
      <c r="E411" s="170"/>
      <c r="F411" s="170"/>
      <c r="G411" s="170"/>
      <c r="H411" s="171"/>
      <c r="I411" s="171"/>
      <c r="J411" s="172"/>
      <c r="K411" s="171"/>
      <c r="L411" s="172"/>
      <c r="M411" s="172"/>
      <c r="N411" s="170"/>
      <c r="O411" s="173"/>
      <c r="P411" s="173"/>
      <c r="Q411" s="173"/>
      <c r="R411" s="173"/>
      <c r="S411" s="173"/>
      <c r="T411" s="173"/>
      <c r="U411" s="173"/>
      <c r="V411" s="170"/>
      <c r="W411" s="170"/>
      <c r="X411" s="174"/>
      <c r="Y411" s="174"/>
      <c r="Z411" s="174"/>
      <c r="AA411" s="174"/>
      <c r="AB411" s="174"/>
      <c r="AC411" s="174"/>
      <c r="AD411" s="174"/>
      <c r="AE411" s="174"/>
      <c r="AF411" s="174"/>
      <c r="AG411" s="174"/>
      <c r="AH411" s="174"/>
    </row>
    <row r="412" spans="1:34">
      <c r="A412" s="169"/>
      <c r="B412" s="169"/>
      <c r="C412" s="169"/>
      <c r="D412" s="169"/>
      <c r="E412" s="170"/>
      <c r="F412" s="170"/>
      <c r="G412" s="170"/>
      <c r="H412" s="171"/>
      <c r="I412" s="171"/>
      <c r="J412" s="172"/>
      <c r="K412" s="171"/>
      <c r="L412" s="172"/>
      <c r="M412" s="172"/>
      <c r="N412" s="170"/>
      <c r="O412" s="173"/>
      <c r="P412" s="173"/>
      <c r="Q412" s="173"/>
      <c r="R412" s="173"/>
      <c r="S412" s="173"/>
      <c r="T412" s="173"/>
      <c r="U412" s="173"/>
      <c r="V412" s="170"/>
      <c r="W412" s="170"/>
      <c r="X412" s="174"/>
      <c r="Y412" s="174"/>
      <c r="Z412" s="174"/>
      <c r="AA412" s="174"/>
      <c r="AB412" s="174"/>
      <c r="AC412" s="174"/>
      <c r="AD412" s="174"/>
      <c r="AE412" s="174"/>
      <c r="AF412" s="174"/>
      <c r="AG412" s="174"/>
      <c r="AH412" s="174"/>
    </row>
    <row r="413" spans="1:34">
      <c r="A413" s="169"/>
      <c r="B413" s="169"/>
      <c r="C413" s="169"/>
      <c r="D413" s="169"/>
      <c r="E413" s="170"/>
      <c r="F413" s="170"/>
      <c r="G413" s="170"/>
      <c r="H413" s="171"/>
      <c r="I413" s="171"/>
      <c r="J413" s="172"/>
      <c r="K413" s="171"/>
      <c r="L413" s="172"/>
      <c r="M413" s="172"/>
      <c r="N413" s="170"/>
      <c r="O413" s="173"/>
      <c r="P413" s="173"/>
      <c r="Q413" s="173"/>
      <c r="R413" s="173"/>
      <c r="S413" s="173"/>
      <c r="T413" s="173"/>
      <c r="U413" s="173"/>
      <c r="V413" s="170"/>
      <c r="W413" s="170"/>
      <c r="X413" s="174"/>
      <c r="Y413" s="174"/>
      <c r="Z413" s="174"/>
      <c r="AA413" s="174"/>
      <c r="AB413" s="174"/>
      <c r="AC413" s="174"/>
      <c r="AD413" s="174"/>
      <c r="AE413" s="174"/>
      <c r="AF413" s="174"/>
      <c r="AG413" s="174"/>
      <c r="AH413" s="174"/>
    </row>
    <row r="414" spans="1:34">
      <c r="A414" s="169"/>
      <c r="B414" s="169"/>
      <c r="C414" s="169"/>
      <c r="D414" s="169"/>
      <c r="E414" s="170"/>
      <c r="F414" s="170"/>
      <c r="G414" s="170"/>
      <c r="H414" s="171"/>
      <c r="I414" s="171"/>
      <c r="J414" s="172"/>
      <c r="K414" s="171"/>
      <c r="L414" s="172"/>
      <c r="M414" s="172"/>
      <c r="N414" s="170"/>
      <c r="O414" s="173"/>
      <c r="P414" s="173"/>
      <c r="Q414" s="173"/>
      <c r="R414" s="173"/>
      <c r="S414" s="173"/>
      <c r="T414" s="173"/>
      <c r="U414" s="173"/>
      <c r="V414" s="170"/>
      <c r="W414" s="170"/>
      <c r="X414" s="174"/>
      <c r="Y414" s="174"/>
      <c r="Z414" s="174"/>
      <c r="AA414" s="174"/>
      <c r="AB414" s="174"/>
      <c r="AC414" s="174"/>
      <c r="AD414" s="174"/>
      <c r="AE414" s="174"/>
      <c r="AF414" s="174"/>
      <c r="AG414" s="174"/>
      <c r="AH414" s="174"/>
    </row>
    <row r="415" spans="1:34">
      <c r="A415" s="169"/>
      <c r="B415" s="169"/>
      <c r="C415" s="169"/>
      <c r="D415" s="169"/>
      <c r="E415" s="170"/>
      <c r="F415" s="170"/>
      <c r="G415" s="170"/>
      <c r="H415" s="171"/>
      <c r="I415" s="171"/>
      <c r="J415" s="172"/>
      <c r="K415" s="171"/>
      <c r="L415" s="172"/>
      <c r="M415" s="172"/>
      <c r="N415" s="170"/>
      <c r="O415" s="173"/>
      <c r="P415" s="173"/>
      <c r="Q415" s="173"/>
      <c r="R415" s="173"/>
      <c r="S415" s="173"/>
      <c r="T415" s="173"/>
      <c r="U415" s="173"/>
      <c r="V415" s="170"/>
      <c r="W415" s="170"/>
      <c r="X415" s="174"/>
      <c r="Y415" s="174"/>
      <c r="Z415" s="174"/>
      <c r="AA415" s="174"/>
      <c r="AB415" s="174"/>
      <c r="AC415" s="174"/>
      <c r="AD415" s="174"/>
      <c r="AE415" s="174"/>
      <c r="AF415" s="174"/>
      <c r="AG415" s="174"/>
      <c r="AH415" s="174"/>
    </row>
    <row r="416" spans="1:34">
      <c r="A416" s="169"/>
      <c r="B416" s="169"/>
      <c r="C416" s="169"/>
      <c r="D416" s="169"/>
      <c r="E416" s="170"/>
      <c r="F416" s="170"/>
      <c r="G416" s="170"/>
      <c r="H416" s="171"/>
      <c r="I416" s="171"/>
      <c r="J416" s="172"/>
      <c r="K416" s="171"/>
      <c r="L416" s="172"/>
      <c r="M416" s="172"/>
      <c r="N416" s="170"/>
      <c r="O416" s="173"/>
      <c r="P416" s="173"/>
      <c r="Q416" s="173"/>
      <c r="R416" s="173"/>
      <c r="S416" s="173"/>
      <c r="T416" s="173"/>
      <c r="U416" s="173"/>
      <c r="V416" s="170"/>
      <c r="W416" s="170"/>
      <c r="X416" s="174"/>
      <c r="Y416" s="174"/>
      <c r="Z416" s="174"/>
      <c r="AA416" s="174"/>
      <c r="AB416" s="174"/>
      <c r="AC416" s="174"/>
      <c r="AD416" s="174"/>
      <c r="AE416" s="174"/>
      <c r="AF416" s="174"/>
      <c r="AG416" s="174"/>
      <c r="AH416" s="174"/>
    </row>
    <row r="417" spans="1:34">
      <c r="A417" s="169"/>
      <c r="B417" s="169"/>
      <c r="C417" s="169"/>
      <c r="D417" s="169"/>
      <c r="E417" s="170"/>
      <c r="F417" s="170"/>
      <c r="G417" s="170"/>
      <c r="H417" s="171"/>
      <c r="I417" s="171"/>
      <c r="J417" s="172"/>
      <c r="K417" s="171"/>
      <c r="L417" s="172"/>
      <c r="M417" s="172"/>
      <c r="N417" s="170"/>
      <c r="O417" s="173"/>
      <c r="P417" s="173"/>
      <c r="Q417" s="173"/>
      <c r="R417" s="173"/>
      <c r="S417" s="173"/>
      <c r="T417" s="173"/>
      <c r="U417" s="173"/>
      <c r="V417" s="170"/>
      <c r="W417" s="170"/>
      <c r="X417" s="174"/>
      <c r="Y417" s="174"/>
      <c r="Z417" s="174"/>
      <c r="AA417" s="174"/>
      <c r="AB417" s="174"/>
      <c r="AC417" s="174"/>
      <c r="AD417" s="174"/>
      <c r="AE417" s="174"/>
      <c r="AF417" s="174"/>
      <c r="AG417" s="174"/>
      <c r="AH417" s="174"/>
    </row>
    <row r="418" spans="1:34">
      <c r="A418" s="169"/>
      <c r="B418" s="169"/>
      <c r="C418" s="169"/>
      <c r="D418" s="169"/>
      <c r="E418" s="170"/>
      <c r="F418" s="170"/>
      <c r="G418" s="170"/>
      <c r="H418" s="171"/>
      <c r="I418" s="171"/>
      <c r="J418" s="172"/>
      <c r="K418" s="171"/>
      <c r="L418" s="172"/>
      <c r="M418" s="172"/>
      <c r="N418" s="170"/>
      <c r="O418" s="173"/>
      <c r="P418" s="173"/>
      <c r="Q418" s="173"/>
      <c r="R418" s="173"/>
      <c r="S418" s="173"/>
      <c r="T418" s="173"/>
      <c r="U418" s="173"/>
      <c r="V418" s="170"/>
      <c r="W418" s="170"/>
      <c r="X418" s="174"/>
      <c r="Y418" s="174"/>
      <c r="Z418" s="174"/>
      <c r="AA418" s="174"/>
      <c r="AB418" s="174"/>
      <c r="AC418" s="174"/>
      <c r="AD418" s="174"/>
      <c r="AE418" s="174"/>
      <c r="AF418" s="174"/>
      <c r="AG418" s="174"/>
      <c r="AH418" s="174"/>
    </row>
    <row r="419" spans="1:34">
      <c r="A419" s="169"/>
      <c r="B419" s="169"/>
      <c r="C419" s="169"/>
      <c r="D419" s="169"/>
      <c r="E419" s="170"/>
      <c r="F419" s="170"/>
      <c r="G419" s="170"/>
      <c r="H419" s="171"/>
      <c r="I419" s="171"/>
      <c r="J419" s="172"/>
      <c r="K419" s="171"/>
      <c r="L419" s="172"/>
      <c r="M419" s="172"/>
      <c r="N419" s="170"/>
      <c r="O419" s="173"/>
      <c r="P419" s="173"/>
      <c r="Q419" s="173"/>
      <c r="R419" s="173"/>
      <c r="S419" s="173"/>
      <c r="T419" s="173"/>
      <c r="U419" s="173"/>
      <c r="V419" s="170"/>
      <c r="W419" s="170"/>
      <c r="X419" s="174"/>
      <c r="Y419" s="174"/>
      <c r="Z419" s="174"/>
      <c r="AA419" s="174"/>
      <c r="AB419" s="174"/>
      <c r="AC419" s="174"/>
      <c r="AD419" s="174"/>
      <c r="AE419" s="174"/>
      <c r="AF419" s="174"/>
      <c r="AG419" s="174"/>
      <c r="AH419" s="174"/>
    </row>
    <row r="420" spans="1:34">
      <c r="A420" s="169"/>
      <c r="B420" s="169"/>
      <c r="C420" s="169"/>
      <c r="D420" s="169"/>
      <c r="E420" s="170"/>
      <c r="F420" s="170"/>
      <c r="G420" s="170"/>
      <c r="H420" s="171"/>
      <c r="I420" s="171"/>
      <c r="J420" s="172"/>
      <c r="K420" s="171"/>
      <c r="L420" s="172"/>
      <c r="M420" s="172"/>
      <c r="N420" s="170"/>
      <c r="O420" s="173"/>
      <c r="P420" s="173"/>
      <c r="Q420" s="173"/>
      <c r="R420" s="173"/>
      <c r="S420" s="173"/>
      <c r="T420" s="173"/>
      <c r="U420" s="173"/>
      <c r="V420" s="170"/>
      <c r="W420" s="170"/>
      <c r="X420" s="174"/>
      <c r="Y420" s="174"/>
      <c r="Z420" s="174"/>
      <c r="AA420" s="174"/>
      <c r="AB420" s="174"/>
      <c r="AC420" s="174"/>
      <c r="AD420" s="174"/>
      <c r="AE420" s="174"/>
      <c r="AF420" s="174"/>
      <c r="AG420" s="174"/>
      <c r="AH420" s="174"/>
    </row>
    <row r="421" spans="1:34">
      <c r="A421" s="169"/>
      <c r="B421" s="169"/>
      <c r="C421" s="169"/>
      <c r="D421" s="169"/>
      <c r="E421" s="170"/>
      <c r="F421" s="170"/>
      <c r="G421" s="170"/>
      <c r="H421" s="171"/>
      <c r="I421" s="171"/>
      <c r="J421" s="172"/>
      <c r="K421" s="171"/>
      <c r="L421" s="172"/>
      <c r="M421" s="172"/>
      <c r="N421" s="170"/>
      <c r="O421" s="173"/>
      <c r="P421" s="173"/>
      <c r="Q421" s="173"/>
      <c r="R421" s="173"/>
      <c r="S421" s="173"/>
      <c r="T421" s="173"/>
      <c r="U421" s="173"/>
      <c r="V421" s="170"/>
      <c r="W421" s="170"/>
      <c r="X421" s="174"/>
      <c r="Y421" s="174"/>
      <c r="Z421" s="174"/>
      <c r="AA421" s="174"/>
      <c r="AB421" s="174"/>
      <c r="AC421" s="174"/>
      <c r="AD421" s="174"/>
      <c r="AE421" s="174"/>
      <c r="AF421" s="174"/>
      <c r="AG421" s="174"/>
      <c r="AH421" s="174"/>
    </row>
    <row r="422" spans="1:34">
      <c r="A422" s="169"/>
      <c r="B422" s="169"/>
      <c r="C422" s="169"/>
      <c r="D422" s="169"/>
      <c r="E422" s="170"/>
      <c r="F422" s="170"/>
      <c r="G422" s="170"/>
      <c r="H422" s="171"/>
      <c r="I422" s="171"/>
      <c r="J422" s="172"/>
      <c r="K422" s="171"/>
      <c r="L422" s="172"/>
      <c r="M422" s="172"/>
      <c r="N422" s="170"/>
      <c r="O422" s="173"/>
      <c r="P422" s="173"/>
      <c r="Q422" s="173"/>
      <c r="R422" s="173"/>
      <c r="S422" s="173"/>
      <c r="T422" s="173"/>
      <c r="U422" s="173"/>
      <c r="V422" s="170"/>
      <c r="W422" s="170"/>
      <c r="X422" s="174"/>
      <c r="Y422" s="174"/>
      <c r="Z422" s="174"/>
      <c r="AA422" s="174"/>
      <c r="AB422" s="174"/>
      <c r="AC422" s="174"/>
      <c r="AD422" s="174"/>
      <c r="AE422" s="174"/>
      <c r="AF422" s="174"/>
      <c r="AG422" s="174"/>
      <c r="AH422" s="174"/>
    </row>
    <row r="423" spans="1:34">
      <c r="A423" s="169"/>
      <c r="B423" s="169"/>
      <c r="C423" s="169"/>
      <c r="D423" s="169"/>
      <c r="E423" s="170"/>
      <c r="F423" s="170"/>
      <c r="G423" s="170"/>
      <c r="H423" s="171"/>
      <c r="I423" s="171"/>
      <c r="J423" s="172"/>
      <c r="K423" s="171"/>
      <c r="L423" s="172"/>
      <c r="M423" s="172"/>
      <c r="N423" s="170"/>
      <c r="O423" s="173"/>
      <c r="P423" s="173"/>
      <c r="Q423" s="173"/>
      <c r="R423" s="173"/>
      <c r="S423" s="173"/>
      <c r="T423" s="173"/>
      <c r="U423" s="173"/>
      <c r="V423" s="170"/>
      <c r="W423" s="170"/>
      <c r="X423" s="174"/>
      <c r="Y423" s="174"/>
      <c r="Z423" s="174"/>
      <c r="AA423" s="174"/>
      <c r="AB423" s="174"/>
      <c r="AC423" s="174"/>
      <c r="AD423" s="174"/>
      <c r="AE423" s="174"/>
      <c r="AF423" s="174"/>
      <c r="AG423" s="174"/>
      <c r="AH423" s="174"/>
    </row>
    <row r="424" spans="1:34">
      <c r="A424" s="169"/>
      <c r="B424" s="169"/>
      <c r="C424" s="169"/>
      <c r="D424" s="169"/>
      <c r="E424" s="170"/>
      <c r="F424" s="170"/>
      <c r="G424" s="170"/>
      <c r="H424" s="171"/>
      <c r="I424" s="171"/>
      <c r="J424" s="172"/>
      <c r="K424" s="171"/>
      <c r="L424" s="172"/>
      <c r="M424" s="172"/>
      <c r="N424" s="170"/>
      <c r="O424" s="173"/>
      <c r="P424" s="173"/>
      <c r="Q424" s="173"/>
      <c r="R424" s="173"/>
      <c r="S424" s="173"/>
      <c r="T424" s="173"/>
      <c r="U424" s="173"/>
      <c r="V424" s="170"/>
      <c r="W424" s="170"/>
      <c r="X424" s="174"/>
      <c r="Y424" s="174"/>
      <c r="Z424" s="174"/>
      <c r="AA424" s="174"/>
      <c r="AB424" s="174"/>
      <c r="AC424" s="174"/>
      <c r="AD424" s="174"/>
      <c r="AE424" s="174"/>
      <c r="AF424" s="174"/>
      <c r="AG424" s="174"/>
      <c r="AH424" s="174"/>
    </row>
    <row r="425" spans="1:34">
      <c r="A425" s="169"/>
      <c r="B425" s="169"/>
      <c r="C425" s="169"/>
      <c r="D425" s="169"/>
      <c r="E425" s="170"/>
      <c r="F425" s="170"/>
      <c r="G425" s="170"/>
      <c r="H425" s="171"/>
      <c r="I425" s="171"/>
      <c r="J425" s="172"/>
      <c r="K425" s="171"/>
      <c r="L425" s="172"/>
      <c r="M425" s="172"/>
      <c r="N425" s="170"/>
      <c r="O425" s="173"/>
      <c r="P425" s="173"/>
      <c r="Q425" s="173"/>
      <c r="R425" s="173"/>
      <c r="S425" s="173"/>
      <c r="T425" s="173"/>
      <c r="U425" s="173"/>
      <c r="V425" s="170"/>
      <c r="W425" s="170"/>
      <c r="X425" s="174"/>
      <c r="Y425" s="174"/>
      <c r="Z425" s="174"/>
      <c r="AA425" s="174"/>
      <c r="AB425" s="174"/>
      <c r="AC425" s="174"/>
      <c r="AD425" s="174"/>
      <c r="AE425" s="174"/>
      <c r="AF425" s="174"/>
      <c r="AG425" s="174"/>
      <c r="AH425" s="174"/>
    </row>
    <row r="426" spans="1:34">
      <c r="A426" s="169"/>
      <c r="B426" s="169"/>
      <c r="C426" s="169"/>
      <c r="D426" s="169"/>
      <c r="E426" s="170"/>
      <c r="F426" s="170"/>
      <c r="G426" s="170"/>
      <c r="H426" s="171"/>
      <c r="I426" s="171"/>
      <c r="J426" s="172"/>
      <c r="K426" s="171"/>
      <c r="L426" s="172"/>
      <c r="M426" s="172"/>
      <c r="N426" s="170"/>
      <c r="O426" s="173"/>
      <c r="P426" s="173"/>
      <c r="Q426" s="173"/>
      <c r="R426" s="173"/>
      <c r="S426" s="173"/>
      <c r="T426" s="173"/>
      <c r="U426" s="173"/>
      <c r="V426" s="170"/>
      <c r="W426" s="170"/>
      <c r="X426" s="174"/>
      <c r="Y426" s="174"/>
      <c r="Z426" s="174"/>
      <c r="AA426" s="174"/>
      <c r="AB426" s="174"/>
      <c r="AC426" s="174"/>
      <c r="AD426" s="174"/>
      <c r="AE426" s="174"/>
      <c r="AF426" s="174"/>
      <c r="AG426" s="174"/>
      <c r="AH426" s="174"/>
    </row>
    <row r="427" spans="1:34">
      <c r="A427" s="169"/>
      <c r="B427" s="169"/>
      <c r="C427" s="169"/>
      <c r="D427" s="169"/>
      <c r="E427" s="170"/>
      <c r="F427" s="170"/>
      <c r="G427" s="170"/>
      <c r="H427" s="171"/>
      <c r="I427" s="171"/>
      <c r="J427" s="172"/>
      <c r="K427" s="171"/>
      <c r="L427" s="172"/>
      <c r="M427" s="172"/>
      <c r="N427" s="170"/>
      <c r="O427" s="173"/>
      <c r="P427" s="173"/>
      <c r="Q427" s="173"/>
      <c r="R427" s="173"/>
      <c r="S427" s="173"/>
      <c r="T427" s="173"/>
      <c r="U427" s="173"/>
      <c r="V427" s="170"/>
      <c r="W427" s="170"/>
      <c r="X427" s="174"/>
      <c r="Y427" s="174"/>
      <c r="Z427" s="174"/>
      <c r="AA427" s="174"/>
      <c r="AB427" s="174"/>
      <c r="AC427" s="174"/>
      <c r="AD427" s="174"/>
      <c r="AE427" s="174"/>
      <c r="AF427" s="174"/>
      <c r="AG427" s="174"/>
      <c r="AH427" s="174"/>
    </row>
    <row r="428" spans="1:34">
      <c r="A428" s="169"/>
      <c r="B428" s="169"/>
      <c r="C428" s="169"/>
      <c r="D428" s="169"/>
      <c r="E428" s="170"/>
      <c r="F428" s="170"/>
      <c r="G428" s="170"/>
      <c r="H428" s="171"/>
      <c r="I428" s="171"/>
      <c r="J428" s="172"/>
      <c r="K428" s="171"/>
      <c r="L428" s="172"/>
      <c r="M428" s="172"/>
      <c r="N428" s="170"/>
      <c r="O428" s="173"/>
      <c r="P428" s="173"/>
      <c r="Q428" s="173"/>
      <c r="R428" s="173"/>
      <c r="S428" s="173"/>
      <c r="T428" s="173"/>
      <c r="U428" s="173"/>
      <c r="V428" s="170"/>
      <c r="W428" s="170"/>
      <c r="X428" s="174"/>
      <c r="Y428" s="174"/>
      <c r="Z428" s="174"/>
      <c r="AA428" s="174"/>
      <c r="AB428" s="174"/>
      <c r="AC428" s="174"/>
      <c r="AD428" s="174"/>
      <c r="AE428" s="174"/>
      <c r="AF428" s="174"/>
      <c r="AG428" s="174"/>
      <c r="AH428" s="174"/>
    </row>
    <row r="429" spans="1:34">
      <c r="A429" s="169"/>
      <c r="B429" s="169"/>
      <c r="C429" s="169"/>
      <c r="D429" s="169"/>
      <c r="E429" s="170"/>
      <c r="F429" s="170"/>
      <c r="G429" s="170"/>
      <c r="H429" s="171"/>
      <c r="I429" s="171"/>
      <c r="J429" s="172"/>
      <c r="K429" s="171"/>
      <c r="L429" s="172"/>
      <c r="M429" s="172"/>
      <c r="N429" s="170"/>
      <c r="O429" s="173"/>
      <c r="P429" s="173"/>
      <c r="Q429" s="173"/>
      <c r="R429" s="173"/>
      <c r="S429" s="173"/>
      <c r="T429" s="173"/>
      <c r="U429" s="173"/>
      <c r="V429" s="170"/>
      <c r="W429" s="170"/>
      <c r="X429" s="174"/>
      <c r="Y429" s="174"/>
      <c r="Z429" s="174"/>
      <c r="AA429" s="174"/>
      <c r="AB429" s="174"/>
      <c r="AC429" s="174"/>
      <c r="AD429" s="174"/>
      <c r="AE429" s="174"/>
      <c r="AF429" s="174"/>
      <c r="AG429" s="174"/>
      <c r="AH429" s="174"/>
    </row>
    <row r="430" spans="1:34">
      <c r="A430" s="169"/>
      <c r="B430" s="169"/>
      <c r="C430" s="169"/>
      <c r="D430" s="169"/>
      <c r="E430" s="170"/>
      <c r="F430" s="170"/>
      <c r="G430" s="170"/>
      <c r="H430" s="171"/>
      <c r="I430" s="171"/>
      <c r="J430" s="172"/>
      <c r="K430" s="171"/>
      <c r="L430" s="172"/>
      <c r="M430" s="172"/>
      <c r="N430" s="170"/>
      <c r="O430" s="173"/>
      <c r="P430" s="173"/>
      <c r="Q430" s="173"/>
      <c r="R430" s="173"/>
      <c r="S430" s="173"/>
      <c r="T430" s="173"/>
      <c r="U430" s="173"/>
      <c r="V430" s="170"/>
      <c r="W430" s="170"/>
      <c r="X430" s="174"/>
      <c r="Y430" s="174"/>
      <c r="Z430" s="174"/>
      <c r="AA430" s="174"/>
      <c r="AB430" s="174"/>
      <c r="AC430" s="174"/>
      <c r="AD430" s="174"/>
      <c r="AE430" s="174"/>
      <c r="AF430" s="174"/>
      <c r="AG430" s="174"/>
      <c r="AH430" s="174"/>
    </row>
    <row r="431" spans="1:34">
      <c r="A431" s="169"/>
      <c r="B431" s="169"/>
      <c r="C431" s="169"/>
      <c r="D431" s="169"/>
      <c r="E431" s="170"/>
      <c r="F431" s="170"/>
      <c r="G431" s="170"/>
      <c r="H431" s="171"/>
      <c r="I431" s="171"/>
      <c r="J431" s="172"/>
      <c r="K431" s="171"/>
      <c r="L431" s="172"/>
      <c r="M431" s="172"/>
      <c r="N431" s="170"/>
      <c r="O431" s="173"/>
      <c r="P431" s="173"/>
      <c r="Q431" s="173"/>
      <c r="R431" s="173"/>
      <c r="S431" s="173"/>
      <c r="T431" s="173"/>
      <c r="U431" s="173"/>
      <c r="V431" s="170"/>
      <c r="W431" s="170"/>
      <c r="X431" s="174"/>
      <c r="Y431" s="174"/>
      <c r="Z431" s="174"/>
      <c r="AA431" s="174"/>
      <c r="AB431" s="174"/>
      <c r="AC431" s="174"/>
      <c r="AD431" s="174"/>
      <c r="AE431" s="174"/>
      <c r="AF431" s="174"/>
      <c r="AG431" s="174"/>
      <c r="AH431" s="174"/>
    </row>
    <row r="432" spans="1:34">
      <c r="A432" s="169"/>
      <c r="B432" s="169"/>
      <c r="C432" s="169"/>
      <c r="D432" s="169"/>
      <c r="E432" s="170"/>
      <c r="F432" s="170"/>
      <c r="G432" s="170"/>
      <c r="H432" s="171"/>
      <c r="I432" s="171"/>
      <c r="J432" s="172"/>
      <c r="K432" s="171"/>
      <c r="L432" s="172"/>
      <c r="M432" s="172"/>
      <c r="N432" s="170"/>
      <c r="O432" s="173"/>
      <c r="P432" s="173"/>
      <c r="Q432" s="173"/>
      <c r="R432" s="173"/>
      <c r="S432" s="173"/>
      <c r="T432" s="173"/>
      <c r="U432" s="173"/>
      <c r="V432" s="170"/>
      <c r="W432" s="170"/>
      <c r="X432" s="174"/>
      <c r="Y432" s="174"/>
      <c r="Z432" s="174"/>
      <c r="AA432" s="174"/>
      <c r="AB432" s="174"/>
      <c r="AC432" s="174"/>
      <c r="AD432" s="174"/>
      <c r="AE432" s="174"/>
      <c r="AF432" s="174"/>
      <c r="AG432" s="174"/>
      <c r="AH432" s="174"/>
    </row>
    <row r="433" spans="1:34">
      <c r="A433" s="169"/>
      <c r="B433" s="169"/>
      <c r="C433" s="169"/>
      <c r="D433" s="169"/>
      <c r="E433" s="170"/>
      <c r="F433" s="170"/>
      <c r="G433" s="170"/>
      <c r="H433" s="171"/>
      <c r="I433" s="171"/>
      <c r="J433" s="172"/>
      <c r="K433" s="171"/>
      <c r="L433" s="172"/>
      <c r="M433" s="172"/>
      <c r="N433" s="170"/>
      <c r="O433" s="173"/>
      <c r="P433" s="173"/>
      <c r="Q433" s="173"/>
      <c r="R433" s="173"/>
      <c r="S433" s="173"/>
      <c r="T433" s="173"/>
      <c r="U433" s="173"/>
      <c r="V433" s="170"/>
      <c r="W433" s="170"/>
      <c r="X433" s="174"/>
      <c r="Y433" s="174"/>
      <c r="Z433" s="174"/>
      <c r="AA433" s="174"/>
      <c r="AB433" s="174"/>
      <c r="AC433" s="174"/>
      <c r="AD433" s="174"/>
      <c r="AE433" s="174"/>
      <c r="AF433" s="174"/>
      <c r="AG433" s="174"/>
      <c r="AH433" s="174"/>
    </row>
    <row r="434" spans="1:34">
      <c r="A434" s="169"/>
      <c r="B434" s="169"/>
      <c r="C434" s="169"/>
      <c r="D434" s="169"/>
      <c r="E434" s="170"/>
      <c r="F434" s="170"/>
      <c r="G434" s="170"/>
      <c r="H434" s="171"/>
      <c r="I434" s="171"/>
      <c r="J434" s="172"/>
      <c r="K434" s="171"/>
      <c r="L434" s="172"/>
      <c r="M434" s="172"/>
      <c r="N434" s="170"/>
      <c r="O434" s="173"/>
      <c r="P434" s="173"/>
      <c r="Q434" s="173"/>
      <c r="R434" s="173"/>
      <c r="S434" s="173"/>
      <c r="T434" s="173"/>
      <c r="U434" s="173"/>
      <c r="V434" s="170"/>
      <c r="W434" s="170"/>
      <c r="X434" s="174"/>
      <c r="Y434" s="174"/>
      <c r="Z434" s="174"/>
      <c r="AA434" s="174"/>
      <c r="AB434" s="174"/>
      <c r="AC434" s="174"/>
      <c r="AD434" s="174"/>
      <c r="AE434" s="174"/>
      <c r="AF434" s="174"/>
      <c r="AG434" s="174"/>
      <c r="AH434" s="174"/>
    </row>
    <row r="435" spans="1:34">
      <c r="A435" s="169"/>
      <c r="B435" s="169"/>
      <c r="C435" s="169"/>
      <c r="D435" s="169"/>
      <c r="E435" s="170"/>
      <c r="F435" s="170"/>
      <c r="G435" s="170"/>
      <c r="H435" s="171"/>
      <c r="I435" s="171"/>
      <c r="J435" s="172"/>
      <c r="K435" s="171"/>
      <c r="L435" s="172"/>
      <c r="M435" s="172"/>
      <c r="N435" s="170"/>
      <c r="O435" s="173"/>
      <c r="P435" s="173"/>
      <c r="Q435" s="173"/>
      <c r="R435" s="173"/>
      <c r="S435" s="173"/>
      <c r="T435" s="173"/>
      <c r="U435" s="173"/>
      <c r="V435" s="170"/>
      <c r="W435" s="170"/>
      <c r="X435" s="174"/>
      <c r="Y435" s="174"/>
      <c r="Z435" s="174"/>
      <c r="AA435" s="174"/>
      <c r="AB435" s="174"/>
      <c r="AC435" s="174"/>
      <c r="AD435" s="174"/>
      <c r="AE435" s="174"/>
      <c r="AF435" s="174"/>
      <c r="AG435" s="174"/>
      <c r="AH435" s="174"/>
    </row>
    <row r="436" spans="1:34">
      <c r="A436" s="169"/>
      <c r="B436" s="169"/>
      <c r="C436" s="169"/>
      <c r="D436" s="169"/>
      <c r="E436" s="170"/>
      <c r="F436" s="170"/>
      <c r="G436" s="170"/>
      <c r="H436" s="171"/>
      <c r="I436" s="171"/>
      <c r="J436" s="172"/>
      <c r="K436" s="171"/>
      <c r="L436" s="172"/>
      <c r="M436" s="172"/>
      <c r="N436" s="170"/>
      <c r="O436" s="173"/>
      <c r="P436" s="173"/>
      <c r="Q436" s="173"/>
      <c r="R436" s="173"/>
      <c r="S436" s="173"/>
      <c r="T436" s="173"/>
      <c r="U436" s="173"/>
      <c r="V436" s="170"/>
      <c r="W436" s="170"/>
      <c r="X436" s="174"/>
      <c r="Y436" s="174"/>
      <c r="Z436" s="174"/>
      <c r="AA436" s="174"/>
      <c r="AB436" s="174"/>
      <c r="AC436" s="174"/>
      <c r="AD436" s="174"/>
      <c r="AE436" s="174"/>
      <c r="AF436" s="174"/>
      <c r="AG436" s="174"/>
      <c r="AH436" s="174"/>
    </row>
    <row r="437" spans="1:34">
      <c r="A437" s="169"/>
      <c r="B437" s="169"/>
      <c r="C437" s="169"/>
      <c r="D437" s="169"/>
      <c r="E437" s="170"/>
      <c r="F437" s="170"/>
      <c r="G437" s="170"/>
      <c r="H437" s="171"/>
      <c r="I437" s="171"/>
      <c r="J437" s="172"/>
      <c r="K437" s="171"/>
      <c r="L437" s="172"/>
      <c r="M437" s="172"/>
      <c r="N437" s="170"/>
      <c r="O437" s="173"/>
      <c r="P437" s="173"/>
      <c r="Q437" s="173"/>
      <c r="R437" s="173"/>
      <c r="S437" s="173"/>
      <c r="T437" s="173"/>
      <c r="U437" s="173"/>
      <c r="V437" s="170"/>
      <c r="W437" s="170"/>
      <c r="X437" s="174"/>
      <c r="Y437" s="174"/>
      <c r="Z437" s="174"/>
      <c r="AA437" s="174"/>
      <c r="AB437" s="174"/>
      <c r="AC437" s="174"/>
      <c r="AD437" s="174"/>
      <c r="AE437" s="174"/>
      <c r="AF437" s="174"/>
      <c r="AG437" s="174"/>
      <c r="AH437" s="174"/>
    </row>
    <row r="438" spans="1:34">
      <c r="A438" s="169"/>
      <c r="B438" s="169"/>
      <c r="C438" s="169"/>
      <c r="D438" s="169"/>
      <c r="E438" s="170"/>
      <c r="F438" s="170"/>
      <c r="G438" s="170"/>
      <c r="H438" s="171"/>
      <c r="I438" s="171"/>
      <c r="J438" s="172"/>
      <c r="K438" s="171"/>
      <c r="L438" s="172"/>
      <c r="M438" s="172"/>
      <c r="N438" s="170"/>
      <c r="O438" s="173"/>
      <c r="P438" s="173"/>
      <c r="Q438" s="173"/>
      <c r="R438" s="173"/>
      <c r="S438" s="173"/>
      <c r="T438" s="173"/>
      <c r="U438" s="173"/>
      <c r="V438" s="170"/>
      <c r="W438" s="170"/>
      <c r="X438" s="174"/>
      <c r="Y438" s="174"/>
      <c r="Z438" s="174"/>
      <c r="AA438" s="174"/>
      <c r="AB438" s="174"/>
      <c r="AC438" s="174"/>
      <c r="AD438" s="174"/>
      <c r="AE438" s="174"/>
      <c r="AF438" s="174"/>
      <c r="AG438" s="174"/>
      <c r="AH438" s="174"/>
    </row>
    <row r="439" spans="1:34">
      <c r="A439" s="169"/>
      <c r="B439" s="169"/>
      <c r="C439" s="169"/>
      <c r="D439" s="169"/>
      <c r="E439" s="170"/>
      <c r="F439" s="170"/>
      <c r="G439" s="170"/>
      <c r="H439" s="171"/>
      <c r="I439" s="171"/>
      <c r="J439" s="172"/>
      <c r="K439" s="171"/>
      <c r="L439" s="172"/>
      <c r="M439" s="172"/>
      <c r="N439" s="170"/>
      <c r="O439" s="173"/>
      <c r="P439" s="173"/>
      <c r="Q439" s="173"/>
      <c r="R439" s="173"/>
      <c r="S439" s="173"/>
      <c r="T439" s="173"/>
      <c r="U439" s="173"/>
      <c r="V439" s="170"/>
      <c r="W439" s="170"/>
      <c r="X439" s="174"/>
      <c r="Y439" s="174"/>
      <c r="Z439" s="174"/>
      <c r="AA439" s="174"/>
      <c r="AB439" s="174"/>
      <c r="AC439" s="174"/>
      <c r="AD439" s="174"/>
      <c r="AE439" s="174"/>
      <c r="AF439" s="174"/>
      <c r="AG439" s="174"/>
      <c r="AH439" s="174"/>
    </row>
    <row r="440" spans="1:34">
      <c r="A440" s="169"/>
      <c r="B440" s="169"/>
      <c r="C440" s="169"/>
      <c r="D440" s="169"/>
      <c r="E440" s="170"/>
      <c r="F440" s="170"/>
      <c r="G440" s="170"/>
      <c r="H440" s="171"/>
      <c r="I440" s="171"/>
      <c r="J440" s="172"/>
      <c r="K440" s="171"/>
      <c r="L440" s="172"/>
      <c r="M440" s="172"/>
      <c r="N440" s="170"/>
      <c r="O440" s="173"/>
      <c r="P440" s="173"/>
      <c r="Q440" s="173"/>
      <c r="R440" s="173"/>
      <c r="S440" s="173"/>
      <c r="T440" s="173"/>
      <c r="U440" s="173"/>
      <c r="V440" s="170"/>
      <c r="W440" s="170"/>
      <c r="X440" s="174"/>
      <c r="Y440" s="174"/>
      <c r="Z440" s="174"/>
      <c r="AA440" s="174"/>
      <c r="AB440" s="174"/>
      <c r="AC440" s="174"/>
      <c r="AD440" s="174"/>
      <c r="AE440" s="174"/>
      <c r="AF440" s="174"/>
      <c r="AG440" s="174"/>
      <c r="AH440" s="174"/>
    </row>
    <row r="441" spans="1:34">
      <c r="A441" s="169"/>
      <c r="B441" s="169"/>
      <c r="C441" s="169"/>
      <c r="D441" s="169"/>
      <c r="E441" s="170"/>
      <c r="F441" s="170"/>
      <c r="G441" s="170"/>
      <c r="H441" s="171"/>
      <c r="I441" s="171"/>
      <c r="J441" s="172"/>
      <c r="K441" s="171"/>
      <c r="L441" s="172"/>
      <c r="M441" s="172"/>
      <c r="N441" s="170"/>
      <c r="O441" s="173"/>
      <c r="P441" s="173"/>
      <c r="Q441" s="173"/>
      <c r="R441" s="173"/>
      <c r="S441" s="173"/>
      <c r="T441" s="173"/>
      <c r="U441" s="173"/>
      <c r="V441" s="170"/>
      <c r="W441" s="170"/>
      <c r="X441" s="174"/>
      <c r="Y441" s="174"/>
      <c r="Z441" s="174"/>
      <c r="AA441" s="174"/>
      <c r="AB441" s="174"/>
      <c r="AC441" s="174"/>
      <c r="AD441" s="174"/>
      <c r="AE441" s="174"/>
      <c r="AF441" s="174"/>
      <c r="AG441" s="174"/>
      <c r="AH441" s="174"/>
    </row>
    <row r="442" spans="1:34">
      <c r="A442" s="169"/>
      <c r="B442" s="169"/>
      <c r="C442" s="169"/>
      <c r="D442" s="169"/>
      <c r="E442" s="170"/>
      <c r="F442" s="170"/>
      <c r="G442" s="170"/>
      <c r="H442" s="171"/>
      <c r="I442" s="171"/>
      <c r="J442" s="172"/>
      <c r="K442" s="171"/>
      <c r="L442" s="172"/>
      <c r="M442" s="172"/>
      <c r="N442" s="170"/>
      <c r="O442" s="173"/>
      <c r="P442" s="173"/>
      <c r="Q442" s="173"/>
      <c r="R442" s="173"/>
      <c r="S442" s="173"/>
      <c r="T442" s="173"/>
      <c r="U442" s="173"/>
      <c r="V442" s="170"/>
      <c r="W442" s="170"/>
      <c r="X442" s="174"/>
      <c r="Y442" s="174"/>
      <c r="Z442" s="174"/>
      <c r="AA442" s="174"/>
      <c r="AB442" s="174"/>
      <c r="AC442" s="174"/>
      <c r="AD442" s="174"/>
      <c r="AE442" s="174"/>
      <c r="AF442" s="174"/>
      <c r="AG442" s="174"/>
      <c r="AH442" s="174"/>
    </row>
    <row r="443" spans="1:34">
      <c r="A443" s="169"/>
      <c r="B443" s="169"/>
      <c r="C443" s="169"/>
      <c r="D443" s="169"/>
      <c r="E443" s="170"/>
      <c r="F443" s="170"/>
      <c r="G443" s="170"/>
      <c r="H443" s="171"/>
      <c r="I443" s="171"/>
      <c r="J443" s="172"/>
      <c r="K443" s="171"/>
      <c r="L443" s="172"/>
      <c r="M443" s="172"/>
      <c r="N443" s="170"/>
      <c r="O443" s="173"/>
      <c r="P443" s="173"/>
      <c r="Q443" s="173"/>
      <c r="R443" s="173"/>
      <c r="S443" s="173"/>
      <c r="T443" s="173"/>
      <c r="U443" s="173"/>
      <c r="V443" s="170"/>
      <c r="W443" s="170"/>
      <c r="X443" s="174"/>
      <c r="Y443" s="174"/>
      <c r="Z443" s="174"/>
      <c r="AA443" s="174"/>
      <c r="AB443" s="174"/>
      <c r="AC443" s="174"/>
      <c r="AD443" s="174"/>
      <c r="AE443" s="174"/>
      <c r="AF443" s="174"/>
      <c r="AG443" s="174"/>
      <c r="AH443" s="174"/>
    </row>
    <row r="444" spans="1:34">
      <c r="A444" s="169"/>
      <c r="B444" s="169"/>
      <c r="C444" s="169"/>
      <c r="D444" s="169"/>
      <c r="E444" s="170"/>
      <c r="F444" s="170"/>
      <c r="G444" s="170"/>
      <c r="H444" s="171"/>
      <c r="I444" s="171"/>
      <c r="J444" s="172"/>
      <c r="K444" s="171"/>
      <c r="L444" s="172"/>
      <c r="M444" s="172"/>
      <c r="N444" s="170"/>
      <c r="O444" s="173"/>
      <c r="P444" s="173"/>
      <c r="Q444" s="173"/>
      <c r="R444" s="173"/>
      <c r="S444" s="173"/>
      <c r="T444" s="173"/>
      <c r="U444" s="173"/>
      <c r="V444" s="170"/>
      <c r="W444" s="170"/>
      <c r="X444" s="174"/>
      <c r="Y444" s="174"/>
      <c r="Z444" s="174"/>
      <c r="AA444" s="174"/>
      <c r="AB444" s="174"/>
      <c r="AC444" s="174"/>
      <c r="AD444" s="174"/>
      <c r="AE444" s="174"/>
      <c r="AF444" s="174"/>
      <c r="AG444" s="174"/>
      <c r="AH444" s="174"/>
    </row>
    <row r="445" spans="1:34">
      <c r="A445" s="169"/>
      <c r="B445" s="169"/>
      <c r="C445" s="169"/>
      <c r="D445" s="169"/>
      <c r="E445" s="170"/>
      <c r="F445" s="170"/>
      <c r="G445" s="170"/>
      <c r="H445" s="171"/>
      <c r="I445" s="171"/>
      <c r="J445" s="172"/>
      <c r="K445" s="171"/>
      <c r="L445" s="172"/>
      <c r="M445" s="172"/>
      <c r="N445" s="170"/>
      <c r="O445" s="173"/>
      <c r="P445" s="173"/>
      <c r="Q445" s="173"/>
      <c r="R445" s="173"/>
      <c r="S445" s="173"/>
      <c r="T445" s="173"/>
      <c r="U445" s="173"/>
      <c r="V445" s="170"/>
      <c r="W445" s="170"/>
      <c r="X445" s="174"/>
      <c r="Y445" s="174"/>
      <c r="Z445" s="174"/>
      <c r="AA445" s="174"/>
      <c r="AB445" s="174"/>
      <c r="AC445" s="174"/>
      <c r="AD445" s="174"/>
      <c r="AE445" s="174"/>
      <c r="AF445" s="174"/>
      <c r="AG445" s="174"/>
      <c r="AH445" s="174"/>
    </row>
    <row r="446" spans="1:34">
      <c r="A446" s="169"/>
      <c r="B446" s="169"/>
      <c r="C446" s="169"/>
      <c r="D446" s="169"/>
      <c r="E446" s="170"/>
      <c r="F446" s="170"/>
      <c r="G446" s="170"/>
      <c r="H446" s="171"/>
      <c r="I446" s="171"/>
      <c r="J446" s="172"/>
      <c r="K446" s="171"/>
      <c r="L446" s="172"/>
      <c r="M446" s="172"/>
      <c r="N446" s="170"/>
      <c r="O446" s="173"/>
      <c r="P446" s="173"/>
      <c r="Q446" s="173"/>
      <c r="R446" s="173"/>
      <c r="S446" s="173"/>
      <c r="T446" s="173"/>
      <c r="U446" s="173"/>
      <c r="V446" s="170"/>
      <c r="W446" s="170"/>
      <c r="X446" s="174"/>
      <c r="Y446" s="174"/>
      <c r="Z446" s="174"/>
      <c r="AA446" s="174"/>
      <c r="AB446" s="174"/>
      <c r="AC446" s="174"/>
      <c r="AD446" s="174"/>
      <c r="AE446" s="174"/>
      <c r="AF446" s="174"/>
      <c r="AG446" s="174"/>
      <c r="AH446" s="174"/>
    </row>
    <row r="447" spans="1:34">
      <c r="A447" s="169"/>
      <c r="B447" s="169"/>
      <c r="C447" s="169"/>
      <c r="D447" s="169"/>
      <c r="E447" s="170"/>
      <c r="F447" s="170"/>
      <c r="G447" s="170"/>
      <c r="H447" s="171"/>
      <c r="I447" s="171"/>
      <c r="J447" s="172"/>
      <c r="K447" s="171"/>
      <c r="L447" s="172"/>
      <c r="M447" s="172"/>
      <c r="N447" s="170"/>
      <c r="O447" s="173"/>
      <c r="P447" s="173"/>
      <c r="Q447" s="173"/>
      <c r="R447" s="173"/>
      <c r="S447" s="173"/>
      <c r="T447" s="173"/>
      <c r="U447" s="173"/>
      <c r="V447" s="170"/>
      <c r="W447" s="170"/>
      <c r="X447" s="174"/>
      <c r="Y447" s="174"/>
      <c r="Z447" s="174"/>
      <c r="AA447" s="174"/>
      <c r="AB447" s="174"/>
      <c r="AC447" s="174"/>
      <c r="AD447" s="174"/>
      <c r="AE447" s="174"/>
      <c r="AF447" s="174"/>
      <c r="AG447" s="174"/>
      <c r="AH447" s="174"/>
    </row>
    <row r="448" spans="1:34">
      <c r="A448" s="169"/>
      <c r="B448" s="169"/>
      <c r="C448" s="169"/>
      <c r="D448" s="169"/>
      <c r="E448" s="170"/>
      <c r="F448" s="170"/>
      <c r="G448" s="170"/>
      <c r="H448" s="171"/>
      <c r="I448" s="171"/>
      <c r="J448" s="172"/>
      <c r="K448" s="171"/>
      <c r="L448" s="172"/>
      <c r="M448" s="172"/>
      <c r="N448" s="170"/>
      <c r="O448" s="173"/>
      <c r="P448" s="173"/>
      <c r="Q448" s="173"/>
      <c r="R448" s="173"/>
      <c r="S448" s="173"/>
      <c r="T448" s="173"/>
      <c r="U448" s="173"/>
      <c r="V448" s="170"/>
      <c r="W448" s="170"/>
      <c r="X448" s="174"/>
      <c r="Y448" s="174"/>
      <c r="Z448" s="174"/>
      <c r="AA448" s="174"/>
      <c r="AB448" s="174"/>
      <c r="AC448" s="174"/>
      <c r="AD448" s="174"/>
      <c r="AE448" s="174"/>
      <c r="AF448" s="174"/>
      <c r="AG448" s="174"/>
      <c r="AH448" s="174"/>
    </row>
    <row r="449" spans="1:34">
      <c r="A449" s="169"/>
      <c r="B449" s="169"/>
      <c r="C449" s="169"/>
      <c r="D449" s="169"/>
      <c r="E449" s="170"/>
      <c r="F449" s="170"/>
      <c r="G449" s="170"/>
      <c r="H449" s="171"/>
      <c r="I449" s="171"/>
      <c r="J449" s="172"/>
      <c r="K449" s="171"/>
      <c r="L449" s="172"/>
      <c r="M449" s="172"/>
      <c r="N449" s="170"/>
      <c r="O449" s="173"/>
      <c r="P449" s="173"/>
      <c r="Q449" s="173"/>
      <c r="R449" s="173"/>
      <c r="S449" s="173"/>
      <c r="T449" s="173"/>
      <c r="U449" s="173"/>
      <c r="V449" s="170"/>
      <c r="W449" s="170"/>
      <c r="X449" s="174"/>
      <c r="Y449" s="174"/>
      <c r="Z449" s="174"/>
      <c r="AA449" s="174"/>
      <c r="AB449" s="174"/>
      <c r="AC449" s="174"/>
      <c r="AD449" s="174"/>
      <c r="AE449" s="174"/>
      <c r="AF449" s="174"/>
      <c r="AG449" s="174"/>
      <c r="AH449" s="174"/>
    </row>
    <row r="450" spans="1:34">
      <c r="A450" s="169"/>
      <c r="B450" s="169"/>
      <c r="C450" s="169"/>
      <c r="D450" s="169"/>
      <c r="E450" s="170"/>
      <c r="F450" s="170"/>
      <c r="G450" s="170"/>
      <c r="H450" s="171"/>
      <c r="I450" s="171"/>
      <c r="J450" s="172"/>
      <c r="K450" s="171"/>
      <c r="L450" s="172"/>
      <c r="M450" s="172"/>
      <c r="N450" s="170"/>
      <c r="O450" s="173"/>
      <c r="P450" s="173"/>
      <c r="Q450" s="173"/>
      <c r="R450" s="173"/>
      <c r="S450" s="173"/>
      <c r="T450" s="173"/>
      <c r="U450" s="173"/>
      <c r="V450" s="170"/>
      <c r="W450" s="170"/>
      <c r="X450" s="174"/>
      <c r="Y450" s="174"/>
      <c r="Z450" s="174"/>
      <c r="AA450" s="174"/>
      <c r="AB450" s="174"/>
      <c r="AC450" s="174"/>
      <c r="AD450" s="174"/>
      <c r="AE450" s="174"/>
      <c r="AF450" s="174"/>
      <c r="AG450" s="174"/>
      <c r="AH450" s="174"/>
    </row>
    <row r="451" spans="1:34">
      <c r="A451" s="169"/>
      <c r="B451" s="169"/>
      <c r="C451" s="169"/>
      <c r="D451" s="169"/>
      <c r="E451" s="170"/>
      <c r="F451" s="170"/>
      <c r="G451" s="170"/>
      <c r="H451" s="171"/>
      <c r="I451" s="171"/>
      <c r="J451" s="172"/>
      <c r="K451" s="171"/>
      <c r="L451" s="172"/>
      <c r="M451" s="172"/>
      <c r="N451" s="170"/>
      <c r="O451" s="173"/>
      <c r="P451" s="173"/>
      <c r="Q451" s="173"/>
      <c r="R451" s="173"/>
      <c r="S451" s="173"/>
      <c r="T451" s="173"/>
      <c r="U451" s="173"/>
      <c r="V451" s="170"/>
      <c r="W451" s="170"/>
      <c r="X451" s="174"/>
      <c r="Y451" s="174"/>
      <c r="Z451" s="174"/>
      <c r="AA451" s="174"/>
      <c r="AB451" s="174"/>
      <c r="AC451" s="174"/>
      <c r="AD451" s="174"/>
      <c r="AE451" s="174"/>
      <c r="AF451" s="174"/>
      <c r="AG451" s="174"/>
      <c r="AH451" s="174"/>
    </row>
    <row r="452" spans="1:34">
      <c r="A452" s="169"/>
      <c r="B452" s="169"/>
      <c r="C452" s="169"/>
      <c r="D452" s="169"/>
      <c r="E452" s="170"/>
      <c r="F452" s="170"/>
      <c r="G452" s="170"/>
      <c r="H452" s="171"/>
      <c r="I452" s="171"/>
      <c r="J452" s="172"/>
      <c r="K452" s="171"/>
      <c r="L452" s="172"/>
      <c r="M452" s="172"/>
      <c r="N452" s="170"/>
      <c r="O452" s="173"/>
      <c r="P452" s="173"/>
      <c r="Q452" s="173"/>
      <c r="R452" s="173"/>
      <c r="S452" s="173"/>
      <c r="T452" s="173"/>
      <c r="U452" s="173"/>
      <c r="V452" s="170"/>
      <c r="W452" s="170"/>
      <c r="X452" s="174"/>
      <c r="Y452" s="174"/>
      <c r="Z452" s="174"/>
      <c r="AA452" s="174"/>
      <c r="AB452" s="174"/>
      <c r="AC452" s="174"/>
      <c r="AD452" s="174"/>
      <c r="AE452" s="174"/>
      <c r="AF452" s="174"/>
      <c r="AG452" s="174"/>
      <c r="AH452" s="174"/>
    </row>
    <row r="453" spans="1:34">
      <c r="A453" s="169"/>
      <c r="B453" s="169"/>
      <c r="C453" s="169"/>
      <c r="D453" s="169"/>
      <c r="E453" s="170"/>
      <c r="F453" s="170"/>
      <c r="G453" s="170"/>
      <c r="H453" s="171"/>
      <c r="I453" s="171"/>
      <c r="J453" s="172"/>
      <c r="K453" s="171"/>
      <c r="L453" s="172"/>
      <c r="M453" s="172"/>
      <c r="N453" s="170"/>
      <c r="O453" s="173"/>
      <c r="P453" s="173"/>
      <c r="Q453" s="173"/>
      <c r="R453" s="173"/>
      <c r="S453" s="173"/>
      <c r="T453" s="173"/>
      <c r="U453" s="173"/>
      <c r="V453" s="170"/>
      <c r="W453" s="170"/>
      <c r="X453" s="174"/>
      <c r="Y453" s="174"/>
      <c r="Z453" s="174"/>
      <c r="AA453" s="174"/>
      <c r="AB453" s="174"/>
      <c r="AC453" s="174"/>
      <c r="AD453" s="174"/>
      <c r="AE453" s="174"/>
      <c r="AF453" s="174"/>
      <c r="AG453" s="174"/>
      <c r="AH453" s="174"/>
    </row>
    <row r="454" spans="1:34">
      <c r="A454" s="169"/>
      <c r="B454" s="169"/>
      <c r="C454" s="169"/>
      <c r="D454" s="169"/>
      <c r="E454" s="170"/>
      <c r="F454" s="170"/>
      <c r="G454" s="170"/>
      <c r="H454" s="171"/>
      <c r="I454" s="171"/>
      <c r="J454" s="172"/>
      <c r="K454" s="171"/>
      <c r="L454" s="172"/>
      <c r="M454" s="172"/>
      <c r="N454" s="170"/>
      <c r="O454" s="173"/>
      <c r="P454" s="173"/>
      <c r="Q454" s="173"/>
      <c r="R454" s="173"/>
      <c r="S454" s="173"/>
      <c r="T454" s="173"/>
      <c r="U454" s="173"/>
      <c r="V454" s="170"/>
      <c r="W454" s="170"/>
      <c r="X454" s="174"/>
      <c r="Y454" s="174"/>
      <c r="Z454" s="174"/>
      <c r="AA454" s="174"/>
      <c r="AB454" s="174"/>
      <c r="AC454" s="174"/>
      <c r="AD454" s="174"/>
      <c r="AE454" s="174"/>
      <c r="AF454" s="174"/>
      <c r="AG454" s="174"/>
      <c r="AH454" s="174"/>
    </row>
    <row r="455" spans="1:34">
      <c r="A455" s="169"/>
      <c r="B455" s="169"/>
      <c r="C455" s="169"/>
      <c r="D455" s="169"/>
      <c r="E455" s="170"/>
      <c r="F455" s="170"/>
      <c r="G455" s="170"/>
      <c r="H455" s="171"/>
      <c r="I455" s="171"/>
      <c r="J455" s="172"/>
      <c r="K455" s="171"/>
      <c r="L455" s="172"/>
      <c r="M455" s="172"/>
      <c r="N455" s="170"/>
      <c r="O455" s="173"/>
      <c r="P455" s="173"/>
      <c r="Q455" s="173"/>
      <c r="R455" s="173"/>
      <c r="S455" s="173"/>
      <c r="T455" s="173"/>
      <c r="U455" s="173"/>
      <c r="V455" s="170"/>
      <c r="W455" s="170"/>
      <c r="X455" s="174"/>
      <c r="Y455" s="174"/>
      <c r="Z455" s="174"/>
      <c r="AA455" s="174"/>
      <c r="AB455" s="174"/>
      <c r="AC455" s="174"/>
      <c r="AD455" s="174"/>
      <c r="AE455" s="174"/>
      <c r="AF455" s="174"/>
      <c r="AG455" s="174"/>
      <c r="AH455" s="174"/>
    </row>
    <row r="456" spans="1:34">
      <c r="A456" s="169"/>
      <c r="B456" s="169"/>
      <c r="C456" s="169"/>
      <c r="D456" s="169"/>
      <c r="E456" s="170"/>
      <c r="F456" s="170"/>
      <c r="G456" s="170"/>
      <c r="H456" s="171"/>
      <c r="I456" s="171"/>
      <c r="J456" s="172"/>
      <c r="K456" s="171"/>
      <c r="L456" s="172"/>
      <c r="M456" s="172"/>
      <c r="N456" s="170"/>
      <c r="O456" s="173"/>
      <c r="P456" s="173"/>
      <c r="Q456" s="173"/>
      <c r="R456" s="173"/>
      <c r="S456" s="173"/>
      <c r="T456" s="173"/>
      <c r="U456" s="173"/>
      <c r="V456" s="170"/>
      <c r="W456" s="170"/>
      <c r="X456" s="174"/>
      <c r="Y456" s="174"/>
      <c r="Z456" s="174"/>
      <c r="AA456" s="174"/>
      <c r="AB456" s="174"/>
      <c r="AC456" s="174"/>
      <c r="AD456" s="174"/>
      <c r="AE456" s="174"/>
      <c r="AF456" s="174"/>
      <c r="AG456" s="174"/>
      <c r="AH456" s="174"/>
    </row>
    <row r="457" spans="1:34">
      <c r="A457" s="169"/>
      <c r="B457" s="169"/>
      <c r="C457" s="169"/>
      <c r="D457" s="169"/>
      <c r="E457" s="170"/>
      <c r="F457" s="170"/>
      <c r="G457" s="170"/>
      <c r="H457" s="171"/>
      <c r="I457" s="171"/>
      <c r="J457" s="172"/>
      <c r="K457" s="171"/>
      <c r="L457" s="172"/>
      <c r="M457" s="172"/>
      <c r="N457" s="170"/>
      <c r="O457" s="173"/>
      <c r="P457" s="173"/>
      <c r="Q457" s="173"/>
      <c r="R457" s="173"/>
      <c r="S457" s="173"/>
      <c r="T457" s="173"/>
      <c r="U457" s="173"/>
      <c r="V457" s="170"/>
      <c r="W457" s="170"/>
      <c r="X457" s="174"/>
      <c r="Y457" s="174"/>
      <c r="Z457" s="174"/>
      <c r="AA457" s="174"/>
      <c r="AB457" s="174"/>
      <c r="AC457" s="174"/>
      <c r="AD457" s="174"/>
      <c r="AE457" s="174"/>
      <c r="AF457" s="174"/>
      <c r="AG457" s="174"/>
      <c r="AH457" s="174"/>
    </row>
    <row r="458" spans="1:34">
      <c r="A458" s="169"/>
      <c r="B458" s="169"/>
      <c r="C458" s="169"/>
      <c r="D458" s="169"/>
      <c r="E458" s="170"/>
      <c r="F458" s="170"/>
      <c r="G458" s="170"/>
      <c r="H458" s="171"/>
      <c r="I458" s="171"/>
      <c r="J458" s="172"/>
      <c r="K458" s="171"/>
      <c r="L458" s="172"/>
      <c r="M458" s="172"/>
      <c r="N458" s="170"/>
      <c r="O458" s="173"/>
      <c r="P458" s="173"/>
      <c r="Q458" s="173"/>
      <c r="R458" s="173"/>
      <c r="S458" s="173"/>
      <c r="T458" s="173"/>
      <c r="U458" s="173"/>
      <c r="V458" s="170"/>
      <c r="W458" s="170"/>
      <c r="X458" s="174"/>
      <c r="Y458" s="174"/>
      <c r="Z458" s="174"/>
      <c r="AA458" s="174"/>
      <c r="AB458" s="174"/>
      <c r="AC458" s="174"/>
      <c r="AD458" s="174"/>
      <c r="AE458" s="174"/>
      <c r="AF458" s="174"/>
      <c r="AG458" s="174"/>
      <c r="AH458" s="174"/>
    </row>
    <row r="459" spans="1:34">
      <c r="A459" s="169"/>
      <c r="B459" s="169"/>
      <c r="C459" s="169"/>
      <c r="D459" s="169"/>
      <c r="E459" s="170"/>
      <c r="F459" s="170"/>
      <c r="G459" s="170"/>
      <c r="H459" s="171"/>
      <c r="I459" s="171"/>
      <c r="J459" s="172"/>
      <c r="K459" s="171"/>
      <c r="L459" s="172"/>
      <c r="M459" s="172"/>
      <c r="N459" s="170"/>
      <c r="O459" s="173"/>
      <c r="P459" s="173"/>
      <c r="Q459" s="173"/>
      <c r="R459" s="173"/>
      <c r="S459" s="173"/>
      <c r="T459" s="173"/>
      <c r="U459" s="173"/>
      <c r="V459" s="170"/>
      <c r="W459" s="170"/>
      <c r="X459" s="174"/>
      <c r="Y459" s="174"/>
      <c r="Z459" s="174"/>
      <c r="AA459" s="174"/>
      <c r="AB459" s="174"/>
      <c r="AC459" s="174"/>
      <c r="AD459" s="174"/>
      <c r="AE459" s="174"/>
      <c r="AF459" s="174"/>
      <c r="AG459" s="174"/>
      <c r="AH459" s="174"/>
    </row>
    <row r="460" spans="1:34">
      <c r="A460" s="169"/>
      <c r="B460" s="169"/>
      <c r="C460" s="169"/>
      <c r="D460" s="169"/>
      <c r="E460" s="170"/>
      <c r="F460" s="170"/>
      <c r="G460" s="170"/>
      <c r="H460" s="171"/>
      <c r="I460" s="171"/>
      <c r="J460" s="172"/>
      <c r="K460" s="171"/>
      <c r="L460" s="172"/>
      <c r="M460" s="172"/>
      <c r="N460" s="170"/>
      <c r="O460" s="173"/>
      <c r="P460" s="173"/>
      <c r="Q460" s="173"/>
      <c r="R460" s="173"/>
      <c r="S460" s="173"/>
      <c r="T460" s="173"/>
      <c r="U460" s="173"/>
      <c r="V460" s="170"/>
      <c r="W460" s="170"/>
      <c r="X460" s="174"/>
      <c r="Y460" s="174"/>
      <c r="Z460" s="174"/>
      <c r="AA460" s="174"/>
      <c r="AB460" s="174"/>
      <c r="AC460" s="174"/>
      <c r="AD460" s="174"/>
      <c r="AE460" s="174"/>
      <c r="AF460" s="174"/>
      <c r="AG460" s="174"/>
      <c r="AH460" s="174"/>
    </row>
    <row r="461" spans="1:34">
      <c r="A461" s="169"/>
      <c r="B461" s="169"/>
      <c r="C461" s="169"/>
      <c r="D461" s="169"/>
      <c r="E461" s="170"/>
      <c r="F461" s="170"/>
      <c r="G461" s="170"/>
      <c r="H461" s="171"/>
      <c r="I461" s="171"/>
      <c r="J461" s="172"/>
      <c r="K461" s="171"/>
      <c r="L461" s="172"/>
      <c r="M461" s="172"/>
      <c r="N461" s="170"/>
      <c r="O461" s="173"/>
      <c r="P461" s="173"/>
      <c r="Q461" s="173"/>
      <c r="R461" s="173"/>
      <c r="S461" s="173"/>
      <c r="T461" s="173"/>
      <c r="U461" s="173"/>
      <c r="V461" s="170"/>
      <c r="W461" s="170"/>
      <c r="X461" s="174"/>
      <c r="Y461" s="174"/>
      <c r="Z461" s="174"/>
      <c r="AA461" s="174"/>
      <c r="AB461" s="174"/>
      <c r="AC461" s="174"/>
      <c r="AD461" s="174"/>
      <c r="AE461" s="174"/>
      <c r="AF461" s="174"/>
      <c r="AG461" s="174"/>
      <c r="AH461" s="174"/>
    </row>
    <row r="462" spans="1:34">
      <c r="A462" s="169"/>
      <c r="B462" s="169"/>
      <c r="C462" s="169"/>
      <c r="D462" s="169"/>
      <c r="E462" s="170"/>
      <c r="F462" s="170"/>
      <c r="G462" s="170"/>
      <c r="H462" s="171"/>
      <c r="I462" s="171"/>
      <c r="J462" s="172"/>
      <c r="K462" s="171"/>
      <c r="L462" s="172"/>
      <c r="M462" s="172"/>
      <c r="N462" s="170"/>
      <c r="O462" s="173"/>
      <c r="P462" s="173"/>
      <c r="Q462" s="173"/>
      <c r="R462" s="173"/>
      <c r="S462" s="173"/>
      <c r="T462" s="173"/>
      <c r="U462" s="173"/>
      <c r="V462" s="170"/>
      <c r="W462" s="170"/>
      <c r="X462" s="174"/>
      <c r="Y462" s="174"/>
      <c r="Z462" s="174"/>
      <c r="AA462" s="174"/>
      <c r="AB462" s="174"/>
      <c r="AC462" s="174"/>
      <c r="AD462" s="174"/>
      <c r="AE462" s="174"/>
      <c r="AF462" s="174"/>
      <c r="AG462" s="174"/>
      <c r="AH462" s="174"/>
    </row>
    <row r="463" spans="1:34">
      <c r="A463" s="169"/>
      <c r="B463" s="169"/>
      <c r="C463" s="169"/>
      <c r="D463" s="169"/>
      <c r="E463" s="170"/>
      <c r="F463" s="170"/>
      <c r="G463" s="170"/>
      <c r="H463" s="171"/>
      <c r="I463" s="171"/>
      <c r="J463" s="172"/>
      <c r="K463" s="171"/>
      <c r="L463" s="172"/>
      <c r="M463" s="172"/>
      <c r="N463" s="170"/>
      <c r="O463" s="173"/>
      <c r="P463" s="173"/>
      <c r="Q463" s="173"/>
      <c r="R463" s="173"/>
      <c r="S463" s="173"/>
      <c r="T463" s="173"/>
      <c r="U463" s="173"/>
      <c r="V463" s="170"/>
      <c r="W463" s="170"/>
      <c r="X463" s="174"/>
      <c r="Y463" s="174"/>
      <c r="Z463" s="174"/>
      <c r="AA463" s="174"/>
      <c r="AB463" s="174"/>
      <c r="AC463" s="174"/>
      <c r="AD463" s="174"/>
      <c r="AE463" s="174"/>
      <c r="AF463" s="174"/>
      <c r="AG463" s="174"/>
      <c r="AH463" s="174"/>
    </row>
    <row r="464" spans="1:34">
      <c r="A464" s="169"/>
      <c r="B464" s="169"/>
      <c r="C464" s="169"/>
      <c r="D464" s="169"/>
      <c r="E464" s="170"/>
      <c r="F464" s="170"/>
      <c r="G464" s="170"/>
      <c r="H464" s="171"/>
      <c r="I464" s="171"/>
      <c r="J464" s="172"/>
      <c r="K464" s="171"/>
      <c r="L464" s="172"/>
      <c r="M464" s="172"/>
      <c r="N464" s="170"/>
      <c r="O464" s="173"/>
      <c r="P464" s="173"/>
      <c r="Q464" s="173"/>
      <c r="R464" s="173"/>
      <c r="S464" s="173"/>
      <c r="T464" s="173"/>
      <c r="U464" s="173"/>
      <c r="V464" s="170"/>
      <c r="W464" s="170"/>
      <c r="X464" s="174"/>
      <c r="Y464" s="174"/>
      <c r="Z464" s="174"/>
      <c r="AA464" s="174"/>
      <c r="AB464" s="174"/>
      <c r="AC464" s="174"/>
      <c r="AD464" s="174"/>
      <c r="AE464" s="174"/>
      <c r="AF464" s="174"/>
      <c r="AG464" s="174"/>
      <c r="AH464" s="174"/>
    </row>
    <row r="465" spans="1:34">
      <c r="A465" s="169"/>
      <c r="B465" s="169"/>
      <c r="C465" s="169"/>
      <c r="D465" s="169"/>
      <c r="E465" s="170"/>
      <c r="F465" s="170"/>
      <c r="G465" s="170"/>
      <c r="H465" s="171"/>
      <c r="I465" s="171"/>
      <c r="J465" s="172"/>
      <c r="K465" s="171"/>
      <c r="L465" s="172"/>
      <c r="M465" s="172"/>
      <c r="N465" s="170"/>
      <c r="O465" s="173"/>
      <c r="P465" s="173"/>
      <c r="Q465" s="173"/>
      <c r="R465" s="173"/>
      <c r="S465" s="173"/>
      <c r="T465" s="173"/>
      <c r="U465" s="173"/>
      <c r="V465" s="170"/>
      <c r="W465" s="170"/>
      <c r="X465" s="174"/>
      <c r="Y465" s="174"/>
      <c r="Z465" s="174"/>
      <c r="AA465" s="174"/>
      <c r="AB465" s="174"/>
      <c r="AC465" s="174"/>
      <c r="AD465" s="174"/>
      <c r="AE465" s="174"/>
      <c r="AF465" s="174"/>
      <c r="AG465" s="174"/>
      <c r="AH465" s="174"/>
    </row>
    <row r="466" spans="1:34">
      <c r="A466" s="169"/>
      <c r="B466" s="169"/>
      <c r="C466" s="169"/>
      <c r="D466" s="169"/>
      <c r="E466" s="170"/>
      <c r="F466" s="170"/>
      <c r="G466" s="170"/>
      <c r="H466" s="171"/>
      <c r="I466" s="171"/>
      <c r="J466" s="172"/>
      <c r="K466" s="171"/>
      <c r="L466" s="172"/>
      <c r="M466" s="172"/>
      <c r="N466" s="170"/>
      <c r="O466" s="173"/>
      <c r="P466" s="173"/>
      <c r="Q466" s="173"/>
      <c r="R466" s="173"/>
      <c r="S466" s="173"/>
      <c r="T466" s="173"/>
      <c r="U466" s="173"/>
      <c r="V466" s="170"/>
      <c r="W466" s="170"/>
      <c r="X466" s="174"/>
      <c r="Y466" s="174"/>
      <c r="Z466" s="174"/>
      <c r="AA466" s="174"/>
      <c r="AB466" s="174"/>
      <c r="AC466" s="174"/>
      <c r="AD466" s="174"/>
      <c r="AE466" s="174"/>
      <c r="AF466" s="174"/>
      <c r="AG466" s="174"/>
      <c r="AH466" s="174"/>
    </row>
    <row r="467" spans="1:34">
      <c r="A467" s="169"/>
      <c r="B467" s="169"/>
      <c r="C467" s="169"/>
      <c r="D467" s="169"/>
      <c r="E467" s="170"/>
      <c r="F467" s="170"/>
      <c r="G467" s="170"/>
      <c r="H467" s="171"/>
      <c r="I467" s="171"/>
      <c r="J467" s="172"/>
      <c r="K467" s="171"/>
      <c r="L467" s="172"/>
      <c r="M467" s="172"/>
      <c r="N467" s="170"/>
      <c r="O467" s="173"/>
      <c r="P467" s="173"/>
      <c r="Q467" s="173"/>
      <c r="R467" s="173"/>
      <c r="S467" s="173"/>
      <c r="T467" s="173"/>
      <c r="U467" s="173"/>
      <c r="V467" s="170"/>
      <c r="W467" s="170"/>
      <c r="X467" s="174"/>
      <c r="Y467" s="174"/>
      <c r="Z467" s="174"/>
      <c r="AA467" s="174"/>
      <c r="AB467" s="174"/>
      <c r="AC467" s="174"/>
      <c r="AD467" s="174"/>
      <c r="AE467" s="174"/>
      <c r="AF467" s="174"/>
      <c r="AG467" s="174"/>
      <c r="AH467" s="174"/>
    </row>
    <row r="468" spans="1:34">
      <c r="A468" s="169"/>
      <c r="B468" s="169"/>
      <c r="C468" s="169"/>
      <c r="D468" s="169"/>
      <c r="E468" s="170"/>
      <c r="F468" s="170"/>
      <c r="G468" s="170"/>
      <c r="H468" s="171"/>
      <c r="I468" s="171"/>
      <c r="J468" s="172"/>
      <c r="K468" s="171"/>
      <c r="L468" s="172"/>
      <c r="M468" s="172"/>
      <c r="N468" s="170"/>
      <c r="O468" s="173"/>
      <c r="P468" s="173"/>
      <c r="Q468" s="173"/>
      <c r="R468" s="173"/>
      <c r="S468" s="173"/>
      <c r="T468" s="173"/>
      <c r="U468" s="173"/>
      <c r="V468" s="170"/>
      <c r="W468" s="170"/>
      <c r="X468" s="174"/>
      <c r="Y468" s="174"/>
      <c r="Z468" s="174"/>
      <c r="AA468" s="174"/>
      <c r="AB468" s="174"/>
      <c r="AC468" s="174"/>
      <c r="AD468" s="174"/>
      <c r="AE468" s="174"/>
      <c r="AF468" s="174"/>
      <c r="AG468" s="174"/>
      <c r="AH468" s="174"/>
    </row>
    <row r="469" spans="1:34">
      <c r="A469" s="169"/>
      <c r="B469" s="169"/>
      <c r="C469" s="169"/>
      <c r="D469" s="169"/>
      <c r="E469" s="170"/>
      <c r="F469" s="170"/>
      <c r="G469" s="170"/>
      <c r="H469" s="171"/>
      <c r="I469" s="171"/>
      <c r="J469" s="172"/>
      <c r="K469" s="171"/>
      <c r="L469" s="172"/>
      <c r="M469" s="172"/>
      <c r="N469" s="170"/>
      <c r="O469" s="173"/>
      <c r="P469" s="173"/>
      <c r="Q469" s="173"/>
      <c r="R469" s="173"/>
      <c r="S469" s="173"/>
      <c r="T469" s="173"/>
      <c r="U469" s="173"/>
      <c r="V469" s="170"/>
      <c r="W469" s="170"/>
      <c r="X469" s="174"/>
      <c r="Y469" s="174"/>
      <c r="Z469" s="174"/>
      <c r="AA469" s="174"/>
      <c r="AB469" s="174"/>
      <c r="AC469" s="174"/>
      <c r="AD469" s="174"/>
      <c r="AE469" s="174"/>
      <c r="AF469" s="174"/>
      <c r="AG469" s="174"/>
      <c r="AH469" s="174"/>
    </row>
    <row r="470" spans="1:34">
      <c r="A470" s="169"/>
      <c r="B470" s="169"/>
      <c r="C470" s="169"/>
      <c r="D470" s="169"/>
      <c r="E470" s="170"/>
      <c r="F470" s="170"/>
      <c r="G470" s="170"/>
      <c r="H470" s="171"/>
      <c r="I470" s="171"/>
      <c r="J470" s="172"/>
      <c r="K470" s="171"/>
      <c r="L470" s="172"/>
      <c r="M470" s="172"/>
      <c r="N470" s="170"/>
      <c r="O470" s="173"/>
      <c r="P470" s="173"/>
      <c r="Q470" s="173"/>
      <c r="R470" s="173"/>
      <c r="S470" s="173"/>
      <c r="T470" s="173"/>
      <c r="U470" s="173"/>
      <c r="V470" s="170"/>
      <c r="W470" s="170"/>
      <c r="X470" s="174"/>
      <c r="Y470" s="174"/>
      <c r="Z470" s="174"/>
      <c r="AA470" s="174"/>
      <c r="AB470" s="174"/>
      <c r="AC470" s="174"/>
      <c r="AD470" s="174"/>
      <c r="AE470" s="174"/>
      <c r="AF470" s="174"/>
      <c r="AG470" s="174"/>
      <c r="AH470" s="174"/>
    </row>
    <row r="471" spans="1:34">
      <c r="A471" s="169"/>
      <c r="B471" s="169"/>
      <c r="C471" s="169"/>
      <c r="D471" s="169"/>
      <c r="E471" s="170"/>
      <c r="F471" s="170"/>
      <c r="G471" s="170"/>
      <c r="H471" s="171"/>
      <c r="I471" s="171"/>
      <c r="J471" s="172"/>
      <c r="K471" s="171"/>
      <c r="L471" s="172"/>
      <c r="M471" s="172"/>
      <c r="N471" s="170"/>
      <c r="O471" s="173"/>
      <c r="P471" s="173"/>
      <c r="Q471" s="173"/>
      <c r="R471" s="173"/>
      <c r="S471" s="173"/>
      <c r="T471" s="173"/>
      <c r="U471" s="173"/>
      <c r="V471" s="170"/>
      <c r="W471" s="170"/>
      <c r="X471" s="174"/>
      <c r="Y471" s="174"/>
      <c r="Z471" s="174"/>
      <c r="AA471" s="174"/>
      <c r="AB471" s="174"/>
      <c r="AC471" s="174"/>
      <c r="AD471" s="174"/>
      <c r="AE471" s="174"/>
      <c r="AF471" s="174"/>
      <c r="AG471" s="174"/>
      <c r="AH471" s="174"/>
    </row>
    <row r="472" spans="1:34">
      <c r="A472" s="169"/>
      <c r="B472" s="169"/>
      <c r="C472" s="169"/>
      <c r="D472" s="169"/>
      <c r="E472" s="170"/>
      <c r="F472" s="170"/>
      <c r="G472" s="170"/>
      <c r="H472" s="171"/>
      <c r="I472" s="171"/>
      <c r="J472" s="172"/>
      <c r="K472" s="171"/>
      <c r="L472" s="172"/>
      <c r="M472" s="172"/>
      <c r="N472" s="170"/>
      <c r="O472" s="173"/>
      <c r="P472" s="173"/>
      <c r="Q472" s="173"/>
      <c r="R472" s="173"/>
      <c r="S472" s="173"/>
      <c r="T472" s="173"/>
      <c r="U472" s="173"/>
      <c r="V472" s="170"/>
      <c r="W472" s="170"/>
      <c r="X472" s="174"/>
      <c r="Y472" s="174"/>
      <c r="Z472" s="174"/>
      <c r="AA472" s="174"/>
      <c r="AB472" s="174"/>
      <c r="AC472" s="174"/>
      <c r="AD472" s="174"/>
      <c r="AE472" s="174"/>
      <c r="AF472" s="174"/>
      <c r="AG472" s="174"/>
      <c r="AH472" s="174"/>
    </row>
    <row r="473" spans="1:34">
      <c r="A473" s="169"/>
      <c r="B473" s="169"/>
      <c r="C473" s="169"/>
      <c r="D473" s="169"/>
      <c r="E473" s="170"/>
      <c r="F473" s="170"/>
      <c r="G473" s="170"/>
      <c r="H473" s="171"/>
      <c r="I473" s="171"/>
      <c r="J473" s="172"/>
      <c r="K473" s="171"/>
      <c r="L473" s="172"/>
      <c r="M473" s="172"/>
      <c r="N473" s="170"/>
      <c r="O473" s="173"/>
      <c r="P473" s="173"/>
      <c r="Q473" s="173"/>
      <c r="R473" s="173"/>
      <c r="S473" s="173"/>
      <c r="T473" s="173"/>
      <c r="U473" s="173"/>
      <c r="V473" s="170"/>
      <c r="W473" s="170"/>
      <c r="X473" s="174"/>
      <c r="Y473" s="174"/>
      <c r="Z473" s="174"/>
      <c r="AA473" s="174"/>
      <c r="AB473" s="174"/>
      <c r="AC473" s="174"/>
      <c r="AD473" s="174"/>
      <c r="AE473" s="174"/>
      <c r="AF473" s="174"/>
      <c r="AG473" s="174"/>
      <c r="AH473" s="174"/>
    </row>
    <row r="474" spans="1:34">
      <c r="A474" s="169"/>
      <c r="B474" s="169"/>
      <c r="C474" s="169"/>
      <c r="D474" s="169"/>
      <c r="E474" s="170"/>
      <c r="F474" s="170"/>
      <c r="G474" s="170"/>
      <c r="H474" s="171"/>
      <c r="I474" s="171"/>
      <c r="J474" s="172"/>
      <c r="K474" s="171"/>
      <c r="L474" s="172"/>
      <c r="M474" s="172"/>
      <c r="N474" s="170"/>
      <c r="O474" s="173"/>
      <c r="P474" s="173"/>
      <c r="Q474" s="173"/>
      <c r="R474" s="173"/>
      <c r="S474" s="173"/>
      <c r="T474" s="173"/>
      <c r="U474" s="173"/>
      <c r="V474" s="170"/>
      <c r="W474" s="170"/>
      <c r="X474" s="174"/>
      <c r="Y474" s="174"/>
      <c r="Z474" s="174"/>
      <c r="AA474" s="174"/>
      <c r="AB474" s="174"/>
      <c r="AC474" s="174"/>
      <c r="AD474" s="174"/>
      <c r="AE474" s="174"/>
      <c r="AF474" s="174"/>
      <c r="AG474" s="174"/>
      <c r="AH474" s="174"/>
    </row>
    <row r="475" spans="1:34">
      <c r="A475" s="169"/>
      <c r="B475" s="169"/>
      <c r="C475" s="169"/>
      <c r="D475" s="169"/>
      <c r="E475" s="170"/>
      <c r="F475" s="170"/>
      <c r="G475" s="170"/>
      <c r="H475" s="171"/>
      <c r="I475" s="171"/>
      <c r="J475" s="172"/>
      <c r="K475" s="171"/>
      <c r="L475" s="172"/>
      <c r="M475" s="172"/>
      <c r="N475" s="170"/>
      <c r="O475" s="173"/>
      <c r="P475" s="173"/>
      <c r="Q475" s="173"/>
      <c r="R475" s="173"/>
      <c r="S475" s="173"/>
      <c r="T475" s="173"/>
      <c r="U475" s="173"/>
      <c r="V475" s="170"/>
      <c r="W475" s="170"/>
      <c r="X475" s="174"/>
      <c r="Y475" s="174"/>
      <c r="Z475" s="174"/>
      <c r="AA475" s="174"/>
      <c r="AB475" s="174"/>
      <c r="AC475" s="174"/>
      <c r="AD475" s="174"/>
      <c r="AE475" s="174"/>
      <c r="AF475" s="174"/>
      <c r="AG475" s="174"/>
      <c r="AH475" s="174"/>
    </row>
    <row r="476" spans="1:34">
      <c r="A476" s="169"/>
      <c r="B476" s="169"/>
      <c r="C476" s="169"/>
      <c r="D476" s="169"/>
      <c r="E476" s="170"/>
      <c r="F476" s="170"/>
      <c r="G476" s="170"/>
      <c r="H476" s="171"/>
      <c r="I476" s="171"/>
      <c r="J476" s="172"/>
      <c r="K476" s="171"/>
      <c r="L476" s="172"/>
      <c r="M476" s="172"/>
      <c r="N476" s="170"/>
      <c r="O476" s="173"/>
      <c r="P476" s="173"/>
      <c r="Q476" s="173"/>
      <c r="R476" s="173"/>
      <c r="S476" s="173"/>
      <c r="T476" s="173"/>
      <c r="U476" s="173"/>
      <c r="V476" s="170"/>
      <c r="W476" s="170"/>
      <c r="X476" s="174"/>
      <c r="Y476" s="174"/>
      <c r="Z476" s="174"/>
      <c r="AA476" s="174"/>
      <c r="AB476" s="174"/>
      <c r="AC476" s="174"/>
      <c r="AD476" s="174"/>
      <c r="AE476" s="174"/>
      <c r="AF476" s="174"/>
      <c r="AG476" s="174"/>
      <c r="AH476" s="174"/>
    </row>
    <row r="477" spans="1:34">
      <c r="A477" s="169"/>
      <c r="B477" s="169"/>
      <c r="C477" s="169"/>
      <c r="D477" s="169"/>
      <c r="E477" s="170"/>
      <c r="F477" s="170"/>
      <c r="G477" s="170"/>
      <c r="H477" s="171"/>
      <c r="I477" s="171"/>
      <c r="J477" s="172"/>
      <c r="K477" s="171"/>
      <c r="L477" s="172"/>
      <c r="M477" s="172"/>
      <c r="N477" s="170"/>
      <c r="O477" s="173"/>
      <c r="P477" s="173"/>
      <c r="Q477" s="173"/>
      <c r="R477" s="173"/>
      <c r="S477" s="173"/>
      <c r="T477" s="173"/>
      <c r="U477" s="173"/>
      <c r="V477" s="170"/>
      <c r="W477" s="170"/>
      <c r="X477" s="174"/>
      <c r="Y477" s="174"/>
      <c r="Z477" s="174"/>
      <c r="AA477" s="174"/>
      <c r="AB477" s="174"/>
      <c r="AC477" s="174"/>
      <c r="AD477" s="174"/>
      <c r="AE477" s="174"/>
      <c r="AF477" s="174"/>
      <c r="AG477" s="174"/>
      <c r="AH477" s="174"/>
    </row>
    <row r="478" spans="1:34">
      <c r="A478" s="169"/>
      <c r="B478" s="169"/>
      <c r="C478" s="169"/>
      <c r="D478" s="169"/>
      <c r="E478" s="170"/>
      <c r="F478" s="170"/>
      <c r="G478" s="170"/>
      <c r="H478" s="171"/>
      <c r="I478" s="171"/>
      <c r="J478" s="172"/>
      <c r="K478" s="171"/>
      <c r="L478" s="172"/>
      <c r="M478" s="172"/>
      <c r="N478" s="170"/>
      <c r="O478" s="173"/>
      <c r="P478" s="173"/>
      <c r="Q478" s="173"/>
      <c r="R478" s="173"/>
      <c r="S478" s="173"/>
      <c r="T478" s="173"/>
      <c r="U478" s="173"/>
      <c r="V478" s="170"/>
      <c r="W478" s="170"/>
      <c r="X478" s="174"/>
      <c r="Y478" s="174"/>
      <c r="Z478" s="174"/>
      <c r="AA478" s="174"/>
      <c r="AB478" s="174"/>
      <c r="AC478" s="174"/>
      <c r="AD478" s="174"/>
      <c r="AE478" s="174"/>
      <c r="AF478" s="174"/>
      <c r="AG478" s="174"/>
      <c r="AH478" s="174"/>
    </row>
    <row r="479" spans="1:34">
      <c r="A479" s="169"/>
      <c r="B479" s="169"/>
      <c r="C479" s="169"/>
      <c r="D479" s="169"/>
      <c r="E479" s="170"/>
      <c r="F479" s="170"/>
      <c r="G479" s="170"/>
      <c r="H479" s="171"/>
      <c r="I479" s="171"/>
      <c r="J479" s="172"/>
      <c r="K479" s="171"/>
      <c r="L479" s="172"/>
      <c r="M479" s="172"/>
      <c r="N479" s="170"/>
      <c r="O479" s="173"/>
      <c r="P479" s="173"/>
      <c r="Q479" s="173"/>
      <c r="R479" s="173"/>
      <c r="S479" s="173"/>
      <c r="T479" s="173"/>
      <c r="U479" s="173"/>
      <c r="V479" s="170"/>
      <c r="W479" s="170"/>
      <c r="X479" s="174"/>
      <c r="Y479" s="174"/>
      <c r="Z479" s="174"/>
      <c r="AA479" s="174"/>
      <c r="AB479" s="174"/>
      <c r="AC479" s="174"/>
      <c r="AD479" s="174"/>
      <c r="AE479" s="174"/>
      <c r="AF479" s="174"/>
      <c r="AG479" s="174"/>
      <c r="AH479" s="174"/>
    </row>
    <row r="480" spans="1:34">
      <c r="A480" s="169"/>
      <c r="B480" s="169"/>
      <c r="C480" s="169"/>
      <c r="D480" s="169"/>
      <c r="E480" s="170"/>
      <c r="F480" s="170"/>
      <c r="G480" s="170"/>
      <c r="H480" s="171"/>
      <c r="I480" s="171"/>
      <c r="J480" s="172"/>
      <c r="K480" s="171"/>
      <c r="L480" s="172"/>
      <c r="M480" s="172"/>
      <c r="N480" s="170"/>
      <c r="O480" s="173"/>
      <c r="P480" s="173"/>
      <c r="Q480" s="173"/>
      <c r="R480" s="173"/>
      <c r="S480" s="173"/>
      <c r="T480" s="173"/>
      <c r="U480" s="173"/>
      <c r="V480" s="170"/>
      <c r="W480" s="170"/>
      <c r="X480" s="174"/>
      <c r="Y480" s="174"/>
      <c r="Z480" s="174"/>
      <c r="AA480" s="174"/>
      <c r="AB480" s="174"/>
      <c r="AC480" s="174"/>
      <c r="AD480" s="174"/>
      <c r="AE480" s="174"/>
      <c r="AF480" s="174"/>
      <c r="AG480" s="174"/>
      <c r="AH480" s="174"/>
    </row>
    <row r="481" spans="1:34">
      <c r="A481" s="169"/>
      <c r="B481" s="169"/>
      <c r="C481" s="169"/>
      <c r="D481" s="169"/>
      <c r="E481" s="170"/>
      <c r="F481" s="170"/>
      <c r="G481" s="170"/>
      <c r="H481" s="171"/>
      <c r="I481" s="171"/>
      <c r="J481" s="172"/>
      <c r="K481" s="171"/>
      <c r="L481" s="172"/>
      <c r="M481" s="172"/>
      <c r="N481" s="170"/>
      <c r="O481" s="173"/>
      <c r="P481" s="173"/>
      <c r="Q481" s="173"/>
      <c r="R481" s="173"/>
      <c r="S481" s="173"/>
      <c r="T481" s="173"/>
      <c r="U481" s="173"/>
      <c r="V481" s="170"/>
      <c r="W481" s="170"/>
      <c r="X481" s="174"/>
      <c r="Y481" s="174"/>
      <c r="Z481" s="174"/>
      <c r="AA481" s="174"/>
      <c r="AB481" s="174"/>
      <c r="AC481" s="174"/>
      <c r="AD481" s="174"/>
      <c r="AE481" s="174"/>
      <c r="AF481" s="174"/>
      <c r="AG481" s="174"/>
      <c r="AH481" s="174"/>
    </row>
    <row r="482" spans="1:34">
      <c r="A482" s="169"/>
      <c r="B482" s="169"/>
      <c r="C482" s="169"/>
      <c r="D482" s="169"/>
      <c r="E482" s="170"/>
      <c r="F482" s="170"/>
      <c r="G482" s="170"/>
      <c r="H482" s="171"/>
      <c r="I482" s="171"/>
      <c r="J482" s="172"/>
      <c r="K482" s="171"/>
      <c r="L482" s="172"/>
      <c r="M482" s="172"/>
      <c r="N482" s="170"/>
      <c r="O482" s="173"/>
      <c r="P482" s="173"/>
      <c r="Q482" s="173"/>
      <c r="R482" s="173"/>
      <c r="S482" s="173"/>
      <c r="T482" s="173"/>
      <c r="U482" s="173"/>
      <c r="V482" s="170"/>
      <c r="W482" s="170"/>
      <c r="X482" s="174"/>
      <c r="Y482" s="174"/>
      <c r="Z482" s="174"/>
      <c r="AA482" s="174"/>
      <c r="AB482" s="174"/>
      <c r="AC482" s="174"/>
      <c r="AD482" s="174"/>
      <c r="AE482" s="174"/>
      <c r="AF482" s="174"/>
      <c r="AG482" s="174"/>
      <c r="AH482" s="174"/>
    </row>
    <row r="483" spans="1:34">
      <c r="A483" s="169"/>
      <c r="B483" s="169"/>
      <c r="C483" s="169"/>
      <c r="D483" s="169"/>
      <c r="E483" s="170"/>
      <c r="F483" s="170"/>
      <c r="G483" s="170"/>
      <c r="H483" s="171"/>
      <c r="I483" s="171"/>
      <c r="J483" s="172"/>
      <c r="K483" s="171"/>
      <c r="L483" s="172"/>
      <c r="M483" s="172"/>
      <c r="N483" s="170"/>
      <c r="O483" s="173"/>
      <c r="P483" s="173"/>
      <c r="Q483" s="173"/>
      <c r="R483" s="173"/>
      <c r="S483" s="173"/>
      <c r="T483" s="173"/>
      <c r="U483" s="173"/>
      <c r="V483" s="170"/>
      <c r="W483" s="170"/>
      <c r="X483" s="174"/>
      <c r="Y483" s="174"/>
      <c r="Z483" s="174"/>
      <c r="AA483" s="174"/>
      <c r="AB483" s="174"/>
      <c r="AC483" s="174"/>
      <c r="AD483" s="174"/>
      <c r="AE483" s="174"/>
      <c r="AF483" s="174"/>
      <c r="AG483" s="174"/>
      <c r="AH483" s="174"/>
    </row>
    <row r="484" spans="1:34">
      <c r="A484" s="169"/>
      <c r="B484" s="169"/>
      <c r="C484" s="169"/>
      <c r="D484" s="169"/>
      <c r="E484" s="170"/>
      <c r="F484" s="170"/>
      <c r="G484" s="170"/>
      <c r="H484" s="171"/>
      <c r="I484" s="171"/>
      <c r="J484" s="172"/>
      <c r="K484" s="171"/>
      <c r="L484" s="172"/>
      <c r="M484" s="172"/>
      <c r="N484" s="170"/>
      <c r="O484" s="173"/>
      <c r="P484" s="173"/>
      <c r="Q484" s="173"/>
      <c r="R484" s="173"/>
      <c r="S484" s="173"/>
      <c r="T484" s="173"/>
      <c r="U484" s="173"/>
      <c r="V484" s="170"/>
      <c r="W484" s="170"/>
      <c r="X484" s="174"/>
      <c r="Y484" s="174"/>
      <c r="Z484" s="174"/>
      <c r="AA484" s="174"/>
      <c r="AB484" s="174"/>
      <c r="AC484" s="174"/>
      <c r="AD484" s="174"/>
      <c r="AE484" s="174"/>
      <c r="AF484" s="174"/>
      <c r="AG484" s="174"/>
      <c r="AH484" s="174"/>
    </row>
    <row r="485" spans="1:34">
      <c r="A485" s="169"/>
      <c r="B485" s="169"/>
      <c r="C485" s="169"/>
      <c r="D485" s="169"/>
      <c r="E485" s="170"/>
      <c r="F485" s="170"/>
      <c r="G485" s="170"/>
      <c r="H485" s="171"/>
      <c r="I485" s="171"/>
      <c r="J485" s="172"/>
      <c r="K485" s="171"/>
      <c r="L485" s="172"/>
      <c r="M485" s="172"/>
      <c r="N485" s="170"/>
      <c r="O485" s="173"/>
      <c r="P485" s="173"/>
      <c r="Q485" s="173"/>
      <c r="R485" s="173"/>
      <c r="S485" s="173"/>
      <c r="T485" s="173"/>
      <c r="U485" s="173"/>
      <c r="V485" s="170"/>
      <c r="W485" s="170"/>
      <c r="X485" s="174"/>
      <c r="Y485" s="174"/>
      <c r="Z485" s="174"/>
      <c r="AA485" s="174"/>
      <c r="AB485" s="174"/>
      <c r="AC485" s="174"/>
      <c r="AD485" s="174"/>
      <c r="AE485" s="174"/>
      <c r="AF485" s="174"/>
      <c r="AG485" s="174"/>
      <c r="AH485" s="174"/>
    </row>
    <row r="486" spans="1:34">
      <c r="A486" s="169"/>
      <c r="B486" s="169"/>
      <c r="C486" s="169"/>
      <c r="D486" s="169"/>
      <c r="E486" s="170"/>
      <c r="F486" s="170"/>
      <c r="G486" s="170"/>
      <c r="H486" s="171"/>
      <c r="I486" s="171"/>
      <c r="J486" s="172"/>
      <c r="K486" s="171"/>
      <c r="L486" s="172"/>
      <c r="M486" s="172"/>
      <c r="N486" s="170"/>
      <c r="O486" s="173"/>
      <c r="P486" s="173"/>
      <c r="Q486" s="173"/>
      <c r="R486" s="173"/>
      <c r="S486" s="173"/>
      <c r="T486" s="173"/>
      <c r="U486" s="173"/>
      <c r="V486" s="170"/>
      <c r="W486" s="170"/>
      <c r="X486" s="174"/>
      <c r="Y486" s="174"/>
      <c r="Z486" s="174"/>
      <c r="AA486" s="174"/>
      <c r="AB486" s="174"/>
      <c r="AC486" s="174"/>
      <c r="AD486" s="174"/>
      <c r="AE486" s="174"/>
      <c r="AF486" s="174"/>
      <c r="AG486" s="174"/>
      <c r="AH486" s="174"/>
    </row>
    <row r="487" spans="1:34">
      <c r="A487" s="169"/>
      <c r="B487" s="169"/>
      <c r="C487" s="169"/>
      <c r="D487" s="169"/>
      <c r="E487" s="170"/>
      <c r="F487" s="170"/>
      <c r="G487" s="170"/>
      <c r="H487" s="171"/>
      <c r="I487" s="171"/>
      <c r="J487" s="172"/>
      <c r="K487" s="171"/>
      <c r="L487" s="172"/>
      <c r="M487" s="172"/>
      <c r="N487" s="170"/>
      <c r="O487" s="173"/>
      <c r="P487" s="173"/>
      <c r="Q487" s="173"/>
      <c r="R487" s="173"/>
      <c r="S487" s="173"/>
      <c r="T487" s="173"/>
      <c r="U487" s="173"/>
      <c r="V487" s="170"/>
      <c r="W487" s="170"/>
      <c r="X487" s="174"/>
      <c r="Y487" s="174"/>
      <c r="Z487" s="174"/>
      <c r="AA487" s="174"/>
      <c r="AB487" s="174"/>
      <c r="AC487" s="174"/>
      <c r="AD487" s="174"/>
      <c r="AE487" s="174"/>
      <c r="AF487" s="174"/>
      <c r="AG487" s="174"/>
      <c r="AH487" s="174"/>
    </row>
    <row r="488" spans="1:34">
      <c r="A488" s="169"/>
      <c r="B488" s="169"/>
      <c r="C488" s="169"/>
      <c r="D488" s="169"/>
      <c r="E488" s="170"/>
      <c r="F488" s="170"/>
      <c r="G488" s="170"/>
      <c r="H488" s="171"/>
      <c r="I488" s="171"/>
      <c r="J488" s="172"/>
      <c r="K488" s="171"/>
      <c r="L488" s="172"/>
      <c r="M488" s="172"/>
      <c r="N488" s="170"/>
      <c r="O488" s="173"/>
      <c r="P488" s="173"/>
      <c r="Q488" s="173"/>
      <c r="R488" s="173"/>
      <c r="S488" s="173"/>
      <c r="T488" s="173"/>
      <c r="U488" s="173"/>
      <c r="V488" s="170"/>
      <c r="W488" s="170"/>
      <c r="X488" s="174"/>
      <c r="Y488" s="174"/>
      <c r="Z488" s="174"/>
      <c r="AA488" s="174"/>
      <c r="AB488" s="174"/>
      <c r="AC488" s="174"/>
      <c r="AD488" s="174"/>
      <c r="AE488" s="174"/>
      <c r="AF488" s="174"/>
      <c r="AG488" s="174"/>
      <c r="AH488" s="174"/>
    </row>
    <row r="489" spans="1:34">
      <c r="A489" s="169"/>
      <c r="B489" s="169"/>
      <c r="C489" s="169"/>
      <c r="D489" s="169"/>
      <c r="E489" s="170"/>
      <c r="F489" s="170"/>
      <c r="G489" s="170"/>
      <c r="H489" s="171"/>
      <c r="I489" s="171"/>
      <c r="J489" s="172"/>
      <c r="K489" s="171"/>
      <c r="L489" s="172"/>
      <c r="M489" s="172"/>
      <c r="N489" s="170"/>
      <c r="O489" s="173"/>
      <c r="P489" s="173"/>
      <c r="Q489" s="173"/>
      <c r="R489" s="173"/>
      <c r="S489" s="173"/>
      <c r="T489" s="173"/>
      <c r="U489" s="173"/>
      <c r="V489" s="170"/>
      <c r="W489" s="170"/>
      <c r="X489" s="174"/>
      <c r="Y489" s="174"/>
      <c r="Z489" s="174"/>
      <c r="AA489" s="174"/>
      <c r="AB489" s="174"/>
      <c r="AC489" s="174"/>
      <c r="AD489" s="174"/>
      <c r="AE489" s="174"/>
      <c r="AF489" s="174"/>
      <c r="AG489" s="174"/>
      <c r="AH489" s="174"/>
    </row>
    <row r="490" spans="1:34">
      <c r="A490" s="169"/>
      <c r="B490" s="169"/>
      <c r="C490" s="169"/>
      <c r="D490" s="169"/>
      <c r="E490" s="170"/>
      <c r="F490" s="170"/>
      <c r="G490" s="170"/>
      <c r="H490" s="171"/>
      <c r="I490" s="171"/>
      <c r="J490" s="172"/>
      <c r="K490" s="171"/>
      <c r="L490" s="172"/>
      <c r="M490" s="172"/>
      <c r="N490" s="170"/>
      <c r="O490" s="173"/>
      <c r="P490" s="173"/>
      <c r="Q490" s="173"/>
      <c r="R490" s="173"/>
      <c r="S490" s="173"/>
      <c r="T490" s="173"/>
      <c r="U490" s="173"/>
      <c r="V490" s="170"/>
      <c r="W490" s="170"/>
      <c r="X490" s="174"/>
      <c r="Y490" s="174"/>
      <c r="Z490" s="174"/>
      <c r="AA490" s="174"/>
      <c r="AB490" s="174"/>
      <c r="AC490" s="174"/>
      <c r="AD490" s="174"/>
      <c r="AE490" s="174"/>
      <c r="AF490" s="174"/>
      <c r="AG490" s="174"/>
      <c r="AH490" s="174"/>
    </row>
    <row r="491" spans="1:34">
      <c r="A491" s="169"/>
      <c r="B491" s="169"/>
      <c r="C491" s="169"/>
      <c r="D491" s="169"/>
      <c r="E491" s="170"/>
      <c r="F491" s="170"/>
      <c r="G491" s="170"/>
      <c r="H491" s="171"/>
      <c r="I491" s="171"/>
      <c r="J491" s="172"/>
      <c r="K491" s="171"/>
      <c r="L491" s="172"/>
      <c r="M491" s="172"/>
      <c r="N491" s="170"/>
      <c r="O491" s="173"/>
      <c r="P491" s="173"/>
      <c r="Q491" s="173"/>
      <c r="R491" s="173"/>
      <c r="S491" s="173"/>
      <c r="T491" s="173"/>
      <c r="U491" s="173"/>
      <c r="V491" s="170"/>
      <c r="W491" s="170"/>
      <c r="X491" s="174"/>
      <c r="Y491" s="174"/>
      <c r="Z491" s="174"/>
      <c r="AA491" s="174"/>
      <c r="AB491" s="174"/>
      <c r="AC491" s="174"/>
      <c r="AD491" s="174"/>
      <c r="AE491" s="174"/>
      <c r="AF491" s="174"/>
      <c r="AG491" s="174"/>
      <c r="AH491" s="174"/>
    </row>
    <row r="492" spans="1:34">
      <c r="A492" s="169"/>
      <c r="B492" s="169"/>
      <c r="C492" s="169"/>
      <c r="D492" s="169"/>
      <c r="E492" s="170"/>
      <c r="F492" s="170"/>
      <c r="G492" s="170"/>
      <c r="H492" s="171"/>
      <c r="I492" s="171"/>
      <c r="J492" s="172"/>
      <c r="K492" s="171"/>
      <c r="L492" s="172"/>
      <c r="M492" s="172"/>
      <c r="N492" s="170"/>
      <c r="O492" s="173"/>
      <c r="P492" s="173"/>
      <c r="Q492" s="173"/>
      <c r="R492" s="173"/>
      <c r="S492" s="173"/>
      <c r="T492" s="173"/>
      <c r="U492" s="173"/>
      <c r="V492" s="170"/>
      <c r="W492" s="170"/>
      <c r="X492" s="174"/>
      <c r="Y492" s="174"/>
      <c r="Z492" s="174"/>
      <c r="AA492" s="174"/>
      <c r="AB492" s="174"/>
      <c r="AC492" s="174"/>
      <c r="AD492" s="174"/>
      <c r="AE492" s="174"/>
      <c r="AF492" s="174"/>
      <c r="AG492" s="174"/>
      <c r="AH492" s="174"/>
    </row>
    <row r="493" spans="1:34">
      <c r="A493" s="169"/>
      <c r="B493" s="169"/>
      <c r="C493" s="169"/>
      <c r="D493" s="169"/>
      <c r="E493" s="170"/>
      <c r="F493" s="170"/>
      <c r="G493" s="170"/>
      <c r="H493" s="171"/>
      <c r="I493" s="171"/>
      <c r="J493" s="172"/>
      <c r="K493" s="171"/>
      <c r="L493" s="172"/>
      <c r="M493" s="172"/>
      <c r="N493" s="170"/>
      <c r="O493" s="173"/>
      <c r="P493" s="173"/>
      <c r="Q493" s="173"/>
      <c r="R493" s="173"/>
      <c r="S493" s="173"/>
      <c r="T493" s="173"/>
      <c r="U493" s="173"/>
      <c r="V493" s="170"/>
      <c r="W493" s="170"/>
      <c r="X493" s="174"/>
      <c r="Y493" s="174"/>
      <c r="Z493" s="174"/>
      <c r="AA493" s="174"/>
      <c r="AB493" s="174"/>
      <c r="AC493" s="174"/>
      <c r="AD493" s="174"/>
      <c r="AE493" s="174"/>
      <c r="AF493" s="174"/>
      <c r="AG493" s="174"/>
      <c r="AH493" s="174"/>
    </row>
    <row r="494" spans="1:34">
      <c r="A494" s="169"/>
      <c r="B494" s="169"/>
      <c r="C494" s="169"/>
      <c r="D494" s="169"/>
      <c r="E494" s="170"/>
      <c r="F494" s="170"/>
      <c r="G494" s="170"/>
      <c r="H494" s="171"/>
      <c r="I494" s="171"/>
      <c r="J494" s="172"/>
      <c r="K494" s="171"/>
      <c r="L494" s="172"/>
      <c r="M494" s="172"/>
      <c r="N494" s="170"/>
      <c r="O494" s="173"/>
      <c r="P494" s="173"/>
      <c r="Q494" s="173"/>
      <c r="R494" s="173"/>
      <c r="S494" s="173"/>
      <c r="T494" s="173"/>
      <c r="U494" s="173"/>
      <c r="V494" s="170"/>
      <c r="W494" s="170"/>
      <c r="X494" s="174"/>
      <c r="Y494" s="174"/>
      <c r="Z494" s="174"/>
      <c r="AA494" s="174"/>
      <c r="AB494" s="174"/>
      <c r="AC494" s="174"/>
      <c r="AD494" s="174"/>
      <c r="AE494" s="174"/>
      <c r="AF494" s="174"/>
      <c r="AG494" s="174"/>
      <c r="AH494" s="174"/>
    </row>
    <row r="495" spans="1:34">
      <c r="A495" s="169"/>
      <c r="B495" s="169"/>
      <c r="C495" s="169"/>
      <c r="D495" s="169"/>
      <c r="E495" s="170"/>
      <c r="F495" s="170"/>
      <c r="G495" s="170"/>
      <c r="H495" s="171"/>
      <c r="I495" s="171"/>
      <c r="J495" s="172"/>
      <c r="K495" s="171"/>
      <c r="L495" s="172"/>
      <c r="M495" s="172"/>
      <c r="N495" s="170"/>
      <c r="O495" s="173"/>
      <c r="P495" s="173"/>
      <c r="Q495" s="173"/>
      <c r="R495" s="173"/>
      <c r="S495" s="173"/>
      <c r="T495" s="173"/>
      <c r="U495" s="173"/>
      <c r="V495" s="170"/>
      <c r="W495" s="170"/>
      <c r="X495" s="174"/>
      <c r="Y495" s="174"/>
      <c r="Z495" s="174"/>
      <c r="AA495" s="174"/>
      <c r="AB495" s="174"/>
      <c r="AC495" s="174"/>
      <c r="AD495" s="174"/>
      <c r="AE495" s="174"/>
      <c r="AF495" s="174"/>
      <c r="AG495" s="174"/>
      <c r="AH495" s="174"/>
    </row>
    <row r="496" spans="1:34">
      <c r="A496" s="169"/>
      <c r="B496" s="169"/>
      <c r="C496" s="169"/>
      <c r="D496" s="169"/>
      <c r="E496" s="170"/>
      <c r="F496" s="170"/>
      <c r="G496" s="170"/>
      <c r="H496" s="171"/>
      <c r="I496" s="171"/>
      <c r="J496" s="172"/>
      <c r="K496" s="171"/>
      <c r="L496" s="172"/>
      <c r="M496" s="172"/>
      <c r="N496" s="170"/>
      <c r="O496" s="173"/>
      <c r="P496" s="173"/>
      <c r="Q496" s="173"/>
      <c r="R496" s="173"/>
      <c r="S496" s="173"/>
      <c r="T496" s="173"/>
      <c r="U496" s="173"/>
      <c r="V496" s="170"/>
      <c r="W496" s="170"/>
      <c r="X496" s="174"/>
      <c r="Y496" s="174"/>
      <c r="Z496" s="174"/>
      <c r="AA496" s="174"/>
      <c r="AB496" s="174"/>
      <c r="AC496" s="174"/>
      <c r="AD496" s="174"/>
      <c r="AE496" s="174"/>
      <c r="AF496" s="174"/>
      <c r="AG496" s="174"/>
      <c r="AH496" s="174"/>
    </row>
    <row r="497" spans="1:34">
      <c r="A497" s="169"/>
      <c r="B497" s="169"/>
      <c r="C497" s="169"/>
      <c r="D497" s="169"/>
      <c r="E497" s="170"/>
      <c r="F497" s="170"/>
      <c r="G497" s="170"/>
      <c r="H497" s="171"/>
      <c r="I497" s="171"/>
      <c r="J497" s="172"/>
      <c r="K497" s="171"/>
      <c r="L497" s="172"/>
      <c r="M497" s="172"/>
      <c r="N497" s="170"/>
      <c r="O497" s="173"/>
      <c r="P497" s="173"/>
      <c r="Q497" s="173"/>
      <c r="R497" s="173"/>
      <c r="S497" s="173"/>
      <c r="T497" s="173"/>
      <c r="U497" s="173"/>
      <c r="V497" s="170"/>
      <c r="W497" s="170"/>
      <c r="X497" s="174"/>
      <c r="Y497" s="174"/>
      <c r="Z497" s="174"/>
      <c r="AA497" s="174"/>
      <c r="AB497" s="174"/>
      <c r="AC497" s="174"/>
      <c r="AD497" s="174"/>
      <c r="AE497" s="174"/>
      <c r="AF497" s="174"/>
      <c r="AG497" s="174"/>
      <c r="AH497" s="174"/>
    </row>
    <row r="498" spans="1:34">
      <c r="A498" s="169"/>
      <c r="B498" s="169"/>
      <c r="C498" s="169"/>
      <c r="D498" s="169"/>
      <c r="E498" s="170"/>
      <c r="F498" s="170"/>
      <c r="G498" s="170"/>
      <c r="H498" s="171"/>
      <c r="I498" s="171"/>
      <c r="J498" s="172"/>
      <c r="K498" s="171"/>
      <c r="L498" s="172"/>
      <c r="M498" s="172"/>
      <c r="N498" s="170"/>
      <c r="O498" s="173"/>
      <c r="P498" s="173"/>
      <c r="Q498" s="173"/>
      <c r="R498" s="173"/>
      <c r="S498" s="173"/>
      <c r="T498" s="173"/>
      <c r="U498" s="173"/>
      <c r="V498" s="170"/>
      <c r="W498" s="170"/>
      <c r="X498" s="174"/>
      <c r="Y498" s="174"/>
      <c r="Z498" s="174"/>
      <c r="AA498" s="174"/>
      <c r="AB498" s="174"/>
      <c r="AC498" s="174"/>
      <c r="AD498" s="174"/>
      <c r="AE498" s="174"/>
      <c r="AF498" s="174"/>
      <c r="AG498" s="174"/>
      <c r="AH498" s="174"/>
    </row>
    <row r="499" spans="1:34">
      <c r="A499" s="169"/>
      <c r="B499" s="169"/>
      <c r="C499" s="169"/>
      <c r="D499" s="169"/>
      <c r="E499" s="170"/>
      <c r="F499" s="170"/>
      <c r="G499" s="170"/>
      <c r="H499" s="171"/>
      <c r="I499" s="171"/>
      <c r="J499" s="172"/>
      <c r="K499" s="171"/>
      <c r="L499" s="172"/>
      <c r="M499" s="172"/>
      <c r="N499" s="170"/>
      <c r="O499" s="173"/>
      <c r="P499" s="173"/>
      <c r="Q499" s="173"/>
      <c r="R499" s="173"/>
      <c r="S499" s="173"/>
      <c r="T499" s="173"/>
      <c r="U499" s="173"/>
      <c r="V499" s="170"/>
      <c r="W499" s="170"/>
      <c r="X499" s="174"/>
      <c r="Y499" s="174"/>
      <c r="Z499" s="174"/>
      <c r="AA499" s="174"/>
      <c r="AB499" s="174"/>
      <c r="AC499" s="174"/>
      <c r="AD499" s="174"/>
      <c r="AE499" s="174"/>
      <c r="AF499" s="174"/>
      <c r="AG499" s="174"/>
      <c r="AH499" s="174"/>
    </row>
    <row r="500" spans="1:34">
      <c r="A500" s="169"/>
      <c r="B500" s="169"/>
      <c r="C500" s="169"/>
      <c r="D500" s="169"/>
      <c r="E500" s="170"/>
      <c r="F500" s="170"/>
      <c r="G500" s="170"/>
      <c r="H500" s="171"/>
      <c r="I500" s="171"/>
      <c r="J500" s="172"/>
      <c r="K500" s="171"/>
      <c r="L500" s="172"/>
      <c r="M500" s="172"/>
      <c r="N500" s="170"/>
      <c r="O500" s="173"/>
      <c r="P500" s="173"/>
      <c r="Q500" s="173"/>
      <c r="R500" s="173"/>
      <c r="S500" s="173"/>
      <c r="T500" s="173"/>
      <c r="U500" s="173"/>
      <c r="V500" s="170"/>
      <c r="W500" s="170"/>
      <c r="X500" s="174"/>
      <c r="Y500" s="174"/>
      <c r="Z500" s="174"/>
      <c r="AA500" s="174"/>
      <c r="AB500" s="174"/>
      <c r="AC500" s="174"/>
      <c r="AD500" s="174"/>
      <c r="AE500" s="174"/>
      <c r="AF500" s="174"/>
      <c r="AG500" s="174"/>
      <c r="AH500" s="174"/>
    </row>
    <row r="501" spans="1:34">
      <c r="A501" s="169"/>
      <c r="B501" s="169"/>
      <c r="C501" s="169"/>
      <c r="D501" s="169"/>
      <c r="E501" s="170"/>
      <c r="F501" s="170"/>
      <c r="G501" s="170"/>
      <c r="H501" s="171"/>
      <c r="I501" s="171"/>
      <c r="J501" s="172"/>
      <c r="K501" s="171"/>
      <c r="L501" s="172"/>
      <c r="M501" s="172"/>
      <c r="N501" s="170"/>
      <c r="O501" s="173"/>
      <c r="P501" s="173"/>
      <c r="Q501" s="173"/>
      <c r="R501" s="173"/>
      <c r="S501" s="173"/>
      <c r="T501" s="173"/>
      <c r="U501" s="173"/>
      <c r="V501" s="170"/>
      <c r="W501" s="170"/>
      <c r="X501" s="174"/>
      <c r="Y501" s="174"/>
      <c r="Z501" s="174"/>
      <c r="AA501" s="174"/>
      <c r="AB501" s="174"/>
      <c r="AC501" s="174"/>
      <c r="AD501" s="174"/>
      <c r="AE501" s="174"/>
      <c r="AF501" s="174"/>
      <c r="AG501" s="174"/>
      <c r="AH501" s="174"/>
    </row>
    <row r="502" spans="1:34">
      <c r="A502" s="169"/>
      <c r="B502" s="169"/>
      <c r="C502" s="169"/>
      <c r="D502" s="169"/>
      <c r="E502" s="170"/>
      <c r="F502" s="170"/>
      <c r="G502" s="170"/>
      <c r="H502" s="171"/>
      <c r="I502" s="171"/>
      <c r="J502" s="172"/>
      <c r="K502" s="171"/>
      <c r="L502" s="172"/>
      <c r="M502" s="172"/>
      <c r="N502" s="170"/>
      <c r="O502" s="173"/>
      <c r="P502" s="173"/>
      <c r="Q502" s="173"/>
      <c r="R502" s="173"/>
      <c r="S502" s="173"/>
      <c r="T502" s="173"/>
      <c r="U502" s="173"/>
      <c r="V502" s="170"/>
      <c r="W502" s="170"/>
      <c r="X502" s="174"/>
      <c r="Y502" s="174"/>
      <c r="Z502" s="174"/>
      <c r="AA502" s="174"/>
      <c r="AB502" s="174"/>
      <c r="AC502" s="174"/>
      <c r="AD502" s="174"/>
      <c r="AE502" s="174"/>
      <c r="AF502" s="174"/>
      <c r="AG502" s="174"/>
      <c r="AH502" s="174"/>
    </row>
    <row r="503" spans="1:34">
      <c r="A503" s="169"/>
      <c r="B503" s="169"/>
      <c r="C503" s="169"/>
      <c r="D503" s="169"/>
      <c r="E503" s="170"/>
      <c r="F503" s="170"/>
      <c r="G503" s="170"/>
      <c r="H503" s="171"/>
      <c r="I503" s="171"/>
      <c r="J503" s="172"/>
      <c r="K503" s="171"/>
      <c r="L503" s="172"/>
      <c r="M503" s="172"/>
      <c r="N503" s="170"/>
      <c r="O503" s="173"/>
      <c r="P503" s="173"/>
      <c r="Q503" s="173"/>
      <c r="R503" s="173"/>
      <c r="S503" s="173"/>
      <c r="T503" s="173"/>
      <c r="U503" s="173"/>
      <c r="V503" s="170"/>
      <c r="W503" s="170"/>
      <c r="X503" s="174"/>
      <c r="Y503" s="174"/>
      <c r="Z503" s="174"/>
      <c r="AA503" s="174"/>
      <c r="AB503" s="174"/>
      <c r="AC503" s="174"/>
      <c r="AD503" s="174"/>
      <c r="AE503" s="174"/>
      <c r="AF503" s="174"/>
      <c r="AG503" s="174"/>
      <c r="AH503" s="174"/>
    </row>
    <row r="504" spans="1:34">
      <c r="A504" s="169"/>
      <c r="B504" s="169"/>
      <c r="C504" s="169"/>
      <c r="D504" s="169"/>
      <c r="E504" s="170"/>
      <c r="F504" s="170"/>
      <c r="G504" s="170"/>
      <c r="H504" s="171"/>
      <c r="I504" s="171"/>
      <c r="J504" s="172"/>
      <c r="K504" s="171"/>
      <c r="L504" s="172"/>
      <c r="M504" s="172"/>
      <c r="N504" s="170"/>
      <c r="O504" s="173"/>
      <c r="P504" s="173"/>
      <c r="Q504" s="173"/>
      <c r="R504" s="173"/>
      <c r="S504" s="173"/>
      <c r="T504" s="173"/>
      <c r="U504" s="173"/>
      <c r="V504" s="170"/>
      <c r="W504" s="170"/>
      <c r="X504" s="174"/>
      <c r="Y504" s="174"/>
      <c r="Z504" s="174"/>
      <c r="AA504" s="174"/>
      <c r="AB504" s="174"/>
      <c r="AC504" s="174"/>
      <c r="AD504" s="174"/>
      <c r="AE504" s="174"/>
      <c r="AF504" s="174"/>
      <c r="AG504" s="174"/>
      <c r="AH504" s="174"/>
    </row>
    <row r="505" spans="1:34">
      <c r="A505" s="169"/>
      <c r="B505" s="169"/>
      <c r="C505" s="169"/>
      <c r="D505" s="169"/>
      <c r="E505" s="170"/>
      <c r="F505" s="170"/>
      <c r="G505" s="170"/>
      <c r="H505" s="171"/>
      <c r="I505" s="171"/>
      <c r="J505" s="172"/>
      <c r="K505" s="171"/>
      <c r="L505" s="172"/>
      <c r="M505" s="172"/>
      <c r="N505" s="170"/>
      <c r="O505" s="173"/>
      <c r="P505" s="173"/>
      <c r="Q505" s="173"/>
      <c r="R505" s="173"/>
      <c r="S505" s="173"/>
      <c r="T505" s="173"/>
      <c r="U505" s="173"/>
      <c r="V505" s="170"/>
      <c r="W505" s="170"/>
      <c r="X505" s="174"/>
      <c r="Y505" s="174"/>
      <c r="Z505" s="174"/>
      <c r="AA505" s="174"/>
      <c r="AB505" s="174"/>
      <c r="AC505" s="174"/>
      <c r="AD505" s="174"/>
      <c r="AE505" s="174"/>
      <c r="AF505" s="174"/>
      <c r="AG505" s="174"/>
      <c r="AH505" s="174"/>
    </row>
    <row r="506" spans="1:34">
      <c r="A506" s="169"/>
      <c r="B506" s="169"/>
      <c r="C506" s="169"/>
      <c r="D506" s="169"/>
      <c r="E506" s="170"/>
      <c r="F506" s="170"/>
      <c r="G506" s="170"/>
      <c r="H506" s="171"/>
      <c r="I506" s="171"/>
      <c r="J506" s="172"/>
      <c r="K506" s="171"/>
      <c r="L506" s="172"/>
      <c r="M506" s="172"/>
      <c r="N506" s="170"/>
      <c r="O506" s="173"/>
      <c r="P506" s="173"/>
      <c r="Q506" s="173"/>
      <c r="R506" s="173"/>
      <c r="S506" s="173"/>
      <c r="T506" s="173"/>
      <c r="U506" s="173"/>
      <c r="V506" s="170"/>
      <c r="W506" s="170"/>
      <c r="X506" s="174"/>
      <c r="Y506" s="174"/>
      <c r="Z506" s="174"/>
      <c r="AA506" s="174"/>
      <c r="AB506" s="174"/>
      <c r="AC506" s="174"/>
      <c r="AD506" s="174"/>
      <c r="AE506" s="174"/>
      <c r="AF506" s="174"/>
      <c r="AG506" s="174"/>
      <c r="AH506" s="174"/>
    </row>
    <row r="507" spans="1:34">
      <c r="A507" s="169"/>
      <c r="B507" s="169"/>
      <c r="C507" s="169"/>
      <c r="D507" s="169"/>
      <c r="E507" s="170"/>
      <c r="F507" s="170"/>
      <c r="G507" s="170"/>
      <c r="H507" s="171"/>
      <c r="I507" s="171"/>
      <c r="J507" s="172"/>
      <c r="K507" s="171"/>
      <c r="L507" s="172"/>
      <c r="M507" s="172"/>
      <c r="N507" s="170"/>
      <c r="O507" s="173"/>
      <c r="P507" s="173"/>
      <c r="Q507" s="173"/>
      <c r="R507" s="173"/>
      <c r="S507" s="173"/>
      <c r="T507" s="173"/>
      <c r="U507" s="173"/>
      <c r="V507" s="170"/>
      <c r="W507" s="170"/>
      <c r="X507" s="174"/>
      <c r="Y507" s="174"/>
      <c r="Z507" s="174"/>
      <c r="AA507" s="174"/>
      <c r="AB507" s="174"/>
      <c r="AC507" s="174"/>
      <c r="AD507" s="174"/>
      <c r="AE507" s="174"/>
      <c r="AF507" s="174"/>
      <c r="AG507" s="174"/>
      <c r="AH507" s="174"/>
    </row>
    <row r="508" spans="1:34">
      <c r="A508" s="169"/>
      <c r="B508" s="169"/>
      <c r="C508" s="169"/>
      <c r="D508" s="169"/>
      <c r="E508" s="170"/>
      <c r="F508" s="170"/>
      <c r="G508" s="170"/>
      <c r="H508" s="171"/>
      <c r="I508" s="171"/>
      <c r="J508" s="172"/>
      <c r="K508" s="171"/>
      <c r="L508" s="172"/>
      <c r="M508" s="172"/>
      <c r="N508" s="170"/>
      <c r="O508" s="173"/>
      <c r="P508" s="173"/>
      <c r="Q508" s="173"/>
      <c r="R508" s="173"/>
      <c r="S508" s="173"/>
      <c r="T508" s="173"/>
      <c r="U508" s="173"/>
      <c r="V508" s="170"/>
      <c r="W508" s="170"/>
      <c r="X508" s="174"/>
      <c r="Y508" s="174"/>
      <c r="Z508" s="174"/>
      <c r="AA508" s="174"/>
      <c r="AB508" s="174"/>
      <c r="AC508" s="174"/>
      <c r="AD508" s="174"/>
      <c r="AE508" s="174"/>
      <c r="AF508" s="174"/>
      <c r="AG508" s="174"/>
      <c r="AH508" s="174"/>
    </row>
    <row r="509" spans="1:34">
      <c r="A509" s="169"/>
      <c r="B509" s="169"/>
      <c r="C509" s="169"/>
      <c r="D509" s="169"/>
      <c r="E509" s="170"/>
      <c r="F509" s="170"/>
      <c r="G509" s="170"/>
      <c r="H509" s="171"/>
      <c r="I509" s="171"/>
      <c r="J509" s="172"/>
      <c r="K509" s="171"/>
      <c r="L509" s="172"/>
      <c r="M509" s="172"/>
      <c r="N509" s="170"/>
      <c r="O509" s="173"/>
      <c r="P509" s="173"/>
      <c r="Q509" s="173"/>
      <c r="R509" s="173"/>
      <c r="S509" s="173"/>
      <c r="T509" s="173"/>
      <c r="U509" s="173"/>
      <c r="V509" s="170"/>
      <c r="W509" s="170"/>
      <c r="X509" s="174"/>
      <c r="Y509" s="174"/>
      <c r="Z509" s="174"/>
      <c r="AA509" s="174"/>
      <c r="AB509" s="174"/>
      <c r="AC509" s="174"/>
      <c r="AD509" s="174"/>
      <c r="AE509" s="174"/>
      <c r="AF509" s="174"/>
      <c r="AG509" s="174"/>
      <c r="AH509" s="174"/>
    </row>
    <row r="510" spans="1:34">
      <c r="A510" s="169"/>
      <c r="B510" s="169"/>
      <c r="C510" s="169"/>
      <c r="D510" s="169"/>
      <c r="E510" s="170"/>
      <c r="F510" s="170"/>
      <c r="G510" s="170"/>
      <c r="H510" s="171"/>
      <c r="I510" s="171"/>
      <c r="J510" s="172"/>
      <c r="K510" s="171"/>
      <c r="L510" s="172"/>
      <c r="M510" s="172"/>
      <c r="N510" s="170"/>
      <c r="O510" s="173"/>
      <c r="P510" s="173"/>
      <c r="Q510" s="173"/>
      <c r="R510" s="173"/>
      <c r="S510" s="173"/>
      <c r="T510" s="173"/>
      <c r="U510" s="173"/>
      <c r="V510" s="170"/>
      <c r="W510" s="170"/>
      <c r="X510" s="174"/>
      <c r="Y510" s="174"/>
      <c r="Z510" s="174"/>
      <c r="AA510" s="174"/>
      <c r="AB510" s="174"/>
      <c r="AC510" s="174"/>
      <c r="AD510" s="174"/>
      <c r="AE510" s="174"/>
      <c r="AF510" s="174"/>
      <c r="AG510" s="174"/>
      <c r="AH510" s="174"/>
    </row>
    <row r="511" spans="1:34">
      <c r="A511" s="169"/>
      <c r="B511" s="169"/>
      <c r="C511" s="169"/>
      <c r="D511" s="169"/>
      <c r="E511" s="170"/>
      <c r="F511" s="170"/>
      <c r="G511" s="170"/>
      <c r="H511" s="171"/>
      <c r="I511" s="171"/>
      <c r="J511" s="172"/>
      <c r="K511" s="171"/>
      <c r="L511" s="172"/>
      <c r="M511" s="172"/>
      <c r="N511" s="170"/>
      <c r="O511" s="173"/>
      <c r="P511" s="173"/>
      <c r="Q511" s="173"/>
      <c r="R511" s="173"/>
      <c r="S511" s="173"/>
      <c r="T511" s="173"/>
      <c r="U511" s="173"/>
      <c r="V511" s="170"/>
      <c r="W511" s="170"/>
      <c r="X511" s="174"/>
      <c r="Y511" s="174"/>
      <c r="Z511" s="174"/>
      <c r="AA511" s="174"/>
      <c r="AB511" s="174"/>
      <c r="AC511" s="174"/>
      <c r="AD511" s="174"/>
      <c r="AE511" s="174"/>
      <c r="AF511" s="174"/>
      <c r="AG511" s="174"/>
      <c r="AH511" s="174"/>
    </row>
    <row r="512" spans="1:34">
      <c r="A512" s="169"/>
      <c r="B512" s="169"/>
      <c r="C512" s="169"/>
      <c r="D512" s="169"/>
      <c r="E512" s="170"/>
      <c r="F512" s="170"/>
      <c r="G512" s="170"/>
      <c r="H512" s="171"/>
      <c r="I512" s="171"/>
      <c r="J512" s="172"/>
      <c r="K512" s="171"/>
      <c r="L512" s="172"/>
      <c r="M512" s="172"/>
      <c r="N512" s="170"/>
      <c r="O512" s="173"/>
      <c r="P512" s="173"/>
      <c r="Q512" s="173"/>
      <c r="R512" s="173"/>
      <c r="S512" s="173"/>
      <c r="T512" s="173"/>
      <c r="U512" s="173"/>
      <c r="V512" s="170"/>
      <c r="W512" s="170"/>
      <c r="X512" s="174"/>
      <c r="Y512" s="174"/>
      <c r="Z512" s="174"/>
      <c r="AA512" s="174"/>
      <c r="AB512" s="174"/>
      <c r="AC512" s="174"/>
      <c r="AD512" s="174"/>
      <c r="AE512" s="174"/>
      <c r="AF512" s="174"/>
      <c r="AG512" s="174"/>
      <c r="AH512" s="174"/>
    </row>
    <row r="513" spans="1:34">
      <c r="A513" s="169"/>
      <c r="B513" s="169"/>
      <c r="C513" s="169"/>
      <c r="D513" s="169"/>
      <c r="E513" s="170"/>
      <c r="F513" s="170"/>
      <c r="G513" s="170"/>
      <c r="H513" s="171"/>
      <c r="I513" s="171"/>
      <c r="J513" s="172"/>
      <c r="K513" s="171"/>
      <c r="L513" s="172"/>
      <c r="M513" s="172"/>
      <c r="N513" s="170"/>
      <c r="O513" s="173"/>
      <c r="P513" s="173"/>
      <c r="Q513" s="173"/>
      <c r="R513" s="173"/>
      <c r="S513" s="173"/>
      <c r="T513" s="173"/>
      <c r="U513" s="173"/>
      <c r="V513" s="170"/>
      <c r="W513" s="170"/>
      <c r="X513" s="174"/>
      <c r="Y513" s="174"/>
      <c r="Z513" s="174"/>
      <c r="AA513" s="174"/>
      <c r="AB513" s="174"/>
      <c r="AC513" s="174"/>
      <c r="AD513" s="174"/>
      <c r="AE513" s="174"/>
      <c r="AF513" s="174"/>
      <c r="AG513" s="174"/>
      <c r="AH513" s="174"/>
    </row>
    <row r="514" spans="1:34">
      <c r="A514" s="169"/>
      <c r="B514" s="169"/>
      <c r="C514" s="169"/>
      <c r="D514" s="169"/>
      <c r="E514" s="170"/>
      <c r="F514" s="170"/>
      <c r="G514" s="170"/>
      <c r="H514" s="171"/>
      <c r="I514" s="171"/>
      <c r="J514" s="172"/>
      <c r="K514" s="171"/>
      <c r="L514" s="172"/>
      <c r="M514" s="172"/>
      <c r="N514" s="170"/>
      <c r="O514" s="173"/>
      <c r="P514" s="173"/>
      <c r="Q514" s="173"/>
      <c r="R514" s="173"/>
      <c r="S514" s="173"/>
      <c r="T514" s="173"/>
      <c r="U514" s="173"/>
      <c r="V514" s="170"/>
      <c r="W514" s="170"/>
      <c r="X514" s="174"/>
      <c r="Y514" s="174"/>
      <c r="Z514" s="174"/>
      <c r="AA514" s="174"/>
      <c r="AB514" s="174"/>
      <c r="AC514" s="174"/>
      <c r="AD514" s="174"/>
      <c r="AE514" s="174"/>
      <c r="AF514" s="174"/>
      <c r="AG514" s="174"/>
      <c r="AH514" s="174"/>
    </row>
    <row r="515" spans="1:34">
      <c r="A515" s="169"/>
      <c r="B515" s="169"/>
      <c r="C515" s="169"/>
      <c r="D515" s="169"/>
      <c r="E515" s="170"/>
      <c r="F515" s="170"/>
      <c r="G515" s="170"/>
      <c r="H515" s="171"/>
      <c r="I515" s="171"/>
      <c r="J515" s="172"/>
      <c r="K515" s="171"/>
      <c r="L515" s="172"/>
      <c r="M515" s="172"/>
      <c r="N515" s="170"/>
      <c r="O515" s="173"/>
      <c r="P515" s="173"/>
      <c r="Q515" s="173"/>
      <c r="R515" s="173"/>
      <c r="S515" s="173"/>
      <c r="T515" s="173"/>
      <c r="U515" s="173"/>
      <c r="V515" s="170"/>
      <c r="W515" s="170"/>
      <c r="X515" s="174"/>
      <c r="Y515" s="174"/>
      <c r="Z515" s="174"/>
      <c r="AA515" s="174"/>
      <c r="AB515" s="174"/>
      <c r="AC515" s="174"/>
      <c r="AD515" s="174"/>
      <c r="AE515" s="174"/>
      <c r="AF515" s="174"/>
      <c r="AG515" s="174"/>
      <c r="AH515" s="174"/>
    </row>
    <row r="516" spans="1:34">
      <c r="A516" s="169"/>
      <c r="B516" s="169"/>
      <c r="C516" s="169"/>
      <c r="D516" s="169"/>
      <c r="E516" s="170"/>
      <c r="F516" s="170"/>
      <c r="G516" s="170"/>
      <c r="H516" s="171"/>
      <c r="I516" s="171"/>
      <c r="J516" s="172"/>
      <c r="K516" s="171"/>
      <c r="L516" s="172"/>
      <c r="M516" s="172"/>
      <c r="N516" s="170"/>
      <c r="O516" s="173"/>
      <c r="P516" s="173"/>
      <c r="Q516" s="173"/>
      <c r="R516" s="173"/>
      <c r="S516" s="173"/>
      <c r="T516" s="173"/>
      <c r="U516" s="173"/>
      <c r="V516" s="170"/>
      <c r="W516" s="170"/>
      <c r="X516" s="174"/>
      <c r="Y516" s="174"/>
      <c r="Z516" s="174"/>
      <c r="AA516" s="174"/>
      <c r="AB516" s="174"/>
      <c r="AC516" s="174"/>
      <c r="AD516" s="174"/>
      <c r="AE516" s="174"/>
      <c r="AF516" s="174"/>
      <c r="AG516" s="174"/>
      <c r="AH516" s="174"/>
    </row>
    <row r="517" spans="1:34">
      <c r="A517" s="169"/>
      <c r="B517" s="169"/>
      <c r="C517" s="169"/>
      <c r="D517" s="169"/>
      <c r="E517" s="170"/>
      <c r="F517" s="170"/>
      <c r="G517" s="170"/>
      <c r="H517" s="171"/>
      <c r="I517" s="171"/>
      <c r="J517" s="172"/>
      <c r="K517" s="171"/>
      <c r="L517" s="172"/>
      <c r="M517" s="172"/>
      <c r="N517" s="170"/>
      <c r="O517" s="173"/>
      <c r="P517" s="173"/>
      <c r="Q517" s="173"/>
      <c r="R517" s="173"/>
      <c r="S517" s="173"/>
      <c r="T517" s="173"/>
      <c r="U517" s="173"/>
      <c r="V517" s="170"/>
      <c r="W517" s="170"/>
      <c r="X517" s="174"/>
      <c r="Y517" s="174"/>
      <c r="Z517" s="174"/>
      <c r="AA517" s="174"/>
      <c r="AB517" s="174"/>
      <c r="AC517" s="174"/>
      <c r="AD517" s="174"/>
      <c r="AE517" s="174"/>
      <c r="AF517" s="174"/>
      <c r="AG517" s="174"/>
      <c r="AH517" s="174"/>
    </row>
    <row r="518" spans="1:34">
      <c r="A518" s="169"/>
      <c r="B518" s="169"/>
      <c r="C518" s="169"/>
      <c r="D518" s="169"/>
      <c r="E518" s="170"/>
      <c r="F518" s="170"/>
      <c r="G518" s="170"/>
      <c r="H518" s="171"/>
      <c r="I518" s="171"/>
      <c r="J518" s="172"/>
      <c r="K518" s="171"/>
      <c r="L518" s="172"/>
      <c r="M518" s="172"/>
      <c r="N518" s="170"/>
      <c r="O518" s="173"/>
      <c r="P518" s="173"/>
      <c r="Q518" s="173"/>
      <c r="R518" s="173"/>
      <c r="S518" s="173"/>
      <c r="T518" s="173"/>
      <c r="U518" s="173"/>
      <c r="V518" s="170"/>
      <c r="W518" s="170"/>
      <c r="X518" s="174"/>
      <c r="Y518" s="174"/>
      <c r="Z518" s="174"/>
      <c r="AA518" s="174"/>
      <c r="AB518" s="174"/>
      <c r="AC518" s="174"/>
      <c r="AD518" s="174"/>
      <c r="AE518" s="174"/>
      <c r="AF518" s="174"/>
      <c r="AG518" s="174"/>
      <c r="AH518" s="174"/>
    </row>
    <row r="519" spans="1:34">
      <c r="A519" s="169"/>
      <c r="B519" s="169"/>
      <c r="C519" s="169"/>
      <c r="D519" s="169"/>
      <c r="E519" s="170"/>
      <c r="F519" s="170"/>
      <c r="G519" s="170"/>
      <c r="H519" s="171"/>
      <c r="I519" s="171"/>
      <c r="J519" s="172"/>
      <c r="K519" s="171"/>
      <c r="L519" s="172"/>
      <c r="M519" s="172"/>
      <c r="N519" s="170"/>
      <c r="O519" s="173"/>
      <c r="P519" s="173"/>
      <c r="Q519" s="173"/>
      <c r="R519" s="173"/>
      <c r="S519" s="173"/>
      <c r="T519" s="173"/>
      <c r="U519" s="173"/>
      <c r="V519" s="170"/>
      <c r="W519" s="170"/>
      <c r="X519" s="174"/>
      <c r="Y519" s="174"/>
      <c r="Z519" s="174"/>
      <c r="AA519" s="174"/>
      <c r="AB519" s="174"/>
      <c r="AC519" s="174"/>
      <c r="AD519" s="174"/>
      <c r="AE519" s="174"/>
      <c r="AF519" s="174"/>
      <c r="AG519" s="174"/>
      <c r="AH519" s="174"/>
    </row>
    <row r="520" spans="1:34">
      <c r="A520" s="169"/>
      <c r="B520" s="169"/>
      <c r="C520" s="169"/>
      <c r="D520" s="169"/>
      <c r="E520" s="170"/>
      <c r="F520" s="170"/>
      <c r="G520" s="170"/>
      <c r="H520" s="171"/>
      <c r="I520" s="171"/>
      <c r="J520" s="172"/>
      <c r="K520" s="171"/>
      <c r="L520" s="172"/>
      <c r="M520" s="172"/>
      <c r="N520" s="170"/>
      <c r="O520" s="173"/>
      <c r="P520" s="173"/>
      <c r="Q520" s="173"/>
      <c r="R520" s="173"/>
      <c r="S520" s="173"/>
      <c r="T520" s="173"/>
      <c r="U520" s="173"/>
      <c r="V520" s="170"/>
      <c r="W520" s="170"/>
      <c r="X520" s="174"/>
      <c r="Y520" s="174"/>
      <c r="Z520" s="174"/>
      <c r="AA520" s="174"/>
      <c r="AB520" s="174"/>
      <c r="AC520" s="174"/>
      <c r="AD520" s="174"/>
      <c r="AE520" s="174"/>
      <c r="AF520" s="174"/>
      <c r="AG520" s="174"/>
      <c r="AH520" s="174"/>
    </row>
    <row r="521" spans="1:34">
      <c r="A521" s="169"/>
      <c r="B521" s="169"/>
      <c r="C521" s="169"/>
      <c r="D521" s="169"/>
      <c r="E521" s="170"/>
      <c r="F521" s="170"/>
      <c r="G521" s="170"/>
      <c r="H521" s="171"/>
      <c r="I521" s="171"/>
      <c r="J521" s="172"/>
      <c r="K521" s="171"/>
      <c r="L521" s="172"/>
      <c r="M521" s="172"/>
      <c r="N521" s="170"/>
      <c r="O521" s="173"/>
      <c r="P521" s="173"/>
      <c r="Q521" s="173"/>
      <c r="R521" s="173"/>
      <c r="S521" s="173"/>
      <c r="T521" s="173"/>
      <c r="U521" s="173"/>
      <c r="V521" s="170"/>
      <c r="W521" s="170"/>
      <c r="X521" s="174"/>
      <c r="Y521" s="174"/>
      <c r="Z521" s="174"/>
      <c r="AA521" s="174"/>
      <c r="AB521" s="174"/>
      <c r="AC521" s="174"/>
      <c r="AD521" s="174"/>
      <c r="AE521" s="174"/>
      <c r="AF521" s="174"/>
      <c r="AG521" s="174"/>
      <c r="AH521" s="174"/>
    </row>
    <row r="522" spans="1:34">
      <c r="A522" s="169"/>
      <c r="B522" s="169"/>
      <c r="C522" s="169"/>
      <c r="D522" s="169"/>
      <c r="E522" s="170"/>
      <c r="F522" s="170"/>
      <c r="G522" s="170"/>
      <c r="H522" s="171"/>
      <c r="I522" s="171"/>
      <c r="J522" s="172"/>
      <c r="K522" s="171"/>
      <c r="L522" s="172"/>
      <c r="M522" s="172"/>
      <c r="N522" s="170"/>
      <c r="O522" s="173"/>
      <c r="P522" s="173"/>
      <c r="Q522" s="173"/>
      <c r="R522" s="173"/>
      <c r="S522" s="173"/>
      <c r="T522" s="173"/>
      <c r="U522" s="173"/>
      <c r="V522" s="170"/>
      <c r="W522" s="170"/>
      <c r="X522" s="174"/>
      <c r="Y522" s="174"/>
      <c r="Z522" s="174"/>
      <c r="AA522" s="174"/>
      <c r="AB522" s="174"/>
      <c r="AC522" s="174"/>
      <c r="AD522" s="174"/>
      <c r="AE522" s="174"/>
      <c r="AF522" s="174"/>
      <c r="AG522" s="174"/>
      <c r="AH522" s="174"/>
    </row>
    <row r="523" spans="1:34">
      <c r="A523" s="169"/>
      <c r="B523" s="169"/>
      <c r="C523" s="169"/>
      <c r="D523" s="169"/>
      <c r="E523" s="170"/>
      <c r="F523" s="170"/>
      <c r="G523" s="170"/>
      <c r="H523" s="171"/>
      <c r="I523" s="171"/>
      <c r="J523" s="172"/>
      <c r="K523" s="171"/>
      <c r="L523" s="172"/>
      <c r="M523" s="172"/>
      <c r="N523" s="170"/>
      <c r="O523" s="173"/>
      <c r="P523" s="173"/>
      <c r="Q523" s="173"/>
      <c r="R523" s="173"/>
      <c r="S523" s="173"/>
      <c r="T523" s="173"/>
      <c r="U523" s="173"/>
      <c r="V523" s="170"/>
      <c r="W523" s="170"/>
      <c r="X523" s="174"/>
      <c r="Y523" s="174"/>
      <c r="Z523" s="174"/>
      <c r="AA523" s="174"/>
      <c r="AB523" s="174"/>
      <c r="AC523" s="174"/>
      <c r="AD523" s="174"/>
      <c r="AE523" s="174"/>
      <c r="AF523" s="174"/>
      <c r="AG523" s="174"/>
      <c r="AH523" s="174"/>
    </row>
    <row r="524" spans="1:34">
      <c r="A524" s="169"/>
      <c r="B524" s="169"/>
      <c r="C524" s="169"/>
      <c r="D524" s="169"/>
      <c r="E524" s="170"/>
      <c r="F524" s="170"/>
      <c r="G524" s="170"/>
      <c r="H524" s="171"/>
      <c r="I524" s="171"/>
      <c r="J524" s="172"/>
      <c r="K524" s="171"/>
      <c r="L524" s="172"/>
      <c r="M524" s="172"/>
      <c r="N524" s="170"/>
      <c r="O524" s="173"/>
      <c r="P524" s="173"/>
      <c r="Q524" s="173"/>
      <c r="R524" s="173"/>
      <c r="S524" s="173"/>
      <c r="T524" s="173"/>
      <c r="U524" s="173"/>
      <c r="V524" s="170"/>
      <c r="W524" s="170"/>
      <c r="X524" s="174"/>
      <c r="Y524" s="174"/>
      <c r="Z524" s="174"/>
      <c r="AA524" s="174"/>
      <c r="AB524" s="174"/>
      <c r="AC524" s="174"/>
      <c r="AD524" s="174"/>
      <c r="AE524" s="174"/>
      <c r="AF524" s="174"/>
      <c r="AG524" s="174"/>
      <c r="AH524" s="174"/>
    </row>
    <row r="525" spans="1:34">
      <c r="A525" s="169"/>
      <c r="B525" s="169"/>
      <c r="C525" s="169"/>
      <c r="D525" s="169"/>
      <c r="E525" s="170"/>
      <c r="F525" s="170"/>
      <c r="G525" s="170"/>
      <c r="H525" s="171"/>
      <c r="I525" s="171"/>
      <c r="J525" s="172"/>
      <c r="K525" s="171"/>
      <c r="L525" s="172"/>
      <c r="M525" s="172"/>
      <c r="N525" s="170"/>
      <c r="O525" s="173"/>
      <c r="P525" s="173"/>
      <c r="Q525" s="173"/>
      <c r="R525" s="173"/>
      <c r="S525" s="173"/>
      <c r="T525" s="173"/>
      <c r="U525" s="173"/>
      <c r="V525" s="170"/>
      <c r="W525" s="170"/>
      <c r="X525" s="174"/>
      <c r="Y525" s="174"/>
      <c r="Z525" s="174"/>
      <c r="AA525" s="174"/>
      <c r="AB525" s="174"/>
      <c r="AC525" s="174"/>
      <c r="AD525" s="174"/>
      <c r="AE525" s="174"/>
      <c r="AF525" s="174"/>
      <c r="AG525" s="174"/>
      <c r="AH525" s="174"/>
    </row>
    <row r="526" spans="1:34">
      <c r="E526" s="1"/>
      <c r="F526" s="1"/>
      <c r="G526" s="1"/>
      <c r="H526" s="24"/>
      <c r="I526" s="24"/>
      <c r="J526" s="6"/>
      <c r="K526" s="24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1:34">
      <c r="E527" s="1"/>
      <c r="F527" s="1"/>
      <c r="G527" s="1"/>
      <c r="H527" s="24"/>
      <c r="I527" s="24"/>
      <c r="J527" s="6"/>
      <c r="K527" s="24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1:34">
      <c r="E528" s="1"/>
      <c r="F528" s="1"/>
      <c r="G528" s="1"/>
      <c r="H528" s="24"/>
      <c r="I528" s="24"/>
      <c r="J528" s="6"/>
      <c r="K528" s="24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4"/>
      <c r="I529" s="24"/>
      <c r="J529" s="6"/>
      <c r="K529" s="24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4"/>
      <c r="I530" s="24"/>
      <c r="J530" s="6"/>
      <c r="K530" s="24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4"/>
      <c r="I531" s="24"/>
      <c r="J531" s="6"/>
      <c r="K531" s="24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4"/>
      <c r="I532" s="24"/>
      <c r="J532" s="6"/>
      <c r="K532" s="24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4"/>
      <c r="I533" s="24"/>
      <c r="J533" s="6"/>
      <c r="K533" s="24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4"/>
      <c r="I534" s="24"/>
      <c r="J534" s="6"/>
      <c r="K534" s="24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4"/>
      <c r="I535" s="24"/>
      <c r="J535" s="6"/>
      <c r="K535" s="24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4"/>
      <c r="I536" s="24"/>
      <c r="J536" s="6"/>
      <c r="K536" s="24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4"/>
      <c r="I537" s="24"/>
      <c r="J537" s="6"/>
      <c r="K537" s="24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4"/>
      <c r="I538" s="24"/>
      <c r="J538" s="6"/>
      <c r="K538" s="24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4"/>
      <c r="I539" s="24"/>
      <c r="J539" s="6"/>
      <c r="K539" s="24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4"/>
      <c r="I540" s="24"/>
      <c r="J540" s="6"/>
      <c r="K540" s="24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4"/>
      <c r="I541" s="24"/>
      <c r="J541" s="6"/>
      <c r="K541" s="24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4"/>
      <c r="I542" s="24"/>
      <c r="J542" s="6"/>
      <c r="K542" s="24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4"/>
      <c r="I543" s="24"/>
      <c r="J543" s="6"/>
      <c r="K543" s="24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4"/>
      <c r="I544" s="24"/>
      <c r="J544" s="6"/>
      <c r="K544" s="24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4"/>
      <c r="I545" s="24"/>
      <c r="J545" s="6"/>
      <c r="K545" s="24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4"/>
      <c r="I546" s="24"/>
      <c r="J546" s="6"/>
      <c r="K546" s="24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4"/>
      <c r="I547" s="24"/>
      <c r="J547" s="6"/>
      <c r="K547" s="24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4"/>
      <c r="I548" s="24"/>
      <c r="J548" s="6"/>
      <c r="K548" s="24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4"/>
      <c r="I549" s="24"/>
      <c r="J549" s="6"/>
      <c r="K549" s="24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4"/>
      <c r="I550" s="24"/>
      <c r="J550" s="6"/>
      <c r="K550" s="24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4"/>
      <c r="I551" s="24"/>
      <c r="J551" s="6"/>
      <c r="K551" s="24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4"/>
      <c r="I552" s="24"/>
      <c r="J552" s="6"/>
      <c r="K552" s="24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4"/>
      <c r="I553" s="24"/>
      <c r="J553" s="6"/>
      <c r="K553" s="24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4"/>
      <c r="I554" s="24"/>
      <c r="J554" s="6"/>
      <c r="K554" s="24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4"/>
      <c r="I555" s="24"/>
      <c r="J555" s="6"/>
      <c r="K555" s="24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4"/>
      <c r="I556" s="24"/>
      <c r="J556" s="6"/>
      <c r="K556" s="24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4"/>
      <c r="I557" s="24"/>
      <c r="J557" s="6"/>
      <c r="K557" s="24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4"/>
      <c r="I558" s="24"/>
      <c r="J558" s="6"/>
      <c r="K558" s="24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4"/>
      <c r="I559" s="24"/>
      <c r="J559" s="6"/>
      <c r="K559" s="24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4"/>
      <c r="I560" s="24"/>
      <c r="J560" s="6"/>
      <c r="K560" s="24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4"/>
      <c r="I561" s="24"/>
      <c r="J561" s="6"/>
      <c r="K561" s="24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4"/>
      <c r="I562" s="24"/>
      <c r="J562" s="6"/>
      <c r="K562" s="24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4"/>
      <c r="I563" s="24"/>
      <c r="J563" s="6"/>
      <c r="K563" s="24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4"/>
      <c r="I564" s="24"/>
      <c r="J564" s="6"/>
      <c r="K564" s="24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4"/>
      <c r="I565" s="24"/>
      <c r="J565" s="6"/>
      <c r="K565" s="24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4"/>
      <c r="I566" s="24"/>
      <c r="J566" s="6"/>
      <c r="K566" s="24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4"/>
      <c r="I567" s="24"/>
      <c r="J567" s="6"/>
      <c r="K567" s="24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4"/>
      <c r="I568" s="24"/>
      <c r="J568" s="6"/>
      <c r="K568" s="24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4"/>
      <c r="I569" s="24"/>
      <c r="J569" s="6"/>
      <c r="K569" s="24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4"/>
      <c r="I570" s="24"/>
      <c r="J570" s="6"/>
      <c r="K570" s="24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4"/>
      <c r="I571" s="24"/>
      <c r="J571" s="6"/>
      <c r="K571" s="24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4"/>
      <c r="I572" s="24"/>
      <c r="J572" s="6"/>
      <c r="K572" s="24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4"/>
      <c r="I573" s="24"/>
      <c r="J573" s="6"/>
      <c r="K573" s="24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4"/>
      <c r="I574" s="24"/>
      <c r="J574" s="6"/>
      <c r="K574" s="24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4"/>
      <c r="I575" s="24"/>
      <c r="J575" s="6"/>
      <c r="K575" s="24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4"/>
      <c r="I576" s="24"/>
      <c r="J576" s="6"/>
      <c r="K576" s="24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4"/>
      <c r="I577" s="24"/>
      <c r="J577" s="6"/>
      <c r="K577" s="24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4"/>
      <c r="I578" s="24"/>
      <c r="J578" s="6"/>
      <c r="K578" s="24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4"/>
      <c r="I579" s="24"/>
      <c r="J579" s="6"/>
      <c r="K579" s="24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4"/>
      <c r="I580" s="24"/>
      <c r="J580" s="6"/>
      <c r="K580" s="24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4"/>
      <c r="I581" s="24"/>
      <c r="J581" s="6"/>
      <c r="K581" s="24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4"/>
      <c r="I582" s="24"/>
      <c r="J582" s="6"/>
      <c r="K582" s="24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4"/>
      <c r="I583" s="24"/>
      <c r="J583" s="6"/>
      <c r="K583" s="24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4"/>
      <c r="I584" s="24"/>
      <c r="J584" s="6"/>
      <c r="K584" s="24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4"/>
      <c r="I585" s="24"/>
      <c r="J585" s="6"/>
      <c r="K585" s="24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4"/>
      <c r="I586" s="24"/>
      <c r="J586" s="6"/>
      <c r="K586" s="24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4"/>
      <c r="I587" s="24"/>
      <c r="J587" s="6"/>
      <c r="K587" s="24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4"/>
      <c r="I588" s="24"/>
      <c r="J588" s="6"/>
      <c r="K588" s="24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4"/>
      <c r="I589" s="24"/>
      <c r="J589" s="6"/>
      <c r="K589" s="24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4"/>
      <c r="I590" s="24"/>
      <c r="J590" s="6"/>
      <c r="K590" s="24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4"/>
      <c r="I591" s="24"/>
      <c r="J591" s="6"/>
      <c r="K591" s="24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4"/>
      <c r="I592" s="24"/>
      <c r="J592" s="6"/>
      <c r="K592" s="24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4"/>
      <c r="I593" s="24"/>
      <c r="J593" s="6"/>
      <c r="K593" s="24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4"/>
      <c r="I594" s="24"/>
      <c r="J594" s="6"/>
      <c r="K594" s="24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4"/>
      <c r="I595" s="24"/>
      <c r="J595" s="6"/>
      <c r="K595" s="24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4"/>
      <c r="I596" s="24"/>
      <c r="J596" s="6"/>
      <c r="K596" s="24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4"/>
      <c r="I597" s="24"/>
      <c r="J597" s="6"/>
      <c r="K597" s="24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4"/>
      <c r="I598" s="24"/>
      <c r="J598" s="6"/>
      <c r="K598" s="24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4"/>
      <c r="I599" s="24"/>
      <c r="J599" s="6"/>
      <c r="K599" s="24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4"/>
      <c r="I600" s="24"/>
      <c r="J600" s="6"/>
      <c r="K600" s="24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4"/>
      <c r="I601" s="24"/>
      <c r="J601" s="6"/>
      <c r="K601" s="24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4"/>
      <c r="I602" s="24"/>
      <c r="J602" s="6"/>
      <c r="K602" s="24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4"/>
      <c r="I603" s="24"/>
      <c r="J603" s="6"/>
      <c r="K603" s="24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4"/>
      <c r="I604" s="24"/>
      <c r="J604" s="6"/>
      <c r="K604" s="24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4"/>
      <c r="I605" s="24"/>
      <c r="J605" s="6"/>
      <c r="K605" s="24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4"/>
      <c r="I606" s="24"/>
      <c r="J606" s="6"/>
      <c r="K606" s="24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4"/>
      <c r="I607" s="24"/>
      <c r="J607" s="6"/>
      <c r="K607" s="24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4"/>
      <c r="I608" s="24"/>
      <c r="J608" s="6"/>
      <c r="K608" s="24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4"/>
      <c r="I609" s="24"/>
      <c r="J609" s="6"/>
      <c r="K609" s="24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4"/>
      <c r="I610" s="24"/>
      <c r="J610" s="6"/>
      <c r="K610" s="24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4"/>
      <c r="I611" s="24"/>
      <c r="J611" s="6"/>
      <c r="K611" s="24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4"/>
      <c r="I612" s="24"/>
      <c r="J612" s="6"/>
      <c r="K612" s="24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4"/>
      <c r="I613" s="24"/>
      <c r="J613" s="6"/>
      <c r="K613" s="24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4"/>
      <c r="I614" s="24"/>
      <c r="J614" s="6"/>
      <c r="K614" s="24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4"/>
      <c r="I615" s="24"/>
      <c r="J615" s="6"/>
      <c r="K615" s="24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4"/>
      <c r="I616" s="24"/>
      <c r="J616" s="6"/>
      <c r="K616" s="24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4"/>
      <c r="I617" s="24"/>
      <c r="J617" s="6"/>
      <c r="K617" s="24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4"/>
      <c r="I618" s="24"/>
      <c r="J618" s="6"/>
      <c r="K618" s="24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4"/>
      <c r="I619" s="24"/>
      <c r="J619" s="6"/>
      <c r="K619" s="24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4"/>
      <c r="I620" s="24"/>
      <c r="J620" s="6"/>
      <c r="K620" s="24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4"/>
      <c r="I621" s="24"/>
      <c r="J621" s="6"/>
      <c r="K621" s="24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4"/>
      <c r="I622" s="24"/>
      <c r="J622" s="6"/>
      <c r="K622" s="24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4"/>
      <c r="I623" s="24"/>
      <c r="J623" s="6"/>
      <c r="K623" s="24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4"/>
      <c r="I624" s="24"/>
      <c r="J624" s="6"/>
      <c r="K624" s="24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4"/>
      <c r="I625" s="24"/>
      <c r="J625" s="6"/>
      <c r="K625" s="24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4"/>
      <c r="I626" s="24"/>
      <c r="J626" s="6"/>
      <c r="K626" s="24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4"/>
      <c r="I627" s="24"/>
      <c r="J627" s="6"/>
      <c r="K627" s="24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4"/>
      <c r="I628" s="24"/>
      <c r="J628" s="6"/>
      <c r="K628" s="24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4"/>
      <c r="I629" s="24"/>
      <c r="J629" s="6"/>
      <c r="K629" s="24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4"/>
      <c r="I630" s="24"/>
      <c r="J630" s="6"/>
      <c r="K630" s="24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4"/>
      <c r="I631" s="24"/>
      <c r="J631" s="6"/>
      <c r="K631" s="24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4"/>
      <c r="I632" s="24"/>
      <c r="J632" s="6"/>
      <c r="K632" s="24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4"/>
      <c r="I633" s="24"/>
      <c r="J633" s="6"/>
      <c r="K633" s="24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4"/>
      <c r="I634" s="24"/>
      <c r="J634" s="6"/>
      <c r="K634" s="24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4"/>
      <c r="I635" s="24"/>
      <c r="J635" s="6"/>
      <c r="K635" s="24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4"/>
      <c r="I636" s="24"/>
      <c r="J636" s="6"/>
      <c r="K636" s="24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4"/>
      <c r="I637" s="24"/>
      <c r="J637" s="6"/>
      <c r="K637" s="24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4"/>
      <c r="I638" s="24"/>
      <c r="J638" s="6"/>
      <c r="K638" s="24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4"/>
      <c r="I639" s="24"/>
      <c r="J639" s="6"/>
      <c r="K639" s="24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4"/>
      <c r="I640" s="24"/>
      <c r="J640" s="6"/>
      <c r="K640" s="24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4"/>
      <c r="I641" s="24"/>
      <c r="J641" s="6"/>
      <c r="K641" s="24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4"/>
      <c r="I642" s="24"/>
      <c r="J642" s="6"/>
      <c r="K642" s="24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4"/>
      <c r="I643" s="24"/>
      <c r="J643" s="6"/>
      <c r="K643" s="24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4"/>
      <c r="I644" s="24"/>
      <c r="J644" s="6"/>
      <c r="K644" s="24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4"/>
      <c r="I645" s="24"/>
      <c r="J645" s="6"/>
      <c r="K645" s="24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4"/>
      <c r="I646" s="24"/>
      <c r="J646" s="6"/>
      <c r="K646" s="24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4"/>
      <c r="I647" s="24"/>
      <c r="J647" s="6"/>
      <c r="K647" s="24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4"/>
      <c r="I648" s="24"/>
      <c r="J648" s="6"/>
      <c r="K648" s="24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4"/>
      <c r="I649" s="24"/>
      <c r="J649" s="6"/>
      <c r="K649" s="24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4"/>
      <c r="I650" s="24"/>
      <c r="J650" s="6"/>
      <c r="K650" s="24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4"/>
      <c r="I651" s="24"/>
      <c r="J651" s="6"/>
      <c r="K651" s="24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4"/>
      <c r="I652" s="24"/>
      <c r="J652" s="6"/>
      <c r="K652" s="24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4"/>
      <c r="I653" s="24"/>
      <c r="J653" s="6"/>
      <c r="K653" s="24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4"/>
      <c r="I654" s="24"/>
      <c r="J654" s="6"/>
      <c r="K654" s="24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4"/>
      <c r="I655" s="24"/>
      <c r="J655" s="6"/>
      <c r="K655" s="24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4"/>
      <c r="I656" s="24"/>
      <c r="J656" s="6"/>
      <c r="K656" s="24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4"/>
      <c r="I657" s="24"/>
      <c r="J657" s="6"/>
      <c r="K657" s="24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4"/>
      <c r="I658" s="24"/>
      <c r="J658" s="6"/>
      <c r="K658" s="24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4"/>
      <c r="I659" s="24"/>
      <c r="J659" s="6"/>
      <c r="K659" s="24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4"/>
      <c r="I660" s="24"/>
      <c r="J660" s="6"/>
      <c r="K660" s="24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4"/>
      <c r="I661" s="24"/>
      <c r="J661" s="6"/>
      <c r="K661" s="24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4"/>
      <c r="I662" s="24"/>
      <c r="J662" s="6"/>
      <c r="K662" s="24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4"/>
      <c r="I663" s="24"/>
      <c r="J663" s="6"/>
      <c r="K663" s="24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4"/>
      <c r="I664" s="24"/>
      <c r="J664" s="6"/>
      <c r="K664" s="24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4"/>
      <c r="I665" s="24"/>
      <c r="J665" s="6"/>
      <c r="K665" s="24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4"/>
      <c r="I666" s="24"/>
      <c r="J666" s="6"/>
      <c r="K666" s="24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4"/>
      <c r="I667" s="24"/>
      <c r="J667" s="6"/>
      <c r="K667" s="24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4"/>
      <c r="I668" s="24"/>
      <c r="J668" s="6"/>
      <c r="K668" s="24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4"/>
      <c r="I669" s="24"/>
      <c r="J669" s="6"/>
      <c r="K669" s="24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4"/>
      <c r="I670" s="24"/>
      <c r="J670" s="6"/>
      <c r="K670" s="24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4"/>
      <c r="I671" s="24"/>
      <c r="J671" s="6"/>
      <c r="K671" s="24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4"/>
      <c r="I672" s="24"/>
      <c r="J672" s="6"/>
      <c r="K672" s="24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4"/>
      <c r="I673" s="24"/>
      <c r="J673" s="6"/>
      <c r="K673" s="24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4"/>
      <c r="I674" s="24"/>
      <c r="J674" s="6"/>
      <c r="K674" s="24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4"/>
      <c r="I675" s="24"/>
      <c r="J675" s="6"/>
      <c r="K675" s="24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4"/>
      <c r="I676" s="24"/>
      <c r="J676" s="6"/>
      <c r="K676" s="24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4"/>
      <c r="I677" s="24"/>
      <c r="J677" s="6"/>
      <c r="K677" s="24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4"/>
      <c r="I678" s="24"/>
      <c r="J678" s="6"/>
      <c r="K678" s="24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4"/>
      <c r="I679" s="24"/>
      <c r="J679" s="6"/>
      <c r="K679" s="24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4"/>
      <c r="I680" s="24"/>
      <c r="J680" s="6"/>
      <c r="K680" s="24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4"/>
      <c r="I681" s="24"/>
      <c r="J681" s="6"/>
      <c r="K681" s="24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4"/>
      <c r="I682" s="24"/>
      <c r="J682" s="6"/>
      <c r="K682" s="24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4"/>
      <c r="I683" s="24"/>
      <c r="J683" s="6"/>
      <c r="K683" s="24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4"/>
      <c r="I684" s="24"/>
      <c r="J684" s="6"/>
      <c r="K684" s="24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4"/>
      <c r="I685" s="24"/>
      <c r="J685" s="6"/>
      <c r="K685" s="24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4"/>
      <c r="I686" s="24"/>
      <c r="J686" s="6"/>
      <c r="K686" s="24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4"/>
      <c r="I687" s="24"/>
      <c r="J687" s="6"/>
      <c r="K687" s="24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4"/>
      <c r="I688" s="24"/>
      <c r="J688" s="6"/>
      <c r="K688" s="24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4"/>
      <c r="I689" s="24"/>
      <c r="J689" s="6"/>
      <c r="K689" s="24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4"/>
      <c r="I690" s="24"/>
      <c r="J690" s="6"/>
      <c r="K690" s="24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4"/>
      <c r="I691" s="24"/>
      <c r="J691" s="6"/>
      <c r="K691" s="24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4"/>
      <c r="I692" s="24"/>
      <c r="J692" s="6"/>
      <c r="K692" s="24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4"/>
      <c r="I693" s="24"/>
      <c r="J693" s="6"/>
      <c r="K693" s="24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4"/>
      <c r="I694" s="24"/>
      <c r="J694" s="6"/>
      <c r="K694" s="24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4"/>
      <c r="I695" s="24"/>
      <c r="J695" s="6"/>
      <c r="K695" s="24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4"/>
      <c r="I696" s="24"/>
      <c r="J696" s="6"/>
      <c r="K696" s="24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4"/>
      <c r="I697" s="24"/>
      <c r="J697" s="6"/>
      <c r="K697" s="24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4"/>
      <c r="I698" s="24"/>
      <c r="J698" s="6"/>
      <c r="K698" s="24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4"/>
      <c r="I699" s="24"/>
      <c r="J699" s="6"/>
      <c r="K699" s="24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4"/>
      <c r="I700" s="24"/>
      <c r="J700" s="6"/>
      <c r="K700" s="24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4"/>
      <c r="I701" s="24"/>
      <c r="J701" s="6"/>
      <c r="K701" s="24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4"/>
      <c r="I702" s="24"/>
      <c r="J702" s="6"/>
      <c r="K702" s="24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4"/>
      <c r="I703" s="24"/>
      <c r="J703" s="6"/>
      <c r="K703" s="24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4"/>
      <c r="I704" s="24"/>
      <c r="J704" s="6"/>
      <c r="K704" s="24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4"/>
      <c r="I705" s="24"/>
      <c r="J705" s="6"/>
      <c r="K705" s="24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4"/>
      <c r="I706" s="24"/>
      <c r="J706" s="6"/>
      <c r="K706" s="24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4"/>
      <c r="I707" s="24"/>
      <c r="J707" s="6"/>
      <c r="K707" s="24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4"/>
      <c r="I708" s="24"/>
      <c r="J708" s="6"/>
      <c r="K708" s="24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4"/>
      <c r="I709" s="24"/>
      <c r="J709" s="6"/>
      <c r="K709" s="24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4"/>
      <c r="I710" s="24"/>
      <c r="J710" s="6"/>
      <c r="K710" s="24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4"/>
      <c r="I711" s="24"/>
      <c r="J711" s="6"/>
      <c r="K711" s="24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4"/>
      <c r="I712" s="24"/>
      <c r="J712" s="6"/>
      <c r="K712" s="24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4"/>
      <c r="I713" s="24"/>
      <c r="J713" s="6"/>
      <c r="K713" s="24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4"/>
      <c r="I714" s="24"/>
      <c r="J714" s="6"/>
      <c r="K714" s="24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4"/>
      <c r="I715" s="24"/>
      <c r="J715" s="6"/>
      <c r="K715" s="24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4"/>
      <c r="I716" s="24"/>
      <c r="J716" s="6"/>
      <c r="K716" s="24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4"/>
      <c r="I717" s="24"/>
      <c r="J717" s="6"/>
      <c r="K717" s="24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4"/>
      <c r="I718" s="24"/>
      <c r="J718" s="6"/>
      <c r="K718" s="24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4"/>
      <c r="I719" s="24"/>
      <c r="J719" s="6"/>
      <c r="K719" s="24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4"/>
      <c r="I720" s="24"/>
      <c r="J720" s="6"/>
      <c r="K720" s="24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4"/>
      <c r="I721" s="24"/>
      <c r="J721" s="6"/>
      <c r="K721" s="24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4"/>
      <c r="I722" s="24"/>
      <c r="J722" s="6"/>
      <c r="K722" s="24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4"/>
      <c r="I723" s="24"/>
      <c r="J723" s="6"/>
      <c r="K723" s="24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4"/>
      <c r="I724" s="24"/>
      <c r="J724" s="6"/>
      <c r="K724" s="24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4"/>
      <c r="I725" s="24"/>
      <c r="J725" s="6"/>
      <c r="K725" s="24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4"/>
      <c r="I726" s="24"/>
      <c r="J726" s="6"/>
      <c r="K726" s="24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4"/>
      <c r="I727" s="24"/>
      <c r="J727" s="6"/>
      <c r="K727" s="24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4"/>
      <c r="I728" s="24"/>
      <c r="J728" s="6"/>
      <c r="K728" s="24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4"/>
      <c r="I729" s="24"/>
      <c r="J729" s="6"/>
      <c r="K729" s="24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4"/>
      <c r="I730" s="24"/>
      <c r="J730" s="6"/>
      <c r="K730" s="24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4"/>
      <c r="I731" s="24"/>
      <c r="J731" s="6"/>
      <c r="K731" s="24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4"/>
      <c r="I732" s="24"/>
      <c r="J732" s="6"/>
      <c r="K732" s="24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4"/>
      <c r="I733" s="24"/>
      <c r="J733" s="6"/>
      <c r="K733" s="24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4"/>
      <c r="I734" s="24"/>
      <c r="J734" s="6"/>
      <c r="K734" s="24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4"/>
      <c r="I735" s="24"/>
      <c r="J735" s="6"/>
      <c r="K735" s="24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4"/>
      <c r="I736" s="24"/>
      <c r="J736" s="6"/>
      <c r="K736" s="24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4"/>
      <c r="I737" s="24"/>
      <c r="J737" s="6"/>
      <c r="K737" s="24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4"/>
      <c r="I738" s="24"/>
      <c r="J738" s="6"/>
      <c r="K738" s="24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4"/>
      <c r="I739" s="24"/>
      <c r="J739" s="6"/>
      <c r="K739" s="24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4"/>
      <c r="I740" s="24"/>
      <c r="J740" s="6"/>
      <c r="K740" s="24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4"/>
      <c r="I741" s="24"/>
      <c r="J741" s="6"/>
      <c r="K741" s="24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4"/>
      <c r="I742" s="24"/>
      <c r="J742" s="6"/>
      <c r="K742" s="24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4"/>
      <c r="I743" s="24"/>
      <c r="J743" s="6"/>
      <c r="K743" s="24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4"/>
      <c r="I744" s="24"/>
      <c r="J744" s="6"/>
      <c r="K744" s="24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4"/>
      <c r="I745" s="24"/>
      <c r="J745" s="6"/>
      <c r="K745" s="24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4"/>
      <c r="I746" s="24"/>
      <c r="J746" s="6"/>
      <c r="K746" s="24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4"/>
      <c r="I747" s="24"/>
      <c r="J747" s="6"/>
      <c r="K747" s="24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4"/>
      <c r="I748" s="24"/>
      <c r="J748" s="6"/>
      <c r="K748" s="24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4"/>
      <c r="I749" s="24"/>
      <c r="J749" s="6"/>
      <c r="K749" s="24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4"/>
      <c r="I750" s="24"/>
      <c r="J750" s="6"/>
      <c r="K750" s="24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4"/>
      <c r="I751" s="24"/>
      <c r="J751" s="6"/>
      <c r="K751" s="24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4"/>
      <c r="I752" s="24"/>
      <c r="J752" s="6"/>
      <c r="K752" s="24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4"/>
      <c r="I753" s="24"/>
      <c r="J753" s="6"/>
      <c r="K753" s="24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4"/>
      <c r="I754" s="24"/>
      <c r="J754" s="6"/>
      <c r="K754" s="24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4"/>
      <c r="I755" s="24"/>
      <c r="J755" s="6"/>
      <c r="K755" s="24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4"/>
      <c r="I756" s="24"/>
      <c r="J756" s="6"/>
      <c r="K756" s="24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4"/>
      <c r="I757" s="24"/>
      <c r="J757" s="6"/>
      <c r="K757" s="24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4"/>
      <c r="I758" s="24"/>
      <c r="J758" s="6"/>
      <c r="K758" s="24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4"/>
      <c r="I759" s="24"/>
      <c r="J759" s="6"/>
      <c r="K759" s="24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4"/>
      <c r="I760" s="24"/>
      <c r="J760" s="6"/>
      <c r="K760" s="24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4"/>
      <c r="I761" s="24"/>
      <c r="J761" s="6"/>
      <c r="K761" s="24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4"/>
      <c r="I762" s="24"/>
      <c r="J762" s="6"/>
      <c r="K762" s="24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4"/>
      <c r="I763" s="24"/>
      <c r="J763" s="6"/>
      <c r="K763" s="24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4"/>
      <c r="I764" s="24"/>
      <c r="J764" s="6"/>
      <c r="K764" s="24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4"/>
      <c r="I765" s="24"/>
      <c r="J765" s="6"/>
      <c r="K765" s="24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4"/>
      <c r="I766" s="24"/>
      <c r="J766" s="6"/>
      <c r="K766" s="24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4"/>
      <c r="I767" s="24"/>
      <c r="J767" s="6"/>
      <c r="K767" s="24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4"/>
      <c r="I768" s="24"/>
      <c r="J768" s="6"/>
      <c r="K768" s="24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4"/>
      <c r="I769" s="24"/>
      <c r="J769" s="6"/>
      <c r="K769" s="24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4"/>
      <c r="I770" s="24"/>
      <c r="J770" s="6"/>
      <c r="K770" s="24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4"/>
      <c r="I771" s="24"/>
      <c r="J771" s="6"/>
      <c r="K771" s="24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4"/>
      <c r="I772" s="24"/>
      <c r="J772" s="6"/>
      <c r="K772" s="24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4"/>
      <c r="I773" s="24"/>
      <c r="J773" s="6"/>
      <c r="K773" s="24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4"/>
      <c r="I774" s="24"/>
      <c r="J774" s="6"/>
      <c r="K774" s="24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4"/>
      <c r="I775" s="24"/>
      <c r="J775" s="6"/>
      <c r="K775" s="24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4"/>
      <c r="I776" s="24"/>
      <c r="J776" s="6"/>
      <c r="K776" s="24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4"/>
      <c r="I777" s="24"/>
      <c r="J777" s="6"/>
      <c r="K777" s="24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4"/>
      <c r="I778" s="24"/>
      <c r="J778" s="6"/>
      <c r="K778" s="24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4"/>
      <c r="I779" s="24"/>
      <c r="J779" s="6"/>
      <c r="K779" s="24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4"/>
      <c r="I780" s="24"/>
      <c r="J780" s="6"/>
      <c r="K780" s="24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4"/>
      <c r="I781" s="24"/>
      <c r="J781" s="6"/>
      <c r="K781" s="24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4"/>
      <c r="I782" s="24"/>
      <c r="J782" s="6"/>
      <c r="K782" s="24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4"/>
      <c r="I783" s="24"/>
      <c r="J783" s="6"/>
      <c r="K783" s="24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4"/>
      <c r="I784" s="24"/>
      <c r="J784" s="6"/>
      <c r="K784" s="24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4"/>
      <c r="I785" s="24"/>
      <c r="J785" s="6"/>
      <c r="K785" s="24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4"/>
      <c r="I786" s="24"/>
      <c r="J786" s="6"/>
      <c r="K786" s="24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4"/>
      <c r="I787" s="24"/>
      <c r="J787" s="6"/>
      <c r="K787" s="24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4"/>
      <c r="I788" s="24"/>
      <c r="J788" s="6"/>
      <c r="K788" s="24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4"/>
      <c r="I789" s="24"/>
      <c r="J789" s="6"/>
      <c r="K789" s="24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4"/>
      <c r="I790" s="24"/>
      <c r="J790" s="6"/>
      <c r="K790" s="24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4"/>
      <c r="I791" s="24"/>
      <c r="J791" s="6"/>
      <c r="K791" s="24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4"/>
      <c r="I792" s="24"/>
      <c r="J792" s="6"/>
      <c r="K792" s="24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4"/>
      <c r="I793" s="24"/>
      <c r="J793" s="6"/>
      <c r="K793" s="24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4"/>
      <c r="I794" s="24"/>
      <c r="J794" s="6"/>
      <c r="K794" s="24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4"/>
      <c r="I795" s="24"/>
      <c r="J795" s="6"/>
      <c r="K795" s="24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4"/>
      <c r="I796" s="24"/>
      <c r="J796" s="6"/>
      <c r="K796" s="24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4"/>
      <c r="I797" s="24"/>
      <c r="J797" s="6"/>
      <c r="K797" s="24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4"/>
      <c r="I798" s="24"/>
      <c r="J798" s="6"/>
      <c r="K798" s="24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4"/>
      <c r="I799" s="24"/>
      <c r="J799" s="6"/>
      <c r="K799" s="24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4"/>
      <c r="I800" s="24"/>
      <c r="J800" s="6"/>
      <c r="K800" s="24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4"/>
      <c r="I801" s="24"/>
      <c r="J801" s="6"/>
      <c r="K801" s="24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4"/>
      <c r="I802" s="24"/>
      <c r="J802" s="6"/>
      <c r="K802" s="24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4"/>
      <c r="I803" s="24"/>
      <c r="J803" s="6"/>
      <c r="K803" s="24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4"/>
      <c r="I804" s="24"/>
      <c r="J804" s="6"/>
      <c r="K804" s="24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4"/>
      <c r="I805" s="24"/>
      <c r="J805" s="6"/>
      <c r="K805" s="24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4"/>
      <c r="I806" s="24"/>
      <c r="J806" s="6"/>
      <c r="K806" s="24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4"/>
      <c r="I807" s="24"/>
      <c r="J807" s="6"/>
      <c r="K807" s="24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4"/>
      <c r="I808" s="24"/>
      <c r="J808" s="6"/>
      <c r="K808" s="24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4"/>
      <c r="I809" s="24"/>
      <c r="J809" s="6"/>
      <c r="K809" s="24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4"/>
      <c r="I810" s="24"/>
      <c r="J810" s="6"/>
      <c r="K810" s="24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4"/>
      <c r="I811" s="24"/>
      <c r="J811" s="6"/>
      <c r="K811" s="24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4"/>
      <c r="I812" s="24"/>
      <c r="J812" s="6"/>
      <c r="K812" s="24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4"/>
      <c r="I813" s="24"/>
      <c r="J813" s="6"/>
      <c r="K813" s="24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4"/>
      <c r="I814" s="24"/>
      <c r="J814" s="6"/>
      <c r="K814" s="24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4"/>
      <c r="I815" s="24"/>
      <c r="J815" s="6"/>
      <c r="K815" s="24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4"/>
      <c r="I816" s="24"/>
      <c r="J816" s="6"/>
      <c r="K816" s="24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4"/>
      <c r="I817" s="24"/>
      <c r="J817" s="6"/>
      <c r="K817" s="24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4"/>
      <c r="I818" s="24"/>
      <c r="J818" s="6"/>
      <c r="K818" s="24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4"/>
      <c r="I819" s="24"/>
      <c r="J819" s="6"/>
      <c r="K819" s="24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4"/>
      <c r="I820" s="24"/>
      <c r="J820" s="6"/>
      <c r="K820" s="24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4"/>
      <c r="I821" s="24"/>
      <c r="J821" s="6"/>
      <c r="K821" s="24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4"/>
      <c r="I822" s="24"/>
      <c r="J822" s="6"/>
      <c r="K822" s="24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4"/>
      <c r="I823" s="24"/>
      <c r="J823" s="6"/>
      <c r="K823" s="24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4"/>
      <c r="I824" s="24"/>
      <c r="J824" s="6"/>
      <c r="K824" s="24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4"/>
      <c r="I825" s="24"/>
      <c r="J825" s="6"/>
      <c r="K825" s="24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4"/>
      <c r="I826" s="24"/>
      <c r="J826" s="6"/>
      <c r="K826" s="24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4"/>
      <c r="I827" s="24"/>
      <c r="J827" s="6"/>
      <c r="K827" s="24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4"/>
      <c r="I828" s="24"/>
      <c r="J828" s="6"/>
      <c r="K828" s="24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4"/>
      <c r="I829" s="24"/>
      <c r="J829" s="6"/>
      <c r="K829" s="24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4"/>
      <c r="I830" s="24"/>
      <c r="J830" s="6"/>
      <c r="K830" s="24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4"/>
      <c r="I831" s="24"/>
      <c r="J831" s="6"/>
      <c r="K831" s="24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4"/>
      <c r="I832" s="24"/>
      <c r="J832" s="6"/>
      <c r="K832" s="24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4"/>
      <c r="I833" s="24"/>
      <c r="J833" s="6"/>
      <c r="K833" s="24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4"/>
      <c r="I834" s="24"/>
      <c r="J834" s="6"/>
      <c r="K834" s="24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4"/>
      <c r="I835" s="24"/>
      <c r="J835" s="6"/>
      <c r="K835" s="24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4"/>
      <c r="I836" s="24"/>
      <c r="J836" s="6"/>
      <c r="K836" s="24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4"/>
      <c r="I837" s="24"/>
      <c r="J837" s="6"/>
      <c r="K837" s="24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4"/>
      <c r="I838" s="24"/>
      <c r="J838" s="6"/>
      <c r="K838" s="24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4"/>
      <c r="I839" s="24"/>
      <c r="J839" s="6"/>
      <c r="K839" s="24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4"/>
      <c r="I840" s="24"/>
      <c r="J840" s="6"/>
      <c r="K840" s="24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4"/>
      <c r="I841" s="24"/>
      <c r="J841" s="6"/>
      <c r="K841" s="24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4"/>
      <c r="I842" s="24"/>
      <c r="J842" s="6"/>
      <c r="K842" s="24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4"/>
      <c r="I843" s="24"/>
      <c r="J843" s="6"/>
      <c r="K843" s="24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4"/>
      <c r="I844" s="24"/>
      <c r="J844" s="6"/>
      <c r="K844" s="24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4"/>
      <c r="I845" s="24"/>
      <c r="J845" s="6"/>
      <c r="K845" s="24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4"/>
      <c r="I846" s="24"/>
      <c r="J846" s="6"/>
      <c r="K846" s="24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4"/>
      <c r="I847" s="24"/>
      <c r="J847" s="6"/>
      <c r="K847" s="24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4"/>
      <c r="I848" s="24"/>
      <c r="J848" s="6"/>
      <c r="K848" s="24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4"/>
      <c r="I849" s="24"/>
      <c r="J849" s="6"/>
      <c r="K849" s="24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4"/>
      <c r="I850" s="24"/>
      <c r="J850" s="6"/>
      <c r="K850" s="24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4"/>
      <c r="I851" s="24"/>
      <c r="J851" s="6"/>
      <c r="K851" s="24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4"/>
      <c r="I852" s="24"/>
      <c r="J852" s="6"/>
      <c r="K852" s="24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4"/>
      <c r="I853" s="24"/>
      <c r="J853" s="6"/>
      <c r="K853" s="24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4"/>
      <c r="I854" s="24"/>
      <c r="J854" s="6"/>
      <c r="K854" s="24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4"/>
      <c r="I855" s="24"/>
      <c r="J855" s="6"/>
      <c r="K855" s="24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4"/>
      <c r="I856" s="24"/>
      <c r="J856" s="6"/>
      <c r="K856" s="24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4"/>
      <c r="I857" s="24"/>
      <c r="J857" s="6"/>
      <c r="K857" s="24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4"/>
      <c r="I858" s="24"/>
      <c r="J858" s="6"/>
      <c r="K858" s="24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4"/>
      <c r="I859" s="24"/>
      <c r="J859" s="6"/>
      <c r="K859" s="24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4"/>
      <c r="I860" s="24"/>
      <c r="J860" s="6"/>
      <c r="K860" s="24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4"/>
      <c r="I861" s="24"/>
      <c r="J861" s="6"/>
      <c r="K861" s="24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4"/>
      <c r="I862" s="24"/>
      <c r="J862" s="6"/>
      <c r="K862" s="24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4"/>
      <c r="I863" s="24"/>
      <c r="J863" s="6"/>
      <c r="K863" s="24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4"/>
      <c r="I864" s="24"/>
      <c r="J864" s="6"/>
      <c r="K864" s="24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4"/>
      <c r="I865" s="24"/>
      <c r="J865" s="6"/>
      <c r="K865" s="24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4"/>
      <c r="I866" s="24"/>
      <c r="J866" s="6"/>
      <c r="K866" s="24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4"/>
      <c r="I867" s="24"/>
      <c r="J867" s="6"/>
      <c r="K867" s="24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4"/>
      <c r="I868" s="24"/>
      <c r="J868" s="6"/>
      <c r="K868" s="24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4"/>
      <c r="I869" s="24"/>
      <c r="J869" s="6"/>
      <c r="K869" s="24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4"/>
      <c r="I870" s="24"/>
      <c r="J870" s="6"/>
      <c r="K870" s="24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4"/>
      <c r="I871" s="24"/>
      <c r="J871" s="6"/>
      <c r="K871" s="24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4"/>
      <c r="I872" s="24"/>
      <c r="J872" s="6"/>
      <c r="K872" s="24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4"/>
      <c r="I873" s="24"/>
      <c r="J873" s="6"/>
      <c r="K873" s="24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4"/>
      <c r="I874" s="24"/>
      <c r="J874" s="6"/>
      <c r="K874" s="24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4"/>
      <c r="I875" s="24"/>
      <c r="J875" s="6"/>
      <c r="K875" s="24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4"/>
      <c r="I876" s="24"/>
      <c r="J876" s="6"/>
      <c r="K876" s="24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4"/>
      <c r="I877" s="24"/>
      <c r="J877" s="6"/>
      <c r="K877" s="24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4"/>
      <c r="I878" s="24"/>
      <c r="J878" s="6"/>
      <c r="K878" s="24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4"/>
      <c r="I879" s="24"/>
      <c r="J879" s="6"/>
      <c r="K879" s="24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4"/>
      <c r="I880" s="24"/>
      <c r="J880" s="6"/>
      <c r="K880" s="24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4"/>
      <c r="I881" s="24"/>
      <c r="J881" s="6"/>
      <c r="K881" s="24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4"/>
      <c r="I882" s="24"/>
      <c r="J882" s="6"/>
      <c r="K882" s="24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4"/>
      <c r="I883" s="24"/>
      <c r="J883" s="6"/>
      <c r="K883" s="24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4"/>
      <c r="I884" s="24"/>
      <c r="J884" s="6"/>
      <c r="K884" s="24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4"/>
      <c r="I885" s="24"/>
      <c r="J885" s="6"/>
      <c r="K885" s="24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4"/>
      <c r="I886" s="24"/>
      <c r="J886" s="6"/>
      <c r="K886" s="24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4"/>
      <c r="I887" s="24"/>
      <c r="J887" s="6"/>
      <c r="K887" s="24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4"/>
      <c r="I888" s="24"/>
      <c r="J888" s="6"/>
      <c r="K888" s="24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4"/>
      <c r="I889" s="24"/>
      <c r="J889" s="6"/>
      <c r="K889" s="24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4"/>
      <c r="I890" s="24"/>
      <c r="J890" s="6"/>
      <c r="K890" s="24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4"/>
      <c r="I891" s="24"/>
      <c r="J891" s="6"/>
      <c r="K891" s="24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4"/>
      <c r="I892" s="24"/>
      <c r="J892" s="6"/>
      <c r="K892" s="24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4"/>
      <c r="I893" s="24"/>
      <c r="J893" s="6"/>
      <c r="K893" s="24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4"/>
      <c r="I894" s="24"/>
      <c r="J894" s="6"/>
      <c r="K894" s="24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4"/>
      <c r="I895" s="24"/>
      <c r="J895" s="6"/>
      <c r="K895" s="24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4"/>
      <c r="I896" s="24"/>
      <c r="J896" s="6"/>
      <c r="K896" s="24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4"/>
      <c r="I897" s="24"/>
      <c r="J897" s="6"/>
      <c r="K897" s="24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4"/>
      <c r="I898" s="24"/>
      <c r="J898" s="6"/>
      <c r="K898" s="24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4"/>
      <c r="I899" s="24"/>
      <c r="J899" s="6"/>
      <c r="K899" s="24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4"/>
      <c r="I900" s="24"/>
      <c r="J900" s="6"/>
      <c r="K900" s="24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4"/>
      <c r="I901" s="24"/>
      <c r="J901" s="6"/>
      <c r="K901" s="24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4"/>
      <c r="I902" s="24"/>
      <c r="J902" s="6"/>
      <c r="K902" s="24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4"/>
      <c r="I903" s="24"/>
      <c r="J903" s="6"/>
      <c r="K903" s="24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4"/>
      <c r="I904" s="24"/>
      <c r="J904" s="6"/>
      <c r="K904" s="24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4"/>
      <c r="I905" s="24"/>
      <c r="J905" s="6"/>
      <c r="K905" s="24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4"/>
      <c r="I906" s="24"/>
      <c r="J906" s="6"/>
      <c r="K906" s="24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4"/>
      <c r="I907" s="24"/>
      <c r="J907" s="6"/>
      <c r="K907" s="24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4"/>
      <c r="I908" s="24"/>
      <c r="J908" s="6"/>
      <c r="K908" s="24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4"/>
      <c r="I909" s="24"/>
      <c r="J909" s="6"/>
      <c r="K909" s="24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4"/>
      <c r="I910" s="24"/>
      <c r="J910" s="6"/>
      <c r="K910" s="24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4"/>
      <c r="I911" s="24"/>
      <c r="J911" s="6"/>
      <c r="K911" s="24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4"/>
      <c r="I912" s="24"/>
      <c r="J912" s="6"/>
      <c r="K912" s="24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4"/>
      <c r="I913" s="24"/>
      <c r="J913" s="6"/>
      <c r="K913" s="24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4"/>
      <c r="I914" s="24"/>
      <c r="J914" s="6"/>
      <c r="K914" s="24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4"/>
      <c r="I915" s="24"/>
      <c r="J915" s="6"/>
      <c r="K915" s="24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4"/>
      <c r="I916" s="24"/>
      <c r="J916" s="6"/>
      <c r="K916" s="24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4"/>
      <c r="I917" s="24"/>
      <c r="J917" s="6"/>
      <c r="K917" s="24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4"/>
      <c r="I918" s="24"/>
      <c r="J918" s="6"/>
      <c r="K918" s="24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4"/>
      <c r="I919" s="24"/>
      <c r="J919" s="6"/>
      <c r="K919" s="24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4"/>
      <c r="I920" s="24"/>
      <c r="J920" s="6"/>
      <c r="K920" s="24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4"/>
      <c r="I921" s="24"/>
      <c r="J921" s="6"/>
      <c r="K921" s="24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4"/>
      <c r="I922" s="24"/>
      <c r="J922" s="6"/>
      <c r="K922" s="24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4"/>
      <c r="I923" s="24"/>
      <c r="J923" s="6"/>
      <c r="K923" s="24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4"/>
      <c r="I924" s="24"/>
      <c r="J924" s="6"/>
      <c r="K924" s="24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4"/>
      <c r="I925" s="24"/>
      <c r="J925" s="6"/>
      <c r="K925" s="24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4"/>
      <c r="I926" s="24"/>
      <c r="J926" s="6"/>
      <c r="K926" s="24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4"/>
      <c r="I927" s="24"/>
      <c r="J927" s="6"/>
      <c r="K927" s="24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4"/>
      <c r="I928" s="24"/>
      <c r="J928" s="6"/>
      <c r="K928" s="24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4"/>
      <c r="I929" s="24"/>
      <c r="J929" s="6"/>
      <c r="K929" s="24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4"/>
      <c r="I930" s="24"/>
      <c r="J930" s="6"/>
      <c r="K930" s="24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4"/>
      <c r="I931" s="24"/>
      <c r="J931" s="6"/>
      <c r="K931" s="24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4"/>
      <c r="I932" s="24"/>
      <c r="J932" s="6"/>
      <c r="K932" s="24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4"/>
      <c r="I933" s="24"/>
      <c r="J933" s="6"/>
      <c r="K933" s="24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4"/>
      <c r="I934" s="24"/>
      <c r="J934" s="6"/>
      <c r="K934" s="24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4"/>
      <c r="I935" s="24"/>
      <c r="J935" s="6"/>
      <c r="K935" s="24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4"/>
      <c r="I936" s="24"/>
      <c r="J936" s="6"/>
      <c r="K936" s="24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4"/>
      <c r="I937" s="24"/>
      <c r="J937" s="6"/>
      <c r="K937" s="24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4"/>
      <c r="I938" s="24"/>
      <c r="J938" s="6"/>
      <c r="K938" s="24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4"/>
      <c r="I939" s="24"/>
      <c r="J939" s="6"/>
      <c r="K939" s="24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4"/>
      <c r="I940" s="24"/>
      <c r="J940" s="6"/>
      <c r="K940" s="24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4"/>
      <c r="I941" s="24"/>
      <c r="J941" s="6"/>
      <c r="K941" s="24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4"/>
      <c r="I942" s="24"/>
      <c r="J942" s="6"/>
      <c r="K942" s="24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4"/>
      <c r="I943" s="24"/>
      <c r="J943" s="6"/>
      <c r="K943" s="24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4"/>
      <c r="I944" s="24"/>
      <c r="J944" s="6"/>
      <c r="K944" s="24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4"/>
      <c r="I945" s="24"/>
      <c r="J945" s="6"/>
      <c r="K945" s="24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4"/>
      <c r="I946" s="24"/>
      <c r="J946" s="6"/>
      <c r="K946" s="24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4"/>
      <c r="I947" s="24"/>
      <c r="J947" s="6"/>
      <c r="K947" s="24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4"/>
      <c r="I948" s="24"/>
      <c r="J948" s="6"/>
      <c r="K948" s="24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4"/>
      <c r="I949" s="24"/>
      <c r="J949" s="6"/>
      <c r="K949" s="24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4"/>
      <c r="I950" s="24"/>
      <c r="J950" s="6"/>
      <c r="K950" s="24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4"/>
      <c r="I951" s="24"/>
      <c r="J951" s="6"/>
      <c r="K951" s="24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4"/>
      <c r="I952" s="24"/>
      <c r="J952" s="6"/>
      <c r="K952" s="24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4"/>
      <c r="I953" s="24"/>
      <c r="J953" s="6"/>
      <c r="K953" s="24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4"/>
      <c r="I954" s="24"/>
      <c r="J954" s="6"/>
      <c r="K954" s="24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4"/>
      <c r="I955" s="24"/>
      <c r="J955" s="6"/>
      <c r="K955" s="24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4"/>
      <c r="I956" s="24"/>
      <c r="J956" s="6"/>
      <c r="K956" s="24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4"/>
      <c r="I957" s="24"/>
      <c r="J957" s="6"/>
      <c r="K957" s="24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4"/>
      <c r="I958" s="24"/>
      <c r="J958" s="6"/>
      <c r="K958" s="24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4"/>
      <c r="I959" s="24"/>
      <c r="J959" s="6"/>
      <c r="K959" s="24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4"/>
      <c r="I960" s="24"/>
      <c r="J960" s="6"/>
      <c r="K960" s="24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4"/>
      <c r="I961" s="24"/>
      <c r="J961" s="6"/>
      <c r="K961" s="24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4"/>
      <c r="I962" s="24"/>
      <c r="J962" s="6"/>
      <c r="K962" s="24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4"/>
      <c r="I963" s="24"/>
      <c r="J963" s="6"/>
      <c r="K963" s="24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4"/>
      <c r="I964" s="24"/>
      <c r="J964" s="6"/>
      <c r="K964" s="24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4"/>
      <c r="I965" s="24"/>
      <c r="J965" s="6"/>
      <c r="K965" s="24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4"/>
      <c r="I966" s="24"/>
      <c r="J966" s="6"/>
      <c r="K966" s="24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4"/>
      <c r="I967" s="24"/>
      <c r="J967" s="6"/>
      <c r="K967" s="24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4"/>
      <c r="I968" s="24"/>
      <c r="J968" s="6"/>
      <c r="K968" s="24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4"/>
      <c r="I969" s="24"/>
      <c r="J969" s="6"/>
      <c r="K969" s="24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4"/>
      <c r="I970" s="24"/>
      <c r="J970" s="6"/>
      <c r="K970" s="24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4"/>
      <c r="I971" s="24"/>
      <c r="J971" s="6"/>
      <c r="K971" s="24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4"/>
      <c r="I972" s="24"/>
      <c r="J972" s="6"/>
      <c r="K972" s="24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4"/>
      <c r="I973" s="24"/>
      <c r="J973" s="6"/>
      <c r="K973" s="24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4"/>
      <c r="I974" s="24"/>
      <c r="J974" s="6"/>
      <c r="K974" s="24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4"/>
      <c r="I975" s="24"/>
      <c r="J975" s="6"/>
      <c r="K975" s="24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4"/>
      <c r="I976" s="24"/>
      <c r="J976" s="6"/>
      <c r="K976" s="24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4"/>
      <c r="I977" s="24"/>
      <c r="J977" s="6"/>
      <c r="K977" s="24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4"/>
      <c r="I978" s="24"/>
      <c r="J978" s="6"/>
      <c r="K978" s="24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4"/>
      <c r="I979" s="24"/>
      <c r="J979" s="6"/>
      <c r="K979" s="24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4"/>
      <c r="I980" s="24"/>
      <c r="J980" s="6"/>
      <c r="K980" s="24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4"/>
      <c r="I981" s="24"/>
      <c r="J981" s="6"/>
      <c r="K981" s="24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4"/>
      <c r="I982" s="24"/>
      <c r="J982" s="6"/>
      <c r="K982" s="24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4"/>
      <c r="I983" s="24"/>
      <c r="J983" s="6"/>
      <c r="K983" s="24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4"/>
      <c r="I984" s="24"/>
      <c r="J984" s="6"/>
      <c r="K984" s="24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4"/>
      <c r="I985" s="24"/>
      <c r="J985" s="6"/>
      <c r="K985" s="24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4"/>
      <c r="I986" s="24"/>
      <c r="J986" s="6"/>
      <c r="K986" s="24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4"/>
      <c r="I987" s="24"/>
      <c r="J987" s="6"/>
      <c r="K987" s="24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4"/>
      <c r="I988" s="24"/>
      <c r="J988" s="6"/>
      <c r="K988" s="24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4"/>
      <c r="I989" s="24"/>
      <c r="J989" s="6"/>
      <c r="K989" s="24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4"/>
      <c r="I990" s="24"/>
      <c r="J990" s="6"/>
      <c r="K990" s="24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4"/>
      <c r="I991" s="24"/>
      <c r="J991" s="6"/>
      <c r="K991" s="24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4"/>
      <c r="I992" s="24"/>
      <c r="J992" s="6"/>
      <c r="K992" s="24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4"/>
      <c r="I993" s="24"/>
      <c r="J993" s="6"/>
      <c r="K993" s="24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4"/>
      <c r="I994" s="24"/>
      <c r="J994" s="6"/>
      <c r="K994" s="24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4"/>
      <c r="I995" s="24"/>
      <c r="J995" s="6"/>
      <c r="K995" s="24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4"/>
      <c r="I996" s="24"/>
      <c r="J996" s="6"/>
      <c r="K996" s="24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4"/>
      <c r="I997" s="24"/>
      <c r="J997" s="6"/>
      <c r="K997" s="24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4"/>
      <c r="I998" s="24"/>
      <c r="J998" s="6"/>
      <c r="K998" s="24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4"/>
      <c r="I999" s="24"/>
      <c r="J999" s="6"/>
      <c r="K999" s="24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4"/>
      <c r="I1000" s="24"/>
      <c r="J1000" s="6"/>
      <c r="K1000" s="24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4"/>
      <c r="I1001" s="24"/>
      <c r="J1001" s="6"/>
      <c r="K1001" s="24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4"/>
      <c r="I1002" s="24"/>
      <c r="J1002" s="6"/>
      <c r="K1002" s="24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4"/>
      <c r="I1003" s="24"/>
      <c r="J1003" s="6"/>
      <c r="K1003" s="24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4"/>
      <c r="I1004" s="24"/>
      <c r="J1004" s="6"/>
      <c r="K1004" s="24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4"/>
      <c r="I1005" s="24"/>
      <c r="J1005" s="6"/>
      <c r="K1005" s="24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4"/>
      <c r="I1006" s="24"/>
      <c r="J1006" s="6"/>
      <c r="K1006" s="24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4"/>
      <c r="I1007" s="24"/>
      <c r="J1007" s="6"/>
      <c r="K1007" s="24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4"/>
      <c r="I1008" s="24"/>
      <c r="J1008" s="6"/>
      <c r="K1008" s="24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4"/>
      <c r="I1009" s="24"/>
      <c r="J1009" s="6"/>
      <c r="K1009" s="24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4"/>
      <c r="I1010" s="24"/>
      <c r="J1010" s="6"/>
      <c r="K1010" s="24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4"/>
      <c r="I1011" s="24"/>
      <c r="J1011" s="6"/>
      <c r="K1011" s="24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4"/>
      <c r="I1012" s="24"/>
      <c r="J1012" s="6"/>
      <c r="K1012" s="24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4"/>
      <c r="I1013" s="24"/>
      <c r="J1013" s="6"/>
      <c r="K1013" s="24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4"/>
      <c r="I1014" s="24"/>
      <c r="J1014" s="6"/>
      <c r="K1014" s="24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4"/>
      <c r="I1015" s="24"/>
      <c r="J1015" s="6"/>
      <c r="K1015" s="24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4"/>
      <c r="I1016" s="24"/>
      <c r="J1016" s="6"/>
      <c r="K1016" s="24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4"/>
      <c r="I1017" s="24"/>
      <c r="J1017" s="6"/>
      <c r="K1017" s="24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4"/>
      <c r="I1018" s="24"/>
      <c r="J1018" s="6"/>
      <c r="K1018" s="24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4"/>
      <c r="I1019" s="24"/>
      <c r="J1019" s="6"/>
      <c r="K1019" s="24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4"/>
      <c r="I1020" s="24"/>
      <c r="J1020" s="6"/>
      <c r="K1020" s="24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4"/>
      <c r="I1021" s="24"/>
      <c r="J1021" s="6"/>
      <c r="K1021" s="24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4"/>
      <c r="I1022" s="24"/>
      <c r="J1022" s="6"/>
      <c r="K1022" s="24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4"/>
      <c r="I1023" s="24"/>
      <c r="J1023" s="6"/>
      <c r="K1023" s="24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4"/>
      <c r="I1024" s="24"/>
      <c r="J1024" s="6"/>
      <c r="K1024" s="24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4"/>
      <c r="I1025" s="24"/>
      <c r="J1025" s="6"/>
      <c r="K1025" s="24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4"/>
      <c r="I1026" s="24"/>
      <c r="J1026" s="6"/>
      <c r="K1026" s="24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4"/>
      <c r="I1027" s="24"/>
      <c r="J1027" s="6"/>
      <c r="K1027" s="24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4"/>
      <c r="I1028" s="24"/>
      <c r="J1028" s="6"/>
      <c r="K1028" s="24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4"/>
      <c r="I1029" s="24"/>
      <c r="J1029" s="6"/>
      <c r="K1029" s="24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4"/>
      <c r="I1030" s="24"/>
      <c r="J1030" s="6"/>
      <c r="K1030" s="24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4"/>
      <c r="I1031" s="24"/>
      <c r="J1031" s="6"/>
      <c r="K1031" s="24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4"/>
      <c r="I1032" s="24"/>
      <c r="J1032" s="6"/>
      <c r="K1032" s="24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4"/>
      <c r="I1033" s="24"/>
      <c r="J1033" s="6"/>
      <c r="K1033" s="24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4"/>
      <c r="I1034" s="24"/>
      <c r="J1034" s="6"/>
      <c r="K1034" s="24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4"/>
      <c r="I1035" s="24"/>
      <c r="J1035" s="6"/>
      <c r="K1035" s="24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4"/>
      <c r="I1036" s="24"/>
      <c r="J1036" s="6"/>
      <c r="K1036" s="24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4"/>
      <c r="I1037" s="24"/>
      <c r="J1037" s="6"/>
      <c r="K1037" s="24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4"/>
      <c r="I1038" s="24"/>
      <c r="J1038" s="6"/>
      <c r="K1038" s="24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4"/>
      <c r="I1039" s="24"/>
      <c r="J1039" s="6"/>
      <c r="K1039" s="24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4"/>
      <c r="I1040" s="24"/>
      <c r="J1040" s="6"/>
      <c r="K1040" s="24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4"/>
      <c r="I1041" s="24"/>
      <c r="J1041" s="6"/>
      <c r="K1041" s="24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4"/>
      <c r="I1042" s="24"/>
      <c r="J1042" s="6"/>
      <c r="K1042" s="24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4"/>
      <c r="I1043" s="24"/>
      <c r="J1043" s="6"/>
      <c r="K1043" s="24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4"/>
      <c r="I1044" s="24"/>
      <c r="J1044" s="6"/>
      <c r="K1044" s="24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4"/>
      <c r="I1045" s="24"/>
      <c r="J1045" s="6"/>
      <c r="K1045" s="24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4"/>
      <c r="I1046" s="24"/>
      <c r="J1046" s="6"/>
      <c r="K1046" s="24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4"/>
      <c r="I1047" s="24"/>
      <c r="J1047" s="6"/>
      <c r="K1047" s="24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4"/>
      <c r="I1048" s="24"/>
      <c r="J1048" s="6"/>
      <c r="K1048" s="24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4"/>
      <c r="I1049" s="24"/>
      <c r="J1049" s="6"/>
      <c r="K1049" s="24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4"/>
      <c r="I1050" s="24"/>
      <c r="J1050" s="6"/>
      <c r="K1050" s="24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4"/>
      <c r="I1051" s="24"/>
      <c r="J1051" s="6"/>
      <c r="K1051" s="24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4"/>
      <c r="I1052" s="24"/>
      <c r="J1052" s="6"/>
      <c r="K1052" s="24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4"/>
      <c r="I1053" s="24"/>
      <c r="J1053" s="6"/>
      <c r="K1053" s="24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4"/>
      <c r="I1054" s="24"/>
      <c r="J1054" s="6"/>
      <c r="K1054" s="24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4"/>
      <c r="I1055" s="24"/>
      <c r="J1055" s="6"/>
      <c r="K1055" s="24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4"/>
      <c r="I1056" s="24"/>
      <c r="J1056" s="6"/>
      <c r="K1056" s="24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4"/>
      <c r="I1057" s="24"/>
      <c r="J1057" s="6"/>
      <c r="K1057" s="24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4"/>
      <c r="I1058" s="24"/>
      <c r="J1058" s="6"/>
      <c r="K1058" s="24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4"/>
      <c r="I1059" s="24"/>
      <c r="J1059" s="6"/>
      <c r="K1059" s="24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4"/>
      <c r="I1060" s="24"/>
      <c r="J1060" s="6"/>
      <c r="K1060" s="24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4"/>
      <c r="I1061" s="24"/>
      <c r="J1061" s="6"/>
      <c r="K1061" s="24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4"/>
      <c r="I1062" s="24"/>
      <c r="J1062" s="6"/>
      <c r="K1062" s="24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4"/>
      <c r="I1063" s="24"/>
      <c r="J1063" s="6"/>
      <c r="K1063" s="24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4"/>
      <c r="I1064" s="24"/>
      <c r="J1064" s="6"/>
      <c r="K1064" s="24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4"/>
      <c r="I1065" s="24"/>
      <c r="J1065" s="6"/>
      <c r="K1065" s="24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4"/>
      <c r="I1066" s="24"/>
      <c r="J1066" s="6"/>
      <c r="K1066" s="24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4"/>
      <c r="I1067" s="24"/>
      <c r="J1067" s="6"/>
      <c r="K1067" s="24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4"/>
      <c r="I1068" s="24"/>
      <c r="J1068" s="6"/>
      <c r="K1068" s="24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4"/>
      <c r="I1069" s="24"/>
      <c r="J1069" s="6"/>
      <c r="K1069" s="24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4"/>
      <c r="I1070" s="24"/>
      <c r="J1070" s="6"/>
      <c r="K1070" s="24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4"/>
      <c r="I1071" s="24"/>
      <c r="J1071" s="6"/>
      <c r="K1071" s="24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4"/>
      <c r="I1072" s="24"/>
      <c r="J1072" s="6"/>
      <c r="K1072" s="24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4"/>
      <c r="I1073" s="24"/>
      <c r="J1073" s="6"/>
      <c r="K1073" s="24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4"/>
      <c r="I1074" s="24"/>
      <c r="J1074" s="6"/>
      <c r="K1074" s="24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4"/>
      <c r="I1075" s="24"/>
      <c r="J1075" s="6"/>
      <c r="K1075" s="24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4"/>
      <c r="I1076" s="24"/>
      <c r="J1076" s="6"/>
      <c r="K1076" s="24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4"/>
      <c r="I1077" s="24"/>
      <c r="J1077" s="6"/>
      <c r="K1077" s="24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4"/>
      <c r="I1078" s="24"/>
      <c r="J1078" s="6"/>
      <c r="K1078" s="24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4"/>
      <c r="I1079" s="24"/>
      <c r="J1079" s="6"/>
      <c r="K1079" s="24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4"/>
      <c r="I1080" s="24"/>
      <c r="J1080" s="6"/>
      <c r="K1080" s="24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4"/>
      <c r="I1081" s="24"/>
      <c r="J1081" s="6"/>
      <c r="K1081" s="24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4"/>
      <c r="I1082" s="24"/>
      <c r="J1082" s="6"/>
      <c r="K1082" s="24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4"/>
      <c r="I1083" s="24"/>
      <c r="J1083" s="6"/>
      <c r="K1083" s="24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4"/>
      <c r="I1084" s="24"/>
      <c r="J1084" s="6"/>
      <c r="K1084" s="24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4"/>
      <c r="I1085" s="24"/>
      <c r="J1085" s="6"/>
      <c r="K1085" s="24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4"/>
      <c r="I1086" s="24"/>
      <c r="J1086" s="6"/>
      <c r="K1086" s="24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4"/>
      <c r="I1087" s="24"/>
      <c r="J1087" s="6"/>
      <c r="K1087" s="24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4"/>
      <c r="I1088" s="24"/>
      <c r="J1088" s="6"/>
      <c r="K1088" s="24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4"/>
      <c r="I1089" s="24"/>
      <c r="J1089" s="6"/>
      <c r="K1089" s="24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4"/>
      <c r="I1090" s="24"/>
      <c r="J1090" s="6"/>
      <c r="K1090" s="24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4"/>
      <c r="I1091" s="24"/>
      <c r="J1091" s="6"/>
      <c r="K1091" s="24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4"/>
      <c r="I1092" s="24"/>
      <c r="J1092" s="6"/>
      <c r="K1092" s="24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4"/>
      <c r="I1093" s="24"/>
      <c r="J1093" s="6"/>
      <c r="K1093" s="24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4"/>
      <c r="I1094" s="24"/>
      <c r="J1094" s="6"/>
      <c r="K1094" s="24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4"/>
      <c r="I1095" s="24"/>
      <c r="J1095" s="6"/>
      <c r="K1095" s="24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4"/>
      <c r="I1096" s="24"/>
      <c r="J1096" s="6"/>
      <c r="K1096" s="24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4"/>
      <c r="I1097" s="24"/>
      <c r="J1097" s="6"/>
      <c r="K1097" s="24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4"/>
      <c r="I1098" s="24"/>
      <c r="J1098" s="6"/>
      <c r="K1098" s="24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4"/>
      <c r="I1099" s="24"/>
      <c r="J1099" s="6"/>
      <c r="K1099" s="24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4"/>
      <c r="I1100" s="24"/>
      <c r="J1100" s="6"/>
      <c r="K1100" s="24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4"/>
      <c r="I1101" s="24"/>
      <c r="J1101" s="6"/>
      <c r="K1101" s="24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4"/>
      <c r="I1102" s="24"/>
      <c r="J1102" s="6"/>
      <c r="K1102" s="24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4"/>
      <c r="I1103" s="24"/>
      <c r="J1103" s="6"/>
      <c r="K1103" s="24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4"/>
      <c r="I1104" s="24"/>
      <c r="J1104" s="6"/>
      <c r="K1104" s="24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4"/>
      <c r="I1105" s="24"/>
      <c r="J1105" s="6"/>
      <c r="K1105" s="24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4"/>
      <c r="I1106" s="24"/>
      <c r="J1106" s="6"/>
      <c r="K1106" s="24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4"/>
      <c r="I1107" s="24"/>
      <c r="J1107" s="6"/>
      <c r="K1107" s="24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4"/>
      <c r="I1108" s="24"/>
      <c r="J1108" s="6"/>
      <c r="K1108" s="24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4"/>
      <c r="I1109" s="24"/>
      <c r="J1109" s="6"/>
      <c r="K1109" s="24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4"/>
      <c r="I1110" s="24"/>
      <c r="J1110" s="6"/>
      <c r="K1110" s="24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4"/>
      <c r="I1111" s="24"/>
      <c r="J1111" s="6"/>
      <c r="K1111" s="24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4"/>
      <c r="I1112" s="24"/>
      <c r="J1112" s="6"/>
      <c r="K1112" s="24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4"/>
      <c r="I1113" s="24"/>
      <c r="J1113" s="6"/>
      <c r="K1113" s="24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4"/>
      <c r="I1114" s="24"/>
      <c r="J1114" s="6"/>
      <c r="K1114" s="24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4"/>
      <c r="I1115" s="24"/>
      <c r="J1115" s="6"/>
      <c r="K1115" s="24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4"/>
      <c r="I1116" s="24"/>
      <c r="J1116" s="6"/>
      <c r="K1116" s="24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4"/>
      <c r="I1117" s="24"/>
      <c r="J1117" s="6"/>
      <c r="K1117" s="24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4"/>
      <c r="I1118" s="24"/>
      <c r="J1118" s="6"/>
      <c r="K1118" s="24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4"/>
      <c r="I1119" s="24"/>
      <c r="J1119" s="6"/>
      <c r="K1119" s="24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4"/>
      <c r="I1120" s="24"/>
      <c r="J1120" s="6"/>
      <c r="K1120" s="24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4"/>
      <c r="I1121" s="24"/>
      <c r="J1121" s="6"/>
      <c r="K1121" s="24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4"/>
      <c r="I1122" s="24"/>
      <c r="J1122" s="6"/>
      <c r="K1122" s="24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4"/>
      <c r="I1123" s="24"/>
      <c r="J1123" s="6"/>
      <c r="K1123" s="24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4"/>
      <c r="I1124" s="24"/>
      <c r="J1124" s="6"/>
      <c r="K1124" s="24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4"/>
      <c r="I1125" s="24"/>
      <c r="J1125" s="6"/>
      <c r="K1125" s="24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4"/>
      <c r="I1126" s="24"/>
      <c r="J1126" s="6"/>
      <c r="K1126" s="24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4"/>
      <c r="I1127" s="24"/>
      <c r="J1127" s="6"/>
      <c r="K1127" s="24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4"/>
      <c r="I1128" s="24"/>
      <c r="J1128" s="6"/>
      <c r="K1128" s="24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4"/>
      <c r="I1129" s="24"/>
      <c r="J1129" s="6"/>
      <c r="K1129" s="24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4"/>
      <c r="I1130" s="24"/>
      <c r="J1130" s="6"/>
      <c r="K1130" s="24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4"/>
      <c r="I1131" s="24"/>
      <c r="J1131" s="6"/>
      <c r="K1131" s="24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4"/>
      <c r="I1132" s="24"/>
      <c r="J1132" s="6"/>
      <c r="K1132" s="24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4"/>
      <c r="I1133" s="24"/>
      <c r="J1133" s="6"/>
      <c r="K1133" s="24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4"/>
      <c r="I1134" s="24"/>
      <c r="J1134" s="6"/>
      <c r="K1134" s="24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4"/>
      <c r="I1135" s="24"/>
      <c r="J1135" s="6"/>
      <c r="K1135" s="24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4"/>
      <c r="I1136" s="24"/>
      <c r="J1136" s="6"/>
      <c r="K1136" s="24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4"/>
      <c r="I1137" s="24"/>
      <c r="J1137" s="6"/>
      <c r="K1137" s="24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4"/>
      <c r="I1138" s="24"/>
      <c r="J1138" s="6"/>
      <c r="K1138" s="24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4"/>
      <c r="I1139" s="24"/>
      <c r="J1139" s="6"/>
      <c r="K1139" s="24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4"/>
      <c r="I1140" s="24"/>
      <c r="J1140" s="6"/>
      <c r="K1140" s="24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4"/>
      <c r="I1141" s="24"/>
      <c r="J1141" s="6"/>
      <c r="K1141" s="24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4"/>
      <c r="I1142" s="24"/>
      <c r="J1142" s="6"/>
      <c r="K1142" s="24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4"/>
      <c r="I1143" s="24"/>
      <c r="J1143" s="6"/>
      <c r="K1143" s="24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4"/>
      <c r="I1144" s="24"/>
      <c r="J1144" s="6"/>
      <c r="K1144" s="24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4"/>
      <c r="I1145" s="24"/>
      <c r="J1145" s="6"/>
      <c r="K1145" s="24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4"/>
      <c r="I1146" s="24"/>
      <c r="J1146" s="6"/>
      <c r="K1146" s="24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4"/>
      <c r="I1147" s="24"/>
      <c r="J1147" s="6"/>
      <c r="K1147" s="24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4"/>
      <c r="I1148" s="24"/>
      <c r="J1148" s="6"/>
      <c r="K1148" s="24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4"/>
      <c r="I1149" s="24"/>
      <c r="J1149" s="6"/>
      <c r="K1149" s="24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4"/>
      <c r="I1150" s="24"/>
      <c r="J1150" s="6"/>
      <c r="K1150" s="24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4"/>
      <c r="I1151" s="24"/>
      <c r="J1151" s="6"/>
      <c r="K1151" s="24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4"/>
      <c r="I1152" s="24"/>
      <c r="J1152" s="6"/>
      <c r="K1152" s="24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4"/>
      <c r="I1153" s="24"/>
      <c r="J1153" s="6"/>
      <c r="K1153" s="24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4"/>
      <c r="I1154" s="24"/>
      <c r="J1154" s="6"/>
      <c r="K1154" s="24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4"/>
      <c r="I1155" s="24"/>
      <c r="J1155" s="6"/>
      <c r="K1155" s="24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4"/>
      <c r="I1156" s="24"/>
      <c r="J1156" s="6"/>
      <c r="K1156" s="24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4"/>
      <c r="I1157" s="24"/>
      <c r="J1157" s="6"/>
      <c r="K1157" s="24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4"/>
      <c r="I1158" s="24"/>
      <c r="J1158" s="6"/>
      <c r="K1158" s="24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4"/>
      <c r="I1159" s="24"/>
      <c r="J1159" s="6"/>
      <c r="K1159" s="24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4"/>
      <c r="I1160" s="24"/>
      <c r="J1160" s="6"/>
      <c r="K1160" s="24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4"/>
      <c r="I1161" s="24"/>
      <c r="J1161" s="6"/>
      <c r="K1161" s="24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4"/>
      <c r="I1162" s="24"/>
      <c r="J1162" s="6"/>
      <c r="K1162" s="24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4"/>
      <c r="I1163" s="24"/>
      <c r="J1163" s="6"/>
      <c r="K1163" s="24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4"/>
      <c r="I1164" s="24"/>
      <c r="J1164" s="6"/>
      <c r="K1164" s="24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4"/>
      <c r="I1165" s="24"/>
      <c r="J1165" s="6"/>
      <c r="K1165" s="24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4"/>
      <c r="I1166" s="24"/>
      <c r="J1166" s="6"/>
      <c r="K1166" s="24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4"/>
      <c r="I1167" s="24"/>
      <c r="J1167" s="6"/>
      <c r="K1167" s="24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4"/>
      <c r="I1168" s="24"/>
      <c r="J1168" s="6"/>
      <c r="K1168" s="24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4"/>
      <c r="I1169" s="24"/>
      <c r="J1169" s="6"/>
      <c r="K1169" s="24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4"/>
      <c r="I1170" s="24"/>
      <c r="J1170" s="6"/>
      <c r="K1170" s="24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4"/>
      <c r="I1171" s="24"/>
      <c r="J1171" s="6"/>
      <c r="K1171" s="24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4"/>
      <c r="I1172" s="24"/>
      <c r="J1172" s="6"/>
      <c r="K1172" s="24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4"/>
      <c r="I1173" s="24"/>
      <c r="J1173" s="6"/>
      <c r="K1173" s="24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4"/>
      <c r="I1174" s="24"/>
      <c r="J1174" s="6"/>
      <c r="K1174" s="24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4"/>
      <c r="I1175" s="24"/>
      <c r="J1175" s="6"/>
      <c r="K1175" s="24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4"/>
      <c r="I1176" s="24"/>
      <c r="J1176" s="6"/>
      <c r="K1176" s="24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4"/>
      <c r="I1177" s="24"/>
      <c r="J1177" s="6"/>
      <c r="K1177" s="24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4"/>
      <c r="I1178" s="24"/>
      <c r="J1178" s="6"/>
      <c r="K1178" s="24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4"/>
      <c r="I1179" s="24"/>
      <c r="J1179" s="6"/>
      <c r="K1179" s="24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4"/>
      <c r="I1180" s="24"/>
      <c r="J1180" s="6"/>
      <c r="K1180" s="24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4"/>
      <c r="I1181" s="24"/>
      <c r="J1181" s="6"/>
      <c r="K1181" s="24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4"/>
      <c r="I1182" s="24"/>
      <c r="J1182" s="6"/>
      <c r="K1182" s="24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4"/>
      <c r="I1183" s="24"/>
      <c r="J1183" s="6"/>
      <c r="K1183" s="24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4"/>
      <c r="I1184" s="24"/>
      <c r="J1184" s="6"/>
      <c r="K1184" s="24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4"/>
      <c r="I1185" s="24"/>
      <c r="J1185" s="6"/>
      <c r="K1185" s="24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4"/>
      <c r="I1186" s="24"/>
      <c r="J1186" s="6"/>
      <c r="K1186" s="24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4"/>
      <c r="I1187" s="24"/>
      <c r="J1187" s="6"/>
      <c r="K1187" s="24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4"/>
      <c r="I1188" s="24"/>
      <c r="J1188" s="6"/>
      <c r="K1188" s="24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4"/>
      <c r="I1189" s="24"/>
      <c r="J1189" s="6"/>
      <c r="K1189" s="24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4"/>
      <c r="I1190" s="24"/>
      <c r="J1190" s="6"/>
      <c r="K1190" s="24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4"/>
      <c r="I1191" s="24"/>
      <c r="J1191" s="6"/>
      <c r="K1191" s="24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4"/>
      <c r="I1192" s="24"/>
      <c r="J1192" s="6"/>
      <c r="K1192" s="24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4"/>
      <c r="I1193" s="24"/>
      <c r="J1193" s="6"/>
      <c r="K1193" s="24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4"/>
      <c r="I1194" s="24"/>
      <c r="J1194" s="6"/>
      <c r="K1194" s="24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4"/>
      <c r="I1195" s="24"/>
      <c r="J1195" s="6"/>
      <c r="K1195" s="24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4"/>
      <c r="I1196" s="24"/>
      <c r="J1196" s="6"/>
      <c r="K1196" s="24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4"/>
      <c r="I1197" s="24"/>
      <c r="J1197" s="6"/>
      <c r="K1197" s="24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4"/>
      <c r="I1198" s="24"/>
      <c r="J1198" s="6"/>
      <c r="K1198" s="24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4"/>
      <c r="I1199" s="24"/>
      <c r="J1199" s="6"/>
      <c r="K1199" s="24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4"/>
      <c r="I1200" s="24"/>
      <c r="J1200" s="6"/>
      <c r="K1200" s="24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4"/>
      <c r="I1201" s="24"/>
      <c r="J1201" s="6"/>
      <c r="K1201" s="24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4"/>
      <c r="I1202" s="24"/>
      <c r="J1202" s="6"/>
      <c r="K1202" s="24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4"/>
      <c r="I1203" s="24"/>
      <c r="J1203" s="6"/>
      <c r="K1203" s="24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4"/>
      <c r="I1204" s="24"/>
      <c r="J1204" s="6"/>
      <c r="K1204" s="24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4"/>
      <c r="I1205" s="24"/>
      <c r="J1205" s="6"/>
      <c r="K1205" s="24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4"/>
      <c r="I1206" s="24"/>
      <c r="J1206" s="6"/>
      <c r="K1206" s="24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4"/>
      <c r="I1207" s="24"/>
      <c r="J1207" s="6"/>
      <c r="K1207" s="24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4"/>
      <c r="I1208" s="24"/>
      <c r="J1208" s="6"/>
      <c r="K1208" s="24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4"/>
      <c r="I1209" s="24"/>
      <c r="J1209" s="6"/>
      <c r="K1209" s="24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4"/>
      <c r="I1210" s="24"/>
      <c r="J1210" s="6"/>
      <c r="K1210" s="24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4"/>
      <c r="I1211" s="24"/>
      <c r="J1211" s="6"/>
      <c r="K1211" s="24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4"/>
      <c r="I1212" s="24"/>
      <c r="J1212" s="6"/>
      <c r="K1212" s="24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4"/>
      <c r="I1213" s="24"/>
      <c r="J1213" s="6"/>
      <c r="K1213" s="24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4"/>
      <c r="I1214" s="24"/>
      <c r="J1214" s="6"/>
      <c r="K1214" s="24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4"/>
      <c r="I1215" s="24"/>
      <c r="J1215" s="6"/>
      <c r="K1215" s="24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4"/>
      <c r="I1216" s="24"/>
      <c r="J1216" s="6"/>
      <c r="K1216" s="24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4"/>
      <c r="I1217" s="24"/>
      <c r="J1217" s="6"/>
      <c r="K1217" s="24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4"/>
      <c r="I1218" s="24"/>
      <c r="J1218" s="6"/>
      <c r="K1218" s="24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4"/>
      <c r="I1219" s="24"/>
      <c r="J1219" s="6"/>
      <c r="K1219" s="24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4"/>
      <c r="I1220" s="24"/>
      <c r="J1220" s="6"/>
      <c r="K1220" s="24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4"/>
      <c r="I1221" s="24"/>
      <c r="J1221" s="6"/>
      <c r="K1221" s="24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4"/>
      <c r="I1222" s="24"/>
      <c r="J1222" s="6"/>
      <c r="K1222" s="24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4"/>
      <c r="I1223" s="24"/>
      <c r="J1223" s="6"/>
      <c r="K1223" s="24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4"/>
      <c r="I1224" s="24"/>
      <c r="J1224" s="6"/>
      <c r="K1224" s="24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4"/>
      <c r="I1225" s="24"/>
      <c r="J1225" s="6"/>
      <c r="K1225" s="24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4"/>
      <c r="I1226" s="24"/>
      <c r="J1226" s="6"/>
      <c r="K1226" s="24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4"/>
      <c r="I1227" s="24"/>
      <c r="J1227" s="6"/>
      <c r="K1227" s="24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4"/>
      <c r="I1228" s="24"/>
      <c r="J1228" s="6"/>
      <c r="K1228" s="24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4"/>
      <c r="I1229" s="24"/>
      <c r="J1229" s="6"/>
      <c r="K1229" s="24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4"/>
      <c r="I1230" s="24"/>
      <c r="J1230" s="6"/>
      <c r="K1230" s="24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4"/>
      <c r="I1231" s="24"/>
      <c r="J1231" s="6"/>
      <c r="K1231" s="24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4"/>
      <c r="I1232" s="24"/>
      <c r="J1232" s="6"/>
      <c r="K1232" s="24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4"/>
      <c r="I1233" s="24"/>
      <c r="J1233" s="6"/>
      <c r="K1233" s="24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4"/>
      <c r="I1234" s="24"/>
      <c r="J1234" s="6"/>
      <c r="K1234" s="24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4"/>
      <c r="I1235" s="24"/>
      <c r="J1235" s="6"/>
      <c r="K1235" s="24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4"/>
      <c r="I1236" s="24"/>
      <c r="J1236" s="6"/>
      <c r="K1236" s="24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4"/>
      <c r="I1237" s="24"/>
      <c r="J1237" s="6"/>
      <c r="K1237" s="24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4"/>
      <c r="I1238" s="24"/>
      <c r="J1238" s="6"/>
      <c r="K1238" s="24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4"/>
      <c r="I1239" s="24"/>
      <c r="J1239" s="6"/>
      <c r="K1239" s="24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4"/>
      <c r="I1240" s="24"/>
      <c r="J1240" s="6"/>
      <c r="K1240" s="24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4"/>
      <c r="I1241" s="24"/>
      <c r="J1241" s="6"/>
      <c r="K1241" s="24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4"/>
      <c r="I1242" s="24"/>
      <c r="J1242" s="6"/>
      <c r="K1242" s="24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4"/>
      <c r="I1243" s="24"/>
      <c r="J1243" s="6"/>
      <c r="K1243" s="24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4"/>
      <c r="I1244" s="24"/>
      <c r="J1244" s="6"/>
      <c r="K1244" s="24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4"/>
      <c r="I1245" s="24"/>
      <c r="J1245" s="6"/>
      <c r="K1245" s="24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4"/>
      <c r="I1246" s="24"/>
      <c r="J1246" s="6"/>
      <c r="K1246" s="24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4"/>
      <c r="I1247" s="24"/>
      <c r="J1247" s="6"/>
      <c r="K1247" s="24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4"/>
      <c r="I1248" s="24"/>
      <c r="J1248" s="6"/>
      <c r="K1248" s="24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4"/>
      <c r="I1249" s="24"/>
      <c r="J1249" s="6"/>
      <c r="K1249" s="24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4"/>
      <c r="I1250" s="24"/>
      <c r="J1250" s="6"/>
      <c r="K1250" s="24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4"/>
      <c r="I1251" s="24"/>
      <c r="J1251" s="6"/>
      <c r="K1251" s="24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4"/>
      <c r="I1252" s="24"/>
      <c r="J1252" s="6"/>
      <c r="K1252" s="24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4"/>
      <c r="I1253" s="24"/>
      <c r="J1253" s="6"/>
      <c r="K1253" s="24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4"/>
      <c r="I1254" s="24"/>
      <c r="J1254" s="6"/>
      <c r="K1254" s="24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4"/>
      <c r="I1255" s="24"/>
      <c r="J1255" s="6"/>
      <c r="K1255" s="24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4"/>
      <c r="I1256" s="24"/>
      <c r="J1256" s="6"/>
      <c r="K1256" s="24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4"/>
      <c r="I1257" s="24"/>
      <c r="J1257" s="6"/>
      <c r="K1257" s="24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4"/>
      <c r="I1258" s="24"/>
      <c r="J1258" s="6"/>
      <c r="K1258" s="24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4"/>
      <c r="I1259" s="24"/>
      <c r="J1259" s="6"/>
      <c r="K1259" s="24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4"/>
      <c r="I1260" s="24"/>
      <c r="J1260" s="6"/>
      <c r="K1260" s="24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4"/>
      <c r="I1261" s="24"/>
      <c r="J1261" s="6"/>
      <c r="K1261" s="24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4"/>
      <c r="I1262" s="24"/>
      <c r="J1262" s="6"/>
      <c r="K1262" s="24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4"/>
      <c r="I1263" s="24"/>
      <c r="J1263" s="6"/>
      <c r="K1263" s="24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4"/>
      <c r="I1264" s="24"/>
      <c r="J1264" s="6"/>
      <c r="K1264" s="24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4"/>
      <c r="I1265" s="24"/>
      <c r="J1265" s="6"/>
      <c r="K1265" s="24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4"/>
      <c r="I1266" s="24"/>
      <c r="J1266" s="6"/>
      <c r="K1266" s="24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4"/>
      <c r="I1267" s="24"/>
      <c r="J1267" s="6"/>
      <c r="K1267" s="24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4"/>
      <c r="I1268" s="24"/>
      <c r="J1268" s="6"/>
      <c r="K1268" s="24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4"/>
      <c r="I1269" s="24"/>
      <c r="J1269" s="6"/>
      <c r="K1269" s="24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4"/>
      <c r="I1270" s="24"/>
      <c r="J1270" s="6"/>
      <c r="K1270" s="24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4"/>
      <c r="I1271" s="24"/>
      <c r="J1271" s="6"/>
      <c r="K1271" s="24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4"/>
      <c r="I1272" s="24"/>
      <c r="J1272" s="6"/>
      <c r="K1272" s="24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4"/>
      <c r="I1273" s="24"/>
      <c r="J1273" s="6"/>
      <c r="K1273" s="24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4"/>
      <c r="I1274" s="24"/>
      <c r="J1274" s="6"/>
      <c r="K1274" s="24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4"/>
      <c r="I1275" s="24"/>
      <c r="J1275" s="6"/>
      <c r="K1275" s="24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4"/>
      <c r="I1276" s="24"/>
      <c r="J1276" s="6"/>
      <c r="K1276" s="24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4"/>
      <c r="I1277" s="24"/>
      <c r="J1277" s="6"/>
      <c r="K1277" s="24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4"/>
      <c r="I1278" s="24"/>
      <c r="J1278" s="6"/>
      <c r="K1278" s="24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4"/>
      <c r="I1279" s="24"/>
      <c r="J1279" s="6"/>
      <c r="K1279" s="24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4"/>
      <c r="I1280" s="24"/>
      <c r="J1280" s="6"/>
      <c r="K1280" s="24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4"/>
      <c r="I1281" s="24"/>
      <c r="J1281" s="6"/>
      <c r="K1281" s="24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4"/>
      <c r="I1282" s="24"/>
      <c r="J1282" s="6"/>
      <c r="K1282" s="24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4"/>
      <c r="I1283" s="24"/>
      <c r="J1283" s="6"/>
      <c r="K1283" s="24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4"/>
      <c r="I1284" s="24"/>
      <c r="J1284" s="6"/>
      <c r="K1284" s="24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4"/>
      <c r="I1285" s="24"/>
      <c r="J1285" s="6"/>
      <c r="K1285" s="24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4"/>
      <c r="I1286" s="24"/>
      <c r="J1286" s="6"/>
      <c r="K1286" s="24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4"/>
      <c r="I1287" s="24"/>
      <c r="J1287" s="6"/>
      <c r="K1287" s="24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4"/>
      <c r="I1288" s="24"/>
      <c r="J1288" s="6"/>
      <c r="K1288" s="24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4"/>
      <c r="I1289" s="24"/>
      <c r="J1289" s="6"/>
      <c r="K1289" s="24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4"/>
      <c r="I1290" s="24"/>
      <c r="J1290" s="6"/>
      <c r="K1290" s="24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4"/>
      <c r="I1291" s="24"/>
      <c r="J1291" s="6"/>
      <c r="K1291" s="24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4"/>
      <c r="I1292" s="24"/>
      <c r="J1292" s="6"/>
      <c r="K1292" s="24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4"/>
      <c r="I1293" s="24"/>
      <c r="J1293" s="6"/>
      <c r="K1293" s="24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4"/>
      <c r="I1294" s="24"/>
      <c r="J1294" s="6"/>
      <c r="K1294" s="24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4"/>
      <c r="I1295" s="24"/>
      <c r="J1295" s="6"/>
      <c r="K1295" s="24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4"/>
      <c r="I1296" s="24"/>
      <c r="J1296" s="6"/>
      <c r="K1296" s="24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4"/>
      <c r="I1297" s="24"/>
      <c r="J1297" s="6"/>
      <c r="K1297" s="24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4"/>
      <c r="I1298" s="24"/>
      <c r="J1298" s="6"/>
      <c r="K1298" s="24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4"/>
      <c r="I1299" s="24"/>
      <c r="J1299" s="6"/>
      <c r="K1299" s="24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4"/>
      <c r="I1300" s="24"/>
      <c r="J1300" s="6"/>
      <c r="K1300" s="24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4"/>
      <c r="I1301" s="24"/>
      <c r="J1301" s="6"/>
      <c r="K1301" s="24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4"/>
      <c r="I1302" s="24"/>
      <c r="J1302" s="6"/>
      <c r="K1302" s="24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4"/>
      <c r="I1303" s="24"/>
      <c r="J1303" s="6"/>
      <c r="K1303" s="24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4"/>
      <c r="I1304" s="24"/>
      <c r="J1304" s="6"/>
      <c r="K1304" s="24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4"/>
      <c r="I1305" s="24"/>
      <c r="J1305" s="6"/>
      <c r="K1305" s="24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4"/>
      <c r="I1306" s="24"/>
      <c r="J1306" s="6"/>
      <c r="K1306" s="24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4"/>
      <c r="I1307" s="24"/>
      <c r="J1307" s="6"/>
      <c r="K1307" s="24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4"/>
      <c r="I1308" s="24"/>
      <c r="J1308" s="6"/>
      <c r="K1308" s="24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4"/>
      <c r="I1309" s="24"/>
      <c r="J1309" s="6"/>
      <c r="K1309" s="24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4"/>
      <c r="I1310" s="24"/>
      <c r="J1310" s="6"/>
      <c r="K1310" s="24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4"/>
      <c r="I1311" s="24"/>
      <c r="J1311" s="6"/>
      <c r="K1311" s="24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4"/>
      <c r="I1312" s="24"/>
      <c r="J1312" s="6"/>
      <c r="K1312" s="24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4"/>
      <c r="I1313" s="24"/>
      <c r="J1313" s="6"/>
      <c r="K1313" s="24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4"/>
      <c r="I1314" s="24"/>
      <c r="J1314" s="6"/>
      <c r="K1314" s="24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4"/>
      <c r="I1315" s="24"/>
      <c r="J1315" s="6"/>
      <c r="K1315" s="24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4"/>
      <c r="I1316" s="24"/>
      <c r="J1316" s="6"/>
      <c r="K1316" s="24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4"/>
      <c r="I1317" s="24"/>
      <c r="J1317" s="6"/>
      <c r="K1317" s="24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4"/>
      <c r="I1318" s="24"/>
      <c r="J1318" s="6"/>
      <c r="K1318" s="24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4"/>
      <c r="I1319" s="24"/>
      <c r="J1319" s="6"/>
      <c r="K1319" s="24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4"/>
      <c r="I1320" s="24"/>
      <c r="J1320" s="6"/>
      <c r="K1320" s="24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4"/>
      <c r="I1321" s="24"/>
      <c r="J1321" s="6"/>
      <c r="K1321" s="24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4"/>
      <c r="I1322" s="24"/>
      <c r="J1322" s="6"/>
      <c r="K1322" s="24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4"/>
      <c r="I1323" s="24"/>
      <c r="J1323" s="6"/>
      <c r="K1323" s="24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4"/>
      <c r="I1324" s="24"/>
      <c r="J1324" s="6"/>
      <c r="K1324" s="24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4"/>
      <c r="I1325" s="24"/>
      <c r="J1325" s="6"/>
      <c r="K1325" s="24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4"/>
      <c r="I1326" s="24"/>
      <c r="J1326" s="6"/>
      <c r="K1326" s="24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4"/>
      <c r="I1327" s="24"/>
      <c r="J1327" s="6"/>
      <c r="K1327" s="24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4"/>
      <c r="I1328" s="24"/>
      <c r="J1328" s="6"/>
      <c r="K1328" s="24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4"/>
      <c r="I1329" s="24"/>
      <c r="J1329" s="6"/>
      <c r="K1329" s="24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4"/>
      <c r="I1330" s="24"/>
      <c r="J1330" s="6"/>
      <c r="K1330" s="24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4"/>
      <c r="I1331" s="24"/>
      <c r="J1331" s="6"/>
      <c r="K1331" s="24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4"/>
      <c r="I1332" s="24"/>
      <c r="J1332" s="6"/>
      <c r="K1332" s="24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4"/>
      <c r="I1333" s="24"/>
      <c r="J1333" s="6"/>
      <c r="K1333" s="24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4"/>
      <c r="I1334" s="24"/>
      <c r="J1334" s="6"/>
      <c r="K1334" s="24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4"/>
      <c r="I1335" s="24"/>
      <c r="J1335" s="6"/>
      <c r="K1335" s="24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4"/>
      <c r="I1336" s="24"/>
      <c r="J1336" s="6"/>
      <c r="K1336" s="24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4"/>
      <c r="I1337" s="24"/>
      <c r="J1337" s="6"/>
      <c r="K1337" s="24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4"/>
      <c r="I1338" s="24"/>
      <c r="J1338" s="6"/>
      <c r="K1338" s="24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4"/>
      <c r="I1339" s="24"/>
      <c r="J1339" s="6"/>
      <c r="K1339" s="24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4"/>
      <c r="I1340" s="24"/>
      <c r="J1340" s="6"/>
      <c r="K1340" s="24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4"/>
      <c r="I1341" s="24"/>
      <c r="J1341" s="6"/>
      <c r="K1341" s="24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4"/>
      <c r="I1342" s="24"/>
      <c r="J1342" s="6"/>
      <c r="K1342" s="24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4"/>
      <c r="I1343" s="24"/>
      <c r="J1343" s="6"/>
      <c r="K1343" s="24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4"/>
      <c r="I1344" s="24"/>
      <c r="J1344" s="6"/>
      <c r="K1344" s="24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4"/>
      <c r="I1345" s="24"/>
      <c r="J1345" s="6"/>
      <c r="K1345" s="24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4"/>
      <c r="I1346" s="24"/>
      <c r="J1346" s="6"/>
      <c r="K1346" s="24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4"/>
      <c r="I1347" s="24"/>
      <c r="J1347" s="6"/>
      <c r="K1347" s="24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4"/>
      <c r="I1348" s="24"/>
      <c r="J1348" s="6"/>
      <c r="K1348" s="24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4"/>
      <c r="I1349" s="24"/>
      <c r="J1349" s="6"/>
      <c r="K1349" s="24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4"/>
      <c r="I1350" s="24"/>
      <c r="J1350" s="6"/>
      <c r="K1350" s="24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4"/>
      <c r="I1351" s="24"/>
      <c r="J1351" s="6"/>
      <c r="K1351" s="24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4"/>
      <c r="I1352" s="24"/>
      <c r="J1352" s="6"/>
      <c r="K1352" s="24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4"/>
      <c r="I1353" s="24"/>
      <c r="J1353" s="6"/>
      <c r="K1353" s="24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4"/>
      <c r="I1354" s="24"/>
      <c r="J1354" s="6"/>
      <c r="K1354" s="24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4"/>
      <c r="I1355" s="24"/>
      <c r="J1355" s="6"/>
      <c r="K1355" s="24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4"/>
      <c r="I1356" s="24"/>
      <c r="J1356" s="6"/>
      <c r="K1356" s="24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4"/>
      <c r="I1357" s="24"/>
      <c r="J1357" s="6"/>
      <c r="K1357" s="24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4"/>
      <c r="I1358" s="24"/>
      <c r="J1358" s="6"/>
      <c r="K1358" s="24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4"/>
      <c r="I1359" s="24"/>
      <c r="J1359" s="6"/>
      <c r="K1359" s="24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4"/>
      <c r="I1360" s="24"/>
      <c r="J1360" s="6"/>
      <c r="K1360" s="24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4"/>
      <c r="I1361" s="24"/>
      <c r="J1361" s="6"/>
      <c r="K1361" s="24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4"/>
      <c r="I1362" s="24"/>
      <c r="J1362" s="6"/>
      <c r="K1362" s="24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4"/>
      <c r="I1363" s="24"/>
      <c r="J1363" s="6"/>
      <c r="K1363" s="24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4"/>
      <c r="I1364" s="24"/>
      <c r="J1364" s="6"/>
      <c r="K1364" s="24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4"/>
      <c r="I1365" s="24"/>
      <c r="J1365" s="6"/>
      <c r="K1365" s="24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4"/>
      <c r="I1366" s="24"/>
      <c r="J1366" s="6"/>
      <c r="K1366" s="24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4"/>
      <c r="I1367" s="24"/>
      <c r="J1367" s="6"/>
      <c r="K1367" s="24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4"/>
      <c r="I1368" s="24"/>
      <c r="J1368" s="6"/>
      <c r="K1368" s="24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4"/>
      <c r="I1369" s="24"/>
      <c r="J1369" s="6"/>
      <c r="K1369" s="24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4"/>
      <c r="I1370" s="24"/>
      <c r="J1370" s="6"/>
      <c r="K1370" s="24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4"/>
      <c r="I1371" s="24"/>
      <c r="J1371" s="6"/>
      <c r="K1371" s="24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4"/>
      <c r="I1372" s="24"/>
      <c r="J1372" s="6"/>
      <c r="K1372" s="24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4"/>
      <c r="I1373" s="24"/>
      <c r="J1373" s="6"/>
      <c r="K1373" s="24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4"/>
      <c r="I1374" s="24"/>
      <c r="J1374" s="6"/>
      <c r="K1374" s="24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4"/>
      <c r="I1375" s="24"/>
      <c r="J1375" s="6"/>
      <c r="K1375" s="24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4"/>
      <c r="I1376" s="24"/>
      <c r="J1376" s="6"/>
      <c r="K1376" s="24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4"/>
      <c r="I1377" s="24"/>
      <c r="J1377" s="6"/>
      <c r="K1377" s="24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4"/>
      <c r="I1378" s="24"/>
      <c r="J1378" s="6"/>
      <c r="K1378" s="24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4"/>
      <c r="I1379" s="24"/>
      <c r="J1379" s="6"/>
      <c r="K1379" s="24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4"/>
      <c r="I1380" s="24"/>
      <c r="J1380" s="6"/>
      <c r="K1380" s="24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4"/>
      <c r="I1381" s="24"/>
      <c r="J1381" s="6"/>
      <c r="K1381" s="24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4"/>
      <c r="I1382" s="24"/>
      <c r="J1382" s="6"/>
      <c r="K1382" s="24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4"/>
      <c r="I1383" s="24"/>
      <c r="J1383" s="6"/>
      <c r="K1383" s="24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4"/>
      <c r="I1384" s="24"/>
      <c r="J1384" s="6"/>
      <c r="K1384" s="24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4"/>
      <c r="I1385" s="24"/>
      <c r="J1385" s="6"/>
      <c r="K1385" s="24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4"/>
      <c r="I1386" s="24"/>
      <c r="J1386" s="6"/>
      <c r="K1386" s="24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4"/>
      <c r="I1387" s="24"/>
      <c r="J1387" s="6"/>
      <c r="K1387" s="24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4"/>
      <c r="I1388" s="24"/>
      <c r="J1388" s="6"/>
      <c r="K1388" s="24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4"/>
      <c r="I1389" s="24"/>
      <c r="J1389" s="6"/>
      <c r="K1389" s="24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4"/>
      <c r="I1390" s="24"/>
      <c r="J1390" s="6"/>
      <c r="K1390" s="24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4"/>
      <c r="I1391" s="24"/>
      <c r="J1391" s="6"/>
      <c r="K1391" s="24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4"/>
      <c r="I1392" s="24"/>
      <c r="J1392" s="6"/>
      <c r="K1392" s="24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4"/>
      <c r="I1393" s="24"/>
      <c r="J1393" s="6"/>
      <c r="K1393" s="24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4"/>
      <c r="I1394" s="24"/>
      <c r="J1394" s="6"/>
      <c r="K1394" s="24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4"/>
      <c r="I1395" s="24"/>
      <c r="J1395" s="6"/>
      <c r="K1395" s="24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4"/>
      <c r="I1396" s="24"/>
      <c r="J1396" s="6"/>
      <c r="K1396" s="24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4"/>
      <c r="I1397" s="24"/>
      <c r="J1397" s="6"/>
      <c r="K1397" s="24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4"/>
      <c r="I1398" s="24"/>
      <c r="J1398" s="6"/>
      <c r="K1398" s="24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4"/>
      <c r="I1399" s="24"/>
      <c r="J1399" s="6"/>
      <c r="K1399" s="24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4"/>
      <c r="I1400" s="24"/>
      <c r="J1400" s="6"/>
      <c r="K1400" s="24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4"/>
      <c r="I1401" s="24"/>
      <c r="J1401" s="6"/>
      <c r="K1401" s="24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4"/>
      <c r="I1402" s="24"/>
      <c r="J1402" s="6"/>
      <c r="K1402" s="24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4"/>
      <c r="I1403" s="24"/>
      <c r="J1403" s="6"/>
      <c r="K1403" s="24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4"/>
      <c r="I1404" s="24"/>
      <c r="J1404" s="6"/>
      <c r="K1404" s="24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4"/>
      <c r="I1405" s="24"/>
      <c r="J1405" s="6"/>
      <c r="K1405" s="24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4"/>
      <c r="I1406" s="24"/>
      <c r="J1406" s="6"/>
      <c r="K1406" s="24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4"/>
      <c r="I1407" s="24"/>
      <c r="J1407" s="6"/>
      <c r="K1407" s="24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4"/>
      <c r="I1408" s="24"/>
      <c r="J1408" s="6"/>
      <c r="K1408" s="24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4"/>
      <c r="I1409" s="24"/>
      <c r="J1409" s="6"/>
      <c r="K1409" s="24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4"/>
      <c r="I1410" s="24"/>
      <c r="J1410" s="6"/>
      <c r="K1410" s="24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4"/>
      <c r="I1411" s="24"/>
      <c r="J1411" s="6"/>
      <c r="K1411" s="24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4"/>
      <c r="I1412" s="24"/>
      <c r="J1412" s="6"/>
      <c r="K1412" s="24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4"/>
      <c r="I1413" s="24"/>
      <c r="J1413" s="6"/>
      <c r="K1413" s="24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4"/>
      <c r="I1414" s="24"/>
      <c r="J1414" s="6"/>
      <c r="K1414" s="24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4"/>
      <c r="I1415" s="24"/>
      <c r="J1415" s="6"/>
      <c r="K1415" s="24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4"/>
      <c r="I1416" s="24"/>
      <c r="J1416" s="6"/>
      <c r="K1416" s="24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4"/>
      <c r="I1417" s="24"/>
      <c r="J1417" s="6"/>
      <c r="K1417" s="24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4"/>
      <c r="I1418" s="24"/>
      <c r="J1418" s="6"/>
      <c r="K1418" s="24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4"/>
      <c r="I1419" s="24"/>
      <c r="J1419" s="6"/>
      <c r="K1419" s="24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4"/>
      <c r="I1420" s="24"/>
      <c r="J1420" s="6"/>
      <c r="K1420" s="24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4"/>
      <c r="I1421" s="24"/>
      <c r="J1421" s="6"/>
      <c r="K1421" s="24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4"/>
      <c r="I1422" s="24"/>
      <c r="J1422" s="6"/>
      <c r="K1422" s="24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4"/>
      <c r="I1423" s="24"/>
      <c r="J1423" s="6"/>
      <c r="K1423" s="24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4"/>
      <c r="I1424" s="24"/>
      <c r="J1424" s="6"/>
      <c r="K1424" s="24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4"/>
      <c r="I1425" s="24"/>
      <c r="J1425" s="6"/>
      <c r="K1425" s="24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4"/>
      <c r="I1426" s="24"/>
      <c r="J1426" s="6"/>
      <c r="K1426" s="24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4"/>
      <c r="I1427" s="24"/>
      <c r="J1427" s="6"/>
      <c r="K1427" s="24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4"/>
      <c r="I1428" s="24"/>
      <c r="J1428" s="6"/>
      <c r="K1428" s="24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4"/>
      <c r="I1429" s="24"/>
      <c r="J1429" s="6"/>
      <c r="K1429" s="24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4"/>
      <c r="I1430" s="24"/>
      <c r="J1430" s="6"/>
      <c r="K1430" s="24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4"/>
      <c r="I1431" s="24"/>
      <c r="J1431" s="6"/>
      <c r="K1431" s="24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4"/>
      <c r="I1432" s="24"/>
      <c r="J1432" s="6"/>
      <c r="K1432" s="24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4"/>
      <c r="I1433" s="24"/>
      <c r="J1433" s="6"/>
      <c r="K1433" s="24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4"/>
      <c r="I1434" s="24"/>
      <c r="J1434" s="6"/>
      <c r="K1434" s="24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4"/>
      <c r="I1435" s="24"/>
      <c r="J1435" s="6"/>
      <c r="K1435" s="24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4"/>
      <c r="I1436" s="24"/>
      <c r="J1436" s="6"/>
      <c r="K1436" s="24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4"/>
      <c r="I1437" s="24"/>
      <c r="J1437" s="6"/>
      <c r="K1437" s="24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4"/>
      <c r="I1438" s="24"/>
      <c r="J1438" s="6"/>
      <c r="K1438" s="24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4"/>
      <c r="I1439" s="24"/>
      <c r="J1439" s="6"/>
      <c r="K1439" s="24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4"/>
      <c r="I1440" s="24"/>
      <c r="J1440" s="6"/>
      <c r="K1440" s="24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4"/>
      <c r="I1441" s="24"/>
      <c r="J1441" s="6"/>
      <c r="K1441" s="24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4"/>
      <c r="I1442" s="24"/>
      <c r="J1442" s="6"/>
      <c r="K1442" s="24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4"/>
      <c r="I1443" s="24"/>
      <c r="J1443" s="6"/>
      <c r="K1443" s="24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4"/>
      <c r="I1444" s="24"/>
      <c r="J1444" s="6"/>
      <c r="K1444" s="24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4"/>
      <c r="I1445" s="24"/>
      <c r="J1445" s="6"/>
      <c r="K1445" s="24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4"/>
      <c r="I1446" s="24"/>
      <c r="J1446" s="6"/>
      <c r="K1446" s="24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4"/>
      <c r="I1447" s="24"/>
      <c r="J1447" s="6"/>
      <c r="K1447" s="24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4"/>
      <c r="I1448" s="24"/>
      <c r="J1448" s="6"/>
      <c r="K1448" s="24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4"/>
      <c r="I1449" s="24"/>
      <c r="J1449" s="6"/>
      <c r="K1449" s="24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4"/>
      <c r="I1450" s="24"/>
      <c r="J1450" s="6"/>
      <c r="K1450" s="24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4"/>
      <c r="I1451" s="24"/>
      <c r="J1451" s="6"/>
      <c r="K1451" s="24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4"/>
      <c r="I1452" s="24"/>
      <c r="J1452" s="6"/>
      <c r="K1452" s="24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4"/>
      <c r="I1453" s="24"/>
      <c r="J1453" s="6"/>
      <c r="K1453" s="24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4"/>
      <c r="I1454" s="24"/>
      <c r="J1454" s="6"/>
      <c r="K1454" s="24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4"/>
      <c r="I1455" s="24"/>
      <c r="J1455" s="6"/>
      <c r="K1455" s="24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4"/>
      <c r="I1456" s="24"/>
      <c r="J1456" s="6"/>
      <c r="K1456" s="24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4"/>
      <c r="I1457" s="24"/>
      <c r="J1457" s="6"/>
      <c r="K1457" s="24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4"/>
      <c r="I1458" s="24"/>
      <c r="J1458" s="6"/>
      <c r="K1458" s="24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4"/>
      <c r="I1459" s="24"/>
      <c r="J1459" s="6"/>
      <c r="K1459" s="24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4"/>
      <c r="I1460" s="24"/>
      <c r="J1460" s="6"/>
      <c r="K1460" s="24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4"/>
      <c r="I1461" s="24"/>
      <c r="J1461" s="6"/>
      <c r="K1461" s="24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4"/>
      <c r="I1462" s="24"/>
      <c r="J1462" s="6"/>
      <c r="K1462" s="24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4"/>
      <c r="I1463" s="24"/>
      <c r="J1463" s="6"/>
      <c r="K1463" s="24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4"/>
      <c r="I1464" s="24"/>
      <c r="J1464" s="6"/>
      <c r="K1464" s="24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4"/>
      <c r="I1465" s="24"/>
      <c r="J1465" s="6"/>
      <c r="K1465" s="24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4"/>
      <c r="I1466" s="24"/>
      <c r="J1466" s="6"/>
      <c r="K1466" s="24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4"/>
      <c r="I1467" s="24"/>
      <c r="J1467" s="6"/>
      <c r="K1467" s="24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4"/>
      <c r="I1468" s="24"/>
      <c r="J1468" s="6"/>
      <c r="K1468" s="24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4"/>
      <c r="I1469" s="24"/>
      <c r="J1469" s="6"/>
      <c r="K1469" s="24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4"/>
      <c r="I1470" s="24"/>
      <c r="J1470" s="6"/>
      <c r="K1470" s="24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4"/>
      <c r="I1471" s="24"/>
      <c r="J1471" s="6"/>
      <c r="K1471" s="24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4"/>
      <c r="I1472" s="24"/>
      <c r="J1472" s="6"/>
      <c r="K1472" s="24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4"/>
      <c r="I1473" s="24"/>
      <c r="J1473" s="6"/>
      <c r="K1473" s="24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4"/>
      <c r="I1474" s="24"/>
      <c r="J1474" s="6"/>
      <c r="K1474" s="24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4"/>
      <c r="I1475" s="24"/>
      <c r="J1475" s="6"/>
      <c r="K1475" s="24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4"/>
      <c r="I1476" s="24"/>
      <c r="J1476" s="6"/>
      <c r="K1476" s="24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4"/>
      <c r="I1477" s="24"/>
      <c r="J1477" s="6"/>
      <c r="K1477" s="24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4"/>
      <c r="I1478" s="24"/>
      <c r="J1478" s="6"/>
      <c r="K1478" s="24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4"/>
      <c r="I1479" s="24"/>
      <c r="J1479" s="6"/>
      <c r="K1479" s="24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4"/>
      <c r="I1480" s="24"/>
      <c r="J1480" s="6"/>
      <c r="K1480" s="24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4"/>
      <c r="I1481" s="24"/>
      <c r="J1481" s="6"/>
      <c r="K1481" s="24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4"/>
      <c r="I1482" s="24"/>
      <c r="J1482" s="6"/>
      <c r="K1482" s="24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4"/>
      <c r="I1483" s="24"/>
      <c r="J1483" s="6"/>
      <c r="K1483" s="24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4"/>
      <c r="I1484" s="24"/>
      <c r="J1484" s="6"/>
      <c r="K1484" s="24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4"/>
      <c r="I1485" s="24"/>
      <c r="J1485" s="6"/>
      <c r="K1485" s="24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4"/>
      <c r="I1486" s="24"/>
      <c r="J1486" s="6"/>
      <c r="K1486" s="24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4"/>
      <c r="I1487" s="24"/>
      <c r="J1487" s="6"/>
      <c r="K1487" s="24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4"/>
      <c r="I1488" s="24"/>
      <c r="J1488" s="6"/>
      <c r="K1488" s="24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4"/>
      <c r="I1489" s="24"/>
      <c r="J1489" s="6"/>
      <c r="K1489" s="24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4"/>
      <c r="I1490" s="24"/>
      <c r="J1490" s="6"/>
      <c r="K1490" s="24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4"/>
      <c r="I1491" s="24"/>
      <c r="J1491" s="6"/>
      <c r="K1491" s="24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4"/>
      <c r="I1492" s="24"/>
      <c r="J1492" s="6"/>
      <c r="K1492" s="24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4"/>
      <c r="I1493" s="24"/>
      <c r="J1493" s="6"/>
      <c r="K1493" s="24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4"/>
      <c r="I1494" s="24"/>
      <c r="J1494" s="6"/>
      <c r="K1494" s="24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4"/>
      <c r="I1495" s="24"/>
      <c r="J1495" s="6"/>
      <c r="K1495" s="24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4"/>
      <c r="I1496" s="24"/>
      <c r="J1496" s="6"/>
      <c r="K1496" s="24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4"/>
      <c r="I1497" s="24"/>
      <c r="J1497" s="6"/>
      <c r="K1497" s="24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4"/>
      <c r="I1498" s="24"/>
      <c r="J1498" s="6"/>
      <c r="K1498" s="24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4"/>
      <c r="I1499" s="24"/>
      <c r="J1499" s="6"/>
      <c r="K1499" s="24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4"/>
      <c r="I1500" s="24"/>
      <c r="J1500" s="6"/>
      <c r="K1500" s="24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4"/>
      <c r="I1501" s="24"/>
      <c r="J1501" s="6"/>
      <c r="K1501" s="24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4"/>
      <c r="I1502" s="24"/>
      <c r="J1502" s="6"/>
      <c r="K1502" s="24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4"/>
      <c r="I1503" s="24"/>
      <c r="J1503" s="6"/>
      <c r="K1503" s="24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4"/>
      <c r="I1504" s="24"/>
      <c r="J1504" s="6"/>
      <c r="K1504" s="24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4"/>
      <c r="I1505" s="24"/>
      <c r="J1505" s="6"/>
      <c r="K1505" s="24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G1506" s="1"/>
    </row>
  </sheetData>
  <protectedRanges>
    <protectedRange sqref="H5:H17 H19:H20 H18:I18 K5:K287 H21:I287" name="Rango1_1"/>
    <protectedRange sqref="I19:I20 I5:I17" name="Rango1"/>
  </protectedRanges>
  <autoFilter ref="A4:DH4"/>
  <mergeCells count="18">
    <mergeCell ref="N3:O3"/>
    <mergeCell ref="P3:Q3"/>
    <mergeCell ref="AB2:AC2"/>
    <mergeCell ref="X2:AA2"/>
    <mergeCell ref="F1:M1"/>
    <mergeCell ref="F2:M2"/>
    <mergeCell ref="F3:M3"/>
    <mergeCell ref="R3:S3"/>
    <mergeCell ref="T3:U3"/>
    <mergeCell ref="P2:U2"/>
    <mergeCell ref="N2:O2"/>
    <mergeCell ref="N1:O1"/>
    <mergeCell ref="AD2:AH2"/>
    <mergeCell ref="X3:Y3"/>
    <mergeCell ref="AF3:AG3"/>
    <mergeCell ref="AD3:AE3"/>
    <mergeCell ref="V2:W2"/>
    <mergeCell ref="V3:W3"/>
  </mergeCells>
  <phoneticPr fontId="0" type="noConversion"/>
  <conditionalFormatting sqref="E5:F10 E36:F287">
    <cfRule type="expression" dxfId="258" priority="409" stopIfTrue="1">
      <formula>"SEVERSTAL"</formula>
    </cfRule>
  </conditionalFormatting>
  <conditionalFormatting sqref="H5:H10 X5:AH10 AE11:AE12 H13 K5:K13 H15 H17 H18:I18 K18 H21:I24 H26:H29 K30:K287 H30:I287">
    <cfRule type="cellIs" dxfId="257" priority="410" stopIfTrue="1" operator="equal">
      <formula>"APROBADO"</formula>
    </cfRule>
    <cfRule type="cellIs" dxfId="256" priority="411" stopIfTrue="1" operator="equal">
      <formula>"ESPERA"</formula>
    </cfRule>
    <cfRule type="cellIs" dxfId="255" priority="412" stopIfTrue="1" operator="equal">
      <formula>"RECHAZADO"</formula>
    </cfRule>
  </conditionalFormatting>
  <conditionalFormatting sqref="I5:I10">
    <cfRule type="cellIs" dxfId="254" priority="283" stopIfTrue="1" operator="equal">
      <formula>"APROBADO"</formula>
    </cfRule>
    <cfRule type="cellIs" dxfId="253" priority="284" stopIfTrue="1" operator="equal">
      <formula>"ESPERA"</formula>
    </cfRule>
    <cfRule type="cellIs" dxfId="252" priority="285" stopIfTrue="1" operator="equal">
      <formula>"RECHAZADO"</formula>
    </cfRule>
  </conditionalFormatting>
  <conditionalFormatting sqref="E11:F11">
    <cfRule type="expression" dxfId="251" priority="279" stopIfTrue="1">
      <formula>"SEVERSTAL"</formula>
    </cfRule>
  </conditionalFormatting>
  <conditionalFormatting sqref="H11 X11:AD11 AF11:AH11">
    <cfRule type="cellIs" dxfId="250" priority="280" stopIfTrue="1" operator="equal">
      <formula>"APROBADO"</formula>
    </cfRule>
    <cfRule type="cellIs" dxfId="249" priority="281" stopIfTrue="1" operator="equal">
      <formula>"ESPERA"</formula>
    </cfRule>
    <cfRule type="cellIs" dxfId="248" priority="282" stopIfTrue="1" operator="equal">
      <formula>"RECHAZADO"</formula>
    </cfRule>
  </conditionalFormatting>
  <conditionalFormatting sqref="E12:F13">
    <cfRule type="expression" dxfId="247" priority="272" stopIfTrue="1">
      <formula>"SEVERSTAL"</formula>
    </cfRule>
  </conditionalFormatting>
  <conditionalFormatting sqref="H12 X12:AD12 AF12:AH12 X13:AC13 AH13">
    <cfRule type="cellIs" dxfId="246" priority="273" stopIfTrue="1" operator="equal">
      <formula>"APROBADO"</formula>
    </cfRule>
    <cfRule type="cellIs" dxfId="245" priority="274" stopIfTrue="1" operator="equal">
      <formula>"ESPERA"</formula>
    </cfRule>
    <cfRule type="cellIs" dxfId="244" priority="275" stopIfTrue="1" operator="equal">
      <formula>"RECHAZADO"</formula>
    </cfRule>
  </conditionalFormatting>
  <conditionalFormatting sqref="AF13">
    <cfRule type="cellIs" dxfId="243" priority="263" stopIfTrue="1" operator="equal">
      <formula>"APROBADO"</formula>
    </cfRule>
    <cfRule type="cellIs" dxfId="242" priority="264" stopIfTrue="1" operator="equal">
      <formula>"ESPERA"</formula>
    </cfRule>
    <cfRule type="cellIs" dxfId="241" priority="265" stopIfTrue="1" operator="equal">
      <formula>"RECHAZADO"</formula>
    </cfRule>
  </conditionalFormatting>
  <conditionalFormatting sqref="AE13">
    <cfRule type="cellIs" dxfId="240" priority="260" stopIfTrue="1" operator="equal">
      <formula>"APROBADO"</formula>
    </cfRule>
    <cfRule type="cellIs" dxfId="239" priority="261" stopIfTrue="1" operator="equal">
      <formula>"ESPERA"</formula>
    </cfRule>
    <cfRule type="cellIs" dxfId="238" priority="262" stopIfTrue="1" operator="equal">
      <formula>"RECHAZADO"</formula>
    </cfRule>
  </conditionalFormatting>
  <conditionalFormatting sqref="AD13">
    <cfRule type="cellIs" dxfId="237" priority="257" stopIfTrue="1" operator="equal">
      <formula>"APROBADO"</formula>
    </cfRule>
    <cfRule type="cellIs" dxfId="236" priority="258" stopIfTrue="1" operator="equal">
      <formula>"ESPERA"</formula>
    </cfRule>
    <cfRule type="cellIs" dxfId="235" priority="259" stopIfTrue="1" operator="equal">
      <formula>"RECHAZADO"</formula>
    </cfRule>
  </conditionalFormatting>
  <conditionalFormatting sqref="H14 K14:K15">
    <cfRule type="cellIs" dxfId="234" priority="254" stopIfTrue="1" operator="equal">
      <formula>"APROBADO"</formula>
    </cfRule>
    <cfRule type="cellIs" dxfId="233" priority="255" stopIfTrue="1" operator="equal">
      <formula>"ESPERA"</formula>
    </cfRule>
    <cfRule type="cellIs" dxfId="232" priority="256" stopIfTrue="1" operator="equal">
      <formula>"RECHAZADO"</formula>
    </cfRule>
  </conditionalFormatting>
  <conditionalFormatting sqref="E14:F15 E16:E18">
    <cfRule type="expression" dxfId="231" priority="250" stopIfTrue="1">
      <formula>"SEVERSTAL"</formula>
    </cfRule>
  </conditionalFormatting>
  <conditionalFormatting sqref="AH14:AH15 X14:AC15">
    <cfRule type="cellIs" dxfId="230" priority="251" stopIfTrue="1" operator="equal">
      <formula>"APROBADO"</formula>
    </cfRule>
    <cfRule type="cellIs" dxfId="229" priority="252" stopIfTrue="1" operator="equal">
      <formula>"ESPERA"</formula>
    </cfRule>
    <cfRule type="cellIs" dxfId="228" priority="253" stopIfTrue="1" operator="equal">
      <formula>"RECHAZADO"</formula>
    </cfRule>
  </conditionalFormatting>
  <conditionalFormatting sqref="AF14">
    <cfRule type="cellIs" dxfId="227" priority="241" stopIfTrue="1" operator="equal">
      <formula>"APROBADO"</formula>
    </cfRule>
    <cfRule type="cellIs" dxfId="226" priority="242" stopIfTrue="1" operator="equal">
      <formula>"ESPERA"</formula>
    </cfRule>
    <cfRule type="cellIs" dxfId="225" priority="243" stopIfTrue="1" operator="equal">
      <formula>"RECHAZADO"</formula>
    </cfRule>
  </conditionalFormatting>
  <conditionalFormatting sqref="AE14">
    <cfRule type="cellIs" dxfId="224" priority="238" stopIfTrue="1" operator="equal">
      <formula>"APROBADO"</formula>
    </cfRule>
    <cfRule type="cellIs" dxfId="223" priority="239" stopIfTrue="1" operator="equal">
      <formula>"ESPERA"</formula>
    </cfRule>
    <cfRule type="cellIs" dxfId="222" priority="240" stopIfTrue="1" operator="equal">
      <formula>"RECHAZADO"</formula>
    </cfRule>
  </conditionalFormatting>
  <conditionalFormatting sqref="AD14">
    <cfRule type="cellIs" dxfId="221" priority="235" stopIfTrue="1" operator="equal">
      <formula>"APROBADO"</formula>
    </cfRule>
    <cfRule type="cellIs" dxfId="220" priority="236" stopIfTrue="1" operator="equal">
      <formula>"ESPERA"</formula>
    </cfRule>
    <cfRule type="cellIs" dxfId="219" priority="237" stopIfTrue="1" operator="equal">
      <formula>"RECHAZADO"</formula>
    </cfRule>
  </conditionalFormatting>
  <conditionalFormatting sqref="I11:I14">
    <cfRule type="cellIs" dxfId="218" priority="232" stopIfTrue="1" operator="equal">
      <formula>"APROBADO"</formula>
    </cfRule>
    <cfRule type="cellIs" dxfId="217" priority="233" stopIfTrue="1" operator="equal">
      <formula>"ESPERA"</formula>
    </cfRule>
    <cfRule type="cellIs" dxfId="216" priority="234" stopIfTrue="1" operator="equal">
      <formula>"RECHAZADO"</formula>
    </cfRule>
  </conditionalFormatting>
  <conditionalFormatting sqref="AG13">
    <cfRule type="cellIs" dxfId="215" priority="229" stopIfTrue="1" operator="equal">
      <formula>"APROBADO"</formula>
    </cfRule>
    <cfRule type="cellIs" dxfId="214" priority="230" stopIfTrue="1" operator="equal">
      <formula>"ESPERA"</formula>
    </cfRule>
    <cfRule type="cellIs" dxfId="213" priority="231" stopIfTrue="1" operator="equal">
      <formula>"RECHAZADO"</formula>
    </cfRule>
  </conditionalFormatting>
  <conditionalFormatting sqref="AG14">
    <cfRule type="cellIs" dxfId="212" priority="226" stopIfTrue="1" operator="equal">
      <formula>"APROBADO"</formula>
    </cfRule>
    <cfRule type="cellIs" dxfId="211" priority="227" stopIfTrue="1" operator="equal">
      <formula>"ESPERA"</formula>
    </cfRule>
    <cfRule type="cellIs" dxfId="210" priority="228" stopIfTrue="1" operator="equal">
      <formula>"RECHAZADO"</formula>
    </cfRule>
  </conditionalFormatting>
  <conditionalFormatting sqref="I15">
    <cfRule type="cellIs" dxfId="209" priority="223" stopIfTrue="1" operator="equal">
      <formula>"APROBADO"</formula>
    </cfRule>
    <cfRule type="cellIs" dxfId="208" priority="224" stopIfTrue="1" operator="equal">
      <formula>"ESPERA"</formula>
    </cfRule>
    <cfRule type="cellIs" dxfId="207" priority="225" stopIfTrue="1" operator="equal">
      <formula>"RECHAZADO"</formula>
    </cfRule>
  </conditionalFormatting>
  <conditionalFormatting sqref="AF15">
    <cfRule type="cellIs" dxfId="206" priority="220" stopIfTrue="1" operator="equal">
      <formula>"APROBADO"</formula>
    </cfRule>
    <cfRule type="cellIs" dxfId="205" priority="221" stopIfTrue="1" operator="equal">
      <formula>"ESPERA"</formula>
    </cfRule>
    <cfRule type="cellIs" dxfId="204" priority="222" stopIfTrue="1" operator="equal">
      <formula>"RECHAZADO"</formula>
    </cfRule>
  </conditionalFormatting>
  <conditionalFormatting sqref="AE15">
    <cfRule type="cellIs" dxfId="203" priority="217" stopIfTrue="1" operator="equal">
      <formula>"APROBADO"</formula>
    </cfRule>
    <cfRule type="cellIs" dxfId="202" priority="218" stopIfTrue="1" operator="equal">
      <formula>"ESPERA"</formula>
    </cfRule>
    <cfRule type="cellIs" dxfId="201" priority="219" stopIfTrue="1" operator="equal">
      <formula>"RECHAZADO"</formula>
    </cfRule>
  </conditionalFormatting>
  <conditionalFormatting sqref="AD15">
    <cfRule type="cellIs" dxfId="200" priority="214" stopIfTrue="1" operator="equal">
      <formula>"APROBADO"</formula>
    </cfRule>
    <cfRule type="cellIs" dxfId="199" priority="215" stopIfTrue="1" operator="equal">
      <formula>"ESPERA"</formula>
    </cfRule>
    <cfRule type="cellIs" dxfId="198" priority="216" stopIfTrue="1" operator="equal">
      <formula>"RECHAZADO"</formula>
    </cfRule>
  </conditionalFormatting>
  <conditionalFormatting sqref="AG15">
    <cfRule type="cellIs" dxfId="197" priority="211" stopIfTrue="1" operator="equal">
      <formula>"APROBADO"</formula>
    </cfRule>
    <cfRule type="cellIs" dxfId="196" priority="212" stopIfTrue="1" operator="equal">
      <formula>"ESPERA"</formula>
    </cfRule>
    <cfRule type="cellIs" dxfId="195" priority="213" stopIfTrue="1" operator="equal">
      <formula>"RECHAZADO"</formula>
    </cfRule>
  </conditionalFormatting>
  <conditionalFormatting sqref="H16">
    <cfRule type="cellIs" dxfId="194" priority="208" stopIfTrue="1" operator="equal">
      <formula>"APROBADO"</formula>
    </cfRule>
    <cfRule type="cellIs" dxfId="193" priority="209" stopIfTrue="1" operator="equal">
      <formula>"ESPERA"</formula>
    </cfRule>
    <cfRule type="cellIs" dxfId="192" priority="210" stopIfTrue="1" operator="equal">
      <formula>"RECHAZADO"</formula>
    </cfRule>
  </conditionalFormatting>
  <conditionalFormatting sqref="K16:K17">
    <cfRule type="cellIs" dxfId="191" priority="205" stopIfTrue="1" operator="equal">
      <formula>"APROBADO"</formula>
    </cfRule>
    <cfRule type="cellIs" dxfId="190" priority="206" stopIfTrue="1" operator="equal">
      <formula>"ESPERA"</formula>
    </cfRule>
    <cfRule type="cellIs" dxfId="189" priority="207" stopIfTrue="1" operator="equal">
      <formula>"RECHAZADO"</formula>
    </cfRule>
  </conditionalFormatting>
  <conditionalFormatting sqref="F16:F18">
    <cfRule type="expression" dxfId="188" priority="204" stopIfTrue="1">
      <formula>"SEVERSTAL"</formula>
    </cfRule>
  </conditionalFormatting>
  <conditionalFormatting sqref="I16">
    <cfRule type="cellIs" dxfId="187" priority="201" stopIfTrue="1" operator="equal">
      <formula>"APROBADO"</formula>
    </cfRule>
    <cfRule type="cellIs" dxfId="186" priority="202" stopIfTrue="1" operator="equal">
      <formula>"ESPERA"</formula>
    </cfRule>
    <cfRule type="cellIs" dxfId="185" priority="203" stopIfTrue="1" operator="equal">
      <formula>"RECHAZADO"</formula>
    </cfRule>
  </conditionalFormatting>
  <conditionalFormatting sqref="AH16 X16:AC16">
    <cfRule type="cellIs" dxfId="184" priority="198" stopIfTrue="1" operator="equal">
      <formula>"APROBADO"</formula>
    </cfRule>
    <cfRule type="cellIs" dxfId="183" priority="199" stopIfTrue="1" operator="equal">
      <formula>"ESPERA"</formula>
    </cfRule>
    <cfRule type="cellIs" dxfId="182" priority="200" stopIfTrue="1" operator="equal">
      <formula>"RECHAZADO"</formula>
    </cfRule>
  </conditionalFormatting>
  <conditionalFormatting sqref="AF16">
    <cfRule type="cellIs" dxfId="181" priority="195" stopIfTrue="1" operator="equal">
      <formula>"APROBADO"</formula>
    </cfRule>
    <cfRule type="cellIs" dxfId="180" priority="196" stopIfTrue="1" operator="equal">
      <formula>"ESPERA"</formula>
    </cfRule>
    <cfRule type="cellIs" dxfId="179" priority="197" stopIfTrue="1" operator="equal">
      <formula>"RECHAZADO"</formula>
    </cfRule>
  </conditionalFormatting>
  <conditionalFormatting sqref="AE16">
    <cfRule type="cellIs" dxfId="178" priority="192" stopIfTrue="1" operator="equal">
      <formula>"APROBADO"</formula>
    </cfRule>
    <cfRule type="cellIs" dxfId="177" priority="193" stopIfTrue="1" operator="equal">
      <formula>"ESPERA"</formula>
    </cfRule>
    <cfRule type="cellIs" dxfId="176" priority="194" stopIfTrue="1" operator="equal">
      <formula>"RECHAZADO"</formula>
    </cfRule>
  </conditionalFormatting>
  <conditionalFormatting sqref="AD16">
    <cfRule type="cellIs" dxfId="175" priority="189" stopIfTrue="1" operator="equal">
      <formula>"APROBADO"</formula>
    </cfRule>
    <cfRule type="cellIs" dxfId="174" priority="190" stopIfTrue="1" operator="equal">
      <formula>"ESPERA"</formula>
    </cfRule>
    <cfRule type="cellIs" dxfId="173" priority="191" stopIfTrue="1" operator="equal">
      <formula>"RECHAZADO"</formula>
    </cfRule>
  </conditionalFormatting>
  <conditionalFormatting sqref="AG16">
    <cfRule type="cellIs" dxfId="172" priority="186" stopIfTrue="1" operator="equal">
      <formula>"APROBADO"</formula>
    </cfRule>
    <cfRule type="cellIs" dxfId="171" priority="187" stopIfTrue="1" operator="equal">
      <formula>"ESPERA"</formula>
    </cfRule>
    <cfRule type="cellIs" dxfId="170" priority="188" stopIfTrue="1" operator="equal">
      <formula>"RECHAZADO"</formula>
    </cfRule>
  </conditionalFormatting>
  <conditionalFormatting sqref="AH17 X17:AC17">
    <cfRule type="cellIs" dxfId="169" priority="183" stopIfTrue="1" operator="equal">
      <formula>"APROBADO"</formula>
    </cfRule>
    <cfRule type="cellIs" dxfId="168" priority="184" stopIfTrue="1" operator="equal">
      <formula>"ESPERA"</formula>
    </cfRule>
    <cfRule type="cellIs" dxfId="167" priority="185" stopIfTrue="1" operator="equal">
      <formula>"RECHAZADO"</formula>
    </cfRule>
  </conditionalFormatting>
  <conditionalFormatting sqref="AF17">
    <cfRule type="cellIs" dxfId="166" priority="180" stopIfTrue="1" operator="equal">
      <formula>"APROBADO"</formula>
    </cfRule>
    <cfRule type="cellIs" dxfId="165" priority="181" stopIfTrue="1" operator="equal">
      <formula>"ESPERA"</formula>
    </cfRule>
    <cfRule type="cellIs" dxfId="164" priority="182" stopIfTrue="1" operator="equal">
      <formula>"RECHAZADO"</formula>
    </cfRule>
  </conditionalFormatting>
  <conditionalFormatting sqref="AE17">
    <cfRule type="cellIs" dxfId="163" priority="177" stopIfTrue="1" operator="equal">
      <formula>"APROBADO"</formula>
    </cfRule>
    <cfRule type="cellIs" dxfId="162" priority="178" stopIfTrue="1" operator="equal">
      <formula>"ESPERA"</formula>
    </cfRule>
    <cfRule type="cellIs" dxfId="161" priority="179" stopIfTrue="1" operator="equal">
      <formula>"RECHAZADO"</formula>
    </cfRule>
  </conditionalFormatting>
  <conditionalFormatting sqref="AD17">
    <cfRule type="cellIs" dxfId="160" priority="174" stopIfTrue="1" operator="equal">
      <formula>"APROBADO"</formula>
    </cfRule>
    <cfRule type="cellIs" dxfId="159" priority="175" stopIfTrue="1" operator="equal">
      <formula>"ESPERA"</formula>
    </cfRule>
    <cfRule type="cellIs" dxfId="158" priority="176" stopIfTrue="1" operator="equal">
      <formula>"RECHAZADO"</formula>
    </cfRule>
  </conditionalFormatting>
  <conditionalFormatting sqref="AG17">
    <cfRule type="cellIs" dxfId="157" priority="171" stopIfTrue="1" operator="equal">
      <formula>"APROBADO"</formula>
    </cfRule>
    <cfRule type="cellIs" dxfId="156" priority="172" stopIfTrue="1" operator="equal">
      <formula>"ESPERA"</formula>
    </cfRule>
    <cfRule type="cellIs" dxfId="155" priority="173" stopIfTrue="1" operator="equal">
      <formula>"RECHAZADO"</formula>
    </cfRule>
  </conditionalFormatting>
  <conditionalFormatting sqref="I17">
    <cfRule type="cellIs" dxfId="154" priority="168" stopIfTrue="1" operator="equal">
      <formula>"APROBADO"</formula>
    </cfRule>
    <cfRule type="cellIs" dxfId="153" priority="169" stopIfTrue="1" operator="equal">
      <formula>"ESPERA"</formula>
    </cfRule>
    <cfRule type="cellIs" dxfId="152" priority="170" stopIfTrue="1" operator="equal">
      <formula>"RECHAZADO"</formula>
    </cfRule>
  </conditionalFormatting>
  <conditionalFormatting sqref="X18:AG18">
    <cfRule type="cellIs" dxfId="151" priority="165" stopIfTrue="1" operator="equal">
      <formula>"APROBADO"</formula>
    </cfRule>
    <cfRule type="cellIs" dxfId="150" priority="166" stopIfTrue="1" operator="equal">
      <formula>"ESPERA"</formula>
    </cfRule>
    <cfRule type="cellIs" dxfId="149" priority="167" stopIfTrue="1" operator="equal">
      <formula>"RECHAZADO"</formula>
    </cfRule>
  </conditionalFormatting>
  <conditionalFormatting sqref="AH18">
    <cfRule type="cellIs" dxfId="148" priority="162" stopIfTrue="1" operator="equal">
      <formula>"APROBADO"</formula>
    </cfRule>
    <cfRule type="cellIs" dxfId="147" priority="163" stopIfTrue="1" operator="equal">
      <formula>"ESPERA"</formula>
    </cfRule>
    <cfRule type="cellIs" dxfId="146" priority="164" stopIfTrue="1" operator="equal">
      <formula>"RECHAZADO"</formula>
    </cfRule>
  </conditionalFormatting>
  <conditionalFormatting sqref="E19:F19">
    <cfRule type="expression" dxfId="145" priority="158" stopIfTrue="1">
      <formula>"SEVERSTAL"</formula>
    </cfRule>
  </conditionalFormatting>
  <conditionalFormatting sqref="H19 X19:AH19 K19:K21">
    <cfRule type="cellIs" dxfId="144" priority="159" stopIfTrue="1" operator="equal">
      <formula>"APROBADO"</formula>
    </cfRule>
    <cfRule type="cellIs" dxfId="143" priority="160" stopIfTrue="1" operator="equal">
      <formula>"ESPERA"</formula>
    </cfRule>
    <cfRule type="cellIs" dxfId="142" priority="161" stopIfTrue="1" operator="equal">
      <formula>"RECHAZADO"</formula>
    </cfRule>
  </conditionalFormatting>
  <conditionalFormatting sqref="I19">
    <cfRule type="cellIs" dxfId="141" priority="155" stopIfTrue="1" operator="equal">
      <formula>"APROBADO"</formula>
    </cfRule>
    <cfRule type="cellIs" dxfId="140" priority="156" stopIfTrue="1" operator="equal">
      <formula>"ESPERA"</formula>
    </cfRule>
    <cfRule type="cellIs" dxfId="139" priority="157" stopIfTrue="1" operator="equal">
      <formula>"RECHAZADO"</formula>
    </cfRule>
  </conditionalFormatting>
  <conditionalFormatting sqref="E20:F24">
    <cfRule type="expression" dxfId="138" priority="151" stopIfTrue="1">
      <formula>"SEVERSTAL"</formula>
    </cfRule>
  </conditionalFormatting>
  <conditionalFormatting sqref="H20 AH20 X20:AC23 X24">
    <cfRule type="cellIs" dxfId="137" priority="152" stopIfTrue="1" operator="equal">
      <formula>"APROBADO"</formula>
    </cfRule>
    <cfRule type="cellIs" dxfId="136" priority="153" stopIfTrue="1" operator="equal">
      <formula>"ESPERA"</formula>
    </cfRule>
    <cfRule type="cellIs" dxfId="135" priority="154" stopIfTrue="1" operator="equal">
      <formula>"RECHAZADO"</formula>
    </cfRule>
  </conditionalFormatting>
  <conditionalFormatting sqref="I20">
    <cfRule type="cellIs" dxfId="134" priority="148" stopIfTrue="1" operator="equal">
      <formula>"APROBADO"</formula>
    </cfRule>
    <cfRule type="cellIs" dxfId="133" priority="149" stopIfTrue="1" operator="equal">
      <formula>"ESPERA"</formula>
    </cfRule>
    <cfRule type="cellIs" dxfId="132" priority="150" stopIfTrue="1" operator="equal">
      <formula>"RECHAZADO"</formula>
    </cfRule>
  </conditionalFormatting>
  <conditionalFormatting sqref="AD20:AG20">
    <cfRule type="cellIs" dxfId="131" priority="142" stopIfTrue="1" operator="equal">
      <formula>"APROBADO"</formula>
    </cfRule>
    <cfRule type="cellIs" dxfId="130" priority="143" stopIfTrue="1" operator="equal">
      <formula>"ESPERA"</formula>
    </cfRule>
    <cfRule type="cellIs" dxfId="129" priority="144" stopIfTrue="1" operator="equal">
      <formula>"RECHAZADO"</formula>
    </cfRule>
  </conditionalFormatting>
  <conditionalFormatting sqref="AH21">
    <cfRule type="cellIs" dxfId="128" priority="139" stopIfTrue="1" operator="equal">
      <formula>"APROBADO"</formula>
    </cfRule>
    <cfRule type="cellIs" dxfId="127" priority="140" stopIfTrue="1" operator="equal">
      <formula>"ESPERA"</formula>
    </cfRule>
    <cfRule type="cellIs" dxfId="126" priority="141" stopIfTrue="1" operator="equal">
      <formula>"RECHAZADO"</formula>
    </cfRule>
  </conditionalFormatting>
  <conditionalFormatting sqref="AD21:AG21">
    <cfRule type="cellIs" dxfId="125" priority="136" stopIfTrue="1" operator="equal">
      <formula>"APROBADO"</formula>
    </cfRule>
    <cfRule type="cellIs" dxfId="124" priority="137" stopIfTrue="1" operator="equal">
      <formula>"ESPERA"</formula>
    </cfRule>
    <cfRule type="cellIs" dxfId="123" priority="138" stopIfTrue="1" operator="equal">
      <formula>"RECHAZADO"</formula>
    </cfRule>
  </conditionalFormatting>
  <conditionalFormatting sqref="AH22">
    <cfRule type="cellIs" dxfId="122" priority="133" stopIfTrue="1" operator="equal">
      <formula>"APROBADO"</formula>
    </cfRule>
    <cfRule type="cellIs" dxfId="121" priority="134" stopIfTrue="1" operator="equal">
      <formula>"ESPERA"</formula>
    </cfRule>
    <cfRule type="cellIs" dxfId="120" priority="135" stopIfTrue="1" operator="equal">
      <formula>"RECHAZADO"</formula>
    </cfRule>
  </conditionalFormatting>
  <conditionalFormatting sqref="AD22:AG22">
    <cfRule type="cellIs" dxfId="119" priority="130" stopIfTrue="1" operator="equal">
      <formula>"APROBADO"</formula>
    </cfRule>
    <cfRule type="cellIs" dxfId="118" priority="131" stopIfTrue="1" operator="equal">
      <formula>"ESPERA"</formula>
    </cfRule>
    <cfRule type="cellIs" dxfId="117" priority="132" stopIfTrue="1" operator="equal">
      <formula>"RECHAZADO"</formula>
    </cfRule>
  </conditionalFormatting>
  <conditionalFormatting sqref="AH23">
    <cfRule type="cellIs" dxfId="116" priority="127" stopIfTrue="1" operator="equal">
      <formula>"APROBADO"</formula>
    </cfRule>
    <cfRule type="cellIs" dxfId="115" priority="128" stopIfTrue="1" operator="equal">
      <formula>"ESPERA"</formula>
    </cfRule>
    <cfRule type="cellIs" dxfId="114" priority="129" stopIfTrue="1" operator="equal">
      <formula>"RECHAZADO"</formula>
    </cfRule>
  </conditionalFormatting>
  <conditionalFormatting sqref="AD23:AG23">
    <cfRule type="cellIs" dxfId="113" priority="124" stopIfTrue="1" operator="equal">
      <formula>"APROBADO"</formula>
    </cfRule>
    <cfRule type="cellIs" dxfId="112" priority="125" stopIfTrue="1" operator="equal">
      <formula>"ESPERA"</formula>
    </cfRule>
    <cfRule type="cellIs" dxfId="111" priority="126" stopIfTrue="1" operator="equal">
      <formula>"RECHAZADO"</formula>
    </cfRule>
  </conditionalFormatting>
  <conditionalFormatting sqref="K22">
    <cfRule type="cellIs" dxfId="110" priority="118" stopIfTrue="1" operator="equal">
      <formula>"APROBADO"</formula>
    </cfRule>
    <cfRule type="cellIs" dxfId="109" priority="119" stopIfTrue="1" operator="equal">
      <formula>"ESPERA"</formula>
    </cfRule>
    <cfRule type="cellIs" dxfId="108" priority="120" stopIfTrue="1" operator="equal">
      <formula>"RECHAZADO"</formula>
    </cfRule>
  </conditionalFormatting>
  <conditionalFormatting sqref="K23:K24">
    <cfRule type="cellIs" dxfId="107" priority="115" stopIfTrue="1" operator="equal">
      <formula>"APROBADO"</formula>
    </cfRule>
    <cfRule type="cellIs" dxfId="106" priority="116" stopIfTrue="1" operator="equal">
      <formula>"ESPERA"</formula>
    </cfRule>
    <cfRule type="cellIs" dxfId="105" priority="117" stopIfTrue="1" operator="equal">
      <formula>"RECHAZADO"</formula>
    </cfRule>
  </conditionalFormatting>
  <conditionalFormatting sqref="Y24:AC24">
    <cfRule type="cellIs" dxfId="104" priority="112" stopIfTrue="1" operator="equal">
      <formula>"APROBADO"</formula>
    </cfRule>
    <cfRule type="cellIs" dxfId="103" priority="113" stopIfTrue="1" operator="equal">
      <formula>"ESPERA"</formula>
    </cfRule>
    <cfRule type="cellIs" dxfId="102" priority="114" stopIfTrue="1" operator="equal">
      <formula>"RECHAZADO"</formula>
    </cfRule>
  </conditionalFormatting>
  <conditionalFormatting sqref="AH24">
    <cfRule type="cellIs" dxfId="101" priority="109" stopIfTrue="1" operator="equal">
      <formula>"APROBADO"</formula>
    </cfRule>
    <cfRule type="cellIs" dxfId="100" priority="110" stopIfTrue="1" operator="equal">
      <formula>"ESPERA"</formula>
    </cfRule>
    <cfRule type="cellIs" dxfId="99" priority="111" stopIfTrue="1" operator="equal">
      <formula>"RECHAZADO"</formula>
    </cfRule>
  </conditionalFormatting>
  <conditionalFormatting sqref="AD24:AG24">
    <cfRule type="cellIs" dxfId="98" priority="106" stopIfTrue="1" operator="equal">
      <formula>"APROBADO"</formula>
    </cfRule>
    <cfRule type="cellIs" dxfId="97" priority="107" stopIfTrue="1" operator="equal">
      <formula>"ESPERA"</formula>
    </cfRule>
    <cfRule type="cellIs" dxfId="96" priority="108" stopIfTrue="1" operator="equal">
      <formula>"RECHAZADO"</formula>
    </cfRule>
  </conditionalFormatting>
  <conditionalFormatting sqref="H25:I25">
    <cfRule type="cellIs" dxfId="95" priority="103" stopIfTrue="1" operator="equal">
      <formula>"APROBADO"</formula>
    </cfRule>
    <cfRule type="cellIs" dxfId="94" priority="104" stopIfTrue="1" operator="equal">
      <formula>"ESPERA"</formula>
    </cfRule>
    <cfRule type="cellIs" dxfId="93" priority="105" stopIfTrue="1" operator="equal">
      <formula>"RECHAZADO"</formula>
    </cfRule>
  </conditionalFormatting>
  <conditionalFormatting sqref="E25:F25">
    <cfRule type="expression" dxfId="92" priority="99" stopIfTrue="1">
      <formula>"SEVERSTAL"</formula>
    </cfRule>
  </conditionalFormatting>
  <conditionalFormatting sqref="X25">
    <cfRule type="cellIs" dxfId="91" priority="100" stopIfTrue="1" operator="equal">
      <formula>"APROBADO"</formula>
    </cfRule>
    <cfRule type="cellIs" dxfId="90" priority="101" stopIfTrue="1" operator="equal">
      <formula>"ESPERA"</formula>
    </cfRule>
    <cfRule type="cellIs" dxfId="89" priority="102" stopIfTrue="1" operator="equal">
      <formula>"RECHAZADO"</formula>
    </cfRule>
  </conditionalFormatting>
  <conditionalFormatting sqref="K25">
    <cfRule type="cellIs" dxfId="88" priority="96" stopIfTrue="1" operator="equal">
      <formula>"APROBADO"</formula>
    </cfRule>
    <cfRule type="cellIs" dxfId="87" priority="97" stopIfTrue="1" operator="equal">
      <formula>"ESPERA"</formula>
    </cfRule>
    <cfRule type="cellIs" dxfId="86" priority="98" stopIfTrue="1" operator="equal">
      <formula>"RECHAZADO"</formula>
    </cfRule>
  </conditionalFormatting>
  <conditionalFormatting sqref="Y25:AC25">
    <cfRule type="cellIs" dxfId="85" priority="93" stopIfTrue="1" operator="equal">
      <formula>"APROBADO"</formula>
    </cfRule>
    <cfRule type="cellIs" dxfId="84" priority="94" stopIfTrue="1" operator="equal">
      <formula>"ESPERA"</formula>
    </cfRule>
    <cfRule type="cellIs" dxfId="83" priority="95" stopIfTrue="1" operator="equal">
      <formula>"RECHAZADO"</formula>
    </cfRule>
  </conditionalFormatting>
  <conditionalFormatting sqref="AH25">
    <cfRule type="cellIs" dxfId="82" priority="90" stopIfTrue="1" operator="equal">
      <formula>"APROBADO"</formula>
    </cfRule>
    <cfRule type="cellIs" dxfId="81" priority="91" stopIfTrue="1" operator="equal">
      <formula>"ESPERA"</formula>
    </cfRule>
    <cfRule type="cellIs" dxfId="80" priority="92" stopIfTrue="1" operator="equal">
      <formula>"RECHAZADO"</formula>
    </cfRule>
  </conditionalFormatting>
  <conditionalFormatting sqref="AD25:AG25">
    <cfRule type="cellIs" dxfId="79" priority="87" stopIfTrue="1" operator="equal">
      <formula>"APROBADO"</formula>
    </cfRule>
    <cfRule type="cellIs" dxfId="78" priority="88" stopIfTrue="1" operator="equal">
      <formula>"ESPERA"</formula>
    </cfRule>
    <cfRule type="cellIs" dxfId="77" priority="89" stopIfTrue="1" operator="equal">
      <formula>"RECHAZADO"</formula>
    </cfRule>
  </conditionalFormatting>
  <conditionalFormatting sqref="F26:F27">
    <cfRule type="expression" dxfId="76" priority="67" stopIfTrue="1">
      <formula>"SEVERSTAL"</formula>
    </cfRule>
  </conditionalFormatting>
  <conditionalFormatting sqref="E26:E27">
    <cfRule type="expression" dxfId="75" priority="66" stopIfTrue="1">
      <formula>"SEVERSTAL"</formula>
    </cfRule>
  </conditionalFormatting>
  <conditionalFormatting sqref="AD26:AD27 AF26:AG27">
    <cfRule type="cellIs" dxfId="74" priority="51" stopIfTrue="1" operator="equal">
      <formula>"APROBADO"</formula>
    </cfRule>
    <cfRule type="cellIs" dxfId="73" priority="52" stopIfTrue="1" operator="equal">
      <formula>"ESPERA"</formula>
    </cfRule>
    <cfRule type="cellIs" dxfId="72" priority="53" stopIfTrue="1" operator="equal">
      <formula>"RECHAZADO"</formula>
    </cfRule>
  </conditionalFormatting>
  <conditionalFormatting sqref="K26:K27">
    <cfRule type="cellIs" dxfId="71" priority="48" stopIfTrue="1" operator="equal">
      <formula>"APROBADO"</formula>
    </cfRule>
    <cfRule type="cellIs" dxfId="70" priority="49" stopIfTrue="1" operator="equal">
      <formula>"ESPERA"</formula>
    </cfRule>
    <cfRule type="cellIs" dxfId="69" priority="50" stopIfTrue="1" operator="equal">
      <formula>"RECHAZADO"</formula>
    </cfRule>
  </conditionalFormatting>
  <conditionalFormatting sqref="AE26:AE27">
    <cfRule type="cellIs" dxfId="68" priority="45" stopIfTrue="1" operator="equal">
      <formula>"APROBADO"</formula>
    </cfRule>
    <cfRule type="cellIs" dxfId="67" priority="46" stopIfTrue="1" operator="equal">
      <formula>"ESPERA"</formula>
    </cfRule>
    <cfRule type="cellIs" dxfId="66" priority="47" stopIfTrue="1" operator="equal">
      <formula>"RECHAZADO"</formula>
    </cfRule>
  </conditionalFormatting>
  <conditionalFormatting sqref="AH26:AH27">
    <cfRule type="cellIs" dxfId="65" priority="42" stopIfTrue="1" operator="equal">
      <formula>"APROBADO"</formula>
    </cfRule>
    <cfRule type="cellIs" dxfId="64" priority="43" stopIfTrue="1" operator="equal">
      <formula>"ESPERA"</formula>
    </cfRule>
    <cfRule type="cellIs" dxfId="63" priority="44" stopIfTrue="1" operator="equal">
      <formula>"RECHAZADO"</formula>
    </cfRule>
  </conditionalFormatting>
  <conditionalFormatting sqref="X26:X27">
    <cfRule type="cellIs" dxfId="62" priority="39" stopIfTrue="1" operator="equal">
      <formula>"APROBADO"</formula>
    </cfRule>
    <cfRule type="cellIs" dxfId="61" priority="40" stopIfTrue="1" operator="equal">
      <formula>"ESPERA"</formula>
    </cfRule>
    <cfRule type="cellIs" dxfId="60" priority="41" stopIfTrue="1" operator="equal">
      <formula>"RECHAZADO"</formula>
    </cfRule>
  </conditionalFormatting>
  <conditionalFormatting sqref="Y26:AC27">
    <cfRule type="cellIs" dxfId="59" priority="36" stopIfTrue="1" operator="equal">
      <formula>"APROBADO"</formula>
    </cfRule>
    <cfRule type="cellIs" dxfId="58" priority="37" stopIfTrue="1" operator="equal">
      <formula>"ESPERA"</formula>
    </cfRule>
    <cfRule type="cellIs" dxfId="57" priority="38" stopIfTrue="1" operator="equal">
      <formula>"RECHAZADO"</formula>
    </cfRule>
  </conditionalFormatting>
  <conditionalFormatting sqref="I26:I27">
    <cfRule type="cellIs" dxfId="56" priority="33" stopIfTrue="1" operator="equal">
      <formula>"APROBADO"</formula>
    </cfRule>
    <cfRule type="cellIs" dxfId="55" priority="34" stopIfTrue="1" operator="equal">
      <formula>"ESPERA"</formula>
    </cfRule>
    <cfRule type="cellIs" dxfId="54" priority="35" stopIfTrue="1" operator="equal">
      <formula>"RECHAZADO"</formula>
    </cfRule>
  </conditionalFormatting>
  <conditionalFormatting sqref="F28:F35">
    <cfRule type="expression" dxfId="53" priority="29" stopIfTrue="1">
      <formula>"SEVERSTAL"</formula>
    </cfRule>
  </conditionalFormatting>
  <conditionalFormatting sqref="E28:E35">
    <cfRule type="expression" dxfId="52" priority="28" stopIfTrue="1">
      <formula>"SEVERSTAL"</formula>
    </cfRule>
  </conditionalFormatting>
  <conditionalFormatting sqref="AD28:AD29 AF28:AG29">
    <cfRule type="cellIs" dxfId="51" priority="25" stopIfTrue="1" operator="equal">
      <formula>"APROBADO"</formula>
    </cfRule>
    <cfRule type="cellIs" dxfId="50" priority="26" stopIfTrue="1" operator="equal">
      <formula>"ESPERA"</formula>
    </cfRule>
    <cfRule type="cellIs" dxfId="49" priority="27" stopIfTrue="1" operator="equal">
      <formula>"RECHAZADO"</formula>
    </cfRule>
  </conditionalFormatting>
  <conditionalFormatting sqref="K28:K29">
    <cfRule type="cellIs" dxfId="48" priority="22" stopIfTrue="1" operator="equal">
      <formula>"APROBADO"</formula>
    </cfRule>
    <cfRule type="cellIs" dxfId="47" priority="23" stopIfTrue="1" operator="equal">
      <formula>"ESPERA"</formula>
    </cfRule>
    <cfRule type="cellIs" dxfId="46" priority="24" stopIfTrue="1" operator="equal">
      <formula>"RECHAZADO"</formula>
    </cfRule>
  </conditionalFormatting>
  <conditionalFormatting sqref="AE28:AE29">
    <cfRule type="cellIs" dxfId="45" priority="19" stopIfTrue="1" operator="equal">
      <formula>"APROBADO"</formula>
    </cfRule>
    <cfRule type="cellIs" dxfId="44" priority="20" stopIfTrue="1" operator="equal">
      <formula>"ESPERA"</formula>
    </cfRule>
    <cfRule type="cellIs" dxfId="43" priority="21" stopIfTrue="1" operator="equal">
      <formula>"RECHAZADO"</formula>
    </cfRule>
  </conditionalFormatting>
  <conditionalFormatting sqref="AH28:AH29">
    <cfRule type="cellIs" dxfId="42" priority="16" stopIfTrue="1" operator="equal">
      <formula>"APROBADO"</formula>
    </cfRule>
    <cfRule type="cellIs" dxfId="41" priority="17" stopIfTrue="1" operator="equal">
      <formula>"ESPERA"</formula>
    </cfRule>
    <cfRule type="cellIs" dxfId="40" priority="18" stopIfTrue="1" operator="equal">
      <formula>"RECHAZADO"</formula>
    </cfRule>
  </conditionalFormatting>
  <conditionalFormatting sqref="X28:X29">
    <cfRule type="cellIs" dxfId="39" priority="13" stopIfTrue="1" operator="equal">
      <formula>"APROBADO"</formula>
    </cfRule>
    <cfRule type="cellIs" dxfId="38" priority="14" stopIfTrue="1" operator="equal">
      <formula>"ESPERA"</formula>
    </cfRule>
    <cfRule type="cellIs" dxfId="37" priority="15" stopIfTrue="1" operator="equal">
      <formula>"RECHAZADO"</formula>
    </cfRule>
  </conditionalFormatting>
  <conditionalFormatting sqref="Y28:AC29">
    <cfRule type="cellIs" dxfId="36" priority="10" stopIfTrue="1" operator="equal">
      <formula>"APROBADO"</formula>
    </cfRule>
    <cfRule type="cellIs" dxfId="35" priority="11" stopIfTrue="1" operator="equal">
      <formula>"ESPERA"</formula>
    </cfRule>
    <cfRule type="cellIs" dxfId="34" priority="12" stopIfTrue="1" operator="equal">
      <formula>"RECHAZADO"</formula>
    </cfRule>
  </conditionalFormatting>
  <conditionalFormatting sqref="I28:I29">
    <cfRule type="cellIs" dxfId="33" priority="7" stopIfTrue="1" operator="equal">
      <formula>"APROBADO"</formula>
    </cfRule>
    <cfRule type="cellIs" dxfId="32" priority="8" stopIfTrue="1" operator="equal">
      <formula>"ESPERA"</formula>
    </cfRule>
    <cfRule type="cellIs" dxfId="31" priority="9" stopIfTrue="1" operator="equal">
      <formula>"RECHAZADO"</formula>
    </cfRule>
  </conditionalFormatting>
  <conditionalFormatting sqref="X30:AG35">
    <cfRule type="cellIs" dxfId="30" priority="4" stopIfTrue="1" operator="equal">
      <formula>"APROBADO"</formula>
    </cfRule>
    <cfRule type="cellIs" dxfId="29" priority="5" stopIfTrue="1" operator="equal">
      <formula>"ESPERA"</formula>
    </cfRule>
    <cfRule type="cellIs" dxfId="28" priority="6" stopIfTrue="1" operator="equal">
      <formula>"RECHAZADO"</formula>
    </cfRule>
  </conditionalFormatting>
  <conditionalFormatting sqref="AH30:AH35">
    <cfRule type="cellIs" dxfId="27" priority="1" stopIfTrue="1" operator="equal">
      <formula>"APROBADO"</formula>
    </cfRule>
    <cfRule type="cellIs" dxfId="26" priority="2" stopIfTrue="1" operator="equal">
      <formula>"ESPERA"</formula>
    </cfRule>
    <cfRule type="cellIs" dxfId="25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73"/>
  <sheetViews>
    <sheetView showGridLines="0" zoomScale="90" zoomScaleNormal="90" workbookViewId="0">
      <pane xSplit="7" ySplit="5" topLeftCell="H18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29" customWidth="1"/>
    <col min="2" max="2" width="7.125" style="29" customWidth="1"/>
    <col min="3" max="4" width="12.875" style="29" customWidth="1"/>
    <col min="5" max="5" width="9.875" style="38" customWidth="1"/>
    <col min="6" max="6" width="8" style="29" customWidth="1"/>
    <col min="7" max="7" width="11.625" style="29" customWidth="1"/>
    <col min="8" max="8" width="12.625" style="122" customWidth="1"/>
    <col min="9" max="22" width="6.625" style="29" customWidth="1"/>
    <col min="23" max="23" width="10.125" style="29" customWidth="1"/>
    <col min="24" max="24" width="11.625" style="29" hidden="1" customWidth="1"/>
    <col min="25" max="31" width="8.625" style="29" customWidth="1"/>
    <col min="32" max="32" width="8.625" customWidth="1"/>
    <col min="33" max="33" width="8.625" style="38" customWidth="1"/>
    <col min="34" max="16384" width="11" style="29"/>
  </cols>
  <sheetData>
    <row r="1" spans="1:33" ht="27" customHeight="1">
      <c r="A1" s="28"/>
      <c r="B1" s="28"/>
      <c r="C1" s="28"/>
      <c r="D1" s="28"/>
      <c r="E1" s="28"/>
      <c r="F1" s="28"/>
      <c r="G1" s="28" t="s">
        <v>53</v>
      </c>
      <c r="H1" s="119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9"/>
      <c r="AG1" s="28"/>
    </row>
    <row r="2" spans="1:33" ht="30.75">
      <c r="B2" s="30"/>
      <c r="C2" s="30"/>
      <c r="D2" s="30"/>
      <c r="E2" s="28"/>
      <c r="F2" s="31"/>
      <c r="G2" s="31"/>
      <c r="H2" s="120"/>
      <c r="I2" s="32"/>
      <c r="J2" s="33" t="s">
        <v>99</v>
      </c>
      <c r="K2" s="33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28"/>
      <c r="X2" s="28"/>
      <c r="Y2" s="28"/>
      <c r="Z2" s="28"/>
      <c r="AA2" s="141"/>
      <c r="AB2" s="142"/>
      <c r="AC2" s="142"/>
      <c r="AD2" s="143" t="s">
        <v>92</v>
      </c>
      <c r="AE2" s="143" t="s">
        <v>93</v>
      </c>
      <c r="AF2" s="143" t="s">
        <v>94</v>
      </c>
      <c r="AG2" s="144" t="s">
        <v>95</v>
      </c>
    </row>
    <row r="3" spans="1:33" ht="26.25" customHeight="1">
      <c r="E3" s="29"/>
      <c r="F3" s="34"/>
      <c r="I3" s="216" t="s">
        <v>54</v>
      </c>
      <c r="J3" s="216"/>
      <c r="K3" s="216"/>
      <c r="L3" s="216"/>
      <c r="M3" s="216"/>
      <c r="N3" s="216"/>
      <c r="O3" s="216"/>
      <c r="P3" s="215" t="s">
        <v>55</v>
      </c>
      <c r="Q3" s="215"/>
      <c r="R3" s="215"/>
      <c r="S3" s="215"/>
      <c r="T3" s="215"/>
      <c r="U3" s="215"/>
      <c r="V3" s="111"/>
      <c r="W3" s="28"/>
      <c r="X3" s="35"/>
      <c r="Y3" s="28"/>
      <c r="Z3" s="28"/>
      <c r="AA3" s="145"/>
      <c r="AB3" s="145"/>
      <c r="AC3" s="146" t="s">
        <v>96</v>
      </c>
      <c r="AD3" s="147">
        <v>217</v>
      </c>
      <c r="AE3" s="148">
        <f>22*AD3/60</f>
        <v>79.566666666666663</v>
      </c>
      <c r="AF3" s="148">
        <f>3600/AD3</f>
        <v>16.589861751152075</v>
      </c>
      <c r="AG3" s="149">
        <f>AF3*8</f>
        <v>132.7188940092166</v>
      </c>
    </row>
    <row r="4" spans="1:33" ht="21" customHeight="1">
      <c r="A4" s="131"/>
      <c r="E4" s="29"/>
      <c r="F4" s="132"/>
      <c r="G4" s="133"/>
      <c r="H4" s="121"/>
      <c r="I4" s="218" t="s">
        <v>8</v>
      </c>
      <c r="J4" s="219"/>
      <c r="K4" s="217" t="s">
        <v>9</v>
      </c>
      <c r="L4" s="218"/>
      <c r="M4" s="218"/>
      <c r="N4" s="218"/>
      <c r="O4" s="219"/>
      <c r="P4" s="217" t="s">
        <v>13</v>
      </c>
      <c r="Q4" s="219"/>
      <c r="R4" s="217" t="s">
        <v>9</v>
      </c>
      <c r="S4" s="218"/>
      <c r="T4" s="218"/>
      <c r="U4" s="218"/>
      <c r="V4" s="136"/>
      <c r="W4" s="36"/>
      <c r="X4" s="35"/>
      <c r="Y4" s="28"/>
      <c r="Z4" s="28"/>
      <c r="AA4" s="145"/>
      <c r="AB4" s="145"/>
      <c r="AC4" s="146" t="s">
        <v>97</v>
      </c>
      <c r="AD4" s="147">
        <f>AD3</f>
        <v>217</v>
      </c>
      <c r="AE4" s="148">
        <f>34*AD4/60</f>
        <v>122.96666666666667</v>
      </c>
      <c r="AF4" s="148">
        <f>3600/AD4</f>
        <v>16.589861751152075</v>
      </c>
      <c r="AG4" s="149">
        <f>AF4*8</f>
        <v>132.7188940092166</v>
      </c>
    </row>
    <row r="5" spans="1:33" s="118" customFormat="1" ht="56.25" customHeight="1">
      <c r="A5" s="134" t="s">
        <v>1</v>
      </c>
      <c r="B5" s="134" t="s">
        <v>4</v>
      </c>
      <c r="C5" s="134" t="s">
        <v>56</v>
      </c>
      <c r="D5" s="134" t="s">
        <v>121</v>
      </c>
      <c r="E5" s="134" t="s">
        <v>3</v>
      </c>
      <c r="F5" s="134" t="s">
        <v>5</v>
      </c>
      <c r="G5" s="134" t="s">
        <v>12</v>
      </c>
      <c r="H5" s="135" t="s">
        <v>67</v>
      </c>
      <c r="I5" s="134" t="s">
        <v>7</v>
      </c>
      <c r="J5" s="134" t="s">
        <v>60</v>
      </c>
      <c r="K5" s="134" t="s">
        <v>59</v>
      </c>
      <c r="L5" s="134" t="s">
        <v>10</v>
      </c>
      <c r="M5" s="134" t="s">
        <v>11</v>
      </c>
      <c r="N5" s="134" t="s">
        <v>15</v>
      </c>
      <c r="O5" s="134" t="s">
        <v>61</v>
      </c>
      <c r="P5" s="134" t="s">
        <v>62</v>
      </c>
      <c r="Q5" s="134" t="s">
        <v>7</v>
      </c>
      <c r="R5" s="134" t="s">
        <v>10</v>
      </c>
      <c r="S5" s="134" t="s">
        <v>11</v>
      </c>
      <c r="T5" s="134" t="s">
        <v>15</v>
      </c>
      <c r="U5" s="138" t="s">
        <v>63</v>
      </c>
      <c r="V5" s="134" t="s">
        <v>59</v>
      </c>
      <c r="W5" s="134" t="s">
        <v>0</v>
      </c>
      <c r="X5" s="134" t="s">
        <v>6</v>
      </c>
      <c r="Y5" s="134" t="s">
        <v>89</v>
      </c>
      <c r="Z5" s="134" t="s">
        <v>58</v>
      </c>
      <c r="AA5" s="134" t="s">
        <v>84</v>
      </c>
      <c r="AB5" s="134" t="s">
        <v>66</v>
      </c>
      <c r="AC5" s="134" t="s">
        <v>57</v>
      </c>
      <c r="AD5" s="134" t="s">
        <v>90</v>
      </c>
      <c r="AE5" s="134" t="s">
        <v>51</v>
      </c>
      <c r="AF5" s="140" t="s">
        <v>68</v>
      </c>
      <c r="AG5" s="134" t="s">
        <v>52</v>
      </c>
    </row>
    <row r="6" spans="1:33">
      <c r="A6" s="155">
        <v>44176</v>
      </c>
      <c r="B6" s="39">
        <v>1</v>
      </c>
      <c r="C6" s="39">
        <v>3833085</v>
      </c>
      <c r="D6" s="39" t="s">
        <v>91</v>
      </c>
      <c r="E6" s="113">
        <v>91799</v>
      </c>
      <c r="F6" s="39">
        <v>12040</v>
      </c>
      <c r="G6" s="114">
        <v>18</v>
      </c>
      <c r="H6" s="123" t="s">
        <v>98</v>
      </c>
      <c r="I6" s="126">
        <v>0</v>
      </c>
      <c r="J6" s="127">
        <v>0</v>
      </c>
      <c r="K6" s="128">
        <v>0</v>
      </c>
      <c r="L6" s="129">
        <v>0</v>
      </c>
      <c r="M6" s="126">
        <v>0</v>
      </c>
      <c r="N6" s="130">
        <v>0</v>
      </c>
      <c r="O6" s="125">
        <v>0</v>
      </c>
      <c r="P6" s="129">
        <v>1</v>
      </c>
      <c r="Q6" s="125">
        <v>0</v>
      </c>
      <c r="R6" s="129">
        <v>0</v>
      </c>
      <c r="S6" s="126">
        <v>0</v>
      </c>
      <c r="T6" s="130">
        <v>0</v>
      </c>
      <c r="U6" s="126">
        <v>0</v>
      </c>
      <c r="V6" s="137">
        <v>0</v>
      </c>
      <c r="W6" s="37">
        <f t="shared" ref="W6:W49" si="0">+G6-(SUM(I6:N6,P6,Q6,R6,S6,T6,V6))</f>
        <v>17</v>
      </c>
      <c r="X6" s="115"/>
      <c r="Y6" s="115"/>
      <c r="Z6" s="115"/>
      <c r="AA6" s="115"/>
      <c r="AB6" s="115"/>
      <c r="AC6" s="115"/>
      <c r="AD6" s="139">
        <f t="shared" ref="AD6:AD41" si="1">W6-SUM(Y6:Z6)</f>
        <v>17</v>
      </c>
      <c r="AE6" s="116"/>
      <c r="AF6" s="117"/>
      <c r="AG6" s="113"/>
    </row>
    <row r="7" spans="1:33">
      <c r="A7" s="155">
        <v>44195</v>
      </c>
      <c r="B7" s="39">
        <v>1</v>
      </c>
      <c r="C7" s="23">
        <v>4255761</v>
      </c>
      <c r="D7" s="39" t="s">
        <v>91</v>
      </c>
      <c r="E7" s="113">
        <v>91810</v>
      </c>
      <c r="F7" s="39">
        <v>12145</v>
      </c>
      <c r="G7" s="114">
        <v>12</v>
      </c>
      <c r="H7" s="123" t="s">
        <v>100</v>
      </c>
      <c r="I7" s="126">
        <v>0</v>
      </c>
      <c r="J7" s="127">
        <v>0</v>
      </c>
      <c r="K7" s="128">
        <v>0</v>
      </c>
      <c r="L7" s="129">
        <v>0</v>
      </c>
      <c r="M7" s="126">
        <v>0</v>
      </c>
      <c r="N7" s="130">
        <v>0</v>
      </c>
      <c r="O7" s="125">
        <v>0</v>
      </c>
      <c r="P7" s="129">
        <v>0</v>
      </c>
      <c r="Q7" s="125">
        <v>0</v>
      </c>
      <c r="R7" s="129">
        <v>0</v>
      </c>
      <c r="S7" s="126">
        <v>0</v>
      </c>
      <c r="T7" s="130">
        <v>0</v>
      </c>
      <c r="U7" s="126">
        <v>0</v>
      </c>
      <c r="V7" s="137">
        <v>0</v>
      </c>
      <c r="W7" s="37">
        <f t="shared" si="0"/>
        <v>12</v>
      </c>
      <c r="X7" s="115"/>
      <c r="Y7" s="115"/>
      <c r="Z7" s="115"/>
      <c r="AA7" s="115"/>
      <c r="AB7" s="115"/>
      <c r="AC7" s="115"/>
      <c r="AD7" s="139">
        <f t="shared" si="1"/>
        <v>12</v>
      </c>
      <c r="AE7" s="116"/>
      <c r="AF7" s="117"/>
      <c r="AG7" s="113"/>
    </row>
    <row r="8" spans="1:33">
      <c r="A8" s="155">
        <v>44243</v>
      </c>
      <c r="B8" s="39">
        <v>1</v>
      </c>
      <c r="C8" s="39">
        <v>4352988</v>
      </c>
      <c r="D8" s="39" t="s">
        <v>91</v>
      </c>
      <c r="E8" s="113">
        <v>91858</v>
      </c>
      <c r="F8" s="39">
        <v>12361</v>
      </c>
      <c r="G8" s="114">
        <v>26</v>
      </c>
      <c r="H8" s="123" t="s">
        <v>101</v>
      </c>
      <c r="I8" s="126">
        <v>0</v>
      </c>
      <c r="J8" s="127">
        <v>1</v>
      </c>
      <c r="K8" s="128">
        <v>0</v>
      </c>
      <c r="L8" s="129">
        <v>0</v>
      </c>
      <c r="M8" s="126">
        <v>0</v>
      </c>
      <c r="N8" s="130">
        <v>0</v>
      </c>
      <c r="O8" s="125">
        <v>0</v>
      </c>
      <c r="P8" s="129">
        <v>1</v>
      </c>
      <c r="Q8" s="125">
        <v>0</v>
      </c>
      <c r="R8" s="129">
        <v>0</v>
      </c>
      <c r="S8" s="126">
        <v>0</v>
      </c>
      <c r="T8" s="130">
        <v>0</v>
      </c>
      <c r="U8" s="126">
        <v>0</v>
      </c>
      <c r="V8" s="137">
        <v>0</v>
      </c>
      <c r="W8" s="37">
        <f t="shared" si="0"/>
        <v>24</v>
      </c>
      <c r="X8" s="115"/>
      <c r="Y8" s="115"/>
      <c r="Z8" s="115"/>
      <c r="AA8" s="115"/>
      <c r="AB8" s="115"/>
      <c r="AC8" s="115"/>
      <c r="AD8" s="139">
        <f t="shared" si="1"/>
        <v>24</v>
      </c>
      <c r="AE8" s="116"/>
      <c r="AF8" s="117"/>
      <c r="AG8" s="113"/>
    </row>
    <row r="9" spans="1:33">
      <c r="A9" s="155">
        <v>44315</v>
      </c>
      <c r="B9" s="39">
        <v>1</v>
      </c>
      <c r="C9" s="39">
        <v>4352988</v>
      </c>
      <c r="D9" s="39" t="s">
        <v>91</v>
      </c>
      <c r="E9" s="113">
        <v>91913</v>
      </c>
      <c r="F9" s="39">
        <v>12799</v>
      </c>
      <c r="G9" s="114">
        <v>20</v>
      </c>
      <c r="H9" s="123" t="s">
        <v>102</v>
      </c>
      <c r="I9" s="126">
        <v>0</v>
      </c>
      <c r="J9" s="127">
        <v>0</v>
      </c>
      <c r="K9" s="128">
        <v>0</v>
      </c>
      <c r="L9" s="129">
        <v>0</v>
      </c>
      <c r="M9" s="126">
        <v>0</v>
      </c>
      <c r="N9" s="130">
        <v>0</v>
      </c>
      <c r="O9" s="125">
        <v>0</v>
      </c>
      <c r="P9" s="129">
        <v>0</v>
      </c>
      <c r="Q9" s="125">
        <v>0</v>
      </c>
      <c r="R9" s="129">
        <v>0</v>
      </c>
      <c r="S9" s="126">
        <v>0</v>
      </c>
      <c r="T9" s="130">
        <v>0</v>
      </c>
      <c r="U9" s="126">
        <v>0</v>
      </c>
      <c r="V9" s="137">
        <v>0</v>
      </c>
      <c r="W9" s="37">
        <f t="shared" si="0"/>
        <v>20</v>
      </c>
      <c r="X9" s="115"/>
      <c r="Y9" s="115"/>
      <c r="Z9" s="115"/>
      <c r="AA9" s="115"/>
      <c r="AB9" s="115"/>
      <c r="AC9" s="115"/>
      <c r="AD9" s="139">
        <f t="shared" si="1"/>
        <v>20</v>
      </c>
      <c r="AE9" s="116"/>
      <c r="AF9" s="117"/>
      <c r="AG9" s="113"/>
    </row>
    <row r="10" spans="1:33">
      <c r="A10" s="155">
        <v>44378</v>
      </c>
      <c r="B10" s="39">
        <v>3</v>
      </c>
      <c r="C10" s="39">
        <v>4352988</v>
      </c>
      <c r="D10" s="39" t="s">
        <v>91</v>
      </c>
      <c r="E10" s="113">
        <v>91913</v>
      </c>
      <c r="F10" s="39">
        <v>13243</v>
      </c>
      <c r="G10" s="114">
        <v>20</v>
      </c>
      <c r="H10" s="123" t="s">
        <v>103</v>
      </c>
      <c r="I10" s="126">
        <v>0</v>
      </c>
      <c r="J10" s="127">
        <v>0</v>
      </c>
      <c r="K10" s="128">
        <v>0</v>
      </c>
      <c r="L10" s="129">
        <v>0</v>
      </c>
      <c r="M10" s="126">
        <v>0</v>
      </c>
      <c r="N10" s="130">
        <v>0</v>
      </c>
      <c r="O10" s="125">
        <v>0</v>
      </c>
      <c r="P10" s="129">
        <v>0</v>
      </c>
      <c r="Q10" s="125">
        <v>0</v>
      </c>
      <c r="R10" s="129">
        <v>0</v>
      </c>
      <c r="S10" s="126">
        <v>0</v>
      </c>
      <c r="T10" s="130">
        <v>0</v>
      </c>
      <c r="U10" s="126">
        <v>0</v>
      </c>
      <c r="V10" s="137">
        <v>0</v>
      </c>
      <c r="W10" s="37">
        <f t="shared" si="0"/>
        <v>20</v>
      </c>
      <c r="X10" s="115"/>
      <c r="Y10" s="115"/>
      <c r="Z10" s="115"/>
      <c r="AA10" s="115"/>
      <c r="AB10" s="115"/>
      <c r="AC10" s="115"/>
      <c r="AD10" s="139">
        <f t="shared" si="1"/>
        <v>20</v>
      </c>
      <c r="AE10" s="116"/>
      <c r="AF10" s="117"/>
      <c r="AG10" s="113"/>
    </row>
    <row r="11" spans="1:33">
      <c r="A11" s="155">
        <v>44411</v>
      </c>
      <c r="B11" s="39">
        <v>2</v>
      </c>
      <c r="C11" s="39">
        <v>4352988</v>
      </c>
      <c r="D11" s="39" t="s">
        <v>91</v>
      </c>
      <c r="E11" s="113">
        <v>92019</v>
      </c>
      <c r="F11" s="39">
        <v>13472</v>
      </c>
      <c r="G11" s="114">
        <v>40</v>
      </c>
      <c r="H11" s="123" t="s">
        <v>104</v>
      </c>
      <c r="I11" s="126">
        <v>0</v>
      </c>
      <c r="J11" s="127">
        <v>0</v>
      </c>
      <c r="K11" s="128">
        <v>0</v>
      </c>
      <c r="L11" s="129">
        <v>0</v>
      </c>
      <c r="M11" s="126">
        <v>0</v>
      </c>
      <c r="N11" s="130">
        <v>0</v>
      </c>
      <c r="O11" s="125">
        <v>0</v>
      </c>
      <c r="P11" s="129">
        <v>0</v>
      </c>
      <c r="Q11" s="125">
        <v>0</v>
      </c>
      <c r="R11" s="129">
        <v>0</v>
      </c>
      <c r="S11" s="126">
        <v>0</v>
      </c>
      <c r="T11" s="130">
        <v>0</v>
      </c>
      <c r="U11" s="126">
        <v>0</v>
      </c>
      <c r="V11" s="137">
        <v>0</v>
      </c>
      <c r="W11" s="37">
        <f t="shared" si="0"/>
        <v>40</v>
      </c>
      <c r="X11" s="115"/>
      <c r="Y11" s="115"/>
      <c r="Z11" s="115"/>
      <c r="AA11" s="115"/>
      <c r="AB11" s="115"/>
      <c r="AC11" s="115"/>
      <c r="AD11" s="139">
        <f t="shared" si="1"/>
        <v>40</v>
      </c>
      <c r="AE11" s="116"/>
      <c r="AF11" s="117"/>
      <c r="AG11" s="113"/>
    </row>
    <row r="12" spans="1:33">
      <c r="A12" s="155">
        <v>44497</v>
      </c>
      <c r="B12" s="39">
        <v>1</v>
      </c>
      <c r="C12" s="39">
        <v>4352988</v>
      </c>
      <c r="D12" s="39" t="s">
        <v>91</v>
      </c>
      <c r="E12" s="113">
        <v>92019</v>
      </c>
      <c r="F12" s="39">
        <v>14158</v>
      </c>
      <c r="G12" s="114">
        <v>11</v>
      </c>
      <c r="H12" s="123" t="s">
        <v>105</v>
      </c>
      <c r="I12" s="126">
        <v>0</v>
      </c>
      <c r="J12" s="127">
        <v>0</v>
      </c>
      <c r="K12" s="128">
        <v>0</v>
      </c>
      <c r="L12" s="129">
        <v>0</v>
      </c>
      <c r="M12" s="126">
        <v>0</v>
      </c>
      <c r="N12" s="130">
        <v>0</v>
      </c>
      <c r="O12" s="125">
        <v>0</v>
      </c>
      <c r="P12" s="129">
        <v>0</v>
      </c>
      <c r="Q12" s="125">
        <v>0</v>
      </c>
      <c r="R12" s="129">
        <v>0</v>
      </c>
      <c r="S12" s="126">
        <v>0</v>
      </c>
      <c r="T12" s="130">
        <v>0</v>
      </c>
      <c r="U12" s="126">
        <v>0</v>
      </c>
      <c r="V12" s="137">
        <v>0</v>
      </c>
      <c r="W12" s="37">
        <f t="shared" si="0"/>
        <v>11</v>
      </c>
      <c r="X12" s="115"/>
      <c r="Y12" s="115"/>
      <c r="Z12" s="115"/>
      <c r="AA12" s="115"/>
      <c r="AB12" s="115"/>
      <c r="AC12" s="115"/>
      <c r="AD12" s="139">
        <f t="shared" si="1"/>
        <v>11</v>
      </c>
      <c r="AE12" s="116"/>
      <c r="AF12" s="117"/>
      <c r="AG12" s="113"/>
    </row>
    <row r="13" spans="1:33">
      <c r="A13" s="155">
        <v>44497</v>
      </c>
      <c r="B13" s="39">
        <v>1</v>
      </c>
      <c r="C13" s="39">
        <v>4352988</v>
      </c>
      <c r="D13" s="39" t="s">
        <v>91</v>
      </c>
      <c r="E13" s="113">
        <v>92210</v>
      </c>
      <c r="F13" s="39">
        <v>14159</v>
      </c>
      <c r="G13" s="114">
        <v>23</v>
      </c>
      <c r="H13" s="123" t="s">
        <v>106</v>
      </c>
      <c r="I13" s="126">
        <v>0</v>
      </c>
      <c r="J13" s="127">
        <v>0</v>
      </c>
      <c r="K13" s="128">
        <v>0</v>
      </c>
      <c r="L13" s="129">
        <v>0</v>
      </c>
      <c r="M13" s="126">
        <v>0</v>
      </c>
      <c r="N13" s="130">
        <v>0</v>
      </c>
      <c r="O13" s="125">
        <v>0</v>
      </c>
      <c r="P13" s="129">
        <v>0</v>
      </c>
      <c r="Q13" s="125">
        <v>0</v>
      </c>
      <c r="R13" s="129">
        <v>0</v>
      </c>
      <c r="S13" s="126">
        <v>0</v>
      </c>
      <c r="T13" s="130">
        <v>0</v>
      </c>
      <c r="U13" s="126">
        <v>0</v>
      </c>
      <c r="V13" s="137">
        <v>0</v>
      </c>
      <c r="W13" s="37">
        <f t="shared" si="0"/>
        <v>23</v>
      </c>
      <c r="X13" s="115"/>
      <c r="Y13" s="115"/>
      <c r="Z13" s="115"/>
      <c r="AA13" s="115"/>
      <c r="AB13" s="115"/>
      <c r="AC13" s="115"/>
      <c r="AD13" s="139">
        <f t="shared" si="1"/>
        <v>23</v>
      </c>
      <c r="AE13" s="116"/>
      <c r="AF13" s="117"/>
      <c r="AG13" s="113"/>
    </row>
    <row r="14" spans="1:33">
      <c r="A14" s="155">
        <v>44532</v>
      </c>
      <c r="B14" s="39">
        <v>1</v>
      </c>
      <c r="C14" s="39">
        <v>4255769</v>
      </c>
      <c r="D14" s="39" t="s">
        <v>91</v>
      </c>
      <c r="E14" s="113">
        <v>92209</v>
      </c>
      <c r="F14" s="39">
        <v>14465</v>
      </c>
      <c r="G14" s="114">
        <v>4</v>
      </c>
      <c r="H14" s="123"/>
      <c r="I14" s="126">
        <v>0</v>
      </c>
      <c r="J14" s="127">
        <v>0</v>
      </c>
      <c r="K14" s="128">
        <v>0</v>
      </c>
      <c r="L14" s="129">
        <v>0</v>
      </c>
      <c r="M14" s="126">
        <v>0</v>
      </c>
      <c r="N14" s="130">
        <v>0</v>
      </c>
      <c r="O14" s="125">
        <v>0</v>
      </c>
      <c r="P14" s="129">
        <v>0</v>
      </c>
      <c r="Q14" s="125">
        <v>0</v>
      </c>
      <c r="R14" s="129">
        <v>0</v>
      </c>
      <c r="S14" s="126">
        <v>0</v>
      </c>
      <c r="T14" s="130">
        <v>0</v>
      </c>
      <c r="U14" s="126">
        <v>0</v>
      </c>
      <c r="V14" s="137">
        <v>0</v>
      </c>
      <c r="W14" s="37">
        <f t="shared" si="0"/>
        <v>4</v>
      </c>
      <c r="X14" s="115"/>
      <c r="Y14" s="115"/>
      <c r="Z14" s="115"/>
      <c r="AA14" s="115"/>
      <c r="AB14" s="115"/>
      <c r="AC14" s="115"/>
      <c r="AD14" s="139">
        <f t="shared" si="1"/>
        <v>4</v>
      </c>
      <c r="AE14" s="116"/>
      <c r="AF14" s="117"/>
      <c r="AG14" s="113"/>
    </row>
    <row r="15" spans="1:33">
      <c r="A15" s="155">
        <v>44597</v>
      </c>
      <c r="B15" s="39">
        <v>3</v>
      </c>
      <c r="C15" s="39">
        <v>4352988</v>
      </c>
      <c r="D15" s="39" t="s">
        <v>91</v>
      </c>
      <c r="E15" s="113">
        <v>92382</v>
      </c>
      <c r="F15" s="39">
        <v>15068</v>
      </c>
      <c r="G15" s="114">
        <v>100</v>
      </c>
      <c r="H15" s="123" t="s">
        <v>107</v>
      </c>
      <c r="I15" s="126">
        <v>0</v>
      </c>
      <c r="J15" s="127">
        <v>0</v>
      </c>
      <c r="K15" s="128">
        <v>0</v>
      </c>
      <c r="L15" s="129">
        <v>0</v>
      </c>
      <c r="M15" s="126">
        <v>0</v>
      </c>
      <c r="N15" s="130">
        <v>0</v>
      </c>
      <c r="O15" s="125">
        <v>0</v>
      </c>
      <c r="P15" s="129">
        <v>0</v>
      </c>
      <c r="Q15" s="125">
        <v>0</v>
      </c>
      <c r="R15" s="129">
        <v>0</v>
      </c>
      <c r="S15" s="126">
        <v>0</v>
      </c>
      <c r="T15" s="130">
        <v>0</v>
      </c>
      <c r="U15" s="126">
        <v>0</v>
      </c>
      <c r="V15" s="137">
        <v>0</v>
      </c>
      <c r="W15" s="37">
        <f t="shared" si="0"/>
        <v>100</v>
      </c>
      <c r="X15" s="115"/>
      <c r="Y15" s="115"/>
      <c r="Z15" s="115"/>
      <c r="AA15" s="115"/>
      <c r="AB15" s="115"/>
      <c r="AC15" s="115"/>
      <c r="AD15" s="139">
        <f t="shared" si="1"/>
        <v>100</v>
      </c>
      <c r="AE15" s="116"/>
      <c r="AF15" s="117"/>
      <c r="AG15" s="113"/>
    </row>
    <row r="16" spans="1:33">
      <c r="A16" s="155">
        <v>44597</v>
      </c>
      <c r="B16" s="39">
        <v>3</v>
      </c>
      <c r="C16" s="39">
        <v>4352988</v>
      </c>
      <c r="D16" s="39" t="s">
        <v>91</v>
      </c>
      <c r="E16" s="113">
        <v>92382</v>
      </c>
      <c r="F16" s="39">
        <v>15069</v>
      </c>
      <c r="G16" s="114">
        <v>14</v>
      </c>
      <c r="H16" s="123" t="s">
        <v>108</v>
      </c>
      <c r="I16" s="126">
        <v>0</v>
      </c>
      <c r="J16" s="127">
        <v>0</v>
      </c>
      <c r="K16" s="128">
        <v>0</v>
      </c>
      <c r="L16" s="129">
        <v>0</v>
      </c>
      <c r="M16" s="126">
        <v>0</v>
      </c>
      <c r="N16" s="130">
        <v>0</v>
      </c>
      <c r="O16" s="125">
        <v>0</v>
      </c>
      <c r="P16" s="129">
        <v>0</v>
      </c>
      <c r="Q16" s="125">
        <v>0</v>
      </c>
      <c r="R16" s="129">
        <v>0</v>
      </c>
      <c r="S16" s="126">
        <v>0</v>
      </c>
      <c r="T16" s="130">
        <v>0</v>
      </c>
      <c r="U16" s="126">
        <v>0</v>
      </c>
      <c r="V16" s="137">
        <v>0</v>
      </c>
      <c r="W16" s="37">
        <f t="shared" si="0"/>
        <v>14</v>
      </c>
      <c r="X16" s="115"/>
      <c r="Y16" s="115"/>
      <c r="Z16" s="115"/>
      <c r="AA16" s="115"/>
      <c r="AB16" s="115"/>
      <c r="AC16" s="115"/>
      <c r="AD16" s="139">
        <f t="shared" si="1"/>
        <v>14</v>
      </c>
      <c r="AE16" s="116"/>
      <c r="AF16" s="117"/>
      <c r="AG16" s="113"/>
    </row>
    <row r="17" spans="1:33">
      <c r="A17" s="155">
        <v>44682</v>
      </c>
      <c r="B17" s="39">
        <v>2</v>
      </c>
      <c r="C17" s="23">
        <v>4854610</v>
      </c>
      <c r="D17" s="39" t="s">
        <v>91</v>
      </c>
      <c r="E17" s="23">
        <v>92455</v>
      </c>
      <c r="F17" s="26">
        <v>15858</v>
      </c>
      <c r="G17" s="114">
        <v>24</v>
      </c>
      <c r="H17" s="123" t="s">
        <v>118</v>
      </c>
      <c r="I17" s="126">
        <v>0</v>
      </c>
      <c r="J17" s="127">
        <v>0</v>
      </c>
      <c r="K17" s="128">
        <v>0</v>
      </c>
      <c r="L17" s="129">
        <v>0</v>
      </c>
      <c r="M17" s="126">
        <v>0</v>
      </c>
      <c r="N17" s="130">
        <v>0</v>
      </c>
      <c r="O17" s="125">
        <v>0</v>
      </c>
      <c r="P17" s="129">
        <v>0</v>
      </c>
      <c r="Q17" s="125">
        <v>0</v>
      </c>
      <c r="R17" s="129">
        <v>0</v>
      </c>
      <c r="S17" s="126">
        <v>0</v>
      </c>
      <c r="T17" s="130">
        <v>0</v>
      </c>
      <c r="U17" s="126">
        <v>0</v>
      </c>
      <c r="V17" s="137">
        <v>0</v>
      </c>
      <c r="W17" s="37">
        <f t="shared" si="0"/>
        <v>24</v>
      </c>
      <c r="X17" s="115"/>
      <c r="Y17" s="115"/>
      <c r="Z17" s="115"/>
      <c r="AA17" s="115"/>
      <c r="AB17" s="115"/>
      <c r="AC17" s="115"/>
      <c r="AD17" s="139">
        <f t="shared" si="1"/>
        <v>24</v>
      </c>
      <c r="AE17" s="116"/>
      <c r="AF17" s="117"/>
      <c r="AG17" s="113"/>
    </row>
    <row r="18" spans="1:33">
      <c r="A18" s="155">
        <v>44682</v>
      </c>
      <c r="B18" s="39">
        <v>2</v>
      </c>
      <c r="C18" s="23">
        <v>4854610</v>
      </c>
      <c r="D18" s="39" t="s">
        <v>91</v>
      </c>
      <c r="E18" s="23">
        <v>92519</v>
      </c>
      <c r="F18" s="26">
        <v>15859</v>
      </c>
      <c r="G18" s="114">
        <v>2</v>
      </c>
      <c r="H18" s="123" t="s">
        <v>119</v>
      </c>
      <c r="I18" s="126">
        <v>0</v>
      </c>
      <c r="J18" s="127">
        <v>0</v>
      </c>
      <c r="K18" s="128">
        <v>0</v>
      </c>
      <c r="L18" s="129">
        <v>0</v>
      </c>
      <c r="M18" s="126">
        <v>0</v>
      </c>
      <c r="N18" s="130">
        <v>0</v>
      </c>
      <c r="O18" s="125">
        <v>0</v>
      </c>
      <c r="P18" s="129">
        <v>0</v>
      </c>
      <c r="Q18" s="125">
        <v>0</v>
      </c>
      <c r="R18" s="129">
        <v>0</v>
      </c>
      <c r="S18" s="126">
        <v>0</v>
      </c>
      <c r="T18" s="130">
        <v>0</v>
      </c>
      <c r="U18" s="126">
        <v>0</v>
      </c>
      <c r="V18" s="137">
        <v>0</v>
      </c>
      <c r="W18" s="37">
        <f t="shared" si="0"/>
        <v>2</v>
      </c>
      <c r="X18" s="115"/>
      <c r="Y18" s="115"/>
      <c r="Z18" s="115"/>
      <c r="AA18" s="115"/>
      <c r="AB18" s="115"/>
      <c r="AC18" s="115"/>
      <c r="AD18" s="139">
        <f t="shared" si="1"/>
        <v>2</v>
      </c>
      <c r="AE18" s="116"/>
      <c r="AF18" s="117"/>
      <c r="AG18" s="113"/>
    </row>
    <row r="19" spans="1:33">
      <c r="A19" s="155">
        <v>44682</v>
      </c>
      <c r="B19" s="39">
        <v>2</v>
      </c>
      <c r="C19" s="23">
        <v>4854610</v>
      </c>
      <c r="D19" s="39" t="s">
        <v>91</v>
      </c>
      <c r="E19" s="23">
        <v>92541</v>
      </c>
      <c r="F19" s="26">
        <v>15860</v>
      </c>
      <c r="G19" s="114">
        <v>11</v>
      </c>
      <c r="H19" s="123" t="s">
        <v>120</v>
      </c>
      <c r="I19" s="126">
        <v>0</v>
      </c>
      <c r="J19" s="127">
        <v>0</v>
      </c>
      <c r="K19" s="128">
        <v>0</v>
      </c>
      <c r="L19" s="129">
        <v>0</v>
      </c>
      <c r="M19" s="126">
        <v>0</v>
      </c>
      <c r="N19" s="130">
        <v>0</v>
      </c>
      <c r="O19" s="125">
        <v>0</v>
      </c>
      <c r="P19" s="129">
        <v>0</v>
      </c>
      <c r="Q19" s="125">
        <v>0</v>
      </c>
      <c r="R19" s="129">
        <v>0</v>
      </c>
      <c r="S19" s="126">
        <v>0</v>
      </c>
      <c r="T19" s="130">
        <v>0</v>
      </c>
      <c r="U19" s="126">
        <v>0</v>
      </c>
      <c r="V19" s="137">
        <v>0</v>
      </c>
      <c r="W19" s="37">
        <f t="shared" si="0"/>
        <v>11</v>
      </c>
      <c r="X19" s="115"/>
      <c r="Y19" s="115"/>
      <c r="Z19" s="115"/>
      <c r="AA19" s="115"/>
      <c r="AB19" s="115"/>
      <c r="AC19" s="115"/>
      <c r="AD19" s="139">
        <f t="shared" si="1"/>
        <v>11</v>
      </c>
      <c r="AE19" s="116"/>
      <c r="AF19" s="117"/>
      <c r="AG19" s="113"/>
    </row>
    <row r="20" spans="1:33">
      <c r="A20" s="155">
        <v>44716</v>
      </c>
      <c r="B20" s="39">
        <v>1</v>
      </c>
      <c r="C20" s="23">
        <v>4854610</v>
      </c>
      <c r="D20" s="39" t="s">
        <v>91</v>
      </c>
      <c r="E20" s="113">
        <v>92594</v>
      </c>
      <c r="F20" s="39">
        <v>16206</v>
      </c>
      <c r="G20" s="114">
        <v>60</v>
      </c>
      <c r="H20" s="123" t="s">
        <v>124</v>
      </c>
      <c r="I20" s="126">
        <v>0</v>
      </c>
      <c r="J20" s="127">
        <v>0</v>
      </c>
      <c r="K20" s="128">
        <v>0</v>
      </c>
      <c r="L20" s="129">
        <v>0</v>
      </c>
      <c r="M20" s="126">
        <v>0</v>
      </c>
      <c r="N20" s="130">
        <v>0</v>
      </c>
      <c r="O20" s="125">
        <v>0</v>
      </c>
      <c r="P20" s="129">
        <v>0</v>
      </c>
      <c r="Q20" s="125">
        <v>0</v>
      </c>
      <c r="R20" s="129">
        <v>0</v>
      </c>
      <c r="S20" s="126">
        <v>0</v>
      </c>
      <c r="T20" s="130">
        <v>0</v>
      </c>
      <c r="U20" s="126">
        <v>0</v>
      </c>
      <c r="V20" s="137">
        <v>0</v>
      </c>
      <c r="W20" s="37">
        <f t="shared" si="0"/>
        <v>60</v>
      </c>
      <c r="X20" s="115"/>
      <c r="Y20" s="115"/>
      <c r="Z20" s="115"/>
      <c r="AA20" s="115"/>
      <c r="AB20" s="115"/>
      <c r="AC20" s="115"/>
      <c r="AD20" s="139">
        <f t="shared" si="1"/>
        <v>60</v>
      </c>
      <c r="AE20" s="116"/>
      <c r="AF20" s="117"/>
      <c r="AG20" s="113"/>
    </row>
    <row r="21" spans="1:33">
      <c r="A21" s="155">
        <v>44774</v>
      </c>
      <c r="B21" s="39">
        <v>1</v>
      </c>
      <c r="C21" s="23">
        <v>4854610</v>
      </c>
      <c r="D21" s="39" t="s">
        <v>91</v>
      </c>
      <c r="E21" s="113">
        <v>92661</v>
      </c>
      <c r="F21" s="39">
        <v>16777</v>
      </c>
      <c r="G21" s="114">
        <v>46</v>
      </c>
      <c r="H21" s="123" t="s">
        <v>125</v>
      </c>
      <c r="I21" s="126">
        <v>0</v>
      </c>
      <c r="J21" s="127">
        <v>0</v>
      </c>
      <c r="K21" s="128">
        <v>0</v>
      </c>
      <c r="L21" s="129">
        <v>0</v>
      </c>
      <c r="M21" s="126">
        <v>0</v>
      </c>
      <c r="N21" s="130">
        <v>0</v>
      </c>
      <c r="O21" s="125">
        <v>0</v>
      </c>
      <c r="P21" s="129">
        <v>0</v>
      </c>
      <c r="Q21" s="125">
        <v>0</v>
      </c>
      <c r="R21" s="129">
        <v>0</v>
      </c>
      <c r="S21" s="126">
        <v>0</v>
      </c>
      <c r="T21" s="130">
        <v>0</v>
      </c>
      <c r="U21" s="126">
        <v>0</v>
      </c>
      <c r="V21" s="137">
        <v>0</v>
      </c>
      <c r="W21" s="37">
        <f t="shared" si="0"/>
        <v>46</v>
      </c>
      <c r="X21" s="115"/>
      <c r="Y21" s="115"/>
      <c r="Z21" s="115"/>
      <c r="AA21" s="115"/>
      <c r="AB21" s="115"/>
      <c r="AC21" s="115"/>
      <c r="AD21" s="139">
        <f t="shared" si="1"/>
        <v>46</v>
      </c>
      <c r="AE21" s="116"/>
      <c r="AF21" s="117"/>
      <c r="AG21" s="113"/>
    </row>
    <row r="22" spans="1:33">
      <c r="A22" s="155">
        <v>44773</v>
      </c>
      <c r="B22" s="39">
        <v>1</v>
      </c>
      <c r="C22" s="23">
        <v>4854610</v>
      </c>
      <c r="D22" s="39" t="s">
        <v>91</v>
      </c>
      <c r="E22" s="113">
        <v>92754</v>
      </c>
      <c r="F22" s="39">
        <v>17113</v>
      </c>
      <c r="G22" s="114">
        <v>14</v>
      </c>
      <c r="H22" s="123" t="s">
        <v>126</v>
      </c>
      <c r="I22" s="126">
        <v>0</v>
      </c>
      <c r="J22" s="127">
        <v>0</v>
      </c>
      <c r="K22" s="128">
        <v>0</v>
      </c>
      <c r="L22" s="129">
        <v>0</v>
      </c>
      <c r="M22" s="126">
        <v>0</v>
      </c>
      <c r="N22" s="130">
        <v>0</v>
      </c>
      <c r="O22" s="125">
        <v>0</v>
      </c>
      <c r="P22" s="129">
        <v>0</v>
      </c>
      <c r="Q22" s="125">
        <v>0</v>
      </c>
      <c r="R22" s="129">
        <v>0</v>
      </c>
      <c r="S22" s="126">
        <v>0</v>
      </c>
      <c r="T22" s="130">
        <v>0</v>
      </c>
      <c r="U22" s="126">
        <v>0</v>
      </c>
      <c r="V22" s="137">
        <v>0</v>
      </c>
      <c r="W22" s="37">
        <f t="shared" si="0"/>
        <v>14</v>
      </c>
      <c r="X22" s="115"/>
      <c r="Y22" s="115"/>
      <c r="Z22" s="115"/>
      <c r="AA22" s="115"/>
      <c r="AB22" s="115"/>
      <c r="AC22" s="115"/>
      <c r="AD22" s="139">
        <f t="shared" si="1"/>
        <v>14</v>
      </c>
      <c r="AE22" s="116"/>
      <c r="AF22" s="117"/>
      <c r="AG22" s="113"/>
    </row>
    <row r="23" spans="1:33">
      <c r="A23" s="155">
        <v>44836</v>
      </c>
      <c r="B23" s="39">
        <v>2</v>
      </c>
      <c r="C23" s="23">
        <v>4854610</v>
      </c>
      <c r="D23" s="39" t="s">
        <v>91</v>
      </c>
      <c r="E23" s="113">
        <v>92790</v>
      </c>
      <c r="F23" s="39">
        <v>17418</v>
      </c>
      <c r="G23" s="114">
        <v>30</v>
      </c>
      <c r="H23" s="123" t="s">
        <v>127</v>
      </c>
      <c r="I23" s="126">
        <v>0</v>
      </c>
      <c r="J23" s="127">
        <v>0</v>
      </c>
      <c r="K23" s="128">
        <v>0</v>
      </c>
      <c r="L23" s="129">
        <v>0</v>
      </c>
      <c r="M23" s="126">
        <v>0</v>
      </c>
      <c r="N23" s="130">
        <v>0</v>
      </c>
      <c r="O23" s="125">
        <v>0</v>
      </c>
      <c r="P23" s="129">
        <v>0</v>
      </c>
      <c r="Q23" s="125">
        <v>0</v>
      </c>
      <c r="R23" s="129">
        <v>0</v>
      </c>
      <c r="S23" s="126">
        <v>0</v>
      </c>
      <c r="T23" s="130">
        <v>0</v>
      </c>
      <c r="U23" s="126">
        <v>0</v>
      </c>
      <c r="V23" s="137">
        <v>0</v>
      </c>
      <c r="W23" s="37">
        <f t="shared" ref="W23" si="2">+G23-(SUM(I23:N23,P23,Q23,R23,S23,T23,V23))</f>
        <v>30</v>
      </c>
      <c r="X23" s="115"/>
      <c r="Y23" s="115"/>
      <c r="Z23" s="115"/>
      <c r="AA23" s="115"/>
      <c r="AB23" s="115"/>
      <c r="AC23" s="115"/>
      <c r="AD23" s="139">
        <f t="shared" ref="AD23" si="3">W23-SUM(Y23:Z23)</f>
        <v>30</v>
      </c>
      <c r="AE23" s="116"/>
      <c r="AF23" s="117"/>
      <c r="AG23" s="113"/>
    </row>
    <row r="24" spans="1:33">
      <c r="A24" s="155">
        <v>44836</v>
      </c>
      <c r="B24" s="39">
        <v>2</v>
      </c>
      <c r="C24" s="23">
        <v>4854610</v>
      </c>
      <c r="D24" s="39" t="s">
        <v>91</v>
      </c>
      <c r="E24" s="113">
        <v>92790</v>
      </c>
      <c r="F24" s="39">
        <v>17419</v>
      </c>
      <c r="G24" s="114">
        <v>30</v>
      </c>
      <c r="H24" s="123" t="s">
        <v>127</v>
      </c>
      <c r="I24" s="126">
        <v>0</v>
      </c>
      <c r="J24" s="127">
        <v>0</v>
      </c>
      <c r="K24" s="128">
        <v>0</v>
      </c>
      <c r="L24" s="129">
        <v>0</v>
      </c>
      <c r="M24" s="126">
        <v>0</v>
      </c>
      <c r="N24" s="130">
        <v>0</v>
      </c>
      <c r="O24" s="125">
        <v>0</v>
      </c>
      <c r="P24" s="129">
        <v>0</v>
      </c>
      <c r="Q24" s="125">
        <v>0</v>
      </c>
      <c r="R24" s="129">
        <v>0</v>
      </c>
      <c r="S24" s="126">
        <v>0</v>
      </c>
      <c r="T24" s="130">
        <v>0</v>
      </c>
      <c r="U24" s="126">
        <v>0</v>
      </c>
      <c r="V24" s="137">
        <v>0</v>
      </c>
      <c r="W24" s="37">
        <f t="shared" si="0"/>
        <v>30</v>
      </c>
      <c r="X24" s="115"/>
      <c r="Y24" s="115"/>
      <c r="Z24" s="115"/>
      <c r="AA24" s="115"/>
      <c r="AB24" s="115"/>
      <c r="AC24" s="115"/>
      <c r="AD24" s="139">
        <f t="shared" si="1"/>
        <v>30</v>
      </c>
      <c r="AE24" s="116"/>
      <c r="AF24" s="117"/>
      <c r="AG24" s="113"/>
    </row>
    <row r="25" spans="1:33">
      <c r="A25" s="155">
        <v>44568</v>
      </c>
      <c r="B25" s="39">
        <v>3</v>
      </c>
      <c r="C25" s="23">
        <v>5149576</v>
      </c>
      <c r="D25" s="39" t="s">
        <v>91</v>
      </c>
      <c r="E25" s="113">
        <v>92940</v>
      </c>
      <c r="F25" s="39">
        <v>18383</v>
      </c>
      <c r="G25" s="114">
        <v>20</v>
      </c>
      <c r="H25" s="123" t="s">
        <v>102</v>
      </c>
      <c r="I25" s="126">
        <v>0</v>
      </c>
      <c r="J25" s="127">
        <v>0</v>
      </c>
      <c r="K25" s="128">
        <v>0</v>
      </c>
      <c r="L25" s="129">
        <v>0</v>
      </c>
      <c r="M25" s="126">
        <v>0</v>
      </c>
      <c r="N25" s="130">
        <v>0</v>
      </c>
      <c r="O25" s="125">
        <v>0</v>
      </c>
      <c r="P25" s="129">
        <v>0</v>
      </c>
      <c r="Q25" s="125">
        <v>0</v>
      </c>
      <c r="R25" s="129">
        <v>0</v>
      </c>
      <c r="S25" s="126">
        <v>0</v>
      </c>
      <c r="T25" s="130">
        <v>0</v>
      </c>
      <c r="U25" s="126">
        <v>0</v>
      </c>
      <c r="V25" s="137">
        <v>0</v>
      </c>
      <c r="W25" s="37">
        <f t="shared" si="0"/>
        <v>20</v>
      </c>
      <c r="X25" s="115"/>
      <c r="Y25" s="115"/>
      <c r="Z25" s="115"/>
      <c r="AA25" s="115"/>
      <c r="AB25" s="115"/>
      <c r="AC25" s="115"/>
      <c r="AD25" s="139">
        <f t="shared" si="1"/>
        <v>20</v>
      </c>
      <c r="AE25" s="116"/>
      <c r="AF25" s="117"/>
      <c r="AG25" s="113"/>
    </row>
    <row r="26" spans="1:33">
      <c r="A26" s="112">
        <v>45155</v>
      </c>
      <c r="B26" s="39">
        <v>1</v>
      </c>
      <c r="C26" s="39">
        <v>5362842</v>
      </c>
      <c r="D26" s="39" t="s">
        <v>91</v>
      </c>
      <c r="E26" s="113">
        <v>93159</v>
      </c>
      <c r="F26" s="39">
        <v>19553</v>
      </c>
      <c r="G26" s="114">
        <v>22</v>
      </c>
      <c r="H26" s="123" t="s">
        <v>128</v>
      </c>
      <c r="I26" s="126">
        <v>0</v>
      </c>
      <c r="J26" s="127">
        <v>0</v>
      </c>
      <c r="K26" s="128">
        <v>0</v>
      </c>
      <c r="L26" s="129">
        <v>0</v>
      </c>
      <c r="M26" s="126">
        <v>0</v>
      </c>
      <c r="N26" s="130">
        <v>0</v>
      </c>
      <c r="O26" s="125">
        <v>0</v>
      </c>
      <c r="P26" s="129">
        <v>0</v>
      </c>
      <c r="Q26" s="125">
        <v>0</v>
      </c>
      <c r="R26" s="129">
        <v>0</v>
      </c>
      <c r="S26" s="126">
        <v>0</v>
      </c>
      <c r="T26" s="130">
        <v>0</v>
      </c>
      <c r="U26" s="126">
        <v>0</v>
      </c>
      <c r="V26" s="137">
        <v>0</v>
      </c>
      <c r="W26" s="37">
        <f t="shared" si="0"/>
        <v>22</v>
      </c>
      <c r="X26" s="115"/>
      <c r="Y26" s="115"/>
      <c r="Z26" s="115"/>
      <c r="AA26" s="115"/>
      <c r="AB26" s="115"/>
      <c r="AC26" s="115"/>
      <c r="AD26" s="139">
        <f t="shared" si="1"/>
        <v>22</v>
      </c>
      <c r="AE26" s="116"/>
      <c r="AF26" s="117"/>
      <c r="AG26" s="113"/>
    </row>
    <row r="27" spans="1:33">
      <c r="A27" s="112">
        <v>45338</v>
      </c>
      <c r="B27" s="39">
        <v>3</v>
      </c>
      <c r="C27" s="39">
        <v>5459288</v>
      </c>
      <c r="D27" s="39" t="s">
        <v>91</v>
      </c>
      <c r="E27" s="113">
        <v>93475</v>
      </c>
      <c r="F27" s="39">
        <v>20755</v>
      </c>
      <c r="G27" s="114">
        <v>17</v>
      </c>
      <c r="H27" s="123" t="s">
        <v>129</v>
      </c>
      <c r="I27" s="126">
        <v>0</v>
      </c>
      <c r="J27" s="127">
        <v>0</v>
      </c>
      <c r="K27" s="128">
        <v>0</v>
      </c>
      <c r="L27" s="129">
        <v>0</v>
      </c>
      <c r="M27" s="126">
        <v>0</v>
      </c>
      <c r="N27" s="130">
        <v>0</v>
      </c>
      <c r="O27" s="125">
        <v>0</v>
      </c>
      <c r="P27" s="129">
        <v>0</v>
      </c>
      <c r="Q27" s="125">
        <v>0</v>
      </c>
      <c r="R27" s="129">
        <v>0</v>
      </c>
      <c r="S27" s="126">
        <v>0</v>
      </c>
      <c r="T27" s="130">
        <v>0</v>
      </c>
      <c r="U27" s="126">
        <v>0</v>
      </c>
      <c r="V27" s="137">
        <v>0</v>
      </c>
      <c r="W27" s="37">
        <f t="shared" si="0"/>
        <v>17</v>
      </c>
      <c r="X27" s="115"/>
      <c r="Y27" s="115"/>
      <c r="Z27" s="115"/>
      <c r="AA27" s="115"/>
      <c r="AB27" s="115"/>
      <c r="AC27" s="115"/>
      <c r="AD27" s="139">
        <f t="shared" si="1"/>
        <v>17</v>
      </c>
      <c r="AE27" s="116"/>
      <c r="AF27" s="117"/>
      <c r="AG27" s="113"/>
    </row>
    <row r="28" spans="1:33">
      <c r="A28" s="112">
        <v>45460</v>
      </c>
      <c r="B28" s="39">
        <v>3</v>
      </c>
      <c r="C28" s="39">
        <v>5637105</v>
      </c>
      <c r="D28" s="39" t="s">
        <v>91</v>
      </c>
      <c r="E28" s="113">
        <v>93799</v>
      </c>
      <c r="F28" s="39">
        <v>21591</v>
      </c>
      <c r="G28" s="114">
        <v>7</v>
      </c>
      <c r="H28" s="123" t="s">
        <v>130</v>
      </c>
      <c r="I28" s="126">
        <v>0</v>
      </c>
      <c r="J28" s="127">
        <v>0</v>
      </c>
      <c r="K28" s="128">
        <v>0</v>
      </c>
      <c r="L28" s="129">
        <v>0</v>
      </c>
      <c r="M28" s="126">
        <v>0</v>
      </c>
      <c r="N28" s="130">
        <v>0</v>
      </c>
      <c r="O28" s="125">
        <v>0</v>
      </c>
      <c r="P28" s="129">
        <v>0</v>
      </c>
      <c r="Q28" s="125">
        <v>0</v>
      </c>
      <c r="R28" s="129">
        <v>0</v>
      </c>
      <c r="S28" s="126">
        <v>0</v>
      </c>
      <c r="T28" s="130">
        <v>0</v>
      </c>
      <c r="U28" s="126">
        <v>0</v>
      </c>
      <c r="V28" s="137">
        <v>0</v>
      </c>
      <c r="W28" s="37">
        <f t="shared" si="0"/>
        <v>7</v>
      </c>
      <c r="X28" s="115"/>
      <c r="Y28" s="115"/>
      <c r="Z28" s="115"/>
      <c r="AA28" s="115"/>
      <c r="AB28" s="115"/>
      <c r="AC28" s="115"/>
      <c r="AD28" s="139">
        <f t="shared" si="1"/>
        <v>7</v>
      </c>
      <c r="AE28" s="116"/>
      <c r="AF28" s="117"/>
      <c r="AG28" s="113"/>
    </row>
    <row r="29" spans="1:33">
      <c r="A29" s="112"/>
      <c r="B29" s="39"/>
      <c r="C29" s="39"/>
      <c r="D29" s="39"/>
      <c r="E29" s="113"/>
      <c r="F29" s="39"/>
      <c r="G29" s="114"/>
      <c r="H29" s="123"/>
      <c r="I29" s="126">
        <v>0</v>
      </c>
      <c r="J29" s="127">
        <v>0</v>
      </c>
      <c r="K29" s="128">
        <v>0</v>
      </c>
      <c r="L29" s="129">
        <v>0</v>
      </c>
      <c r="M29" s="126">
        <v>0</v>
      </c>
      <c r="N29" s="130">
        <v>0</v>
      </c>
      <c r="O29" s="125">
        <v>0</v>
      </c>
      <c r="P29" s="129">
        <v>0</v>
      </c>
      <c r="Q29" s="125">
        <v>0</v>
      </c>
      <c r="R29" s="129">
        <v>0</v>
      </c>
      <c r="S29" s="126">
        <v>0</v>
      </c>
      <c r="T29" s="130">
        <v>0</v>
      </c>
      <c r="U29" s="126">
        <v>0</v>
      </c>
      <c r="V29" s="137">
        <v>0</v>
      </c>
      <c r="W29" s="37">
        <f t="shared" si="0"/>
        <v>0</v>
      </c>
      <c r="X29" s="115"/>
      <c r="Y29" s="115"/>
      <c r="Z29" s="115"/>
      <c r="AA29" s="115"/>
      <c r="AB29" s="115"/>
      <c r="AC29" s="115"/>
      <c r="AD29" s="139">
        <f t="shared" si="1"/>
        <v>0</v>
      </c>
      <c r="AE29" s="116"/>
      <c r="AF29" s="117"/>
      <c r="AG29" s="113"/>
    </row>
    <row r="30" spans="1:33">
      <c r="A30" s="112"/>
      <c r="B30" s="39"/>
      <c r="C30" s="39"/>
      <c r="D30" s="39"/>
      <c r="E30" s="113"/>
      <c r="F30" s="39"/>
      <c r="G30" s="114"/>
      <c r="H30" s="123"/>
      <c r="I30" s="126">
        <v>0</v>
      </c>
      <c r="J30" s="127">
        <v>0</v>
      </c>
      <c r="K30" s="128">
        <v>0</v>
      </c>
      <c r="L30" s="129">
        <v>0</v>
      </c>
      <c r="M30" s="126">
        <v>0</v>
      </c>
      <c r="N30" s="130">
        <v>0</v>
      </c>
      <c r="O30" s="125">
        <v>0</v>
      </c>
      <c r="P30" s="129">
        <v>0</v>
      </c>
      <c r="Q30" s="125">
        <v>0</v>
      </c>
      <c r="R30" s="129">
        <v>0</v>
      </c>
      <c r="S30" s="126">
        <v>0</v>
      </c>
      <c r="T30" s="130">
        <v>0</v>
      </c>
      <c r="U30" s="126">
        <v>0</v>
      </c>
      <c r="V30" s="137">
        <v>0</v>
      </c>
      <c r="W30" s="37">
        <f t="shared" si="0"/>
        <v>0</v>
      </c>
      <c r="X30" s="115"/>
      <c r="Y30" s="115"/>
      <c r="Z30" s="115"/>
      <c r="AA30" s="115"/>
      <c r="AB30" s="115"/>
      <c r="AC30" s="115"/>
      <c r="AD30" s="139">
        <f t="shared" si="1"/>
        <v>0</v>
      </c>
      <c r="AE30" s="116"/>
      <c r="AF30" s="117"/>
      <c r="AG30" s="113"/>
    </row>
    <row r="31" spans="1:33">
      <c r="A31" s="112"/>
      <c r="B31" s="39"/>
      <c r="C31" s="39"/>
      <c r="D31" s="39"/>
      <c r="E31" s="113"/>
      <c r="F31" s="39"/>
      <c r="G31" s="114"/>
      <c r="H31" s="123"/>
      <c r="I31" s="126">
        <v>0</v>
      </c>
      <c r="J31" s="127">
        <v>0</v>
      </c>
      <c r="K31" s="128">
        <v>0</v>
      </c>
      <c r="L31" s="129">
        <v>0</v>
      </c>
      <c r="M31" s="126">
        <v>0</v>
      </c>
      <c r="N31" s="130">
        <v>0</v>
      </c>
      <c r="O31" s="125">
        <v>0</v>
      </c>
      <c r="P31" s="129">
        <v>0</v>
      </c>
      <c r="Q31" s="125">
        <v>0</v>
      </c>
      <c r="R31" s="129">
        <v>0</v>
      </c>
      <c r="S31" s="126">
        <v>0</v>
      </c>
      <c r="T31" s="130">
        <v>0</v>
      </c>
      <c r="U31" s="126">
        <v>0</v>
      </c>
      <c r="V31" s="137">
        <v>0</v>
      </c>
      <c r="W31" s="37">
        <f t="shared" si="0"/>
        <v>0</v>
      </c>
      <c r="X31" s="115"/>
      <c r="Y31" s="115"/>
      <c r="Z31" s="115"/>
      <c r="AA31" s="115"/>
      <c r="AB31" s="115"/>
      <c r="AC31" s="115"/>
      <c r="AD31" s="139">
        <f t="shared" si="1"/>
        <v>0</v>
      </c>
      <c r="AE31" s="116"/>
      <c r="AF31" s="117"/>
      <c r="AG31" s="113"/>
    </row>
    <row r="32" spans="1:33">
      <c r="A32" s="112"/>
      <c r="B32" s="39"/>
      <c r="C32" s="39"/>
      <c r="D32" s="39"/>
      <c r="E32" s="113"/>
      <c r="F32" s="39"/>
      <c r="G32" s="114"/>
      <c r="H32" s="123"/>
      <c r="I32" s="126">
        <v>0</v>
      </c>
      <c r="J32" s="127">
        <v>0</v>
      </c>
      <c r="K32" s="128">
        <v>0</v>
      </c>
      <c r="L32" s="129">
        <v>0</v>
      </c>
      <c r="M32" s="126">
        <v>0</v>
      </c>
      <c r="N32" s="130">
        <v>0</v>
      </c>
      <c r="O32" s="125">
        <v>0</v>
      </c>
      <c r="P32" s="129">
        <v>0</v>
      </c>
      <c r="Q32" s="125">
        <v>0</v>
      </c>
      <c r="R32" s="129">
        <v>0</v>
      </c>
      <c r="S32" s="126">
        <v>0</v>
      </c>
      <c r="T32" s="130">
        <v>0</v>
      </c>
      <c r="U32" s="126">
        <v>0</v>
      </c>
      <c r="V32" s="137">
        <v>0</v>
      </c>
      <c r="W32" s="37">
        <f t="shared" si="0"/>
        <v>0</v>
      </c>
      <c r="X32" s="115"/>
      <c r="Y32" s="115"/>
      <c r="Z32" s="115"/>
      <c r="AA32" s="115"/>
      <c r="AB32" s="115"/>
      <c r="AC32" s="115"/>
      <c r="AD32" s="139">
        <f t="shared" si="1"/>
        <v>0</v>
      </c>
      <c r="AE32" s="116"/>
      <c r="AF32" s="117"/>
      <c r="AG32" s="113"/>
    </row>
    <row r="33" spans="1:33">
      <c r="A33" s="112"/>
      <c r="B33" s="39"/>
      <c r="C33" s="39"/>
      <c r="D33" s="39"/>
      <c r="E33" s="113"/>
      <c r="F33" s="39"/>
      <c r="G33" s="114"/>
      <c r="H33" s="123"/>
      <c r="I33" s="126">
        <v>0</v>
      </c>
      <c r="J33" s="127">
        <v>0</v>
      </c>
      <c r="K33" s="128">
        <v>0</v>
      </c>
      <c r="L33" s="129">
        <v>0</v>
      </c>
      <c r="M33" s="126">
        <v>0</v>
      </c>
      <c r="N33" s="130">
        <v>0</v>
      </c>
      <c r="O33" s="125">
        <v>0</v>
      </c>
      <c r="P33" s="129">
        <v>0</v>
      </c>
      <c r="Q33" s="125">
        <v>0</v>
      </c>
      <c r="R33" s="129">
        <v>0</v>
      </c>
      <c r="S33" s="126">
        <v>0</v>
      </c>
      <c r="T33" s="130">
        <v>0</v>
      </c>
      <c r="U33" s="126">
        <v>0</v>
      </c>
      <c r="V33" s="137">
        <v>0</v>
      </c>
      <c r="W33" s="37">
        <f t="shared" si="0"/>
        <v>0</v>
      </c>
      <c r="X33" s="115"/>
      <c r="Y33" s="115"/>
      <c r="Z33" s="115"/>
      <c r="AA33" s="115"/>
      <c r="AB33" s="115"/>
      <c r="AC33" s="115"/>
      <c r="AD33" s="139">
        <f t="shared" si="1"/>
        <v>0</v>
      </c>
      <c r="AE33" s="116"/>
      <c r="AF33" s="117"/>
      <c r="AG33" s="113"/>
    </row>
    <row r="34" spans="1:33">
      <c r="A34" s="112"/>
      <c r="B34" s="39"/>
      <c r="C34" s="39"/>
      <c r="D34" s="39"/>
      <c r="E34" s="113"/>
      <c r="F34" s="39"/>
      <c r="G34" s="114"/>
      <c r="H34" s="123"/>
      <c r="I34" s="126">
        <v>0</v>
      </c>
      <c r="J34" s="127">
        <v>0</v>
      </c>
      <c r="K34" s="128">
        <v>0</v>
      </c>
      <c r="L34" s="129">
        <v>0</v>
      </c>
      <c r="M34" s="126">
        <v>0</v>
      </c>
      <c r="N34" s="130">
        <v>0</v>
      </c>
      <c r="O34" s="125">
        <v>0</v>
      </c>
      <c r="P34" s="129">
        <v>0</v>
      </c>
      <c r="Q34" s="125">
        <v>0</v>
      </c>
      <c r="R34" s="129">
        <v>0</v>
      </c>
      <c r="S34" s="126">
        <v>0</v>
      </c>
      <c r="T34" s="130">
        <v>0</v>
      </c>
      <c r="U34" s="126">
        <v>0</v>
      </c>
      <c r="V34" s="137">
        <v>0</v>
      </c>
      <c r="W34" s="37">
        <f t="shared" si="0"/>
        <v>0</v>
      </c>
      <c r="X34" s="115"/>
      <c r="Y34" s="115"/>
      <c r="Z34" s="115"/>
      <c r="AA34" s="115"/>
      <c r="AB34" s="115"/>
      <c r="AC34" s="115"/>
      <c r="AD34" s="139">
        <f t="shared" si="1"/>
        <v>0</v>
      </c>
      <c r="AE34" s="116"/>
      <c r="AF34" s="117"/>
      <c r="AG34" s="113"/>
    </row>
    <row r="35" spans="1:33">
      <c r="A35" s="112"/>
      <c r="B35" s="39"/>
      <c r="C35" s="39"/>
      <c r="D35" s="39"/>
      <c r="E35" s="113"/>
      <c r="F35" s="39"/>
      <c r="G35" s="114"/>
      <c r="H35" s="123"/>
      <c r="I35" s="126">
        <v>0</v>
      </c>
      <c r="J35" s="127">
        <v>0</v>
      </c>
      <c r="K35" s="128">
        <v>0</v>
      </c>
      <c r="L35" s="129">
        <v>0</v>
      </c>
      <c r="M35" s="126">
        <v>0</v>
      </c>
      <c r="N35" s="130">
        <v>0</v>
      </c>
      <c r="O35" s="125">
        <v>0</v>
      </c>
      <c r="P35" s="129">
        <v>0</v>
      </c>
      <c r="Q35" s="125">
        <v>0</v>
      </c>
      <c r="R35" s="129">
        <v>0</v>
      </c>
      <c r="S35" s="126">
        <v>0</v>
      </c>
      <c r="T35" s="130">
        <v>0</v>
      </c>
      <c r="U35" s="126">
        <v>0</v>
      </c>
      <c r="V35" s="137">
        <v>0</v>
      </c>
      <c r="W35" s="37">
        <f t="shared" si="0"/>
        <v>0</v>
      </c>
      <c r="X35" s="115"/>
      <c r="Y35" s="115"/>
      <c r="Z35" s="115"/>
      <c r="AA35" s="115"/>
      <c r="AB35" s="115"/>
      <c r="AC35" s="115"/>
      <c r="AD35" s="139">
        <f t="shared" si="1"/>
        <v>0</v>
      </c>
      <c r="AE35" s="116"/>
      <c r="AF35" s="117"/>
      <c r="AG35" s="113"/>
    </row>
    <row r="36" spans="1:33">
      <c r="A36" s="112"/>
      <c r="B36" s="39"/>
      <c r="C36" s="39"/>
      <c r="D36" s="39"/>
      <c r="E36" s="113"/>
      <c r="F36" s="39"/>
      <c r="G36" s="114"/>
      <c r="H36" s="123"/>
      <c r="I36" s="126">
        <v>0</v>
      </c>
      <c r="J36" s="127">
        <v>0</v>
      </c>
      <c r="K36" s="128">
        <v>0</v>
      </c>
      <c r="L36" s="129">
        <v>0</v>
      </c>
      <c r="M36" s="126">
        <v>0</v>
      </c>
      <c r="N36" s="130">
        <v>0</v>
      </c>
      <c r="O36" s="125">
        <v>0</v>
      </c>
      <c r="P36" s="129">
        <v>0</v>
      </c>
      <c r="Q36" s="125">
        <v>0</v>
      </c>
      <c r="R36" s="129">
        <v>0</v>
      </c>
      <c r="S36" s="126">
        <v>0</v>
      </c>
      <c r="T36" s="130">
        <v>0</v>
      </c>
      <c r="U36" s="126">
        <v>0</v>
      </c>
      <c r="V36" s="137">
        <v>0</v>
      </c>
      <c r="W36" s="37">
        <f t="shared" si="0"/>
        <v>0</v>
      </c>
      <c r="X36" s="115"/>
      <c r="Y36" s="115"/>
      <c r="Z36" s="115"/>
      <c r="AA36" s="115"/>
      <c r="AB36" s="115"/>
      <c r="AC36" s="115"/>
      <c r="AD36" s="139">
        <f t="shared" si="1"/>
        <v>0</v>
      </c>
      <c r="AE36" s="116"/>
      <c r="AF36" s="117"/>
      <c r="AG36" s="113"/>
    </row>
    <row r="37" spans="1:33">
      <c r="A37" s="112"/>
      <c r="B37" s="39"/>
      <c r="C37" s="39"/>
      <c r="D37" s="39"/>
      <c r="E37" s="113"/>
      <c r="F37" s="39"/>
      <c r="G37" s="114"/>
      <c r="H37" s="123"/>
      <c r="I37" s="126">
        <v>0</v>
      </c>
      <c r="J37" s="127">
        <v>0</v>
      </c>
      <c r="K37" s="128">
        <v>0</v>
      </c>
      <c r="L37" s="129">
        <v>0</v>
      </c>
      <c r="M37" s="126">
        <v>0</v>
      </c>
      <c r="N37" s="130">
        <v>0</v>
      </c>
      <c r="O37" s="125">
        <v>0</v>
      </c>
      <c r="P37" s="129">
        <v>0</v>
      </c>
      <c r="Q37" s="125">
        <v>0</v>
      </c>
      <c r="R37" s="129">
        <v>0</v>
      </c>
      <c r="S37" s="126">
        <v>0</v>
      </c>
      <c r="T37" s="130">
        <v>0</v>
      </c>
      <c r="U37" s="126">
        <v>0</v>
      </c>
      <c r="V37" s="137">
        <v>0</v>
      </c>
      <c r="W37" s="37">
        <f t="shared" si="0"/>
        <v>0</v>
      </c>
      <c r="X37" s="115"/>
      <c r="Y37" s="115"/>
      <c r="Z37" s="115"/>
      <c r="AA37" s="115"/>
      <c r="AB37" s="115"/>
      <c r="AC37" s="115"/>
      <c r="AD37" s="139">
        <f t="shared" si="1"/>
        <v>0</v>
      </c>
      <c r="AE37" s="116"/>
      <c r="AF37" s="117"/>
      <c r="AG37" s="113"/>
    </row>
    <row r="38" spans="1:33">
      <c r="A38" s="112"/>
      <c r="B38" s="39"/>
      <c r="C38" s="39"/>
      <c r="D38" s="39"/>
      <c r="E38" s="113"/>
      <c r="F38" s="39"/>
      <c r="G38" s="114"/>
      <c r="H38" s="123"/>
      <c r="I38" s="126">
        <v>0</v>
      </c>
      <c r="J38" s="127">
        <v>0</v>
      </c>
      <c r="K38" s="128">
        <v>0</v>
      </c>
      <c r="L38" s="129">
        <v>0</v>
      </c>
      <c r="M38" s="126">
        <v>0</v>
      </c>
      <c r="N38" s="130">
        <v>0</v>
      </c>
      <c r="O38" s="125">
        <v>0</v>
      </c>
      <c r="P38" s="129">
        <v>0</v>
      </c>
      <c r="Q38" s="125">
        <v>0</v>
      </c>
      <c r="R38" s="129">
        <v>0</v>
      </c>
      <c r="S38" s="126">
        <v>0</v>
      </c>
      <c r="T38" s="130">
        <v>0</v>
      </c>
      <c r="U38" s="126">
        <v>0</v>
      </c>
      <c r="V38" s="137">
        <v>0</v>
      </c>
      <c r="W38" s="37">
        <f t="shared" si="0"/>
        <v>0</v>
      </c>
      <c r="X38" s="115"/>
      <c r="Y38" s="115"/>
      <c r="Z38" s="115"/>
      <c r="AA38" s="115"/>
      <c r="AB38" s="115"/>
      <c r="AC38" s="115"/>
      <c r="AD38" s="139">
        <f t="shared" si="1"/>
        <v>0</v>
      </c>
      <c r="AE38" s="116"/>
      <c r="AF38" s="117"/>
      <c r="AG38" s="113"/>
    </row>
    <row r="39" spans="1:33">
      <c r="A39" s="112"/>
      <c r="B39" s="39"/>
      <c r="C39" s="39"/>
      <c r="D39" s="39"/>
      <c r="E39" s="113"/>
      <c r="F39" s="39"/>
      <c r="G39" s="114"/>
      <c r="H39" s="123"/>
      <c r="I39" s="126">
        <v>0</v>
      </c>
      <c r="J39" s="127">
        <v>0</v>
      </c>
      <c r="K39" s="128">
        <v>0</v>
      </c>
      <c r="L39" s="129">
        <v>0</v>
      </c>
      <c r="M39" s="126">
        <v>0</v>
      </c>
      <c r="N39" s="130">
        <v>0</v>
      </c>
      <c r="O39" s="125">
        <v>0</v>
      </c>
      <c r="P39" s="129">
        <v>0</v>
      </c>
      <c r="Q39" s="125">
        <v>0</v>
      </c>
      <c r="R39" s="129">
        <v>0</v>
      </c>
      <c r="S39" s="126">
        <v>0</v>
      </c>
      <c r="T39" s="130">
        <v>0</v>
      </c>
      <c r="U39" s="126">
        <v>0</v>
      </c>
      <c r="V39" s="137">
        <v>0</v>
      </c>
      <c r="W39" s="37">
        <f t="shared" si="0"/>
        <v>0</v>
      </c>
      <c r="X39" s="115"/>
      <c r="Y39" s="115"/>
      <c r="Z39" s="115"/>
      <c r="AA39" s="115"/>
      <c r="AB39" s="115"/>
      <c r="AC39" s="115"/>
      <c r="AD39" s="139">
        <f t="shared" si="1"/>
        <v>0</v>
      </c>
      <c r="AE39" s="116"/>
      <c r="AF39" s="117"/>
      <c r="AG39" s="113"/>
    </row>
    <row r="40" spans="1:33">
      <c r="A40" s="112"/>
      <c r="B40" s="39"/>
      <c r="C40" s="39"/>
      <c r="D40" s="39"/>
      <c r="E40" s="113"/>
      <c r="F40" s="39"/>
      <c r="G40" s="114"/>
      <c r="H40" s="123"/>
      <c r="I40" s="126">
        <v>0</v>
      </c>
      <c r="J40" s="127">
        <v>0</v>
      </c>
      <c r="K40" s="128">
        <v>0</v>
      </c>
      <c r="L40" s="129">
        <v>0</v>
      </c>
      <c r="M40" s="126">
        <v>0</v>
      </c>
      <c r="N40" s="130">
        <v>0</v>
      </c>
      <c r="O40" s="125">
        <v>0</v>
      </c>
      <c r="P40" s="129">
        <v>0</v>
      </c>
      <c r="Q40" s="125">
        <v>0</v>
      </c>
      <c r="R40" s="129">
        <v>0</v>
      </c>
      <c r="S40" s="126">
        <v>0</v>
      </c>
      <c r="T40" s="130">
        <v>0</v>
      </c>
      <c r="U40" s="126">
        <v>0</v>
      </c>
      <c r="V40" s="137">
        <v>0</v>
      </c>
      <c r="W40" s="37">
        <f t="shared" si="0"/>
        <v>0</v>
      </c>
      <c r="X40" s="115"/>
      <c r="Y40" s="115"/>
      <c r="Z40" s="115"/>
      <c r="AA40" s="115"/>
      <c r="AB40" s="115"/>
      <c r="AC40" s="115"/>
      <c r="AD40" s="139">
        <f t="shared" si="1"/>
        <v>0</v>
      </c>
      <c r="AE40" s="116"/>
      <c r="AF40" s="117"/>
      <c r="AG40" s="113"/>
    </row>
    <row r="41" spans="1:33">
      <c r="A41" s="112"/>
      <c r="B41" s="39"/>
      <c r="C41" s="39"/>
      <c r="D41" s="39"/>
      <c r="E41" s="113"/>
      <c r="F41" s="39"/>
      <c r="G41" s="114"/>
      <c r="H41" s="123"/>
      <c r="I41" s="126">
        <v>0</v>
      </c>
      <c r="J41" s="127">
        <v>0</v>
      </c>
      <c r="K41" s="128">
        <v>0</v>
      </c>
      <c r="L41" s="129">
        <v>0</v>
      </c>
      <c r="M41" s="126">
        <v>0</v>
      </c>
      <c r="N41" s="130">
        <v>0</v>
      </c>
      <c r="O41" s="125">
        <v>0</v>
      </c>
      <c r="P41" s="129">
        <v>0</v>
      </c>
      <c r="Q41" s="125">
        <v>0</v>
      </c>
      <c r="R41" s="129">
        <v>0</v>
      </c>
      <c r="S41" s="126">
        <v>0</v>
      </c>
      <c r="T41" s="130">
        <v>0</v>
      </c>
      <c r="U41" s="126">
        <v>0</v>
      </c>
      <c r="V41" s="137">
        <v>0</v>
      </c>
      <c r="W41" s="37">
        <f t="shared" si="0"/>
        <v>0</v>
      </c>
      <c r="X41" s="115"/>
      <c r="Y41" s="115"/>
      <c r="Z41" s="115"/>
      <c r="AA41" s="115"/>
      <c r="AB41" s="115"/>
      <c r="AC41" s="115"/>
      <c r="AD41" s="139">
        <f t="shared" si="1"/>
        <v>0</v>
      </c>
      <c r="AE41" s="116"/>
      <c r="AF41" s="117"/>
      <c r="AG41" s="113"/>
    </row>
    <row r="42" spans="1:33">
      <c r="A42" s="112"/>
      <c r="B42" s="39"/>
      <c r="C42" s="39"/>
      <c r="D42" s="39"/>
      <c r="E42" s="113"/>
      <c r="F42" s="39"/>
      <c r="G42" s="114"/>
      <c r="H42" s="123"/>
      <c r="I42" s="126">
        <v>0</v>
      </c>
      <c r="J42" s="127">
        <v>0</v>
      </c>
      <c r="K42" s="128">
        <v>0</v>
      </c>
      <c r="L42" s="129">
        <v>0</v>
      </c>
      <c r="M42" s="126">
        <v>0</v>
      </c>
      <c r="N42" s="130">
        <v>0</v>
      </c>
      <c r="O42" s="125">
        <v>0</v>
      </c>
      <c r="P42" s="129">
        <v>0</v>
      </c>
      <c r="Q42" s="125">
        <v>0</v>
      </c>
      <c r="R42" s="129">
        <v>0</v>
      </c>
      <c r="S42" s="126">
        <v>0</v>
      </c>
      <c r="T42" s="130">
        <v>0</v>
      </c>
      <c r="U42" s="126">
        <v>0</v>
      </c>
      <c r="V42" s="137">
        <v>0</v>
      </c>
      <c r="W42" s="37">
        <f t="shared" si="0"/>
        <v>0</v>
      </c>
      <c r="X42" s="115"/>
      <c r="Y42" s="115"/>
      <c r="Z42" s="115"/>
      <c r="AA42" s="115"/>
      <c r="AB42" s="115"/>
      <c r="AC42" s="115"/>
      <c r="AD42" s="139">
        <f t="shared" ref="AD42:AD73" si="4">W42-SUM(Y42:Z42)</f>
        <v>0</v>
      </c>
      <c r="AE42" s="116"/>
      <c r="AF42" s="117"/>
      <c r="AG42" s="113"/>
    </row>
    <row r="43" spans="1:33">
      <c r="A43" s="112"/>
      <c r="B43" s="39"/>
      <c r="C43" s="39"/>
      <c r="D43" s="39"/>
      <c r="E43" s="113"/>
      <c r="F43" s="39"/>
      <c r="G43" s="114"/>
      <c r="H43" s="123"/>
      <c r="I43" s="126">
        <v>0</v>
      </c>
      <c r="J43" s="127">
        <v>0</v>
      </c>
      <c r="K43" s="128">
        <v>0</v>
      </c>
      <c r="L43" s="129">
        <v>0</v>
      </c>
      <c r="M43" s="126">
        <v>0</v>
      </c>
      <c r="N43" s="130">
        <v>0</v>
      </c>
      <c r="O43" s="125">
        <v>0</v>
      </c>
      <c r="P43" s="129">
        <v>0</v>
      </c>
      <c r="Q43" s="125">
        <v>0</v>
      </c>
      <c r="R43" s="129">
        <v>0</v>
      </c>
      <c r="S43" s="126">
        <v>0</v>
      </c>
      <c r="T43" s="130">
        <v>0</v>
      </c>
      <c r="U43" s="126">
        <v>0</v>
      </c>
      <c r="V43" s="137">
        <v>0</v>
      </c>
      <c r="W43" s="37">
        <f t="shared" si="0"/>
        <v>0</v>
      </c>
      <c r="X43" s="115"/>
      <c r="Y43" s="115"/>
      <c r="Z43" s="115"/>
      <c r="AA43" s="115"/>
      <c r="AB43" s="115"/>
      <c r="AC43" s="115"/>
      <c r="AD43" s="139">
        <f t="shared" si="4"/>
        <v>0</v>
      </c>
      <c r="AE43" s="116"/>
      <c r="AF43" s="117"/>
      <c r="AG43" s="113"/>
    </row>
    <row r="44" spans="1:33">
      <c r="A44" s="112"/>
      <c r="B44" s="39"/>
      <c r="C44" s="39"/>
      <c r="D44" s="39"/>
      <c r="E44" s="113"/>
      <c r="F44" s="39"/>
      <c r="G44" s="114"/>
      <c r="H44" s="123"/>
      <c r="I44" s="126">
        <v>0</v>
      </c>
      <c r="J44" s="127">
        <v>0</v>
      </c>
      <c r="K44" s="128">
        <v>0</v>
      </c>
      <c r="L44" s="129">
        <v>0</v>
      </c>
      <c r="M44" s="126">
        <v>0</v>
      </c>
      <c r="N44" s="130">
        <v>0</v>
      </c>
      <c r="O44" s="125">
        <v>0</v>
      </c>
      <c r="P44" s="129">
        <v>0</v>
      </c>
      <c r="Q44" s="125">
        <v>0</v>
      </c>
      <c r="R44" s="129">
        <v>0</v>
      </c>
      <c r="S44" s="126">
        <v>0</v>
      </c>
      <c r="T44" s="130">
        <v>0</v>
      </c>
      <c r="U44" s="126">
        <v>0</v>
      </c>
      <c r="V44" s="137">
        <v>0</v>
      </c>
      <c r="W44" s="37">
        <f t="shared" si="0"/>
        <v>0</v>
      </c>
      <c r="X44" s="115"/>
      <c r="Y44" s="115"/>
      <c r="Z44" s="115"/>
      <c r="AA44" s="115"/>
      <c r="AB44" s="115"/>
      <c r="AC44" s="115"/>
      <c r="AD44" s="139">
        <f t="shared" si="4"/>
        <v>0</v>
      </c>
      <c r="AE44" s="116"/>
      <c r="AF44" s="117"/>
      <c r="AG44" s="113"/>
    </row>
    <row r="45" spans="1:33">
      <c r="A45" s="112"/>
      <c r="B45" s="39"/>
      <c r="C45" s="39"/>
      <c r="D45" s="39"/>
      <c r="E45" s="113"/>
      <c r="F45" s="39"/>
      <c r="G45" s="114"/>
      <c r="H45" s="123"/>
      <c r="I45" s="126">
        <v>0</v>
      </c>
      <c r="J45" s="127">
        <v>0</v>
      </c>
      <c r="K45" s="128">
        <v>0</v>
      </c>
      <c r="L45" s="129">
        <v>0</v>
      </c>
      <c r="M45" s="126">
        <v>0</v>
      </c>
      <c r="N45" s="130">
        <v>0</v>
      </c>
      <c r="O45" s="125">
        <v>0</v>
      </c>
      <c r="P45" s="129">
        <v>0</v>
      </c>
      <c r="Q45" s="125">
        <v>0</v>
      </c>
      <c r="R45" s="129">
        <v>0</v>
      </c>
      <c r="S45" s="126">
        <v>0</v>
      </c>
      <c r="T45" s="130">
        <v>0</v>
      </c>
      <c r="U45" s="126">
        <v>0</v>
      </c>
      <c r="V45" s="137">
        <v>0</v>
      </c>
      <c r="W45" s="37">
        <f t="shared" si="0"/>
        <v>0</v>
      </c>
      <c r="X45" s="115"/>
      <c r="Y45" s="115"/>
      <c r="Z45" s="115"/>
      <c r="AA45" s="115"/>
      <c r="AB45" s="115"/>
      <c r="AC45" s="115"/>
      <c r="AD45" s="139">
        <f t="shared" si="4"/>
        <v>0</v>
      </c>
      <c r="AE45" s="116"/>
      <c r="AF45" s="117"/>
      <c r="AG45" s="113"/>
    </row>
    <row r="46" spans="1:33">
      <c r="A46" s="112"/>
      <c r="B46" s="39"/>
      <c r="C46" s="39"/>
      <c r="D46" s="39"/>
      <c r="E46" s="113"/>
      <c r="F46" s="39"/>
      <c r="G46" s="114"/>
      <c r="H46" s="123"/>
      <c r="I46" s="126">
        <v>0</v>
      </c>
      <c r="J46" s="127">
        <v>0</v>
      </c>
      <c r="K46" s="128">
        <v>0</v>
      </c>
      <c r="L46" s="129">
        <v>0</v>
      </c>
      <c r="M46" s="126">
        <v>0</v>
      </c>
      <c r="N46" s="130">
        <v>0</v>
      </c>
      <c r="O46" s="125">
        <v>0</v>
      </c>
      <c r="P46" s="129">
        <v>0</v>
      </c>
      <c r="Q46" s="125">
        <v>0</v>
      </c>
      <c r="R46" s="129">
        <v>0</v>
      </c>
      <c r="S46" s="126">
        <v>0</v>
      </c>
      <c r="T46" s="130">
        <v>0</v>
      </c>
      <c r="U46" s="126">
        <v>0</v>
      </c>
      <c r="V46" s="137">
        <v>0</v>
      </c>
      <c r="W46" s="37">
        <f t="shared" si="0"/>
        <v>0</v>
      </c>
      <c r="X46" s="115"/>
      <c r="Y46" s="115"/>
      <c r="Z46" s="115"/>
      <c r="AA46" s="115"/>
      <c r="AB46" s="115"/>
      <c r="AC46" s="115"/>
      <c r="AD46" s="139">
        <f t="shared" si="4"/>
        <v>0</v>
      </c>
      <c r="AE46" s="116"/>
      <c r="AF46" s="117"/>
      <c r="AG46" s="113"/>
    </row>
    <row r="47" spans="1:33">
      <c r="A47" s="112"/>
      <c r="B47" s="39"/>
      <c r="C47" s="39"/>
      <c r="D47" s="39"/>
      <c r="E47" s="113"/>
      <c r="F47" s="39"/>
      <c r="G47" s="114"/>
      <c r="H47" s="123"/>
      <c r="I47" s="126">
        <v>0</v>
      </c>
      <c r="J47" s="127">
        <v>0</v>
      </c>
      <c r="K47" s="128">
        <v>0</v>
      </c>
      <c r="L47" s="129">
        <v>0</v>
      </c>
      <c r="M47" s="126">
        <v>0</v>
      </c>
      <c r="N47" s="130">
        <v>0</v>
      </c>
      <c r="O47" s="125">
        <v>0</v>
      </c>
      <c r="P47" s="129">
        <v>0</v>
      </c>
      <c r="Q47" s="125">
        <v>0</v>
      </c>
      <c r="R47" s="129">
        <v>0</v>
      </c>
      <c r="S47" s="126">
        <v>0</v>
      </c>
      <c r="T47" s="130">
        <v>0</v>
      </c>
      <c r="U47" s="126">
        <v>0</v>
      </c>
      <c r="V47" s="137">
        <v>0</v>
      </c>
      <c r="W47" s="37">
        <f t="shared" si="0"/>
        <v>0</v>
      </c>
      <c r="X47" s="115"/>
      <c r="Y47" s="115"/>
      <c r="Z47" s="115"/>
      <c r="AA47" s="115"/>
      <c r="AB47" s="115"/>
      <c r="AC47" s="115"/>
      <c r="AD47" s="139">
        <f t="shared" si="4"/>
        <v>0</v>
      </c>
      <c r="AE47" s="116"/>
      <c r="AF47" s="117"/>
      <c r="AG47" s="113"/>
    </row>
    <row r="48" spans="1:33">
      <c r="A48" s="112"/>
      <c r="B48" s="39"/>
      <c r="C48" s="39"/>
      <c r="D48" s="39"/>
      <c r="E48" s="113"/>
      <c r="F48" s="39"/>
      <c r="G48" s="114"/>
      <c r="H48" s="123"/>
      <c r="I48" s="126">
        <v>0</v>
      </c>
      <c r="J48" s="127">
        <v>0</v>
      </c>
      <c r="K48" s="128">
        <v>0</v>
      </c>
      <c r="L48" s="129">
        <v>0</v>
      </c>
      <c r="M48" s="126">
        <v>0</v>
      </c>
      <c r="N48" s="130">
        <v>0</v>
      </c>
      <c r="O48" s="125">
        <v>0</v>
      </c>
      <c r="P48" s="129">
        <v>0</v>
      </c>
      <c r="Q48" s="125">
        <v>0</v>
      </c>
      <c r="R48" s="129">
        <v>0</v>
      </c>
      <c r="S48" s="126">
        <v>0</v>
      </c>
      <c r="T48" s="130">
        <v>0</v>
      </c>
      <c r="U48" s="126">
        <v>0</v>
      </c>
      <c r="V48" s="137">
        <v>0</v>
      </c>
      <c r="W48" s="37">
        <f t="shared" si="0"/>
        <v>0</v>
      </c>
      <c r="X48" s="115"/>
      <c r="Y48" s="115"/>
      <c r="Z48" s="115"/>
      <c r="AA48" s="115"/>
      <c r="AB48" s="115"/>
      <c r="AC48" s="115"/>
      <c r="AD48" s="139">
        <f t="shared" si="4"/>
        <v>0</v>
      </c>
      <c r="AE48" s="116"/>
      <c r="AF48" s="117"/>
      <c r="AG48" s="113"/>
    </row>
    <row r="49" spans="1:33">
      <c r="A49" s="112"/>
      <c r="B49" s="39"/>
      <c r="C49" s="39"/>
      <c r="D49" s="39"/>
      <c r="E49" s="113"/>
      <c r="F49" s="39"/>
      <c r="G49" s="114"/>
      <c r="H49" s="123"/>
      <c r="I49" s="126">
        <v>0</v>
      </c>
      <c r="J49" s="127">
        <v>0</v>
      </c>
      <c r="K49" s="128">
        <v>0</v>
      </c>
      <c r="L49" s="129">
        <v>0</v>
      </c>
      <c r="M49" s="126">
        <v>0</v>
      </c>
      <c r="N49" s="130">
        <v>0</v>
      </c>
      <c r="O49" s="125">
        <v>0</v>
      </c>
      <c r="P49" s="129">
        <v>0</v>
      </c>
      <c r="Q49" s="125">
        <v>0</v>
      </c>
      <c r="R49" s="129">
        <v>0</v>
      </c>
      <c r="S49" s="126">
        <v>0</v>
      </c>
      <c r="T49" s="130">
        <v>0</v>
      </c>
      <c r="U49" s="126">
        <v>0</v>
      </c>
      <c r="V49" s="137">
        <v>0</v>
      </c>
      <c r="W49" s="37">
        <f t="shared" si="0"/>
        <v>0</v>
      </c>
      <c r="X49" s="115"/>
      <c r="Y49" s="115"/>
      <c r="Z49" s="115"/>
      <c r="AA49" s="115"/>
      <c r="AB49" s="115"/>
      <c r="AC49" s="115"/>
      <c r="AD49" s="139">
        <f t="shared" si="4"/>
        <v>0</v>
      </c>
      <c r="AE49" s="116"/>
      <c r="AF49" s="117"/>
      <c r="AG49" s="113"/>
    </row>
    <row r="50" spans="1:33">
      <c r="A50" s="112"/>
      <c r="B50" s="39"/>
      <c r="C50" s="39"/>
      <c r="D50" s="39"/>
      <c r="E50" s="113"/>
      <c r="F50" s="39"/>
      <c r="G50" s="114"/>
      <c r="H50" s="123"/>
      <c r="I50" s="126">
        <v>0</v>
      </c>
      <c r="J50" s="127">
        <v>0</v>
      </c>
      <c r="K50" s="128">
        <v>0</v>
      </c>
      <c r="L50" s="129">
        <v>0</v>
      </c>
      <c r="M50" s="126">
        <v>0</v>
      </c>
      <c r="N50" s="130">
        <v>0</v>
      </c>
      <c r="O50" s="125">
        <v>0</v>
      </c>
      <c r="P50" s="129">
        <v>0</v>
      </c>
      <c r="Q50" s="125">
        <v>0</v>
      </c>
      <c r="R50" s="129">
        <v>0</v>
      </c>
      <c r="S50" s="126">
        <v>0</v>
      </c>
      <c r="T50" s="130">
        <v>0</v>
      </c>
      <c r="U50" s="126">
        <v>0</v>
      </c>
      <c r="V50" s="137">
        <v>0</v>
      </c>
      <c r="W50" s="37">
        <f t="shared" ref="W50:W73" si="5">+G50-(SUM(I50:N50,P50,Q50,R50,S50,T50,V50))</f>
        <v>0</v>
      </c>
      <c r="X50" s="115"/>
      <c r="Y50" s="115"/>
      <c r="Z50" s="115"/>
      <c r="AA50" s="115"/>
      <c r="AB50" s="115"/>
      <c r="AC50" s="115"/>
      <c r="AD50" s="139">
        <f t="shared" si="4"/>
        <v>0</v>
      </c>
      <c r="AE50" s="116"/>
      <c r="AF50" s="117"/>
      <c r="AG50" s="113"/>
    </row>
    <row r="51" spans="1:33">
      <c r="A51" s="112"/>
      <c r="B51" s="39"/>
      <c r="C51" s="39"/>
      <c r="D51" s="39"/>
      <c r="E51" s="113"/>
      <c r="F51" s="39"/>
      <c r="G51" s="114"/>
      <c r="H51" s="123"/>
      <c r="I51" s="126">
        <v>0</v>
      </c>
      <c r="J51" s="127">
        <v>0</v>
      </c>
      <c r="K51" s="128">
        <v>0</v>
      </c>
      <c r="L51" s="129">
        <v>0</v>
      </c>
      <c r="M51" s="126">
        <v>0</v>
      </c>
      <c r="N51" s="130">
        <v>0</v>
      </c>
      <c r="O51" s="125">
        <v>0</v>
      </c>
      <c r="P51" s="129">
        <v>0</v>
      </c>
      <c r="Q51" s="125">
        <v>0</v>
      </c>
      <c r="R51" s="129">
        <v>0</v>
      </c>
      <c r="S51" s="126">
        <v>0</v>
      </c>
      <c r="T51" s="130">
        <v>0</v>
      </c>
      <c r="U51" s="126">
        <v>0</v>
      </c>
      <c r="V51" s="137">
        <v>0</v>
      </c>
      <c r="W51" s="37">
        <f t="shared" si="5"/>
        <v>0</v>
      </c>
      <c r="X51" s="115"/>
      <c r="Y51" s="115"/>
      <c r="Z51" s="115"/>
      <c r="AA51" s="115"/>
      <c r="AB51" s="115"/>
      <c r="AC51" s="115"/>
      <c r="AD51" s="139">
        <f t="shared" si="4"/>
        <v>0</v>
      </c>
      <c r="AE51" s="116"/>
      <c r="AF51" s="117"/>
      <c r="AG51" s="113"/>
    </row>
    <row r="52" spans="1:33">
      <c r="A52" s="112"/>
      <c r="B52" s="39"/>
      <c r="C52" s="39"/>
      <c r="D52" s="39"/>
      <c r="E52" s="113"/>
      <c r="F52" s="39"/>
      <c r="G52" s="114"/>
      <c r="H52" s="123"/>
      <c r="I52" s="126">
        <v>0</v>
      </c>
      <c r="J52" s="127">
        <v>0</v>
      </c>
      <c r="K52" s="128">
        <v>0</v>
      </c>
      <c r="L52" s="129">
        <v>0</v>
      </c>
      <c r="M52" s="126">
        <v>0</v>
      </c>
      <c r="N52" s="130">
        <v>0</v>
      </c>
      <c r="O52" s="125">
        <v>0</v>
      </c>
      <c r="P52" s="129">
        <v>0</v>
      </c>
      <c r="Q52" s="125">
        <v>0</v>
      </c>
      <c r="R52" s="129">
        <v>0</v>
      </c>
      <c r="S52" s="126">
        <v>0</v>
      </c>
      <c r="T52" s="130">
        <v>0</v>
      </c>
      <c r="U52" s="126">
        <v>0</v>
      </c>
      <c r="V52" s="137">
        <v>0</v>
      </c>
      <c r="W52" s="37">
        <f t="shared" si="5"/>
        <v>0</v>
      </c>
      <c r="X52" s="115"/>
      <c r="Y52" s="115"/>
      <c r="Z52" s="115"/>
      <c r="AA52" s="115"/>
      <c r="AB52" s="115"/>
      <c r="AC52" s="115"/>
      <c r="AD52" s="139">
        <f t="shared" si="4"/>
        <v>0</v>
      </c>
      <c r="AE52" s="116"/>
      <c r="AF52" s="117"/>
      <c r="AG52" s="113"/>
    </row>
    <row r="53" spans="1:33">
      <c r="A53" s="112"/>
      <c r="B53" s="39"/>
      <c r="C53" s="39"/>
      <c r="D53" s="39"/>
      <c r="E53" s="113"/>
      <c r="F53" s="39"/>
      <c r="G53" s="114"/>
      <c r="H53" s="123"/>
      <c r="I53" s="126">
        <v>0</v>
      </c>
      <c r="J53" s="127">
        <v>0</v>
      </c>
      <c r="K53" s="128">
        <v>0</v>
      </c>
      <c r="L53" s="129">
        <v>0</v>
      </c>
      <c r="M53" s="126">
        <v>0</v>
      </c>
      <c r="N53" s="130">
        <v>0</v>
      </c>
      <c r="O53" s="125">
        <v>0</v>
      </c>
      <c r="P53" s="129">
        <v>0</v>
      </c>
      <c r="Q53" s="125">
        <v>0</v>
      </c>
      <c r="R53" s="129">
        <v>0</v>
      </c>
      <c r="S53" s="126">
        <v>0</v>
      </c>
      <c r="T53" s="130">
        <v>0</v>
      </c>
      <c r="U53" s="126">
        <v>0</v>
      </c>
      <c r="V53" s="137">
        <v>0</v>
      </c>
      <c r="W53" s="37">
        <f t="shared" si="5"/>
        <v>0</v>
      </c>
      <c r="X53" s="115"/>
      <c r="Y53" s="115"/>
      <c r="Z53" s="115"/>
      <c r="AA53" s="115"/>
      <c r="AB53" s="115"/>
      <c r="AC53" s="115"/>
      <c r="AD53" s="139">
        <f t="shared" si="4"/>
        <v>0</v>
      </c>
      <c r="AE53" s="116"/>
      <c r="AF53" s="117"/>
      <c r="AG53" s="113"/>
    </row>
    <row r="54" spans="1:33">
      <c r="A54" s="112"/>
      <c r="B54" s="39"/>
      <c r="C54" s="39"/>
      <c r="D54" s="39"/>
      <c r="E54" s="113"/>
      <c r="F54" s="39"/>
      <c r="G54" s="114"/>
      <c r="H54" s="123"/>
      <c r="I54" s="126">
        <v>0</v>
      </c>
      <c r="J54" s="127">
        <v>0</v>
      </c>
      <c r="K54" s="128">
        <v>0</v>
      </c>
      <c r="L54" s="129">
        <v>0</v>
      </c>
      <c r="M54" s="126">
        <v>0</v>
      </c>
      <c r="N54" s="130">
        <v>0</v>
      </c>
      <c r="O54" s="125">
        <v>0</v>
      </c>
      <c r="P54" s="129">
        <v>0</v>
      </c>
      <c r="Q54" s="125">
        <v>0</v>
      </c>
      <c r="R54" s="129">
        <v>0</v>
      </c>
      <c r="S54" s="126">
        <v>0</v>
      </c>
      <c r="T54" s="130">
        <v>0</v>
      </c>
      <c r="U54" s="126">
        <v>0</v>
      </c>
      <c r="V54" s="137">
        <v>0</v>
      </c>
      <c r="W54" s="37">
        <f t="shared" si="5"/>
        <v>0</v>
      </c>
      <c r="X54" s="115"/>
      <c r="Y54" s="115"/>
      <c r="Z54" s="115"/>
      <c r="AA54" s="115"/>
      <c r="AB54" s="115"/>
      <c r="AC54" s="115"/>
      <c r="AD54" s="139">
        <f t="shared" si="4"/>
        <v>0</v>
      </c>
      <c r="AE54" s="116"/>
      <c r="AF54" s="117"/>
      <c r="AG54" s="113"/>
    </row>
    <row r="55" spans="1:33">
      <c r="A55" s="112"/>
      <c r="B55" s="39"/>
      <c r="C55" s="39"/>
      <c r="D55" s="39"/>
      <c r="E55" s="113"/>
      <c r="F55" s="39"/>
      <c r="G55" s="114"/>
      <c r="H55" s="123"/>
      <c r="I55" s="126">
        <v>0</v>
      </c>
      <c r="J55" s="127">
        <v>0</v>
      </c>
      <c r="K55" s="128">
        <v>0</v>
      </c>
      <c r="L55" s="129">
        <v>0</v>
      </c>
      <c r="M55" s="126">
        <v>0</v>
      </c>
      <c r="N55" s="130">
        <v>0</v>
      </c>
      <c r="O55" s="125">
        <v>0</v>
      </c>
      <c r="P55" s="129">
        <v>0</v>
      </c>
      <c r="Q55" s="125">
        <v>0</v>
      </c>
      <c r="R55" s="129">
        <v>0</v>
      </c>
      <c r="S55" s="126">
        <v>0</v>
      </c>
      <c r="T55" s="130">
        <v>0</v>
      </c>
      <c r="U55" s="126">
        <v>0</v>
      </c>
      <c r="V55" s="137">
        <v>0</v>
      </c>
      <c r="W55" s="37">
        <f t="shared" si="5"/>
        <v>0</v>
      </c>
      <c r="X55" s="115"/>
      <c r="Y55" s="115"/>
      <c r="Z55" s="115"/>
      <c r="AA55" s="115"/>
      <c r="AB55" s="115"/>
      <c r="AC55" s="115"/>
      <c r="AD55" s="139">
        <f t="shared" si="4"/>
        <v>0</v>
      </c>
      <c r="AE55" s="116"/>
      <c r="AF55" s="117"/>
      <c r="AG55" s="113"/>
    </row>
    <row r="56" spans="1:33">
      <c r="A56" s="112"/>
      <c r="B56" s="39"/>
      <c r="C56" s="39"/>
      <c r="D56" s="39"/>
      <c r="E56" s="113"/>
      <c r="F56" s="39"/>
      <c r="G56" s="114"/>
      <c r="H56" s="123"/>
      <c r="I56" s="126">
        <v>0</v>
      </c>
      <c r="J56" s="127">
        <v>0</v>
      </c>
      <c r="K56" s="128">
        <v>0</v>
      </c>
      <c r="L56" s="129">
        <v>0</v>
      </c>
      <c r="M56" s="126">
        <v>0</v>
      </c>
      <c r="N56" s="130">
        <v>0</v>
      </c>
      <c r="O56" s="125">
        <v>0</v>
      </c>
      <c r="P56" s="129">
        <v>0</v>
      </c>
      <c r="Q56" s="125">
        <v>0</v>
      </c>
      <c r="R56" s="129">
        <v>0</v>
      </c>
      <c r="S56" s="126">
        <v>0</v>
      </c>
      <c r="T56" s="130">
        <v>0</v>
      </c>
      <c r="U56" s="126">
        <v>0</v>
      </c>
      <c r="V56" s="137">
        <v>0</v>
      </c>
      <c r="W56" s="37">
        <f t="shared" si="5"/>
        <v>0</v>
      </c>
      <c r="X56" s="115"/>
      <c r="Y56" s="115"/>
      <c r="Z56" s="115"/>
      <c r="AA56" s="115"/>
      <c r="AB56" s="115"/>
      <c r="AC56" s="115"/>
      <c r="AD56" s="139">
        <f t="shared" si="4"/>
        <v>0</v>
      </c>
      <c r="AE56" s="116"/>
      <c r="AF56" s="117"/>
      <c r="AG56" s="113"/>
    </row>
    <row r="57" spans="1:33">
      <c r="A57" s="112"/>
      <c r="B57" s="39"/>
      <c r="C57" s="39"/>
      <c r="D57" s="39"/>
      <c r="E57" s="113"/>
      <c r="F57" s="39"/>
      <c r="G57" s="114"/>
      <c r="H57" s="123"/>
      <c r="I57" s="126">
        <v>0</v>
      </c>
      <c r="J57" s="127">
        <v>0</v>
      </c>
      <c r="K57" s="128">
        <v>0</v>
      </c>
      <c r="L57" s="129">
        <v>0</v>
      </c>
      <c r="M57" s="126">
        <v>0</v>
      </c>
      <c r="N57" s="130">
        <v>0</v>
      </c>
      <c r="O57" s="125">
        <v>0</v>
      </c>
      <c r="P57" s="129">
        <v>0</v>
      </c>
      <c r="Q57" s="125">
        <v>0</v>
      </c>
      <c r="R57" s="129">
        <v>0</v>
      </c>
      <c r="S57" s="126">
        <v>0</v>
      </c>
      <c r="T57" s="130">
        <v>0</v>
      </c>
      <c r="U57" s="126">
        <v>0</v>
      </c>
      <c r="V57" s="137">
        <v>0</v>
      </c>
      <c r="W57" s="37">
        <f t="shared" si="5"/>
        <v>0</v>
      </c>
      <c r="X57" s="115"/>
      <c r="Y57" s="115"/>
      <c r="Z57" s="115"/>
      <c r="AA57" s="115"/>
      <c r="AB57" s="115"/>
      <c r="AC57" s="115"/>
      <c r="AD57" s="139">
        <f t="shared" si="4"/>
        <v>0</v>
      </c>
      <c r="AE57" s="116"/>
      <c r="AF57" s="117"/>
      <c r="AG57" s="113"/>
    </row>
    <row r="58" spans="1:33">
      <c r="A58" s="112"/>
      <c r="B58" s="39"/>
      <c r="C58" s="39"/>
      <c r="D58" s="39"/>
      <c r="E58" s="113"/>
      <c r="F58" s="39"/>
      <c r="G58" s="114"/>
      <c r="H58" s="123"/>
      <c r="I58" s="126">
        <v>0</v>
      </c>
      <c r="J58" s="127">
        <v>0</v>
      </c>
      <c r="K58" s="128">
        <v>0</v>
      </c>
      <c r="L58" s="129">
        <v>0</v>
      </c>
      <c r="M58" s="126">
        <v>0</v>
      </c>
      <c r="N58" s="130">
        <v>0</v>
      </c>
      <c r="O58" s="125">
        <v>0</v>
      </c>
      <c r="P58" s="129">
        <v>0</v>
      </c>
      <c r="Q58" s="125">
        <v>0</v>
      </c>
      <c r="R58" s="129">
        <v>0</v>
      </c>
      <c r="S58" s="126">
        <v>0</v>
      </c>
      <c r="T58" s="130">
        <v>0</v>
      </c>
      <c r="U58" s="126">
        <v>0</v>
      </c>
      <c r="V58" s="137">
        <v>0</v>
      </c>
      <c r="W58" s="37">
        <f t="shared" si="5"/>
        <v>0</v>
      </c>
      <c r="X58" s="115"/>
      <c r="Y58" s="115"/>
      <c r="Z58" s="115"/>
      <c r="AA58" s="115"/>
      <c r="AB58" s="115"/>
      <c r="AC58" s="115"/>
      <c r="AD58" s="139">
        <f t="shared" si="4"/>
        <v>0</v>
      </c>
      <c r="AE58" s="116"/>
      <c r="AF58" s="117"/>
      <c r="AG58" s="113"/>
    </row>
    <row r="59" spans="1:33">
      <c r="A59" s="112"/>
      <c r="B59" s="39"/>
      <c r="C59" s="39"/>
      <c r="D59" s="39"/>
      <c r="E59" s="113"/>
      <c r="F59" s="39"/>
      <c r="G59" s="114"/>
      <c r="H59" s="123"/>
      <c r="I59" s="126">
        <v>0</v>
      </c>
      <c r="J59" s="127">
        <v>0</v>
      </c>
      <c r="K59" s="128">
        <v>0</v>
      </c>
      <c r="L59" s="129">
        <v>0</v>
      </c>
      <c r="M59" s="126">
        <v>0</v>
      </c>
      <c r="N59" s="130">
        <v>0</v>
      </c>
      <c r="O59" s="125">
        <v>0</v>
      </c>
      <c r="P59" s="129">
        <v>0</v>
      </c>
      <c r="Q59" s="125">
        <v>0</v>
      </c>
      <c r="R59" s="129">
        <v>0</v>
      </c>
      <c r="S59" s="126">
        <v>0</v>
      </c>
      <c r="T59" s="130">
        <v>0</v>
      </c>
      <c r="U59" s="126">
        <v>0</v>
      </c>
      <c r="V59" s="137">
        <v>0</v>
      </c>
      <c r="W59" s="37">
        <f t="shared" si="5"/>
        <v>0</v>
      </c>
      <c r="X59" s="115"/>
      <c r="Y59" s="115"/>
      <c r="Z59" s="115"/>
      <c r="AA59" s="115"/>
      <c r="AB59" s="115"/>
      <c r="AC59" s="115"/>
      <c r="AD59" s="139">
        <f t="shared" si="4"/>
        <v>0</v>
      </c>
      <c r="AE59" s="116"/>
      <c r="AF59" s="117"/>
      <c r="AG59" s="113"/>
    </row>
    <row r="60" spans="1:33">
      <c r="A60" s="112"/>
      <c r="B60" s="39"/>
      <c r="C60" s="39"/>
      <c r="D60" s="39"/>
      <c r="E60" s="113"/>
      <c r="F60" s="39"/>
      <c r="G60" s="114"/>
      <c r="H60" s="123"/>
      <c r="I60" s="126">
        <v>0</v>
      </c>
      <c r="J60" s="127">
        <v>0</v>
      </c>
      <c r="K60" s="128">
        <v>0</v>
      </c>
      <c r="L60" s="129">
        <v>0</v>
      </c>
      <c r="M60" s="126">
        <v>0</v>
      </c>
      <c r="N60" s="130">
        <v>0</v>
      </c>
      <c r="O60" s="125">
        <v>0</v>
      </c>
      <c r="P60" s="129">
        <v>0</v>
      </c>
      <c r="Q60" s="125">
        <v>0</v>
      </c>
      <c r="R60" s="129">
        <v>0</v>
      </c>
      <c r="S60" s="126">
        <v>0</v>
      </c>
      <c r="T60" s="130">
        <v>0</v>
      </c>
      <c r="U60" s="126">
        <v>0</v>
      </c>
      <c r="V60" s="137">
        <v>0</v>
      </c>
      <c r="W60" s="37">
        <f t="shared" si="5"/>
        <v>0</v>
      </c>
      <c r="X60" s="115"/>
      <c r="Y60" s="115"/>
      <c r="Z60" s="115"/>
      <c r="AA60" s="115"/>
      <c r="AB60" s="115"/>
      <c r="AC60" s="115"/>
      <c r="AD60" s="139">
        <f t="shared" si="4"/>
        <v>0</v>
      </c>
      <c r="AE60" s="116"/>
      <c r="AF60" s="117"/>
      <c r="AG60" s="113"/>
    </row>
    <row r="61" spans="1:33">
      <c r="A61" s="112"/>
      <c r="B61" s="39"/>
      <c r="C61" s="39"/>
      <c r="D61" s="39"/>
      <c r="E61" s="113"/>
      <c r="F61" s="39"/>
      <c r="G61" s="114"/>
      <c r="H61" s="123"/>
      <c r="I61" s="126">
        <v>0</v>
      </c>
      <c r="J61" s="127">
        <v>0</v>
      </c>
      <c r="K61" s="128">
        <v>0</v>
      </c>
      <c r="L61" s="129">
        <v>0</v>
      </c>
      <c r="M61" s="126">
        <v>0</v>
      </c>
      <c r="N61" s="130">
        <v>0</v>
      </c>
      <c r="O61" s="125">
        <v>0</v>
      </c>
      <c r="P61" s="129">
        <v>0</v>
      </c>
      <c r="Q61" s="125">
        <v>0</v>
      </c>
      <c r="R61" s="129">
        <v>0</v>
      </c>
      <c r="S61" s="126">
        <v>0</v>
      </c>
      <c r="T61" s="130">
        <v>0</v>
      </c>
      <c r="U61" s="126">
        <v>0</v>
      </c>
      <c r="V61" s="137">
        <v>0</v>
      </c>
      <c r="W61" s="37">
        <f t="shared" si="5"/>
        <v>0</v>
      </c>
      <c r="X61" s="115"/>
      <c r="Y61" s="115"/>
      <c r="Z61" s="115"/>
      <c r="AA61" s="115"/>
      <c r="AB61" s="115"/>
      <c r="AC61" s="115"/>
      <c r="AD61" s="139">
        <f t="shared" si="4"/>
        <v>0</v>
      </c>
      <c r="AE61" s="116"/>
      <c r="AF61" s="117"/>
      <c r="AG61" s="113"/>
    </row>
    <row r="62" spans="1:33">
      <c r="A62" s="112"/>
      <c r="B62" s="39"/>
      <c r="C62" s="39"/>
      <c r="D62" s="39"/>
      <c r="E62" s="113"/>
      <c r="F62" s="39"/>
      <c r="G62" s="114"/>
      <c r="H62" s="123"/>
      <c r="I62" s="126">
        <v>0</v>
      </c>
      <c r="J62" s="127">
        <v>0</v>
      </c>
      <c r="K62" s="128">
        <v>0</v>
      </c>
      <c r="L62" s="129">
        <v>0</v>
      </c>
      <c r="M62" s="126">
        <v>0</v>
      </c>
      <c r="N62" s="130">
        <v>0</v>
      </c>
      <c r="O62" s="125">
        <v>0</v>
      </c>
      <c r="P62" s="129">
        <v>0</v>
      </c>
      <c r="Q62" s="125">
        <v>0</v>
      </c>
      <c r="R62" s="129">
        <v>0</v>
      </c>
      <c r="S62" s="126">
        <v>0</v>
      </c>
      <c r="T62" s="130">
        <v>0</v>
      </c>
      <c r="U62" s="126">
        <v>0</v>
      </c>
      <c r="V62" s="137">
        <v>0</v>
      </c>
      <c r="W62" s="37">
        <f t="shared" si="5"/>
        <v>0</v>
      </c>
      <c r="X62" s="115"/>
      <c r="Y62" s="115"/>
      <c r="Z62" s="115"/>
      <c r="AA62" s="115"/>
      <c r="AB62" s="115"/>
      <c r="AC62" s="115"/>
      <c r="AD62" s="139">
        <f t="shared" si="4"/>
        <v>0</v>
      </c>
      <c r="AE62" s="116"/>
      <c r="AF62" s="117"/>
      <c r="AG62" s="113"/>
    </row>
    <row r="63" spans="1:33">
      <c r="A63" s="112"/>
      <c r="B63" s="39"/>
      <c r="C63" s="39"/>
      <c r="D63" s="39"/>
      <c r="E63" s="113"/>
      <c r="F63" s="39"/>
      <c r="G63" s="114"/>
      <c r="H63" s="123"/>
      <c r="I63" s="126">
        <v>0</v>
      </c>
      <c r="J63" s="127">
        <v>0</v>
      </c>
      <c r="K63" s="128">
        <v>0</v>
      </c>
      <c r="L63" s="129">
        <v>0</v>
      </c>
      <c r="M63" s="126">
        <v>0</v>
      </c>
      <c r="N63" s="130">
        <v>0</v>
      </c>
      <c r="O63" s="125">
        <v>0</v>
      </c>
      <c r="P63" s="129">
        <v>0</v>
      </c>
      <c r="Q63" s="125">
        <v>0</v>
      </c>
      <c r="R63" s="129">
        <v>0</v>
      </c>
      <c r="S63" s="126">
        <v>0</v>
      </c>
      <c r="T63" s="130">
        <v>0</v>
      </c>
      <c r="U63" s="126">
        <v>0</v>
      </c>
      <c r="V63" s="137">
        <v>0</v>
      </c>
      <c r="W63" s="37">
        <f t="shared" si="5"/>
        <v>0</v>
      </c>
      <c r="X63" s="115"/>
      <c r="Y63" s="115"/>
      <c r="Z63" s="115"/>
      <c r="AA63" s="115"/>
      <c r="AB63" s="115"/>
      <c r="AC63" s="115"/>
      <c r="AD63" s="139">
        <f t="shared" si="4"/>
        <v>0</v>
      </c>
      <c r="AE63" s="116"/>
      <c r="AF63" s="117"/>
      <c r="AG63" s="113"/>
    </row>
    <row r="64" spans="1:33">
      <c r="A64" s="112"/>
      <c r="B64" s="39"/>
      <c r="C64" s="39"/>
      <c r="D64" s="39"/>
      <c r="E64" s="113"/>
      <c r="F64" s="39"/>
      <c r="G64" s="114"/>
      <c r="H64" s="123"/>
      <c r="I64" s="126">
        <v>0</v>
      </c>
      <c r="J64" s="127">
        <v>0</v>
      </c>
      <c r="K64" s="128">
        <v>0</v>
      </c>
      <c r="L64" s="129">
        <v>0</v>
      </c>
      <c r="M64" s="126">
        <v>0</v>
      </c>
      <c r="N64" s="130">
        <v>0</v>
      </c>
      <c r="O64" s="125">
        <v>0</v>
      </c>
      <c r="P64" s="129">
        <v>0</v>
      </c>
      <c r="Q64" s="125">
        <v>0</v>
      </c>
      <c r="R64" s="129">
        <v>0</v>
      </c>
      <c r="S64" s="126">
        <v>0</v>
      </c>
      <c r="T64" s="130">
        <v>0</v>
      </c>
      <c r="U64" s="126">
        <v>0</v>
      </c>
      <c r="V64" s="137">
        <v>0</v>
      </c>
      <c r="W64" s="37">
        <f t="shared" si="5"/>
        <v>0</v>
      </c>
      <c r="X64" s="115"/>
      <c r="Y64" s="115"/>
      <c r="Z64" s="115"/>
      <c r="AA64" s="115"/>
      <c r="AB64" s="115"/>
      <c r="AC64" s="115"/>
      <c r="AD64" s="139">
        <f t="shared" si="4"/>
        <v>0</v>
      </c>
      <c r="AE64" s="116"/>
      <c r="AF64" s="117"/>
      <c r="AG64" s="113"/>
    </row>
    <row r="65" spans="1:33">
      <c r="A65" s="112"/>
      <c r="B65" s="39"/>
      <c r="C65" s="39"/>
      <c r="D65" s="39"/>
      <c r="E65" s="113"/>
      <c r="F65" s="39"/>
      <c r="G65" s="114"/>
      <c r="H65" s="123"/>
      <c r="I65" s="126">
        <v>0</v>
      </c>
      <c r="J65" s="127">
        <v>0</v>
      </c>
      <c r="K65" s="128">
        <v>0</v>
      </c>
      <c r="L65" s="129">
        <v>0</v>
      </c>
      <c r="M65" s="126">
        <v>0</v>
      </c>
      <c r="N65" s="130">
        <v>0</v>
      </c>
      <c r="O65" s="125">
        <v>0</v>
      </c>
      <c r="P65" s="129">
        <v>0</v>
      </c>
      <c r="Q65" s="125">
        <v>0</v>
      </c>
      <c r="R65" s="129">
        <v>0</v>
      </c>
      <c r="S65" s="126">
        <v>0</v>
      </c>
      <c r="T65" s="130">
        <v>0</v>
      </c>
      <c r="U65" s="126">
        <v>0</v>
      </c>
      <c r="V65" s="137">
        <v>0</v>
      </c>
      <c r="W65" s="37">
        <f t="shared" si="5"/>
        <v>0</v>
      </c>
      <c r="X65" s="115"/>
      <c r="Y65" s="115"/>
      <c r="Z65" s="115"/>
      <c r="AA65" s="115"/>
      <c r="AB65" s="115"/>
      <c r="AC65" s="115"/>
      <c r="AD65" s="139">
        <f t="shared" si="4"/>
        <v>0</v>
      </c>
      <c r="AE65" s="116"/>
      <c r="AF65" s="117"/>
      <c r="AG65" s="113"/>
    </row>
    <row r="66" spans="1:33">
      <c r="A66" s="112"/>
      <c r="B66" s="39"/>
      <c r="C66" s="39"/>
      <c r="D66" s="39"/>
      <c r="E66" s="113"/>
      <c r="F66" s="39"/>
      <c r="G66" s="114"/>
      <c r="H66" s="123"/>
      <c r="I66" s="126">
        <v>0</v>
      </c>
      <c r="J66" s="127">
        <v>0</v>
      </c>
      <c r="K66" s="128">
        <v>0</v>
      </c>
      <c r="L66" s="129">
        <v>0</v>
      </c>
      <c r="M66" s="126">
        <v>0</v>
      </c>
      <c r="N66" s="130">
        <v>0</v>
      </c>
      <c r="O66" s="125">
        <v>0</v>
      </c>
      <c r="P66" s="129">
        <v>0</v>
      </c>
      <c r="Q66" s="125">
        <v>0</v>
      </c>
      <c r="R66" s="129">
        <v>0</v>
      </c>
      <c r="S66" s="126">
        <v>0</v>
      </c>
      <c r="T66" s="130">
        <v>0</v>
      </c>
      <c r="U66" s="126">
        <v>0</v>
      </c>
      <c r="V66" s="137">
        <v>0</v>
      </c>
      <c r="W66" s="37">
        <f t="shared" si="5"/>
        <v>0</v>
      </c>
      <c r="X66" s="115"/>
      <c r="Y66" s="115"/>
      <c r="Z66" s="115"/>
      <c r="AA66" s="115"/>
      <c r="AB66" s="115"/>
      <c r="AC66" s="115"/>
      <c r="AD66" s="139">
        <f t="shared" si="4"/>
        <v>0</v>
      </c>
      <c r="AE66" s="116"/>
      <c r="AF66" s="117"/>
      <c r="AG66" s="113"/>
    </row>
    <row r="67" spans="1:33">
      <c r="A67" s="112"/>
      <c r="B67" s="39"/>
      <c r="C67" s="39"/>
      <c r="D67" s="39"/>
      <c r="E67" s="113"/>
      <c r="F67" s="39"/>
      <c r="G67" s="114"/>
      <c r="H67" s="123"/>
      <c r="I67" s="126">
        <v>0</v>
      </c>
      <c r="J67" s="127">
        <v>0</v>
      </c>
      <c r="K67" s="128">
        <v>0</v>
      </c>
      <c r="L67" s="129">
        <v>0</v>
      </c>
      <c r="M67" s="126">
        <v>0</v>
      </c>
      <c r="N67" s="130">
        <v>0</v>
      </c>
      <c r="O67" s="125">
        <v>0</v>
      </c>
      <c r="P67" s="129">
        <v>0</v>
      </c>
      <c r="Q67" s="125">
        <v>0</v>
      </c>
      <c r="R67" s="129">
        <v>0</v>
      </c>
      <c r="S67" s="126">
        <v>0</v>
      </c>
      <c r="T67" s="130">
        <v>0</v>
      </c>
      <c r="U67" s="126">
        <v>0</v>
      </c>
      <c r="V67" s="137">
        <v>0</v>
      </c>
      <c r="W67" s="37">
        <f t="shared" si="5"/>
        <v>0</v>
      </c>
      <c r="X67" s="115"/>
      <c r="Y67" s="115"/>
      <c r="Z67" s="115"/>
      <c r="AA67" s="115"/>
      <c r="AB67" s="115"/>
      <c r="AC67" s="115"/>
      <c r="AD67" s="139">
        <f t="shared" si="4"/>
        <v>0</v>
      </c>
      <c r="AE67" s="116"/>
      <c r="AF67" s="117"/>
      <c r="AG67" s="113"/>
    </row>
    <row r="68" spans="1:33">
      <c r="A68" s="112"/>
      <c r="B68" s="39"/>
      <c r="C68" s="39"/>
      <c r="D68" s="39"/>
      <c r="E68" s="113"/>
      <c r="F68" s="39"/>
      <c r="G68" s="114"/>
      <c r="H68" s="123"/>
      <c r="I68" s="126">
        <v>0</v>
      </c>
      <c r="J68" s="127">
        <v>0</v>
      </c>
      <c r="K68" s="128">
        <v>0</v>
      </c>
      <c r="L68" s="129">
        <v>0</v>
      </c>
      <c r="M68" s="126">
        <v>0</v>
      </c>
      <c r="N68" s="130">
        <v>0</v>
      </c>
      <c r="O68" s="125">
        <v>0</v>
      </c>
      <c r="P68" s="129">
        <v>0</v>
      </c>
      <c r="Q68" s="125">
        <v>0</v>
      </c>
      <c r="R68" s="129">
        <v>0</v>
      </c>
      <c r="S68" s="126">
        <v>0</v>
      </c>
      <c r="T68" s="130">
        <v>0</v>
      </c>
      <c r="U68" s="126">
        <v>0</v>
      </c>
      <c r="V68" s="137">
        <v>0</v>
      </c>
      <c r="W68" s="37">
        <f t="shared" si="5"/>
        <v>0</v>
      </c>
      <c r="X68" s="115"/>
      <c r="Y68" s="115"/>
      <c r="Z68" s="115"/>
      <c r="AA68" s="115"/>
      <c r="AB68" s="115"/>
      <c r="AC68" s="115"/>
      <c r="AD68" s="139">
        <f t="shared" si="4"/>
        <v>0</v>
      </c>
      <c r="AE68" s="116"/>
      <c r="AF68" s="117"/>
      <c r="AG68" s="113"/>
    </row>
    <row r="69" spans="1:33">
      <c r="A69" s="112"/>
      <c r="B69" s="39"/>
      <c r="C69" s="39"/>
      <c r="D69" s="39"/>
      <c r="E69" s="113"/>
      <c r="F69" s="39"/>
      <c r="G69" s="114"/>
      <c r="H69" s="123"/>
      <c r="I69" s="126">
        <v>0</v>
      </c>
      <c r="J69" s="127">
        <v>0</v>
      </c>
      <c r="K69" s="128">
        <v>0</v>
      </c>
      <c r="L69" s="129">
        <v>0</v>
      </c>
      <c r="M69" s="126">
        <v>0</v>
      </c>
      <c r="N69" s="130">
        <v>0</v>
      </c>
      <c r="O69" s="125">
        <v>0</v>
      </c>
      <c r="P69" s="129">
        <v>0</v>
      </c>
      <c r="Q69" s="125">
        <v>0</v>
      </c>
      <c r="R69" s="129">
        <v>0</v>
      </c>
      <c r="S69" s="126">
        <v>0</v>
      </c>
      <c r="T69" s="130">
        <v>0</v>
      </c>
      <c r="U69" s="126">
        <v>0</v>
      </c>
      <c r="V69" s="137">
        <v>0</v>
      </c>
      <c r="W69" s="37">
        <f t="shared" si="5"/>
        <v>0</v>
      </c>
      <c r="X69" s="115"/>
      <c r="Y69" s="115"/>
      <c r="Z69" s="115"/>
      <c r="AA69" s="115"/>
      <c r="AB69" s="115"/>
      <c r="AC69" s="115"/>
      <c r="AD69" s="139">
        <f t="shared" si="4"/>
        <v>0</v>
      </c>
      <c r="AE69" s="116"/>
      <c r="AF69" s="117"/>
      <c r="AG69" s="113"/>
    </row>
    <row r="70" spans="1:33">
      <c r="A70" s="112"/>
      <c r="B70" s="39"/>
      <c r="C70" s="39"/>
      <c r="D70" s="39"/>
      <c r="E70" s="113"/>
      <c r="F70" s="39"/>
      <c r="G70" s="114"/>
      <c r="H70" s="123"/>
      <c r="I70" s="126">
        <v>0</v>
      </c>
      <c r="J70" s="127">
        <v>0</v>
      </c>
      <c r="K70" s="128">
        <v>0</v>
      </c>
      <c r="L70" s="129">
        <v>0</v>
      </c>
      <c r="M70" s="126">
        <v>0</v>
      </c>
      <c r="N70" s="130">
        <v>0</v>
      </c>
      <c r="O70" s="125">
        <v>0</v>
      </c>
      <c r="P70" s="129">
        <v>0</v>
      </c>
      <c r="Q70" s="125">
        <v>0</v>
      </c>
      <c r="R70" s="129">
        <v>0</v>
      </c>
      <c r="S70" s="126">
        <v>0</v>
      </c>
      <c r="T70" s="130">
        <v>0</v>
      </c>
      <c r="U70" s="126">
        <v>0</v>
      </c>
      <c r="V70" s="137">
        <v>0</v>
      </c>
      <c r="W70" s="37">
        <f t="shared" si="5"/>
        <v>0</v>
      </c>
      <c r="X70" s="115"/>
      <c r="Y70" s="115"/>
      <c r="Z70" s="115"/>
      <c r="AA70" s="115"/>
      <c r="AB70" s="115"/>
      <c r="AC70" s="115"/>
      <c r="AD70" s="139">
        <f t="shared" si="4"/>
        <v>0</v>
      </c>
      <c r="AE70" s="116"/>
      <c r="AF70" s="117"/>
      <c r="AG70" s="113"/>
    </row>
    <row r="71" spans="1:33">
      <c r="A71" s="112"/>
      <c r="B71" s="39"/>
      <c r="C71" s="39"/>
      <c r="D71" s="39"/>
      <c r="E71" s="113"/>
      <c r="F71" s="39"/>
      <c r="G71" s="114"/>
      <c r="H71" s="123"/>
      <c r="I71" s="126">
        <v>0</v>
      </c>
      <c r="J71" s="127">
        <v>0</v>
      </c>
      <c r="K71" s="128">
        <v>0</v>
      </c>
      <c r="L71" s="129">
        <v>0</v>
      </c>
      <c r="M71" s="126">
        <v>0</v>
      </c>
      <c r="N71" s="130">
        <v>0</v>
      </c>
      <c r="O71" s="125">
        <v>0</v>
      </c>
      <c r="P71" s="129">
        <v>0</v>
      </c>
      <c r="Q71" s="125">
        <v>0</v>
      </c>
      <c r="R71" s="129">
        <v>0</v>
      </c>
      <c r="S71" s="126">
        <v>0</v>
      </c>
      <c r="T71" s="130">
        <v>0</v>
      </c>
      <c r="U71" s="126">
        <v>0</v>
      </c>
      <c r="V71" s="137">
        <v>0</v>
      </c>
      <c r="W71" s="37">
        <f t="shared" si="5"/>
        <v>0</v>
      </c>
      <c r="X71" s="115"/>
      <c r="Y71" s="115"/>
      <c r="Z71" s="115"/>
      <c r="AA71" s="115"/>
      <c r="AB71" s="115"/>
      <c r="AC71" s="115"/>
      <c r="AD71" s="139">
        <f t="shared" si="4"/>
        <v>0</v>
      </c>
      <c r="AE71" s="116"/>
      <c r="AF71" s="117"/>
      <c r="AG71" s="113"/>
    </row>
    <row r="72" spans="1:33">
      <c r="A72" s="112"/>
      <c r="B72" s="39"/>
      <c r="C72" s="39"/>
      <c r="D72" s="39"/>
      <c r="E72" s="113"/>
      <c r="F72" s="39"/>
      <c r="G72" s="114"/>
      <c r="H72" s="123"/>
      <c r="I72" s="126">
        <v>0</v>
      </c>
      <c r="J72" s="127">
        <v>0</v>
      </c>
      <c r="K72" s="128">
        <v>0</v>
      </c>
      <c r="L72" s="129">
        <v>0</v>
      </c>
      <c r="M72" s="126">
        <v>0</v>
      </c>
      <c r="N72" s="130">
        <v>0</v>
      </c>
      <c r="O72" s="125">
        <v>0</v>
      </c>
      <c r="P72" s="129">
        <v>0</v>
      </c>
      <c r="Q72" s="125">
        <v>0</v>
      </c>
      <c r="R72" s="129">
        <v>0</v>
      </c>
      <c r="S72" s="126">
        <v>0</v>
      </c>
      <c r="T72" s="130">
        <v>0</v>
      </c>
      <c r="U72" s="126">
        <v>0</v>
      </c>
      <c r="V72" s="137">
        <v>0</v>
      </c>
      <c r="W72" s="37">
        <f t="shared" si="5"/>
        <v>0</v>
      </c>
      <c r="X72" s="115"/>
      <c r="Y72" s="115"/>
      <c r="Z72" s="115"/>
      <c r="AA72" s="115"/>
      <c r="AB72" s="115"/>
      <c r="AC72" s="115"/>
      <c r="AD72" s="139">
        <f t="shared" si="4"/>
        <v>0</v>
      </c>
      <c r="AE72" s="116"/>
      <c r="AF72" s="117"/>
      <c r="AG72" s="113"/>
    </row>
    <row r="73" spans="1:33">
      <c r="A73" s="112"/>
      <c r="B73" s="39"/>
      <c r="C73" s="39"/>
      <c r="D73" s="39"/>
      <c r="E73" s="113"/>
      <c r="F73" s="39"/>
      <c r="G73" s="114"/>
      <c r="H73" s="123"/>
      <c r="I73" s="126">
        <v>0</v>
      </c>
      <c r="J73" s="127">
        <v>0</v>
      </c>
      <c r="K73" s="128">
        <v>0</v>
      </c>
      <c r="L73" s="129">
        <v>0</v>
      </c>
      <c r="M73" s="126">
        <v>0</v>
      </c>
      <c r="N73" s="130">
        <v>0</v>
      </c>
      <c r="O73" s="125">
        <v>0</v>
      </c>
      <c r="P73" s="129">
        <v>0</v>
      </c>
      <c r="Q73" s="125">
        <v>0</v>
      </c>
      <c r="R73" s="129">
        <v>0</v>
      </c>
      <c r="S73" s="126">
        <v>0</v>
      </c>
      <c r="T73" s="130">
        <v>0</v>
      </c>
      <c r="U73" s="126">
        <v>0</v>
      </c>
      <c r="V73" s="137">
        <v>0</v>
      </c>
      <c r="W73" s="37">
        <f t="shared" si="5"/>
        <v>0</v>
      </c>
      <c r="X73" s="115"/>
      <c r="Y73" s="115"/>
      <c r="Z73" s="115"/>
      <c r="AA73" s="115"/>
      <c r="AC73" s="115"/>
      <c r="AD73" s="139">
        <f t="shared" si="4"/>
        <v>0</v>
      </c>
      <c r="AE73" s="116"/>
      <c r="AF73" s="117"/>
      <c r="AG73" s="113"/>
    </row>
  </sheetData>
  <sheetProtection selectLockedCells="1"/>
  <protectedRanges>
    <protectedRange sqref="B6:E6 B7 B8:C13 B14 B15:C16 E7:E16 D7:D19 AG6:AG73 B17:B25 D20:E25 G6:V73 B26:E73" name="Rango1"/>
    <protectedRange sqref="AD6:AE73" name="Rango1_2"/>
    <protectedRange sqref="F6:F16 A6:A73 F20:F73" name="Rango1_1"/>
    <protectedRange sqref="C7" name="Rango1_3"/>
    <protectedRange sqref="C14" name="Rango1_1_1"/>
    <protectedRange sqref="C17:C25" name="Rango1_1_2"/>
    <protectedRange sqref="E17:E19" name="Rango1_1_3"/>
  </protectedRanges>
  <autoFilter ref="A5:AG73"/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A6:D6 A7:B7 A8:C11 F6:I16 G17:I19 D7:D19 X24:AA73 AC24:AC73 AB24:AB72 X6:AC23 L6:V73 A12:B25 A26:D73 F20:I73">
    <cfRule type="expression" dxfId="24" priority="278" stopIfTrue="1">
      <formula>"SEVERSTAL"</formula>
    </cfRule>
  </conditionalFormatting>
  <conditionalFormatting sqref="E6:E11 E13:E16 AD6:AE73 AG6:AG73 E20:E73">
    <cfRule type="cellIs" dxfId="23" priority="279" stopIfTrue="1" operator="equal">
      <formula>"APROBADO"</formula>
    </cfRule>
    <cfRule type="cellIs" dxfId="22" priority="280" stopIfTrue="1" operator="equal">
      <formula>"ESPERA"</formula>
    </cfRule>
    <cfRule type="cellIs" dxfId="21" priority="281" stopIfTrue="1" operator="equal">
      <formula>"RECHAZADO"</formula>
    </cfRule>
  </conditionalFormatting>
  <conditionalFormatting sqref="C7">
    <cfRule type="cellIs" dxfId="20" priority="25" stopIfTrue="1" operator="equal">
      <formula>"APROBADO"</formula>
    </cfRule>
    <cfRule type="cellIs" dxfId="19" priority="26" stopIfTrue="1" operator="equal">
      <formula>"ESPERA"</formula>
    </cfRule>
    <cfRule type="cellIs" dxfId="18" priority="27" stopIfTrue="1" operator="equal">
      <formula>"RECHAZADO"</formula>
    </cfRule>
  </conditionalFormatting>
  <conditionalFormatting sqref="C12">
    <cfRule type="expression" dxfId="17" priority="21" stopIfTrue="1">
      <formula>"SEVERSTAL"</formula>
    </cfRule>
  </conditionalFormatting>
  <conditionalFormatting sqref="E12">
    <cfRule type="cellIs" dxfId="16" priority="22" stopIfTrue="1" operator="equal">
      <formula>"APROBADO"</formula>
    </cfRule>
    <cfRule type="cellIs" dxfId="15" priority="23" stopIfTrue="1" operator="equal">
      <formula>"ESPERA"</formula>
    </cfRule>
    <cfRule type="cellIs" dxfId="14" priority="24" stopIfTrue="1" operator="equal">
      <formula>"RECHAZADO"</formula>
    </cfRule>
  </conditionalFormatting>
  <conditionalFormatting sqref="C13">
    <cfRule type="expression" dxfId="13" priority="20" stopIfTrue="1">
      <formula>"SEVERSTAL"</formula>
    </cfRule>
  </conditionalFormatting>
  <conditionalFormatting sqref="C14">
    <cfRule type="expression" dxfId="12" priority="16" stopIfTrue="1">
      <formula>"SEVERSTAL"</formula>
    </cfRule>
  </conditionalFormatting>
  <conditionalFormatting sqref="C15">
    <cfRule type="expression" dxfId="11" priority="15" stopIfTrue="1">
      <formula>"SEVERSTAL"</formula>
    </cfRule>
  </conditionalFormatting>
  <conditionalFormatting sqref="C16">
    <cfRule type="expression" dxfId="10" priority="14" stopIfTrue="1">
      <formula>"SEVERSTAL"</formula>
    </cfRule>
  </conditionalFormatting>
  <conditionalFormatting sqref="C17:C19">
    <cfRule type="cellIs" dxfId="9" priority="11" stopIfTrue="1" operator="equal">
      <formula>"APROBADO"</formula>
    </cfRule>
    <cfRule type="cellIs" dxfId="8" priority="12" stopIfTrue="1" operator="equal">
      <formula>"ESPERA"</formula>
    </cfRule>
    <cfRule type="cellIs" dxfId="7" priority="13" stopIfTrue="1" operator="equal">
      <formula>"RECHAZADO"</formula>
    </cfRule>
  </conditionalFormatting>
  <conditionalFormatting sqref="E17:E19">
    <cfRule type="cellIs" dxfId="6" priority="8" stopIfTrue="1" operator="equal">
      <formula>"APROBADO"</formula>
    </cfRule>
    <cfRule type="cellIs" dxfId="5" priority="9" stopIfTrue="1" operator="equal">
      <formula>"ESPERA"</formula>
    </cfRule>
    <cfRule type="cellIs" dxfId="4" priority="10" stopIfTrue="1" operator="equal">
      <formula>"RECHAZADO"</formula>
    </cfRule>
  </conditionalFormatting>
  <conditionalFormatting sqref="D20:D25">
    <cfRule type="expression" dxfId="3" priority="7" stopIfTrue="1">
      <formula>"SEVERSTAL"</formula>
    </cfRule>
  </conditionalFormatting>
  <conditionalFormatting sqref="C20:C25">
    <cfRule type="cellIs" dxfId="2" priority="4" stopIfTrue="1" operator="equal">
      <formula>"APROBADO"</formula>
    </cfRule>
    <cfRule type="cellIs" dxfId="1" priority="5" stopIfTrue="1" operator="equal">
      <formula>"ESPERA"</formula>
    </cfRule>
    <cfRule type="cellIs" dxfId="0" priority="6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2024-06-18T23:41:21Z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