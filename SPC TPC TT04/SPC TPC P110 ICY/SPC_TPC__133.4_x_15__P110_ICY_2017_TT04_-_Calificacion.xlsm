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6E8D80EF-44EF-4C85-8CF5-CE75E11288A5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" i="40516" l="1"/>
  <c r="AH1" i="40516"/>
  <c r="W7" i="5" l="1"/>
  <c r="AD7" i="5" s="1"/>
  <c r="W8" i="5" l="1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AD4" i="5"/>
  <c r="AE4" i="5" s="1"/>
  <c r="AF3" i="5"/>
  <c r="AG3" i="5" s="1"/>
  <c r="AE3" i="5"/>
  <c r="AF4" i="5" l="1"/>
  <c r="AG4" i="5" s="1"/>
  <c r="AD8" i="5" l="1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W6" i="5" l="1"/>
  <c r="AD6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G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6338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Z6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problemas en la salida del Horno Austenizado , el kick out esta sacando 2 tubos del Horno generando rechazos por mal temple, baja temperatura de tubo,falta de pirometrias en Austenizado y Cabezales, adicionalmente estos 2 tubos se pegan en la via rodillos salida Horno Austenizado.
SE REPROCESAN EN LOTE 6342</t>
        </r>
      </text>
    </comment>
    <comment ref="F1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6338</t>
        </r>
      </text>
    </comment>
  </commentList>
</comments>
</file>

<file path=xl/sharedStrings.xml><?xml version="1.0" encoding="utf-8"?>
<sst xmlns="http://schemas.openxmlformats.org/spreadsheetml/2006/main" count="167" uniqueCount="118">
  <si>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</si>
  <si>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</si>
  <si>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</si>
  <si>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</si>
  <si>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</si>
  <si>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</si>
  <si>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</si>
  <si>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</si>
  <si>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</si>
  <si>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</si>
  <si>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</si>
  <si>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</si>
  <si>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</si>
  <si>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</si>
  <si>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</si>
  <si>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</si>
  <si>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</si>
  <si>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</si>
  <si>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</si>
  <si>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</si>
  <si>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</si>
  <si>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</si>
  <si>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</si>
  <si>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</si>
  <si>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</si>
  <si>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</si>
  <si>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</si>
  <si>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</si>
  <si>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</si>
  <si>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</si>
  <si>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</si>
  <si>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</si>
  <si>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</si>
  <si>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</si>
  <si>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</si>
  <si>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</si>
  <si>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</si>
  <si>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</si>
  <si>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</si>
  <si>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</si>
  <si>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</si>
  <si>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</si>
  <si>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</si>
  <si>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</si>
  <si>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</si>
  <si>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</si>
  <si>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</si>
  <si>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</si>
  <si>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</si>
  <si>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</si>
  <si>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</si>
  <si>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</si>
  <si>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</si>
  <si>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</si>
  <si>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</si>
  <si>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</si>
  <si>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</si>
  <si>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</si>
  <si>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</si>
  <si>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</si>
  <si>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</si>
  <si>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</si>
  <si>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</si>
  <si>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</si>
  <si>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</si>
  <si>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</si>
  <si>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</si>
  <si>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</si>
  <si>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</si>
  <si>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</si>
  <si>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</si>
  <si>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</si>
  <si>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</si>
  <si>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</si>
  <si>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</si>
  <si>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</si>
  <si>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</si>
  <si>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</si>
  <si>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</si>
  <si>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</si>
  <si>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</si>
  <si>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</si>
  <si>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</si>
  <si>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</si>
  <si>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</si>
  <si>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</si>
  <si>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</si>
  <si>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</si>
  <si>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</si>
  <si>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</si>
  <si>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</si>
  <si>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</si>
  <si>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</si>
  <si>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</si>
  <si>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</si>
  <si>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</si>
  <si>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</si>
  <si>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P110 ICY 133,4 x 15 mm TPC</t>
  </si>
  <si>
    <t>TAMSA</t>
  </si>
  <si>
    <t>°C</t>
  </si>
  <si>
    <t>Temp.Tubo Prom.</t>
  </si>
  <si>
    <t>1 al 100</t>
  </si>
  <si>
    <t>101 al 126</t>
  </si>
  <si>
    <t>101 al 138</t>
  </si>
  <si>
    <t>127 al 168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</si>
  <si>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</si>
  <si>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</si>
  <si>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</si>
  <si>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</si>
  <si>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</si>
  <si>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</si>
  <si>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</si>
  <si>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</si>
  <si>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</si>
  <si>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</si>
  <si>
    <t>TPC 133,4 X 15 P110 ICY</t>
  </si>
  <si>
    <t>PROVEEDOR</t>
  </si>
  <si>
    <t>P110IC/ICY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</si>
</sst>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0.0"/>
    <numFmt numFmtId="166" formatCode="_-[$€-2]* #,##0.00_-;\-[$€-2]* #,##0.00_-;_-[$€-2]* &quot;-&quot;??_-"/>
  </numFmts>
  <fonts count="7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22"/>
      <color indexed="63"/>
      <name val="LibertyD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0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9" fillId="0" borderId="0" xfId="0" applyFont="1" applyAlignment="1">
      <alignment vertical="center"/>
    </xf>
    <xf numFmtId="0" fontId="0" fillId="3" borderId="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49" fontId="0" fillId="0" borderId="13" xfId="0" quotePrefix="1" applyNumberFormat="1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20" fillId="0" borderId="1" xfId="3" applyFont="1" applyBorder="1" applyAlignment="1">
      <alignment horizontal="center"/>
    </xf>
    <xf numFmtId="0" fontId="37" fillId="0" borderId="1" xfId="0" applyFont="1" applyBorder="1" applyAlignment="1">
      <alignment horizontal="center"/>
    </xf>
    <xf numFmtId="165" fontId="37" fillId="0" borderId="1" xfId="2" applyNumberFormat="1" applyFont="1" applyFill="1" applyBorder="1" applyAlignment="1">
      <alignment horizontal="center"/>
    </xf>
    <xf numFmtId="0" fontId="43" fillId="4" borderId="0" xfId="0" applyFont="1" applyFill="1" applyAlignment="1">
      <alignment horizontal="center" vertical="center" wrapText="1"/>
    </xf>
    <xf numFmtId="0" fontId="44" fillId="0" borderId="0" xfId="0" applyFont="1"/>
    <xf numFmtId="0" fontId="45" fillId="0" borderId="0" xfId="0" applyFont="1" applyAlignment="1">
      <alignment horizontal="center"/>
    </xf>
    <xf numFmtId="0" fontId="46" fillId="0" borderId="0" xfId="0" applyFont="1"/>
    <xf numFmtId="0" fontId="47" fillId="0" borderId="0" xfId="0" applyFont="1"/>
    <xf numFmtId="14" fontId="48" fillId="0" borderId="0" xfId="0" quotePrefix="1" applyNumberFormat="1" applyFont="1"/>
    <xf numFmtId="14" fontId="48" fillId="0" borderId="0" xfId="0" applyNumberFormat="1" applyFont="1"/>
    <xf numFmtId="165" fontId="45" fillId="0" borderId="0" xfId="0" applyNumberFormat="1" applyFont="1" applyAlignment="1">
      <alignment horizontal="center"/>
    </xf>
    <xf numFmtId="0" fontId="50" fillId="0" borderId="21" xfId="0" applyFont="1" applyBorder="1"/>
    <xf numFmtId="165" fontId="50" fillId="0" borderId="21" xfId="0" applyNumberFormat="1" applyFont="1" applyBorder="1" applyAlignment="1">
      <alignment horizontal="center"/>
    </xf>
    <xf numFmtId="0" fontId="50" fillId="0" borderId="19" xfId="0" applyFont="1" applyBorder="1" applyAlignment="1">
      <alignment horizontal="center"/>
    </xf>
    <xf numFmtId="0" fontId="54" fillId="0" borderId="0" xfId="0" applyFont="1" applyAlignment="1">
      <alignment horizontal="center"/>
    </xf>
    <xf numFmtId="3" fontId="56" fillId="0" borderId="4" xfId="0" applyNumberFormat="1" applyFont="1" applyBorder="1" applyAlignment="1">
      <alignment horizontal="center"/>
    </xf>
    <xf numFmtId="0" fontId="56" fillId="0" borderId="1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5" fillId="7" borderId="0" xfId="0" applyFont="1" applyFill="1" applyAlignment="1" applyProtection="1">
      <alignment vertical="center"/>
      <protection hidden="1"/>
    </xf>
    <xf numFmtId="0" fontId="41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2" fillId="7" borderId="0" xfId="0" applyFont="1" applyFill="1" applyAlignment="1" applyProtection="1">
      <alignment vertical="center"/>
      <protection hidden="1"/>
    </xf>
    <xf numFmtId="21" fontId="31" fillId="7" borderId="0" xfId="0" applyNumberFormat="1" applyFont="1" applyFill="1" applyAlignment="1" applyProtection="1">
      <alignment horizontal="center" vertical="center"/>
      <protection hidden="1"/>
    </xf>
    <xf numFmtId="21" fontId="28" fillId="7" borderId="0" xfId="0" applyNumberFormat="1" applyFont="1" applyFill="1" applyAlignment="1" applyProtection="1">
      <alignment horizontal="center" vertical="center"/>
      <protection hidden="1"/>
    </xf>
    <xf numFmtId="21" fontId="41" fillId="7" borderId="0" xfId="0" applyNumberFormat="1" applyFont="1" applyFill="1" applyAlignment="1" applyProtection="1">
      <alignment horizontal="center" vertical="center"/>
      <protection hidden="1"/>
    </xf>
    <xf numFmtId="0" fontId="16" fillId="7" borderId="0" xfId="0" applyFont="1" applyFill="1" applyAlignment="1" applyProtection="1">
      <alignment horizontal="center" vertical="center"/>
      <protection hidden="1"/>
    </xf>
    <xf numFmtId="0" fontId="17" fillId="7" borderId="0" xfId="0" applyFont="1" applyFill="1" applyAlignment="1" applyProtection="1">
      <alignment horizontal="center" vertical="center"/>
      <protection hidden="1"/>
    </xf>
    <xf numFmtId="0" fontId="35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18" fillId="6" borderId="0" xfId="0" applyFont="1" applyFill="1" applyAlignment="1" applyProtection="1">
      <alignment horizontal="left" vertical="center"/>
      <protection hidden="1"/>
    </xf>
    <xf numFmtId="0" fontId="21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2" fillId="6" borderId="0" xfId="0" applyFont="1" applyFill="1" applyAlignment="1" applyProtection="1">
      <alignment horizontal="right" vertical="center"/>
      <protection hidden="1"/>
    </xf>
    <xf numFmtId="0" fontId="22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3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5" fillId="6" borderId="0" xfId="0" applyFont="1" applyFill="1" applyAlignment="1" applyProtection="1">
      <alignment vertical="center"/>
      <protection hidden="1"/>
    </xf>
    <xf numFmtId="0" fontId="40" fillId="6" borderId="0" xfId="0" applyFont="1" applyFill="1" applyAlignment="1" applyProtection="1">
      <alignment vertical="center"/>
      <protection hidden="1"/>
    </xf>
    <xf numFmtId="0" fontId="25" fillId="6" borderId="0" xfId="0" applyFont="1" applyFill="1" applyAlignment="1" applyProtection="1">
      <alignment vertical="center"/>
      <protection hidden="1"/>
    </xf>
    <xf numFmtId="0" fontId="26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19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21" fontId="30" fillId="6" borderId="0" xfId="0" applyNumberFormat="1" applyFont="1" applyFill="1" applyAlignment="1" applyProtection="1">
      <alignment horizontal="center" vertical="center"/>
      <protection hidden="1"/>
    </xf>
    <xf numFmtId="0" fontId="41" fillId="6" borderId="0" xfId="0" applyFont="1" applyFill="1" applyAlignment="1" applyProtection="1">
      <alignment vertical="center"/>
      <protection hidden="1"/>
    </xf>
    <xf numFmtId="0" fontId="31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14" fillId="6" borderId="0" xfId="0" applyFont="1" applyFill="1" applyAlignment="1" applyProtection="1">
      <alignment vertical="center"/>
      <protection hidden="1"/>
    </xf>
    <xf numFmtId="0" fontId="32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42" fillId="6" borderId="0" xfId="0" applyFont="1" applyFill="1" applyAlignment="1" applyProtection="1">
      <alignment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0" fontId="0" fillId="6" borderId="7" xfId="0" applyFill="1" applyBorder="1" applyAlignment="1" applyProtection="1">
      <alignment vertical="center"/>
      <protection hidden="1"/>
    </xf>
    <xf numFmtId="0" fontId="0" fillId="6" borderId="16" xfId="0" applyFill="1" applyBorder="1" applyAlignment="1" applyProtection="1">
      <alignment vertical="center"/>
      <protection hidden="1"/>
    </xf>
    <xf numFmtId="0" fontId="1" fillId="6" borderId="16" xfId="0" applyFont="1" applyFill="1" applyBorder="1" applyAlignment="1" applyProtection="1">
      <alignment vertical="center"/>
      <protection hidden="1"/>
    </xf>
    <xf numFmtId="0" fontId="1" fillId="6" borderId="18" xfId="0" applyFont="1" applyFill="1" applyBorder="1" applyAlignment="1" applyProtection="1">
      <alignment vertical="center"/>
      <protection hidden="1"/>
    </xf>
    <xf numFmtId="0" fontId="0" fillId="6" borderId="20" xfId="0" applyFill="1" applyBorder="1" applyAlignment="1" applyProtection="1">
      <alignment vertical="center"/>
      <protection hidden="1"/>
    </xf>
    <xf numFmtId="0" fontId="1" fillId="6" borderId="22" xfId="0" applyFont="1" applyFill="1" applyBorder="1" applyAlignment="1" applyProtection="1">
      <alignment vertical="center"/>
      <protection hidden="1"/>
    </xf>
    <xf numFmtId="21" fontId="23" fillId="6" borderId="22" xfId="0" applyNumberFormat="1" applyFont="1" applyFill="1" applyBorder="1" applyAlignment="1" applyProtection="1">
      <alignment horizontal="center" vertical="center"/>
      <protection hidden="1"/>
    </xf>
    <xf numFmtId="0" fontId="8" fillId="6" borderId="20" xfId="0" applyFont="1" applyFill="1" applyBorder="1" applyAlignment="1" applyProtection="1">
      <alignment horizontal="center" vertical="center"/>
      <protection hidden="1"/>
    </xf>
    <xf numFmtId="0" fontId="9" fillId="6" borderId="20" xfId="0" applyFont="1" applyFill="1" applyBorder="1" applyAlignment="1" applyProtection="1">
      <alignment vertical="center"/>
      <protection hidden="1"/>
    </xf>
    <xf numFmtId="0" fontId="10" fillId="6" borderId="20" xfId="0" applyFont="1" applyFill="1" applyBorder="1" applyAlignment="1" applyProtection="1">
      <alignment vertical="center"/>
      <protection hidden="1"/>
    </xf>
    <xf numFmtId="0" fontId="25" fillId="6" borderId="22" xfId="0" applyFont="1" applyFill="1" applyBorder="1" applyAlignment="1" applyProtection="1">
      <alignment vertical="center"/>
      <protection hidden="1"/>
    </xf>
    <xf numFmtId="21" fontId="28" fillId="6" borderId="22" xfId="0" applyNumberFormat="1" applyFont="1" applyFill="1" applyBorder="1" applyAlignment="1" applyProtection="1">
      <alignment horizontal="center" vertical="center"/>
      <protection hidden="1"/>
    </xf>
    <xf numFmtId="0" fontId="9" fillId="6" borderId="23" xfId="0" applyFont="1" applyFill="1" applyBorder="1" applyAlignment="1" applyProtection="1">
      <alignment vertical="center"/>
      <protection hidden="1"/>
    </xf>
    <xf numFmtId="0" fontId="9" fillId="6" borderId="21" xfId="0" applyFont="1" applyFill="1" applyBorder="1" applyAlignment="1" applyProtection="1">
      <alignment vertical="center"/>
      <protection hidden="1"/>
    </xf>
    <xf numFmtId="0" fontId="25" fillId="6" borderId="21" xfId="0" applyFont="1" applyFill="1" applyBorder="1" applyAlignment="1" applyProtection="1">
      <alignment vertical="center"/>
      <protection hidden="1"/>
    </xf>
    <xf numFmtId="0" fontId="42" fillId="6" borderId="21" xfId="0" applyFont="1" applyFill="1" applyBorder="1" applyAlignment="1" applyProtection="1">
      <alignment vertical="center"/>
      <protection hidden="1"/>
    </xf>
    <xf numFmtId="0" fontId="41" fillId="6" borderId="21" xfId="0" applyFont="1" applyFill="1" applyBorder="1" applyAlignment="1" applyProtection="1">
      <alignment vertical="center"/>
      <protection hidden="1"/>
    </xf>
    <xf numFmtId="21" fontId="41" fillId="6" borderId="21" xfId="0" applyNumberFormat="1" applyFont="1" applyFill="1" applyBorder="1" applyAlignment="1" applyProtection="1">
      <alignment horizontal="center" vertical="center"/>
      <protection hidden="1"/>
    </xf>
    <xf numFmtId="21" fontId="31" fillId="6" borderId="21" xfId="0" applyNumberFormat="1" applyFont="1" applyFill="1" applyBorder="1" applyAlignment="1" applyProtection="1">
      <alignment horizontal="center" vertical="center"/>
      <protection hidden="1"/>
    </xf>
    <xf numFmtId="21" fontId="28" fillId="6" borderId="19" xfId="0" applyNumberFormat="1" applyFont="1" applyFill="1" applyBorder="1" applyAlignment="1" applyProtection="1">
      <alignment horizontal="center" vertical="center"/>
      <protection hidden="1"/>
    </xf>
    <xf numFmtId="0" fontId="58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 vertical="center" wrapText="1"/>
    </xf>
    <xf numFmtId="15" fontId="55" fillId="0" borderId="4" xfId="0" applyNumberFormat="1" applyFont="1" applyBorder="1" applyAlignment="1">
      <alignment horizontal="center"/>
    </xf>
    <xf numFmtId="0" fontId="56" fillId="0" borderId="1" xfId="3" applyFont="1" applyBorder="1" applyAlignment="1">
      <alignment horizontal="center"/>
    </xf>
    <xf numFmtId="3" fontId="56" fillId="0" borderId="2" xfId="2" applyNumberFormat="1" applyFont="1" applyFill="1" applyBorder="1" applyAlignment="1" applyProtection="1">
      <alignment horizontal="center"/>
      <protection locked="0"/>
    </xf>
    <xf numFmtId="3" fontId="56" fillId="0" borderId="1" xfId="2" applyNumberFormat="1" applyFont="1" applyFill="1" applyBorder="1" applyAlignment="1" applyProtection="1">
      <alignment horizontal="center"/>
      <protection locked="0"/>
    </xf>
    <xf numFmtId="0" fontId="56" fillId="0" borderId="2" xfId="0" applyFont="1" applyBorder="1" applyAlignment="1">
      <alignment horizontal="center"/>
    </xf>
    <xf numFmtId="3" fontId="56" fillId="0" borderId="4" xfId="2" applyNumberFormat="1" applyFont="1" applyFill="1" applyBorder="1" applyAlignment="1" applyProtection="1">
      <alignment horizontal="center"/>
      <protection locked="0"/>
    </xf>
    <xf numFmtId="3" fontId="56" fillId="0" borderId="24" xfId="2" applyNumberFormat="1" applyFont="1" applyFill="1" applyBorder="1" applyAlignment="1" applyProtection="1">
      <alignment horizontal="center"/>
      <protection locked="0"/>
    </xf>
    <xf numFmtId="3" fontId="57" fillId="0" borderId="1" xfId="0" applyNumberFormat="1" applyFont="1" applyBorder="1" applyAlignment="1">
      <alignment horizontal="center"/>
    </xf>
    <xf numFmtId="0" fontId="59" fillId="0" borderId="1" xfId="0" applyFont="1" applyBorder="1" applyAlignment="1" applyProtection="1">
      <alignment horizontal="center"/>
      <protection locked="0"/>
    </xf>
    <xf numFmtId="0" fontId="56" fillId="0" borderId="25" xfId="0" applyFont="1" applyBorder="1" applyAlignment="1">
      <alignment horizontal="center"/>
    </xf>
    <xf numFmtId="15" fontId="55" fillId="0" borderId="3" xfId="0" applyNumberFormat="1" applyFont="1" applyBorder="1" applyAlignment="1">
      <alignment horizontal="center"/>
    </xf>
    <xf numFmtId="0" fontId="61" fillId="0" borderId="0" xfId="0" applyFont="1"/>
    <xf numFmtId="0" fontId="62" fillId="0" borderId="0" xfId="0" applyFont="1"/>
    <xf numFmtId="0" fontId="62" fillId="0" borderId="0" xfId="0" applyFont="1" applyAlignment="1">
      <alignment horizontal="center"/>
    </xf>
    <xf numFmtId="0" fontId="63" fillId="0" borderId="0" xfId="0" applyFont="1" applyAlignment="1">
      <alignment horizontal="center"/>
    </xf>
    <xf numFmtId="0" fontId="64" fillId="4" borderId="0" xfId="0" applyFont="1" applyFill="1" applyAlignment="1">
      <alignment horizontal="center" vertical="center" wrapText="1"/>
    </xf>
    <xf numFmtId="3" fontId="63" fillId="0" borderId="24" xfId="2" applyNumberFormat="1" applyFont="1" applyFill="1" applyBorder="1" applyAlignment="1" applyProtection="1">
      <alignment horizontal="center"/>
      <protection locked="0"/>
    </xf>
    <xf numFmtId="2" fontId="37" fillId="0" borderId="1" xfId="0" applyNumberFormat="1" applyFont="1" applyBorder="1" applyAlignment="1">
      <alignment horizontal="center"/>
    </xf>
    <xf numFmtId="3" fontId="59" fillId="0" borderId="1" xfId="0" applyNumberFormat="1" applyFont="1" applyBorder="1" applyAlignment="1" applyProtection="1">
      <alignment horizontal="center"/>
      <protection locked="0"/>
    </xf>
    <xf numFmtId="0" fontId="43" fillId="4" borderId="0" xfId="0" applyFont="1" applyFill="1" applyAlignment="1">
      <alignment horizontal="center" vertical="center"/>
    </xf>
    <xf numFmtId="0" fontId="49" fillId="8" borderId="0" xfId="0" applyFont="1" applyFill="1" applyAlignment="1">
      <alignment horizontal="center"/>
    </xf>
    <xf numFmtId="0" fontId="44" fillId="8" borderId="0" xfId="0" applyFont="1" applyFill="1"/>
    <xf numFmtId="0" fontId="65" fillId="8" borderId="0" xfId="0" applyFont="1" applyFill="1" applyAlignment="1">
      <alignment horizontal="center"/>
    </xf>
    <xf numFmtId="0" fontId="45" fillId="8" borderId="0" xfId="0" applyFont="1" applyFill="1" applyAlignment="1">
      <alignment horizontal="center"/>
    </xf>
    <xf numFmtId="0" fontId="52" fillId="8" borderId="0" xfId="0" applyFont="1" applyFill="1" applyAlignment="1">
      <alignment horizontal="center"/>
    </xf>
    <xf numFmtId="0" fontId="53" fillId="8" borderId="0" xfId="0" applyFont="1" applyFill="1" applyAlignment="1">
      <alignment horizontal="right"/>
    </xf>
    <xf numFmtId="1" fontId="51" fillId="7" borderId="0" xfId="0" applyNumberFormat="1" applyFont="1" applyFill="1" applyAlignment="1">
      <alignment horizontal="center"/>
    </xf>
    <xf numFmtId="165" fontId="51" fillId="8" borderId="0" xfId="0" applyNumberFormat="1" applyFont="1" applyFill="1" applyAlignment="1">
      <alignment horizontal="center"/>
    </xf>
    <xf numFmtId="1" fontId="45" fillId="8" borderId="0" xfId="0" applyNumberFormat="1" applyFont="1" applyFill="1" applyAlignment="1">
      <alignment horizontal="center"/>
    </xf>
    <xf numFmtId="3" fontId="56" fillId="7" borderId="2" xfId="2" applyNumberFormat="1" applyFont="1" applyFill="1" applyBorder="1" applyAlignment="1" applyProtection="1">
      <alignment horizontal="center"/>
      <protection locked="0"/>
    </xf>
    <xf numFmtId="3" fontId="56" fillId="7" borderId="1" xfId="2" applyNumberFormat="1" applyFont="1" applyFill="1" applyBorder="1" applyAlignment="1" applyProtection="1">
      <alignment horizontal="center"/>
      <protection locked="0"/>
    </xf>
    <xf numFmtId="0" fontId="56" fillId="7" borderId="2" xfId="0" applyFont="1" applyFill="1" applyBorder="1" applyAlignment="1">
      <alignment horizontal="center"/>
    </xf>
    <xf numFmtId="0" fontId="56" fillId="7" borderId="25" xfId="0" applyFont="1" applyFill="1" applyBorder="1" applyAlignment="1">
      <alignment horizontal="center"/>
    </xf>
    <xf numFmtId="3" fontId="56" fillId="7" borderId="4" xfId="2" applyNumberFormat="1" applyFont="1" applyFill="1" applyBorder="1" applyAlignment="1" applyProtection="1">
      <alignment horizontal="center"/>
      <protection locked="0"/>
    </xf>
    <xf numFmtId="3" fontId="56" fillId="7" borderId="24" xfId="2" applyNumberFormat="1" applyFont="1" applyFill="1" applyBorder="1" applyAlignment="1" applyProtection="1">
      <alignment horizontal="center"/>
      <protection locked="0"/>
    </xf>
    <xf numFmtId="3" fontId="56" fillId="7" borderId="4" xfId="0" applyNumberFormat="1" applyFont="1" applyFill="1" applyBorder="1" applyAlignment="1">
      <alignment horizontal="center"/>
    </xf>
    <xf numFmtId="15" fontId="20" fillId="7" borderId="1" xfId="0" applyNumberFormat="1" applyFont="1" applyFill="1" applyBorder="1" applyAlignment="1">
      <alignment horizontal="center"/>
    </xf>
    <xf numFmtId="1" fontId="37" fillId="7" borderId="1" xfId="0" applyNumberFormat="1" applyFont="1" applyFill="1" applyBorder="1" applyAlignment="1">
      <alignment horizontal="center"/>
    </xf>
    <xf numFmtId="165" fontId="37" fillId="0" borderId="1" xfId="0" applyNumberFormat="1" applyFont="1" applyBorder="1" applyAlignment="1">
      <alignment horizontal="center"/>
    </xf>
    <xf numFmtId="0" fontId="39" fillId="0" borderId="0" xfId="0" applyFont="1" applyAlignment="1">
      <alignment horizontal="center" wrapText="1"/>
    </xf>
    <xf numFmtId="0" fontId="38" fillId="0" borderId="0" xfId="4" applyFont="1"/>
    <xf numFmtId="0" fontId="38" fillId="0" borderId="0" xfId="4" applyFont="1" applyAlignment="1">
      <alignment horizontal="center" vertical="center"/>
    </xf>
    <xf numFmtId="0" fontId="72" fillId="9" borderId="30" xfId="4" applyFont="1" applyFill="1" applyBorder="1" applyAlignment="1">
      <alignment horizontal="center"/>
    </xf>
    <xf numFmtId="0" fontId="72" fillId="12" borderId="30" xfId="4" applyFont="1" applyFill="1" applyBorder="1" applyAlignment="1">
      <alignment horizontal="center"/>
    </xf>
    <xf numFmtId="0" fontId="72" fillId="13" borderId="31" xfId="4" applyFont="1" applyFill="1" applyBorder="1" applyAlignment="1">
      <alignment horizontal="center"/>
    </xf>
    <xf numFmtId="0" fontId="1" fillId="10" borderId="32" xfId="0" applyFont="1" applyFill="1" applyBorder="1" applyAlignment="1">
      <alignment horizontal="center" wrapText="1"/>
    </xf>
    <xf numFmtId="0" fontId="73" fillId="15" borderId="1" xfId="4" applyFont="1" applyFill="1" applyBorder="1" applyAlignment="1">
      <alignment horizontal="center" vertical="center" wrapText="1"/>
    </xf>
    <xf numFmtId="0" fontId="73" fillId="11" borderId="1" xfId="4" applyFont="1" applyFill="1" applyBorder="1" applyAlignment="1">
      <alignment horizontal="center" vertical="center" wrapText="1"/>
    </xf>
    <xf numFmtId="0" fontId="72" fillId="9" borderId="1" xfId="4" applyFont="1" applyFill="1" applyBorder="1" applyAlignment="1">
      <alignment horizontal="center" vertical="center" wrapText="1"/>
    </xf>
    <xf numFmtId="0" fontId="72" fillId="12" borderId="1" xfId="4" applyFont="1" applyFill="1" applyBorder="1" applyAlignment="1">
      <alignment horizontal="center" vertical="center" wrapText="1"/>
    </xf>
    <xf numFmtId="0" fontId="72" fillId="13" borderId="1" xfId="4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/>
    </xf>
    <xf numFmtId="0" fontId="1" fillId="0" borderId="1" xfId="0" applyFont="1" applyBorder="1"/>
    <xf numFmtId="0" fontId="0" fillId="0" borderId="1" xfId="0" applyBorder="1"/>
    <xf numFmtId="15" fontId="20" fillId="2" borderId="1" xfId="0" applyNumberFormat="1" applyFont="1" applyFill="1" applyBorder="1" applyAlignment="1">
      <alignment horizontal="center"/>
    </xf>
    <xf numFmtId="1" fontId="37" fillId="0" borderId="1" xfId="0" applyNumberFormat="1" applyFont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0" fillId="7" borderId="1" xfId="3" applyFont="1" applyFill="1" applyBorder="1" applyAlignment="1">
      <alignment horizontal="center"/>
    </xf>
    <xf numFmtId="0" fontId="0" fillId="2" borderId="1" xfId="0" applyFill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0" fillId="6" borderId="0" xfId="0" applyFont="1" applyFill="1" applyAlignment="1" applyProtection="1">
      <alignment horizontal="center" vertical="center"/>
      <protection hidden="1"/>
    </xf>
    <xf numFmtId="0" fontId="74" fillId="0" borderId="21" xfId="0" applyFont="1" applyBorder="1" applyAlignment="1">
      <alignment horizontal="center" vertical="center"/>
    </xf>
    <xf numFmtId="0" fontId="76" fillId="0" borderId="21" xfId="0" applyFont="1" applyBorder="1" applyAlignment="1">
      <alignment horizontal="center" vertical="center"/>
    </xf>
    <xf numFmtId="0" fontId="75" fillId="0" borderId="21" xfId="0" applyFont="1" applyBorder="1" applyAlignment="1">
      <alignment horizontal="center" vertical="center"/>
    </xf>
    <xf numFmtId="0" fontId="72" fillId="13" borderId="30" xfId="4" applyFont="1" applyFill="1" applyBorder="1" applyAlignment="1">
      <alignment horizontal="center"/>
    </xf>
    <xf numFmtId="0" fontId="70" fillId="12" borderId="27" xfId="4" applyFont="1" applyFill="1" applyBorder="1" applyAlignment="1">
      <alignment horizontal="center"/>
    </xf>
    <xf numFmtId="0" fontId="69" fillId="9" borderId="26" xfId="4" applyFont="1" applyFill="1" applyBorder="1" applyAlignment="1">
      <alignment horizontal="center"/>
    </xf>
    <xf numFmtId="0" fontId="69" fillId="9" borderId="27" xfId="4" applyFont="1" applyFill="1" applyBorder="1" applyAlignment="1">
      <alignment horizontal="center"/>
    </xf>
    <xf numFmtId="0" fontId="70" fillId="13" borderId="27" xfId="4" applyFont="1" applyFill="1" applyBorder="1" applyAlignment="1">
      <alignment horizontal="center"/>
    </xf>
    <xf numFmtId="0" fontId="70" fillId="13" borderId="28" xfId="4" applyFont="1" applyFill="1" applyBorder="1" applyAlignment="1">
      <alignment horizontal="center"/>
    </xf>
    <xf numFmtId="0" fontId="72" fillId="9" borderId="29" xfId="4" applyFont="1" applyFill="1" applyBorder="1" applyAlignment="1">
      <alignment horizontal="center"/>
    </xf>
    <xf numFmtId="0" fontId="72" fillId="9" borderId="30" xfId="4" applyFont="1" applyFill="1" applyBorder="1" applyAlignment="1">
      <alignment horizontal="center"/>
    </xf>
    <xf numFmtId="0" fontId="71" fillId="14" borderId="11" xfId="4" applyFont="1" applyFill="1" applyBorder="1" applyAlignment="1">
      <alignment horizontal="center" vertical="center" shrinkToFit="1"/>
    </xf>
    <xf numFmtId="0" fontId="71" fillId="14" borderId="12" xfId="4" applyFont="1" applyFill="1" applyBorder="1" applyAlignment="1">
      <alignment horizontal="center" vertical="center" shrinkToFit="1"/>
    </xf>
    <xf numFmtId="0" fontId="71" fillId="14" borderId="16" xfId="4" applyFont="1" applyFill="1" applyBorder="1" applyAlignment="1">
      <alignment horizontal="center" vertical="center" shrinkToFit="1"/>
    </xf>
    <xf numFmtId="0" fontId="71" fillId="14" borderId="18" xfId="4" applyFont="1" applyFill="1" applyBorder="1" applyAlignment="1">
      <alignment horizontal="center" vertical="center" shrinkToFit="1"/>
    </xf>
    <xf numFmtId="0" fontId="68" fillId="11" borderId="17" xfId="4" applyFont="1" applyFill="1" applyBorder="1" applyAlignment="1">
      <alignment horizontal="center" vertical="center"/>
    </xf>
    <xf numFmtId="0" fontId="68" fillId="11" borderId="8" xfId="4" applyFont="1" applyFill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68" fillId="11" borderId="7" xfId="4" applyFont="1" applyFill="1" applyBorder="1" applyAlignment="1">
      <alignment horizontal="center" vertical="center"/>
    </xf>
    <xf numFmtId="0" fontId="68" fillId="11" borderId="16" xfId="4" applyFont="1" applyFill="1" applyBorder="1" applyAlignment="1">
      <alignment horizontal="center" vertical="center"/>
    </xf>
    <xf numFmtId="0" fontId="68" fillId="11" borderId="5" xfId="4" applyFont="1" applyFill="1" applyBorder="1" applyAlignment="1">
      <alignment horizontal="center" vertical="center"/>
    </xf>
    <xf numFmtId="0" fontId="71" fillId="11" borderId="7" xfId="4" applyFont="1" applyFill="1" applyBorder="1" applyAlignment="1">
      <alignment horizontal="center" vertical="center" shrinkToFit="1"/>
    </xf>
    <xf numFmtId="0" fontId="71" fillId="11" borderId="16" xfId="4" applyFont="1" applyFill="1" applyBorder="1" applyAlignment="1">
      <alignment horizontal="center" vertical="center" shrinkToFit="1"/>
    </xf>
    <xf numFmtId="0" fontId="71" fillId="14" borderId="10" xfId="4" applyFont="1" applyFill="1" applyBorder="1" applyAlignment="1">
      <alignment horizontal="center" vertical="center" shrinkToFit="1"/>
    </xf>
    <xf numFmtId="0" fontId="71" fillId="14" borderId="9" xfId="4" applyFont="1" applyFill="1" applyBorder="1" applyAlignment="1">
      <alignment horizontal="center" vertical="center" shrinkToFit="1"/>
    </xf>
    <xf numFmtId="0" fontId="58" fillId="5" borderId="21" xfId="0" applyFont="1" applyFill="1" applyBorder="1" applyAlignment="1">
      <alignment horizontal="center"/>
    </xf>
    <xf numFmtId="0" fontId="58" fillId="5" borderId="0" xfId="0" applyFont="1" applyFill="1" applyAlignment="1">
      <alignment horizontal="center"/>
    </xf>
    <xf numFmtId="0" fontId="43" fillId="5" borderId="7" xfId="0" applyFont="1" applyFill="1" applyBorder="1" applyAlignment="1">
      <alignment horizontal="center" vertical="center" wrapText="1"/>
    </xf>
    <xf numFmtId="0" fontId="43" fillId="5" borderId="16" xfId="0" applyFont="1" applyFill="1" applyBorder="1" applyAlignment="1">
      <alignment horizontal="center" vertical="center" wrapText="1"/>
    </xf>
    <xf numFmtId="0" fontId="43" fillId="5" borderId="18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21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D370-451B-9890-25E0F7B48E55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D370-451B-9890-25E0F7B48E55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D370-451B-9890-25E0F7B48E55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D370-451B-9890-25E0F7B48E55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D370-451B-9890-25E0F7B48E55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D370-451B-9890-25E0F7B48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835344"/>
        <c:axId val="244837304"/>
      </c:barChart>
      <c:catAx>
        <c:axId val="24483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483730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44837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48353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DFB-4DDE-A982-442C6F26279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DFB-4DDE-A982-442C6F262791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DFB-4DDE-A982-442C6F262791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DFB-4DDE-A982-442C6F262791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DFB-4DDE-A982-442C6F262791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CDFB-4DDE-A982-442C6F262791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CDFB-4DDE-A982-442C6F262791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CDFB-4DDE-A982-442C6F262791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DFB-4DDE-A982-442C6F262791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CDFB-4DDE-A982-442C6F262791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CDFB-4DDE-A982-442C6F262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420136"/>
        <c:axId val="170421312"/>
      </c:lineChart>
      <c:catAx>
        <c:axId val="170420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70421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0421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7042013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214-4CB8-A865-D3F69047B1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214-4CB8-A865-D3F69047B16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14-4CB8-A865-D3F69047B1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14-4CB8-A865-D3F69047B1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14-4CB8-A865-D3F69047B1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214-4CB8-A865-D3F69047B16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14-4CB8-A865-D3F69047B1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14-4CB8-A865-D3F69047B1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14-4CB8-A865-D3F69047B1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214-4CB8-A865-D3F69047B16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214-4CB8-A865-D3F69047B1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214-4CB8-A865-D3F69047B1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214-4CB8-A865-D3F69047B1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214-4CB8-A865-D3F69047B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7178256"/>
        <c:axId val="287178648"/>
      </c:barChart>
      <c:catAx>
        <c:axId val="28717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7178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7178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7178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94D-45C8-90AD-A030902401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94D-45C8-90AD-A030902401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94D-45C8-90AD-A030902401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94D-45C8-90AD-A030902401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94D-45C8-90AD-A030902401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94D-45C8-90AD-A030902401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94D-45C8-90AD-A030902401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94D-45C8-90AD-A030902401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94D-45C8-90AD-A030902401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94D-45C8-90AD-A030902401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94D-45C8-90AD-A030902401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94D-45C8-90AD-A030902401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94D-45C8-90AD-A030902401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94D-45C8-90AD-A03090240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7179432"/>
        <c:axId val="287179824"/>
      </c:barChart>
      <c:catAx>
        <c:axId val="287179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7179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7179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7179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A4-4EB1-9BED-908CD6B697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A4-4EB1-9BED-908CD6B697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A4-4EB1-9BED-908CD6B697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A4-4EB1-9BED-908CD6B697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A4-4EB1-9BED-908CD6B697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A4-4EB1-9BED-908CD6B697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A4-4EB1-9BED-908CD6B697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A4-4EB1-9BED-908CD6B697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A4-4EB1-9BED-908CD6B697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A4-4EB1-9BED-908CD6B697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A4-4EB1-9BED-908CD6B697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A4-4EB1-9BED-908CD6B697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A4-4EB1-9BED-908CD6B697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A4-4EB1-9BED-908CD6B69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7180608"/>
        <c:axId val="287181000"/>
      </c:barChart>
      <c:catAx>
        <c:axId val="287180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7181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7181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7180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D-484F-A05D-BD3778BCA5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84D-484F-A05D-BD3778BCA58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D-484F-A05D-BD3778BCA5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4D-484F-A05D-BD3778BCA5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D-484F-A05D-BD3778BCA5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84D-484F-A05D-BD3778BCA58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D-484F-A05D-BD3778BCA5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D-484F-A05D-BD3778BCA5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D-484F-A05D-BD3778BCA5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84D-484F-A05D-BD3778BCA58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4D-484F-A05D-BD3778BCA5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D-484F-A05D-BD3778BCA5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D-484F-A05D-BD3778BCA5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84D-484F-A05D-BD3778BCA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7181784"/>
        <c:axId val="287182176"/>
      </c:barChart>
      <c:catAx>
        <c:axId val="287181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7182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7182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7181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A06-4CA3-8CB5-FD1D4A400D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A06-4CA3-8CB5-FD1D4A400D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06-4CA3-8CB5-FD1D4A400D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06-4CA3-8CB5-FD1D4A400D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06-4CA3-8CB5-FD1D4A400D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A06-4CA3-8CB5-FD1D4A400D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06-4CA3-8CB5-FD1D4A400D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06-4CA3-8CB5-FD1D4A400D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06-4CA3-8CB5-FD1D4A400D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A06-4CA3-8CB5-FD1D4A400D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A06-4CA3-8CB5-FD1D4A400D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06-4CA3-8CB5-FD1D4A400D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06-4CA3-8CB5-FD1D4A400D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A06-4CA3-8CB5-FD1D4A400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7182960"/>
        <c:axId val="287183352"/>
      </c:barChart>
      <c:catAx>
        <c:axId val="287182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7183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7183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7182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459-4A1F-ADD6-2649BF83D1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459-4A1F-ADD6-2649BF83D15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459-4A1F-ADD6-2649BF83D1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59-4A1F-ADD6-2649BF83D1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459-4A1F-ADD6-2649BF83D1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459-4A1F-ADD6-2649BF83D15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459-4A1F-ADD6-2649BF83D1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459-4A1F-ADD6-2649BF83D1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459-4A1F-ADD6-2649BF83D1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459-4A1F-ADD6-2649BF83D15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459-4A1F-ADD6-2649BF83D1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459-4A1F-ADD6-2649BF83D1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459-4A1F-ADD6-2649BF83D1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459-4A1F-ADD6-2649BF83D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7184136"/>
        <c:axId val="287184528"/>
      </c:barChart>
      <c:catAx>
        <c:axId val="287184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7184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7184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7184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6-4442-BA52-B4FBD0CCCE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96-4442-BA52-B4FBD0CCCE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96-4442-BA52-B4FBD0CCCE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96-4442-BA52-B4FBD0CCCE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96-4442-BA52-B4FBD0CCCE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96-4442-BA52-B4FBD0CCCE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96-4442-BA52-B4FBD0CCCE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96-4442-BA52-B4FBD0CCCE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96-4442-BA52-B4FBD0CCCE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96-4442-BA52-B4FBD0CCCE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96-4442-BA52-B4FBD0CCCE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96-4442-BA52-B4FBD0CCCE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96-4442-BA52-B4FBD0CCCE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96-4442-BA52-B4FBD0CCC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7185312"/>
        <c:axId val="287185704"/>
      </c:barChart>
      <c:catAx>
        <c:axId val="287185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7185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7185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7185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AD-4980-ADDE-A86304396B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0AD-4980-ADDE-A86304396BB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AD-4980-ADDE-A86304396B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AD-4980-ADDE-A86304396B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AD-4980-ADDE-A86304396B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0AD-4980-ADDE-A86304396BB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AD-4980-ADDE-A86304396B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AD-4980-ADDE-A86304396B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AD-4980-ADDE-A86304396B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0AD-4980-ADDE-A86304396BB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0AD-4980-ADDE-A86304396B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0AD-4980-ADDE-A86304396B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0AD-4980-ADDE-A86304396B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0AD-4980-ADDE-A86304396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1396952"/>
        <c:axId val="371397344"/>
      </c:barChart>
      <c:catAx>
        <c:axId val="371396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1397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1397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1396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60E-4694-8366-7422C9D182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60E-4694-8366-7422C9D1821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0E-4694-8366-7422C9D182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0E-4694-8366-7422C9D182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0E-4694-8366-7422C9D182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60E-4694-8366-7422C9D1821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0E-4694-8366-7422C9D182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0E-4694-8366-7422C9D182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0E-4694-8366-7422C9D182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60E-4694-8366-7422C9D1821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0E-4694-8366-7422C9D182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0E-4694-8366-7422C9D182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0E-4694-8366-7422C9D182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60E-4694-8366-7422C9D18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1398128"/>
        <c:axId val="371398520"/>
      </c:barChart>
      <c:catAx>
        <c:axId val="371398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1398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1398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1398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96-4848-A0A7-D8B649EB4A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96-4848-A0A7-D8B649EB4A4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96-4848-A0A7-D8B649EB4A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96-4848-A0A7-D8B649EB4A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96-4848-A0A7-D8B649EB4A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96-4848-A0A7-D8B649EB4A4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96-4848-A0A7-D8B649EB4A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96-4848-A0A7-D8B649EB4A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96-4848-A0A7-D8B649EB4A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96-4848-A0A7-D8B649EB4A4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96-4848-A0A7-D8B649EB4A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96-4848-A0A7-D8B649EB4A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96-4848-A0A7-D8B649EB4A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96-4848-A0A7-D8B649EB4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1399304"/>
        <c:axId val="371399696"/>
      </c:barChart>
      <c:catAx>
        <c:axId val="371399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1399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1399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1399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689-4726-B27B-5A883C2EFB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689-4726-B27B-5A883C2EFB1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689-4726-B27B-5A883C2EFB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689-4726-B27B-5A883C2EFB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689-4726-B27B-5A883C2EFB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689-4726-B27B-5A883C2EFB1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689-4726-B27B-5A883C2EFB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689-4726-B27B-5A883C2EFB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689-4726-B27B-5A883C2EFB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689-4726-B27B-5A883C2EFB1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689-4726-B27B-5A883C2EFB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689-4726-B27B-5A883C2EFB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689-4726-B27B-5A883C2EFB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689-4726-B27B-5A883C2EF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796176"/>
        <c:axId val="282796568"/>
      </c:barChart>
      <c:catAx>
        <c:axId val="28279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796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796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796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A6-4EE8-8224-928DDF44DF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8A6-4EE8-8224-928DDF44DFD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A6-4EE8-8224-928DDF44DF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A6-4EE8-8224-928DDF44DF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A6-4EE8-8224-928DDF44DF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8A6-4EE8-8224-928DDF44DFD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A6-4EE8-8224-928DDF44DF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A6-4EE8-8224-928DDF44DF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A6-4EE8-8224-928DDF44DF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A6-4EE8-8224-928DDF44DFD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A6-4EE8-8224-928DDF44DF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A6-4EE8-8224-928DDF44DF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A6-4EE8-8224-928DDF44DF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8A6-4EE8-8224-928DDF44D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797352"/>
        <c:axId val="282797744"/>
      </c:barChart>
      <c:catAx>
        <c:axId val="282797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797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797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797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99A-41E2-BC9E-A693220082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99A-41E2-BC9E-A693220082E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9A-41E2-BC9E-A693220082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9A-41E2-BC9E-A693220082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99A-41E2-BC9E-A693220082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99A-41E2-BC9E-A693220082E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99A-41E2-BC9E-A693220082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99A-41E2-BC9E-A693220082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99A-41E2-BC9E-A693220082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99A-41E2-BC9E-A693220082E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99A-41E2-BC9E-A693220082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99A-41E2-BC9E-A693220082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99A-41E2-BC9E-A693220082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99A-41E2-BC9E-A69322008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798528"/>
        <c:axId val="282798920"/>
      </c:barChart>
      <c:catAx>
        <c:axId val="282798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798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798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798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371-4F62-B790-8DD9346667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371-4F62-B790-8DD93466674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371-4F62-B790-8DD9346667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71-4F62-B790-8DD9346667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371-4F62-B790-8DD9346667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371-4F62-B790-8DD93466674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371-4F62-B790-8DD9346667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371-4F62-B790-8DD9346667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371-4F62-B790-8DD9346667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371-4F62-B790-8DD93466674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371-4F62-B790-8DD9346667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371-4F62-B790-8DD9346667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371-4F62-B790-8DD9346667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371-4F62-B790-8DD934666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799704"/>
        <c:axId val="282800096"/>
      </c:barChart>
      <c:catAx>
        <c:axId val="282799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800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800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799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55-448F-8FE2-38FAFAC0A4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E55-448F-8FE2-38FAFAC0A47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55-448F-8FE2-38FAFAC0A4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55-448F-8FE2-38FAFAC0A4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55-448F-8FE2-38FAFAC0A4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E55-448F-8FE2-38FAFAC0A47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55-448F-8FE2-38FAFAC0A4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55-448F-8FE2-38FAFAC0A4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55-448F-8FE2-38FAFAC0A4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E55-448F-8FE2-38FAFAC0A47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55-448F-8FE2-38FAFAC0A4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55-448F-8FE2-38FAFAC0A4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55-448F-8FE2-38FAFAC0A4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E55-448F-8FE2-38FAFAC0A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800880"/>
        <c:axId val="282801272"/>
      </c:barChart>
      <c:catAx>
        <c:axId val="282800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801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801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800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D42-41A9-8C40-07DE07CDC0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D42-41A9-8C40-07DE07CDC04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D42-41A9-8C40-07DE07CDC0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42-41A9-8C40-07DE07CDC0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D42-41A9-8C40-07DE07CDC0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D42-41A9-8C40-07DE07CDC04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D42-41A9-8C40-07DE07CDC0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D42-41A9-8C40-07DE07CDC0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D42-41A9-8C40-07DE07CDC0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D42-41A9-8C40-07DE07CDC04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D42-41A9-8C40-07DE07CDC0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D42-41A9-8C40-07DE07CDC0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D42-41A9-8C40-07DE07CDC0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D42-41A9-8C40-07DE07CDC0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802056"/>
        <c:axId val="282802448"/>
      </c:barChart>
      <c:catAx>
        <c:axId val="282802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802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802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802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175-43BC-91A1-012060536F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175-43BC-91A1-012060536FE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175-43BC-91A1-012060536F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75-43BC-91A1-012060536F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175-43BC-91A1-012060536F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175-43BC-91A1-012060536FE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175-43BC-91A1-012060536F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175-43BC-91A1-012060536F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175-43BC-91A1-012060536F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175-43BC-91A1-012060536FE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175-43BC-91A1-012060536F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175-43BC-91A1-012060536F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175-43BC-91A1-012060536F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175-43BC-91A1-0120605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803232"/>
        <c:axId val="282803624"/>
      </c:barChart>
      <c:catAx>
        <c:axId val="282803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803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8036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2803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32-4110-A559-89A17EFCE6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932-4110-A559-89A17EFCE6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32-4110-A559-89A17EFCE6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32-4110-A559-89A17EFCE6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32-4110-A559-89A17EFCE6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932-4110-A559-89A17EFCE6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932-4110-A559-89A17EFCE6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32-4110-A559-89A17EFCE6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932-4110-A559-89A17EFCE6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932-4110-A559-89A17EFCE6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932-4110-A559-89A17EFCE6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932-4110-A559-89A17EFCE6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932-4110-A559-89A17EFCE6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932-4110-A559-89A17EFCE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8468288"/>
        <c:axId val="288468680"/>
      </c:barChart>
      <c:catAx>
        <c:axId val="288468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8468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8468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8468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160-4834-85B5-FFB9909204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160-4834-85B5-FFB9909204B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160-4834-85B5-FFB9909204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160-4834-85B5-FFB9909204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160-4834-85B5-FFB9909204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160-4834-85B5-FFB9909204B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160-4834-85B5-FFB9909204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160-4834-85B5-FFB9909204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160-4834-85B5-FFB9909204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160-4834-85B5-FFB9909204B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160-4834-85B5-FFB9909204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160-4834-85B5-FFB9909204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160-4834-85B5-FFB9909204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160-4834-85B5-FFB990920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8469464"/>
        <c:axId val="288469856"/>
      </c:barChart>
      <c:catAx>
        <c:axId val="288469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846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8469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8469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3D6-4A15-A788-1F4D1AAF0C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3D6-4A15-A788-1F4D1AAF0CB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3D6-4A15-A788-1F4D1AAF0C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3D6-4A15-A788-1F4D1AAF0C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3D6-4A15-A788-1F4D1AAF0C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3D6-4A15-A788-1F4D1AAF0CB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3D6-4A15-A788-1F4D1AAF0C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3D6-4A15-A788-1F4D1AAF0C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3D6-4A15-A788-1F4D1AAF0C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3D6-4A15-A788-1F4D1AAF0CB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3D6-4A15-A788-1F4D1AAF0C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3D6-4A15-A788-1F4D1AAF0C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3D6-4A15-A788-1F4D1AAF0C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3D6-4A15-A788-1F4D1AAF0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8470640"/>
        <c:axId val="288471032"/>
      </c:barChart>
      <c:catAx>
        <c:axId val="288470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8471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8471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8470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D5C-4F46-B3FD-3E8E37A1C3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D5C-4F46-B3FD-3E8E37A1C3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D5C-4F46-B3FD-3E8E37A1C3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5C-4F46-B3FD-3E8E37A1C3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D5C-4F46-B3FD-3E8E37A1C3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D5C-4F46-B3FD-3E8E37A1C3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D5C-4F46-B3FD-3E8E37A1C3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D5C-4F46-B3FD-3E8E37A1C3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D5C-4F46-B3FD-3E8E37A1C3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D5C-4F46-B3FD-3E8E37A1C3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D5C-4F46-B3FD-3E8E37A1C3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D5C-4F46-B3FD-3E8E37A1C3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D5C-4F46-B3FD-3E8E37A1C3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D5C-4F46-B3FD-3E8E37A1C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8471816"/>
        <c:axId val="288472208"/>
      </c:barChart>
      <c:catAx>
        <c:axId val="288471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8472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8472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8471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4F-4D54-B58A-D24D99EE67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64F-4D54-B58A-D24D99EE674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4F-4D54-B58A-D24D99EE67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4F-4D54-B58A-D24D99EE67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4F-4D54-B58A-D24D99EE67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64F-4D54-B58A-D24D99EE674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4F-4D54-B58A-D24D99EE67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64F-4D54-B58A-D24D99EE67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4F-4D54-B58A-D24D99EE67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64F-4D54-B58A-D24D99EE674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4F-4D54-B58A-D24D99EE67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64F-4D54-B58A-D24D99EE67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64F-4D54-B58A-D24D99EE67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64F-4D54-B58A-D24D99EE67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8472992"/>
        <c:axId val="288473384"/>
      </c:barChart>
      <c:catAx>
        <c:axId val="288472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847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8473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8472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965-4C87-8600-C6CC64FDDE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965-4C87-8600-C6CC64FDDE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965-4C87-8600-C6CC64FDDE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965-4C87-8600-C6CC64FDDE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965-4C87-8600-C6CC64FDDE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965-4C87-8600-C6CC64FDDE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965-4C87-8600-C6CC64FDDE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965-4C87-8600-C6CC64FDDE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965-4C87-8600-C6CC64FDDE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965-4C87-8600-C6CC64FDDE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965-4C87-8600-C6CC64FDDE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965-4C87-8600-C6CC64FDDE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965-4C87-8600-C6CC64FDDE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965-4C87-8600-C6CC64FDD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8474168"/>
        <c:axId val="288474560"/>
      </c:barChart>
      <c:catAx>
        <c:axId val="288474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847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8474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8474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368-44B3-8C22-65B5A990D1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368-44B3-8C22-65B5A990D17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368-44B3-8C22-65B5A990D1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368-44B3-8C22-65B5A990D1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368-44B3-8C22-65B5A990D1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368-44B3-8C22-65B5A990D17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368-44B3-8C22-65B5A990D1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368-44B3-8C22-65B5A990D1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368-44B3-8C22-65B5A990D1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368-44B3-8C22-65B5A990D17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368-44B3-8C22-65B5A990D1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368-44B3-8C22-65B5A990D1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368-44B3-8C22-65B5A990D1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368-44B3-8C22-65B5A990D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8475344"/>
        <c:axId val="276909400"/>
      </c:barChart>
      <c:catAx>
        <c:axId val="28847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6909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6909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8475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194597</xdr:colOff>
      <xdr:row>0</xdr:row>
      <xdr:rowOff>99552</xdr:rowOff>
    </xdr:from>
    <xdr:to>
      <xdr:col>2</xdr:col>
      <xdr:colOff>191217</xdr:colOff>
      <xdr:row>2</xdr:row>
      <xdr:rowOff>292920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597" y="99552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40969</xdr:colOff>
      <xdr:row>12</xdr:row>
      <xdr:rowOff>184355</xdr:rowOff>
    </xdr:from>
    <xdr:to>
      <xdr:col>12</xdr:col>
      <xdr:colOff>30727</xdr:colOff>
      <xdr:row>17</xdr:row>
      <xdr:rowOff>89431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87098" y="3984113"/>
          <a:ext cx="4373306" cy="878060"/>
        </a:xfrm>
        <a:prstGeom prst="rect">
          <a:avLst/>
        </a:prstGeom>
      </xdr:spPr>
    </xdr:pic>
    <xdr:clientData/>
  </xdr:twoCellAnchor>
  <xdr:twoCellAnchor>
    <xdr:from>
      <xdr:col>3</xdr:col>
      <xdr:colOff>20484</xdr:colOff>
      <xdr:row>0</xdr:row>
      <xdr:rowOff>133146</xdr:rowOff>
    </xdr:from>
    <xdr:to>
      <xdr:col>4</xdr:col>
      <xdr:colOff>165162</xdr:colOff>
      <xdr:row>2</xdr:row>
      <xdr:rowOff>197814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300726" y="133146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>
      <selection activeCell="E28" sqref="E28"/>
    </sheetView>
  </sheetViews>
  <sheetFormatPr defaultColWidth="10.6640625" defaultRowHeight="14.25" customHeight="1"/>
  <cols>
    <col min="1" max="1" width="3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3" ht="17.5" customHeight="1">
      <c r="A1" s="35"/>
      <c r="B1" s="36" t="s">
        <v>14</v>
      </c>
      <c r="C1" s="36"/>
      <c r="D1" s="36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7"/>
      <c r="V1" s="2"/>
      <c r="W1" s="2"/>
    </row>
    <row r="2" spans="1:23" ht="17.5" customHeight="1">
      <c r="A2" s="38"/>
      <c r="B2" s="86"/>
      <c r="C2" s="87"/>
      <c r="D2" s="87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9"/>
      <c r="R2" s="35"/>
      <c r="S2" s="35"/>
      <c r="T2" s="35"/>
      <c r="U2" s="37"/>
      <c r="V2" s="2"/>
      <c r="W2" s="2"/>
    </row>
    <row r="3" spans="1:23" ht="17.5" customHeight="1">
      <c r="A3" s="38"/>
      <c r="B3" s="90"/>
      <c r="C3" s="53"/>
      <c r="D3" s="53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91"/>
      <c r="R3" s="35"/>
      <c r="S3" s="35"/>
      <c r="T3" s="35"/>
      <c r="U3" s="37"/>
      <c r="V3" s="2"/>
      <c r="W3" s="2"/>
    </row>
    <row r="4" spans="1:23" ht="10.5" customHeight="1">
      <c r="A4" s="38"/>
      <c r="B4" s="90"/>
      <c r="C4" s="54"/>
      <c r="D4" s="55"/>
      <c r="E4" s="56"/>
      <c r="F4" s="56"/>
      <c r="G4" s="56"/>
      <c r="H4" s="56"/>
      <c r="I4" s="56"/>
      <c r="J4" s="56"/>
      <c r="K4" s="56"/>
      <c r="L4" s="56"/>
      <c r="M4" s="56"/>
      <c r="N4" s="57"/>
      <c r="O4" s="52"/>
      <c r="P4" s="52"/>
      <c r="Q4" s="91"/>
      <c r="R4" s="35"/>
      <c r="S4" s="35"/>
      <c r="T4" s="35"/>
      <c r="U4" s="37"/>
      <c r="V4" s="2"/>
      <c r="W4" s="2"/>
    </row>
    <row r="5" spans="1:23" ht="32.25" customHeight="1">
      <c r="A5" s="36"/>
      <c r="B5" s="90"/>
      <c r="C5" s="58"/>
      <c r="D5" s="58"/>
      <c r="E5" s="172" t="s">
        <v>66</v>
      </c>
      <c r="F5" s="172"/>
      <c r="G5" s="172"/>
      <c r="H5" s="172"/>
      <c r="I5" s="172"/>
      <c r="J5" s="172"/>
      <c r="K5" s="172"/>
      <c r="L5" s="172"/>
      <c r="M5" s="172"/>
      <c r="N5" s="59"/>
      <c r="O5" s="52"/>
      <c r="P5" s="52"/>
      <c r="Q5" s="91"/>
      <c r="R5" s="35"/>
      <c r="S5" s="35"/>
      <c r="T5" s="35"/>
      <c r="U5" s="37"/>
      <c r="V5" s="2"/>
      <c r="W5" s="2"/>
    </row>
    <row r="6" spans="1:23" ht="17.5" customHeight="1">
      <c r="A6" s="38"/>
      <c r="B6" s="90"/>
      <c r="C6" s="60"/>
      <c r="D6" s="60"/>
      <c r="E6" s="61"/>
      <c r="F6" s="62"/>
      <c r="G6" s="62"/>
      <c r="H6" s="62"/>
      <c r="I6" s="62"/>
      <c r="J6" s="62"/>
      <c r="K6" s="62"/>
      <c r="L6" s="62"/>
      <c r="M6" s="62"/>
      <c r="N6" s="63"/>
      <c r="O6" s="64"/>
      <c r="P6" s="64"/>
      <c r="Q6" s="92"/>
      <c r="R6" s="35"/>
      <c r="S6" s="35"/>
      <c r="T6" s="35"/>
      <c r="U6" s="37"/>
      <c r="V6" s="2"/>
      <c r="W6" s="2"/>
    </row>
    <row r="7" spans="1:23" ht="17.5" customHeight="1">
      <c r="A7" s="38"/>
      <c r="B7" s="93"/>
      <c r="C7" s="65"/>
      <c r="D7" s="65"/>
      <c r="E7" s="66"/>
      <c r="F7" s="66"/>
      <c r="G7" s="66"/>
      <c r="H7" s="66"/>
      <c r="I7" s="66"/>
      <c r="J7" s="66"/>
      <c r="K7" s="66"/>
      <c r="L7" s="66"/>
      <c r="M7" s="52"/>
      <c r="N7" s="64"/>
      <c r="O7" s="64"/>
      <c r="P7" s="64"/>
      <c r="Q7" s="92"/>
      <c r="R7" s="35"/>
      <c r="S7" s="35"/>
      <c r="T7" s="35"/>
      <c r="U7" s="37"/>
      <c r="V7" s="2"/>
      <c r="W7" s="2"/>
    </row>
    <row r="8" spans="1:23" ht="17.5" customHeight="1">
      <c r="A8" s="38"/>
      <c r="B8" s="94"/>
      <c r="C8" s="67"/>
      <c r="D8" s="67"/>
      <c r="E8" s="68"/>
      <c r="F8" s="69"/>
      <c r="G8" s="69"/>
      <c r="H8" s="69"/>
      <c r="I8" s="70"/>
      <c r="J8" s="70"/>
      <c r="K8" s="70"/>
      <c r="L8" s="71"/>
      <c r="M8" s="52"/>
      <c r="N8" s="52"/>
      <c r="O8" s="64"/>
      <c r="P8" s="64"/>
      <c r="Q8" s="92"/>
      <c r="R8" s="35"/>
      <c r="S8" s="35"/>
      <c r="T8" s="35"/>
      <c r="U8" s="37"/>
      <c r="V8" s="2"/>
      <c r="W8" s="2"/>
    </row>
    <row r="9" spans="1:23" ht="17.5" customHeight="1">
      <c r="A9" s="38"/>
      <c r="B9" s="94"/>
      <c r="C9" s="67"/>
      <c r="D9" s="72"/>
      <c r="E9" s="70"/>
      <c r="F9" s="70"/>
      <c r="G9" s="70"/>
      <c r="H9" s="70"/>
      <c r="I9" s="70"/>
      <c r="J9" s="70"/>
      <c r="K9" s="70"/>
      <c r="L9" s="71"/>
      <c r="M9" s="52"/>
      <c r="N9" s="52"/>
      <c r="O9" s="64"/>
      <c r="P9" s="52"/>
      <c r="Q9" s="91"/>
      <c r="R9" s="35"/>
      <c r="S9" s="35"/>
      <c r="T9" s="35"/>
      <c r="U9" s="37"/>
      <c r="V9" s="2"/>
      <c r="W9" s="2"/>
    </row>
    <row r="10" spans="1:23" ht="17.5" customHeight="1">
      <c r="A10" s="38"/>
      <c r="B10" s="94"/>
      <c r="C10" s="67"/>
      <c r="D10" s="73"/>
      <c r="E10" s="74"/>
      <c r="F10" s="70"/>
      <c r="G10" s="70"/>
      <c r="H10" s="70"/>
      <c r="I10" s="70"/>
      <c r="J10" s="70"/>
      <c r="K10" s="70"/>
      <c r="L10" s="71"/>
      <c r="M10" s="52"/>
      <c r="N10" s="52"/>
      <c r="O10" s="64"/>
      <c r="P10" s="52"/>
      <c r="Q10" s="91"/>
      <c r="R10" s="35"/>
      <c r="S10" s="35"/>
      <c r="T10" s="35"/>
      <c r="U10" s="37"/>
      <c r="V10" s="2"/>
      <c r="W10" s="2"/>
    </row>
    <row r="11" spans="1:23" ht="12" customHeight="1">
      <c r="A11" s="38"/>
      <c r="B11" s="94"/>
      <c r="C11" s="67"/>
      <c r="D11" s="75"/>
      <c r="E11" s="70"/>
      <c r="F11" s="70"/>
      <c r="G11" s="70"/>
      <c r="H11" s="70"/>
      <c r="I11" s="70"/>
      <c r="J11" s="70"/>
      <c r="K11" s="70"/>
      <c r="L11" s="76"/>
      <c r="M11" s="76"/>
      <c r="N11" s="76"/>
      <c r="O11" s="77"/>
      <c r="P11" s="52"/>
      <c r="Q11" s="91"/>
      <c r="R11" s="35"/>
      <c r="S11" s="35"/>
      <c r="T11" s="35"/>
      <c r="U11" s="37"/>
      <c r="V11" s="2"/>
      <c r="W11" s="2"/>
    </row>
    <row r="12" spans="1:23" ht="17.5" customHeight="1">
      <c r="A12" s="38"/>
      <c r="B12" s="94"/>
      <c r="C12" s="67"/>
      <c r="D12" s="67"/>
      <c r="E12" s="70"/>
      <c r="F12" s="70"/>
      <c r="G12" s="70"/>
      <c r="H12" s="70"/>
      <c r="I12" s="70"/>
      <c r="J12" s="70"/>
      <c r="K12" s="70"/>
      <c r="L12" s="78"/>
      <c r="M12" s="76"/>
      <c r="N12" s="76"/>
      <c r="O12" s="77"/>
      <c r="P12" s="79"/>
      <c r="Q12" s="91"/>
      <c r="R12" s="35"/>
      <c r="S12" s="35"/>
      <c r="T12" s="35"/>
      <c r="U12" s="37"/>
      <c r="V12" s="2"/>
      <c r="W12" s="2"/>
    </row>
    <row r="13" spans="1:23" ht="17.25" customHeight="1">
      <c r="A13" s="38"/>
      <c r="B13" s="95"/>
      <c r="C13" s="67"/>
      <c r="D13" s="67"/>
      <c r="E13" s="80"/>
      <c r="F13" s="70"/>
      <c r="G13" s="70"/>
      <c r="H13" s="70"/>
      <c r="I13" s="70"/>
      <c r="J13" s="70"/>
      <c r="K13" s="70"/>
      <c r="L13" s="78"/>
      <c r="M13" s="76"/>
      <c r="N13" s="76"/>
      <c r="O13" s="77"/>
      <c r="P13" s="79"/>
      <c r="Q13" s="91"/>
      <c r="R13" s="35"/>
      <c r="S13" s="35"/>
      <c r="T13" s="35"/>
      <c r="U13" s="37"/>
      <c r="V13" s="2"/>
      <c r="W13" s="2"/>
    </row>
    <row r="14" spans="1:23" ht="17.25" customHeight="1">
      <c r="A14" s="38"/>
      <c r="B14" s="95"/>
      <c r="C14" s="81"/>
      <c r="D14" s="67"/>
      <c r="E14" s="70"/>
      <c r="F14" s="70"/>
      <c r="G14" s="70"/>
      <c r="H14" s="70"/>
      <c r="I14" s="70"/>
      <c r="J14" s="70"/>
      <c r="K14" s="70"/>
      <c r="L14" s="78"/>
      <c r="M14" s="76"/>
      <c r="N14" s="76"/>
      <c r="O14" s="77"/>
      <c r="P14" s="79"/>
      <c r="Q14" s="91"/>
      <c r="R14" s="35"/>
      <c r="S14" s="35"/>
      <c r="T14" s="35"/>
      <c r="U14" s="37"/>
      <c r="V14" s="2"/>
      <c r="W14" s="2"/>
    </row>
    <row r="15" spans="1:23" ht="17.5" customHeight="1">
      <c r="A15" s="41"/>
      <c r="B15" s="95"/>
      <c r="C15" s="67"/>
      <c r="D15" s="67"/>
      <c r="E15" s="70"/>
      <c r="F15" s="70"/>
      <c r="G15" s="70"/>
      <c r="H15" s="70"/>
      <c r="I15" s="70"/>
      <c r="J15" s="70"/>
      <c r="K15" s="70"/>
      <c r="L15" s="78"/>
      <c r="M15" s="76"/>
      <c r="N15" s="76"/>
      <c r="O15" s="77"/>
      <c r="P15" s="82"/>
      <c r="Q15" s="96"/>
      <c r="R15" s="35"/>
      <c r="S15" s="35"/>
      <c r="T15" s="35"/>
      <c r="U15" s="37"/>
      <c r="V15" s="2"/>
      <c r="W15" s="2"/>
    </row>
    <row r="16" spans="1:23" ht="17.5" customHeight="1">
      <c r="A16" s="41"/>
      <c r="B16" s="94"/>
      <c r="C16" s="67"/>
      <c r="D16" s="67"/>
      <c r="E16" s="83"/>
      <c r="F16" s="70"/>
      <c r="G16" s="70"/>
      <c r="H16" s="70"/>
      <c r="I16" s="70"/>
      <c r="J16" s="70"/>
      <c r="K16" s="70"/>
      <c r="L16" s="78"/>
      <c r="M16" s="76"/>
      <c r="N16" s="76"/>
      <c r="O16" s="77"/>
      <c r="P16" s="82"/>
      <c r="Q16" s="96"/>
      <c r="R16" s="35"/>
      <c r="S16" s="35"/>
      <c r="T16" s="35"/>
      <c r="U16" s="37"/>
      <c r="V16" s="2"/>
      <c r="W16" s="2"/>
    </row>
    <row r="17" spans="1:23" ht="17.5" customHeight="1">
      <c r="A17" s="41"/>
      <c r="B17" s="95"/>
      <c r="C17" s="67"/>
      <c r="D17" s="67"/>
      <c r="E17" s="70"/>
      <c r="F17" s="70"/>
      <c r="G17" s="70"/>
      <c r="H17" s="70"/>
      <c r="I17" s="70"/>
      <c r="J17" s="70"/>
      <c r="K17" s="70"/>
      <c r="L17" s="78"/>
      <c r="M17" s="76"/>
      <c r="N17" s="76"/>
      <c r="O17" s="77"/>
      <c r="P17" s="82"/>
      <c r="Q17" s="91"/>
      <c r="R17" s="35"/>
      <c r="S17" s="35"/>
      <c r="T17" s="35"/>
      <c r="U17" s="37"/>
      <c r="V17" s="2"/>
      <c r="W17" s="2"/>
    </row>
    <row r="18" spans="1:23" ht="17.25" customHeight="1">
      <c r="A18" s="41"/>
      <c r="B18" s="95"/>
      <c r="C18" s="67"/>
      <c r="D18" s="67"/>
      <c r="E18" s="70"/>
      <c r="F18" s="70"/>
      <c r="G18" s="70"/>
      <c r="H18" s="70"/>
      <c r="I18" s="70"/>
      <c r="J18" s="70"/>
      <c r="K18" s="70"/>
      <c r="L18" s="78"/>
      <c r="M18" s="76"/>
      <c r="N18" s="76"/>
      <c r="O18" s="77"/>
      <c r="P18" s="82"/>
      <c r="Q18" s="91"/>
      <c r="R18" s="35"/>
      <c r="S18" s="35"/>
      <c r="T18" s="35"/>
      <c r="U18" s="37"/>
      <c r="V18" s="2"/>
      <c r="W18" s="2"/>
    </row>
    <row r="19" spans="1:23" ht="17.5" customHeight="1">
      <c r="A19" s="41"/>
      <c r="B19" s="94"/>
      <c r="C19" s="67"/>
      <c r="D19" s="67"/>
      <c r="E19" s="70"/>
      <c r="F19" s="70"/>
      <c r="G19" s="70"/>
      <c r="H19" s="70"/>
      <c r="I19" s="70"/>
      <c r="J19" s="70"/>
      <c r="K19" s="70"/>
      <c r="L19" s="84"/>
      <c r="M19" s="76"/>
      <c r="N19" s="76"/>
      <c r="O19" s="77"/>
      <c r="P19" s="82"/>
      <c r="Q19" s="96"/>
      <c r="R19" s="35"/>
      <c r="S19" s="35"/>
      <c r="T19" s="35"/>
      <c r="U19" s="37"/>
      <c r="V19" s="2"/>
      <c r="W19" s="2"/>
    </row>
    <row r="20" spans="1:23" ht="17.5" customHeight="1">
      <c r="A20" s="41"/>
      <c r="B20" s="94"/>
      <c r="C20" s="67"/>
      <c r="D20" s="67"/>
      <c r="E20" s="70"/>
      <c r="F20" s="70"/>
      <c r="G20" s="70"/>
      <c r="H20" s="70"/>
      <c r="I20" s="70"/>
      <c r="J20" s="70"/>
      <c r="K20" s="70"/>
      <c r="L20" s="84"/>
      <c r="M20" s="76"/>
      <c r="N20" s="76"/>
      <c r="O20" s="77"/>
      <c r="P20" s="85"/>
      <c r="Q20" s="97"/>
      <c r="R20" s="35"/>
      <c r="S20" s="35"/>
      <c r="T20" s="35"/>
      <c r="U20" s="37"/>
      <c r="V20" s="2"/>
      <c r="W20" s="2"/>
    </row>
    <row r="21" spans="1:23" ht="17.5" customHeight="1">
      <c r="A21" s="41"/>
      <c r="B21" s="98"/>
      <c r="C21" s="99"/>
      <c r="D21" s="99"/>
      <c r="E21" s="100"/>
      <c r="F21" s="100"/>
      <c r="G21" s="100"/>
      <c r="H21" s="100"/>
      <c r="I21" s="100"/>
      <c r="J21" s="100"/>
      <c r="K21" s="100"/>
      <c r="L21" s="101"/>
      <c r="M21" s="102"/>
      <c r="N21" s="102"/>
      <c r="O21" s="103"/>
      <c r="P21" s="104"/>
      <c r="Q21" s="105"/>
      <c r="R21" s="35"/>
      <c r="S21" s="35"/>
      <c r="T21" s="35"/>
      <c r="U21" s="37"/>
      <c r="V21" s="2"/>
      <c r="W21" s="2"/>
    </row>
    <row r="22" spans="1:23" ht="17.5" customHeight="1">
      <c r="A22" s="41"/>
      <c r="B22" s="46"/>
      <c r="C22" s="47"/>
      <c r="D22" s="47"/>
      <c r="E22" s="48"/>
      <c r="F22" s="39"/>
      <c r="G22" s="39"/>
      <c r="H22" s="39"/>
      <c r="I22" s="39"/>
      <c r="J22" s="39"/>
      <c r="K22" s="39"/>
      <c r="L22" s="42"/>
      <c r="M22" s="40"/>
      <c r="N22" s="40"/>
      <c r="O22" s="45"/>
      <c r="P22" s="43"/>
      <c r="Q22" s="44"/>
      <c r="R22" s="35"/>
      <c r="S22" s="35"/>
      <c r="T22" s="35"/>
      <c r="U22" s="37"/>
      <c r="V22" s="2"/>
      <c r="W22" s="2"/>
    </row>
    <row r="23" spans="1:23" ht="15" customHeight="1">
      <c r="A23" s="49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49"/>
      <c r="S23" s="50"/>
      <c r="T23" s="50"/>
      <c r="U23" s="50"/>
      <c r="V23" s="2"/>
      <c r="W23" s="2"/>
    </row>
    <row r="24" spans="1:23" ht="15" customHeight="1">
      <c r="A24" s="49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49"/>
      <c r="S24" s="50"/>
      <c r="T24" s="50"/>
      <c r="U24" s="50"/>
      <c r="V24" s="2"/>
      <c r="W24" s="2"/>
    </row>
    <row r="25" spans="1:23" ht="15" customHeight="1">
      <c r="A25" s="49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49"/>
      <c r="S25" s="50"/>
      <c r="T25" s="50"/>
      <c r="U25" s="50"/>
      <c r="V25" s="2"/>
      <c r="W25" s="2"/>
    </row>
    <row r="26" spans="1:23" ht="14">
      <c r="A26" s="49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49"/>
      <c r="S26" s="50"/>
      <c r="T26" s="50"/>
      <c r="U26" s="51"/>
    </row>
    <row r="27" spans="1:23" ht="14">
      <c r="A27" s="49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49"/>
      <c r="S27" s="50"/>
      <c r="T27" s="50"/>
      <c r="U27" s="51"/>
    </row>
    <row r="28" spans="1:23" ht="14">
      <c r="A28" s="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4"/>
      <c r="S28" s="5"/>
      <c r="T28" s="5"/>
    </row>
    <row r="71" spans="2:2" ht="14">
      <c r="B71" s="7" t="s">
        <v>24</v>
      </c>
    </row>
    <row r="72" spans="2:2" ht="14">
      <c r="B72" s="8" t="s">
        <v>26</v>
      </c>
    </row>
    <row r="73" spans="2:2" ht="14">
      <c r="B73" s="9" t="s">
        <v>30</v>
      </c>
    </row>
    <row r="74" spans="2:2" ht="14">
      <c r="B74" s="10"/>
    </row>
    <row r="76" spans="2:2" ht="14">
      <c r="B76" s="7" t="s">
        <v>24</v>
      </c>
    </row>
    <row r="77" spans="2:2" ht="14">
      <c r="B77" s="8" t="s">
        <v>27</v>
      </c>
    </row>
    <row r="78" spans="2:2" ht="14">
      <c r="B78" s="9" t="s">
        <v>31</v>
      </c>
    </row>
    <row r="79" spans="2:2" ht="14">
      <c r="B79" s="10"/>
    </row>
    <row r="81" spans="2:2" ht="14">
      <c r="B81" s="7" t="s">
        <v>32</v>
      </c>
    </row>
    <row r="82" spans="2:2" ht="14">
      <c r="B82" s="8" t="s">
        <v>21</v>
      </c>
    </row>
    <row r="83" spans="2:2" ht="14">
      <c r="B83" s="9" t="s">
        <v>28</v>
      </c>
    </row>
    <row r="84" spans="2:2" ht="14">
      <c r="B84" s="9" t="s">
        <v>33</v>
      </c>
    </row>
    <row r="85" spans="2:2" ht="14">
      <c r="B85" s="9" t="s">
        <v>34</v>
      </c>
    </row>
    <row r="86" spans="2:2" ht="14">
      <c r="B86" s="9" t="s">
        <v>35</v>
      </c>
    </row>
    <row r="87" spans="2:2" ht="14">
      <c r="B87" s="10" t="s">
        <v>36</v>
      </c>
    </row>
    <row r="88" spans="2:2" ht="14">
      <c r="B88" s="1"/>
    </row>
    <row r="89" spans="2:2" ht="14">
      <c r="B89" s="7" t="s">
        <v>37</v>
      </c>
    </row>
    <row r="90" spans="2:2" ht="14">
      <c r="B90" s="11">
        <v>23</v>
      </c>
    </row>
    <row r="91" spans="2:2" ht="14">
      <c r="B91" s="12">
        <v>27</v>
      </c>
    </row>
    <row r="92" spans="2:2" ht="14">
      <c r="B92" s="12">
        <v>31</v>
      </c>
    </row>
    <row r="93" spans="2:2" ht="14">
      <c r="B93" s="12">
        <v>41</v>
      </c>
    </row>
    <row r="94" spans="2:2" ht="14">
      <c r="B94" s="13" t="s">
        <v>38</v>
      </c>
    </row>
    <row r="95" spans="2:2" ht="14">
      <c r="B95" s="13" t="s">
        <v>39</v>
      </c>
    </row>
    <row r="96" spans="2:2" ht="14">
      <c r="B96" s="13" t="s">
        <v>29</v>
      </c>
    </row>
    <row r="97" spans="2:2" ht="14">
      <c r="B97" s="14" t="s">
        <v>40</v>
      </c>
    </row>
    <row r="98" spans="2:2" ht="14">
      <c r="B98" s="1"/>
    </row>
    <row r="99" spans="2:2" ht="14">
      <c r="B99" s="7" t="s">
        <v>25</v>
      </c>
    </row>
    <row r="100" spans="2:2" ht="14">
      <c r="B100" s="15">
        <v>190</v>
      </c>
    </row>
    <row r="101" spans="2:2" ht="14">
      <c r="B101" s="16">
        <v>217</v>
      </c>
    </row>
    <row r="102" spans="2:2" ht="14">
      <c r="B102" s="16">
        <v>250</v>
      </c>
    </row>
    <row r="103" spans="2:2" ht="14">
      <c r="B103" s="16">
        <v>254</v>
      </c>
    </row>
    <row r="104" spans="2:2" ht="14">
      <c r="B104" s="16">
        <v>271</v>
      </c>
    </row>
    <row r="105" spans="2:2" ht="14">
      <c r="B105" s="16">
        <v>304</v>
      </c>
    </row>
    <row r="106" spans="2:2" ht="14">
      <c r="B106" s="16">
        <v>317</v>
      </c>
    </row>
    <row r="107" spans="2:2" ht="14">
      <c r="B107" s="16">
        <v>362</v>
      </c>
    </row>
    <row r="108" spans="2:2" ht="14">
      <c r="B108" s="17"/>
    </row>
    <row r="109" spans="2:2" ht="14">
      <c r="B109" s="1"/>
    </row>
    <row r="110" spans="2:2" ht="14">
      <c r="B110" s="7" t="s">
        <v>41</v>
      </c>
    </row>
    <row r="111" spans="2:2" ht="14">
      <c r="B111" s="8" t="s">
        <v>42</v>
      </c>
    </row>
    <row r="112" spans="2:2" ht="14">
      <c r="B112" s="9" t="s">
        <v>43</v>
      </c>
    </row>
    <row r="113" spans="2:2" ht="14">
      <c r="B113" s="9" t="s">
        <v>44</v>
      </c>
    </row>
    <row r="114" spans="2:2" ht="14">
      <c r="B114" s="10" t="s">
        <v>15</v>
      </c>
    </row>
    <row r="250" spans="6:7" ht="14">
      <c r="G250" t="s">
        <v>45</v>
      </c>
    </row>
    <row r="252" spans="6:7" ht="14">
      <c r="F252">
        <v>0</v>
      </c>
      <c r="G252" t="s">
        <v>46</v>
      </c>
    </row>
    <row r="256" spans="6:7" ht="14">
      <c r="F256">
        <v>0</v>
      </c>
    </row>
    <row r="262" spans="5:6" ht="14">
      <c r="F262">
        <v>0</v>
      </c>
    </row>
    <row r="270" spans="5:6" ht="14">
      <c r="E270" t="s">
        <v>47</v>
      </c>
    </row>
    <row r="271" spans="5:6" ht="14">
      <c r="E271" t="s">
        <v>48</v>
      </c>
    </row>
    <row r="272" spans="5:6" ht="14">
      <c r="E272" t="s">
        <v>48</v>
      </c>
    </row>
    <row r="274" spans="5:5" ht="14">
      <c r="E274" t="s">
        <v>49</v>
      </c>
    </row>
    <row r="275" spans="5:5" ht="14">
      <c r="E275" t="s">
        <v>50</v>
      </c>
    </row>
    <row r="276" spans="5:5" ht="14">
      <c r="E276" t="s">
        <v>51</v>
      </c>
    </row>
    <row r="277" spans="5:5" ht="14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AI18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H8" sqref="H8"/>
    </sheetView>
  </sheetViews>
  <sheetFormatPr defaultColWidth="10.6640625" defaultRowHeight="14.25" customHeight="1"/>
  <cols>
    <col min="1" max="1" width="5.5" customWidth="1"/>
    <col min="2" max="2" width="7.33203125" customWidth="1"/>
    <col min="3" max="3" width="8.5" style="170" bestFit="1" customWidth="1"/>
    <col min="4" max="4" width="9.5" customWidth="1"/>
    <col min="5" max="5" width="10.5" customWidth="1"/>
    <col min="6" max="6" width="11" customWidth="1"/>
    <col min="7" max="7" width="10.5" bestFit="1" customWidth="1"/>
    <col min="8" max="9" width="9.75" customWidth="1"/>
    <col min="10" max="10" width="8.83203125" customWidth="1"/>
    <col min="11" max="11" width="9.58203125" customWidth="1"/>
    <col min="12" max="12" width="8.83203125" customWidth="1"/>
    <col min="13" max="13" width="10.33203125" customWidth="1"/>
    <col min="14" max="14" width="9.5" customWidth="1"/>
    <col min="15" max="15" width="10.25" customWidth="1"/>
    <col min="16" max="17" width="7.83203125" customWidth="1"/>
    <col min="18" max="18" width="8.83203125" customWidth="1"/>
    <col min="19" max="19" width="8.75" customWidth="1"/>
    <col min="20" max="20" width="7.58203125" customWidth="1"/>
    <col min="21" max="21" width="7.5" customWidth="1"/>
    <col min="22" max="22" width="7.25" customWidth="1"/>
    <col min="23" max="23" width="8.25" customWidth="1"/>
    <col min="28" max="28" width="15.08203125" customWidth="1"/>
  </cols>
  <sheetData>
    <row r="1" spans="1:35" ht="30" customHeight="1" thickBot="1">
      <c r="E1" s="147"/>
      <c r="F1" s="173" t="s">
        <v>18</v>
      </c>
      <c r="G1" s="173"/>
      <c r="H1" s="173"/>
      <c r="I1" s="173"/>
      <c r="J1" s="173"/>
      <c r="K1" s="173"/>
      <c r="L1" s="173"/>
      <c r="M1" s="173"/>
      <c r="N1" s="6"/>
      <c r="O1" s="190"/>
      <c r="P1" s="190"/>
      <c r="Q1" s="190"/>
      <c r="R1" s="190"/>
      <c r="S1" s="190"/>
      <c r="T1" s="190"/>
      <c r="U1" s="190"/>
      <c r="V1" s="190"/>
      <c r="W1" s="190"/>
      <c r="X1" s="3"/>
      <c r="Y1" s="3"/>
      <c r="Z1" s="3"/>
      <c r="AA1" s="3">
        <f>22*150/60</f>
        <v>55</v>
      </c>
      <c r="AB1" s="3"/>
      <c r="AC1" s="3"/>
      <c r="AD1" s="3"/>
      <c r="AE1" s="3"/>
      <c r="AF1" s="3"/>
      <c r="AG1" s="3"/>
      <c r="AH1" s="3">
        <f>34*150/60</f>
        <v>85</v>
      </c>
      <c r="AI1" s="3"/>
    </row>
    <row r="2" spans="1:35" ht="28" thickBot="1">
      <c r="E2" s="148"/>
      <c r="F2" s="174" t="s">
        <v>19</v>
      </c>
      <c r="G2" s="174"/>
      <c r="H2" s="174"/>
      <c r="I2" s="174"/>
      <c r="J2" s="174"/>
      <c r="K2" s="174"/>
      <c r="L2" s="174"/>
      <c r="M2" s="174"/>
      <c r="N2" s="191" t="s">
        <v>105</v>
      </c>
      <c r="O2" s="192"/>
      <c r="P2" s="188" t="s">
        <v>106</v>
      </c>
      <c r="Q2" s="188"/>
      <c r="R2" s="188"/>
      <c r="S2" s="188"/>
      <c r="T2" s="188"/>
      <c r="U2" s="189"/>
      <c r="V2" s="193" t="s">
        <v>105</v>
      </c>
      <c r="W2" s="188"/>
      <c r="X2" s="178" t="s">
        <v>79</v>
      </c>
      <c r="Y2" s="179"/>
      <c r="Z2" s="179"/>
      <c r="AA2" s="179"/>
      <c r="AB2" s="177" t="s">
        <v>78</v>
      </c>
      <c r="AC2" s="177"/>
      <c r="AD2" s="180" t="s">
        <v>80</v>
      </c>
      <c r="AE2" s="180"/>
      <c r="AF2" s="180"/>
      <c r="AG2" s="180"/>
      <c r="AH2" s="181"/>
      <c r="AI2" s="3"/>
    </row>
    <row r="3" spans="1:35" ht="28">
      <c r="E3" s="149"/>
      <c r="F3" s="175" t="s">
        <v>115</v>
      </c>
      <c r="G3" s="175"/>
      <c r="H3" s="175"/>
      <c r="I3" s="175"/>
      <c r="J3" s="175"/>
      <c r="K3" s="175"/>
      <c r="L3" s="175"/>
      <c r="M3" s="175"/>
      <c r="N3" s="196" t="s">
        <v>107</v>
      </c>
      <c r="O3" s="197"/>
      <c r="P3" s="184" t="s">
        <v>65</v>
      </c>
      <c r="Q3" s="185"/>
      <c r="R3" s="184" t="s">
        <v>88</v>
      </c>
      <c r="S3" s="185"/>
      <c r="T3" s="186" t="s">
        <v>87</v>
      </c>
      <c r="U3" s="187"/>
      <c r="V3" s="194" t="s">
        <v>86</v>
      </c>
      <c r="W3" s="195"/>
      <c r="X3" s="182" t="s">
        <v>75</v>
      </c>
      <c r="Y3" s="183"/>
      <c r="Z3" s="150" t="s">
        <v>76</v>
      </c>
      <c r="AA3" s="150" t="s">
        <v>70</v>
      </c>
      <c r="AB3" s="151" t="s">
        <v>72</v>
      </c>
      <c r="AC3" s="151" t="s">
        <v>74</v>
      </c>
      <c r="AD3" s="176" t="s">
        <v>77</v>
      </c>
      <c r="AE3" s="176"/>
      <c r="AF3" s="176" t="s">
        <v>76</v>
      </c>
      <c r="AG3" s="176"/>
      <c r="AH3" s="152" t="s">
        <v>70</v>
      </c>
      <c r="AI3" s="153" t="s">
        <v>100</v>
      </c>
    </row>
    <row r="4" spans="1:35" ht="31">
      <c r="A4" s="154" t="s">
        <v>24</v>
      </c>
      <c r="B4" s="154" t="s">
        <v>108</v>
      </c>
      <c r="C4" s="154" t="s">
        <v>109</v>
      </c>
      <c r="D4" s="154" t="s">
        <v>20</v>
      </c>
      <c r="E4" s="154" t="s">
        <v>1</v>
      </c>
      <c r="F4" s="154" t="s">
        <v>110</v>
      </c>
      <c r="G4" s="154" t="s">
        <v>5</v>
      </c>
      <c r="H4" s="154" t="s">
        <v>111</v>
      </c>
      <c r="I4" s="154" t="s">
        <v>57</v>
      </c>
      <c r="J4" s="154" t="s">
        <v>112</v>
      </c>
      <c r="K4" s="154" t="s">
        <v>22</v>
      </c>
      <c r="L4" s="154" t="s">
        <v>23</v>
      </c>
      <c r="M4" s="154" t="s">
        <v>113</v>
      </c>
      <c r="N4" s="155" t="s">
        <v>17</v>
      </c>
      <c r="O4" s="155" t="s">
        <v>2</v>
      </c>
      <c r="P4" s="155" t="s">
        <v>17</v>
      </c>
      <c r="Q4" s="155" t="s">
        <v>2</v>
      </c>
      <c r="R4" s="155" t="s">
        <v>17</v>
      </c>
      <c r="S4" s="155" t="s">
        <v>2</v>
      </c>
      <c r="T4" s="155" t="s">
        <v>17</v>
      </c>
      <c r="U4" s="155" t="s">
        <v>2</v>
      </c>
      <c r="V4" s="155" t="s">
        <v>17</v>
      </c>
      <c r="W4" s="155" t="s">
        <v>2</v>
      </c>
      <c r="X4" s="156" t="s">
        <v>81</v>
      </c>
      <c r="Y4" s="156" t="s">
        <v>82</v>
      </c>
      <c r="Z4" s="156" t="s">
        <v>81</v>
      </c>
      <c r="AA4" s="156" t="s">
        <v>71</v>
      </c>
      <c r="AB4" s="157" t="s">
        <v>73</v>
      </c>
      <c r="AC4" s="157" t="s">
        <v>83</v>
      </c>
      <c r="AD4" s="158" t="s">
        <v>81</v>
      </c>
      <c r="AE4" s="158" t="s">
        <v>82</v>
      </c>
      <c r="AF4" s="158" t="s">
        <v>81</v>
      </c>
      <c r="AG4" s="158" t="s">
        <v>84</v>
      </c>
      <c r="AH4" s="158" t="s">
        <v>71</v>
      </c>
      <c r="AI4" s="159" t="s">
        <v>99</v>
      </c>
    </row>
    <row r="5" spans="1:35" ht="15.5">
      <c r="A5" s="160" t="s">
        <v>114</v>
      </c>
      <c r="B5" s="161">
        <v>133.4</v>
      </c>
      <c r="C5" s="171">
        <v>15</v>
      </c>
      <c r="D5" s="160" t="s">
        <v>117</v>
      </c>
      <c r="E5" s="144">
        <v>43333</v>
      </c>
      <c r="F5" s="162" t="s">
        <v>98</v>
      </c>
      <c r="G5" s="19">
        <v>6338</v>
      </c>
      <c r="H5" s="18">
        <v>90972</v>
      </c>
      <c r="I5" s="18">
        <v>2725142</v>
      </c>
      <c r="J5" s="163">
        <v>364</v>
      </c>
      <c r="K5" s="18">
        <v>53</v>
      </c>
      <c r="L5" s="125">
        <v>3.14</v>
      </c>
      <c r="M5" s="19">
        <v>8</v>
      </c>
      <c r="N5" s="146">
        <v>129.6</v>
      </c>
      <c r="O5" s="20">
        <v>141.6</v>
      </c>
      <c r="P5" s="20">
        <v>130.19999999999999</v>
      </c>
      <c r="Q5" s="20">
        <v>142</v>
      </c>
      <c r="R5" s="20">
        <v>1299</v>
      </c>
      <c r="S5" s="20">
        <v>142</v>
      </c>
      <c r="T5" s="20">
        <v>131.6</v>
      </c>
      <c r="U5" s="20">
        <v>142.9</v>
      </c>
      <c r="V5" s="19">
        <v>129.9</v>
      </c>
      <c r="W5" s="146">
        <v>142.4</v>
      </c>
      <c r="X5" s="164">
        <v>880</v>
      </c>
      <c r="Y5" s="164">
        <v>800</v>
      </c>
      <c r="Z5" s="165">
        <v>920</v>
      </c>
      <c r="AA5" s="165">
        <v>150</v>
      </c>
      <c r="AB5" s="166">
        <v>0.18</v>
      </c>
      <c r="AC5" s="165">
        <v>1600</v>
      </c>
      <c r="AD5" s="167">
        <v>557</v>
      </c>
      <c r="AE5" s="167">
        <v>470</v>
      </c>
      <c r="AF5" s="167">
        <v>557</v>
      </c>
      <c r="AG5" s="167">
        <v>557</v>
      </c>
      <c r="AH5" s="165">
        <v>150</v>
      </c>
      <c r="AI5" s="167">
        <v>540</v>
      </c>
    </row>
    <row r="6" spans="1:35" ht="15.5">
      <c r="A6" s="160" t="s">
        <v>114</v>
      </c>
      <c r="B6" s="161">
        <v>133.4</v>
      </c>
      <c r="C6" s="171">
        <v>15</v>
      </c>
      <c r="D6" s="160" t="s">
        <v>117</v>
      </c>
      <c r="E6" s="144">
        <v>43333</v>
      </c>
      <c r="F6" s="162" t="s">
        <v>98</v>
      </c>
      <c r="G6" s="19">
        <v>6339</v>
      </c>
      <c r="H6" s="18">
        <v>90972</v>
      </c>
      <c r="I6" s="18">
        <v>2725142</v>
      </c>
      <c r="J6" s="163">
        <v>364</v>
      </c>
      <c r="K6" s="18">
        <v>53</v>
      </c>
      <c r="L6" s="125">
        <v>3.14</v>
      </c>
      <c r="M6" s="19">
        <v>110</v>
      </c>
      <c r="N6" s="146">
        <v>130.1</v>
      </c>
      <c r="O6" s="20">
        <v>141.69999999999999</v>
      </c>
      <c r="P6" s="20"/>
      <c r="Q6" s="20"/>
      <c r="R6" s="20"/>
      <c r="S6" s="20"/>
      <c r="T6" s="20"/>
      <c r="U6" s="20"/>
      <c r="V6" s="146">
        <v>129</v>
      </c>
      <c r="W6" s="146">
        <v>139.4</v>
      </c>
      <c r="X6" s="164">
        <v>880</v>
      </c>
      <c r="Y6" s="164">
        <v>800</v>
      </c>
      <c r="Z6" s="165">
        <v>920</v>
      </c>
      <c r="AA6" s="165">
        <v>150</v>
      </c>
      <c r="AB6" s="166">
        <v>0.18</v>
      </c>
      <c r="AC6" s="165">
        <v>1600</v>
      </c>
      <c r="AD6" s="167">
        <v>557</v>
      </c>
      <c r="AE6" s="167">
        <v>470</v>
      </c>
      <c r="AF6" s="167">
        <v>557</v>
      </c>
      <c r="AG6" s="167">
        <v>557</v>
      </c>
      <c r="AH6" s="165">
        <v>150</v>
      </c>
      <c r="AI6" s="167">
        <v>541</v>
      </c>
    </row>
    <row r="7" spans="1:35" ht="15.5">
      <c r="A7" s="160" t="s">
        <v>114</v>
      </c>
      <c r="B7" s="161">
        <v>133.4</v>
      </c>
      <c r="C7" s="171">
        <v>15</v>
      </c>
      <c r="D7" s="160" t="s">
        <v>117</v>
      </c>
      <c r="E7" s="144">
        <v>43333</v>
      </c>
      <c r="F7" s="162" t="s">
        <v>98</v>
      </c>
      <c r="G7" s="19">
        <v>6340</v>
      </c>
      <c r="H7" s="18">
        <v>90971</v>
      </c>
      <c r="I7" s="18">
        <v>2725142</v>
      </c>
      <c r="J7" s="163">
        <v>364</v>
      </c>
      <c r="K7" s="18">
        <v>53</v>
      </c>
      <c r="L7" s="125">
        <v>4.4800000000000004</v>
      </c>
      <c r="M7" s="19">
        <v>5</v>
      </c>
      <c r="N7" s="146">
        <v>128.69999999999999</v>
      </c>
      <c r="O7" s="20">
        <v>143</v>
      </c>
      <c r="P7" s="20">
        <v>132.19999999999999</v>
      </c>
      <c r="Q7" s="20">
        <v>143.80000000000001</v>
      </c>
      <c r="R7" s="20">
        <v>131.6</v>
      </c>
      <c r="S7" s="20">
        <v>141.5</v>
      </c>
      <c r="T7" s="20">
        <v>131.80000000000001</v>
      </c>
      <c r="U7" s="20">
        <v>143.4</v>
      </c>
      <c r="V7" s="146">
        <v>132</v>
      </c>
      <c r="W7" s="146">
        <v>143.4</v>
      </c>
      <c r="X7" s="164">
        <v>880</v>
      </c>
      <c r="Y7" s="164">
        <v>800</v>
      </c>
      <c r="Z7" s="165">
        <v>920</v>
      </c>
      <c r="AA7" s="165">
        <v>150</v>
      </c>
      <c r="AB7" s="166">
        <v>0.18</v>
      </c>
      <c r="AC7" s="165">
        <v>1600</v>
      </c>
      <c r="AD7" s="167">
        <v>557</v>
      </c>
      <c r="AE7" s="167">
        <v>470</v>
      </c>
      <c r="AF7" s="167">
        <v>557</v>
      </c>
      <c r="AG7" s="167">
        <v>557</v>
      </c>
      <c r="AH7" s="165">
        <v>150</v>
      </c>
      <c r="AI7" s="167">
        <v>537</v>
      </c>
    </row>
    <row r="8" spans="1:35" ht="15.5">
      <c r="A8" s="160" t="s">
        <v>114</v>
      </c>
      <c r="B8" s="161">
        <v>133.4</v>
      </c>
      <c r="C8" s="171">
        <v>15</v>
      </c>
      <c r="D8" s="160" t="s">
        <v>117</v>
      </c>
      <c r="E8" s="144">
        <v>43333</v>
      </c>
      <c r="F8" s="162" t="s">
        <v>98</v>
      </c>
      <c r="G8" s="19">
        <v>6341</v>
      </c>
      <c r="H8" s="18">
        <v>90971</v>
      </c>
      <c r="I8" s="18">
        <v>2725142</v>
      </c>
      <c r="J8" s="163">
        <v>364</v>
      </c>
      <c r="K8" s="18">
        <v>53</v>
      </c>
      <c r="L8" s="125">
        <v>4.4800000000000004</v>
      </c>
      <c r="M8" s="19">
        <v>103</v>
      </c>
      <c r="N8" s="146">
        <v>131.4</v>
      </c>
      <c r="O8" s="20">
        <v>142.4</v>
      </c>
      <c r="P8" s="20"/>
      <c r="Q8" s="20"/>
      <c r="R8" s="20"/>
      <c r="S8" s="20"/>
      <c r="T8" s="20"/>
      <c r="U8" s="20"/>
      <c r="V8" s="19">
        <v>131.4</v>
      </c>
      <c r="W8" s="146">
        <v>142.5</v>
      </c>
      <c r="X8" s="164">
        <v>880</v>
      </c>
      <c r="Y8" s="164">
        <v>800</v>
      </c>
      <c r="Z8" s="165">
        <v>920</v>
      </c>
      <c r="AA8" s="165">
        <v>150</v>
      </c>
      <c r="AB8" s="166">
        <v>0.18</v>
      </c>
      <c r="AC8" s="165">
        <v>1600</v>
      </c>
      <c r="AD8" s="167">
        <v>557</v>
      </c>
      <c r="AE8" s="167">
        <v>470</v>
      </c>
      <c r="AF8" s="167">
        <v>557</v>
      </c>
      <c r="AG8" s="167">
        <v>557</v>
      </c>
      <c r="AH8" s="165">
        <v>150</v>
      </c>
      <c r="AI8" s="167">
        <v>537</v>
      </c>
    </row>
    <row r="9" spans="1:35" ht="15.5">
      <c r="A9" s="160" t="s">
        <v>114</v>
      </c>
      <c r="B9" s="161">
        <v>133.4</v>
      </c>
      <c r="C9" s="171">
        <v>15</v>
      </c>
      <c r="D9" s="160" t="s">
        <v>117</v>
      </c>
      <c r="E9" s="144">
        <v>43333</v>
      </c>
      <c r="F9" s="162" t="s">
        <v>98</v>
      </c>
      <c r="G9" s="19">
        <v>6342</v>
      </c>
      <c r="H9" s="18">
        <v>90972</v>
      </c>
      <c r="I9" s="18">
        <v>2725142</v>
      </c>
      <c r="J9" s="163">
        <v>364</v>
      </c>
      <c r="K9" s="18">
        <v>53</v>
      </c>
      <c r="L9" s="125">
        <v>3.14</v>
      </c>
      <c r="M9" s="19">
        <v>127</v>
      </c>
      <c r="N9" s="146">
        <v>129.4</v>
      </c>
      <c r="O9" s="20">
        <v>142.1</v>
      </c>
      <c r="P9" s="20"/>
      <c r="Q9" s="20"/>
      <c r="R9" s="20"/>
      <c r="S9" s="20"/>
      <c r="T9" s="20"/>
      <c r="U9" s="20"/>
      <c r="V9" s="19">
        <v>130.1</v>
      </c>
      <c r="W9" s="146">
        <v>143.30000000000001</v>
      </c>
      <c r="X9" s="164">
        <v>880</v>
      </c>
      <c r="Y9" s="164">
        <v>800</v>
      </c>
      <c r="Z9" s="165">
        <v>920</v>
      </c>
      <c r="AA9" s="165">
        <v>150</v>
      </c>
      <c r="AB9" s="166">
        <v>0.18</v>
      </c>
      <c r="AC9" s="165">
        <v>1600</v>
      </c>
      <c r="AD9" s="167">
        <v>557</v>
      </c>
      <c r="AE9" s="167">
        <v>470</v>
      </c>
      <c r="AF9" s="167">
        <v>557</v>
      </c>
      <c r="AG9" s="167">
        <v>557</v>
      </c>
      <c r="AH9" s="165">
        <v>150</v>
      </c>
      <c r="AI9" s="167">
        <v>537</v>
      </c>
    </row>
    <row r="10" spans="1:35" ht="15.5">
      <c r="A10" s="161"/>
      <c r="B10" s="161"/>
      <c r="C10" s="171"/>
      <c r="D10" s="161"/>
      <c r="E10" s="144"/>
      <c r="F10" s="144"/>
      <c r="G10" s="19"/>
      <c r="H10" s="18"/>
      <c r="I10" s="168"/>
      <c r="J10" s="145"/>
      <c r="K10" s="18"/>
      <c r="L10" s="19"/>
      <c r="M10" s="19"/>
      <c r="N10" s="146"/>
      <c r="O10" s="20"/>
      <c r="P10" s="20"/>
      <c r="Q10" s="20"/>
      <c r="R10" s="20"/>
      <c r="S10" s="20"/>
      <c r="T10" s="20"/>
      <c r="U10" s="20"/>
      <c r="V10" s="19"/>
      <c r="W10" s="146"/>
      <c r="X10" s="164"/>
      <c r="Y10" s="164"/>
      <c r="Z10" s="165"/>
      <c r="AA10" s="165"/>
      <c r="AB10" s="166"/>
      <c r="AC10" s="165"/>
      <c r="AD10" s="165"/>
      <c r="AE10" s="165"/>
      <c r="AF10" s="165"/>
      <c r="AG10" s="165"/>
      <c r="AH10" s="165"/>
      <c r="AI10" s="161"/>
    </row>
    <row r="11" spans="1:35" ht="15.5">
      <c r="A11" s="161"/>
      <c r="B11" s="161"/>
      <c r="C11" s="171"/>
      <c r="D11" s="161"/>
      <c r="E11" s="144"/>
      <c r="F11" s="144"/>
      <c r="G11" s="19"/>
      <c r="H11" s="18"/>
      <c r="I11" s="168"/>
      <c r="J11" s="145"/>
      <c r="K11" s="18"/>
      <c r="L11" s="19"/>
      <c r="M11" s="19"/>
      <c r="N11" s="146"/>
      <c r="O11" s="20"/>
      <c r="P11" s="20"/>
      <c r="Q11" s="20"/>
      <c r="R11" s="20"/>
      <c r="S11" s="20"/>
      <c r="T11" s="20"/>
      <c r="U11" s="20"/>
      <c r="V11" s="19"/>
      <c r="W11" s="146"/>
      <c r="X11" s="164"/>
      <c r="Y11" s="164"/>
      <c r="Z11" s="165"/>
      <c r="AA11" s="165"/>
      <c r="AB11" s="166"/>
      <c r="AC11" s="165"/>
      <c r="AD11" s="165"/>
      <c r="AE11" s="165"/>
      <c r="AF11" s="165"/>
      <c r="AG11" s="165"/>
      <c r="AH11" s="165"/>
      <c r="AI11" s="161"/>
    </row>
    <row r="12" spans="1:35" ht="15.5">
      <c r="A12" s="161"/>
      <c r="B12" s="161"/>
      <c r="C12" s="171"/>
      <c r="D12" s="161"/>
      <c r="E12" s="144"/>
      <c r="F12" s="144"/>
      <c r="G12" s="19"/>
      <c r="H12" s="18"/>
      <c r="I12" s="168"/>
      <c r="J12" s="145"/>
      <c r="K12" s="18"/>
      <c r="L12" s="19"/>
      <c r="M12" s="19"/>
      <c r="N12" s="146"/>
      <c r="O12" s="20"/>
      <c r="P12" s="20"/>
      <c r="Q12" s="20"/>
      <c r="R12" s="20"/>
      <c r="S12" s="20"/>
      <c r="T12" s="20"/>
      <c r="U12" s="20"/>
      <c r="V12" s="19"/>
      <c r="W12" s="146"/>
      <c r="X12" s="164"/>
      <c r="Y12" s="164"/>
      <c r="Z12" s="165"/>
      <c r="AA12" s="165"/>
      <c r="AB12" s="166"/>
      <c r="AC12" s="165"/>
      <c r="AD12" s="165"/>
      <c r="AE12" s="165"/>
      <c r="AF12" s="165"/>
      <c r="AG12" s="165"/>
      <c r="AH12" s="165"/>
      <c r="AI12" s="169"/>
    </row>
    <row r="13" spans="1:35" ht="15.5">
      <c r="A13" s="161"/>
      <c r="B13" s="161"/>
      <c r="C13" s="171"/>
      <c r="D13" s="161"/>
      <c r="E13" s="144"/>
      <c r="F13" s="144"/>
      <c r="G13" s="19"/>
      <c r="H13" s="18"/>
      <c r="I13" s="168"/>
      <c r="J13" s="145"/>
      <c r="K13" s="18"/>
      <c r="L13" s="19"/>
      <c r="M13" s="19"/>
      <c r="N13" s="146"/>
      <c r="O13" s="20"/>
      <c r="P13" s="20"/>
      <c r="Q13" s="20"/>
      <c r="R13" s="20"/>
      <c r="S13" s="20"/>
      <c r="T13" s="20"/>
      <c r="U13" s="20"/>
      <c r="V13" s="19"/>
      <c r="W13" s="146"/>
      <c r="X13" s="164"/>
      <c r="Y13" s="164"/>
      <c r="Z13" s="165"/>
      <c r="AA13" s="165"/>
      <c r="AB13" s="166"/>
      <c r="AC13" s="165"/>
      <c r="AD13" s="165"/>
      <c r="AE13" s="165"/>
      <c r="AF13" s="165"/>
      <c r="AG13" s="165"/>
      <c r="AH13" s="165"/>
      <c r="AI13" s="169"/>
    </row>
    <row r="14" spans="1:35" ht="15.5">
      <c r="A14" s="161"/>
      <c r="B14" s="161"/>
      <c r="C14" s="171"/>
      <c r="D14" s="161"/>
      <c r="E14" s="144"/>
      <c r="F14" s="144"/>
      <c r="G14" s="19"/>
      <c r="H14" s="18"/>
      <c r="I14" s="168"/>
      <c r="J14" s="145"/>
      <c r="K14" s="18"/>
      <c r="L14" s="19"/>
      <c r="M14" s="19"/>
      <c r="N14" s="146"/>
      <c r="O14" s="20"/>
      <c r="P14" s="20"/>
      <c r="Q14" s="20"/>
      <c r="R14" s="20"/>
      <c r="S14" s="20"/>
      <c r="T14" s="20"/>
      <c r="U14" s="20"/>
      <c r="V14" s="146"/>
      <c r="W14" s="146"/>
      <c r="X14" s="164"/>
      <c r="Y14" s="164"/>
      <c r="Z14" s="165"/>
      <c r="AA14" s="165"/>
      <c r="AB14" s="166"/>
      <c r="AC14" s="165"/>
      <c r="AD14" s="165"/>
      <c r="AE14" s="165"/>
      <c r="AF14" s="165"/>
      <c r="AG14" s="165"/>
      <c r="AH14" s="165"/>
      <c r="AI14" s="169"/>
    </row>
    <row r="15" spans="1:35" ht="15.5">
      <c r="A15" s="161"/>
      <c r="B15" s="161"/>
      <c r="C15" s="171"/>
      <c r="D15" s="161"/>
      <c r="E15" s="144"/>
      <c r="F15" s="144"/>
      <c r="G15" s="19"/>
      <c r="H15" s="18"/>
      <c r="I15" s="168"/>
      <c r="J15" s="145"/>
      <c r="K15" s="18"/>
      <c r="L15" s="19"/>
      <c r="M15" s="19"/>
      <c r="N15" s="146"/>
      <c r="O15" s="20"/>
      <c r="P15" s="20"/>
      <c r="Q15" s="20"/>
      <c r="R15" s="20"/>
      <c r="S15" s="20"/>
      <c r="T15" s="20"/>
      <c r="U15" s="20"/>
      <c r="V15" s="146"/>
      <c r="W15" s="146"/>
      <c r="X15" s="164"/>
      <c r="Y15" s="164"/>
      <c r="Z15" s="165"/>
      <c r="AA15" s="165"/>
      <c r="AB15" s="166"/>
      <c r="AC15" s="165"/>
      <c r="AD15" s="165"/>
      <c r="AE15" s="165"/>
      <c r="AF15" s="165"/>
      <c r="AG15" s="165"/>
      <c r="AH15" s="165"/>
      <c r="AI15" s="169"/>
    </row>
    <row r="16" spans="1:35" ht="15.5">
      <c r="A16" s="161"/>
      <c r="B16" s="161"/>
      <c r="C16" s="171"/>
      <c r="D16" s="161"/>
      <c r="E16" s="144"/>
      <c r="F16" s="144"/>
      <c r="G16" s="19"/>
      <c r="H16" s="18"/>
      <c r="I16" s="168"/>
      <c r="J16" s="145"/>
      <c r="K16" s="18"/>
      <c r="L16" s="19"/>
      <c r="M16" s="19"/>
      <c r="N16" s="146"/>
      <c r="O16" s="20"/>
      <c r="P16" s="20"/>
      <c r="Q16" s="20"/>
      <c r="R16" s="20"/>
      <c r="S16" s="20"/>
      <c r="T16" s="20"/>
      <c r="U16" s="20"/>
      <c r="V16" s="19"/>
      <c r="W16" s="146"/>
      <c r="X16" s="164"/>
      <c r="Y16" s="164"/>
      <c r="Z16" s="165"/>
      <c r="AA16" s="165"/>
      <c r="AB16" s="166"/>
      <c r="AC16" s="165"/>
      <c r="AD16" s="165"/>
      <c r="AE16" s="165"/>
      <c r="AF16" s="165"/>
      <c r="AG16" s="165"/>
      <c r="AH16" s="165"/>
      <c r="AI16" s="169"/>
    </row>
    <row r="17" spans="1:35" ht="15.5">
      <c r="A17" s="161"/>
      <c r="B17" s="161"/>
      <c r="C17" s="171"/>
      <c r="D17" s="161"/>
      <c r="E17" s="162"/>
      <c r="F17" s="162"/>
      <c r="G17" s="19"/>
      <c r="H17" s="18"/>
      <c r="I17" s="18"/>
      <c r="J17" s="163"/>
      <c r="K17" s="18"/>
      <c r="L17" s="19"/>
      <c r="M17" s="19"/>
      <c r="N17" s="146"/>
      <c r="O17" s="20"/>
      <c r="P17" s="20"/>
      <c r="Q17" s="20"/>
      <c r="R17" s="20"/>
      <c r="S17" s="20"/>
      <c r="T17" s="20"/>
      <c r="U17" s="20"/>
      <c r="V17" s="19"/>
      <c r="W17" s="146"/>
      <c r="X17" s="161"/>
      <c r="Y17" s="161"/>
      <c r="Z17" s="161"/>
      <c r="AA17" s="161"/>
      <c r="AB17" s="161"/>
      <c r="AC17" s="161"/>
      <c r="AD17" s="161"/>
      <c r="AE17" s="161"/>
      <c r="AF17" s="161"/>
      <c r="AG17" s="161"/>
      <c r="AH17" s="161"/>
      <c r="AI17" s="169"/>
    </row>
    <row r="18" spans="1:35" ht="15.5">
      <c r="A18" s="161"/>
      <c r="B18" s="161"/>
      <c r="C18" s="171"/>
      <c r="D18" s="161"/>
      <c r="E18" s="162"/>
      <c r="F18" s="162"/>
      <c r="G18" s="19"/>
      <c r="H18" s="18"/>
      <c r="I18" s="18"/>
      <c r="J18" s="163"/>
      <c r="K18" s="18"/>
      <c r="L18" s="19"/>
      <c r="M18" s="19"/>
      <c r="N18" s="146"/>
      <c r="O18" s="20"/>
      <c r="P18" s="20"/>
      <c r="Q18" s="20"/>
      <c r="R18" s="20"/>
      <c r="S18" s="20"/>
      <c r="T18" s="20"/>
      <c r="U18" s="20"/>
      <c r="V18" s="19"/>
      <c r="W18" s="146"/>
      <c r="X18" s="161"/>
      <c r="Y18" s="161"/>
      <c r="Z18" s="161"/>
      <c r="AA18" s="161"/>
      <c r="AB18" s="161"/>
      <c r="AC18" s="161"/>
      <c r="AD18" s="161"/>
      <c r="AE18" s="161"/>
      <c r="AF18" s="161"/>
      <c r="AG18" s="161"/>
      <c r="AH18" s="161"/>
      <c r="AI18" s="169"/>
    </row>
  </sheetData>
  <protectedRanges>
    <protectedRange sqref="H5:I1180 K5:K1180" name="Rango1_1"/>
  </protectedRanges>
  <autoFilter ref="A4:AI4" xr:uid="{00000000-0001-0000-0200-000000000000}"/>
  <mergeCells count="18">
    <mergeCell ref="N3:O3"/>
    <mergeCell ref="P3:Q3"/>
    <mergeCell ref="F1:M1"/>
    <mergeCell ref="F2:M2"/>
    <mergeCell ref="F3:M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</mergeCells>
  <phoneticPr fontId="0" type="noConversion"/>
  <conditionalFormatting sqref="E5:F8 E10:F10">
    <cfRule type="expression" dxfId="20" priority="105" stopIfTrue="1">
      <formula>"SEVERSTAL"</formula>
    </cfRule>
  </conditionalFormatting>
  <conditionalFormatting sqref="H17:I18 K12:K15 H12:H15 H10:I10 H5:I8 K5:K8 K10 K17:K18">
    <cfRule type="cellIs" dxfId="19" priority="106" stopIfTrue="1" operator="equal">
      <formula>"APROBADO"</formula>
    </cfRule>
    <cfRule type="cellIs" dxfId="18" priority="107" stopIfTrue="1" operator="equal">
      <formula>"ESPERA"</formula>
    </cfRule>
    <cfRule type="cellIs" dxfId="17" priority="108" stopIfTrue="1" operator="equal">
      <formula>"RECHAZADO"</formula>
    </cfRule>
  </conditionalFormatting>
  <conditionalFormatting sqref="E17:F18">
    <cfRule type="expression" dxfId="16" priority="46" stopIfTrue="1">
      <formula>"SEVERSTAL"</formula>
    </cfRule>
  </conditionalFormatting>
  <conditionalFormatting sqref="E16:F16">
    <cfRule type="expression" dxfId="15" priority="9" stopIfTrue="1">
      <formula>"SEVERSTAL"</formula>
    </cfRule>
  </conditionalFormatting>
  <conditionalFormatting sqref="H16:I16 K16">
    <cfRule type="cellIs" dxfId="14" priority="10" stopIfTrue="1" operator="equal">
      <formula>"APROBADO"</formula>
    </cfRule>
    <cfRule type="cellIs" dxfId="13" priority="11" stopIfTrue="1" operator="equal">
      <formula>"ESPERA"</formula>
    </cfRule>
    <cfRule type="cellIs" dxfId="12" priority="12" stopIfTrue="1" operator="equal">
      <formula>"RECHAZADO"</formula>
    </cfRule>
  </conditionalFormatting>
  <conditionalFormatting sqref="E11:F15">
    <cfRule type="expression" dxfId="11" priority="5" stopIfTrue="1">
      <formula>"SEVERSTAL"</formula>
    </cfRule>
  </conditionalFormatting>
  <conditionalFormatting sqref="H11:I11 I12:I15 K11">
    <cfRule type="cellIs" dxfId="10" priority="6" stopIfTrue="1" operator="equal">
      <formula>"APROBADO"</formula>
    </cfRule>
    <cfRule type="cellIs" dxfId="9" priority="7" stopIfTrue="1" operator="equal">
      <formula>"ESPERA"</formula>
    </cfRule>
    <cfRule type="cellIs" dxfId="8" priority="8" stopIfTrue="1" operator="equal">
      <formula>"RECHAZADO"</formula>
    </cfRule>
  </conditionalFormatting>
  <conditionalFormatting sqref="E9:F9">
    <cfRule type="expression" dxfId="7" priority="1" stopIfTrue="1">
      <formula>"SEVERSTAL"</formula>
    </cfRule>
  </conditionalFormatting>
  <conditionalFormatting sqref="H9:I9 K9">
    <cfRule type="cellIs" dxfId="6" priority="2" stopIfTrue="1" operator="equal">
      <formula>"APROBADO"</formula>
    </cfRule>
    <cfRule type="cellIs" dxfId="5" priority="3" stopIfTrue="1" operator="equal">
      <formula>"ESPERA"</formula>
    </cfRule>
    <cfRule type="cellIs" dxfId="4" priority="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29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F17" sqref="F17"/>
    </sheetView>
  </sheetViews>
  <sheetFormatPr defaultColWidth="10.6640625" defaultRowHeight="14.25" customHeight="1"/>
  <cols>
    <col min="1" max="1" width="12.5" customWidth="1"/>
    <col min="2" max="2" width="7.08203125" customWidth="1"/>
    <col min="3" max="4" width="12.83203125" customWidth="1"/>
    <col min="5" max="5" width="9.83203125" customWidth="1"/>
    <col min="6" max="6" width="8" customWidth="1"/>
    <col min="7" max="7" width="8.75" customWidth="1"/>
    <col min="8" max="8" width="12.83203125" customWidth="1"/>
    <col min="9" max="9" width="5.75" customWidth="1"/>
    <col min="10" max="10" width="6.58203125" customWidth="1"/>
    <col min="11" max="11" width="8.08203125" customWidth="1"/>
    <col min="12" max="12" width="5.75" customWidth="1"/>
    <col min="13" max="13" width="5.83203125" customWidth="1"/>
    <col min="14" max="14" width="5.75" customWidth="1"/>
    <col min="15" max="15" width="7.83203125" customWidth="1"/>
    <col min="16" max="16" width="6.58203125" customWidth="1"/>
    <col min="17" max="17" width="5.75" customWidth="1"/>
    <col min="18" max="19" width="5.58203125" customWidth="1"/>
    <col min="20" max="20" width="5.75" customWidth="1"/>
    <col min="21" max="21" width="6.58203125" customWidth="1"/>
    <col min="22" max="22" width="6.75" customWidth="1"/>
    <col min="23" max="23" width="10.25" customWidth="1"/>
    <col min="24" max="33" width="8.58203125" customWidth="1"/>
  </cols>
  <sheetData>
    <row r="1" spans="1:33" ht="27" customHeight="1">
      <c r="A1" s="22"/>
      <c r="B1" s="22"/>
      <c r="C1" s="22"/>
      <c r="D1" s="22"/>
      <c r="E1" s="22"/>
      <c r="F1" s="22"/>
      <c r="G1" s="22" t="s">
        <v>54</v>
      </c>
      <c r="H1" s="119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3"/>
      <c r="AG1" s="22"/>
    </row>
    <row r="2" spans="1:33" ht="30.5">
      <c r="A2" s="23"/>
      <c r="B2" s="24"/>
      <c r="C2" s="24"/>
      <c r="D2" s="24"/>
      <c r="E2" s="22"/>
      <c r="F2" s="25"/>
      <c r="G2" s="25"/>
      <c r="H2" s="120"/>
      <c r="I2" s="26"/>
      <c r="J2" s="27" t="s">
        <v>97</v>
      </c>
      <c r="K2" s="27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2"/>
      <c r="X2" s="22"/>
      <c r="Y2" s="22"/>
      <c r="Z2" s="22"/>
      <c r="AA2" s="128"/>
      <c r="AB2" s="129"/>
      <c r="AC2" s="129"/>
      <c r="AD2" s="130" t="s">
        <v>91</v>
      </c>
      <c r="AE2" s="130" t="s">
        <v>92</v>
      </c>
      <c r="AF2" s="130" t="s">
        <v>93</v>
      </c>
      <c r="AG2" s="131" t="s">
        <v>94</v>
      </c>
    </row>
    <row r="3" spans="1:33" ht="26.25" customHeight="1">
      <c r="A3" s="23"/>
      <c r="B3" s="23"/>
      <c r="C3" s="23"/>
      <c r="D3" s="23"/>
      <c r="E3" s="23"/>
      <c r="F3" s="28"/>
      <c r="G3" s="23"/>
      <c r="H3" s="122"/>
      <c r="I3" s="199" t="s">
        <v>55</v>
      </c>
      <c r="J3" s="199"/>
      <c r="K3" s="199"/>
      <c r="L3" s="199"/>
      <c r="M3" s="199"/>
      <c r="N3" s="199"/>
      <c r="O3" s="199"/>
      <c r="P3" s="198" t="s">
        <v>56</v>
      </c>
      <c r="Q3" s="198"/>
      <c r="R3" s="198"/>
      <c r="S3" s="198"/>
      <c r="T3" s="198"/>
      <c r="U3" s="198"/>
      <c r="V3" s="106"/>
      <c r="W3" s="22"/>
      <c r="X3" s="22"/>
      <c r="Y3" s="22"/>
      <c r="Z3" s="22"/>
      <c r="AA3" s="132"/>
      <c r="AB3" s="132"/>
      <c r="AC3" s="133" t="s">
        <v>95</v>
      </c>
      <c r="AD3" s="134">
        <v>150</v>
      </c>
      <c r="AE3" s="135">
        <f>22*AD3/60</f>
        <v>55</v>
      </c>
      <c r="AF3" s="135">
        <f>3600/AD3</f>
        <v>24</v>
      </c>
      <c r="AG3" s="136">
        <f>AF3*8</f>
        <v>192</v>
      </c>
    </row>
    <row r="4" spans="1:33" ht="21" customHeight="1">
      <c r="A4" s="29"/>
      <c r="B4" s="23"/>
      <c r="C4" s="23"/>
      <c r="D4" s="23"/>
      <c r="E4" s="23"/>
      <c r="F4" s="30"/>
      <c r="G4" s="31"/>
      <c r="H4" s="121"/>
      <c r="I4" s="201" t="s">
        <v>8</v>
      </c>
      <c r="J4" s="202"/>
      <c r="K4" s="200" t="s">
        <v>9</v>
      </c>
      <c r="L4" s="201"/>
      <c r="M4" s="201"/>
      <c r="N4" s="201"/>
      <c r="O4" s="202"/>
      <c r="P4" s="200" t="s">
        <v>13</v>
      </c>
      <c r="Q4" s="202"/>
      <c r="R4" s="200" t="s">
        <v>9</v>
      </c>
      <c r="S4" s="201"/>
      <c r="T4" s="201"/>
      <c r="U4" s="201"/>
      <c r="V4" s="107"/>
      <c r="W4" s="32"/>
      <c r="X4" s="22"/>
      <c r="Y4" s="22"/>
      <c r="Z4" s="22"/>
      <c r="AA4" s="132"/>
      <c r="AB4" s="132"/>
      <c r="AC4" s="133" t="s">
        <v>96</v>
      </c>
      <c r="AD4" s="134">
        <f>AD3</f>
        <v>150</v>
      </c>
      <c r="AE4" s="135">
        <f>34*AD4/60</f>
        <v>85</v>
      </c>
      <c r="AF4" s="135">
        <f>3600/AD4</f>
        <v>24</v>
      </c>
      <c r="AG4" s="136">
        <f>AF4*8</f>
        <v>192</v>
      </c>
    </row>
    <row r="5" spans="1:33" ht="56.25" customHeight="1">
      <c r="A5" s="21" t="s">
        <v>1</v>
      </c>
      <c r="B5" s="21" t="s">
        <v>4</v>
      </c>
      <c r="C5" s="21" t="s">
        <v>57</v>
      </c>
      <c r="D5" s="21" t="s">
        <v>116</v>
      </c>
      <c r="E5" s="21" t="s">
        <v>3</v>
      </c>
      <c r="F5" s="21" t="s">
        <v>5</v>
      </c>
      <c r="G5" s="21" t="s">
        <v>12</v>
      </c>
      <c r="H5" s="123" t="s">
        <v>68</v>
      </c>
      <c r="I5" s="21" t="s">
        <v>7</v>
      </c>
      <c r="J5" s="21" t="s">
        <v>61</v>
      </c>
      <c r="K5" s="21" t="s">
        <v>60</v>
      </c>
      <c r="L5" s="21" t="s">
        <v>10</v>
      </c>
      <c r="M5" s="21" t="s">
        <v>11</v>
      </c>
      <c r="N5" s="21" t="s">
        <v>16</v>
      </c>
      <c r="O5" s="21" t="s">
        <v>62</v>
      </c>
      <c r="P5" s="21" t="s">
        <v>63</v>
      </c>
      <c r="Q5" s="21" t="s">
        <v>7</v>
      </c>
      <c r="R5" s="21" t="s">
        <v>10</v>
      </c>
      <c r="S5" s="21" t="s">
        <v>11</v>
      </c>
      <c r="T5" s="21" t="s">
        <v>16</v>
      </c>
      <c r="U5" s="21" t="s">
        <v>64</v>
      </c>
      <c r="V5" s="21" t="s">
        <v>60</v>
      </c>
      <c r="W5" s="21" t="s">
        <v>0</v>
      </c>
      <c r="X5" s="21" t="s">
        <v>6</v>
      </c>
      <c r="Y5" s="21" t="s">
        <v>90</v>
      </c>
      <c r="Z5" s="21" t="s">
        <v>59</v>
      </c>
      <c r="AA5" s="21" t="s">
        <v>85</v>
      </c>
      <c r="AB5" s="21" t="s">
        <v>67</v>
      </c>
      <c r="AC5" s="21" t="s">
        <v>89</v>
      </c>
      <c r="AD5" s="21" t="s">
        <v>58</v>
      </c>
      <c r="AE5" s="21" t="s">
        <v>52</v>
      </c>
      <c r="AF5" s="127" t="s">
        <v>69</v>
      </c>
      <c r="AG5" s="21" t="s">
        <v>53</v>
      </c>
    </row>
    <row r="6" spans="1:33" ht="15.5">
      <c r="A6" s="118">
        <v>43333</v>
      </c>
      <c r="B6" s="34">
        <v>2</v>
      </c>
      <c r="C6" s="34">
        <v>2725142</v>
      </c>
      <c r="D6" s="34" t="s">
        <v>98</v>
      </c>
      <c r="E6" s="109">
        <v>90972</v>
      </c>
      <c r="F6" s="34">
        <v>6338</v>
      </c>
      <c r="G6" s="110">
        <v>71</v>
      </c>
      <c r="H6" s="124" t="s">
        <v>101</v>
      </c>
      <c r="I6" s="111">
        <v>0</v>
      </c>
      <c r="J6" s="112">
        <v>0</v>
      </c>
      <c r="K6" s="117">
        <v>0</v>
      </c>
      <c r="L6" s="113">
        <v>0</v>
      </c>
      <c r="M6" s="111">
        <v>0</v>
      </c>
      <c r="N6" s="114">
        <v>0</v>
      </c>
      <c r="O6" s="110">
        <v>0</v>
      </c>
      <c r="P6" s="113">
        <v>1</v>
      </c>
      <c r="Q6" s="110">
        <v>0</v>
      </c>
      <c r="R6" s="113">
        <v>0</v>
      </c>
      <c r="S6" s="111">
        <v>0</v>
      </c>
      <c r="T6" s="114">
        <v>0</v>
      </c>
      <c r="U6" s="113">
        <v>0</v>
      </c>
      <c r="V6" s="113">
        <v>0</v>
      </c>
      <c r="W6" s="33">
        <f t="shared" ref="W6" si="0">+G6-(SUM(I6:N6,P6,Q6,R6,S6,T6,V6))</f>
        <v>70</v>
      </c>
      <c r="X6" s="115"/>
      <c r="Y6" s="115"/>
      <c r="Z6" s="115">
        <v>42</v>
      </c>
      <c r="AA6" s="115"/>
      <c r="AB6" s="115"/>
      <c r="AC6" s="115"/>
      <c r="AD6" s="126">
        <f>W6-SUM(Z6+AC6)</f>
        <v>28</v>
      </c>
      <c r="AE6" s="116"/>
      <c r="AF6" s="117"/>
      <c r="AG6" s="109"/>
    </row>
    <row r="7" spans="1:33" ht="15.5">
      <c r="A7" s="118">
        <v>43333</v>
      </c>
      <c r="B7" s="34">
        <v>3</v>
      </c>
      <c r="C7" s="34">
        <v>2725142</v>
      </c>
      <c r="D7" s="34" t="s">
        <v>98</v>
      </c>
      <c r="E7" s="109">
        <v>90972</v>
      </c>
      <c r="F7" s="34">
        <v>6338</v>
      </c>
      <c r="G7" s="110">
        <v>29</v>
      </c>
      <c r="H7" s="124" t="s">
        <v>101</v>
      </c>
      <c r="I7" s="111">
        <v>0</v>
      </c>
      <c r="J7" s="112">
        <v>0</v>
      </c>
      <c r="K7" s="117">
        <v>0</v>
      </c>
      <c r="L7" s="113">
        <v>0</v>
      </c>
      <c r="M7" s="111">
        <v>0</v>
      </c>
      <c r="N7" s="114">
        <v>0</v>
      </c>
      <c r="O7" s="110">
        <v>0</v>
      </c>
      <c r="P7" s="113">
        <v>0</v>
      </c>
      <c r="Q7" s="110">
        <v>0</v>
      </c>
      <c r="R7" s="113">
        <v>0</v>
      </c>
      <c r="S7" s="111">
        <v>0</v>
      </c>
      <c r="T7" s="114">
        <v>0</v>
      </c>
      <c r="U7" s="113">
        <v>0</v>
      </c>
      <c r="V7" s="113">
        <v>0</v>
      </c>
      <c r="W7" s="33">
        <f t="shared" ref="W7" si="1">+G7-(SUM(I7:N7,P7,Q7,R7,S7,T7,V7))</f>
        <v>29</v>
      </c>
      <c r="X7" s="115"/>
      <c r="Y7" s="115"/>
      <c r="Z7" s="115"/>
      <c r="AA7" s="115"/>
      <c r="AB7" s="115"/>
      <c r="AC7" s="115"/>
      <c r="AD7" s="126">
        <f>W7-SUM(Z7+AC7)</f>
        <v>29</v>
      </c>
      <c r="AE7" s="116"/>
      <c r="AF7" s="117"/>
      <c r="AG7" s="109"/>
    </row>
    <row r="8" spans="1:33" ht="15.5">
      <c r="A8" s="118">
        <v>43333</v>
      </c>
      <c r="B8" s="34">
        <v>3</v>
      </c>
      <c r="C8" s="34">
        <v>2725142</v>
      </c>
      <c r="D8" s="34" t="s">
        <v>98</v>
      </c>
      <c r="E8" s="109">
        <v>90972</v>
      </c>
      <c r="F8" s="34">
        <v>6339</v>
      </c>
      <c r="G8" s="110">
        <v>26</v>
      </c>
      <c r="H8" s="124" t="s">
        <v>102</v>
      </c>
      <c r="I8" s="138">
        <v>0</v>
      </c>
      <c r="J8" s="139">
        <v>0</v>
      </c>
      <c r="K8" s="140">
        <v>0</v>
      </c>
      <c r="L8" s="141">
        <v>0</v>
      </c>
      <c r="M8" s="138">
        <v>0</v>
      </c>
      <c r="N8" s="142">
        <v>0</v>
      </c>
      <c r="O8" s="137">
        <v>0</v>
      </c>
      <c r="P8" s="141">
        <v>0</v>
      </c>
      <c r="Q8" s="137">
        <v>0</v>
      </c>
      <c r="R8" s="141">
        <v>0</v>
      </c>
      <c r="S8" s="138">
        <v>0</v>
      </c>
      <c r="T8" s="142">
        <v>0</v>
      </c>
      <c r="U8" s="141">
        <v>0</v>
      </c>
      <c r="V8" s="141">
        <v>0</v>
      </c>
      <c r="W8" s="143">
        <f t="shared" ref="W8:W29" si="2">+G8-(SUM(I8:N8,P8,Q8,R8,S8,T8,V8))</f>
        <v>26</v>
      </c>
      <c r="X8" s="115"/>
      <c r="Y8" s="115"/>
      <c r="Z8" s="115"/>
      <c r="AA8" s="115"/>
      <c r="AB8" s="115"/>
      <c r="AC8" s="115"/>
      <c r="AD8" s="126">
        <f t="shared" ref="AD8:AD29" si="3">W8-SUM(Z8+AC8)</f>
        <v>26</v>
      </c>
      <c r="AE8" s="116"/>
      <c r="AF8" s="117"/>
      <c r="AG8" s="109"/>
    </row>
    <row r="9" spans="1:33" ht="15.5">
      <c r="A9" s="118">
        <v>43333</v>
      </c>
      <c r="B9" s="34">
        <v>3</v>
      </c>
      <c r="C9" s="34">
        <v>2725142</v>
      </c>
      <c r="D9" s="34" t="s">
        <v>98</v>
      </c>
      <c r="E9" s="109">
        <v>90971</v>
      </c>
      <c r="F9" s="34">
        <v>6340</v>
      </c>
      <c r="G9" s="110">
        <v>100</v>
      </c>
      <c r="H9" s="124" t="s">
        <v>101</v>
      </c>
      <c r="I9" s="138">
        <v>0</v>
      </c>
      <c r="J9" s="139">
        <v>0</v>
      </c>
      <c r="K9" s="140">
        <v>0</v>
      </c>
      <c r="L9" s="141">
        <v>0</v>
      </c>
      <c r="M9" s="138">
        <v>0</v>
      </c>
      <c r="N9" s="142">
        <v>0</v>
      </c>
      <c r="O9" s="137">
        <v>0</v>
      </c>
      <c r="P9" s="141">
        <v>1</v>
      </c>
      <c r="Q9" s="137">
        <v>0</v>
      </c>
      <c r="R9" s="141">
        <v>0</v>
      </c>
      <c r="S9" s="138">
        <v>0</v>
      </c>
      <c r="T9" s="142">
        <v>0</v>
      </c>
      <c r="U9" s="141">
        <v>0</v>
      </c>
      <c r="V9" s="141">
        <v>0</v>
      </c>
      <c r="W9" s="143">
        <f t="shared" si="2"/>
        <v>99</v>
      </c>
      <c r="X9" s="115"/>
      <c r="Y9" s="115"/>
      <c r="Z9" s="115"/>
      <c r="AA9" s="115"/>
      <c r="AB9" s="115"/>
      <c r="AC9" s="115"/>
      <c r="AD9" s="126">
        <f t="shared" si="3"/>
        <v>99</v>
      </c>
      <c r="AE9" s="116"/>
      <c r="AF9" s="117"/>
      <c r="AG9" s="109"/>
    </row>
    <row r="10" spans="1:33" ht="15.5">
      <c r="A10" s="118">
        <v>43333</v>
      </c>
      <c r="B10" s="34">
        <v>3</v>
      </c>
      <c r="C10" s="34">
        <v>2725142</v>
      </c>
      <c r="D10" s="34" t="s">
        <v>98</v>
      </c>
      <c r="E10" s="109">
        <v>90971</v>
      </c>
      <c r="F10" s="34">
        <v>6341</v>
      </c>
      <c r="G10" s="110">
        <v>38</v>
      </c>
      <c r="H10" s="124" t="s">
        <v>103</v>
      </c>
      <c r="I10" s="138">
        <v>0</v>
      </c>
      <c r="J10" s="139">
        <v>0</v>
      </c>
      <c r="K10" s="140">
        <v>0</v>
      </c>
      <c r="L10" s="141">
        <v>0</v>
      </c>
      <c r="M10" s="138">
        <v>0</v>
      </c>
      <c r="N10" s="142">
        <v>0</v>
      </c>
      <c r="O10" s="137">
        <v>0</v>
      </c>
      <c r="P10" s="141">
        <v>0</v>
      </c>
      <c r="Q10" s="137">
        <v>0</v>
      </c>
      <c r="R10" s="141">
        <v>0</v>
      </c>
      <c r="S10" s="138">
        <v>0</v>
      </c>
      <c r="T10" s="142">
        <v>0</v>
      </c>
      <c r="U10" s="141">
        <v>0</v>
      </c>
      <c r="V10" s="141">
        <v>0</v>
      </c>
      <c r="W10" s="143">
        <f t="shared" si="2"/>
        <v>38</v>
      </c>
      <c r="X10" s="115"/>
      <c r="Y10" s="115"/>
      <c r="Z10" s="115"/>
      <c r="AA10" s="115"/>
      <c r="AB10" s="115"/>
      <c r="AC10" s="115"/>
      <c r="AD10" s="126">
        <f t="shared" si="3"/>
        <v>38</v>
      </c>
      <c r="AE10" s="116"/>
      <c r="AF10" s="117"/>
      <c r="AG10" s="109"/>
    </row>
    <row r="11" spans="1:33" ht="15.5">
      <c r="A11" s="118">
        <v>43333</v>
      </c>
      <c r="B11" s="34">
        <v>3</v>
      </c>
      <c r="C11" s="34">
        <v>2725142</v>
      </c>
      <c r="D11" s="34" t="s">
        <v>98</v>
      </c>
      <c r="E11" s="109">
        <v>90972</v>
      </c>
      <c r="F11" s="34">
        <v>6342</v>
      </c>
      <c r="G11" s="110">
        <v>42</v>
      </c>
      <c r="H11" s="124" t="s">
        <v>104</v>
      </c>
      <c r="I11" s="138">
        <v>0</v>
      </c>
      <c r="J11" s="139">
        <v>0</v>
      </c>
      <c r="K11" s="140">
        <v>0</v>
      </c>
      <c r="L11" s="141">
        <v>0</v>
      </c>
      <c r="M11" s="138">
        <v>0</v>
      </c>
      <c r="N11" s="142">
        <v>0</v>
      </c>
      <c r="O11" s="137">
        <v>0</v>
      </c>
      <c r="P11" s="141">
        <v>0</v>
      </c>
      <c r="Q11" s="137">
        <v>0</v>
      </c>
      <c r="R11" s="141">
        <v>0</v>
      </c>
      <c r="S11" s="138">
        <v>0</v>
      </c>
      <c r="T11" s="142">
        <v>0</v>
      </c>
      <c r="U11" s="141">
        <v>0</v>
      </c>
      <c r="V11" s="141">
        <v>0</v>
      </c>
      <c r="W11" s="143">
        <f t="shared" si="2"/>
        <v>42</v>
      </c>
      <c r="X11" s="115"/>
      <c r="Y11" s="115"/>
      <c r="Z11" s="115"/>
      <c r="AA11" s="115"/>
      <c r="AB11" s="115"/>
      <c r="AC11" s="115"/>
      <c r="AD11" s="126">
        <f t="shared" si="3"/>
        <v>42</v>
      </c>
      <c r="AE11" s="116"/>
      <c r="AF11" s="117"/>
      <c r="AG11" s="109"/>
    </row>
    <row r="12" spans="1:33" ht="15.5">
      <c r="A12" s="108"/>
      <c r="B12" s="34"/>
      <c r="C12" s="34"/>
      <c r="D12" s="34"/>
      <c r="E12" s="109"/>
      <c r="F12" s="34"/>
      <c r="G12" s="110"/>
      <c r="H12" s="124"/>
      <c r="I12" s="138">
        <v>0</v>
      </c>
      <c r="J12" s="139">
        <v>0</v>
      </c>
      <c r="K12" s="140">
        <v>0</v>
      </c>
      <c r="L12" s="141">
        <v>0</v>
      </c>
      <c r="M12" s="138">
        <v>0</v>
      </c>
      <c r="N12" s="142">
        <v>0</v>
      </c>
      <c r="O12" s="137">
        <v>0</v>
      </c>
      <c r="P12" s="141">
        <v>0</v>
      </c>
      <c r="Q12" s="137">
        <v>0</v>
      </c>
      <c r="R12" s="141">
        <v>0</v>
      </c>
      <c r="S12" s="138">
        <v>0</v>
      </c>
      <c r="T12" s="142">
        <v>0</v>
      </c>
      <c r="U12" s="141">
        <v>0</v>
      </c>
      <c r="V12" s="141">
        <v>0</v>
      </c>
      <c r="W12" s="143">
        <f t="shared" si="2"/>
        <v>0</v>
      </c>
      <c r="X12" s="115"/>
      <c r="Y12" s="115"/>
      <c r="Z12" s="115"/>
      <c r="AA12" s="115"/>
      <c r="AB12" s="115"/>
      <c r="AC12" s="115"/>
      <c r="AD12" s="126">
        <f t="shared" si="3"/>
        <v>0</v>
      </c>
      <c r="AE12" s="116"/>
      <c r="AF12" s="117"/>
      <c r="AG12" s="109"/>
    </row>
    <row r="13" spans="1:33" ht="15.5">
      <c r="A13" s="108"/>
      <c r="B13" s="34"/>
      <c r="C13" s="34"/>
      <c r="D13" s="34"/>
      <c r="E13" s="109"/>
      <c r="F13" s="34"/>
      <c r="G13" s="110"/>
      <c r="H13" s="124"/>
      <c r="I13" s="138">
        <v>0</v>
      </c>
      <c r="J13" s="139">
        <v>0</v>
      </c>
      <c r="K13" s="140">
        <v>0</v>
      </c>
      <c r="L13" s="141">
        <v>0</v>
      </c>
      <c r="M13" s="138">
        <v>0</v>
      </c>
      <c r="N13" s="142">
        <v>0</v>
      </c>
      <c r="O13" s="137">
        <v>0</v>
      </c>
      <c r="P13" s="141">
        <v>0</v>
      </c>
      <c r="Q13" s="137">
        <v>0</v>
      </c>
      <c r="R13" s="141">
        <v>0</v>
      </c>
      <c r="S13" s="138">
        <v>0</v>
      </c>
      <c r="T13" s="142">
        <v>0</v>
      </c>
      <c r="U13" s="141">
        <v>0</v>
      </c>
      <c r="V13" s="141">
        <v>0</v>
      </c>
      <c r="W13" s="143">
        <f t="shared" si="2"/>
        <v>0</v>
      </c>
      <c r="X13" s="115"/>
      <c r="Y13" s="115"/>
      <c r="Z13" s="115"/>
      <c r="AA13" s="115"/>
      <c r="AB13" s="115"/>
      <c r="AC13" s="115"/>
      <c r="AD13" s="126">
        <f t="shared" si="3"/>
        <v>0</v>
      </c>
      <c r="AE13" s="116"/>
      <c r="AF13" s="117"/>
      <c r="AG13" s="109"/>
    </row>
    <row r="14" spans="1:33" ht="15.5">
      <c r="A14" s="108"/>
      <c r="B14" s="34"/>
      <c r="C14" s="34"/>
      <c r="D14" s="34"/>
      <c r="E14" s="109"/>
      <c r="F14" s="34"/>
      <c r="G14" s="110"/>
      <c r="H14" s="124"/>
      <c r="I14" s="138">
        <v>0</v>
      </c>
      <c r="J14" s="139">
        <v>0</v>
      </c>
      <c r="K14" s="140">
        <v>0</v>
      </c>
      <c r="L14" s="141">
        <v>0</v>
      </c>
      <c r="M14" s="138">
        <v>0</v>
      </c>
      <c r="N14" s="142">
        <v>0</v>
      </c>
      <c r="O14" s="137">
        <v>0</v>
      </c>
      <c r="P14" s="141">
        <v>0</v>
      </c>
      <c r="Q14" s="137">
        <v>0</v>
      </c>
      <c r="R14" s="141">
        <v>0</v>
      </c>
      <c r="S14" s="138">
        <v>0</v>
      </c>
      <c r="T14" s="142">
        <v>0</v>
      </c>
      <c r="U14" s="141">
        <v>0</v>
      </c>
      <c r="V14" s="141">
        <v>0</v>
      </c>
      <c r="W14" s="143">
        <f t="shared" si="2"/>
        <v>0</v>
      </c>
      <c r="X14" s="115"/>
      <c r="Y14" s="115"/>
      <c r="Z14" s="115"/>
      <c r="AA14" s="115"/>
      <c r="AB14" s="115"/>
      <c r="AC14" s="115"/>
      <c r="AD14" s="126">
        <f t="shared" si="3"/>
        <v>0</v>
      </c>
      <c r="AE14" s="116"/>
      <c r="AF14" s="117"/>
      <c r="AG14" s="109"/>
    </row>
    <row r="15" spans="1:33" ht="15.5">
      <c r="A15" s="108"/>
      <c r="B15" s="34"/>
      <c r="C15" s="34"/>
      <c r="D15" s="34"/>
      <c r="E15" s="109"/>
      <c r="F15" s="34"/>
      <c r="G15" s="110"/>
      <c r="H15" s="124"/>
      <c r="I15" s="138">
        <v>0</v>
      </c>
      <c r="J15" s="139">
        <v>0</v>
      </c>
      <c r="K15" s="140">
        <v>0</v>
      </c>
      <c r="L15" s="141">
        <v>0</v>
      </c>
      <c r="M15" s="138">
        <v>0</v>
      </c>
      <c r="N15" s="142">
        <v>0</v>
      </c>
      <c r="O15" s="137">
        <v>0</v>
      </c>
      <c r="P15" s="141">
        <v>0</v>
      </c>
      <c r="Q15" s="137">
        <v>0</v>
      </c>
      <c r="R15" s="141">
        <v>0</v>
      </c>
      <c r="S15" s="138">
        <v>0</v>
      </c>
      <c r="T15" s="142">
        <v>0</v>
      </c>
      <c r="U15" s="141">
        <v>0</v>
      </c>
      <c r="V15" s="141">
        <v>0</v>
      </c>
      <c r="W15" s="143">
        <f t="shared" si="2"/>
        <v>0</v>
      </c>
      <c r="X15" s="115"/>
      <c r="Y15" s="115"/>
      <c r="Z15" s="115"/>
      <c r="AA15" s="115"/>
      <c r="AB15" s="115"/>
      <c r="AC15" s="115"/>
      <c r="AD15" s="126">
        <f t="shared" si="3"/>
        <v>0</v>
      </c>
      <c r="AE15" s="116"/>
      <c r="AF15" s="117"/>
      <c r="AG15" s="109"/>
    </row>
    <row r="16" spans="1:33" ht="15.5">
      <c r="A16" s="108"/>
      <c r="B16" s="34"/>
      <c r="C16" s="34"/>
      <c r="D16" s="34"/>
      <c r="E16" s="109"/>
      <c r="F16" s="34"/>
      <c r="G16" s="110"/>
      <c r="H16" s="124"/>
      <c r="I16" s="138">
        <v>0</v>
      </c>
      <c r="J16" s="139">
        <v>0</v>
      </c>
      <c r="K16" s="140">
        <v>0</v>
      </c>
      <c r="L16" s="141">
        <v>0</v>
      </c>
      <c r="M16" s="138">
        <v>0</v>
      </c>
      <c r="N16" s="142">
        <v>0</v>
      </c>
      <c r="O16" s="137">
        <v>0</v>
      </c>
      <c r="P16" s="141">
        <v>0</v>
      </c>
      <c r="Q16" s="137">
        <v>0</v>
      </c>
      <c r="R16" s="141">
        <v>0</v>
      </c>
      <c r="S16" s="138">
        <v>0</v>
      </c>
      <c r="T16" s="142">
        <v>0</v>
      </c>
      <c r="U16" s="141">
        <v>0</v>
      </c>
      <c r="V16" s="141">
        <v>0</v>
      </c>
      <c r="W16" s="143">
        <f t="shared" si="2"/>
        <v>0</v>
      </c>
      <c r="X16" s="115"/>
      <c r="Y16" s="115"/>
      <c r="Z16" s="115"/>
      <c r="AA16" s="115"/>
      <c r="AB16" s="115"/>
      <c r="AC16" s="115"/>
      <c r="AD16" s="126">
        <f t="shared" si="3"/>
        <v>0</v>
      </c>
      <c r="AE16" s="116"/>
      <c r="AF16" s="117"/>
      <c r="AG16" s="109"/>
    </row>
    <row r="17" spans="1:33" ht="15.5">
      <c r="A17" s="108"/>
      <c r="B17" s="34"/>
      <c r="C17" s="34"/>
      <c r="D17" s="34"/>
      <c r="E17" s="109"/>
      <c r="F17" s="34"/>
      <c r="G17" s="110"/>
      <c r="H17" s="124"/>
      <c r="I17" s="138">
        <v>0</v>
      </c>
      <c r="J17" s="139">
        <v>0</v>
      </c>
      <c r="K17" s="140">
        <v>0</v>
      </c>
      <c r="L17" s="141">
        <v>0</v>
      </c>
      <c r="M17" s="138">
        <v>0</v>
      </c>
      <c r="N17" s="142">
        <v>0</v>
      </c>
      <c r="O17" s="137">
        <v>0</v>
      </c>
      <c r="P17" s="141">
        <v>0</v>
      </c>
      <c r="Q17" s="137">
        <v>0</v>
      </c>
      <c r="R17" s="141">
        <v>0</v>
      </c>
      <c r="S17" s="138">
        <v>0</v>
      </c>
      <c r="T17" s="142">
        <v>0</v>
      </c>
      <c r="U17" s="141">
        <v>0</v>
      </c>
      <c r="V17" s="141">
        <v>0</v>
      </c>
      <c r="W17" s="143">
        <f t="shared" si="2"/>
        <v>0</v>
      </c>
      <c r="X17" s="115"/>
      <c r="Y17" s="115"/>
      <c r="Z17" s="115"/>
      <c r="AA17" s="115"/>
      <c r="AB17" s="115"/>
      <c r="AC17" s="115"/>
      <c r="AD17" s="126">
        <f t="shared" si="3"/>
        <v>0</v>
      </c>
      <c r="AE17" s="116"/>
      <c r="AF17" s="117"/>
      <c r="AG17" s="109"/>
    </row>
    <row r="18" spans="1:33" ht="15.5">
      <c r="A18" s="108"/>
      <c r="B18" s="34"/>
      <c r="C18" s="34"/>
      <c r="D18" s="34"/>
      <c r="E18" s="109"/>
      <c r="F18" s="34"/>
      <c r="G18" s="110"/>
      <c r="H18" s="124"/>
      <c r="I18" s="138">
        <v>0</v>
      </c>
      <c r="J18" s="139">
        <v>0</v>
      </c>
      <c r="K18" s="140">
        <v>0</v>
      </c>
      <c r="L18" s="141">
        <v>0</v>
      </c>
      <c r="M18" s="138">
        <v>0</v>
      </c>
      <c r="N18" s="142">
        <v>0</v>
      </c>
      <c r="O18" s="137">
        <v>0</v>
      </c>
      <c r="P18" s="141">
        <v>0</v>
      </c>
      <c r="Q18" s="137">
        <v>0</v>
      </c>
      <c r="R18" s="141">
        <v>0</v>
      </c>
      <c r="S18" s="138">
        <v>0</v>
      </c>
      <c r="T18" s="142">
        <v>0</v>
      </c>
      <c r="U18" s="141">
        <v>0</v>
      </c>
      <c r="V18" s="141">
        <v>0</v>
      </c>
      <c r="W18" s="143">
        <f t="shared" si="2"/>
        <v>0</v>
      </c>
      <c r="X18" s="115"/>
      <c r="Y18" s="115"/>
      <c r="Z18" s="115"/>
      <c r="AA18" s="115"/>
      <c r="AB18" s="115"/>
      <c r="AC18" s="115"/>
      <c r="AD18" s="126">
        <f t="shared" si="3"/>
        <v>0</v>
      </c>
      <c r="AE18" s="116"/>
      <c r="AF18" s="117"/>
      <c r="AG18" s="109"/>
    </row>
    <row r="19" spans="1:33" ht="15.5">
      <c r="A19" s="108"/>
      <c r="B19" s="34"/>
      <c r="C19" s="34"/>
      <c r="D19" s="34"/>
      <c r="E19" s="109"/>
      <c r="F19" s="34"/>
      <c r="G19" s="110"/>
      <c r="H19" s="124"/>
      <c r="I19" s="138">
        <v>0</v>
      </c>
      <c r="J19" s="139">
        <v>0</v>
      </c>
      <c r="K19" s="140">
        <v>0</v>
      </c>
      <c r="L19" s="141">
        <v>0</v>
      </c>
      <c r="M19" s="138">
        <v>0</v>
      </c>
      <c r="N19" s="142">
        <v>0</v>
      </c>
      <c r="O19" s="137">
        <v>0</v>
      </c>
      <c r="P19" s="141">
        <v>0</v>
      </c>
      <c r="Q19" s="137">
        <v>0</v>
      </c>
      <c r="R19" s="141">
        <v>0</v>
      </c>
      <c r="S19" s="138">
        <v>0</v>
      </c>
      <c r="T19" s="142">
        <v>0</v>
      </c>
      <c r="U19" s="141">
        <v>0</v>
      </c>
      <c r="V19" s="141">
        <v>0</v>
      </c>
      <c r="W19" s="143">
        <f t="shared" si="2"/>
        <v>0</v>
      </c>
      <c r="X19" s="115"/>
      <c r="Y19" s="115"/>
      <c r="Z19" s="115"/>
      <c r="AA19" s="115"/>
      <c r="AB19" s="115"/>
      <c r="AC19" s="115"/>
      <c r="AD19" s="126">
        <f t="shared" si="3"/>
        <v>0</v>
      </c>
      <c r="AE19" s="116"/>
      <c r="AF19" s="117"/>
      <c r="AG19" s="109"/>
    </row>
    <row r="20" spans="1:33" ht="15.5">
      <c r="A20" s="108"/>
      <c r="B20" s="34"/>
      <c r="C20" s="34"/>
      <c r="D20" s="34"/>
      <c r="E20" s="109"/>
      <c r="F20" s="34"/>
      <c r="G20" s="110"/>
      <c r="H20" s="124"/>
      <c r="I20" s="138">
        <v>0</v>
      </c>
      <c r="J20" s="139">
        <v>0</v>
      </c>
      <c r="K20" s="140">
        <v>0</v>
      </c>
      <c r="L20" s="141">
        <v>0</v>
      </c>
      <c r="M20" s="138">
        <v>0</v>
      </c>
      <c r="N20" s="142">
        <v>0</v>
      </c>
      <c r="O20" s="137">
        <v>0</v>
      </c>
      <c r="P20" s="141">
        <v>0</v>
      </c>
      <c r="Q20" s="137">
        <v>0</v>
      </c>
      <c r="R20" s="141">
        <v>0</v>
      </c>
      <c r="S20" s="138">
        <v>0</v>
      </c>
      <c r="T20" s="142">
        <v>0</v>
      </c>
      <c r="U20" s="141">
        <v>0</v>
      </c>
      <c r="V20" s="141">
        <v>0</v>
      </c>
      <c r="W20" s="143">
        <f t="shared" si="2"/>
        <v>0</v>
      </c>
      <c r="X20" s="115"/>
      <c r="Y20" s="115"/>
      <c r="Z20" s="115"/>
      <c r="AA20" s="115"/>
      <c r="AB20" s="115"/>
      <c r="AC20" s="115"/>
      <c r="AD20" s="126">
        <f t="shared" si="3"/>
        <v>0</v>
      </c>
      <c r="AE20" s="116"/>
      <c r="AF20" s="117"/>
      <c r="AG20" s="109"/>
    </row>
    <row r="21" spans="1:33" ht="15.5">
      <c r="A21" s="108"/>
      <c r="B21" s="34"/>
      <c r="C21" s="34"/>
      <c r="D21" s="34"/>
      <c r="E21" s="109"/>
      <c r="F21" s="34"/>
      <c r="G21" s="110"/>
      <c r="H21" s="124"/>
      <c r="I21" s="138">
        <v>0</v>
      </c>
      <c r="J21" s="139">
        <v>0</v>
      </c>
      <c r="K21" s="140">
        <v>0</v>
      </c>
      <c r="L21" s="141">
        <v>0</v>
      </c>
      <c r="M21" s="138">
        <v>0</v>
      </c>
      <c r="N21" s="142">
        <v>0</v>
      </c>
      <c r="O21" s="137">
        <v>0</v>
      </c>
      <c r="P21" s="141">
        <v>0</v>
      </c>
      <c r="Q21" s="137">
        <v>0</v>
      </c>
      <c r="R21" s="141">
        <v>0</v>
      </c>
      <c r="S21" s="138">
        <v>0</v>
      </c>
      <c r="T21" s="142">
        <v>0</v>
      </c>
      <c r="U21" s="141">
        <v>0</v>
      </c>
      <c r="V21" s="141">
        <v>0</v>
      </c>
      <c r="W21" s="143">
        <f t="shared" si="2"/>
        <v>0</v>
      </c>
      <c r="X21" s="115"/>
      <c r="Y21" s="115"/>
      <c r="Z21" s="115"/>
      <c r="AA21" s="115"/>
      <c r="AB21" s="115"/>
      <c r="AC21" s="115"/>
      <c r="AD21" s="126">
        <f t="shared" si="3"/>
        <v>0</v>
      </c>
      <c r="AE21" s="116"/>
      <c r="AF21" s="117"/>
      <c r="AG21" s="109"/>
    </row>
    <row r="22" spans="1:33" ht="15.5">
      <c r="A22" s="108"/>
      <c r="B22" s="34"/>
      <c r="C22" s="34"/>
      <c r="D22" s="34"/>
      <c r="E22" s="109"/>
      <c r="F22" s="34"/>
      <c r="G22" s="110"/>
      <c r="H22" s="124"/>
      <c r="I22" s="138">
        <v>0</v>
      </c>
      <c r="J22" s="139">
        <v>0</v>
      </c>
      <c r="K22" s="140">
        <v>0</v>
      </c>
      <c r="L22" s="141">
        <v>0</v>
      </c>
      <c r="M22" s="138">
        <v>0</v>
      </c>
      <c r="N22" s="142">
        <v>0</v>
      </c>
      <c r="O22" s="137">
        <v>0</v>
      </c>
      <c r="P22" s="141">
        <v>0</v>
      </c>
      <c r="Q22" s="137">
        <v>0</v>
      </c>
      <c r="R22" s="141">
        <v>0</v>
      </c>
      <c r="S22" s="138">
        <v>0</v>
      </c>
      <c r="T22" s="142">
        <v>0</v>
      </c>
      <c r="U22" s="141">
        <v>0</v>
      </c>
      <c r="V22" s="141">
        <v>0</v>
      </c>
      <c r="W22" s="143">
        <f t="shared" si="2"/>
        <v>0</v>
      </c>
      <c r="X22" s="115"/>
      <c r="Y22" s="115"/>
      <c r="Z22" s="115"/>
      <c r="AA22" s="115"/>
      <c r="AB22" s="115"/>
      <c r="AC22" s="115"/>
      <c r="AD22" s="126">
        <f t="shared" si="3"/>
        <v>0</v>
      </c>
      <c r="AE22" s="116"/>
      <c r="AF22" s="117"/>
      <c r="AG22" s="109"/>
    </row>
    <row r="23" spans="1:33" ht="15.5">
      <c r="A23" s="108"/>
      <c r="B23" s="34"/>
      <c r="C23" s="34"/>
      <c r="D23" s="34"/>
      <c r="E23" s="109"/>
      <c r="F23" s="34"/>
      <c r="G23" s="110"/>
      <c r="H23" s="124"/>
      <c r="I23" s="138">
        <v>0</v>
      </c>
      <c r="J23" s="139">
        <v>0</v>
      </c>
      <c r="K23" s="140">
        <v>0</v>
      </c>
      <c r="L23" s="141">
        <v>0</v>
      </c>
      <c r="M23" s="138">
        <v>0</v>
      </c>
      <c r="N23" s="142">
        <v>0</v>
      </c>
      <c r="O23" s="137">
        <v>0</v>
      </c>
      <c r="P23" s="141">
        <v>0</v>
      </c>
      <c r="Q23" s="137">
        <v>0</v>
      </c>
      <c r="R23" s="141">
        <v>0</v>
      </c>
      <c r="S23" s="138">
        <v>0</v>
      </c>
      <c r="T23" s="142">
        <v>0</v>
      </c>
      <c r="U23" s="141">
        <v>0</v>
      </c>
      <c r="V23" s="141">
        <v>0</v>
      </c>
      <c r="W23" s="143">
        <f t="shared" si="2"/>
        <v>0</v>
      </c>
      <c r="X23" s="115"/>
      <c r="Y23" s="115"/>
      <c r="Z23" s="115"/>
      <c r="AA23" s="115"/>
      <c r="AB23" s="115"/>
      <c r="AC23" s="115"/>
      <c r="AD23" s="126">
        <f t="shared" si="3"/>
        <v>0</v>
      </c>
      <c r="AE23" s="116"/>
      <c r="AF23" s="117"/>
      <c r="AG23" s="109"/>
    </row>
    <row r="24" spans="1:33" ht="15.5">
      <c r="A24" s="108"/>
      <c r="B24" s="34"/>
      <c r="C24" s="34"/>
      <c r="D24" s="34"/>
      <c r="E24" s="109"/>
      <c r="F24" s="34"/>
      <c r="G24" s="110"/>
      <c r="H24" s="124"/>
      <c r="I24" s="138">
        <v>0</v>
      </c>
      <c r="J24" s="139">
        <v>0</v>
      </c>
      <c r="K24" s="140">
        <v>0</v>
      </c>
      <c r="L24" s="141">
        <v>0</v>
      </c>
      <c r="M24" s="138">
        <v>0</v>
      </c>
      <c r="N24" s="142">
        <v>0</v>
      </c>
      <c r="O24" s="137">
        <v>0</v>
      </c>
      <c r="P24" s="141">
        <v>0</v>
      </c>
      <c r="Q24" s="137">
        <v>0</v>
      </c>
      <c r="R24" s="141">
        <v>0</v>
      </c>
      <c r="S24" s="138">
        <v>0</v>
      </c>
      <c r="T24" s="142">
        <v>0</v>
      </c>
      <c r="U24" s="141">
        <v>0</v>
      </c>
      <c r="V24" s="141">
        <v>0</v>
      </c>
      <c r="W24" s="143">
        <f t="shared" si="2"/>
        <v>0</v>
      </c>
      <c r="X24" s="115"/>
      <c r="Y24" s="115"/>
      <c r="Z24" s="115"/>
      <c r="AA24" s="115"/>
      <c r="AB24" s="115"/>
      <c r="AC24" s="115"/>
      <c r="AD24" s="126">
        <f t="shared" si="3"/>
        <v>0</v>
      </c>
      <c r="AE24" s="116"/>
      <c r="AF24" s="117"/>
      <c r="AG24" s="109"/>
    </row>
    <row r="25" spans="1:33" ht="15.5">
      <c r="A25" s="108"/>
      <c r="B25" s="34"/>
      <c r="C25" s="34"/>
      <c r="D25" s="34"/>
      <c r="E25" s="109"/>
      <c r="F25" s="34"/>
      <c r="G25" s="110"/>
      <c r="H25" s="124"/>
      <c r="I25" s="138">
        <v>0</v>
      </c>
      <c r="J25" s="139">
        <v>0</v>
      </c>
      <c r="K25" s="140">
        <v>0</v>
      </c>
      <c r="L25" s="141">
        <v>0</v>
      </c>
      <c r="M25" s="138">
        <v>0</v>
      </c>
      <c r="N25" s="142">
        <v>0</v>
      </c>
      <c r="O25" s="137">
        <v>0</v>
      </c>
      <c r="P25" s="141">
        <v>0</v>
      </c>
      <c r="Q25" s="137">
        <v>0</v>
      </c>
      <c r="R25" s="141">
        <v>0</v>
      </c>
      <c r="S25" s="138">
        <v>0</v>
      </c>
      <c r="T25" s="142">
        <v>0</v>
      </c>
      <c r="U25" s="141">
        <v>0</v>
      </c>
      <c r="V25" s="141">
        <v>0</v>
      </c>
      <c r="W25" s="143">
        <f t="shared" si="2"/>
        <v>0</v>
      </c>
      <c r="X25" s="115"/>
      <c r="Y25" s="115"/>
      <c r="Z25" s="115"/>
      <c r="AA25" s="115"/>
      <c r="AB25" s="115"/>
      <c r="AC25" s="115"/>
      <c r="AD25" s="126">
        <f t="shared" si="3"/>
        <v>0</v>
      </c>
      <c r="AE25" s="116"/>
      <c r="AF25" s="117"/>
      <c r="AG25" s="109"/>
    </row>
    <row r="26" spans="1:33" ht="15.5">
      <c r="A26" s="108"/>
      <c r="B26" s="34"/>
      <c r="C26" s="34"/>
      <c r="D26" s="34"/>
      <c r="E26" s="109"/>
      <c r="F26" s="34"/>
      <c r="G26" s="110"/>
      <c r="H26" s="124"/>
      <c r="I26" s="138">
        <v>0</v>
      </c>
      <c r="J26" s="139">
        <v>0</v>
      </c>
      <c r="K26" s="140">
        <v>0</v>
      </c>
      <c r="L26" s="141">
        <v>0</v>
      </c>
      <c r="M26" s="138">
        <v>0</v>
      </c>
      <c r="N26" s="142">
        <v>0</v>
      </c>
      <c r="O26" s="137">
        <v>0</v>
      </c>
      <c r="P26" s="141">
        <v>0</v>
      </c>
      <c r="Q26" s="137">
        <v>0</v>
      </c>
      <c r="R26" s="141">
        <v>0</v>
      </c>
      <c r="S26" s="138">
        <v>0</v>
      </c>
      <c r="T26" s="142">
        <v>0</v>
      </c>
      <c r="U26" s="141">
        <v>0</v>
      </c>
      <c r="V26" s="141">
        <v>0</v>
      </c>
      <c r="W26" s="143">
        <f t="shared" si="2"/>
        <v>0</v>
      </c>
      <c r="X26" s="115"/>
      <c r="Y26" s="115"/>
      <c r="Z26" s="115"/>
      <c r="AA26" s="115"/>
      <c r="AB26" s="115"/>
      <c r="AC26" s="115"/>
      <c r="AD26" s="126">
        <f t="shared" si="3"/>
        <v>0</v>
      </c>
      <c r="AE26" s="116"/>
      <c r="AF26" s="117"/>
      <c r="AG26" s="109"/>
    </row>
    <row r="27" spans="1:33" ht="15.5">
      <c r="A27" s="108"/>
      <c r="B27" s="34"/>
      <c r="C27" s="34"/>
      <c r="D27" s="34"/>
      <c r="E27" s="109"/>
      <c r="F27" s="34"/>
      <c r="G27" s="110"/>
      <c r="H27" s="124"/>
      <c r="I27" s="138">
        <v>0</v>
      </c>
      <c r="J27" s="139">
        <v>0</v>
      </c>
      <c r="K27" s="140">
        <v>0</v>
      </c>
      <c r="L27" s="141">
        <v>0</v>
      </c>
      <c r="M27" s="138">
        <v>0</v>
      </c>
      <c r="N27" s="142">
        <v>0</v>
      </c>
      <c r="O27" s="137">
        <v>0</v>
      </c>
      <c r="P27" s="141">
        <v>0</v>
      </c>
      <c r="Q27" s="137">
        <v>0</v>
      </c>
      <c r="R27" s="141">
        <v>0</v>
      </c>
      <c r="S27" s="138">
        <v>0</v>
      </c>
      <c r="T27" s="142">
        <v>0</v>
      </c>
      <c r="U27" s="141">
        <v>0</v>
      </c>
      <c r="V27" s="141">
        <v>0</v>
      </c>
      <c r="W27" s="143">
        <f t="shared" si="2"/>
        <v>0</v>
      </c>
      <c r="X27" s="115"/>
      <c r="Y27" s="115"/>
      <c r="Z27" s="115"/>
      <c r="AA27" s="115"/>
      <c r="AB27" s="115"/>
      <c r="AC27" s="115"/>
      <c r="AD27" s="126">
        <f t="shared" si="3"/>
        <v>0</v>
      </c>
      <c r="AE27" s="116"/>
      <c r="AF27" s="117"/>
      <c r="AG27" s="109"/>
    </row>
    <row r="28" spans="1:33" ht="15.5">
      <c r="A28" s="108"/>
      <c r="B28" s="34"/>
      <c r="C28" s="34"/>
      <c r="D28" s="34"/>
      <c r="E28" s="109"/>
      <c r="F28" s="34"/>
      <c r="G28" s="110"/>
      <c r="H28" s="124"/>
      <c r="I28" s="138">
        <v>0</v>
      </c>
      <c r="J28" s="139">
        <v>0</v>
      </c>
      <c r="K28" s="140">
        <v>0</v>
      </c>
      <c r="L28" s="141">
        <v>0</v>
      </c>
      <c r="M28" s="138">
        <v>0</v>
      </c>
      <c r="N28" s="142">
        <v>0</v>
      </c>
      <c r="O28" s="137">
        <v>0</v>
      </c>
      <c r="P28" s="141">
        <v>0</v>
      </c>
      <c r="Q28" s="137">
        <v>0</v>
      </c>
      <c r="R28" s="141">
        <v>0</v>
      </c>
      <c r="S28" s="138">
        <v>0</v>
      </c>
      <c r="T28" s="142">
        <v>0</v>
      </c>
      <c r="U28" s="141">
        <v>0</v>
      </c>
      <c r="V28" s="141">
        <v>0</v>
      </c>
      <c r="W28" s="143">
        <f t="shared" si="2"/>
        <v>0</v>
      </c>
      <c r="X28" s="115"/>
      <c r="Y28" s="115"/>
      <c r="Z28" s="115"/>
      <c r="AA28" s="115"/>
      <c r="AB28" s="115"/>
      <c r="AC28" s="115"/>
      <c r="AD28" s="126">
        <f t="shared" si="3"/>
        <v>0</v>
      </c>
      <c r="AE28" s="116"/>
      <c r="AF28" s="117"/>
      <c r="AG28" s="109"/>
    </row>
    <row r="29" spans="1:33" ht="15.5">
      <c r="A29" s="108"/>
      <c r="B29" s="34"/>
      <c r="C29" s="34"/>
      <c r="D29" s="34"/>
      <c r="E29" s="109"/>
      <c r="F29" s="34"/>
      <c r="G29" s="110"/>
      <c r="H29" s="124"/>
      <c r="I29" s="138">
        <v>0</v>
      </c>
      <c r="J29" s="139">
        <v>0</v>
      </c>
      <c r="K29" s="140">
        <v>0</v>
      </c>
      <c r="L29" s="141">
        <v>0</v>
      </c>
      <c r="M29" s="138">
        <v>0</v>
      </c>
      <c r="N29" s="142">
        <v>0</v>
      </c>
      <c r="O29" s="137">
        <v>0</v>
      </c>
      <c r="P29" s="141">
        <v>0</v>
      </c>
      <c r="Q29" s="137">
        <v>0</v>
      </c>
      <c r="R29" s="141">
        <v>0</v>
      </c>
      <c r="S29" s="138">
        <v>0</v>
      </c>
      <c r="T29" s="142">
        <v>0</v>
      </c>
      <c r="U29" s="141">
        <v>0</v>
      </c>
      <c r="V29" s="141">
        <v>0</v>
      </c>
      <c r="W29" s="143">
        <f t="shared" si="2"/>
        <v>0</v>
      </c>
      <c r="X29" s="115"/>
      <c r="Y29" s="115"/>
      <c r="Z29" s="115"/>
      <c r="AA29" s="115"/>
      <c r="AB29" s="115"/>
      <c r="AC29" s="115"/>
      <c r="AD29" s="126">
        <f t="shared" si="3"/>
        <v>0</v>
      </c>
      <c r="AE29" s="116"/>
      <c r="AF29" s="117"/>
      <c r="AG29" s="109"/>
    </row>
  </sheetData>
  <sheetProtection selectLockedCells="1"/>
  <protectedRanges>
    <protectedRange sqref="AG6:AG29 G6:V29 B6:E29" name="Rango1"/>
    <protectedRange sqref="AD6:AE29" name="Rango1_2"/>
    <protectedRange sqref="F6:F29 A6:A29" name="Rango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V29 X6:AC29 F6:I29 A6:D29">
    <cfRule type="expression" dxfId="3" priority="243" stopIfTrue="1">
      <formula>"SEVERSTAL"</formula>
    </cfRule>
  </conditionalFormatting>
  <conditionalFormatting sqref="AG6:AG29 AD6:AE29 E6:E29">
    <cfRule type="cellIs" dxfId="2" priority="244" stopIfTrue="1" operator="equal">
      <formula>"APROBADO"</formula>
    </cfRule>
    <cfRule type="cellIs" dxfId="1" priority="245" stopIfTrue="1" operator="equal">
      <formula>"ESPERA"</formula>
    </cfRule>
    <cfRule type="cellIs" dxfId="0" priority="246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2024-02-12T17:11:58Z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