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0C8345D3-B6B7-4E20-92CC-1A51AC478ACE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" i="5" l="1"/>
  <c r="AD9" i="5" s="1"/>
  <c r="W11" i="5" l="1"/>
  <c r="AD11" i="5" s="1"/>
  <c r="W10" i="5"/>
  <c r="AD10" i="5" s="1"/>
  <c r="W8" i="5" l="1"/>
  <c r="AD8" i="5" s="1"/>
  <c r="W12" i="5" l="1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7" i="5"/>
  <c r="AD7" i="5" s="1"/>
  <c r="AD31" i="5" l="1"/>
  <c r="AD30" i="5"/>
  <c r="AD29" i="5"/>
  <c r="AD28" i="5"/>
  <c r="AD27" i="5" l="1"/>
  <c r="AD32" i="5" l="1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13" i="5" l="1"/>
  <c r="AD12" i="5"/>
  <c r="AD25" i="5"/>
  <c r="AD26" i="5"/>
  <c r="AD17" i="5" l="1"/>
  <c r="AD18" i="5"/>
  <c r="AD16" i="5" l="1"/>
  <c r="AD19" i="5"/>
  <c r="AD20" i="5"/>
  <c r="AD21" i="5"/>
  <c r="AD22" i="5"/>
  <c r="AD23" i="5"/>
  <c r="AD24" i="5"/>
  <c r="AD15" i="5" l="1"/>
  <c r="AD14" i="5" l="1"/>
</calcChain>
</file>

<file path=xl/sharedStrings.xml><?xml version="1.0" encoding="utf-8"?>
<sst xmlns="http://schemas.openxmlformats.org/spreadsheetml/2006/main" count="161" uniqueCount="114">
  <si>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</si>
  <si>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</si>
  <si>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</si>
  <si>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</si>
  <si>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</si>
  <si>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</si>
  <si>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</si>
  <si>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</si>
  <si>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</si>
  <si>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</si>
  <si>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</si>
  <si>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</si>
  <si>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</si>
  <si>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</si>
  <si>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</si>
  <si>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</si>
  <si>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</si>
  <si>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</si>
  <si>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</si>
  <si>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</si>
  <si>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</si>
  <si>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</si>
  <si>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</si>
  <si>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</si>
  <si>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</si>
  <si>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</si>
  <si>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</si>
  <si>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</si>
  <si>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</si>
  <si>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</si>
  <si>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</si>
  <si>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</si>
  <si>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</si>
  <si>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</si>
  <si>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</si>
  <si>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</si>
  <si>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</si>
  <si>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</si>
  <si>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</si>
  <si>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</si>
  <si>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</si>
  <si>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</si>
  <si>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</si>
  <si>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</si>
  <si>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</si>
  <si>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</si>
  <si>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</si>
  <si>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</si>
  <si>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</si>
  <si>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</si>
  <si>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</si>
  <si>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</si>
  <si>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</si>
  <si>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</si>
  <si>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</si>
  <si>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</si>
  <si>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</si>
  <si>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</si>
  <si>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</si>
  <si>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</si>
  <si>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</si>
  <si>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</si>
  <si>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</si>
  <si>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</si>
  <si>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</si>
  <si>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</si>
  <si>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</si>
  <si>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</si>
  <si>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</si>
  <si>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</si>
  <si>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</si>
  <si>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</si>
  <si>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</si>
  <si>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</si>
  <si>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</si>
  <si>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</si>
  <si>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</si>
  <si>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</si>
  <si>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</si>
  <si>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</si>
  <si>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</si>
  <si>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</si>
  <si>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</si>
  <si>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</si>
  <si>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</si>
  <si>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</si>
  <si>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</si>
  <si>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</si>
  <si>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</si>
  <si>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</si>
  <si>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</si>
  <si>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</si>
  <si>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TAMSA</t>
  </si>
  <si>
    <t>Estado 10</t>
  </si>
  <si>
    <t>Estado 27</t>
  </si>
  <si>
    <t>P110 ICY 132,08 x 18 mm TPC</t>
  </si>
  <si>
    <t>140 Seg</t>
  </si>
  <si>
    <t>1 al 60</t>
  </si>
  <si>
    <t>1 al 100</t>
  </si>
  <si>
    <t>101 al 104</t>
  </si>
  <si>
    <t xml:space="preserve">61 al 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</si>
  <si>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</si>
  <si>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</si>
  <si>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</si>
  <si>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</si>
  <si>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</si>
  <si>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</si>
  <si>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</si>
  <si>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</si>
  <si>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</si>
  <si>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</si>
  <si>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132,08 X18 P110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</si>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</sst>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0" fontId="53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0" fontId="54" fillId="2" borderId="0" xfId="0" applyFont="1" applyFill="1" applyAlignment="1">
      <alignment horizontal="center"/>
    </xf>
    <xf numFmtId="0" fontId="55" fillId="2" borderId="0" xfId="0" applyFont="1" applyFill="1" applyAlignment="1">
      <alignment horizontal="center"/>
    </xf>
    <xf numFmtId="165" fontId="48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Alignment="1">
      <alignment horizontal="right"/>
    </xf>
    <xf numFmtId="165" fontId="55" fillId="2" borderId="0" xfId="0" applyNumberFormat="1" applyFont="1" applyFill="1" applyAlignment="1">
      <alignment horizontal="center"/>
    </xf>
    <xf numFmtId="0" fontId="53" fillId="0" borderId="21" xfId="0" applyFont="1" applyBorder="1"/>
    <xf numFmtId="165" fontId="53" fillId="0" borderId="21" xfId="0" applyNumberFormat="1" applyFont="1" applyBorder="1" applyAlignment="1">
      <alignment horizontal="center"/>
    </xf>
    <xf numFmtId="0" fontId="53" fillId="0" borderId="19" xfId="0" applyFont="1" applyBorder="1" applyAlignment="1">
      <alignment horizontal="center"/>
    </xf>
    <xf numFmtId="0" fontId="58" fillId="0" borderId="0" xfId="0" applyFont="1" applyAlignment="1">
      <alignment horizontal="center"/>
    </xf>
    <xf numFmtId="3" fontId="60" fillId="0" borderId="4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4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7" xfId="0" applyFill="1" applyBorder="1" applyAlignment="1" applyProtection="1">
      <alignment vertical="center"/>
      <protection hidden="1"/>
    </xf>
    <xf numFmtId="0" fontId="0" fillId="6" borderId="16" xfId="0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21" fontId="25" fillId="6" borderId="22" xfId="0" applyNumberFormat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center"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10" fillId="6" borderId="20" xfId="0" applyFont="1" applyFill="1" applyBorder="1" applyAlignment="1" applyProtection="1">
      <alignment vertical="center"/>
      <protection hidden="1"/>
    </xf>
    <xf numFmtId="0" fontId="27" fillId="6" borderId="22" xfId="0" applyFont="1" applyFill="1" applyBorder="1" applyAlignment="1" applyProtection="1">
      <alignment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0" fontId="45" fillId="6" borderId="21" xfId="0" applyFont="1" applyFill="1" applyBorder="1" applyAlignment="1" applyProtection="1">
      <alignment vertical="center"/>
      <protection hidden="1"/>
    </xf>
    <xf numFmtId="0" fontId="44" fillId="6" borderId="21" xfId="0" applyFont="1" applyFill="1" applyBorder="1" applyAlignment="1" applyProtection="1">
      <alignment vertical="center"/>
      <protection hidden="1"/>
    </xf>
    <xf numFmtId="21" fontId="44" fillId="6" borderId="21" xfId="0" applyNumberFormat="1" applyFont="1" applyFill="1" applyBorder="1" applyAlignment="1" applyProtection="1">
      <alignment horizontal="center" vertical="center"/>
      <protection hidden="1"/>
    </xf>
    <xf numFmtId="21" fontId="33" fillId="6" borderId="21" xfId="0" applyNumberFormat="1" applyFont="1" applyFill="1" applyBorder="1" applyAlignment="1" applyProtection="1">
      <alignment horizontal="center" vertical="center"/>
      <protection hidden="1"/>
    </xf>
    <xf numFmtId="21" fontId="30" fillId="6" borderId="19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6" fillId="5" borderId="0" xfId="0" applyFont="1" applyFill="1" applyAlignment="1">
      <alignment horizontal="center" vertical="center" wrapText="1"/>
    </xf>
    <xf numFmtId="15" fontId="59" fillId="0" borderId="4" xfId="0" applyNumberFormat="1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24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>
      <alignment horizontal="center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25" xfId="0" applyFont="1" applyBorder="1" applyAlignment="1">
      <alignment horizontal="center"/>
    </xf>
    <xf numFmtId="0" fontId="46" fillId="7" borderId="0" xfId="0" applyFont="1" applyFill="1" applyAlignment="1">
      <alignment horizontal="center"/>
    </xf>
    <xf numFmtId="15" fontId="59" fillId="0" borderId="3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4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Border="1" applyAlignment="1" applyProtection="1">
      <alignment horizontal="center"/>
      <protection locked="0"/>
    </xf>
    <xf numFmtId="3" fontId="61" fillId="7" borderId="1" xfId="0" applyNumberFormat="1" applyFont="1" applyFill="1" applyBorder="1" applyAlignment="1">
      <alignment horizontal="center"/>
    </xf>
    <xf numFmtId="3" fontId="67" fillId="0" borderId="24" xfId="2" applyNumberFormat="1" applyFont="1" applyFill="1" applyBorder="1" applyAlignment="1" applyProtection="1">
      <alignment horizontal="center" vertical="center"/>
      <protection locked="0"/>
    </xf>
    <xf numFmtId="0" fontId="60" fillId="7" borderId="1" xfId="3" applyFont="1" applyFill="1" applyBorder="1" applyAlignment="1">
      <alignment horizontal="center"/>
    </xf>
    <xf numFmtId="0" fontId="60" fillId="7" borderId="1" xfId="0" applyFont="1" applyFill="1" applyBorder="1" applyAlignment="1" applyProtection="1">
      <alignment horizontal="center"/>
      <protection locked="0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3" fontId="67" fillId="7" borderId="24" xfId="2" applyNumberFormat="1" applyFont="1" applyFill="1" applyBorder="1" applyAlignment="1" applyProtection="1">
      <alignment horizontal="center" vertical="center"/>
      <protection locked="0"/>
    </xf>
    <xf numFmtId="3" fontId="60" fillId="7" borderId="1" xfId="2" applyNumberFormat="1" applyFont="1" applyFill="1" applyBorder="1" applyAlignment="1" applyProtection="1">
      <alignment horizontal="center"/>
      <protection locked="0"/>
    </xf>
    <xf numFmtId="0" fontId="60" fillId="7" borderId="2" xfId="0" applyFont="1" applyFill="1" applyBorder="1" applyAlignment="1">
      <alignment horizontal="center"/>
    </xf>
    <xf numFmtId="0" fontId="60" fillId="7" borderId="25" xfId="0" applyFont="1" applyFill="1" applyBorder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24" xfId="2" applyNumberFormat="1" applyFont="1" applyFill="1" applyBorder="1" applyAlignment="1" applyProtection="1">
      <alignment horizontal="center"/>
      <protection locked="0"/>
    </xf>
    <xf numFmtId="3" fontId="60" fillId="7" borderId="4" xfId="0" applyNumberFormat="1" applyFont="1" applyFill="1" applyBorder="1" applyAlignment="1">
      <alignment horizontal="center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46" fillId="9" borderId="0" xfId="0" applyFont="1" applyFill="1" applyAlignment="1">
      <alignment horizontal="center" vertical="center" wrapText="1"/>
    </xf>
    <xf numFmtId="0" fontId="68" fillId="9" borderId="0" xfId="0" applyFont="1" applyFill="1" applyAlignment="1">
      <alignment horizontal="center" vertical="center" wrapText="1"/>
    </xf>
    <xf numFmtId="0" fontId="40" fillId="7" borderId="1" xfId="0" applyFont="1" applyFill="1" applyBorder="1" applyAlignment="1">
      <alignment horizontal="center"/>
    </xf>
    <xf numFmtId="0" fontId="22" fillId="7" borderId="1" xfId="3" applyFont="1" applyFill="1" applyBorder="1" applyAlignment="1">
      <alignment horizontal="center"/>
    </xf>
    <xf numFmtId="2" fontId="40" fillId="7" borderId="1" xfId="0" applyNumberFormat="1" applyFont="1" applyFill="1" applyBorder="1" applyAlignment="1">
      <alignment horizontal="center"/>
    </xf>
    <xf numFmtId="165" fontId="40" fillId="7" borderId="1" xfId="2" applyNumberFormat="1" applyFont="1" applyFill="1" applyBorder="1" applyAlignment="1">
      <alignment horizontal="center"/>
    </xf>
    <xf numFmtId="165" fontId="22" fillId="7" borderId="1" xfId="2" applyNumberFormat="1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73" fillId="8" borderId="30" xfId="4" applyFont="1" applyFill="1" applyBorder="1" applyAlignment="1">
      <alignment horizontal="center"/>
    </xf>
    <xf numFmtId="0" fontId="73" fillId="11" borderId="30" xfId="4" applyFont="1" applyFill="1" applyBorder="1" applyAlignment="1">
      <alignment horizontal="center"/>
    </xf>
    <xf numFmtId="0" fontId="73" fillId="12" borderId="31" xfId="4" applyFont="1" applyFill="1" applyBorder="1" applyAlignment="1">
      <alignment horizontal="center"/>
    </xf>
    <xf numFmtId="0" fontId="74" fillId="14" borderId="1" xfId="4" applyFont="1" applyFill="1" applyBorder="1" applyAlignment="1">
      <alignment horizontal="center" vertical="center" wrapText="1"/>
    </xf>
    <xf numFmtId="0" fontId="74" fillId="10" borderId="1" xfId="4" applyFont="1" applyFill="1" applyBorder="1" applyAlignment="1">
      <alignment horizontal="center" vertical="center" wrapText="1"/>
    </xf>
    <xf numFmtId="0" fontId="73" fillId="8" borderId="1" xfId="4" applyFont="1" applyFill="1" applyBorder="1" applyAlignment="1">
      <alignment horizontal="center" vertical="center" wrapText="1"/>
    </xf>
    <xf numFmtId="0" fontId="73" fillId="11" borderId="1" xfId="4" applyFont="1" applyFill="1" applyBorder="1" applyAlignment="1">
      <alignment horizontal="center" vertical="center" wrapText="1"/>
    </xf>
    <xf numFmtId="0" fontId="73" fillId="12" borderId="1" xfId="4" applyFont="1" applyFill="1" applyBorder="1" applyAlignment="1">
      <alignment horizontal="center" vertical="center" wrapText="1"/>
    </xf>
    <xf numFmtId="0" fontId="1" fillId="0" borderId="1" xfId="0" applyFont="1" applyBorder="1"/>
    <xf numFmtId="0" fontId="0" fillId="0" borderId="1" xfId="0" applyBorder="1"/>
    <xf numFmtId="15" fontId="22" fillId="7" borderId="1" xfId="0" applyNumberFormat="1" applyFont="1" applyFill="1" applyBorder="1" applyAlignment="1">
      <alignment horizontal="center"/>
    </xf>
    <xf numFmtId="165" fontId="22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5" fontId="40" fillId="7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3" borderId="1" xfId="0" applyFill="1" applyBorder="1"/>
    <xf numFmtId="0" fontId="42" fillId="0" borderId="0" xfId="0" applyFont="1"/>
    <xf numFmtId="0" fontId="64" fillId="6" borderId="0" xfId="0" applyFont="1" applyFill="1" applyAlignment="1" applyProtection="1">
      <alignment horizontal="center" vertical="center"/>
      <protection hidden="1"/>
    </xf>
    <xf numFmtId="0" fontId="76" fillId="0" borderId="21" xfId="0" applyFont="1" applyBorder="1" applyAlignment="1">
      <alignment horizontal="center" vertical="center"/>
    </xf>
    <xf numFmtId="0" fontId="75" fillId="0" borderId="21" xfId="0" applyFont="1" applyBorder="1" applyAlignment="1">
      <alignment horizontal="center" vertical="center"/>
    </xf>
    <xf numFmtId="0" fontId="73" fillId="12" borderId="30" xfId="4" applyFont="1" applyFill="1" applyBorder="1" applyAlignment="1">
      <alignment horizontal="center"/>
    </xf>
    <xf numFmtId="0" fontId="71" fillId="11" borderId="27" xfId="4" applyFont="1" applyFill="1" applyBorder="1" applyAlignment="1">
      <alignment horizontal="center"/>
    </xf>
    <xf numFmtId="0" fontId="70" fillId="8" borderId="26" xfId="4" applyFont="1" applyFill="1" applyBorder="1" applyAlignment="1">
      <alignment horizontal="center"/>
    </xf>
    <xf numFmtId="0" fontId="70" fillId="8" borderId="27" xfId="4" applyFont="1" applyFill="1" applyBorder="1" applyAlignment="1">
      <alignment horizontal="center"/>
    </xf>
    <xf numFmtId="0" fontId="71" fillId="12" borderId="27" xfId="4" applyFont="1" applyFill="1" applyBorder="1" applyAlignment="1">
      <alignment horizontal="center"/>
    </xf>
    <xf numFmtId="0" fontId="71" fillId="12" borderId="28" xfId="4" applyFont="1" applyFill="1" applyBorder="1" applyAlignment="1">
      <alignment horizontal="center"/>
    </xf>
    <xf numFmtId="0" fontId="73" fillId="8" borderId="29" xfId="4" applyFont="1" applyFill="1" applyBorder="1" applyAlignment="1">
      <alignment horizontal="center"/>
    </xf>
    <xf numFmtId="0" fontId="73" fillId="8" borderId="30" xfId="4" applyFont="1" applyFill="1" applyBorder="1" applyAlignment="1">
      <alignment horizontal="center"/>
    </xf>
    <xf numFmtId="0" fontId="72" fillId="13" borderId="11" xfId="4" applyFont="1" applyFill="1" applyBorder="1" applyAlignment="1">
      <alignment horizontal="center" vertical="center" shrinkToFit="1"/>
    </xf>
    <xf numFmtId="0" fontId="72" fillId="13" borderId="12" xfId="4" applyFont="1" applyFill="1" applyBorder="1" applyAlignment="1">
      <alignment horizontal="center" vertical="center" shrinkToFit="1"/>
    </xf>
    <xf numFmtId="0" fontId="72" fillId="13" borderId="16" xfId="4" applyFont="1" applyFill="1" applyBorder="1" applyAlignment="1">
      <alignment horizontal="center" vertical="center" shrinkToFit="1"/>
    </xf>
    <xf numFmtId="0" fontId="72" fillId="13" borderId="18" xfId="4" applyFont="1" applyFill="1" applyBorder="1" applyAlignment="1">
      <alignment horizontal="center" vertical="center" shrinkToFit="1"/>
    </xf>
    <xf numFmtId="0" fontId="69" fillId="10" borderId="17" xfId="4" applyFont="1" applyFill="1" applyBorder="1" applyAlignment="1">
      <alignment horizontal="center" vertical="center"/>
    </xf>
    <xf numFmtId="0" fontId="69" fillId="10" borderId="8" xfId="4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69" fillId="10" borderId="7" xfId="4" applyFont="1" applyFill="1" applyBorder="1" applyAlignment="1">
      <alignment horizontal="center" vertical="center"/>
    </xf>
    <xf numFmtId="0" fontId="69" fillId="10" borderId="16" xfId="4" applyFont="1" applyFill="1" applyBorder="1" applyAlignment="1">
      <alignment horizontal="center" vertical="center"/>
    </xf>
    <xf numFmtId="0" fontId="69" fillId="10" borderId="5" xfId="4" applyFont="1" applyFill="1" applyBorder="1" applyAlignment="1">
      <alignment horizontal="center" vertical="center"/>
    </xf>
    <xf numFmtId="0" fontId="72" fillId="10" borderId="7" xfId="4" applyFont="1" applyFill="1" applyBorder="1" applyAlignment="1">
      <alignment horizontal="center" vertical="center" shrinkToFit="1"/>
    </xf>
    <xf numFmtId="0" fontId="72" fillId="10" borderId="16" xfId="4" applyFont="1" applyFill="1" applyBorder="1" applyAlignment="1">
      <alignment horizontal="center" vertical="center" shrinkToFit="1"/>
    </xf>
    <xf numFmtId="0" fontId="72" fillId="13" borderId="10" xfId="4" applyFont="1" applyFill="1" applyBorder="1" applyAlignment="1">
      <alignment horizontal="center" vertical="center" shrinkToFit="1"/>
    </xf>
    <xf numFmtId="0" fontId="72" fillId="13" borderId="9" xfId="4" applyFont="1" applyFill="1" applyBorder="1" applyAlignment="1">
      <alignment horizontal="center" vertical="center" shrinkToFit="1"/>
    </xf>
    <xf numFmtId="0" fontId="50" fillId="0" borderId="0" xfId="0" applyFont="1" applyAlignment="1">
      <alignment horizontal="center"/>
    </xf>
    <xf numFmtId="0" fontId="62" fillId="5" borderId="21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6" fillId="5" borderId="7" xfId="0" applyFont="1" applyFill="1" applyBorder="1" applyAlignment="1">
      <alignment horizontal="center" vertical="center" wrapText="1"/>
    </xf>
    <xf numFmtId="0" fontId="46" fillId="5" borderId="16" xfId="0" applyFont="1" applyFill="1" applyBorder="1" applyAlignment="1">
      <alignment horizontal="center" vertical="center" wrapText="1"/>
    </xf>
    <xf numFmtId="0" fontId="46" fillId="5" borderId="1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FCD-4B69-B3C0-EBCF5917036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FCD-4B69-B3C0-EBCF5917036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FCD-4B69-B3C0-EBCF5917036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FCD-4B69-B3C0-EBCF5917036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FCD-4B69-B3C0-EBCF5917036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FCD-4B69-B3C0-EBCF59170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892960"/>
        <c:axId val="497893352"/>
      </c:barChart>
      <c:catAx>
        <c:axId val="49789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893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7893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892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DAA-4138-9F9C-6B1A0607514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DAA-4138-9F9C-6B1A0607514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DAA-4138-9F9C-6B1A0607514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DAA-4138-9F9C-6B1A0607514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DAA-4138-9F9C-6B1A0607514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DAA-4138-9F9C-6B1A0607514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DAA-4138-9F9C-6B1A0607514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DAA-4138-9F9C-6B1A0607514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DAA-4138-9F9C-6B1A0607514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DAA-4138-9F9C-6B1A0607514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DAA-4138-9F9C-6B1A06075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78768"/>
        <c:axId val="452649824"/>
      </c:lineChart>
      <c:catAx>
        <c:axId val="17577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2649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2649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57787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79-404A-AA9D-E88B2E12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79-404A-AA9D-E88B2E1243A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79-404A-AA9D-E88B2E12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79-404A-AA9D-E88B2E12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79-404A-AA9D-E88B2E12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79-404A-AA9D-E88B2E1243A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79-404A-AA9D-E88B2E12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79-404A-AA9D-E88B2E12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79-404A-AA9D-E88B2E12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79-404A-AA9D-E88B2E1243A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79-404A-AA9D-E88B2E12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79-404A-AA9D-E88B2E12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79-404A-AA9D-E88B2E12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79-404A-AA9D-E88B2E124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003176"/>
        <c:axId val="408003568"/>
      </c:barChart>
      <c:catAx>
        <c:axId val="40800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003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003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003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51-4031-B613-4B217588B0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51-4031-B613-4B217588B0E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51-4031-B613-4B217588B0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51-4031-B613-4B217588B0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51-4031-B613-4B217588B0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51-4031-B613-4B217588B0E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51-4031-B613-4B217588B0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51-4031-B613-4B217588B0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51-4031-B613-4B217588B0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51-4031-B613-4B217588B0E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51-4031-B613-4B217588B0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51-4031-B613-4B217588B0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51-4031-B613-4B217588B0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51-4031-B613-4B217588B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004352"/>
        <c:axId val="408004744"/>
      </c:barChart>
      <c:catAx>
        <c:axId val="40800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004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004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004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8B-4C70-AC95-46C846CA19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8B-4C70-AC95-46C846CA19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8B-4C70-AC95-46C846CA19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8B-4C70-AC95-46C846CA19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8B-4C70-AC95-46C846CA19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8B-4C70-AC95-46C846CA19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8B-4C70-AC95-46C846CA19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8B-4C70-AC95-46C846CA19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8B-4C70-AC95-46C846CA19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8B-4C70-AC95-46C846CA19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8B-4C70-AC95-46C846CA19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8B-4C70-AC95-46C846CA19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8B-4C70-AC95-46C846CA19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8B-4C70-AC95-46C846CA1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524904"/>
        <c:axId val="511525296"/>
      </c:barChart>
      <c:catAx>
        <c:axId val="51152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52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525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524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6F-40D4-8E83-5D589288B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6F-40D4-8E83-5D589288BE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6F-40D4-8E83-5D589288B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6F-40D4-8E83-5D589288B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6F-40D4-8E83-5D589288B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6F-40D4-8E83-5D589288BE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6F-40D4-8E83-5D589288B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6F-40D4-8E83-5D589288B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6F-40D4-8E83-5D589288B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6F-40D4-8E83-5D589288BE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6F-40D4-8E83-5D589288B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6F-40D4-8E83-5D589288B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6F-40D4-8E83-5D589288B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6F-40D4-8E83-5D589288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526080"/>
        <c:axId val="511526472"/>
      </c:barChart>
      <c:catAx>
        <c:axId val="511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526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1526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1526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E-4EAB-856C-D7AC154B53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6E-4EAB-856C-D7AC154B53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6E-4EAB-856C-D7AC154B53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6E-4EAB-856C-D7AC154B53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6E-4EAB-856C-D7AC154B53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6E-4EAB-856C-D7AC154B53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6E-4EAB-856C-D7AC154B53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6E-4EAB-856C-D7AC154B53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6E-4EAB-856C-D7AC154B53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6E-4EAB-856C-D7AC154B53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6E-4EAB-856C-D7AC154B53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6E-4EAB-856C-D7AC154B53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6E-4EAB-856C-D7AC154B53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6E-4EAB-856C-D7AC154B5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189568"/>
        <c:axId val="505189960"/>
      </c:barChart>
      <c:catAx>
        <c:axId val="50518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5189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5189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5189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F3-40CD-9092-F6EF0A210C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F3-40CD-9092-F6EF0A210C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F3-40CD-9092-F6EF0A210C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F3-40CD-9092-F6EF0A210C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F3-40CD-9092-F6EF0A210C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F3-40CD-9092-F6EF0A210C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F3-40CD-9092-F6EF0A210C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F3-40CD-9092-F6EF0A210C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F3-40CD-9092-F6EF0A210C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F3-40CD-9092-F6EF0A210C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F3-40CD-9092-F6EF0A210C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F3-40CD-9092-F6EF0A210C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F3-40CD-9092-F6EF0A210C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F3-40CD-9092-F6EF0A210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190744"/>
        <c:axId val="408489696"/>
      </c:barChart>
      <c:catAx>
        <c:axId val="50519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8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8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5190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36-4D80-B54F-B89F1B080B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36-4D80-B54F-B89F1B080B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6-4D80-B54F-B89F1B080B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6-4D80-B54F-B89F1B080B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36-4D80-B54F-B89F1B080B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36-4D80-B54F-B89F1B080B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36-4D80-B54F-B89F1B080B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36-4D80-B54F-B89F1B080B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36-4D80-B54F-B89F1B080B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36-4D80-B54F-B89F1B080B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36-4D80-B54F-B89F1B080B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36-4D80-B54F-B89F1B080B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36-4D80-B54F-B89F1B080B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36-4D80-B54F-B89F1B080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90480"/>
        <c:axId val="408490872"/>
      </c:barChart>
      <c:catAx>
        <c:axId val="40849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90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90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90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15-494F-9671-1CDDDB5CD6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15-494F-9671-1CDDDB5CD6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15-494F-9671-1CDDDB5CD6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15-494F-9671-1CDDDB5CD6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15-494F-9671-1CDDDB5CD6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15-494F-9671-1CDDDB5CD6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15-494F-9671-1CDDDB5CD6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15-494F-9671-1CDDDB5CD6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15-494F-9671-1CDDDB5CD6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15-494F-9671-1CDDDB5CD6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15-494F-9671-1CDDDB5CD6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15-494F-9671-1CDDDB5CD6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15-494F-9671-1CDDDB5CD6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15-494F-9671-1CDDDB5CD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125000"/>
        <c:axId val="459125392"/>
      </c:barChart>
      <c:catAx>
        <c:axId val="45912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912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912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9125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B6-4FBB-95EB-22BDB11455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B6-4FBB-95EB-22BDB11455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B6-4FBB-95EB-22BDB11455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B6-4FBB-95EB-22BDB11455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B6-4FBB-95EB-22BDB11455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B6-4FBB-95EB-22BDB11455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B6-4FBB-95EB-22BDB11455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B6-4FBB-95EB-22BDB11455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B6-4FBB-95EB-22BDB11455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B6-4FBB-95EB-22BDB11455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B6-4FBB-95EB-22BDB11455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B6-4FBB-95EB-22BDB11455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B6-4FBB-95EB-22BDB11455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B6-4FBB-95EB-22BDB114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126176"/>
        <c:axId val="459126568"/>
      </c:barChart>
      <c:catAx>
        <c:axId val="4591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912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912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912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DA-4206-88B5-B09A8789D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DA-4206-88B5-B09A8789D7A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DA-4206-88B5-B09A8789D7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DA-4206-88B5-B09A8789D7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A-4206-88B5-B09A8789D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DA-4206-88B5-B09A8789D7A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A-4206-88B5-B09A8789D7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DA-4206-88B5-B09A8789D7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A-4206-88B5-B09A8789D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DA-4206-88B5-B09A8789D7A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A-4206-88B5-B09A8789D7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DA-4206-88B5-B09A8789D7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A-4206-88B5-B09A8789D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DA-4206-88B5-B09A8789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58344"/>
        <c:axId val="501158736"/>
      </c:barChart>
      <c:catAx>
        <c:axId val="50115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8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58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8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73-4A5D-8EA8-6BAB4F2E86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73-4A5D-8EA8-6BAB4F2E86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73-4A5D-8EA8-6BAB4F2E86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73-4A5D-8EA8-6BAB4F2E86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73-4A5D-8EA8-6BAB4F2E86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73-4A5D-8EA8-6BAB4F2E86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73-4A5D-8EA8-6BAB4F2E86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73-4A5D-8EA8-6BAB4F2E86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73-4A5D-8EA8-6BAB4F2E86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73-4A5D-8EA8-6BAB4F2E86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73-4A5D-8EA8-6BAB4F2E86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73-4A5D-8EA8-6BAB4F2E86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73-4A5D-8EA8-6BAB4F2E86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73-4A5D-8EA8-6BAB4F2E8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59520"/>
        <c:axId val="501159912"/>
      </c:barChart>
      <c:catAx>
        <c:axId val="50115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9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59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59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C-4F35-8CE2-303AAB6FE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C-4F35-8CE2-303AAB6FE8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C-4F35-8CE2-303AAB6FE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C-4F35-8CE2-303AAB6FE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C-4F35-8CE2-303AAB6FE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C-4F35-8CE2-303AAB6FE8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C-4F35-8CE2-303AAB6FE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C-4F35-8CE2-303AAB6FE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C-4F35-8CE2-303AAB6FE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C-4F35-8CE2-303AAB6FE8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C-4F35-8CE2-303AAB6FE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C-4F35-8CE2-303AAB6FE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C-4F35-8CE2-303AAB6FE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C-4F35-8CE2-303AAB6F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60696"/>
        <c:axId val="501161088"/>
      </c:barChart>
      <c:catAx>
        <c:axId val="501160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1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61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0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01-4AC7-B2AE-B0FD04098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01-4AC7-B2AE-B0FD040987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01-4AC7-B2AE-B0FD04098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01-4AC7-B2AE-B0FD04098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01-4AC7-B2AE-B0FD04098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01-4AC7-B2AE-B0FD040987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01-4AC7-B2AE-B0FD04098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01-4AC7-B2AE-B0FD04098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01-4AC7-B2AE-B0FD04098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01-4AC7-B2AE-B0FD040987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01-4AC7-B2AE-B0FD04098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01-4AC7-B2AE-B0FD04098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01-4AC7-B2AE-B0FD04098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01-4AC7-B2AE-B0FD04098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61872"/>
        <c:axId val="501162264"/>
      </c:barChart>
      <c:catAx>
        <c:axId val="50116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2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62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1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33-4E42-82C5-139D19C39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33-4E42-82C5-139D19C39AE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33-4E42-82C5-139D19C39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33-4E42-82C5-139D19C39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33-4E42-82C5-139D19C39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33-4E42-82C5-139D19C39AE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33-4E42-82C5-139D19C39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33-4E42-82C5-139D19C39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33-4E42-82C5-139D19C39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33-4E42-82C5-139D19C39AE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33-4E42-82C5-139D19C39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33-4E42-82C5-139D19C39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33-4E42-82C5-139D19C39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33-4E42-82C5-139D19C39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63048"/>
        <c:axId val="501163440"/>
      </c:barChart>
      <c:catAx>
        <c:axId val="50116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3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63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3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7F-4655-9DAE-3BEF908E8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7F-4655-9DAE-3BEF908E88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7F-4655-9DAE-3BEF908E8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7F-4655-9DAE-3BEF908E8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7F-4655-9DAE-3BEF908E8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7F-4655-9DAE-3BEF908E88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7F-4655-9DAE-3BEF908E8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7F-4655-9DAE-3BEF908E8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7F-4655-9DAE-3BEF908E8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7F-4655-9DAE-3BEF908E88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7F-4655-9DAE-3BEF908E88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7F-4655-9DAE-3BEF908E88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7F-4655-9DAE-3BEF908E88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7F-4655-9DAE-3BEF908E8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64224"/>
        <c:axId val="501164616"/>
      </c:barChart>
      <c:catAx>
        <c:axId val="50116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4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64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4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5F-4142-8403-D9EDA7DD4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15F-4142-8403-D9EDA7DD4B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5F-4142-8403-D9EDA7DD4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5F-4142-8403-D9EDA7DD4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5F-4142-8403-D9EDA7DD4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15F-4142-8403-D9EDA7DD4B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5F-4142-8403-D9EDA7DD4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5F-4142-8403-D9EDA7DD4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5F-4142-8403-D9EDA7DD4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15F-4142-8403-D9EDA7DD4B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5F-4142-8403-D9EDA7DD4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5F-4142-8403-D9EDA7DD4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5F-4142-8403-D9EDA7DD4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15F-4142-8403-D9EDA7DD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65400"/>
        <c:axId val="501239496"/>
      </c:barChart>
      <c:catAx>
        <c:axId val="50116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39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39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165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22-4655-866E-5D57C17FA4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22-4655-866E-5D57C17FA4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22-4655-866E-5D57C17FA4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22-4655-866E-5D57C17FA4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22-4655-866E-5D57C17FA4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22-4655-866E-5D57C17FA4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22-4655-866E-5D57C17FA4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22-4655-866E-5D57C17FA4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22-4655-866E-5D57C17FA4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22-4655-866E-5D57C17FA4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22-4655-866E-5D57C17FA4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22-4655-866E-5D57C17FA4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22-4655-866E-5D57C17FA4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22-4655-866E-5D57C17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0280"/>
        <c:axId val="501240672"/>
      </c:barChart>
      <c:catAx>
        <c:axId val="50124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0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0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0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F7-4AD2-AEF1-E72577B2D3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F7-4AD2-AEF1-E72577B2D3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F7-4AD2-AEF1-E72577B2D3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F7-4AD2-AEF1-E72577B2D3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F7-4AD2-AEF1-E72577B2D3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F7-4AD2-AEF1-E72577B2D3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F7-4AD2-AEF1-E72577B2D3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F7-4AD2-AEF1-E72577B2D3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F7-4AD2-AEF1-E72577B2D3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F7-4AD2-AEF1-E72577B2D3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F7-4AD2-AEF1-E72577B2D3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F7-4AD2-AEF1-E72577B2D3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F7-4AD2-AEF1-E72577B2D3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F7-4AD2-AEF1-E72577B2D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1456"/>
        <c:axId val="501241848"/>
      </c:barChart>
      <c:catAx>
        <c:axId val="50124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1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1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1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1D-4DFD-ACA4-9E1614FAB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1D-4DFD-ACA4-9E1614FAB7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1D-4DFD-ACA4-9E1614FAB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1D-4DFD-ACA4-9E1614FAB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1D-4DFD-ACA4-9E1614FAB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1D-4DFD-ACA4-9E1614FAB7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1D-4DFD-ACA4-9E1614FAB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1D-4DFD-ACA4-9E1614FAB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1D-4DFD-ACA4-9E1614FAB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1D-4DFD-ACA4-9E1614FAB7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1D-4DFD-ACA4-9E1614FAB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1D-4DFD-ACA4-9E1614FAB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1D-4DFD-ACA4-9E1614FAB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1D-4DFD-ACA4-9E1614FAB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2632"/>
        <c:axId val="501243024"/>
      </c:barChart>
      <c:catAx>
        <c:axId val="50124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2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B2-406B-A886-0E94231D18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2B2-406B-A886-0E94231D18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B2-406B-A886-0E94231D18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B2-406B-A886-0E94231D18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B2-406B-A886-0E94231D18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2B2-406B-A886-0E94231D18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B2-406B-A886-0E94231D18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B2-406B-A886-0E94231D18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B2-406B-A886-0E94231D18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2B2-406B-A886-0E94231D18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B2-406B-A886-0E94231D18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B2-406B-A886-0E94231D18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B2-406B-A886-0E94231D18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2B2-406B-A886-0E94231D1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3808"/>
        <c:axId val="501244200"/>
      </c:barChart>
      <c:catAx>
        <c:axId val="50124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4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4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DE-4B44-BA4E-D3A2BDB015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DE-4B44-BA4E-D3A2BDB015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DE-4B44-BA4E-D3A2BDB015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DE-4B44-BA4E-D3A2BDB015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DE-4B44-BA4E-D3A2BDB015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DE-4B44-BA4E-D3A2BDB015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DE-4B44-BA4E-D3A2BDB015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DE-4B44-BA4E-D3A2BDB015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DE-4B44-BA4E-D3A2BDB015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DE-4B44-BA4E-D3A2BDB015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DE-4B44-BA4E-D3A2BDB015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DE-4B44-BA4E-D3A2BDB015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DE-4B44-BA4E-D3A2BDB015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DE-4B44-BA4E-D3A2BDB01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4984"/>
        <c:axId val="501245376"/>
      </c:barChart>
      <c:catAx>
        <c:axId val="50124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4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58-4EAA-B8F2-DDC1216241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58-4EAA-B8F2-DDC1216241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58-4EAA-B8F2-DDC1216241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58-4EAA-B8F2-DDC1216241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58-4EAA-B8F2-DDC1216241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58-4EAA-B8F2-DDC1216241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58-4EAA-B8F2-DDC1216241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58-4EAA-B8F2-DDC1216241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58-4EAA-B8F2-DDC1216241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58-4EAA-B8F2-DDC1216241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58-4EAA-B8F2-DDC1216241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58-4EAA-B8F2-DDC1216241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58-4EAA-B8F2-DDC1216241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58-4EAA-B8F2-DDC121624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246160"/>
        <c:axId val="501246552"/>
      </c:barChart>
      <c:catAx>
        <c:axId val="50124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24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24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88-4393-91DA-8F645AD4AA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88-4393-91DA-8F645AD4AA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88-4393-91DA-8F645AD4AA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88-4393-91DA-8F645AD4AA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88-4393-91DA-8F645AD4AA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88-4393-91DA-8F645AD4AA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88-4393-91DA-8F645AD4AA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88-4393-91DA-8F645AD4AA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88-4393-91DA-8F645AD4AA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88-4393-91DA-8F645AD4AA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88-4393-91DA-8F645AD4AA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88-4393-91DA-8F645AD4AA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88-4393-91DA-8F645AD4AA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88-4393-91DA-8F645AD4A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012848"/>
        <c:axId val="528013240"/>
      </c:barChart>
      <c:catAx>
        <c:axId val="52801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013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013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012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2D-4281-9EC4-E2E773A7CA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2D-4281-9EC4-E2E773A7CA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2D-4281-9EC4-E2E773A7CA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2D-4281-9EC4-E2E773A7CA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2D-4281-9EC4-E2E773A7CA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2D-4281-9EC4-E2E773A7CA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2D-4281-9EC4-E2E773A7CA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2D-4281-9EC4-E2E773A7CA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2D-4281-9EC4-E2E773A7CA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2D-4281-9EC4-E2E773A7CA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2D-4281-9EC4-E2E773A7CA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2D-4281-9EC4-E2E773A7CA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2D-4281-9EC4-E2E773A7CA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2D-4281-9EC4-E2E773A7C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014024"/>
        <c:axId val="528014416"/>
      </c:barChart>
      <c:catAx>
        <c:axId val="52801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014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8014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8014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51211</xdr:rowOff>
    </xdr:from>
    <xdr:to>
      <xdr:col>2</xdr:col>
      <xdr:colOff>260710</xdr:colOff>
      <xdr:row>2</xdr:row>
      <xdr:rowOff>256049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742" y="51211"/>
          <a:ext cx="854742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112661</xdr:colOff>
      <xdr:row>33</xdr:row>
      <xdr:rowOff>20485</xdr:rowOff>
    </xdr:from>
    <xdr:to>
      <xdr:col>25</xdr:col>
      <xdr:colOff>508683</xdr:colOff>
      <xdr:row>36</xdr:row>
      <xdr:rowOff>46218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7580" y="7722420"/>
          <a:ext cx="8466667" cy="609524"/>
        </a:xfrm>
        <a:prstGeom prst="rect">
          <a:avLst/>
        </a:prstGeom>
      </xdr:spPr>
    </xdr:pic>
    <xdr:clientData/>
  </xdr:twoCellAnchor>
  <xdr:twoCellAnchor editAs="oneCell">
    <xdr:from>
      <xdr:col>6</xdr:col>
      <xdr:colOff>594033</xdr:colOff>
      <xdr:row>19</xdr:row>
      <xdr:rowOff>174112</xdr:rowOff>
    </xdr:from>
    <xdr:to>
      <xdr:col>20</xdr:col>
      <xdr:colOff>377232</xdr:colOff>
      <xdr:row>23</xdr:row>
      <xdr:rowOff>43344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32743" y="5151693"/>
          <a:ext cx="9666667" cy="647619"/>
        </a:xfrm>
        <a:prstGeom prst="rect">
          <a:avLst/>
        </a:prstGeom>
      </xdr:spPr>
    </xdr:pic>
    <xdr:clientData/>
  </xdr:twoCellAnchor>
  <xdr:twoCellAnchor>
    <xdr:from>
      <xdr:col>3</xdr:col>
      <xdr:colOff>51210</xdr:colOff>
      <xdr:row>0</xdr:row>
      <xdr:rowOff>112662</xdr:rowOff>
    </xdr:from>
    <xdr:to>
      <xdr:col>4</xdr:col>
      <xdr:colOff>113952</xdr:colOff>
      <xdr:row>2</xdr:row>
      <xdr:rowOff>208055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90484" y="112662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285749</xdr:rowOff>
    </xdr:from>
    <xdr:to>
      <xdr:col>0</xdr:col>
      <xdr:colOff>897467</xdr:colOff>
      <xdr:row>4</xdr:row>
      <xdr:rowOff>168275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4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51">
        <v>777</v>
      </c>
      <c r="B1" s="52" t="s">
        <v>13</v>
      </c>
      <c r="C1" s="52"/>
      <c r="D1" s="52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3"/>
    </row>
    <row r="2" spans="1:21" s="8" customFormat="1" ht="17.5" customHeight="1">
      <c r="A2" s="54"/>
      <c r="B2" s="102"/>
      <c r="C2" s="103"/>
      <c r="D2" s="103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5"/>
      <c r="R2" s="51"/>
      <c r="S2" s="51"/>
      <c r="T2" s="51"/>
      <c r="U2" s="53"/>
    </row>
    <row r="3" spans="1:21" s="8" customFormat="1" ht="17.5" customHeight="1">
      <c r="A3" s="54"/>
      <c r="B3" s="106"/>
      <c r="C3" s="69"/>
      <c r="D3" s="69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07"/>
      <c r="R3" s="51"/>
      <c r="S3" s="51"/>
      <c r="T3" s="51"/>
      <c r="U3" s="53"/>
    </row>
    <row r="4" spans="1:21" s="8" customFormat="1" ht="10.5" customHeight="1">
      <c r="A4" s="54"/>
      <c r="B4" s="106"/>
      <c r="C4" s="70"/>
      <c r="D4" s="71"/>
      <c r="E4" s="72"/>
      <c r="F4" s="72"/>
      <c r="G4" s="72"/>
      <c r="H4" s="72"/>
      <c r="I4" s="72"/>
      <c r="J4" s="72"/>
      <c r="K4" s="72"/>
      <c r="L4" s="72"/>
      <c r="M4" s="72"/>
      <c r="N4" s="73"/>
      <c r="O4" s="68"/>
      <c r="P4" s="68"/>
      <c r="Q4" s="107"/>
      <c r="R4" s="51"/>
      <c r="S4" s="51"/>
      <c r="T4" s="51"/>
      <c r="U4" s="53"/>
    </row>
    <row r="5" spans="1:21" s="8" customFormat="1" ht="32.25" customHeight="1">
      <c r="A5" s="52"/>
      <c r="B5" s="106"/>
      <c r="C5" s="74"/>
      <c r="D5" s="74"/>
      <c r="E5" s="187" t="s">
        <v>68</v>
      </c>
      <c r="F5" s="187"/>
      <c r="G5" s="187"/>
      <c r="H5" s="187"/>
      <c r="I5" s="187"/>
      <c r="J5" s="187"/>
      <c r="K5" s="187"/>
      <c r="L5" s="187"/>
      <c r="M5" s="187"/>
      <c r="N5" s="75"/>
      <c r="O5" s="68"/>
      <c r="P5" s="68"/>
      <c r="Q5" s="107"/>
      <c r="R5" s="51"/>
      <c r="S5" s="51"/>
      <c r="T5" s="51"/>
      <c r="U5" s="53"/>
    </row>
    <row r="6" spans="1:21" s="8" customFormat="1" ht="17.5" customHeight="1">
      <c r="A6" s="54"/>
      <c r="B6" s="106"/>
      <c r="C6" s="76"/>
      <c r="D6" s="76"/>
      <c r="E6" s="77"/>
      <c r="F6" s="78"/>
      <c r="G6" s="78"/>
      <c r="H6" s="78"/>
      <c r="I6" s="78"/>
      <c r="J6" s="78"/>
      <c r="K6" s="78"/>
      <c r="L6" s="78"/>
      <c r="M6" s="78"/>
      <c r="N6" s="79"/>
      <c r="O6" s="80"/>
      <c r="P6" s="80"/>
      <c r="Q6" s="108"/>
      <c r="R6" s="51"/>
      <c r="S6" s="51"/>
      <c r="T6" s="51"/>
      <c r="U6" s="53"/>
    </row>
    <row r="7" spans="1:21" s="8" customFormat="1" ht="17.5" customHeight="1">
      <c r="A7" s="54"/>
      <c r="B7" s="109"/>
      <c r="C7" s="81"/>
      <c r="D7" s="81"/>
      <c r="E7" s="82"/>
      <c r="F7" s="82"/>
      <c r="G7" s="82"/>
      <c r="H7" s="82"/>
      <c r="I7" s="82"/>
      <c r="J7" s="82"/>
      <c r="K7" s="82"/>
      <c r="L7" s="82"/>
      <c r="M7" s="68"/>
      <c r="N7" s="80"/>
      <c r="O7" s="80"/>
      <c r="P7" s="80"/>
      <c r="Q7" s="108"/>
      <c r="R7" s="51"/>
      <c r="S7" s="51"/>
      <c r="T7" s="51"/>
      <c r="U7" s="53"/>
    </row>
    <row r="8" spans="1:21" s="8" customFormat="1" ht="17.5" customHeight="1">
      <c r="A8" s="54"/>
      <c r="B8" s="110"/>
      <c r="C8" s="83"/>
      <c r="D8" s="83"/>
      <c r="E8" s="84"/>
      <c r="F8" s="85"/>
      <c r="G8" s="85"/>
      <c r="H8" s="85"/>
      <c r="I8" s="86"/>
      <c r="J8" s="86"/>
      <c r="K8" s="86"/>
      <c r="L8" s="87"/>
      <c r="M8" s="68"/>
      <c r="N8" s="68"/>
      <c r="O8" s="80"/>
      <c r="P8" s="80"/>
      <c r="Q8" s="108"/>
      <c r="R8" s="51"/>
      <c r="S8" s="51"/>
      <c r="T8" s="51"/>
      <c r="U8" s="53"/>
    </row>
    <row r="9" spans="1:21" s="8" customFormat="1" ht="17.5" customHeight="1">
      <c r="A9" s="54"/>
      <c r="B9" s="110"/>
      <c r="C9" s="83"/>
      <c r="D9" s="88"/>
      <c r="E9" s="86"/>
      <c r="F9" s="86"/>
      <c r="G9" s="86"/>
      <c r="H9" s="86"/>
      <c r="I9" s="86"/>
      <c r="J9" s="86"/>
      <c r="K9" s="86"/>
      <c r="L9" s="87"/>
      <c r="M9" s="68"/>
      <c r="N9" s="68"/>
      <c r="O9" s="80"/>
      <c r="P9" s="68"/>
      <c r="Q9" s="107"/>
      <c r="R9" s="51"/>
      <c r="S9" s="51"/>
      <c r="T9" s="51"/>
      <c r="U9" s="53"/>
    </row>
    <row r="10" spans="1:21" s="8" customFormat="1" ht="17.5" customHeight="1">
      <c r="A10" s="54"/>
      <c r="B10" s="110"/>
      <c r="C10" s="83"/>
      <c r="D10" s="89"/>
      <c r="E10" s="90"/>
      <c r="F10" s="86"/>
      <c r="G10" s="86"/>
      <c r="H10" s="86"/>
      <c r="I10" s="86"/>
      <c r="J10" s="86"/>
      <c r="K10" s="86"/>
      <c r="L10" s="87"/>
      <c r="M10" s="68"/>
      <c r="N10" s="68"/>
      <c r="O10" s="80"/>
      <c r="P10" s="68"/>
      <c r="Q10" s="107"/>
      <c r="R10" s="51"/>
      <c r="S10" s="51"/>
      <c r="T10" s="51"/>
      <c r="U10" s="53"/>
    </row>
    <row r="11" spans="1:21" s="8" customFormat="1" ht="12" customHeight="1">
      <c r="A11" s="54"/>
      <c r="B11" s="110"/>
      <c r="C11" s="83"/>
      <c r="D11" s="91"/>
      <c r="E11" s="86"/>
      <c r="F11" s="86"/>
      <c r="G11" s="86"/>
      <c r="H11" s="86"/>
      <c r="I11" s="86"/>
      <c r="J11" s="86"/>
      <c r="K11" s="86"/>
      <c r="L11" s="92"/>
      <c r="M11" s="92"/>
      <c r="N11" s="92"/>
      <c r="O11" s="93"/>
      <c r="P11" s="68"/>
      <c r="Q11" s="107"/>
      <c r="R11" s="51"/>
      <c r="S11" s="51"/>
      <c r="T11" s="51"/>
      <c r="U11" s="53"/>
    </row>
    <row r="12" spans="1:21" s="8" customFormat="1" ht="17.5" customHeight="1">
      <c r="A12" s="54"/>
      <c r="B12" s="110"/>
      <c r="C12" s="83"/>
      <c r="D12" s="83"/>
      <c r="E12" s="86"/>
      <c r="F12" s="86"/>
      <c r="G12" s="86"/>
      <c r="H12" s="86"/>
      <c r="I12" s="86"/>
      <c r="J12" s="86"/>
      <c r="K12" s="86"/>
      <c r="L12" s="94"/>
      <c r="M12" s="92"/>
      <c r="N12" s="92"/>
      <c r="O12" s="93"/>
      <c r="P12" s="95"/>
      <c r="Q12" s="107"/>
      <c r="R12" s="51"/>
      <c r="S12" s="51"/>
      <c r="T12" s="51"/>
      <c r="U12" s="53"/>
    </row>
    <row r="13" spans="1:21" s="8" customFormat="1" ht="17.25" customHeight="1">
      <c r="A13" s="54"/>
      <c r="B13" s="111"/>
      <c r="C13" s="83"/>
      <c r="D13" s="83"/>
      <c r="E13" s="96"/>
      <c r="F13" s="86"/>
      <c r="G13" s="86"/>
      <c r="H13" s="86"/>
      <c r="I13" s="86"/>
      <c r="J13" s="86"/>
      <c r="K13" s="86"/>
      <c r="L13" s="94"/>
      <c r="M13" s="92"/>
      <c r="N13" s="92"/>
      <c r="O13" s="93"/>
      <c r="P13" s="95"/>
      <c r="Q13" s="107"/>
      <c r="R13" s="51"/>
      <c r="S13" s="51"/>
      <c r="T13" s="51"/>
      <c r="U13" s="53"/>
    </row>
    <row r="14" spans="1:21" s="8" customFormat="1" ht="17.25" customHeight="1">
      <c r="A14" s="54"/>
      <c r="B14" s="111"/>
      <c r="C14" s="97"/>
      <c r="D14" s="83"/>
      <c r="E14" s="86"/>
      <c r="F14" s="86"/>
      <c r="G14" s="86"/>
      <c r="H14" s="86"/>
      <c r="I14" s="86"/>
      <c r="J14" s="86"/>
      <c r="K14" s="86"/>
      <c r="L14" s="94"/>
      <c r="M14" s="92"/>
      <c r="N14" s="92"/>
      <c r="O14" s="93"/>
      <c r="P14" s="95"/>
      <c r="Q14" s="107"/>
      <c r="R14" s="51"/>
      <c r="S14" s="51"/>
      <c r="T14" s="51"/>
      <c r="U14" s="53"/>
    </row>
    <row r="15" spans="1:21" s="8" customFormat="1" ht="17.5" customHeight="1">
      <c r="A15" s="57"/>
      <c r="B15" s="111"/>
      <c r="C15" s="83"/>
      <c r="D15" s="83"/>
      <c r="E15" s="86"/>
      <c r="F15" s="86"/>
      <c r="G15" s="86"/>
      <c r="H15" s="86"/>
      <c r="I15" s="86"/>
      <c r="J15" s="86"/>
      <c r="K15" s="86"/>
      <c r="L15" s="94"/>
      <c r="M15" s="92"/>
      <c r="N15" s="92"/>
      <c r="O15" s="93"/>
      <c r="P15" s="98"/>
      <c r="Q15" s="112"/>
      <c r="R15" s="51"/>
      <c r="S15" s="51"/>
      <c r="T15" s="51"/>
      <c r="U15" s="53"/>
    </row>
    <row r="16" spans="1:21" s="8" customFormat="1" ht="17.5" customHeight="1">
      <c r="A16" s="57"/>
      <c r="B16" s="110"/>
      <c r="C16" s="83"/>
      <c r="D16" s="83"/>
      <c r="E16" s="99"/>
      <c r="F16" s="86"/>
      <c r="G16" s="86"/>
      <c r="H16" s="86"/>
      <c r="I16" s="86"/>
      <c r="J16" s="86"/>
      <c r="K16" s="86"/>
      <c r="L16" s="94"/>
      <c r="M16" s="92"/>
      <c r="N16" s="92"/>
      <c r="O16" s="93"/>
      <c r="P16" s="98"/>
      <c r="Q16" s="112"/>
      <c r="R16" s="51"/>
      <c r="S16" s="51"/>
      <c r="T16" s="51"/>
      <c r="U16" s="53"/>
    </row>
    <row r="17" spans="1:21" s="8" customFormat="1" ht="17.5" customHeight="1">
      <c r="A17" s="57"/>
      <c r="B17" s="111"/>
      <c r="C17" s="83"/>
      <c r="D17" s="83"/>
      <c r="E17" s="86"/>
      <c r="F17" s="86"/>
      <c r="G17" s="86"/>
      <c r="H17" s="86"/>
      <c r="I17" s="86"/>
      <c r="J17" s="86"/>
      <c r="K17" s="86"/>
      <c r="L17" s="94"/>
      <c r="M17" s="92"/>
      <c r="N17" s="92"/>
      <c r="O17" s="93"/>
      <c r="P17" s="98"/>
      <c r="Q17" s="107"/>
      <c r="R17" s="51"/>
      <c r="S17" s="51"/>
      <c r="T17" s="51"/>
      <c r="U17" s="53"/>
    </row>
    <row r="18" spans="1:21" s="8" customFormat="1" ht="17.25" customHeight="1">
      <c r="A18" s="57"/>
      <c r="B18" s="111"/>
      <c r="C18" s="83"/>
      <c r="D18" s="83"/>
      <c r="E18" s="86"/>
      <c r="F18" s="86"/>
      <c r="G18" s="86"/>
      <c r="H18" s="86"/>
      <c r="I18" s="86"/>
      <c r="J18" s="86"/>
      <c r="K18" s="86"/>
      <c r="L18" s="94"/>
      <c r="M18" s="92"/>
      <c r="N18" s="92"/>
      <c r="O18" s="93"/>
      <c r="P18" s="98"/>
      <c r="Q18" s="107"/>
      <c r="R18" s="51"/>
      <c r="S18" s="51"/>
      <c r="T18" s="51"/>
      <c r="U18" s="53"/>
    </row>
    <row r="19" spans="1:21" s="8" customFormat="1" ht="17.5" customHeight="1">
      <c r="A19" s="57"/>
      <c r="B19" s="110"/>
      <c r="C19" s="83"/>
      <c r="D19" s="83"/>
      <c r="E19" s="86"/>
      <c r="F19" s="86"/>
      <c r="G19" s="86"/>
      <c r="H19" s="86"/>
      <c r="I19" s="86"/>
      <c r="J19" s="86"/>
      <c r="K19" s="86"/>
      <c r="L19" s="100"/>
      <c r="M19" s="92"/>
      <c r="N19" s="92"/>
      <c r="O19" s="93"/>
      <c r="P19" s="98"/>
      <c r="Q19" s="112"/>
      <c r="R19" s="51"/>
      <c r="S19" s="51"/>
      <c r="T19" s="51"/>
      <c r="U19" s="53"/>
    </row>
    <row r="20" spans="1:21" s="8" customFormat="1" ht="17.5" customHeight="1">
      <c r="A20" s="57"/>
      <c r="B20" s="110"/>
      <c r="C20" s="83"/>
      <c r="D20" s="83"/>
      <c r="E20" s="86"/>
      <c r="F20" s="86"/>
      <c r="G20" s="86"/>
      <c r="H20" s="86"/>
      <c r="I20" s="86"/>
      <c r="J20" s="86"/>
      <c r="K20" s="86"/>
      <c r="L20" s="100"/>
      <c r="M20" s="92"/>
      <c r="N20" s="92"/>
      <c r="O20" s="93"/>
      <c r="P20" s="101"/>
      <c r="Q20" s="113"/>
      <c r="R20" s="51"/>
      <c r="S20" s="51"/>
      <c r="T20" s="51"/>
      <c r="U20" s="53"/>
    </row>
    <row r="21" spans="1:21" s="8" customFormat="1" ht="17.5" customHeight="1">
      <c r="A21" s="57"/>
      <c r="B21" s="114"/>
      <c r="C21" s="115"/>
      <c r="D21" s="115"/>
      <c r="E21" s="116"/>
      <c r="F21" s="116"/>
      <c r="G21" s="116"/>
      <c r="H21" s="116"/>
      <c r="I21" s="116"/>
      <c r="J21" s="116"/>
      <c r="K21" s="116"/>
      <c r="L21" s="117"/>
      <c r="M21" s="118"/>
      <c r="N21" s="118"/>
      <c r="O21" s="119"/>
      <c r="P21" s="120"/>
      <c r="Q21" s="121"/>
      <c r="R21" s="51"/>
      <c r="S21" s="51"/>
      <c r="T21" s="51"/>
      <c r="U21" s="53"/>
    </row>
    <row r="22" spans="1:21" s="8" customFormat="1" ht="17.5" customHeight="1">
      <c r="A22" s="57"/>
      <c r="B22" s="62"/>
      <c r="C22" s="63"/>
      <c r="D22" s="63"/>
      <c r="E22" s="64"/>
      <c r="F22" s="55"/>
      <c r="G22" s="55"/>
      <c r="H22" s="55"/>
      <c r="I22" s="55"/>
      <c r="J22" s="55"/>
      <c r="K22" s="55"/>
      <c r="L22" s="58"/>
      <c r="M22" s="56"/>
      <c r="N22" s="56"/>
      <c r="O22" s="61"/>
      <c r="P22" s="59"/>
      <c r="Q22" s="60"/>
      <c r="R22" s="51"/>
      <c r="S22" s="51"/>
      <c r="T22" s="51"/>
      <c r="U22" s="53"/>
    </row>
    <row r="23" spans="1:21" s="8" customFormat="1" ht="15" customHeight="1">
      <c r="A23" s="65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5"/>
      <c r="S23" s="66"/>
      <c r="T23" s="66"/>
      <c r="U23" s="66"/>
    </row>
    <row r="24" spans="1:21" s="8" customFormat="1" ht="15" customHeight="1">
      <c r="A24" s="65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5"/>
      <c r="S24" s="66"/>
      <c r="T24" s="66"/>
      <c r="U24" s="66"/>
    </row>
    <row r="25" spans="1:21" s="8" customFormat="1" ht="15" customHeight="1">
      <c r="A25" s="65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5"/>
      <c r="S25" s="66"/>
      <c r="T25" s="66"/>
      <c r="U25" s="66"/>
    </row>
    <row r="26" spans="1:21">
      <c r="A26" s="65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5"/>
      <c r="S26" s="66"/>
      <c r="T26" s="66"/>
      <c r="U26" s="67"/>
    </row>
    <row r="27" spans="1:21">
      <c r="A27" s="65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5"/>
      <c r="S27" s="66"/>
      <c r="T27" s="66"/>
      <c r="U27" s="6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20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14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1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N8" sqref="N8"/>
    </sheetView>
  </sheetViews>
  <sheetFormatPr defaultColWidth="10.6640625" defaultRowHeight="15.5"/>
  <cols>
    <col min="1" max="1" width="4.25" customWidth="1"/>
    <col min="2" max="2" width="7.75" customWidth="1"/>
    <col min="3" max="3" width="4.08203125" customWidth="1"/>
    <col min="4" max="4" width="10.58203125" bestFit="1" customWidth="1"/>
    <col min="5" max="5" width="10.5" style="3" customWidth="1"/>
    <col min="6" max="6" width="11" style="3" customWidth="1"/>
    <col min="7" max="7" width="10.5" style="3" bestFit="1" customWidth="1"/>
    <col min="8" max="10" width="9.75" style="26" customWidth="1"/>
    <col min="11" max="11" width="9.58203125" style="26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89" t="s">
        <v>17</v>
      </c>
      <c r="F1" s="189"/>
      <c r="G1" s="189"/>
      <c r="H1" s="189"/>
      <c r="I1" s="189"/>
      <c r="J1" s="189"/>
      <c r="K1" s="189"/>
      <c r="L1" s="189"/>
      <c r="M1" s="186"/>
      <c r="N1" s="12"/>
      <c r="O1" s="204"/>
      <c r="P1" s="204"/>
      <c r="Q1" s="204"/>
      <c r="R1" s="204"/>
      <c r="S1" s="204"/>
      <c r="T1" s="204"/>
      <c r="U1" s="204"/>
      <c r="V1" s="204"/>
      <c r="W1" s="204"/>
    </row>
    <row r="2" spans="1:113" ht="24.75" customHeight="1" thickBot="1">
      <c r="E2" s="189" t="s">
        <v>18</v>
      </c>
      <c r="F2" s="189"/>
      <c r="G2" s="189"/>
      <c r="H2" s="189"/>
      <c r="I2" s="189"/>
      <c r="J2" s="189"/>
      <c r="K2" s="189"/>
      <c r="L2" s="189"/>
      <c r="M2" s="186"/>
      <c r="N2" s="205" t="s">
        <v>101</v>
      </c>
      <c r="O2" s="206"/>
      <c r="P2" s="202" t="s">
        <v>102</v>
      </c>
      <c r="Q2" s="202"/>
      <c r="R2" s="202"/>
      <c r="S2" s="202"/>
      <c r="T2" s="202"/>
      <c r="U2" s="203"/>
      <c r="V2" s="207" t="s">
        <v>101</v>
      </c>
      <c r="W2" s="202"/>
      <c r="X2" s="192" t="s">
        <v>81</v>
      </c>
      <c r="Y2" s="193"/>
      <c r="Z2" s="193"/>
      <c r="AA2" s="193"/>
      <c r="AB2" s="191" t="s">
        <v>80</v>
      </c>
      <c r="AC2" s="191"/>
      <c r="AD2" s="194" t="s">
        <v>82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 customHeight="1">
      <c r="E3" s="188" t="s">
        <v>111</v>
      </c>
      <c r="F3" s="188"/>
      <c r="G3" s="188"/>
      <c r="H3" s="188"/>
      <c r="I3" s="188"/>
      <c r="J3" s="188"/>
      <c r="K3" s="188"/>
      <c r="L3" s="188"/>
      <c r="M3" s="186"/>
      <c r="N3" s="210" t="s">
        <v>103</v>
      </c>
      <c r="O3" s="211"/>
      <c r="P3" s="198" t="s">
        <v>67</v>
      </c>
      <c r="Q3" s="199"/>
      <c r="R3" s="198" t="s">
        <v>90</v>
      </c>
      <c r="S3" s="199"/>
      <c r="T3" s="200" t="s">
        <v>89</v>
      </c>
      <c r="U3" s="201"/>
      <c r="V3" s="208" t="s">
        <v>88</v>
      </c>
      <c r="W3" s="209"/>
      <c r="X3" s="196" t="s">
        <v>77</v>
      </c>
      <c r="Y3" s="197"/>
      <c r="Z3" s="163" t="s">
        <v>78</v>
      </c>
      <c r="AA3" s="163" t="s">
        <v>72</v>
      </c>
      <c r="AB3" s="164" t="s">
        <v>74</v>
      </c>
      <c r="AC3" s="164" t="s">
        <v>76</v>
      </c>
      <c r="AD3" s="190" t="s">
        <v>79</v>
      </c>
      <c r="AE3" s="190"/>
      <c r="AF3" s="190" t="s">
        <v>78</v>
      </c>
      <c r="AG3" s="190"/>
      <c r="AH3" s="165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66" t="s">
        <v>24</v>
      </c>
      <c r="B4" s="166" t="s">
        <v>104</v>
      </c>
      <c r="C4" s="166" t="s">
        <v>105</v>
      </c>
      <c r="D4" s="166" t="s">
        <v>19</v>
      </c>
      <c r="E4" s="166" t="s">
        <v>1</v>
      </c>
      <c r="F4" s="166" t="s">
        <v>106</v>
      </c>
      <c r="G4" s="166" t="s">
        <v>5</v>
      </c>
      <c r="H4" s="166" t="s">
        <v>107</v>
      </c>
      <c r="I4" s="166" t="s">
        <v>60</v>
      </c>
      <c r="J4" s="166" t="s">
        <v>108</v>
      </c>
      <c r="K4" s="166" t="s">
        <v>21</v>
      </c>
      <c r="L4" s="166" t="s">
        <v>22</v>
      </c>
      <c r="M4" s="166" t="s">
        <v>109</v>
      </c>
      <c r="N4" s="167" t="s">
        <v>16</v>
      </c>
      <c r="O4" s="167" t="s">
        <v>2</v>
      </c>
      <c r="P4" s="167" t="s">
        <v>16</v>
      </c>
      <c r="Q4" s="167" t="s">
        <v>2</v>
      </c>
      <c r="R4" s="167" t="s">
        <v>16</v>
      </c>
      <c r="S4" s="167" t="s">
        <v>2</v>
      </c>
      <c r="T4" s="167" t="s">
        <v>16</v>
      </c>
      <c r="U4" s="167" t="s">
        <v>2</v>
      </c>
      <c r="V4" s="167" t="s">
        <v>16</v>
      </c>
      <c r="W4" s="167" t="s">
        <v>2</v>
      </c>
      <c r="X4" s="168" t="s">
        <v>83</v>
      </c>
      <c r="Y4" s="168" t="s">
        <v>84</v>
      </c>
      <c r="Z4" s="168" t="s">
        <v>83</v>
      </c>
      <c r="AA4" s="168" t="s">
        <v>73</v>
      </c>
      <c r="AB4" s="169" t="s">
        <v>75</v>
      </c>
      <c r="AC4" s="169" t="s">
        <v>85</v>
      </c>
      <c r="AD4" s="170" t="s">
        <v>83</v>
      </c>
      <c r="AE4" s="170" t="s">
        <v>84</v>
      </c>
      <c r="AF4" s="170" t="s">
        <v>83</v>
      </c>
      <c r="AG4" s="170" t="s">
        <v>86</v>
      </c>
      <c r="AH4" s="170" t="s">
        <v>73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1" t="s">
        <v>110</v>
      </c>
      <c r="B5" s="172">
        <v>132.08000000000001</v>
      </c>
      <c r="C5" s="172">
        <v>18</v>
      </c>
      <c r="D5" s="171" t="s">
        <v>113</v>
      </c>
      <c r="E5" s="173">
        <v>43071</v>
      </c>
      <c r="F5" s="173" t="s">
        <v>92</v>
      </c>
      <c r="G5" s="157">
        <v>4175</v>
      </c>
      <c r="H5" s="158">
        <v>90641</v>
      </c>
      <c r="I5" s="158">
        <v>2412008</v>
      </c>
      <c r="J5" s="158">
        <v>776</v>
      </c>
      <c r="K5" s="158">
        <v>61</v>
      </c>
      <c r="L5" s="159">
        <v>2.76</v>
      </c>
      <c r="M5" s="157">
        <v>5</v>
      </c>
      <c r="N5" s="174">
        <v>129.6</v>
      </c>
      <c r="O5" s="161">
        <v>140.30000000000001</v>
      </c>
      <c r="P5" s="161"/>
      <c r="Q5" s="161"/>
      <c r="R5" s="161"/>
      <c r="S5" s="161"/>
      <c r="T5" s="161"/>
      <c r="U5" s="161"/>
      <c r="V5" s="162">
        <v>130.9</v>
      </c>
      <c r="W5" s="174">
        <v>141.69999999999999</v>
      </c>
      <c r="X5" s="175">
        <v>870</v>
      </c>
      <c r="Y5" s="175">
        <v>800</v>
      </c>
      <c r="Z5" s="176">
        <v>930</v>
      </c>
      <c r="AA5" s="176">
        <v>140</v>
      </c>
      <c r="AB5" s="177">
        <v>0.13</v>
      </c>
      <c r="AC5" s="176">
        <v>1500</v>
      </c>
      <c r="AD5" s="176">
        <v>630</v>
      </c>
      <c r="AE5" s="176">
        <v>550</v>
      </c>
      <c r="AF5" s="176">
        <v>615</v>
      </c>
      <c r="AG5" s="176">
        <v>615</v>
      </c>
      <c r="AH5" s="176">
        <v>140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1" t="s">
        <v>110</v>
      </c>
      <c r="B6" s="172">
        <v>132.08000000000001</v>
      </c>
      <c r="C6" s="172">
        <v>18</v>
      </c>
      <c r="D6" s="171" t="s">
        <v>113</v>
      </c>
      <c r="E6" s="173">
        <v>43071</v>
      </c>
      <c r="F6" s="173" t="s">
        <v>92</v>
      </c>
      <c r="G6" s="157">
        <v>4175</v>
      </c>
      <c r="H6" s="158">
        <v>90641</v>
      </c>
      <c r="I6" s="158">
        <v>2412008</v>
      </c>
      <c r="J6" s="158">
        <v>776</v>
      </c>
      <c r="K6" s="158">
        <v>61</v>
      </c>
      <c r="L6" s="159">
        <v>2.76</v>
      </c>
      <c r="M6" s="157">
        <v>35</v>
      </c>
      <c r="N6" s="174">
        <v>135.30000000000001</v>
      </c>
      <c r="O6" s="161">
        <v>145.80000000000001</v>
      </c>
      <c r="P6" s="161">
        <v>136.4</v>
      </c>
      <c r="Q6" s="161">
        <v>146.80000000000001</v>
      </c>
      <c r="R6" s="161">
        <v>135.4</v>
      </c>
      <c r="S6" s="161">
        <v>147.1</v>
      </c>
      <c r="T6" s="161">
        <v>133.4</v>
      </c>
      <c r="U6" s="161">
        <v>144.5</v>
      </c>
      <c r="V6" s="162">
        <v>133.1</v>
      </c>
      <c r="W6" s="174">
        <v>143.80000000000001</v>
      </c>
      <c r="X6" s="175">
        <v>870</v>
      </c>
      <c r="Y6" s="175">
        <v>800</v>
      </c>
      <c r="Z6" s="176">
        <v>930</v>
      </c>
      <c r="AA6" s="176">
        <v>140</v>
      </c>
      <c r="AB6" s="177">
        <v>0.13</v>
      </c>
      <c r="AC6" s="176">
        <v>1500</v>
      </c>
      <c r="AD6" s="176">
        <v>615</v>
      </c>
      <c r="AE6" s="176">
        <v>550</v>
      </c>
      <c r="AF6" s="176">
        <v>615</v>
      </c>
      <c r="AG6" s="176">
        <v>615</v>
      </c>
      <c r="AH6" s="176">
        <v>140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1" t="s">
        <v>110</v>
      </c>
      <c r="B7" s="172">
        <v>132.08000000000001</v>
      </c>
      <c r="C7" s="172">
        <v>18</v>
      </c>
      <c r="D7" s="171" t="s">
        <v>113</v>
      </c>
      <c r="E7" s="173">
        <v>43086</v>
      </c>
      <c r="F7" s="173" t="s">
        <v>92</v>
      </c>
      <c r="G7" s="157">
        <v>4301</v>
      </c>
      <c r="H7" s="158">
        <v>90640</v>
      </c>
      <c r="I7" s="158">
        <v>2412008</v>
      </c>
      <c r="J7" s="158">
        <v>776</v>
      </c>
      <c r="K7" s="158">
        <v>61</v>
      </c>
      <c r="L7" s="159">
        <v>2.76</v>
      </c>
      <c r="M7" s="157">
        <v>11</v>
      </c>
      <c r="N7" s="178">
        <v>131.80000000000001</v>
      </c>
      <c r="O7" s="160">
        <v>142.30000000000001</v>
      </c>
      <c r="P7" s="160"/>
      <c r="Q7" s="160"/>
      <c r="R7" s="160"/>
      <c r="S7" s="160"/>
      <c r="T7" s="160"/>
      <c r="U7" s="160"/>
      <c r="V7" s="157">
        <v>132.30000000000001</v>
      </c>
      <c r="W7" s="178">
        <v>142.80000000000001</v>
      </c>
      <c r="X7" s="175">
        <v>870</v>
      </c>
      <c r="Y7" s="175">
        <v>800</v>
      </c>
      <c r="Z7" s="176">
        <v>930</v>
      </c>
      <c r="AA7" s="176">
        <v>140</v>
      </c>
      <c r="AB7" s="177">
        <v>0.13</v>
      </c>
      <c r="AC7" s="176">
        <v>1500</v>
      </c>
      <c r="AD7" s="176">
        <v>615</v>
      </c>
      <c r="AE7" s="176">
        <v>550</v>
      </c>
      <c r="AF7" s="176">
        <v>615</v>
      </c>
      <c r="AG7" s="176">
        <v>615</v>
      </c>
      <c r="AH7" s="176">
        <v>140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1" t="s">
        <v>110</v>
      </c>
      <c r="B8" s="172">
        <v>132.08000000000001</v>
      </c>
      <c r="C8" s="172">
        <v>18</v>
      </c>
      <c r="D8" s="171" t="s">
        <v>113</v>
      </c>
      <c r="E8" s="173">
        <v>43086</v>
      </c>
      <c r="F8" s="173" t="s">
        <v>92</v>
      </c>
      <c r="G8" s="157">
        <v>4302</v>
      </c>
      <c r="H8" s="158">
        <v>90640</v>
      </c>
      <c r="I8" s="158">
        <v>2412008</v>
      </c>
      <c r="J8" s="158">
        <v>776</v>
      </c>
      <c r="K8" s="158">
        <v>61</v>
      </c>
      <c r="L8" s="159">
        <v>2.76</v>
      </c>
      <c r="M8" s="157">
        <v>101</v>
      </c>
      <c r="N8" s="178">
        <v>131.30000000000001</v>
      </c>
      <c r="O8" s="160">
        <v>141.80000000000001</v>
      </c>
      <c r="P8" s="160"/>
      <c r="Q8" s="160"/>
      <c r="R8" s="160"/>
      <c r="S8" s="160"/>
      <c r="T8" s="160"/>
      <c r="U8" s="160"/>
      <c r="V8" s="157"/>
      <c r="W8" s="178"/>
      <c r="X8" s="175">
        <v>870</v>
      </c>
      <c r="Y8" s="175">
        <v>800</v>
      </c>
      <c r="Z8" s="176">
        <v>930</v>
      </c>
      <c r="AA8" s="176">
        <v>140</v>
      </c>
      <c r="AB8" s="177">
        <v>0.13</v>
      </c>
      <c r="AC8" s="176">
        <v>1500</v>
      </c>
      <c r="AD8" s="176">
        <v>615</v>
      </c>
      <c r="AE8" s="176">
        <v>550</v>
      </c>
      <c r="AF8" s="176">
        <v>615</v>
      </c>
      <c r="AG8" s="176">
        <v>615</v>
      </c>
      <c r="AH8" s="176">
        <v>140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1" t="s">
        <v>110</v>
      </c>
      <c r="B9" s="172">
        <v>132.08000000000001</v>
      </c>
      <c r="C9" s="172">
        <v>18</v>
      </c>
      <c r="D9" s="171" t="s">
        <v>113</v>
      </c>
      <c r="E9" s="173">
        <v>43086</v>
      </c>
      <c r="F9" s="173" t="s">
        <v>92</v>
      </c>
      <c r="G9" s="157">
        <v>4303</v>
      </c>
      <c r="H9" s="158">
        <v>90641</v>
      </c>
      <c r="I9" s="158">
        <v>2412008</v>
      </c>
      <c r="J9" s="158">
        <v>776</v>
      </c>
      <c r="K9" s="158">
        <v>61</v>
      </c>
      <c r="L9" s="159">
        <v>2.76</v>
      </c>
      <c r="M9" s="157">
        <v>73</v>
      </c>
      <c r="N9" s="178"/>
      <c r="O9" s="160"/>
      <c r="P9" s="160"/>
      <c r="Q9" s="160"/>
      <c r="R9" s="160"/>
      <c r="S9" s="160"/>
      <c r="T9" s="160"/>
      <c r="U9" s="160"/>
      <c r="V9" s="157">
        <v>131.19999999999999</v>
      </c>
      <c r="W9" s="178">
        <v>140.69999999999999</v>
      </c>
      <c r="X9" s="175">
        <v>870</v>
      </c>
      <c r="Y9" s="175">
        <v>800</v>
      </c>
      <c r="Z9" s="176">
        <v>930</v>
      </c>
      <c r="AA9" s="176">
        <v>140</v>
      </c>
      <c r="AB9" s="177">
        <v>0.13</v>
      </c>
      <c r="AC9" s="176">
        <v>1500</v>
      </c>
      <c r="AD9" s="176">
        <v>615</v>
      </c>
      <c r="AE9" s="176">
        <v>550</v>
      </c>
      <c r="AF9" s="176">
        <v>615</v>
      </c>
      <c r="AG9" s="176">
        <v>615</v>
      </c>
      <c r="AH9" s="176">
        <v>140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2"/>
      <c r="B10" s="172"/>
      <c r="C10" s="172"/>
      <c r="D10" s="172"/>
      <c r="E10" s="173"/>
      <c r="F10" s="173"/>
      <c r="G10" s="157"/>
      <c r="H10" s="158"/>
      <c r="I10" s="158"/>
      <c r="J10" s="158"/>
      <c r="K10" s="158"/>
      <c r="L10" s="159"/>
      <c r="M10" s="157"/>
      <c r="N10" s="178"/>
      <c r="O10" s="160"/>
      <c r="P10" s="160"/>
      <c r="Q10" s="160"/>
      <c r="R10" s="160"/>
      <c r="S10" s="160"/>
      <c r="T10" s="160"/>
      <c r="U10" s="160"/>
      <c r="V10" s="157"/>
      <c r="W10" s="178"/>
      <c r="X10" s="175"/>
      <c r="Y10" s="175"/>
      <c r="Z10" s="176"/>
      <c r="AA10" s="176"/>
      <c r="AB10" s="177"/>
      <c r="AC10" s="176"/>
      <c r="AD10" s="176"/>
      <c r="AE10" s="176"/>
      <c r="AF10" s="176"/>
      <c r="AG10" s="176"/>
      <c r="AH10" s="176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2"/>
      <c r="B11" s="172"/>
      <c r="C11" s="172"/>
      <c r="D11" s="172"/>
      <c r="E11" s="173"/>
      <c r="F11" s="173"/>
      <c r="G11" s="157"/>
      <c r="H11" s="158"/>
      <c r="I11" s="158"/>
      <c r="J11" s="158"/>
      <c r="K11" s="158"/>
      <c r="L11" s="159"/>
      <c r="M11" s="157"/>
      <c r="N11" s="178"/>
      <c r="O11" s="160"/>
      <c r="P11" s="160"/>
      <c r="Q11" s="160"/>
      <c r="R11" s="160"/>
      <c r="S11" s="160"/>
      <c r="T11" s="160"/>
      <c r="U11" s="160"/>
      <c r="V11" s="157"/>
      <c r="W11" s="178"/>
      <c r="X11" s="175"/>
      <c r="Y11" s="175"/>
      <c r="Z11" s="176"/>
      <c r="AA11" s="176"/>
      <c r="AB11" s="177"/>
      <c r="AC11" s="176"/>
      <c r="AD11" s="176"/>
      <c r="AE11" s="176"/>
      <c r="AF11" s="176"/>
      <c r="AG11" s="176"/>
      <c r="AH11" s="176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2"/>
      <c r="B12" s="172"/>
      <c r="C12" s="172"/>
      <c r="D12" s="172"/>
      <c r="E12" s="173"/>
      <c r="F12" s="173"/>
      <c r="G12" s="157"/>
      <c r="H12" s="158"/>
      <c r="I12" s="158"/>
      <c r="J12" s="158"/>
      <c r="K12" s="158"/>
      <c r="L12" s="159"/>
      <c r="M12" s="157"/>
      <c r="N12" s="178"/>
      <c r="O12" s="160"/>
      <c r="P12" s="160"/>
      <c r="Q12" s="160"/>
      <c r="R12" s="160"/>
      <c r="S12" s="160"/>
      <c r="T12" s="160"/>
      <c r="U12" s="160"/>
      <c r="V12" s="157"/>
      <c r="W12" s="178"/>
      <c r="X12" s="175"/>
      <c r="Y12" s="175"/>
      <c r="Z12" s="176"/>
      <c r="AA12" s="176"/>
      <c r="AB12" s="177"/>
      <c r="AC12" s="176"/>
      <c r="AD12" s="176"/>
      <c r="AE12" s="176"/>
      <c r="AF12" s="176"/>
      <c r="AG12" s="176"/>
      <c r="AH12" s="176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2"/>
      <c r="B13" s="172"/>
      <c r="C13" s="172"/>
      <c r="D13" s="172"/>
      <c r="E13" s="173"/>
      <c r="F13" s="173"/>
      <c r="G13" s="157"/>
      <c r="H13" s="158"/>
      <c r="I13" s="158"/>
      <c r="J13" s="158"/>
      <c r="K13" s="158"/>
      <c r="L13" s="159"/>
      <c r="M13" s="157"/>
      <c r="N13" s="178"/>
      <c r="O13" s="160"/>
      <c r="P13" s="160"/>
      <c r="Q13" s="160"/>
      <c r="R13" s="160"/>
      <c r="S13" s="160"/>
      <c r="T13" s="160"/>
      <c r="U13" s="160"/>
      <c r="V13" s="157"/>
      <c r="W13" s="178"/>
      <c r="X13" s="175"/>
      <c r="Y13" s="175"/>
      <c r="Z13" s="176"/>
      <c r="AA13" s="176"/>
      <c r="AB13" s="177"/>
      <c r="AC13" s="176"/>
      <c r="AD13" s="176"/>
      <c r="AE13" s="176"/>
      <c r="AF13" s="176"/>
      <c r="AG13" s="176"/>
      <c r="AH13" s="176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2"/>
      <c r="B14" s="172"/>
      <c r="C14" s="172"/>
      <c r="D14" s="172"/>
      <c r="E14" s="173"/>
      <c r="F14" s="173"/>
      <c r="G14" s="157"/>
      <c r="H14" s="158"/>
      <c r="I14" s="158"/>
      <c r="J14" s="158"/>
      <c r="K14" s="158"/>
      <c r="L14" s="159"/>
      <c r="M14" s="157"/>
      <c r="N14" s="178"/>
      <c r="O14" s="160"/>
      <c r="P14" s="160"/>
      <c r="Q14" s="160"/>
      <c r="R14" s="160"/>
      <c r="S14" s="160"/>
      <c r="T14" s="160"/>
      <c r="U14" s="160"/>
      <c r="V14" s="157"/>
      <c r="W14" s="178"/>
      <c r="X14" s="175"/>
      <c r="Y14" s="175"/>
      <c r="Z14" s="176"/>
      <c r="AA14" s="176"/>
      <c r="AB14" s="177"/>
      <c r="AC14" s="176"/>
      <c r="AD14" s="176"/>
      <c r="AE14" s="176"/>
      <c r="AF14" s="176"/>
      <c r="AG14" s="176"/>
      <c r="AH14" s="176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2"/>
      <c r="B15" s="172"/>
      <c r="C15" s="172"/>
      <c r="D15" s="172"/>
      <c r="E15" s="173"/>
      <c r="F15" s="173"/>
      <c r="G15" s="157"/>
      <c r="H15" s="158"/>
      <c r="I15" s="158"/>
      <c r="J15" s="158"/>
      <c r="K15" s="158"/>
      <c r="L15" s="159"/>
      <c r="M15" s="157"/>
      <c r="N15" s="178"/>
      <c r="O15" s="160"/>
      <c r="P15" s="160"/>
      <c r="Q15" s="160"/>
      <c r="R15" s="160"/>
      <c r="S15" s="160"/>
      <c r="T15" s="160"/>
      <c r="U15" s="160"/>
      <c r="V15" s="157"/>
      <c r="W15" s="178"/>
      <c r="X15" s="175"/>
      <c r="Y15" s="175"/>
      <c r="Z15" s="176"/>
      <c r="AA15" s="176"/>
      <c r="AB15" s="177"/>
      <c r="AC15" s="176"/>
      <c r="AD15" s="176"/>
      <c r="AE15" s="176"/>
      <c r="AF15" s="176"/>
      <c r="AG15" s="176"/>
      <c r="AH15" s="176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2"/>
      <c r="B16" s="172"/>
      <c r="C16" s="172"/>
      <c r="D16" s="172"/>
      <c r="E16" s="173"/>
      <c r="F16" s="173"/>
      <c r="G16" s="157"/>
      <c r="H16" s="158"/>
      <c r="I16" s="158"/>
      <c r="J16" s="158"/>
      <c r="K16" s="158"/>
      <c r="L16" s="159"/>
      <c r="M16" s="157"/>
      <c r="N16" s="178"/>
      <c r="O16" s="160"/>
      <c r="P16" s="160"/>
      <c r="Q16" s="160"/>
      <c r="R16" s="160"/>
      <c r="S16" s="160"/>
      <c r="T16" s="160"/>
      <c r="U16" s="160"/>
      <c r="V16" s="157"/>
      <c r="W16" s="178"/>
      <c r="X16" s="175"/>
      <c r="Y16" s="175"/>
      <c r="Z16" s="176"/>
      <c r="AA16" s="176"/>
      <c r="AB16" s="177"/>
      <c r="AC16" s="176"/>
      <c r="AD16" s="176"/>
      <c r="AE16" s="176"/>
      <c r="AF16" s="176"/>
      <c r="AG16" s="176"/>
      <c r="AH16" s="17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72"/>
      <c r="B17" s="172"/>
      <c r="C17" s="172"/>
      <c r="D17" s="172"/>
      <c r="E17" s="173"/>
      <c r="F17" s="173"/>
      <c r="G17" s="157"/>
      <c r="H17" s="158"/>
      <c r="I17" s="158"/>
      <c r="J17" s="158"/>
      <c r="K17" s="158"/>
      <c r="L17" s="159"/>
      <c r="M17" s="157"/>
      <c r="N17" s="178"/>
      <c r="O17" s="160"/>
      <c r="P17" s="160"/>
      <c r="Q17" s="160"/>
      <c r="R17" s="160"/>
      <c r="S17" s="160"/>
      <c r="T17" s="160"/>
      <c r="U17" s="160"/>
      <c r="V17" s="157"/>
      <c r="W17" s="178"/>
      <c r="X17" s="175"/>
      <c r="Y17" s="175"/>
      <c r="Z17" s="176"/>
      <c r="AA17" s="176"/>
      <c r="AB17" s="177"/>
      <c r="AC17" s="176"/>
      <c r="AD17" s="176"/>
      <c r="AE17" s="176"/>
      <c r="AF17" s="176"/>
      <c r="AG17" s="176"/>
      <c r="AH17" s="176"/>
    </row>
    <row r="18" spans="1:34" customFormat="1">
      <c r="A18" s="172"/>
      <c r="B18" s="172"/>
      <c r="C18" s="172"/>
      <c r="D18" s="172"/>
      <c r="E18" s="173"/>
      <c r="F18" s="173"/>
      <c r="G18" s="157"/>
      <c r="H18" s="158"/>
      <c r="I18" s="158"/>
      <c r="J18" s="158"/>
      <c r="K18" s="158"/>
      <c r="L18" s="159"/>
      <c r="M18" s="157"/>
      <c r="N18" s="178"/>
      <c r="O18" s="160"/>
      <c r="P18" s="160"/>
      <c r="Q18" s="160"/>
      <c r="R18" s="160"/>
      <c r="S18" s="160"/>
      <c r="T18" s="160"/>
      <c r="U18" s="160"/>
      <c r="V18" s="157"/>
      <c r="W18" s="178"/>
      <c r="X18" s="175"/>
      <c r="Y18" s="175"/>
      <c r="Z18" s="176"/>
      <c r="AA18" s="176"/>
      <c r="AB18" s="177"/>
      <c r="AC18" s="176"/>
      <c r="AD18" s="176"/>
      <c r="AE18" s="176"/>
      <c r="AF18" s="176"/>
      <c r="AG18" s="176"/>
      <c r="AH18" s="176"/>
    </row>
    <row r="19" spans="1:34" customFormat="1">
      <c r="A19" s="172"/>
      <c r="B19" s="172"/>
      <c r="C19" s="172"/>
      <c r="D19" s="172"/>
      <c r="E19" s="173"/>
      <c r="F19" s="173"/>
      <c r="G19" s="157"/>
      <c r="H19" s="158"/>
      <c r="I19" s="158"/>
      <c r="J19" s="158"/>
      <c r="K19" s="158"/>
      <c r="L19" s="159"/>
      <c r="M19" s="157"/>
      <c r="N19" s="178"/>
      <c r="O19" s="160"/>
      <c r="P19" s="160"/>
      <c r="Q19" s="160"/>
      <c r="R19" s="160"/>
      <c r="S19" s="160"/>
      <c r="T19" s="160"/>
      <c r="U19" s="160"/>
      <c r="V19" s="157"/>
      <c r="W19" s="178"/>
      <c r="X19" s="175"/>
      <c r="Y19" s="175"/>
      <c r="Z19" s="176"/>
      <c r="AA19" s="176"/>
      <c r="AB19" s="177"/>
      <c r="AC19" s="176"/>
      <c r="AD19" s="176"/>
      <c r="AE19" s="176"/>
      <c r="AF19" s="176"/>
      <c r="AG19" s="176"/>
      <c r="AH19" s="176"/>
    </row>
    <row r="20" spans="1:34" customFormat="1">
      <c r="A20" s="172"/>
      <c r="B20" s="172"/>
      <c r="C20" s="172"/>
      <c r="D20" s="172"/>
      <c r="E20" s="173"/>
      <c r="F20" s="173"/>
      <c r="G20" s="157"/>
      <c r="H20" s="158"/>
      <c r="I20" s="158"/>
      <c r="J20" s="158"/>
      <c r="K20" s="158"/>
      <c r="L20" s="159"/>
      <c r="M20" s="157"/>
      <c r="N20" s="178"/>
      <c r="O20" s="160"/>
      <c r="P20" s="160"/>
      <c r="Q20" s="160"/>
      <c r="R20" s="160"/>
      <c r="S20" s="160"/>
      <c r="T20" s="160"/>
      <c r="U20" s="160"/>
      <c r="V20" s="157"/>
      <c r="W20" s="178"/>
      <c r="X20" s="175"/>
      <c r="Y20" s="175"/>
      <c r="Z20" s="176"/>
      <c r="AA20" s="176"/>
      <c r="AB20" s="177"/>
      <c r="AC20" s="176"/>
      <c r="AD20" s="176"/>
      <c r="AE20" s="176"/>
      <c r="AF20" s="176"/>
      <c r="AG20" s="176"/>
      <c r="AH20" s="176"/>
    </row>
    <row r="21" spans="1:34" customFormat="1">
      <c r="A21" s="172"/>
      <c r="B21" s="172"/>
      <c r="C21" s="172"/>
      <c r="D21" s="172"/>
      <c r="E21" s="173"/>
      <c r="F21" s="173"/>
      <c r="G21" s="157"/>
      <c r="H21" s="158"/>
      <c r="I21" s="158"/>
      <c r="J21" s="158"/>
      <c r="K21" s="158"/>
      <c r="L21" s="159"/>
      <c r="M21" s="157"/>
      <c r="N21" s="178"/>
      <c r="O21" s="160"/>
      <c r="P21" s="160"/>
      <c r="Q21" s="160"/>
      <c r="R21" s="160"/>
      <c r="S21" s="160"/>
      <c r="T21" s="160"/>
      <c r="U21" s="160"/>
      <c r="V21" s="157"/>
      <c r="W21" s="178"/>
      <c r="X21" s="175"/>
      <c r="Y21" s="175"/>
      <c r="Z21" s="176"/>
      <c r="AA21" s="176"/>
      <c r="AB21" s="177"/>
      <c r="AC21" s="176"/>
      <c r="AD21" s="176"/>
      <c r="AE21" s="176"/>
      <c r="AF21" s="176"/>
      <c r="AG21" s="176"/>
      <c r="AH21" s="176"/>
    </row>
    <row r="22" spans="1:34" customFormat="1">
      <c r="A22" s="172"/>
      <c r="B22" s="172"/>
      <c r="C22" s="172"/>
      <c r="D22" s="172"/>
      <c r="E22" s="173"/>
      <c r="F22" s="173"/>
      <c r="G22" s="157"/>
      <c r="H22" s="158"/>
      <c r="I22" s="158"/>
      <c r="J22" s="158"/>
      <c r="K22" s="158"/>
      <c r="L22" s="157"/>
      <c r="M22" s="157"/>
      <c r="N22" s="178"/>
      <c r="O22" s="160"/>
      <c r="P22" s="160"/>
      <c r="Q22" s="160"/>
      <c r="R22" s="160"/>
      <c r="S22" s="160"/>
      <c r="T22" s="160"/>
      <c r="U22" s="160"/>
      <c r="V22" s="157"/>
      <c r="W22" s="178"/>
      <c r="X22" s="175"/>
      <c r="Y22" s="175"/>
      <c r="Z22" s="176"/>
      <c r="AA22" s="176"/>
      <c r="AB22" s="177"/>
      <c r="AC22" s="176"/>
      <c r="AD22" s="176"/>
      <c r="AE22" s="176"/>
      <c r="AF22" s="176"/>
      <c r="AG22" s="176"/>
      <c r="AH22" s="176"/>
    </row>
    <row r="23" spans="1:34" customFormat="1">
      <c r="A23" s="172"/>
      <c r="B23" s="172"/>
      <c r="C23" s="172"/>
      <c r="D23" s="172"/>
      <c r="E23" s="173"/>
      <c r="F23" s="173"/>
      <c r="G23" s="157"/>
      <c r="H23" s="158"/>
      <c r="I23" s="158"/>
      <c r="J23" s="158"/>
      <c r="K23" s="158"/>
      <c r="L23" s="157"/>
      <c r="M23" s="157"/>
      <c r="N23" s="178"/>
      <c r="O23" s="160"/>
      <c r="P23" s="160"/>
      <c r="Q23" s="160"/>
      <c r="R23" s="160"/>
      <c r="S23" s="160"/>
      <c r="T23" s="160"/>
      <c r="U23" s="160"/>
      <c r="V23" s="157"/>
      <c r="W23" s="178"/>
      <c r="X23" s="175"/>
      <c r="Y23" s="175"/>
      <c r="Z23" s="176"/>
      <c r="AA23" s="176"/>
      <c r="AB23" s="177"/>
      <c r="AC23" s="176"/>
      <c r="AD23" s="176"/>
      <c r="AE23" s="176"/>
      <c r="AF23" s="176"/>
      <c r="AG23" s="176"/>
      <c r="AH23" s="176"/>
    </row>
    <row r="24" spans="1:34" customFormat="1">
      <c r="A24" s="172"/>
      <c r="B24" s="172"/>
      <c r="C24" s="172"/>
      <c r="D24" s="172"/>
      <c r="E24" s="173"/>
      <c r="F24" s="173"/>
      <c r="G24" s="157"/>
      <c r="H24" s="158"/>
      <c r="I24" s="158"/>
      <c r="J24" s="158"/>
      <c r="K24" s="158"/>
      <c r="L24" s="157"/>
      <c r="M24" s="157"/>
      <c r="N24" s="178"/>
      <c r="O24" s="160"/>
      <c r="P24" s="160"/>
      <c r="Q24" s="160"/>
      <c r="R24" s="160"/>
      <c r="S24" s="160"/>
      <c r="T24" s="160"/>
      <c r="U24" s="160"/>
      <c r="V24" s="157"/>
      <c r="W24" s="178"/>
      <c r="X24" s="175"/>
      <c r="Y24" s="175"/>
      <c r="Z24" s="176"/>
      <c r="AA24" s="176"/>
      <c r="AB24" s="177"/>
      <c r="AC24" s="176"/>
      <c r="AD24" s="176"/>
      <c r="AE24" s="176"/>
      <c r="AF24" s="176"/>
      <c r="AG24" s="176"/>
      <c r="AH24" s="176"/>
    </row>
    <row r="25" spans="1:34" customFormat="1">
      <c r="A25" s="172"/>
      <c r="B25" s="172"/>
      <c r="C25" s="172"/>
      <c r="D25" s="172"/>
      <c r="E25" s="173"/>
      <c r="F25" s="173"/>
      <c r="G25" s="157"/>
      <c r="H25" s="158"/>
      <c r="I25" s="158"/>
      <c r="J25" s="158"/>
      <c r="K25" s="158"/>
      <c r="L25" s="157"/>
      <c r="M25" s="157"/>
      <c r="N25" s="178"/>
      <c r="O25" s="160"/>
      <c r="P25" s="160"/>
      <c r="Q25" s="160"/>
      <c r="R25" s="160"/>
      <c r="S25" s="160"/>
      <c r="T25" s="160"/>
      <c r="U25" s="160"/>
      <c r="V25" s="157"/>
      <c r="W25" s="178"/>
      <c r="X25" s="175"/>
      <c r="Y25" s="175"/>
      <c r="Z25" s="176"/>
      <c r="AA25" s="176"/>
      <c r="AB25" s="177"/>
      <c r="AC25" s="176"/>
      <c r="AD25" s="176"/>
      <c r="AE25" s="176"/>
      <c r="AF25" s="176"/>
      <c r="AG25" s="176"/>
      <c r="AH25" s="176"/>
    </row>
    <row r="26" spans="1:34" customFormat="1">
      <c r="A26" s="172"/>
      <c r="B26" s="172"/>
      <c r="C26" s="172"/>
      <c r="D26" s="172"/>
      <c r="E26" s="173"/>
      <c r="F26" s="173"/>
      <c r="G26" s="157"/>
      <c r="H26" s="158"/>
      <c r="I26" s="158"/>
      <c r="J26" s="158"/>
      <c r="K26" s="158"/>
      <c r="L26" s="157"/>
      <c r="M26" s="157"/>
      <c r="N26" s="178"/>
      <c r="O26" s="160"/>
      <c r="P26" s="160"/>
      <c r="Q26" s="160"/>
      <c r="R26" s="160"/>
      <c r="S26" s="160"/>
      <c r="T26" s="160"/>
      <c r="U26" s="160"/>
      <c r="V26" s="157"/>
      <c r="W26" s="178"/>
      <c r="X26" s="175"/>
      <c r="Y26" s="175"/>
      <c r="Z26" s="176"/>
      <c r="AA26" s="176"/>
      <c r="AB26" s="177"/>
      <c r="AC26" s="176"/>
      <c r="AD26" s="176"/>
      <c r="AE26" s="176"/>
      <c r="AF26" s="176"/>
      <c r="AG26" s="176"/>
      <c r="AH26" s="176"/>
    </row>
    <row r="27" spans="1:34" customFormat="1">
      <c r="A27" s="172"/>
      <c r="B27" s="172"/>
      <c r="C27" s="172"/>
      <c r="D27" s="172"/>
      <c r="E27" s="173"/>
      <c r="F27" s="173"/>
      <c r="G27" s="157"/>
      <c r="H27" s="158"/>
      <c r="I27" s="158"/>
      <c r="J27" s="158"/>
      <c r="K27" s="158"/>
      <c r="L27" s="157"/>
      <c r="M27" s="157"/>
      <c r="N27" s="178"/>
      <c r="O27" s="160"/>
      <c r="P27" s="160"/>
      <c r="Q27" s="160"/>
      <c r="R27" s="160"/>
      <c r="S27" s="160"/>
      <c r="T27" s="160"/>
      <c r="U27" s="160"/>
      <c r="V27" s="157"/>
      <c r="W27" s="178"/>
      <c r="X27" s="175"/>
      <c r="Y27" s="175"/>
      <c r="Z27" s="176"/>
      <c r="AA27" s="176"/>
      <c r="AB27" s="177"/>
      <c r="AC27" s="176"/>
      <c r="AD27" s="176"/>
      <c r="AE27" s="176"/>
      <c r="AF27" s="176"/>
      <c r="AG27" s="176"/>
      <c r="AH27" s="176"/>
    </row>
    <row r="28" spans="1:34" customFormat="1">
      <c r="A28" s="172"/>
      <c r="B28" s="172"/>
      <c r="C28" s="172"/>
      <c r="D28" s="172"/>
      <c r="E28" s="173"/>
      <c r="F28" s="173"/>
      <c r="G28" s="157"/>
      <c r="H28" s="158"/>
      <c r="I28" s="158"/>
      <c r="J28" s="158"/>
      <c r="K28" s="158"/>
      <c r="L28" s="159"/>
      <c r="M28" s="157"/>
      <c r="N28" s="178"/>
      <c r="O28" s="160"/>
      <c r="P28" s="160"/>
      <c r="Q28" s="160"/>
      <c r="R28" s="160"/>
      <c r="S28" s="160"/>
      <c r="T28" s="160"/>
      <c r="U28" s="160"/>
      <c r="V28" s="157"/>
      <c r="W28" s="178"/>
      <c r="X28" s="175"/>
      <c r="Y28" s="175"/>
      <c r="Z28" s="176"/>
      <c r="AA28" s="176"/>
      <c r="AB28" s="177"/>
      <c r="AC28" s="176"/>
      <c r="AD28" s="176"/>
      <c r="AE28" s="176"/>
      <c r="AF28" s="176"/>
      <c r="AG28" s="176"/>
      <c r="AH28" s="176"/>
    </row>
    <row r="29" spans="1:34" customFormat="1">
      <c r="A29" s="172"/>
      <c r="B29" s="172"/>
      <c r="C29" s="172"/>
      <c r="D29" s="172"/>
      <c r="E29" s="173"/>
      <c r="F29" s="173"/>
      <c r="G29" s="157"/>
      <c r="H29" s="158"/>
      <c r="I29" s="158"/>
      <c r="J29" s="158"/>
      <c r="K29" s="158"/>
      <c r="L29" s="159"/>
      <c r="M29" s="157"/>
      <c r="N29" s="178"/>
      <c r="O29" s="160"/>
      <c r="P29" s="160"/>
      <c r="Q29" s="160"/>
      <c r="R29" s="160"/>
      <c r="S29" s="160"/>
      <c r="T29" s="160"/>
      <c r="U29" s="160"/>
      <c r="V29" s="157"/>
      <c r="W29" s="178"/>
      <c r="X29" s="175"/>
      <c r="Y29" s="175"/>
      <c r="Z29" s="176"/>
      <c r="AA29" s="176"/>
      <c r="AB29" s="177"/>
      <c r="AC29" s="176"/>
      <c r="AD29" s="176"/>
      <c r="AE29" s="176"/>
      <c r="AF29" s="176"/>
      <c r="AG29" s="176"/>
      <c r="AH29" s="176"/>
    </row>
    <row r="30" spans="1:34" customFormat="1">
      <c r="A30" s="172"/>
      <c r="B30" s="172"/>
      <c r="C30" s="172"/>
      <c r="D30" s="172"/>
      <c r="E30" s="173"/>
      <c r="F30" s="173"/>
      <c r="G30" s="157"/>
      <c r="H30" s="158"/>
      <c r="I30" s="158"/>
      <c r="J30" s="158"/>
      <c r="K30" s="158"/>
      <c r="L30" s="159"/>
      <c r="M30" s="157"/>
      <c r="N30" s="178"/>
      <c r="O30" s="160"/>
      <c r="P30" s="160"/>
      <c r="Q30" s="160"/>
      <c r="R30" s="160"/>
      <c r="S30" s="160"/>
      <c r="T30" s="160"/>
      <c r="U30" s="160"/>
      <c r="V30" s="157"/>
      <c r="W30" s="178"/>
      <c r="X30" s="175"/>
      <c r="Y30" s="175"/>
      <c r="Z30" s="176"/>
      <c r="AA30" s="176"/>
      <c r="AB30" s="177"/>
      <c r="AC30" s="176"/>
      <c r="AD30" s="176"/>
      <c r="AE30" s="176"/>
      <c r="AF30" s="176"/>
      <c r="AG30" s="176"/>
      <c r="AH30" s="176"/>
    </row>
    <row r="31" spans="1:34" customFormat="1">
      <c r="A31" s="172"/>
      <c r="B31" s="172"/>
      <c r="C31" s="172"/>
      <c r="D31" s="172"/>
      <c r="E31" s="173"/>
      <c r="F31" s="173"/>
      <c r="G31" s="157"/>
      <c r="H31" s="158"/>
      <c r="I31" s="158"/>
      <c r="J31" s="158"/>
      <c r="K31" s="158"/>
      <c r="L31" s="159"/>
      <c r="M31" s="157"/>
      <c r="N31" s="178"/>
      <c r="O31" s="160"/>
      <c r="P31" s="160"/>
      <c r="Q31" s="160"/>
      <c r="R31" s="160"/>
      <c r="S31" s="160"/>
      <c r="T31" s="160"/>
      <c r="U31" s="160"/>
      <c r="V31" s="157"/>
      <c r="W31" s="178"/>
      <c r="X31" s="175"/>
      <c r="Y31" s="175"/>
      <c r="Z31" s="176"/>
      <c r="AA31" s="176"/>
      <c r="AB31" s="177"/>
      <c r="AC31" s="176"/>
      <c r="AD31" s="176"/>
      <c r="AE31" s="176"/>
      <c r="AF31" s="176"/>
      <c r="AG31" s="176"/>
      <c r="AH31" s="176"/>
    </row>
    <row r="32" spans="1:34" customFormat="1">
      <c r="A32" s="172"/>
      <c r="B32" s="172"/>
      <c r="C32" s="172"/>
      <c r="D32" s="172"/>
      <c r="E32" s="179"/>
      <c r="F32" s="179"/>
      <c r="G32" s="27"/>
      <c r="H32" s="24"/>
      <c r="I32" s="24"/>
      <c r="J32" s="24"/>
      <c r="K32" s="24"/>
      <c r="L32" s="27"/>
      <c r="M32" s="27"/>
      <c r="N32" s="180"/>
      <c r="O32" s="28"/>
      <c r="P32" s="28"/>
      <c r="Q32" s="28"/>
      <c r="R32" s="28"/>
      <c r="S32" s="28"/>
      <c r="T32" s="28"/>
      <c r="U32" s="28"/>
      <c r="V32" s="27"/>
      <c r="W32" s="180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</row>
    <row r="33" spans="1:34" customFormat="1">
      <c r="A33" s="172"/>
      <c r="B33" s="172"/>
      <c r="C33" s="172"/>
      <c r="D33" s="172"/>
      <c r="E33" s="179"/>
      <c r="F33" s="179"/>
      <c r="G33" s="27"/>
      <c r="H33" s="24"/>
      <c r="I33" s="24"/>
      <c r="J33" s="24"/>
      <c r="K33" s="24"/>
      <c r="L33" s="27"/>
      <c r="M33" s="27"/>
      <c r="N33" s="180"/>
      <c r="O33" s="28"/>
      <c r="P33" s="28"/>
      <c r="Q33" s="28"/>
      <c r="R33" s="28"/>
      <c r="S33" s="28"/>
      <c r="T33" s="28"/>
      <c r="U33" s="28"/>
      <c r="V33" s="27"/>
      <c r="W33" s="180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</row>
    <row r="34" spans="1:34" customFormat="1">
      <c r="A34" s="172"/>
      <c r="B34" s="172"/>
      <c r="C34" s="172"/>
      <c r="D34" s="172"/>
      <c r="E34" s="179"/>
      <c r="F34" s="179"/>
      <c r="G34" s="27"/>
      <c r="H34" s="24"/>
      <c r="I34" s="24"/>
      <c r="J34" s="24"/>
      <c r="K34" s="24"/>
      <c r="L34" s="27"/>
      <c r="M34" s="27"/>
      <c r="N34" s="180"/>
      <c r="O34" s="28"/>
      <c r="P34" s="28"/>
      <c r="Q34" s="28"/>
      <c r="R34" s="28"/>
      <c r="S34" s="28"/>
      <c r="T34" s="28"/>
      <c r="U34" s="28"/>
      <c r="V34" s="27"/>
      <c r="W34" s="180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</row>
    <row r="35" spans="1:34" customFormat="1">
      <c r="A35" s="172"/>
      <c r="B35" s="172"/>
      <c r="C35" s="172"/>
      <c r="D35" s="172"/>
      <c r="E35" s="179"/>
      <c r="F35" s="179"/>
      <c r="G35" s="27"/>
      <c r="H35" s="24"/>
      <c r="I35" s="24"/>
      <c r="J35" s="24"/>
      <c r="K35" s="24"/>
      <c r="L35" s="27"/>
      <c r="M35" s="27"/>
      <c r="N35" s="180"/>
      <c r="O35" s="28"/>
      <c r="P35" s="28"/>
      <c r="Q35" s="28"/>
      <c r="R35" s="28"/>
      <c r="S35" s="28"/>
      <c r="T35" s="28"/>
      <c r="U35" s="28"/>
      <c r="V35" s="27"/>
      <c r="W35" s="180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</row>
    <row r="36" spans="1:34" customFormat="1">
      <c r="A36" s="172"/>
      <c r="B36" s="172"/>
      <c r="C36" s="172"/>
      <c r="D36" s="172"/>
      <c r="E36" s="179"/>
      <c r="F36" s="179"/>
      <c r="G36" s="27"/>
      <c r="H36" s="24"/>
      <c r="I36" s="24"/>
      <c r="J36" s="24"/>
      <c r="K36" s="24"/>
      <c r="L36" s="27"/>
      <c r="M36" s="27"/>
      <c r="N36" s="180"/>
      <c r="O36" s="28"/>
      <c r="P36" s="28"/>
      <c r="Q36" s="28"/>
      <c r="R36" s="28"/>
      <c r="S36" s="28"/>
      <c r="T36" s="28"/>
      <c r="U36" s="28"/>
      <c r="V36" s="27"/>
      <c r="W36" s="180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</row>
    <row r="37" spans="1:34" customFormat="1">
      <c r="A37" s="172"/>
      <c r="B37" s="172"/>
      <c r="C37" s="172"/>
      <c r="D37" s="172"/>
      <c r="E37" s="179"/>
      <c r="F37" s="179"/>
      <c r="G37" s="27"/>
      <c r="H37" s="24"/>
      <c r="I37" s="24"/>
      <c r="J37" s="24"/>
      <c r="K37" s="24"/>
      <c r="L37" s="27"/>
      <c r="M37" s="27"/>
      <c r="N37" s="180"/>
      <c r="O37" s="28"/>
      <c r="P37" s="28"/>
      <c r="Q37" s="28"/>
      <c r="R37" s="28"/>
      <c r="S37" s="28"/>
      <c r="T37" s="28"/>
      <c r="U37" s="28"/>
      <c r="V37" s="27"/>
      <c r="W37" s="180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</row>
    <row r="38" spans="1:34" customFormat="1">
      <c r="A38" s="172"/>
      <c r="B38" s="172"/>
      <c r="C38" s="172"/>
      <c r="D38" s="172"/>
      <c r="E38" s="179"/>
      <c r="F38" s="179"/>
      <c r="G38" s="27"/>
      <c r="H38" s="24"/>
      <c r="I38" s="24"/>
      <c r="J38" s="24"/>
      <c r="K38" s="24"/>
      <c r="L38" s="27"/>
      <c r="M38" s="27"/>
      <c r="N38" s="180"/>
      <c r="O38" s="28"/>
      <c r="P38" s="28"/>
      <c r="Q38" s="28"/>
      <c r="R38" s="28"/>
      <c r="S38" s="28"/>
      <c r="T38" s="28"/>
      <c r="U38" s="28"/>
      <c r="V38" s="27"/>
      <c r="W38" s="180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</row>
    <row r="39" spans="1:34" customFormat="1">
      <c r="A39" s="172"/>
      <c r="B39" s="172"/>
      <c r="C39" s="172"/>
      <c r="D39" s="172"/>
      <c r="E39" s="179"/>
      <c r="F39" s="179"/>
      <c r="G39" s="27"/>
      <c r="H39" s="24"/>
      <c r="I39" s="24"/>
      <c r="J39" s="24"/>
      <c r="K39" s="24"/>
      <c r="L39" s="27"/>
      <c r="M39" s="27"/>
      <c r="N39" s="180"/>
      <c r="O39" s="28"/>
      <c r="P39" s="28"/>
      <c r="Q39" s="28"/>
      <c r="R39" s="28"/>
      <c r="S39" s="28"/>
      <c r="T39" s="28"/>
      <c r="U39" s="28"/>
      <c r="V39" s="27"/>
      <c r="W39" s="180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</row>
    <row r="40" spans="1:34" customFormat="1">
      <c r="A40" s="172"/>
      <c r="B40" s="172"/>
      <c r="C40" s="172"/>
      <c r="D40" s="172"/>
      <c r="E40" s="179"/>
      <c r="F40" s="179"/>
      <c r="G40" s="27"/>
      <c r="H40" s="24"/>
      <c r="I40" s="24"/>
      <c r="J40" s="24"/>
      <c r="K40" s="24"/>
      <c r="L40" s="27"/>
      <c r="M40" s="27"/>
      <c r="N40" s="180"/>
      <c r="O40" s="28"/>
      <c r="P40" s="28"/>
      <c r="Q40" s="28"/>
      <c r="R40" s="28"/>
      <c r="S40" s="28"/>
      <c r="T40" s="28"/>
      <c r="U40" s="28"/>
      <c r="V40" s="27"/>
      <c r="W40" s="180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</row>
    <row r="41" spans="1:34" customFormat="1">
      <c r="A41" s="172"/>
      <c r="B41" s="172"/>
      <c r="C41" s="172"/>
      <c r="D41" s="172"/>
      <c r="E41" s="179"/>
      <c r="F41" s="179"/>
      <c r="G41" s="27"/>
      <c r="H41" s="24"/>
      <c r="I41" s="24"/>
      <c r="J41" s="24"/>
      <c r="K41" s="24"/>
      <c r="L41" s="27"/>
      <c r="M41" s="27"/>
      <c r="N41" s="180"/>
      <c r="O41" s="28"/>
      <c r="P41" s="28"/>
      <c r="Q41" s="28"/>
      <c r="R41" s="28"/>
      <c r="S41" s="28"/>
      <c r="T41" s="28"/>
      <c r="U41" s="28"/>
      <c r="V41" s="27"/>
      <c r="W41" s="180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</row>
    <row r="42" spans="1:34" customFormat="1">
      <c r="A42" s="172"/>
      <c r="B42" s="172"/>
      <c r="C42" s="172"/>
      <c r="D42" s="172"/>
      <c r="E42" s="179"/>
      <c r="F42" s="179"/>
      <c r="G42" s="27"/>
      <c r="H42" s="24"/>
      <c r="I42" s="24"/>
      <c r="J42" s="24"/>
      <c r="K42" s="24"/>
      <c r="L42" s="27"/>
      <c r="M42" s="27"/>
      <c r="N42" s="180"/>
      <c r="O42" s="28"/>
      <c r="P42" s="28"/>
      <c r="Q42" s="28"/>
      <c r="R42" s="28"/>
      <c r="S42" s="28"/>
      <c r="T42" s="28"/>
      <c r="U42" s="28"/>
      <c r="V42" s="27"/>
      <c r="W42" s="180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</row>
    <row r="43" spans="1:34" customFormat="1">
      <c r="A43" s="172"/>
      <c r="B43" s="172"/>
      <c r="C43" s="172"/>
      <c r="D43" s="172"/>
      <c r="E43" s="179"/>
      <c r="F43" s="179"/>
      <c r="G43" s="27"/>
      <c r="H43" s="24"/>
      <c r="I43" s="24"/>
      <c r="J43" s="24"/>
      <c r="K43" s="24"/>
      <c r="L43" s="27"/>
      <c r="M43" s="27"/>
      <c r="N43" s="180"/>
      <c r="O43" s="28"/>
      <c r="P43" s="28"/>
      <c r="Q43" s="28"/>
      <c r="R43" s="28"/>
      <c r="S43" s="28"/>
      <c r="T43" s="28"/>
      <c r="U43" s="28"/>
      <c r="V43" s="27"/>
      <c r="W43" s="180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</row>
    <row r="44" spans="1:34" customFormat="1">
      <c r="A44" s="172"/>
      <c r="B44" s="172"/>
      <c r="C44" s="172"/>
      <c r="D44" s="172"/>
      <c r="E44" s="179"/>
      <c r="F44" s="179"/>
      <c r="G44" s="27"/>
      <c r="H44" s="24"/>
      <c r="I44" s="24"/>
      <c r="J44" s="24"/>
      <c r="K44" s="24"/>
      <c r="L44" s="27"/>
      <c r="M44" s="27"/>
      <c r="N44" s="180"/>
      <c r="O44" s="28"/>
      <c r="P44" s="28"/>
      <c r="Q44" s="28"/>
      <c r="R44" s="28"/>
      <c r="S44" s="28"/>
      <c r="T44" s="28"/>
      <c r="U44" s="28"/>
      <c r="V44" s="27"/>
      <c r="W44" s="180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</row>
    <row r="45" spans="1:34">
      <c r="A45" s="172"/>
      <c r="B45" s="172"/>
      <c r="C45" s="172"/>
      <c r="D45" s="172"/>
      <c r="E45" s="181"/>
      <c r="F45" s="181"/>
      <c r="G45" s="181"/>
      <c r="H45" s="182"/>
      <c r="I45" s="182"/>
      <c r="J45" s="182"/>
      <c r="K45" s="182"/>
      <c r="L45" s="183"/>
      <c r="M45" s="183"/>
      <c r="N45" s="181"/>
      <c r="O45" s="184"/>
      <c r="P45" s="184"/>
      <c r="Q45" s="184"/>
      <c r="R45" s="184"/>
      <c r="S45" s="184"/>
      <c r="T45" s="184"/>
      <c r="U45" s="184"/>
      <c r="V45" s="181"/>
      <c r="W45" s="181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</row>
    <row r="46" spans="1:34">
      <c r="A46" s="172"/>
      <c r="B46" s="172"/>
      <c r="C46" s="172"/>
      <c r="D46" s="172"/>
      <c r="E46" s="181"/>
      <c r="F46" s="181"/>
      <c r="G46" s="181"/>
      <c r="H46" s="182"/>
      <c r="I46" s="182"/>
      <c r="J46" s="182"/>
      <c r="K46" s="182"/>
      <c r="L46" s="183"/>
      <c r="M46" s="183"/>
      <c r="N46" s="181"/>
      <c r="O46" s="184"/>
      <c r="P46" s="184"/>
      <c r="Q46" s="184"/>
      <c r="R46" s="184"/>
      <c r="S46" s="184"/>
      <c r="T46" s="184"/>
      <c r="U46" s="184"/>
      <c r="V46" s="181"/>
      <c r="W46" s="181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</row>
    <row r="47" spans="1:34">
      <c r="A47" s="172"/>
      <c r="B47" s="172"/>
      <c r="C47" s="172"/>
      <c r="D47" s="172"/>
      <c r="E47" s="181"/>
      <c r="F47" s="181"/>
      <c r="G47" s="181"/>
      <c r="H47" s="182"/>
      <c r="I47" s="182"/>
      <c r="J47" s="182"/>
      <c r="K47" s="182"/>
      <c r="L47" s="183"/>
      <c r="M47" s="183"/>
      <c r="N47" s="181"/>
      <c r="O47" s="184"/>
      <c r="P47" s="184"/>
      <c r="Q47" s="184"/>
      <c r="R47" s="184"/>
      <c r="S47" s="184"/>
      <c r="T47" s="184"/>
      <c r="U47" s="184"/>
      <c r="V47" s="181"/>
      <c r="W47" s="181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</row>
    <row r="48" spans="1:34">
      <c r="A48" s="172"/>
      <c r="B48" s="172"/>
      <c r="C48" s="172"/>
      <c r="D48" s="172"/>
      <c r="E48" s="181"/>
      <c r="F48" s="181"/>
      <c r="G48" s="181"/>
      <c r="H48" s="182"/>
      <c r="I48" s="182"/>
      <c r="J48" s="182"/>
      <c r="K48" s="182"/>
      <c r="L48" s="183"/>
      <c r="M48" s="183"/>
      <c r="N48" s="181"/>
      <c r="O48" s="184"/>
      <c r="P48" s="184"/>
      <c r="Q48" s="184"/>
      <c r="R48" s="184"/>
      <c r="S48" s="184"/>
      <c r="T48" s="184"/>
      <c r="U48" s="184"/>
      <c r="V48" s="181"/>
      <c r="W48" s="181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</row>
    <row r="49" spans="1:34">
      <c r="A49" s="172"/>
      <c r="B49" s="172"/>
      <c r="C49" s="172"/>
      <c r="D49" s="172"/>
      <c r="E49" s="181"/>
      <c r="F49" s="181"/>
      <c r="G49" s="181"/>
      <c r="H49" s="182"/>
      <c r="I49" s="182"/>
      <c r="J49" s="182"/>
      <c r="K49" s="182"/>
      <c r="L49" s="183"/>
      <c r="M49" s="183"/>
      <c r="N49" s="181"/>
      <c r="O49" s="184"/>
      <c r="P49" s="184"/>
      <c r="Q49" s="184"/>
      <c r="R49" s="184"/>
      <c r="S49" s="184"/>
      <c r="T49" s="184"/>
      <c r="U49" s="184"/>
      <c r="V49" s="181"/>
      <c r="W49" s="181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</row>
    <row r="50" spans="1:34">
      <c r="A50" s="172"/>
      <c r="B50" s="172"/>
      <c r="C50" s="172"/>
      <c r="D50" s="172"/>
      <c r="E50" s="181"/>
      <c r="F50" s="181"/>
      <c r="G50" s="181"/>
      <c r="H50" s="182"/>
      <c r="I50" s="182"/>
      <c r="J50" s="182"/>
      <c r="K50" s="182"/>
      <c r="L50" s="183"/>
      <c r="M50" s="183"/>
      <c r="N50" s="181"/>
      <c r="O50" s="184"/>
      <c r="P50" s="184"/>
      <c r="Q50" s="184"/>
      <c r="R50" s="184"/>
      <c r="S50" s="184"/>
      <c r="T50" s="184"/>
      <c r="U50" s="184"/>
      <c r="V50" s="181"/>
      <c r="W50" s="181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</row>
    <row r="51" spans="1:34">
      <c r="A51" s="172"/>
      <c r="B51" s="172"/>
      <c r="C51" s="172"/>
      <c r="D51" s="172"/>
      <c r="E51" s="181"/>
      <c r="F51" s="181"/>
      <c r="G51" s="181"/>
      <c r="H51" s="182"/>
      <c r="I51" s="182"/>
      <c r="J51" s="182"/>
      <c r="K51" s="182"/>
      <c r="L51" s="183"/>
      <c r="M51" s="183"/>
      <c r="N51" s="181"/>
      <c r="O51" s="184"/>
      <c r="P51" s="184"/>
      <c r="Q51" s="184"/>
      <c r="R51" s="184"/>
      <c r="S51" s="184"/>
      <c r="T51" s="184"/>
      <c r="U51" s="184"/>
      <c r="V51" s="181"/>
      <c r="W51" s="181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</row>
    <row r="52" spans="1:34">
      <c r="A52" s="172"/>
      <c r="B52" s="172"/>
      <c r="C52" s="172"/>
      <c r="D52" s="172"/>
      <c r="E52" s="181"/>
      <c r="F52" s="181"/>
      <c r="G52" s="181"/>
      <c r="H52" s="182"/>
      <c r="I52" s="182"/>
      <c r="J52" s="182"/>
      <c r="K52" s="182"/>
      <c r="L52" s="183"/>
      <c r="M52" s="183"/>
      <c r="N52" s="181"/>
      <c r="O52" s="184"/>
      <c r="P52" s="184"/>
      <c r="Q52" s="184"/>
      <c r="R52" s="184"/>
      <c r="S52" s="184"/>
      <c r="T52" s="184"/>
      <c r="U52" s="184"/>
      <c r="V52" s="181"/>
      <c r="W52" s="181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</row>
    <row r="53" spans="1:34">
      <c r="A53" s="172"/>
      <c r="B53" s="172"/>
      <c r="C53" s="172"/>
      <c r="D53" s="172"/>
      <c r="E53" s="181"/>
      <c r="F53" s="181"/>
      <c r="G53" s="181"/>
      <c r="H53" s="182"/>
      <c r="I53" s="182"/>
      <c r="J53" s="182"/>
      <c r="K53" s="182"/>
      <c r="L53" s="183"/>
      <c r="M53" s="183"/>
      <c r="N53" s="181"/>
      <c r="O53" s="184"/>
      <c r="P53" s="184"/>
      <c r="Q53" s="184"/>
      <c r="R53" s="184"/>
      <c r="S53" s="184"/>
      <c r="T53" s="184"/>
      <c r="U53" s="184"/>
      <c r="V53" s="181"/>
      <c r="W53" s="181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</row>
    <row r="54" spans="1:34">
      <c r="A54" s="172"/>
      <c r="B54" s="172"/>
      <c r="C54" s="172"/>
      <c r="D54" s="172"/>
      <c r="E54" s="181"/>
      <c r="F54" s="181"/>
      <c r="G54" s="181"/>
      <c r="H54" s="182"/>
      <c r="I54" s="182"/>
      <c r="J54" s="182"/>
      <c r="K54" s="182"/>
      <c r="L54" s="183"/>
      <c r="M54" s="183"/>
      <c r="N54" s="181"/>
      <c r="O54" s="184"/>
      <c r="P54" s="184"/>
      <c r="Q54" s="184"/>
      <c r="R54" s="184"/>
      <c r="S54" s="184"/>
      <c r="T54" s="184"/>
      <c r="U54" s="184"/>
      <c r="V54" s="181"/>
      <c r="W54" s="181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</row>
    <row r="55" spans="1:34">
      <c r="A55" s="172"/>
      <c r="B55" s="172"/>
      <c r="C55" s="172"/>
      <c r="D55" s="172"/>
      <c r="E55" s="181"/>
      <c r="F55" s="181"/>
      <c r="G55" s="181"/>
      <c r="H55" s="182"/>
      <c r="I55" s="182"/>
      <c r="J55" s="182"/>
      <c r="K55" s="182"/>
      <c r="L55" s="183"/>
      <c r="M55" s="183"/>
      <c r="N55" s="181"/>
      <c r="O55" s="184"/>
      <c r="P55" s="184"/>
      <c r="Q55" s="184"/>
      <c r="R55" s="184"/>
      <c r="S55" s="184"/>
      <c r="T55" s="184"/>
      <c r="U55" s="184"/>
      <c r="V55" s="181"/>
      <c r="W55" s="181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</row>
    <row r="56" spans="1:34">
      <c r="A56" s="172"/>
      <c r="B56" s="172"/>
      <c r="C56" s="172"/>
      <c r="D56" s="172"/>
      <c r="E56" s="181"/>
      <c r="F56" s="181"/>
      <c r="G56" s="181"/>
      <c r="H56" s="182"/>
      <c r="I56" s="182"/>
      <c r="J56" s="182"/>
      <c r="K56" s="182"/>
      <c r="L56" s="183"/>
      <c r="M56" s="183"/>
      <c r="N56" s="181"/>
      <c r="O56" s="184"/>
      <c r="P56" s="184"/>
      <c r="Q56" s="184"/>
      <c r="R56" s="184"/>
      <c r="S56" s="184"/>
      <c r="T56" s="184"/>
      <c r="U56" s="184"/>
      <c r="V56" s="181"/>
      <c r="W56" s="181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</row>
    <row r="57" spans="1:34">
      <c r="A57" s="172"/>
      <c r="B57" s="172"/>
      <c r="C57" s="172"/>
      <c r="D57" s="172"/>
      <c r="E57" s="181"/>
      <c r="F57" s="181"/>
      <c r="G57" s="181"/>
      <c r="H57" s="182"/>
      <c r="I57" s="182"/>
      <c r="J57" s="182"/>
      <c r="K57" s="182"/>
      <c r="L57" s="183"/>
      <c r="M57" s="183"/>
      <c r="N57" s="181"/>
      <c r="O57" s="184"/>
      <c r="P57" s="184"/>
      <c r="Q57" s="184"/>
      <c r="R57" s="184"/>
      <c r="S57" s="184"/>
      <c r="T57" s="184"/>
      <c r="U57" s="184"/>
      <c r="V57" s="181"/>
      <c r="W57" s="181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</row>
    <row r="58" spans="1:34">
      <c r="A58" s="172"/>
      <c r="B58" s="172"/>
      <c r="C58" s="172"/>
      <c r="D58" s="172"/>
      <c r="E58" s="181"/>
      <c r="F58" s="181"/>
      <c r="G58" s="181"/>
      <c r="H58" s="182"/>
      <c r="I58" s="182"/>
      <c r="J58" s="182"/>
      <c r="K58" s="182"/>
      <c r="L58" s="183"/>
      <c r="M58" s="183"/>
      <c r="N58" s="181"/>
      <c r="O58" s="184"/>
      <c r="P58" s="184"/>
      <c r="Q58" s="184"/>
      <c r="R58" s="184"/>
      <c r="S58" s="184"/>
      <c r="T58" s="184"/>
      <c r="U58" s="184"/>
      <c r="V58" s="181"/>
      <c r="W58" s="181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</row>
    <row r="59" spans="1:34">
      <c r="A59" s="172"/>
      <c r="B59" s="172"/>
      <c r="C59" s="172"/>
      <c r="D59" s="172"/>
      <c r="E59" s="181"/>
      <c r="F59" s="181"/>
      <c r="G59" s="181"/>
      <c r="H59" s="182"/>
      <c r="I59" s="182"/>
      <c r="J59" s="182"/>
      <c r="K59" s="182"/>
      <c r="L59" s="183"/>
      <c r="M59" s="183"/>
      <c r="N59" s="181"/>
      <c r="O59" s="184"/>
      <c r="P59" s="184"/>
      <c r="Q59" s="184"/>
      <c r="R59" s="184"/>
      <c r="S59" s="184"/>
      <c r="T59" s="184"/>
      <c r="U59" s="184"/>
      <c r="V59" s="181"/>
      <c r="W59" s="181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</row>
    <row r="60" spans="1:34">
      <c r="A60" s="172"/>
      <c r="B60" s="172"/>
      <c r="C60" s="172"/>
      <c r="D60" s="172"/>
      <c r="E60" s="181"/>
      <c r="F60" s="181"/>
      <c r="G60" s="181"/>
      <c r="H60" s="182"/>
      <c r="I60" s="182"/>
      <c r="J60" s="182"/>
      <c r="K60" s="182"/>
      <c r="L60" s="183"/>
      <c r="M60" s="183"/>
      <c r="N60" s="181"/>
      <c r="O60" s="184"/>
      <c r="P60" s="184"/>
      <c r="Q60" s="184"/>
      <c r="R60" s="184"/>
      <c r="S60" s="184"/>
      <c r="T60" s="184"/>
      <c r="U60" s="184"/>
      <c r="V60" s="181"/>
      <c r="W60" s="181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</row>
    <row r="61" spans="1:34">
      <c r="A61" s="172"/>
      <c r="B61" s="172"/>
      <c r="C61" s="172"/>
      <c r="D61" s="172"/>
      <c r="E61" s="181"/>
      <c r="F61" s="181"/>
      <c r="G61" s="181"/>
      <c r="H61" s="182"/>
      <c r="I61" s="182"/>
      <c r="J61" s="182"/>
      <c r="K61" s="182"/>
      <c r="L61" s="183"/>
      <c r="M61" s="183"/>
      <c r="N61" s="181"/>
      <c r="O61" s="184"/>
      <c r="P61" s="184"/>
      <c r="Q61" s="184"/>
      <c r="R61" s="184"/>
      <c r="S61" s="184"/>
      <c r="T61" s="184"/>
      <c r="U61" s="184"/>
      <c r="V61" s="181"/>
      <c r="W61" s="181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</row>
    <row r="62" spans="1:34">
      <c r="A62" s="172"/>
      <c r="B62" s="172"/>
      <c r="C62" s="172"/>
      <c r="D62" s="172"/>
      <c r="E62" s="181"/>
      <c r="F62" s="181"/>
      <c r="G62" s="181"/>
      <c r="H62" s="182"/>
      <c r="I62" s="182"/>
      <c r="J62" s="182"/>
      <c r="K62" s="182"/>
      <c r="L62" s="183"/>
      <c r="M62" s="183"/>
      <c r="N62" s="181"/>
      <c r="O62" s="184"/>
      <c r="P62" s="184"/>
      <c r="Q62" s="184"/>
      <c r="R62" s="184"/>
      <c r="S62" s="184"/>
      <c r="T62" s="184"/>
      <c r="U62" s="184"/>
      <c r="V62" s="181"/>
      <c r="W62" s="181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</row>
    <row r="63" spans="1:34">
      <c r="A63" s="172"/>
      <c r="B63" s="172"/>
      <c r="C63" s="172"/>
      <c r="D63" s="172"/>
      <c r="E63" s="181"/>
      <c r="F63" s="181"/>
      <c r="G63" s="181"/>
      <c r="H63" s="182"/>
      <c r="I63" s="182"/>
      <c r="J63" s="182"/>
      <c r="K63" s="182"/>
      <c r="L63" s="183"/>
      <c r="M63" s="183"/>
      <c r="N63" s="181"/>
      <c r="O63" s="184"/>
      <c r="P63" s="184"/>
      <c r="Q63" s="184"/>
      <c r="R63" s="184"/>
      <c r="S63" s="184"/>
      <c r="T63" s="184"/>
      <c r="U63" s="184"/>
      <c r="V63" s="181"/>
      <c r="W63" s="181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</row>
    <row r="64" spans="1:34">
      <c r="A64" s="172"/>
      <c r="B64" s="172"/>
      <c r="C64" s="172"/>
      <c r="D64" s="172"/>
      <c r="E64" s="181"/>
      <c r="F64" s="181"/>
      <c r="G64" s="181"/>
      <c r="H64" s="182"/>
      <c r="I64" s="182"/>
      <c r="J64" s="182"/>
      <c r="K64" s="182"/>
      <c r="L64" s="183"/>
      <c r="M64" s="183"/>
      <c r="N64" s="181"/>
      <c r="O64" s="184"/>
      <c r="P64" s="184"/>
      <c r="Q64" s="184"/>
      <c r="R64" s="184"/>
      <c r="S64" s="184"/>
      <c r="T64" s="184"/>
      <c r="U64" s="184"/>
      <c r="V64" s="181"/>
      <c r="W64" s="181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  <row r="65" spans="1:34">
      <c r="A65" s="172"/>
      <c r="B65" s="172"/>
      <c r="C65" s="172"/>
      <c r="D65" s="172"/>
      <c r="E65" s="181"/>
      <c r="F65" s="181"/>
      <c r="G65" s="181"/>
      <c r="H65" s="182"/>
      <c r="I65" s="182"/>
      <c r="J65" s="182"/>
      <c r="K65" s="182"/>
      <c r="L65" s="183"/>
      <c r="M65" s="183"/>
      <c r="N65" s="181"/>
      <c r="O65" s="184"/>
      <c r="P65" s="184"/>
      <c r="Q65" s="184"/>
      <c r="R65" s="184"/>
      <c r="S65" s="184"/>
      <c r="T65" s="184"/>
      <c r="U65" s="184"/>
      <c r="V65" s="181"/>
      <c r="W65" s="181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</row>
    <row r="66" spans="1:34">
      <c r="A66" s="172"/>
      <c r="B66" s="172"/>
      <c r="C66" s="172"/>
      <c r="D66" s="172"/>
      <c r="E66" s="181"/>
      <c r="F66" s="181"/>
      <c r="G66" s="181"/>
      <c r="H66" s="182"/>
      <c r="I66" s="182"/>
      <c r="J66" s="182"/>
      <c r="K66" s="182"/>
      <c r="L66" s="183"/>
      <c r="M66" s="183"/>
      <c r="N66" s="181"/>
      <c r="O66" s="184"/>
      <c r="P66" s="184"/>
      <c r="Q66" s="184"/>
      <c r="R66" s="184"/>
      <c r="S66" s="184"/>
      <c r="T66" s="184"/>
      <c r="U66" s="184"/>
      <c r="V66" s="181"/>
      <c r="W66" s="181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</row>
    <row r="67" spans="1:34">
      <c r="A67" s="172"/>
      <c r="B67" s="172"/>
      <c r="C67" s="172"/>
      <c r="D67" s="172"/>
      <c r="E67" s="181"/>
      <c r="F67" s="181"/>
      <c r="G67" s="181"/>
      <c r="H67" s="182"/>
      <c r="I67" s="182"/>
      <c r="J67" s="182"/>
      <c r="K67" s="182"/>
      <c r="L67" s="183"/>
      <c r="M67" s="183"/>
      <c r="N67" s="181"/>
      <c r="O67" s="184"/>
      <c r="P67" s="184"/>
      <c r="Q67" s="184"/>
      <c r="R67" s="184"/>
      <c r="S67" s="184"/>
      <c r="T67" s="184"/>
      <c r="U67" s="184"/>
      <c r="V67" s="181"/>
      <c r="W67" s="181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</row>
    <row r="68" spans="1:34">
      <c r="A68" s="172"/>
      <c r="B68" s="172"/>
      <c r="C68" s="172"/>
      <c r="D68" s="172"/>
      <c r="E68" s="181"/>
      <c r="F68" s="181"/>
      <c r="G68" s="181"/>
      <c r="H68" s="182"/>
      <c r="I68" s="182"/>
      <c r="J68" s="182"/>
      <c r="K68" s="182"/>
      <c r="L68" s="183"/>
      <c r="M68" s="183"/>
      <c r="N68" s="181"/>
      <c r="O68" s="184"/>
      <c r="P68" s="184"/>
      <c r="Q68" s="184"/>
      <c r="R68" s="184"/>
      <c r="S68" s="184"/>
      <c r="T68" s="184"/>
      <c r="U68" s="184"/>
      <c r="V68" s="181"/>
      <c r="W68" s="181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</row>
    <row r="69" spans="1:34">
      <c r="A69" s="172"/>
      <c r="B69" s="172"/>
      <c r="C69" s="172"/>
      <c r="D69" s="172"/>
      <c r="E69" s="181"/>
      <c r="F69" s="181"/>
      <c r="G69" s="181"/>
      <c r="H69" s="182"/>
      <c r="I69" s="182"/>
      <c r="J69" s="182"/>
      <c r="K69" s="182"/>
      <c r="L69" s="183"/>
      <c r="M69" s="183"/>
      <c r="N69" s="181"/>
      <c r="O69" s="184"/>
      <c r="P69" s="184"/>
      <c r="Q69" s="184"/>
      <c r="R69" s="184"/>
      <c r="S69" s="184"/>
      <c r="T69" s="184"/>
      <c r="U69" s="184"/>
      <c r="V69" s="181"/>
      <c r="W69" s="181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</row>
    <row r="70" spans="1:34">
      <c r="A70" s="172"/>
      <c r="B70" s="172"/>
      <c r="C70" s="172"/>
      <c r="D70" s="172"/>
      <c r="E70" s="181"/>
      <c r="F70" s="181"/>
      <c r="G70" s="181"/>
      <c r="H70" s="182"/>
      <c r="I70" s="182"/>
      <c r="J70" s="182"/>
      <c r="K70" s="182"/>
      <c r="L70" s="183"/>
      <c r="M70" s="183"/>
      <c r="N70" s="181"/>
      <c r="O70" s="184"/>
      <c r="P70" s="184"/>
      <c r="Q70" s="184"/>
      <c r="R70" s="184"/>
      <c r="S70" s="184"/>
      <c r="T70" s="184"/>
      <c r="U70" s="184"/>
      <c r="V70" s="181"/>
      <c r="W70" s="181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</row>
    <row r="71" spans="1:34">
      <c r="A71" s="172"/>
      <c r="B71" s="172"/>
      <c r="C71" s="172"/>
      <c r="D71" s="172"/>
      <c r="E71" s="181"/>
      <c r="F71" s="181"/>
      <c r="G71" s="181"/>
      <c r="H71" s="182"/>
      <c r="I71" s="182"/>
      <c r="J71" s="182"/>
      <c r="K71" s="182"/>
      <c r="L71" s="183"/>
      <c r="M71" s="183"/>
      <c r="N71" s="181"/>
      <c r="O71" s="184"/>
      <c r="P71" s="184"/>
      <c r="Q71" s="184"/>
      <c r="R71" s="184"/>
      <c r="S71" s="184"/>
      <c r="T71" s="184"/>
      <c r="U71" s="184"/>
      <c r="V71" s="181"/>
      <c r="W71" s="181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</row>
    <row r="72" spans="1:34">
      <c r="A72" s="172"/>
      <c r="B72" s="172"/>
      <c r="C72" s="172"/>
      <c r="D72" s="172"/>
      <c r="E72" s="181"/>
      <c r="F72" s="181"/>
      <c r="G72" s="181"/>
      <c r="H72" s="182"/>
      <c r="I72" s="182"/>
      <c r="J72" s="182"/>
      <c r="K72" s="182"/>
      <c r="L72" s="183"/>
      <c r="M72" s="183"/>
      <c r="N72" s="181"/>
      <c r="O72" s="184"/>
      <c r="P72" s="184"/>
      <c r="Q72" s="184"/>
      <c r="R72" s="184"/>
      <c r="S72" s="184"/>
      <c r="T72" s="184"/>
      <c r="U72" s="184"/>
      <c r="V72" s="181"/>
      <c r="W72" s="181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</row>
    <row r="73" spans="1:34">
      <c r="A73" s="172"/>
      <c r="B73" s="172"/>
      <c r="C73" s="172"/>
      <c r="D73" s="172"/>
      <c r="E73" s="181"/>
      <c r="F73" s="181"/>
      <c r="G73" s="181"/>
      <c r="H73" s="182"/>
      <c r="I73" s="182"/>
      <c r="J73" s="182"/>
      <c r="K73" s="182"/>
      <c r="L73" s="183"/>
      <c r="M73" s="183"/>
      <c r="N73" s="181"/>
      <c r="O73" s="184"/>
      <c r="P73" s="184"/>
      <c r="Q73" s="184"/>
      <c r="R73" s="184"/>
      <c r="S73" s="184"/>
      <c r="T73" s="184"/>
      <c r="U73" s="184"/>
      <c r="V73" s="181"/>
      <c r="W73" s="181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</row>
    <row r="74" spans="1:34">
      <c r="A74" s="172"/>
      <c r="B74" s="172"/>
      <c r="C74" s="172"/>
      <c r="D74" s="172"/>
      <c r="E74" s="181"/>
      <c r="F74" s="181"/>
      <c r="G74" s="181"/>
      <c r="H74" s="182"/>
      <c r="I74" s="182"/>
      <c r="J74" s="182"/>
      <c r="K74" s="182"/>
      <c r="L74" s="183"/>
      <c r="M74" s="183"/>
      <c r="N74" s="181"/>
      <c r="O74" s="184"/>
      <c r="P74" s="184"/>
      <c r="Q74" s="184"/>
      <c r="R74" s="184"/>
      <c r="S74" s="184"/>
      <c r="T74" s="184"/>
      <c r="U74" s="184"/>
      <c r="V74" s="181"/>
      <c r="W74" s="181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</row>
    <row r="75" spans="1:34">
      <c r="A75" s="172"/>
      <c r="B75" s="172"/>
      <c r="C75" s="172"/>
      <c r="D75" s="172"/>
      <c r="E75" s="181"/>
      <c r="F75" s="181"/>
      <c r="G75" s="181"/>
      <c r="H75" s="182"/>
      <c r="I75" s="182"/>
      <c r="J75" s="182"/>
      <c r="K75" s="182"/>
      <c r="L75" s="183"/>
      <c r="M75" s="183"/>
      <c r="N75" s="181"/>
      <c r="O75" s="184"/>
      <c r="P75" s="184"/>
      <c r="Q75" s="184"/>
      <c r="R75" s="184"/>
      <c r="S75" s="184"/>
      <c r="T75" s="184"/>
      <c r="U75" s="184"/>
      <c r="V75" s="181"/>
      <c r="W75" s="181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</row>
    <row r="76" spans="1:34">
      <c r="A76" s="172"/>
      <c r="B76" s="172"/>
      <c r="C76" s="172"/>
      <c r="D76" s="172"/>
      <c r="E76" s="181"/>
      <c r="F76" s="181"/>
      <c r="G76" s="181"/>
      <c r="H76" s="182"/>
      <c r="I76" s="182"/>
      <c r="J76" s="182"/>
      <c r="K76" s="182"/>
      <c r="L76" s="183"/>
      <c r="M76" s="183"/>
      <c r="N76" s="181"/>
      <c r="O76" s="184"/>
      <c r="P76" s="184"/>
      <c r="Q76" s="184"/>
      <c r="R76" s="184"/>
      <c r="S76" s="184"/>
      <c r="T76" s="184"/>
      <c r="U76" s="184"/>
      <c r="V76" s="181"/>
      <c r="W76" s="181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</row>
    <row r="77" spans="1:34">
      <c r="A77" s="172"/>
      <c r="B77" s="172"/>
      <c r="C77" s="172"/>
      <c r="D77" s="172"/>
      <c r="E77" s="181"/>
      <c r="F77" s="181"/>
      <c r="G77" s="181"/>
      <c r="H77" s="182"/>
      <c r="I77" s="182"/>
      <c r="J77" s="182"/>
      <c r="K77" s="182"/>
      <c r="L77" s="183"/>
      <c r="M77" s="183"/>
      <c r="N77" s="181"/>
      <c r="O77" s="184"/>
      <c r="P77" s="184"/>
      <c r="Q77" s="184"/>
      <c r="R77" s="184"/>
      <c r="S77" s="184"/>
      <c r="T77" s="184"/>
      <c r="U77" s="184"/>
      <c r="V77" s="181"/>
      <c r="W77" s="181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</row>
    <row r="78" spans="1:34">
      <c r="A78" s="172"/>
      <c r="B78" s="172"/>
      <c r="C78" s="172"/>
      <c r="D78" s="172"/>
      <c r="E78" s="181"/>
      <c r="F78" s="181"/>
      <c r="G78" s="181"/>
      <c r="H78" s="182"/>
      <c r="I78" s="182"/>
      <c r="J78" s="182"/>
      <c r="K78" s="182"/>
      <c r="L78" s="183"/>
      <c r="M78" s="183"/>
      <c r="N78" s="181"/>
      <c r="O78" s="184"/>
      <c r="P78" s="184"/>
      <c r="Q78" s="184"/>
      <c r="R78" s="184"/>
      <c r="S78" s="184"/>
      <c r="T78" s="184"/>
      <c r="U78" s="184"/>
      <c r="V78" s="181"/>
      <c r="W78" s="181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</row>
    <row r="79" spans="1:34">
      <c r="A79" s="172"/>
      <c r="B79" s="172"/>
      <c r="C79" s="172"/>
      <c r="D79" s="172"/>
      <c r="E79" s="181"/>
      <c r="F79" s="181"/>
      <c r="G79" s="181"/>
      <c r="H79" s="182"/>
      <c r="I79" s="182"/>
      <c r="J79" s="182"/>
      <c r="K79" s="182"/>
      <c r="L79" s="183"/>
      <c r="M79" s="183"/>
      <c r="N79" s="181"/>
      <c r="O79" s="184"/>
      <c r="P79" s="184"/>
      <c r="Q79" s="184"/>
      <c r="R79" s="184"/>
      <c r="S79" s="184"/>
      <c r="T79" s="184"/>
      <c r="U79" s="184"/>
      <c r="V79" s="181"/>
      <c r="W79" s="181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</row>
    <row r="80" spans="1:34">
      <c r="A80" s="172"/>
      <c r="B80" s="172"/>
      <c r="C80" s="172"/>
      <c r="D80" s="172"/>
      <c r="E80" s="181"/>
      <c r="F80" s="181"/>
      <c r="G80" s="181"/>
      <c r="H80" s="182"/>
      <c r="I80" s="182"/>
      <c r="J80" s="182"/>
      <c r="K80" s="182"/>
      <c r="L80" s="183"/>
      <c r="M80" s="183"/>
      <c r="N80" s="181"/>
      <c r="O80" s="184"/>
      <c r="P80" s="184"/>
      <c r="Q80" s="184"/>
      <c r="R80" s="184"/>
      <c r="S80" s="184"/>
      <c r="T80" s="184"/>
      <c r="U80" s="184"/>
      <c r="V80" s="181"/>
      <c r="W80" s="181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</row>
    <row r="81" spans="1:34">
      <c r="A81" s="172"/>
      <c r="B81" s="172"/>
      <c r="C81" s="172"/>
      <c r="D81" s="172"/>
      <c r="E81" s="181"/>
      <c r="F81" s="181"/>
      <c r="G81" s="181"/>
      <c r="H81" s="182"/>
      <c r="I81" s="182"/>
      <c r="J81" s="182"/>
      <c r="K81" s="182"/>
      <c r="L81" s="183"/>
      <c r="M81" s="183"/>
      <c r="N81" s="181"/>
      <c r="O81" s="184"/>
      <c r="P81" s="184"/>
      <c r="Q81" s="184"/>
      <c r="R81" s="184"/>
      <c r="S81" s="184"/>
      <c r="T81" s="184"/>
      <c r="U81" s="184"/>
      <c r="V81" s="181"/>
      <c r="W81" s="181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</row>
    <row r="82" spans="1:34">
      <c r="A82" s="172"/>
      <c r="B82" s="172"/>
      <c r="C82" s="172"/>
      <c r="D82" s="172"/>
      <c r="E82" s="181"/>
      <c r="F82" s="181"/>
      <c r="G82" s="181"/>
      <c r="H82" s="182"/>
      <c r="I82" s="182"/>
      <c r="J82" s="182"/>
      <c r="K82" s="182"/>
      <c r="L82" s="183"/>
      <c r="M82" s="183"/>
      <c r="N82" s="181"/>
      <c r="O82" s="184"/>
      <c r="P82" s="184"/>
      <c r="Q82" s="184"/>
      <c r="R82" s="184"/>
      <c r="S82" s="184"/>
      <c r="T82" s="184"/>
      <c r="U82" s="184"/>
      <c r="V82" s="181"/>
      <c r="W82" s="181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</row>
    <row r="83" spans="1:34">
      <c r="A83" s="172"/>
      <c r="B83" s="172"/>
      <c r="C83" s="172"/>
      <c r="D83" s="172"/>
      <c r="E83" s="181"/>
      <c r="F83" s="181"/>
      <c r="G83" s="181"/>
      <c r="H83" s="182"/>
      <c r="I83" s="182"/>
      <c r="J83" s="182"/>
      <c r="K83" s="182"/>
      <c r="L83" s="183"/>
      <c r="M83" s="183"/>
      <c r="N83" s="181"/>
      <c r="O83" s="184"/>
      <c r="P83" s="184"/>
      <c r="Q83" s="184"/>
      <c r="R83" s="184"/>
      <c r="S83" s="184"/>
      <c r="T83" s="184"/>
      <c r="U83" s="184"/>
      <c r="V83" s="181"/>
      <c r="W83" s="181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</row>
    <row r="84" spans="1:34">
      <c r="A84" s="172"/>
      <c r="B84" s="172"/>
      <c r="C84" s="172"/>
      <c r="D84" s="172"/>
      <c r="E84" s="181"/>
      <c r="F84" s="181"/>
      <c r="G84" s="181"/>
      <c r="H84" s="182"/>
      <c r="I84" s="182"/>
      <c r="J84" s="182"/>
      <c r="K84" s="182"/>
      <c r="L84" s="183"/>
      <c r="M84" s="183"/>
      <c r="N84" s="181"/>
      <c r="O84" s="184"/>
      <c r="P84" s="184"/>
      <c r="Q84" s="184"/>
      <c r="R84" s="184"/>
      <c r="S84" s="184"/>
      <c r="T84" s="184"/>
      <c r="U84" s="184"/>
      <c r="V84" s="181"/>
      <c r="W84" s="181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</row>
    <row r="85" spans="1:34">
      <c r="A85" s="172"/>
      <c r="B85" s="172"/>
      <c r="C85" s="172"/>
      <c r="D85" s="172"/>
      <c r="E85" s="181"/>
      <c r="F85" s="181"/>
      <c r="G85" s="181"/>
      <c r="H85" s="182"/>
      <c r="I85" s="182"/>
      <c r="J85" s="182"/>
      <c r="K85" s="182"/>
      <c r="L85" s="183"/>
      <c r="M85" s="183"/>
      <c r="N85" s="181"/>
      <c r="O85" s="184"/>
      <c r="P85" s="184"/>
      <c r="Q85" s="184"/>
      <c r="R85" s="184"/>
      <c r="S85" s="184"/>
      <c r="T85" s="184"/>
      <c r="U85" s="184"/>
      <c r="V85" s="181"/>
      <c r="W85" s="181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</row>
    <row r="86" spans="1:34">
      <c r="A86" s="172"/>
      <c r="B86" s="172"/>
      <c r="C86" s="172"/>
      <c r="D86" s="172"/>
      <c r="E86" s="181"/>
      <c r="F86" s="181"/>
      <c r="G86" s="181"/>
      <c r="H86" s="182"/>
      <c r="I86" s="182"/>
      <c r="J86" s="182"/>
      <c r="K86" s="182"/>
      <c r="L86" s="183"/>
      <c r="M86" s="183"/>
      <c r="N86" s="181"/>
      <c r="O86" s="184"/>
      <c r="P86" s="184"/>
      <c r="Q86" s="184"/>
      <c r="R86" s="184"/>
      <c r="S86" s="184"/>
      <c r="T86" s="184"/>
      <c r="U86" s="184"/>
      <c r="V86" s="181"/>
      <c r="W86" s="181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</row>
    <row r="87" spans="1:34">
      <c r="A87" s="172"/>
      <c r="B87" s="172"/>
      <c r="C87" s="172"/>
      <c r="D87" s="172"/>
      <c r="E87" s="181"/>
      <c r="F87" s="181"/>
      <c r="G87" s="181"/>
      <c r="H87" s="182"/>
      <c r="I87" s="182"/>
      <c r="J87" s="182"/>
      <c r="K87" s="182"/>
      <c r="L87" s="183"/>
      <c r="M87" s="183"/>
      <c r="N87" s="181"/>
      <c r="O87" s="184"/>
      <c r="P87" s="184"/>
      <c r="Q87" s="184"/>
      <c r="R87" s="184"/>
      <c r="S87" s="184"/>
      <c r="T87" s="184"/>
      <c r="U87" s="184"/>
      <c r="V87" s="181"/>
      <c r="W87" s="181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</row>
    <row r="88" spans="1:34">
      <c r="A88" s="172"/>
      <c r="B88" s="172"/>
      <c r="C88" s="172"/>
      <c r="D88" s="172"/>
      <c r="E88" s="181"/>
      <c r="F88" s="181"/>
      <c r="G88" s="181"/>
      <c r="H88" s="182"/>
      <c r="I88" s="182"/>
      <c r="J88" s="182"/>
      <c r="K88" s="182"/>
      <c r="L88" s="183"/>
      <c r="M88" s="183"/>
      <c r="N88" s="181"/>
      <c r="O88" s="184"/>
      <c r="P88" s="184"/>
      <c r="Q88" s="184"/>
      <c r="R88" s="184"/>
      <c r="S88" s="184"/>
      <c r="T88" s="184"/>
      <c r="U88" s="184"/>
      <c r="V88" s="181"/>
      <c r="W88" s="181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</row>
    <row r="89" spans="1:34">
      <c r="A89" s="172"/>
      <c r="B89" s="172"/>
      <c r="C89" s="172"/>
      <c r="D89" s="172"/>
      <c r="E89" s="181"/>
      <c r="F89" s="181"/>
      <c r="G89" s="181"/>
      <c r="H89" s="182"/>
      <c r="I89" s="182"/>
      <c r="J89" s="182"/>
      <c r="K89" s="182"/>
      <c r="L89" s="183"/>
      <c r="M89" s="183"/>
      <c r="N89" s="181"/>
      <c r="O89" s="184"/>
      <c r="P89" s="184"/>
      <c r="Q89" s="184"/>
      <c r="R89" s="184"/>
      <c r="S89" s="184"/>
      <c r="T89" s="184"/>
      <c r="U89" s="184"/>
      <c r="V89" s="181"/>
      <c r="W89" s="181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</row>
    <row r="90" spans="1:34">
      <c r="A90" s="172"/>
      <c r="B90" s="172"/>
      <c r="C90" s="172"/>
      <c r="D90" s="172"/>
      <c r="E90" s="181"/>
      <c r="F90" s="181"/>
      <c r="G90" s="181"/>
      <c r="H90" s="182"/>
      <c r="I90" s="182"/>
      <c r="J90" s="182"/>
      <c r="K90" s="182"/>
      <c r="L90" s="183"/>
      <c r="M90" s="183"/>
      <c r="N90" s="181"/>
      <c r="O90" s="184"/>
      <c r="P90" s="184"/>
      <c r="Q90" s="184"/>
      <c r="R90" s="184"/>
      <c r="S90" s="184"/>
      <c r="T90" s="184"/>
      <c r="U90" s="184"/>
      <c r="V90" s="181"/>
      <c r="W90" s="181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</row>
    <row r="91" spans="1:34">
      <c r="A91" s="172"/>
      <c r="B91" s="172"/>
      <c r="C91" s="172"/>
      <c r="D91" s="172"/>
      <c r="E91" s="181"/>
      <c r="F91" s="181"/>
      <c r="G91" s="181"/>
      <c r="H91" s="182"/>
      <c r="I91" s="182"/>
      <c r="J91" s="182"/>
      <c r="K91" s="182"/>
      <c r="L91" s="183"/>
      <c r="M91" s="183"/>
      <c r="N91" s="181"/>
      <c r="O91" s="184"/>
      <c r="P91" s="184"/>
      <c r="Q91" s="184"/>
      <c r="R91" s="184"/>
      <c r="S91" s="184"/>
      <c r="T91" s="184"/>
      <c r="U91" s="184"/>
      <c r="V91" s="181"/>
      <c r="W91" s="181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</row>
    <row r="92" spans="1:34">
      <c r="A92" s="172"/>
      <c r="B92" s="172"/>
      <c r="C92" s="172"/>
      <c r="D92" s="172"/>
      <c r="E92" s="181"/>
      <c r="F92" s="181"/>
      <c r="G92" s="181"/>
      <c r="H92" s="182"/>
      <c r="I92" s="182"/>
      <c r="J92" s="182"/>
      <c r="K92" s="182"/>
      <c r="L92" s="183"/>
      <c r="M92" s="183"/>
      <c r="N92" s="181"/>
      <c r="O92" s="184"/>
      <c r="P92" s="184"/>
      <c r="Q92" s="184"/>
      <c r="R92" s="184"/>
      <c r="S92" s="184"/>
      <c r="T92" s="184"/>
      <c r="U92" s="184"/>
      <c r="V92" s="181"/>
      <c r="W92" s="181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</row>
    <row r="93" spans="1:34">
      <c r="A93" s="172"/>
      <c r="B93" s="172"/>
      <c r="C93" s="172"/>
      <c r="D93" s="172"/>
      <c r="E93" s="181"/>
      <c r="F93" s="181"/>
      <c r="G93" s="181"/>
      <c r="H93" s="182"/>
      <c r="I93" s="182"/>
      <c r="J93" s="182"/>
      <c r="K93" s="182"/>
      <c r="L93" s="183"/>
      <c r="M93" s="183"/>
      <c r="N93" s="181"/>
      <c r="O93" s="184"/>
      <c r="P93" s="184"/>
      <c r="Q93" s="184"/>
      <c r="R93" s="184"/>
      <c r="S93" s="184"/>
      <c r="T93" s="184"/>
      <c r="U93" s="184"/>
      <c r="V93" s="181"/>
      <c r="W93" s="181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</row>
    <row r="94" spans="1:34">
      <c r="A94" s="172"/>
      <c r="B94" s="172"/>
      <c r="C94" s="172"/>
      <c r="D94" s="172"/>
      <c r="E94" s="181"/>
      <c r="F94" s="181"/>
      <c r="G94" s="181"/>
      <c r="H94" s="182"/>
      <c r="I94" s="182"/>
      <c r="J94" s="182"/>
      <c r="K94" s="182"/>
      <c r="L94" s="183"/>
      <c r="M94" s="183"/>
      <c r="N94" s="181"/>
      <c r="O94" s="184"/>
      <c r="P94" s="184"/>
      <c r="Q94" s="184"/>
      <c r="R94" s="184"/>
      <c r="S94" s="184"/>
      <c r="T94" s="184"/>
      <c r="U94" s="184"/>
      <c r="V94" s="181"/>
      <c r="W94" s="181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</row>
    <row r="95" spans="1:34">
      <c r="A95" s="172"/>
      <c r="B95" s="172"/>
      <c r="C95" s="172"/>
      <c r="D95" s="172"/>
      <c r="E95" s="181"/>
      <c r="F95" s="181"/>
      <c r="G95" s="181"/>
      <c r="H95" s="182"/>
      <c r="I95" s="182"/>
      <c r="J95" s="182"/>
      <c r="K95" s="182"/>
      <c r="L95" s="183"/>
      <c r="M95" s="183"/>
      <c r="N95" s="181"/>
      <c r="O95" s="184"/>
      <c r="P95" s="184"/>
      <c r="Q95" s="184"/>
      <c r="R95" s="184"/>
      <c r="S95" s="184"/>
      <c r="T95" s="184"/>
      <c r="U95" s="184"/>
      <c r="V95" s="181"/>
      <c r="W95" s="181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</row>
    <row r="96" spans="1:34">
      <c r="A96" s="172"/>
      <c r="B96" s="172"/>
      <c r="C96" s="172"/>
      <c r="D96" s="172"/>
      <c r="E96" s="181"/>
      <c r="F96" s="181"/>
      <c r="G96" s="181"/>
      <c r="H96" s="182"/>
      <c r="I96" s="182"/>
      <c r="J96" s="182"/>
      <c r="K96" s="182"/>
      <c r="L96" s="183"/>
      <c r="M96" s="183"/>
      <c r="N96" s="181"/>
      <c r="O96" s="184"/>
      <c r="P96" s="184"/>
      <c r="Q96" s="184"/>
      <c r="R96" s="184"/>
      <c r="S96" s="184"/>
      <c r="T96" s="184"/>
      <c r="U96" s="184"/>
      <c r="V96" s="181"/>
      <c r="W96" s="181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</row>
    <row r="97" spans="5:23">
      <c r="E97" s="1"/>
      <c r="F97" s="1"/>
      <c r="G97" s="1"/>
      <c r="H97" s="25"/>
      <c r="I97" s="25"/>
      <c r="J97" s="25"/>
      <c r="K97" s="25"/>
      <c r="L97" s="6"/>
      <c r="M97" s="6"/>
      <c r="N97" s="1"/>
      <c r="O97" s="2"/>
      <c r="P97" s="2"/>
      <c r="Q97" s="2"/>
      <c r="R97" s="2"/>
      <c r="S97" s="2"/>
      <c r="T97" s="2"/>
      <c r="U97" s="2"/>
      <c r="V97" s="1"/>
      <c r="W97" s="1"/>
    </row>
    <row r="98" spans="5:23">
      <c r="E98" s="1"/>
      <c r="F98" s="1"/>
      <c r="G98" s="1"/>
      <c r="H98" s="25"/>
      <c r="I98" s="25"/>
      <c r="J98" s="25"/>
      <c r="K98" s="25"/>
      <c r="L98" s="6"/>
      <c r="M98" s="6"/>
      <c r="N98" s="1"/>
      <c r="O98" s="2"/>
      <c r="P98" s="2"/>
      <c r="Q98" s="2"/>
      <c r="R98" s="2"/>
      <c r="S98" s="2"/>
      <c r="T98" s="2"/>
      <c r="U98" s="2"/>
      <c r="V98" s="1"/>
      <c r="W98" s="1"/>
    </row>
    <row r="99" spans="5:23">
      <c r="E99" s="1"/>
      <c r="F99" s="1"/>
      <c r="G99" s="1"/>
      <c r="H99" s="25"/>
      <c r="I99" s="25"/>
      <c r="J99" s="25"/>
      <c r="K99" s="25"/>
      <c r="L99" s="6"/>
      <c r="M99" s="6"/>
      <c r="N99" s="1"/>
      <c r="O99" s="2"/>
      <c r="P99" s="2"/>
      <c r="Q99" s="2"/>
      <c r="R99" s="2"/>
      <c r="S99" s="2"/>
      <c r="T99" s="2"/>
      <c r="U99" s="2"/>
      <c r="V99" s="1"/>
      <c r="W99" s="1"/>
    </row>
    <row r="100" spans="5:23">
      <c r="E100" s="1"/>
      <c r="F100" s="1"/>
      <c r="G100" s="1"/>
      <c r="H100" s="25"/>
      <c r="I100" s="25"/>
      <c r="J100" s="25"/>
      <c r="K100" s="25"/>
      <c r="L100" s="6"/>
      <c r="M100" s="6"/>
      <c r="N100" s="1"/>
      <c r="O100" s="2"/>
      <c r="P100" s="2"/>
      <c r="Q100" s="2"/>
      <c r="R100" s="2"/>
      <c r="S100" s="2"/>
      <c r="T100" s="2"/>
      <c r="U100" s="2"/>
      <c r="V100" s="1"/>
      <c r="W100" s="1"/>
    </row>
    <row r="101" spans="5:23">
      <c r="E101" s="1"/>
      <c r="F101" s="1"/>
      <c r="G101" s="1"/>
      <c r="H101" s="25"/>
      <c r="I101" s="25"/>
      <c r="J101" s="25"/>
      <c r="K101" s="25"/>
      <c r="L101" s="6"/>
      <c r="M101" s="6"/>
      <c r="N101" s="1"/>
      <c r="O101" s="2"/>
      <c r="P101" s="2"/>
      <c r="Q101" s="2"/>
      <c r="R101" s="2"/>
      <c r="S101" s="2"/>
      <c r="T101" s="2"/>
      <c r="U101" s="2"/>
      <c r="V101" s="1"/>
      <c r="W101" s="1"/>
    </row>
    <row r="102" spans="5:23">
      <c r="E102" s="1"/>
      <c r="F102" s="1"/>
      <c r="G102" s="1"/>
      <c r="H102" s="25"/>
      <c r="I102" s="25"/>
      <c r="J102" s="25"/>
      <c r="K102" s="25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</row>
    <row r="103" spans="5:23">
      <c r="E103" s="1"/>
      <c r="F103" s="1"/>
      <c r="G103" s="1"/>
      <c r="H103" s="25"/>
      <c r="I103" s="25"/>
      <c r="J103" s="25"/>
      <c r="K103" s="25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</row>
    <row r="104" spans="5:23">
      <c r="E104" s="1"/>
      <c r="F104" s="1"/>
      <c r="G104" s="1"/>
      <c r="H104" s="25"/>
      <c r="I104" s="25"/>
      <c r="J104" s="25"/>
      <c r="K104" s="25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</row>
    <row r="105" spans="5:23">
      <c r="E105" s="1"/>
      <c r="F105" s="1"/>
      <c r="G105" s="1"/>
      <c r="H105" s="25"/>
      <c r="I105" s="25"/>
      <c r="J105" s="25"/>
      <c r="K105" s="25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</row>
    <row r="106" spans="5:23">
      <c r="E106" s="1"/>
      <c r="F106" s="1"/>
      <c r="G106" s="1"/>
      <c r="H106" s="25"/>
      <c r="I106" s="25"/>
      <c r="J106" s="25"/>
      <c r="K106" s="25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</row>
    <row r="107" spans="5:23">
      <c r="E107" s="1"/>
      <c r="F107" s="1"/>
      <c r="G107" s="1"/>
      <c r="H107" s="25"/>
      <c r="I107" s="25"/>
      <c r="J107" s="25"/>
      <c r="K107" s="25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</row>
    <row r="108" spans="5:23">
      <c r="E108" s="1"/>
      <c r="F108" s="1"/>
      <c r="G108" s="1"/>
      <c r="H108" s="25"/>
      <c r="I108" s="25"/>
      <c r="J108" s="25"/>
      <c r="K108" s="25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</row>
    <row r="109" spans="5:23">
      <c r="E109" s="1"/>
      <c r="F109" s="1"/>
      <c r="G109" s="1"/>
      <c r="H109" s="25"/>
      <c r="I109" s="25"/>
      <c r="J109" s="25"/>
      <c r="K109" s="25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</row>
    <row r="110" spans="5:23">
      <c r="E110" s="1"/>
      <c r="F110" s="1"/>
      <c r="G110" s="1"/>
      <c r="H110" s="25"/>
      <c r="I110" s="25"/>
      <c r="J110" s="25"/>
      <c r="K110" s="25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</row>
    <row r="111" spans="5:23">
      <c r="E111" s="1"/>
      <c r="F111" s="1"/>
      <c r="G111" s="1"/>
      <c r="H111" s="25"/>
      <c r="I111" s="25"/>
      <c r="J111" s="25"/>
      <c r="K111" s="25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</row>
    <row r="112" spans="5:23">
      <c r="E112" s="1"/>
      <c r="F112" s="1"/>
      <c r="G112" s="1"/>
      <c r="H112" s="25"/>
      <c r="I112" s="25"/>
      <c r="J112" s="25"/>
      <c r="K112" s="25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</row>
    <row r="113" spans="5:23">
      <c r="E113" s="1"/>
      <c r="F113" s="1"/>
      <c r="G113" s="1"/>
      <c r="H113" s="25"/>
      <c r="I113" s="25"/>
      <c r="J113" s="25"/>
      <c r="K113" s="25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</row>
    <row r="114" spans="5:23">
      <c r="E114" s="1"/>
      <c r="F114" s="1"/>
      <c r="G114" s="1"/>
      <c r="H114" s="25"/>
      <c r="I114" s="25"/>
      <c r="J114" s="25"/>
      <c r="K114" s="25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</row>
    <row r="115" spans="5:23">
      <c r="E115" s="1"/>
      <c r="F115" s="1"/>
      <c r="G115" s="1"/>
      <c r="H115" s="25"/>
      <c r="I115" s="25"/>
      <c r="J115" s="25"/>
      <c r="K115" s="25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</row>
    <row r="116" spans="5:23">
      <c r="E116" s="1"/>
      <c r="F116" s="1"/>
      <c r="G116" s="1"/>
      <c r="H116" s="25"/>
      <c r="I116" s="25"/>
      <c r="J116" s="25"/>
      <c r="K116" s="25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</row>
    <row r="117" spans="5:23">
      <c r="E117" s="1"/>
      <c r="F117" s="1"/>
      <c r="G117" s="1"/>
      <c r="H117" s="25"/>
      <c r="I117" s="25"/>
      <c r="J117" s="25"/>
      <c r="K117" s="25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</row>
    <row r="118" spans="5:23">
      <c r="E118" s="1"/>
      <c r="F118" s="1"/>
      <c r="G118" s="1"/>
      <c r="H118" s="25"/>
      <c r="I118" s="25"/>
      <c r="J118" s="25"/>
      <c r="K118" s="25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</row>
    <row r="119" spans="5:23">
      <c r="E119" s="1"/>
      <c r="F119" s="1"/>
      <c r="G119" s="1"/>
      <c r="H119" s="25"/>
      <c r="I119" s="25"/>
      <c r="J119" s="25"/>
      <c r="K119" s="25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</row>
    <row r="120" spans="5:23">
      <c r="E120" s="1"/>
      <c r="F120" s="1"/>
      <c r="G120" s="1"/>
      <c r="H120" s="25"/>
      <c r="I120" s="25"/>
      <c r="J120" s="25"/>
      <c r="K120" s="25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</row>
    <row r="121" spans="5:23">
      <c r="E121" s="1"/>
      <c r="F121" s="1"/>
      <c r="G121" s="1"/>
      <c r="H121" s="25"/>
      <c r="I121" s="25"/>
      <c r="J121" s="25"/>
      <c r="K121" s="25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</row>
    <row r="122" spans="5:23">
      <c r="E122" s="1"/>
      <c r="F122" s="1"/>
      <c r="G122" s="1"/>
      <c r="H122" s="25"/>
      <c r="I122" s="25"/>
      <c r="J122" s="25"/>
      <c r="K122" s="25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</row>
    <row r="123" spans="5:23">
      <c r="E123" s="1"/>
      <c r="F123" s="1"/>
      <c r="G123" s="1"/>
      <c r="H123" s="25"/>
      <c r="I123" s="25"/>
      <c r="J123" s="25"/>
      <c r="K123" s="25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</row>
    <row r="124" spans="5:23">
      <c r="E124" s="1"/>
      <c r="F124" s="1"/>
      <c r="G124" s="1"/>
      <c r="H124" s="25"/>
      <c r="I124" s="25"/>
      <c r="J124" s="25"/>
      <c r="K124" s="25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</row>
    <row r="125" spans="5:23">
      <c r="E125" s="1"/>
      <c r="F125" s="1"/>
      <c r="G125" s="1"/>
      <c r="H125" s="25"/>
      <c r="I125" s="25"/>
      <c r="J125" s="25"/>
      <c r="K125" s="25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</row>
    <row r="126" spans="5:23">
      <c r="E126" s="1"/>
      <c r="F126" s="1"/>
      <c r="G126" s="1"/>
      <c r="H126" s="25"/>
      <c r="I126" s="25"/>
      <c r="J126" s="25"/>
      <c r="K126" s="25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</row>
    <row r="127" spans="5:23">
      <c r="E127" s="1"/>
      <c r="F127" s="1"/>
      <c r="G127" s="1"/>
      <c r="H127" s="25"/>
      <c r="I127" s="25"/>
      <c r="J127" s="25"/>
      <c r="K127" s="25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</row>
    <row r="128" spans="5:23">
      <c r="E128" s="1"/>
      <c r="F128" s="1"/>
      <c r="G128" s="1"/>
      <c r="H128" s="25"/>
      <c r="I128" s="25"/>
      <c r="J128" s="25"/>
      <c r="K128" s="25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</row>
    <row r="129" spans="5:23">
      <c r="E129" s="1"/>
      <c r="F129" s="1"/>
      <c r="G129" s="1"/>
      <c r="H129" s="25"/>
      <c r="I129" s="25"/>
      <c r="J129" s="25"/>
      <c r="K129" s="25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</row>
    <row r="130" spans="5:23">
      <c r="E130" s="1"/>
      <c r="F130" s="1"/>
      <c r="G130" s="1"/>
      <c r="H130" s="25"/>
      <c r="I130" s="25"/>
      <c r="J130" s="25"/>
      <c r="K130" s="25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5:23">
      <c r="E131" s="1"/>
      <c r="F131" s="1"/>
      <c r="G131" s="1"/>
      <c r="H131" s="25"/>
      <c r="I131" s="25"/>
      <c r="J131" s="25"/>
      <c r="K131" s="25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5:23">
      <c r="E132" s="1"/>
      <c r="F132" s="1"/>
      <c r="G132" s="1"/>
      <c r="H132" s="25"/>
      <c r="I132" s="25"/>
      <c r="J132" s="25"/>
      <c r="K132" s="25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5:23">
      <c r="E133" s="1"/>
      <c r="F133" s="1"/>
      <c r="G133" s="1"/>
      <c r="H133" s="25"/>
      <c r="I133" s="25"/>
      <c r="J133" s="25"/>
      <c r="K133" s="25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5:23">
      <c r="E134" s="1"/>
      <c r="F134" s="1"/>
      <c r="G134" s="1"/>
      <c r="H134" s="25"/>
      <c r="I134" s="25"/>
      <c r="J134" s="25"/>
      <c r="K134" s="25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5:23">
      <c r="E135" s="1"/>
      <c r="F135" s="1"/>
      <c r="G135" s="1"/>
      <c r="H135" s="25"/>
      <c r="I135" s="25"/>
      <c r="J135" s="25"/>
      <c r="K135" s="25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5:23">
      <c r="E136" s="1"/>
      <c r="F136" s="1"/>
      <c r="G136" s="1"/>
      <c r="H136" s="25"/>
      <c r="I136" s="25"/>
      <c r="J136" s="25"/>
      <c r="K136" s="25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5:23">
      <c r="E137" s="1"/>
      <c r="F137" s="1"/>
      <c r="G137" s="1"/>
      <c r="H137" s="25"/>
      <c r="I137" s="25"/>
      <c r="J137" s="25"/>
      <c r="K137" s="25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5:23">
      <c r="E138" s="1"/>
      <c r="F138" s="1"/>
      <c r="G138" s="1"/>
      <c r="H138" s="25"/>
      <c r="I138" s="25"/>
      <c r="J138" s="25"/>
      <c r="K138" s="25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5:23">
      <c r="E139" s="1"/>
      <c r="F139" s="1"/>
      <c r="G139" s="1"/>
      <c r="H139" s="25"/>
      <c r="I139" s="25"/>
      <c r="J139" s="25"/>
      <c r="K139" s="25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5:23">
      <c r="E140" s="1"/>
      <c r="F140" s="1"/>
      <c r="G140" s="1"/>
      <c r="H140" s="25"/>
      <c r="I140" s="25"/>
      <c r="J140" s="25"/>
      <c r="K140" s="25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5:23">
      <c r="E141" s="1"/>
      <c r="F141" s="1"/>
      <c r="G141" s="1"/>
      <c r="H141" s="25"/>
      <c r="I141" s="25"/>
      <c r="J141" s="25"/>
      <c r="K141" s="25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5:23">
      <c r="E142" s="1"/>
      <c r="F142" s="1"/>
      <c r="G142" s="1"/>
      <c r="H142" s="25"/>
      <c r="I142" s="25"/>
      <c r="J142" s="25"/>
      <c r="K142" s="25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5:23">
      <c r="E143" s="1"/>
      <c r="F143" s="1"/>
      <c r="G143" s="1"/>
      <c r="H143" s="25"/>
      <c r="I143" s="25"/>
      <c r="J143" s="25"/>
      <c r="K143" s="25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5:23">
      <c r="E144" s="1"/>
      <c r="F144" s="1"/>
      <c r="G144" s="1"/>
      <c r="H144" s="25"/>
      <c r="I144" s="25"/>
      <c r="J144" s="25"/>
      <c r="K144" s="25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5"/>
      <c r="I145" s="25"/>
      <c r="J145" s="25"/>
      <c r="K145" s="25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5"/>
      <c r="I146" s="25"/>
      <c r="J146" s="25"/>
      <c r="K146" s="25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5"/>
      <c r="I147" s="25"/>
      <c r="J147" s="25"/>
      <c r="K147" s="25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5"/>
      <c r="I148" s="25"/>
      <c r="J148" s="25"/>
      <c r="K148" s="25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5"/>
      <c r="I149" s="25"/>
      <c r="J149" s="25"/>
      <c r="K149" s="25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5"/>
      <c r="I150" s="25"/>
      <c r="J150" s="25"/>
      <c r="K150" s="25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5"/>
      <c r="I151" s="25"/>
      <c r="J151" s="25"/>
      <c r="K151" s="25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5"/>
      <c r="I152" s="25"/>
      <c r="J152" s="25"/>
      <c r="K152" s="25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5"/>
      <c r="I153" s="25"/>
      <c r="J153" s="25"/>
      <c r="K153" s="25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5"/>
      <c r="I154" s="25"/>
      <c r="J154" s="25"/>
      <c r="K154" s="25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5"/>
      <c r="I155" s="25"/>
      <c r="J155" s="25"/>
      <c r="K155" s="25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5"/>
      <c r="I156" s="25"/>
      <c r="J156" s="25"/>
      <c r="K156" s="25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5"/>
      <c r="I157" s="25"/>
      <c r="J157" s="25"/>
      <c r="K157" s="25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5"/>
      <c r="I158" s="25"/>
      <c r="J158" s="25"/>
      <c r="K158" s="25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5"/>
      <c r="I159" s="25"/>
      <c r="J159" s="25"/>
      <c r="K159" s="25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5"/>
      <c r="I160" s="25"/>
      <c r="J160" s="25"/>
      <c r="K160" s="25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5"/>
      <c r="I161" s="25"/>
      <c r="J161" s="25"/>
      <c r="K161" s="25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5"/>
      <c r="I162" s="25"/>
      <c r="J162" s="25"/>
      <c r="K162" s="25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5"/>
      <c r="I163" s="25"/>
      <c r="J163" s="25"/>
      <c r="K163" s="25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5"/>
      <c r="I164" s="25"/>
      <c r="J164" s="25"/>
      <c r="K164" s="25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5"/>
      <c r="I165" s="25"/>
      <c r="J165" s="25"/>
      <c r="K165" s="25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5"/>
      <c r="I166" s="25"/>
      <c r="J166" s="25"/>
      <c r="K166" s="25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5"/>
      <c r="I167" s="25"/>
      <c r="J167" s="25"/>
      <c r="K167" s="25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5"/>
      <c r="I168" s="25"/>
      <c r="J168" s="25"/>
      <c r="K168" s="25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5"/>
      <c r="I169" s="25"/>
      <c r="J169" s="25"/>
      <c r="K169" s="25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5"/>
      <c r="I170" s="25"/>
      <c r="J170" s="25"/>
      <c r="K170" s="25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5"/>
      <c r="I171" s="25"/>
      <c r="J171" s="25"/>
      <c r="K171" s="25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5"/>
      <c r="I172" s="25"/>
      <c r="J172" s="25"/>
      <c r="K172" s="25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5"/>
      <c r="I173" s="25"/>
      <c r="J173" s="25"/>
      <c r="K173" s="25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5"/>
      <c r="I174" s="25"/>
      <c r="J174" s="25"/>
      <c r="K174" s="25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5"/>
      <c r="I175" s="25"/>
      <c r="J175" s="25"/>
      <c r="K175" s="25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5"/>
      <c r="I176" s="25"/>
      <c r="J176" s="25"/>
      <c r="K176" s="25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5"/>
      <c r="I177" s="25"/>
      <c r="J177" s="25"/>
      <c r="K177" s="25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5"/>
      <c r="I178" s="25"/>
      <c r="J178" s="25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5"/>
      <c r="I179" s="25"/>
      <c r="J179" s="25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5"/>
      <c r="I180" s="25"/>
      <c r="J180" s="25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5"/>
      <c r="I181" s="25"/>
      <c r="J181" s="25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5"/>
      <c r="I182" s="25"/>
      <c r="J182" s="25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5"/>
      <c r="I183" s="25"/>
      <c r="J183" s="25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5"/>
      <c r="I184" s="25"/>
      <c r="J184" s="25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5"/>
      <c r="I185" s="25"/>
      <c r="J185" s="25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5"/>
      <c r="I186" s="25"/>
      <c r="J186" s="25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5"/>
      <c r="I187" s="25"/>
      <c r="J187" s="25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5"/>
      <c r="I188" s="25"/>
      <c r="J188" s="25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5"/>
      <c r="I189" s="25"/>
      <c r="J189" s="25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5"/>
      <c r="I190" s="25"/>
      <c r="J190" s="25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5"/>
      <c r="I191" s="25"/>
      <c r="J191" s="25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5"/>
      <c r="I192" s="25"/>
      <c r="J192" s="25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5"/>
      <c r="I193" s="25"/>
      <c r="J193" s="25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5"/>
      <c r="I194" s="25"/>
      <c r="J194" s="25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5"/>
      <c r="I195" s="25"/>
      <c r="J195" s="25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5"/>
      <c r="I196" s="25"/>
      <c r="J196" s="25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5"/>
      <c r="I197" s="25"/>
      <c r="J197" s="25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5"/>
      <c r="I198" s="25"/>
      <c r="J198" s="25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5"/>
      <c r="I199" s="25"/>
      <c r="J199" s="25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5"/>
      <c r="I200" s="25"/>
      <c r="J200" s="25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5"/>
      <c r="I201" s="25"/>
      <c r="J201" s="25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5"/>
      <c r="I202" s="25"/>
      <c r="J202" s="25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5"/>
      <c r="I203" s="25"/>
      <c r="J203" s="25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5"/>
      <c r="I204" s="25"/>
      <c r="J204" s="25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5"/>
      <c r="I205" s="25"/>
      <c r="J205" s="25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5"/>
      <c r="I206" s="25"/>
      <c r="J206" s="25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5"/>
      <c r="I207" s="25"/>
      <c r="J207" s="25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5"/>
      <c r="I208" s="25"/>
      <c r="J208" s="25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5"/>
      <c r="I209" s="25"/>
      <c r="J209" s="25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5"/>
      <c r="I210" s="25"/>
      <c r="J210" s="25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5"/>
      <c r="I211" s="25"/>
      <c r="J211" s="25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5"/>
      <c r="I212" s="25"/>
      <c r="J212" s="25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5"/>
      <c r="I213" s="25"/>
      <c r="J213" s="25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5"/>
      <c r="I214" s="25"/>
      <c r="J214" s="25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5"/>
      <c r="I215" s="25"/>
      <c r="J215" s="25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5"/>
      <c r="I216" s="25"/>
      <c r="J216" s="25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5"/>
      <c r="I217" s="25"/>
      <c r="J217" s="25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5"/>
      <c r="I218" s="25"/>
      <c r="J218" s="25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5"/>
      <c r="I219" s="25"/>
      <c r="J219" s="25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5"/>
      <c r="I220" s="25"/>
      <c r="J220" s="25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5"/>
      <c r="I221" s="25"/>
      <c r="J221" s="25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5"/>
      <c r="I222" s="25"/>
      <c r="J222" s="25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5"/>
      <c r="I223" s="25"/>
      <c r="J223" s="25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5"/>
      <c r="I224" s="25"/>
      <c r="J224" s="25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5"/>
      <c r="I225" s="25"/>
      <c r="J225" s="25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5"/>
      <c r="I226" s="25"/>
      <c r="J226" s="25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5"/>
      <c r="I227" s="25"/>
      <c r="J227" s="25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5"/>
      <c r="I228" s="25"/>
      <c r="J228" s="25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5"/>
      <c r="I229" s="25"/>
      <c r="J229" s="25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5"/>
      <c r="I230" s="25"/>
      <c r="J230" s="25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5"/>
      <c r="I231" s="25"/>
      <c r="J231" s="25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5"/>
      <c r="I232" s="25"/>
      <c r="J232" s="25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5"/>
      <c r="I233" s="25"/>
      <c r="J233" s="25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5"/>
      <c r="I234" s="25"/>
      <c r="J234" s="25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5"/>
      <c r="I235" s="25"/>
      <c r="J235" s="25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5"/>
      <c r="I236" s="25"/>
      <c r="J236" s="25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5"/>
      <c r="I237" s="25"/>
      <c r="J237" s="25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5"/>
      <c r="I238" s="25"/>
      <c r="J238" s="25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5"/>
      <c r="I239" s="25"/>
      <c r="J239" s="25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5"/>
      <c r="I240" s="25"/>
      <c r="J240" s="25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25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25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25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25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25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25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25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25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25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25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25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25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25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25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25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25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25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25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25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25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25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25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25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25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25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25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25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25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25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25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25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25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25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25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25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25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25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25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25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25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25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25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25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25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25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25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25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25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25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25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25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25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25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25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25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25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25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25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25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25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25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25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25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25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25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25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25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25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25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25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25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25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25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25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25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25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25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25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25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25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25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25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25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25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25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25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25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25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25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25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25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25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25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25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25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25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25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25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25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25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25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25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25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25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25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25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25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25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25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25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25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25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25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25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25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25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25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25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25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25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25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25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25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25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25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25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25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25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25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25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25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25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25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25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25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25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25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25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25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25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25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25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25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25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25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25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25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25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25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25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25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25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25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25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25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25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25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25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25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25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25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25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25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25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25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25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25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25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25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25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25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25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25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25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25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25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25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25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25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25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25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25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25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25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25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25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25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25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25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25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25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25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25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25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25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25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25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25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25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25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25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25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25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25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25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25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25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25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25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25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25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25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25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25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25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25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25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25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25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25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25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25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25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25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25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25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25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25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25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25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25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25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25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25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25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25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25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25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25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25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25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25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25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25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25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25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25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25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25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25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25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25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25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25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25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25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25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25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25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25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25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25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25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25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25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25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25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25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25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25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25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25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25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25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25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25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25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25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25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25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25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25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25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25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25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25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25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25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25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25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25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25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25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25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25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25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25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25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25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25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25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25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25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25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25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25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25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25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25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25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25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25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25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25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25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25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25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25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25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25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25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25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25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25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25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25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25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25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25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25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25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25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25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25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25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25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25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25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25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25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25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25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25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25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25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25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25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25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25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25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25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25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25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25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25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25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25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25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25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25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25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25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25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25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25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25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25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25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25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25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25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25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25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25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25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25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25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25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25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25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25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25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25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25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25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25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25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25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25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25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25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25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25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25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25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25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25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25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25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25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25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25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25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25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25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25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25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25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25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25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25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25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25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25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25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25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25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25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25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25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25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25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25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25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25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25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25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25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25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25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25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25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25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25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25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25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25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25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25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25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25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25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25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25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25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25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25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25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25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25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25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25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25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25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25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25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25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25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25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25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25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25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25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25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25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25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25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25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25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25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25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25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25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25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25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25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25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25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25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25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25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25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25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25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25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25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25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25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25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25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25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25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25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25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25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25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25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25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25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25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25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25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25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25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25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25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25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25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25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25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25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25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25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25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25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25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25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25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25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25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25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25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25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25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25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25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25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25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25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25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25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25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25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25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25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25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25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25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25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25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25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25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25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25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25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25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25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25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25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25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25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25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25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25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25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25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25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25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25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25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25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25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25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25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25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25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25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25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25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25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25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25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25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25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25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25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25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25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25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25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25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25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25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25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25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25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25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25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25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25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25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25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25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25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25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25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25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25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25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25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25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25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25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25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25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25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25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25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25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25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25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25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25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25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G1611" s="1"/>
    </row>
  </sheetData>
  <protectedRanges>
    <protectedRange sqref="H5:K44" name="Rango1_1"/>
  </protectedRanges>
  <autoFilter ref="A4:DI4" xr:uid="{00000000-0001-0000-0200-000000000000}"/>
  <mergeCells count="18">
    <mergeCell ref="N3:O3"/>
    <mergeCell ref="P3:Q3"/>
    <mergeCell ref="E3:L3"/>
    <mergeCell ref="E2:L2"/>
    <mergeCell ref="E1:L1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26:E31 E5:F25">
    <cfRule type="expression" dxfId="25" priority="90" stopIfTrue="1">
      <formula>"SEVERSTAL"</formula>
    </cfRule>
  </conditionalFormatting>
  <conditionalFormatting sqref="I17:J21 K22:K25 H26:K44 H10:K16 H5:K8">
    <cfRule type="cellIs" dxfId="24" priority="91" stopIfTrue="1" operator="equal">
      <formula>"APROBADO"</formula>
    </cfRule>
    <cfRule type="cellIs" dxfId="23" priority="92" stopIfTrue="1" operator="equal">
      <formula>"ESPERA"</formula>
    </cfRule>
    <cfRule type="cellIs" dxfId="22" priority="93" stopIfTrue="1" operator="equal">
      <formula>"RECHAZADO"</formula>
    </cfRule>
  </conditionalFormatting>
  <conditionalFormatting sqref="E32:F44 F26:F31">
    <cfRule type="expression" dxfId="21" priority="31" stopIfTrue="1">
      <formula>"SEVERSTAL"</formula>
    </cfRule>
  </conditionalFormatting>
  <conditionalFormatting sqref="K17:K18 H17:H21 H22:J25">
    <cfRule type="cellIs" dxfId="20" priority="20" stopIfTrue="1" operator="equal">
      <formula>"APROBADO"</formula>
    </cfRule>
    <cfRule type="cellIs" dxfId="19" priority="21" stopIfTrue="1" operator="equal">
      <formula>"ESPERA"</formula>
    </cfRule>
    <cfRule type="cellIs" dxfId="18" priority="22" stopIfTrue="1" operator="equal">
      <formula>"RECHAZADO"</formula>
    </cfRule>
  </conditionalFormatting>
  <conditionalFormatting sqref="K19">
    <cfRule type="cellIs" dxfId="17" priority="10" stopIfTrue="1" operator="equal">
      <formula>"APROBADO"</formula>
    </cfRule>
    <cfRule type="cellIs" dxfId="16" priority="11" stopIfTrue="1" operator="equal">
      <formula>"ESPERA"</formula>
    </cfRule>
    <cfRule type="cellIs" dxfId="15" priority="12" stopIfTrue="1" operator="equal">
      <formula>"RECHAZADO"</formula>
    </cfRule>
  </conditionalFormatting>
  <conditionalFormatting sqref="K20:K21">
    <cfRule type="cellIs" dxfId="14" priority="7" stopIfTrue="1" operator="equal">
      <formula>"APROBADO"</formula>
    </cfRule>
    <cfRule type="cellIs" dxfId="13" priority="8" stopIfTrue="1" operator="equal">
      <formula>"ESPERA"</formula>
    </cfRule>
    <cfRule type="cellIs" dxfId="12" priority="9" stopIfTrue="1" operator="equal">
      <formula>"RECHAZADO"</formula>
    </cfRule>
  </conditionalFormatting>
  <conditionalFormatting sqref="H9:K9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7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3" sqref="C3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8" customWidth="1"/>
    <col min="6" max="6" width="8" style="30" customWidth="1"/>
    <col min="7" max="7" width="8.75" style="30" customWidth="1"/>
    <col min="8" max="8" width="12.83203125" style="139" customWidth="1"/>
    <col min="9" max="9" width="5.75" style="30" customWidth="1"/>
    <col min="10" max="10" width="6.58203125" style="30" customWidth="1"/>
    <col min="11" max="11" width="8.08203125" style="30" customWidth="1"/>
    <col min="12" max="12" width="5.75" style="30" customWidth="1"/>
    <col min="13" max="13" width="5.83203125" style="30" customWidth="1"/>
    <col min="14" max="14" width="5.75" style="30" customWidth="1"/>
    <col min="15" max="15" width="7.83203125" style="30" customWidth="1"/>
    <col min="16" max="16" width="6.58203125" style="30" customWidth="1"/>
    <col min="17" max="17" width="5.75" style="30" customWidth="1"/>
    <col min="18" max="19" width="5.58203125" style="30" customWidth="1"/>
    <col min="20" max="20" width="5.75" style="30" customWidth="1"/>
    <col min="21" max="21" width="6.58203125" style="30" customWidth="1"/>
    <col min="22" max="22" width="6.75" style="30" customWidth="1"/>
    <col min="23" max="23" width="8.58203125" style="30" customWidth="1"/>
    <col min="24" max="24" width="10.25" style="30" customWidth="1"/>
    <col min="25" max="31" width="8.58203125" style="30" customWidth="1"/>
    <col min="32" max="32" width="8.58203125" customWidth="1"/>
    <col min="33" max="33" width="8.58203125" style="48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57</v>
      </c>
      <c r="H1" s="136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37"/>
      <c r="I2" s="33"/>
      <c r="J2" s="34" t="s">
        <v>95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3" ht="16.5" customHeight="1">
      <c r="A3" s="35"/>
      <c r="B3" s="35"/>
      <c r="C3" s="35"/>
      <c r="D3" s="35"/>
      <c r="E3" s="50"/>
      <c r="F3" s="212"/>
      <c r="G3" s="212"/>
      <c r="H3" s="138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36"/>
      <c r="Y3" s="36"/>
      <c r="Z3" s="36"/>
      <c r="AA3" s="36"/>
      <c r="AB3" s="36"/>
      <c r="AC3" s="36"/>
      <c r="AD3" s="36"/>
      <c r="AE3" s="37" t="s">
        <v>23</v>
      </c>
      <c r="AF3" s="30" t="s">
        <v>96</v>
      </c>
      <c r="AG3" s="38"/>
    </row>
    <row r="4" spans="1:33" ht="26.25" customHeight="1">
      <c r="E4" s="30"/>
      <c r="F4" s="39"/>
      <c r="I4" s="214" t="s">
        <v>58</v>
      </c>
      <c r="J4" s="214"/>
      <c r="K4" s="214"/>
      <c r="L4" s="214"/>
      <c r="M4" s="214"/>
      <c r="N4" s="214"/>
      <c r="O4" s="214"/>
      <c r="P4" s="213" t="s">
        <v>59</v>
      </c>
      <c r="Q4" s="213"/>
      <c r="R4" s="213"/>
      <c r="S4" s="213"/>
      <c r="T4" s="213"/>
      <c r="U4" s="213"/>
      <c r="V4" s="122"/>
      <c r="W4" s="29"/>
      <c r="X4" s="40"/>
      <c r="Y4" s="40"/>
      <c r="Z4" s="40"/>
      <c r="AA4" s="40"/>
      <c r="AB4" s="40"/>
      <c r="AC4" s="40"/>
      <c r="AD4" s="41" t="s">
        <v>54</v>
      </c>
      <c r="AE4" s="42"/>
      <c r="AF4" s="30"/>
      <c r="AG4" s="42"/>
    </row>
    <row r="5" spans="1:33" ht="21" customHeight="1">
      <c r="A5" s="43"/>
      <c r="E5" s="30"/>
      <c r="F5" s="44"/>
      <c r="G5" s="45"/>
      <c r="H5" s="138"/>
      <c r="I5" s="216" t="s">
        <v>7</v>
      </c>
      <c r="J5" s="217"/>
      <c r="K5" s="215" t="s">
        <v>8</v>
      </c>
      <c r="L5" s="216"/>
      <c r="M5" s="216"/>
      <c r="N5" s="216"/>
      <c r="O5" s="217"/>
      <c r="P5" s="215" t="s">
        <v>12</v>
      </c>
      <c r="Q5" s="217"/>
      <c r="R5" s="215" t="s">
        <v>8</v>
      </c>
      <c r="S5" s="216"/>
      <c r="T5" s="216"/>
      <c r="U5" s="216"/>
      <c r="V5" s="123"/>
      <c r="W5" s="46"/>
      <c r="X5" s="40"/>
      <c r="Y5" s="40"/>
      <c r="Z5" s="40"/>
      <c r="AA5" s="40"/>
      <c r="AB5" s="40"/>
      <c r="AC5" s="40"/>
      <c r="AD5" s="41" t="s">
        <v>55</v>
      </c>
      <c r="AE5" s="42"/>
      <c r="AF5" s="30"/>
      <c r="AG5" s="42"/>
    </row>
    <row r="6" spans="1:33" s="134" customFormat="1" ht="56.25" customHeight="1">
      <c r="A6" s="155" t="s">
        <v>1</v>
      </c>
      <c r="B6" s="155" t="s">
        <v>4</v>
      </c>
      <c r="C6" s="155" t="s">
        <v>60</v>
      </c>
      <c r="D6" s="155" t="s">
        <v>112</v>
      </c>
      <c r="E6" s="155" t="s">
        <v>3</v>
      </c>
      <c r="F6" s="155" t="s">
        <v>5</v>
      </c>
      <c r="G6" s="155" t="s">
        <v>11</v>
      </c>
      <c r="H6" s="156" t="s">
        <v>70</v>
      </c>
      <c r="I6" s="155" t="s">
        <v>6</v>
      </c>
      <c r="J6" s="155" t="s">
        <v>63</v>
      </c>
      <c r="K6" s="155" t="s">
        <v>62</v>
      </c>
      <c r="L6" s="155" t="s">
        <v>9</v>
      </c>
      <c r="M6" s="155" t="s">
        <v>10</v>
      </c>
      <c r="N6" s="155" t="s">
        <v>15</v>
      </c>
      <c r="O6" s="155" t="s">
        <v>64</v>
      </c>
      <c r="P6" s="155" t="s">
        <v>65</v>
      </c>
      <c r="Q6" s="155" t="s">
        <v>6</v>
      </c>
      <c r="R6" s="155" t="s">
        <v>9</v>
      </c>
      <c r="S6" s="155" t="s">
        <v>10</v>
      </c>
      <c r="T6" s="155" t="s">
        <v>15</v>
      </c>
      <c r="U6" s="155" t="s">
        <v>66</v>
      </c>
      <c r="V6" s="155" t="s">
        <v>62</v>
      </c>
      <c r="W6" s="155" t="s">
        <v>0</v>
      </c>
      <c r="X6" s="155" t="s">
        <v>53</v>
      </c>
      <c r="Y6" s="155" t="s">
        <v>61</v>
      </c>
      <c r="Z6" s="155" t="s">
        <v>87</v>
      </c>
      <c r="AA6" s="155" t="s">
        <v>69</v>
      </c>
      <c r="AB6" s="155" t="s">
        <v>93</v>
      </c>
      <c r="AC6" s="155" t="s">
        <v>91</v>
      </c>
      <c r="AD6" s="155" t="s">
        <v>94</v>
      </c>
      <c r="AE6" s="155" t="s">
        <v>52</v>
      </c>
      <c r="AF6" s="155" t="s">
        <v>71</v>
      </c>
      <c r="AG6" s="155" t="s">
        <v>56</v>
      </c>
    </row>
    <row r="7" spans="1:33" s="48" customFormat="1">
      <c r="A7" s="135">
        <v>43071</v>
      </c>
      <c r="B7" s="49">
        <v>2</v>
      </c>
      <c r="C7" s="49">
        <v>2412008</v>
      </c>
      <c r="D7" s="173" t="s">
        <v>92</v>
      </c>
      <c r="E7" s="144">
        <v>90641</v>
      </c>
      <c r="F7" s="145">
        <v>4175</v>
      </c>
      <c r="G7" s="146">
        <v>60</v>
      </c>
      <c r="H7" s="147" t="s">
        <v>97</v>
      </c>
      <c r="I7" s="148">
        <v>0</v>
      </c>
      <c r="J7" s="149">
        <v>1</v>
      </c>
      <c r="K7" s="150">
        <v>0</v>
      </c>
      <c r="L7" s="151">
        <v>0</v>
      </c>
      <c r="M7" s="148">
        <v>0</v>
      </c>
      <c r="N7" s="152">
        <v>0</v>
      </c>
      <c r="O7" s="146">
        <v>0</v>
      </c>
      <c r="P7" s="151">
        <v>1</v>
      </c>
      <c r="Q7" s="146">
        <v>0</v>
      </c>
      <c r="R7" s="151">
        <v>0</v>
      </c>
      <c r="S7" s="148">
        <v>0</v>
      </c>
      <c r="T7" s="152">
        <v>0</v>
      </c>
      <c r="U7" s="151">
        <v>0</v>
      </c>
      <c r="V7" s="151">
        <v>0</v>
      </c>
      <c r="W7" s="153">
        <f>+G7-(SUM(I7:O7:V7))</f>
        <v>58</v>
      </c>
      <c r="X7" s="142"/>
      <c r="Y7" s="142"/>
      <c r="Z7" s="131"/>
      <c r="AA7" s="131"/>
      <c r="AB7" s="131"/>
      <c r="AC7" s="131"/>
      <c r="AD7" s="154">
        <f>W7-SUM(Y7+AC7+AB7)</f>
        <v>58</v>
      </c>
      <c r="AE7" s="132"/>
      <c r="AF7" s="133"/>
      <c r="AG7" s="125"/>
    </row>
    <row r="8" spans="1:33" s="48" customFormat="1">
      <c r="A8" s="135">
        <v>43086</v>
      </c>
      <c r="B8" s="49">
        <v>1</v>
      </c>
      <c r="C8" s="49">
        <v>2412008</v>
      </c>
      <c r="D8" s="173" t="s">
        <v>92</v>
      </c>
      <c r="E8" s="144">
        <v>90640</v>
      </c>
      <c r="F8" s="145">
        <v>4301</v>
      </c>
      <c r="G8" s="146">
        <v>24</v>
      </c>
      <c r="H8" s="147" t="s">
        <v>98</v>
      </c>
      <c r="I8" s="148">
        <v>0</v>
      </c>
      <c r="J8" s="149">
        <v>0</v>
      </c>
      <c r="K8" s="150">
        <v>0</v>
      </c>
      <c r="L8" s="151">
        <v>0</v>
      </c>
      <c r="M8" s="148">
        <v>0</v>
      </c>
      <c r="N8" s="152">
        <v>0</v>
      </c>
      <c r="O8" s="146">
        <v>0</v>
      </c>
      <c r="P8" s="151">
        <v>0</v>
      </c>
      <c r="Q8" s="146">
        <v>0</v>
      </c>
      <c r="R8" s="151">
        <v>0</v>
      </c>
      <c r="S8" s="148">
        <v>0</v>
      </c>
      <c r="T8" s="152">
        <v>0</v>
      </c>
      <c r="U8" s="151">
        <v>0</v>
      </c>
      <c r="V8" s="151">
        <v>0</v>
      </c>
      <c r="W8" s="153">
        <f>+G8-(SUM(I8:O8:V8))</f>
        <v>24</v>
      </c>
      <c r="X8" s="142"/>
      <c r="Y8" s="142"/>
      <c r="Z8" s="131"/>
      <c r="AA8" s="131"/>
      <c r="AB8" s="131"/>
      <c r="AC8" s="131"/>
      <c r="AD8" s="154">
        <f>W8-SUM(Y8+AC8+AB8)</f>
        <v>24</v>
      </c>
      <c r="AE8" s="132"/>
      <c r="AF8" s="133"/>
      <c r="AG8" s="125"/>
    </row>
    <row r="9" spans="1:33" s="48" customFormat="1">
      <c r="A9" s="135">
        <v>43086</v>
      </c>
      <c r="B9" s="49">
        <v>2</v>
      </c>
      <c r="C9" s="49">
        <v>2412008</v>
      </c>
      <c r="D9" s="173" t="s">
        <v>92</v>
      </c>
      <c r="E9" s="144">
        <v>90640</v>
      </c>
      <c r="F9" s="145">
        <v>4301</v>
      </c>
      <c r="G9" s="146">
        <v>76</v>
      </c>
      <c r="H9" s="147" t="s">
        <v>98</v>
      </c>
      <c r="I9" s="148">
        <v>0</v>
      </c>
      <c r="J9" s="149">
        <v>0</v>
      </c>
      <c r="K9" s="150">
        <v>0</v>
      </c>
      <c r="L9" s="151">
        <v>0</v>
      </c>
      <c r="M9" s="148">
        <v>0</v>
      </c>
      <c r="N9" s="152">
        <v>0</v>
      </c>
      <c r="O9" s="146">
        <v>0</v>
      </c>
      <c r="P9" s="151">
        <v>0</v>
      </c>
      <c r="Q9" s="146">
        <v>0</v>
      </c>
      <c r="R9" s="151">
        <v>0</v>
      </c>
      <c r="S9" s="148">
        <v>0</v>
      </c>
      <c r="T9" s="152">
        <v>0</v>
      </c>
      <c r="U9" s="151">
        <v>0</v>
      </c>
      <c r="V9" s="151">
        <v>0</v>
      </c>
      <c r="W9" s="153">
        <f>+G9-(SUM(I9:O9:V9))</f>
        <v>76</v>
      </c>
      <c r="X9" s="142"/>
      <c r="Y9" s="142"/>
      <c r="Z9" s="131"/>
      <c r="AA9" s="131"/>
      <c r="AB9" s="131"/>
      <c r="AC9" s="131"/>
      <c r="AD9" s="154">
        <f>W9-SUM(Y9+AC9+AB9)</f>
        <v>76</v>
      </c>
      <c r="AE9" s="132"/>
      <c r="AF9" s="133"/>
      <c r="AG9" s="125"/>
    </row>
    <row r="10" spans="1:33" s="48" customFormat="1">
      <c r="A10" s="135">
        <v>43086</v>
      </c>
      <c r="B10" s="49">
        <v>2</v>
      </c>
      <c r="C10" s="49">
        <v>2412008</v>
      </c>
      <c r="D10" s="173" t="s">
        <v>92</v>
      </c>
      <c r="E10" s="144">
        <v>90640</v>
      </c>
      <c r="F10" s="145">
        <v>4302</v>
      </c>
      <c r="G10" s="146">
        <v>4</v>
      </c>
      <c r="H10" s="147" t="s">
        <v>99</v>
      </c>
      <c r="I10" s="148">
        <v>0</v>
      </c>
      <c r="J10" s="149">
        <v>0</v>
      </c>
      <c r="K10" s="150">
        <v>0</v>
      </c>
      <c r="L10" s="151">
        <v>0</v>
      </c>
      <c r="M10" s="148">
        <v>0</v>
      </c>
      <c r="N10" s="152">
        <v>0</v>
      </c>
      <c r="O10" s="146">
        <v>0</v>
      </c>
      <c r="P10" s="151">
        <v>0</v>
      </c>
      <c r="Q10" s="146">
        <v>0</v>
      </c>
      <c r="R10" s="151">
        <v>0</v>
      </c>
      <c r="S10" s="148">
        <v>0</v>
      </c>
      <c r="T10" s="152">
        <v>0</v>
      </c>
      <c r="U10" s="151">
        <v>0</v>
      </c>
      <c r="V10" s="151">
        <v>0</v>
      </c>
      <c r="W10" s="153">
        <f>+G10-(SUM(I10:O10:V10))</f>
        <v>4</v>
      </c>
      <c r="X10" s="142"/>
      <c r="Y10" s="142"/>
      <c r="Z10" s="131"/>
      <c r="AA10" s="131"/>
      <c r="AB10" s="131"/>
      <c r="AC10" s="131"/>
      <c r="AD10" s="154">
        <f>W10-SUM(Y10+AC10+AB10)</f>
        <v>4</v>
      </c>
      <c r="AE10" s="132"/>
      <c r="AF10" s="133"/>
      <c r="AG10" s="125"/>
    </row>
    <row r="11" spans="1:33" s="48" customFormat="1">
      <c r="A11" s="135">
        <v>43086</v>
      </c>
      <c r="B11" s="49">
        <v>2</v>
      </c>
      <c r="C11" s="49">
        <v>2412008</v>
      </c>
      <c r="D11" s="173" t="s">
        <v>92</v>
      </c>
      <c r="E11" s="144">
        <v>90641</v>
      </c>
      <c r="F11" s="145">
        <v>4302</v>
      </c>
      <c r="G11" s="146">
        <v>92</v>
      </c>
      <c r="H11" s="147" t="s">
        <v>100</v>
      </c>
      <c r="I11" s="148">
        <v>0</v>
      </c>
      <c r="J11" s="149">
        <v>0</v>
      </c>
      <c r="K11" s="150">
        <v>0</v>
      </c>
      <c r="L11" s="151">
        <v>0</v>
      </c>
      <c r="M11" s="148">
        <v>0</v>
      </c>
      <c r="N11" s="152">
        <v>0</v>
      </c>
      <c r="O11" s="146">
        <v>0</v>
      </c>
      <c r="P11" s="151">
        <v>0</v>
      </c>
      <c r="Q11" s="146">
        <v>0</v>
      </c>
      <c r="R11" s="151">
        <v>0</v>
      </c>
      <c r="S11" s="148">
        <v>0</v>
      </c>
      <c r="T11" s="152">
        <v>0</v>
      </c>
      <c r="U11" s="151">
        <v>0</v>
      </c>
      <c r="V11" s="151">
        <v>0</v>
      </c>
      <c r="W11" s="153">
        <f>+G11-(SUM(I11:O11:V11))</f>
        <v>92</v>
      </c>
      <c r="X11" s="142"/>
      <c r="Y11" s="142"/>
      <c r="Z11" s="131"/>
      <c r="AA11" s="131"/>
      <c r="AB11" s="131"/>
      <c r="AC11" s="131"/>
      <c r="AD11" s="154">
        <f>W11-SUM(Y11+AC11+AB11)</f>
        <v>92</v>
      </c>
      <c r="AE11" s="132"/>
      <c r="AF11" s="133"/>
      <c r="AG11" s="125"/>
    </row>
    <row r="12" spans="1:33" s="48" customFormat="1">
      <c r="A12" s="135"/>
      <c r="B12" s="49"/>
      <c r="C12" s="49"/>
      <c r="D12" s="173"/>
      <c r="E12" s="144"/>
      <c r="F12" s="145"/>
      <c r="G12" s="146"/>
      <c r="H12" s="147"/>
      <c r="I12" s="148">
        <v>0</v>
      </c>
      <c r="J12" s="149">
        <v>0</v>
      </c>
      <c r="K12" s="150">
        <v>0</v>
      </c>
      <c r="L12" s="151">
        <v>0</v>
      </c>
      <c r="M12" s="148">
        <v>0</v>
      </c>
      <c r="N12" s="152">
        <v>0</v>
      </c>
      <c r="O12" s="146">
        <v>0</v>
      </c>
      <c r="P12" s="151">
        <v>0</v>
      </c>
      <c r="Q12" s="146">
        <v>0</v>
      </c>
      <c r="R12" s="151">
        <v>0</v>
      </c>
      <c r="S12" s="148">
        <v>0</v>
      </c>
      <c r="T12" s="152">
        <v>0</v>
      </c>
      <c r="U12" s="151">
        <v>0</v>
      </c>
      <c r="V12" s="151">
        <v>0</v>
      </c>
      <c r="W12" s="153">
        <f>+G12-(SUM(I12:O12:V12))</f>
        <v>0</v>
      </c>
      <c r="X12" s="142"/>
      <c r="Y12" s="142"/>
      <c r="Z12" s="131"/>
      <c r="AA12" s="131"/>
      <c r="AB12" s="131"/>
      <c r="AC12" s="131"/>
      <c r="AD12" s="154">
        <f t="shared" ref="AD12:AD41" si="0">W12-SUM(Y12+AC12)</f>
        <v>0</v>
      </c>
      <c r="AE12" s="132"/>
      <c r="AF12" s="133"/>
      <c r="AG12" s="125"/>
    </row>
    <row r="13" spans="1:33" s="48" customFormat="1">
      <c r="A13" s="135"/>
      <c r="B13" s="49"/>
      <c r="C13" s="49"/>
      <c r="D13" s="49"/>
      <c r="E13" s="144"/>
      <c r="F13" s="145"/>
      <c r="G13" s="146"/>
      <c r="H13" s="147"/>
      <c r="I13" s="148">
        <v>0</v>
      </c>
      <c r="J13" s="149">
        <v>0</v>
      </c>
      <c r="K13" s="150">
        <v>0</v>
      </c>
      <c r="L13" s="151">
        <v>0</v>
      </c>
      <c r="M13" s="148">
        <v>0</v>
      </c>
      <c r="N13" s="152">
        <v>0</v>
      </c>
      <c r="O13" s="146">
        <v>0</v>
      </c>
      <c r="P13" s="151">
        <v>0</v>
      </c>
      <c r="Q13" s="146">
        <v>0</v>
      </c>
      <c r="R13" s="151">
        <v>0</v>
      </c>
      <c r="S13" s="148">
        <v>0</v>
      </c>
      <c r="T13" s="152">
        <v>0</v>
      </c>
      <c r="U13" s="151">
        <v>0</v>
      </c>
      <c r="V13" s="151">
        <v>0</v>
      </c>
      <c r="W13" s="153">
        <f>+G13-(SUM(I13:O13:V13))</f>
        <v>0</v>
      </c>
      <c r="X13" s="142"/>
      <c r="Y13" s="142"/>
      <c r="Z13" s="131"/>
      <c r="AA13" s="131"/>
      <c r="AB13" s="131"/>
      <c r="AC13" s="131"/>
      <c r="AD13" s="154">
        <f t="shared" si="0"/>
        <v>0</v>
      </c>
      <c r="AE13" s="132"/>
      <c r="AF13" s="133"/>
      <c r="AG13" s="125"/>
    </row>
    <row r="14" spans="1:33" s="48" customFormat="1">
      <c r="A14" s="135"/>
      <c r="B14" s="49"/>
      <c r="C14" s="49"/>
      <c r="D14" s="49"/>
      <c r="E14" s="144"/>
      <c r="F14" s="145"/>
      <c r="G14" s="146"/>
      <c r="H14" s="147"/>
      <c r="I14" s="148">
        <v>0</v>
      </c>
      <c r="J14" s="149">
        <v>0</v>
      </c>
      <c r="K14" s="150">
        <v>0</v>
      </c>
      <c r="L14" s="151">
        <v>0</v>
      </c>
      <c r="M14" s="148">
        <v>0</v>
      </c>
      <c r="N14" s="152">
        <v>0</v>
      </c>
      <c r="O14" s="146">
        <v>0</v>
      </c>
      <c r="P14" s="151">
        <v>0</v>
      </c>
      <c r="Q14" s="146">
        <v>0</v>
      </c>
      <c r="R14" s="151">
        <v>0</v>
      </c>
      <c r="S14" s="148">
        <v>0</v>
      </c>
      <c r="T14" s="152">
        <v>0</v>
      </c>
      <c r="U14" s="151">
        <v>0</v>
      </c>
      <c r="V14" s="151">
        <v>0</v>
      </c>
      <c r="W14" s="153">
        <f>+G14-(SUM(I14:O14:V14))</f>
        <v>0</v>
      </c>
      <c r="X14" s="142"/>
      <c r="Y14" s="142"/>
      <c r="Z14" s="131"/>
      <c r="AA14" s="131"/>
      <c r="AB14" s="131"/>
      <c r="AC14" s="131"/>
      <c r="AD14" s="154">
        <f t="shared" si="0"/>
        <v>0</v>
      </c>
      <c r="AE14" s="132"/>
      <c r="AF14" s="133"/>
      <c r="AG14" s="125"/>
    </row>
    <row r="15" spans="1:33" s="48" customFormat="1">
      <c r="A15" s="135"/>
      <c r="B15" s="49"/>
      <c r="C15" s="49"/>
      <c r="D15" s="49"/>
      <c r="E15" s="144"/>
      <c r="F15" s="145"/>
      <c r="G15" s="146"/>
      <c r="H15" s="147"/>
      <c r="I15" s="148">
        <v>0</v>
      </c>
      <c r="J15" s="149">
        <v>0</v>
      </c>
      <c r="K15" s="150">
        <v>0</v>
      </c>
      <c r="L15" s="151">
        <v>0</v>
      </c>
      <c r="M15" s="148">
        <v>0</v>
      </c>
      <c r="N15" s="152">
        <v>0</v>
      </c>
      <c r="O15" s="146">
        <v>0</v>
      </c>
      <c r="P15" s="151">
        <v>0</v>
      </c>
      <c r="Q15" s="146">
        <v>0</v>
      </c>
      <c r="R15" s="151">
        <v>0</v>
      </c>
      <c r="S15" s="148">
        <v>0</v>
      </c>
      <c r="T15" s="152">
        <v>0</v>
      </c>
      <c r="U15" s="151">
        <v>0</v>
      </c>
      <c r="V15" s="151">
        <v>0</v>
      </c>
      <c r="W15" s="153">
        <f>+G15-(SUM(I15:O15:V15))</f>
        <v>0</v>
      </c>
      <c r="X15" s="142"/>
      <c r="Y15" s="142"/>
      <c r="Z15" s="131"/>
      <c r="AA15" s="131"/>
      <c r="AB15" s="131"/>
      <c r="AC15" s="131"/>
      <c r="AD15" s="154">
        <f t="shared" si="0"/>
        <v>0</v>
      </c>
      <c r="AE15" s="132"/>
      <c r="AF15" s="133"/>
      <c r="AG15" s="125"/>
    </row>
    <row r="16" spans="1:33" s="48" customFormat="1">
      <c r="A16" s="135"/>
      <c r="B16" s="49"/>
      <c r="C16" s="49"/>
      <c r="D16" s="49"/>
      <c r="E16" s="144"/>
      <c r="F16" s="145"/>
      <c r="G16" s="146"/>
      <c r="H16" s="147"/>
      <c r="I16" s="148">
        <v>0</v>
      </c>
      <c r="J16" s="149">
        <v>0</v>
      </c>
      <c r="K16" s="150">
        <v>0</v>
      </c>
      <c r="L16" s="151">
        <v>0</v>
      </c>
      <c r="M16" s="148">
        <v>0</v>
      </c>
      <c r="N16" s="152">
        <v>0</v>
      </c>
      <c r="O16" s="146">
        <v>0</v>
      </c>
      <c r="P16" s="151">
        <v>0</v>
      </c>
      <c r="Q16" s="146">
        <v>0</v>
      </c>
      <c r="R16" s="151">
        <v>0</v>
      </c>
      <c r="S16" s="148">
        <v>0</v>
      </c>
      <c r="T16" s="152">
        <v>0</v>
      </c>
      <c r="U16" s="151">
        <v>0</v>
      </c>
      <c r="V16" s="151">
        <v>0</v>
      </c>
      <c r="W16" s="153">
        <f>+G16-(SUM(I16:O16:V16))</f>
        <v>0</v>
      </c>
      <c r="X16" s="142"/>
      <c r="Y16" s="142"/>
      <c r="Z16" s="131"/>
      <c r="AA16" s="131"/>
      <c r="AB16" s="131"/>
      <c r="AC16" s="131"/>
      <c r="AD16" s="154">
        <f t="shared" si="0"/>
        <v>0</v>
      </c>
      <c r="AE16" s="132"/>
      <c r="AF16" s="133"/>
      <c r="AG16" s="125"/>
    </row>
    <row r="17" spans="1:33" s="48" customFormat="1">
      <c r="A17" s="135"/>
      <c r="B17" s="49"/>
      <c r="C17" s="49"/>
      <c r="D17" s="49"/>
      <c r="E17" s="144"/>
      <c r="F17" s="145"/>
      <c r="G17" s="146"/>
      <c r="H17" s="147"/>
      <c r="I17" s="148">
        <v>0</v>
      </c>
      <c r="J17" s="149">
        <v>0</v>
      </c>
      <c r="K17" s="150">
        <v>0</v>
      </c>
      <c r="L17" s="151">
        <v>0</v>
      </c>
      <c r="M17" s="148">
        <v>0</v>
      </c>
      <c r="N17" s="152">
        <v>0</v>
      </c>
      <c r="O17" s="146">
        <v>0</v>
      </c>
      <c r="P17" s="151">
        <v>0</v>
      </c>
      <c r="Q17" s="146">
        <v>0</v>
      </c>
      <c r="R17" s="151">
        <v>0</v>
      </c>
      <c r="S17" s="148">
        <v>0</v>
      </c>
      <c r="T17" s="152">
        <v>0</v>
      </c>
      <c r="U17" s="151">
        <v>0</v>
      </c>
      <c r="V17" s="151">
        <v>0</v>
      </c>
      <c r="W17" s="153">
        <f>+G17-(SUM(I17:O17:V17))</f>
        <v>0</v>
      </c>
      <c r="X17" s="142"/>
      <c r="Y17" s="142"/>
      <c r="Z17" s="131"/>
      <c r="AA17" s="131"/>
      <c r="AB17" s="131"/>
      <c r="AC17" s="131"/>
      <c r="AD17" s="154">
        <f t="shared" si="0"/>
        <v>0</v>
      </c>
      <c r="AE17" s="132"/>
      <c r="AF17" s="133"/>
      <c r="AG17" s="125"/>
    </row>
    <row r="18" spans="1:33" s="48" customFormat="1">
      <c r="A18" s="135"/>
      <c r="B18" s="49"/>
      <c r="C18" s="49"/>
      <c r="D18" s="49"/>
      <c r="E18" s="125"/>
      <c r="F18" s="49"/>
      <c r="G18" s="126"/>
      <c r="H18" s="143"/>
      <c r="I18" s="127">
        <v>0</v>
      </c>
      <c r="J18" s="128">
        <v>0</v>
      </c>
      <c r="K18" s="133">
        <v>0</v>
      </c>
      <c r="L18" s="129">
        <v>0</v>
      </c>
      <c r="M18" s="127">
        <v>0</v>
      </c>
      <c r="N18" s="130">
        <v>0</v>
      </c>
      <c r="O18" s="126">
        <v>0</v>
      </c>
      <c r="P18" s="151">
        <v>0</v>
      </c>
      <c r="Q18" s="126">
        <v>0</v>
      </c>
      <c r="R18" s="129">
        <v>0</v>
      </c>
      <c r="S18" s="127">
        <v>0</v>
      </c>
      <c r="T18" s="130">
        <v>0</v>
      </c>
      <c r="U18" s="129">
        <v>0</v>
      </c>
      <c r="V18" s="129">
        <v>0</v>
      </c>
      <c r="W18" s="153">
        <f>+G18-(SUM(I18:O18:V18))</f>
        <v>0</v>
      </c>
      <c r="X18" s="131"/>
      <c r="Y18" s="131"/>
      <c r="Z18" s="131"/>
      <c r="AA18" s="131"/>
      <c r="AB18" s="131"/>
      <c r="AC18" s="131"/>
      <c r="AD18" s="154">
        <f t="shared" si="0"/>
        <v>0</v>
      </c>
      <c r="AE18" s="132"/>
      <c r="AF18" s="133"/>
      <c r="AG18" s="125"/>
    </row>
    <row r="19" spans="1:33" s="48" customFormat="1">
      <c r="A19" s="135"/>
      <c r="B19" s="49"/>
      <c r="C19" s="49"/>
      <c r="D19" s="49"/>
      <c r="E19" s="125"/>
      <c r="F19" s="49"/>
      <c r="G19" s="126"/>
      <c r="H19" s="143"/>
      <c r="I19" s="127">
        <v>0</v>
      </c>
      <c r="J19" s="128">
        <v>0</v>
      </c>
      <c r="K19" s="133">
        <v>0</v>
      </c>
      <c r="L19" s="129">
        <v>0</v>
      </c>
      <c r="M19" s="127">
        <v>0</v>
      </c>
      <c r="N19" s="130">
        <v>0</v>
      </c>
      <c r="O19" s="126">
        <v>0</v>
      </c>
      <c r="P19" s="151">
        <v>0</v>
      </c>
      <c r="Q19" s="126">
        <v>0</v>
      </c>
      <c r="R19" s="129">
        <v>0</v>
      </c>
      <c r="S19" s="127">
        <v>0</v>
      </c>
      <c r="T19" s="130">
        <v>0</v>
      </c>
      <c r="U19" s="129">
        <v>0</v>
      </c>
      <c r="V19" s="129">
        <v>0</v>
      </c>
      <c r="W19" s="153">
        <f>+G19-(SUM(I19:O19:V19))</f>
        <v>0</v>
      </c>
      <c r="X19" s="131"/>
      <c r="Y19" s="142"/>
      <c r="Z19" s="131"/>
      <c r="AA19" s="131"/>
      <c r="AB19" s="131"/>
      <c r="AC19" s="131"/>
      <c r="AD19" s="141">
        <f t="shared" si="0"/>
        <v>0</v>
      </c>
      <c r="AE19" s="132"/>
      <c r="AF19" s="133"/>
      <c r="AG19" s="125"/>
    </row>
    <row r="20" spans="1:33" s="48" customFormat="1">
      <c r="A20" s="124"/>
      <c r="B20" s="49"/>
      <c r="C20" s="49"/>
      <c r="D20" s="49"/>
      <c r="E20" s="125"/>
      <c r="F20" s="49"/>
      <c r="G20" s="126"/>
      <c r="H20" s="143"/>
      <c r="I20" s="127">
        <v>0</v>
      </c>
      <c r="J20" s="128">
        <v>0</v>
      </c>
      <c r="K20" s="133">
        <v>0</v>
      </c>
      <c r="L20" s="129">
        <v>0</v>
      </c>
      <c r="M20" s="127">
        <v>0</v>
      </c>
      <c r="N20" s="130">
        <v>0</v>
      </c>
      <c r="O20" s="126">
        <v>0</v>
      </c>
      <c r="P20" s="151">
        <v>0</v>
      </c>
      <c r="Q20" s="126">
        <v>0</v>
      </c>
      <c r="R20" s="129">
        <v>0</v>
      </c>
      <c r="S20" s="127">
        <v>0</v>
      </c>
      <c r="T20" s="130">
        <v>0</v>
      </c>
      <c r="U20" s="129">
        <v>0</v>
      </c>
      <c r="V20" s="129">
        <v>0</v>
      </c>
      <c r="W20" s="153">
        <f>+G20-(SUM(I20:O20:V20))</f>
        <v>0</v>
      </c>
      <c r="X20" s="131"/>
      <c r="Y20" s="131"/>
      <c r="Z20" s="131"/>
      <c r="AA20" s="131"/>
      <c r="AB20" s="131"/>
      <c r="AC20" s="131"/>
      <c r="AD20" s="141">
        <f t="shared" si="0"/>
        <v>0</v>
      </c>
      <c r="AE20" s="132"/>
      <c r="AF20" s="133"/>
      <c r="AG20" s="125"/>
    </row>
    <row r="21" spans="1:33" s="48" customFormat="1">
      <c r="A21" s="124"/>
      <c r="B21" s="49"/>
      <c r="C21" s="49"/>
      <c r="D21" s="49"/>
      <c r="E21" s="125"/>
      <c r="F21" s="49"/>
      <c r="G21" s="126"/>
      <c r="H21" s="143"/>
      <c r="I21" s="127">
        <v>0</v>
      </c>
      <c r="J21" s="128">
        <v>0</v>
      </c>
      <c r="K21" s="133">
        <v>0</v>
      </c>
      <c r="L21" s="129">
        <v>0</v>
      </c>
      <c r="M21" s="127">
        <v>0</v>
      </c>
      <c r="N21" s="130">
        <v>0</v>
      </c>
      <c r="O21" s="126">
        <v>0</v>
      </c>
      <c r="P21" s="151">
        <v>0</v>
      </c>
      <c r="Q21" s="126">
        <v>0</v>
      </c>
      <c r="R21" s="129">
        <v>0</v>
      </c>
      <c r="S21" s="127">
        <v>0</v>
      </c>
      <c r="T21" s="130">
        <v>0</v>
      </c>
      <c r="U21" s="129">
        <v>0</v>
      </c>
      <c r="V21" s="129">
        <v>0</v>
      </c>
      <c r="W21" s="153">
        <f>+G21-(SUM(I21:O21:V21))</f>
        <v>0</v>
      </c>
      <c r="X21" s="131"/>
      <c r="Y21" s="131"/>
      <c r="Z21" s="131"/>
      <c r="AA21" s="131"/>
      <c r="AB21" s="131"/>
      <c r="AC21" s="131"/>
      <c r="AD21" s="141">
        <f t="shared" si="0"/>
        <v>0</v>
      </c>
      <c r="AE21" s="132"/>
      <c r="AF21" s="133"/>
      <c r="AG21" s="125"/>
    </row>
    <row r="22" spans="1:33" s="48" customFormat="1">
      <c r="A22" s="124"/>
      <c r="B22" s="49"/>
      <c r="C22" s="49"/>
      <c r="D22" s="49"/>
      <c r="E22" s="125"/>
      <c r="F22" s="49"/>
      <c r="G22" s="126"/>
      <c r="H22" s="143"/>
      <c r="I22" s="127">
        <v>0</v>
      </c>
      <c r="J22" s="128">
        <v>0</v>
      </c>
      <c r="K22" s="133">
        <v>0</v>
      </c>
      <c r="L22" s="129">
        <v>0</v>
      </c>
      <c r="M22" s="127">
        <v>0</v>
      </c>
      <c r="N22" s="130">
        <v>0</v>
      </c>
      <c r="O22" s="126">
        <v>0</v>
      </c>
      <c r="P22" s="129">
        <v>0</v>
      </c>
      <c r="Q22" s="126">
        <v>0</v>
      </c>
      <c r="R22" s="129">
        <v>0</v>
      </c>
      <c r="S22" s="127">
        <v>0</v>
      </c>
      <c r="T22" s="130">
        <v>0</v>
      </c>
      <c r="U22" s="129">
        <v>0</v>
      </c>
      <c r="V22" s="129">
        <v>0</v>
      </c>
      <c r="W22" s="153">
        <f>+G22-(SUM(I22:O22:V22))</f>
        <v>0</v>
      </c>
      <c r="X22" s="131"/>
      <c r="Y22" s="131"/>
      <c r="Z22" s="131"/>
      <c r="AA22" s="131"/>
      <c r="AB22" s="131"/>
      <c r="AC22" s="131"/>
      <c r="AD22" s="141">
        <f t="shared" si="0"/>
        <v>0</v>
      </c>
      <c r="AE22" s="132"/>
      <c r="AF22" s="133"/>
      <c r="AG22" s="125"/>
    </row>
    <row r="23" spans="1:33" s="48" customFormat="1">
      <c r="A23" s="124"/>
      <c r="B23" s="49"/>
      <c r="C23" s="49"/>
      <c r="D23" s="49"/>
      <c r="E23" s="125"/>
      <c r="F23" s="49"/>
      <c r="G23" s="126"/>
      <c r="H23" s="143"/>
      <c r="I23" s="127">
        <v>0</v>
      </c>
      <c r="J23" s="128">
        <v>0</v>
      </c>
      <c r="K23" s="133">
        <v>0</v>
      </c>
      <c r="L23" s="129">
        <v>0</v>
      </c>
      <c r="M23" s="127">
        <v>0</v>
      </c>
      <c r="N23" s="130">
        <v>0</v>
      </c>
      <c r="O23" s="126">
        <v>0</v>
      </c>
      <c r="P23" s="129">
        <v>0</v>
      </c>
      <c r="Q23" s="126">
        <v>0</v>
      </c>
      <c r="R23" s="129">
        <v>0</v>
      </c>
      <c r="S23" s="127">
        <v>0</v>
      </c>
      <c r="T23" s="130">
        <v>0</v>
      </c>
      <c r="U23" s="129">
        <v>0</v>
      </c>
      <c r="V23" s="129">
        <v>0</v>
      </c>
      <c r="W23" s="153">
        <f>+G23-(SUM(I23:O23:V23))</f>
        <v>0</v>
      </c>
      <c r="X23" s="131"/>
      <c r="Y23" s="131"/>
      <c r="Z23" s="131"/>
      <c r="AA23" s="131"/>
      <c r="AB23" s="131"/>
      <c r="AC23" s="131"/>
      <c r="AD23" s="141">
        <f t="shared" si="0"/>
        <v>0</v>
      </c>
      <c r="AE23" s="132"/>
      <c r="AF23" s="133"/>
      <c r="AG23" s="125"/>
    </row>
    <row r="24" spans="1:33" s="48" customFormat="1">
      <c r="A24" s="124"/>
      <c r="B24" s="49"/>
      <c r="C24" s="49"/>
      <c r="D24" s="49"/>
      <c r="E24" s="125"/>
      <c r="F24" s="49"/>
      <c r="G24" s="126"/>
      <c r="H24" s="143"/>
      <c r="I24" s="127">
        <v>0</v>
      </c>
      <c r="J24" s="128">
        <v>0</v>
      </c>
      <c r="K24" s="133">
        <v>0</v>
      </c>
      <c r="L24" s="129">
        <v>0</v>
      </c>
      <c r="M24" s="127">
        <v>0</v>
      </c>
      <c r="N24" s="130">
        <v>0</v>
      </c>
      <c r="O24" s="126">
        <v>0</v>
      </c>
      <c r="P24" s="129">
        <v>0</v>
      </c>
      <c r="Q24" s="126">
        <v>0</v>
      </c>
      <c r="R24" s="129">
        <v>0</v>
      </c>
      <c r="S24" s="127">
        <v>0</v>
      </c>
      <c r="T24" s="130">
        <v>0</v>
      </c>
      <c r="U24" s="129">
        <v>0</v>
      </c>
      <c r="V24" s="129">
        <v>0</v>
      </c>
      <c r="W24" s="153">
        <f>+G24-(SUM(I24:O24:V24))</f>
        <v>0</v>
      </c>
      <c r="X24" s="131"/>
      <c r="Y24" s="131"/>
      <c r="Z24" s="131"/>
      <c r="AA24" s="131"/>
      <c r="AB24" s="131"/>
      <c r="AC24" s="131"/>
      <c r="AD24" s="141">
        <f t="shared" si="0"/>
        <v>0</v>
      </c>
      <c r="AE24" s="132"/>
      <c r="AF24" s="133"/>
      <c r="AG24" s="125"/>
    </row>
    <row r="25" spans="1:33" s="48" customFormat="1">
      <c r="A25" s="124"/>
      <c r="B25" s="49"/>
      <c r="C25" s="49"/>
      <c r="D25" s="49"/>
      <c r="E25" s="125"/>
      <c r="F25" s="49"/>
      <c r="G25" s="126"/>
      <c r="H25" s="143"/>
      <c r="I25" s="127">
        <v>0</v>
      </c>
      <c r="J25" s="128">
        <v>0</v>
      </c>
      <c r="K25" s="133">
        <v>0</v>
      </c>
      <c r="L25" s="129">
        <v>0</v>
      </c>
      <c r="M25" s="127">
        <v>0</v>
      </c>
      <c r="N25" s="130">
        <v>0</v>
      </c>
      <c r="O25" s="126">
        <v>0</v>
      </c>
      <c r="P25" s="129">
        <v>0</v>
      </c>
      <c r="Q25" s="126">
        <v>0</v>
      </c>
      <c r="R25" s="129">
        <v>0</v>
      </c>
      <c r="S25" s="127">
        <v>0</v>
      </c>
      <c r="T25" s="130">
        <v>0</v>
      </c>
      <c r="U25" s="129">
        <v>0</v>
      </c>
      <c r="V25" s="129">
        <v>0</v>
      </c>
      <c r="W25" s="153">
        <f>+G25-(SUM(I25:O25:V25))</f>
        <v>0</v>
      </c>
      <c r="X25" s="131"/>
      <c r="Y25" s="131"/>
      <c r="Z25" s="131"/>
      <c r="AA25" s="131"/>
      <c r="AB25" s="131"/>
      <c r="AC25" s="131"/>
      <c r="AD25" s="141">
        <f t="shared" si="0"/>
        <v>0</v>
      </c>
      <c r="AE25" s="132"/>
      <c r="AF25" s="133"/>
      <c r="AG25" s="125"/>
    </row>
    <row r="26" spans="1:33" s="48" customFormat="1">
      <c r="A26" s="124"/>
      <c r="B26" s="49"/>
      <c r="C26" s="49"/>
      <c r="D26" s="49"/>
      <c r="E26" s="125"/>
      <c r="F26" s="49"/>
      <c r="G26" s="126"/>
      <c r="H26" s="143"/>
      <c r="I26" s="127">
        <v>0</v>
      </c>
      <c r="J26" s="128">
        <v>0</v>
      </c>
      <c r="K26" s="133">
        <v>0</v>
      </c>
      <c r="L26" s="129">
        <v>0</v>
      </c>
      <c r="M26" s="127">
        <v>0</v>
      </c>
      <c r="N26" s="130">
        <v>0</v>
      </c>
      <c r="O26" s="126">
        <v>0</v>
      </c>
      <c r="P26" s="129">
        <v>0</v>
      </c>
      <c r="Q26" s="126">
        <v>0</v>
      </c>
      <c r="R26" s="129">
        <v>0</v>
      </c>
      <c r="S26" s="127">
        <v>0</v>
      </c>
      <c r="T26" s="130">
        <v>0</v>
      </c>
      <c r="U26" s="129">
        <v>0</v>
      </c>
      <c r="V26" s="129">
        <v>0</v>
      </c>
      <c r="W26" s="153">
        <f>+G26-(SUM(I26:O26:V26))</f>
        <v>0</v>
      </c>
      <c r="X26" s="131"/>
      <c r="Y26" s="131"/>
      <c r="Z26" s="131"/>
      <c r="AA26" s="131"/>
      <c r="AB26" s="131"/>
      <c r="AC26" s="131"/>
      <c r="AD26" s="141">
        <f t="shared" si="0"/>
        <v>0</v>
      </c>
      <c r="AE26" s="132"/>
      <c r="AF26" s="133"/>
      <c r="AG26" s="125"/>
    </row>
    <row r="27" spans="1:33" s="48" customFormat="1">
      <c r="A27" s="124"/>
      <c r="B27" s="49"/>
      <c r="C27" s="49"/>
      <c r="D27" s="49"/>
      <c r="E27" s="125"/>
      <c r="F27" s="49"/>
      <c r="G27" s="126"/>
      <c r="H27" s="143"/>
      <c r="I27" s="127">
        <v>0</v>
      </c>
      <c r="J27" s="128">
        <v>0</v>
      </c>
      <c r="K27" s="133">
        <v>0</v>
      </c>
      <c r="L27" s="129">
        <v>0</v>
      </c>
      <c r="M27" s="127">
        <v>0</v>
      </c>
      <c r="N27" s="130">
        <v>0</v>
      </c>
      <c r="O27" s="126">
        <v>0</v>
      </c>
      <c r="P27" s="129">
        <v>0</v>
      </c>
      <c r="Q27" s="126">
        <v>0</v>
      </c>
      <c r="R27" s="129">
        <v>0</v>
      </c>
      <c r="S27" s="127">
        <v>0</v>
      </c>
      <c r="T27" s="130">
        <v>0</v>
      </c>
      <c r="U27" s="129">
        <v>0</v>
      </c>
      <c r="V27" s="129">
        <v>0</v>
      </c>
      <c r="W27" s="153">
        <f>+G27-(SUM(I27:O27:V27))</f>
        <v>0</v>
      </c>
      <c r="X27" s="131"/>
      <c r="Y27" s="131"/>
      <c r="Z27" s="131"/>
      <c r="AA27" s="131"/>
      <c r="AB27" s="131"/>
      <c r="AC27" s="131"/>
      <c r="AD27" s="141">
        <f t="shared" si="0"/>
        <v>0</v>
      </c>
      <c r="AE27" s="132"/>
      <c r="AF27" s="133"/>
      <c r="AG27" s="125"/>
    </row>
    <row r="28" spans="1:33" s="48" customFormat="1">
      <c r="A28" s="124"/>
      <c r="B28" s="49"/>
      <c r="C28" s="49"/>
      <c r="D28" s="49"/>
      <c r="E28" s="125"/>
      <c r="F28" s="49"/>
      <c r="G28" s="126"/>
      <c r="H28" s="143"/>
      <c r="I28" s="127">
        <v>0</v>
      </c>
      <c r="J28" s="128">
        <v>0</v>
      </c>
      <c r="K28" s="133">
        <v>0</v>
      </c>
      <c r="L28" s="129">
        <v>0</v>
      </c>
      <c r="M28" s="127">
        <v>0</v>
      </c>
      <c r="N28" s="130">
        <v>0</v>
      </c>
      <c r="O28" s="126">
        <v>0</v>
      </c>
      <c r="P28" s="129">
        <v>0</v>
      </c>
      <c r="Q28" s="126">
        <v>0</v>
      </c>
      <c r="R28" s="129">
        <v>0</v>
      </c>
      <c r="S28" s="127">
        <v>0</v>
      </c>
      <c r="T28" s="130">
        <v>0</v>
      </c>
      <c r="U28" s="129">
        <v>0</v>
      </c>
      <c r="V28" s="129">
        <v>0</v>
      </c>
      <c r="W28" s="153">
        <f>+G28-(SUM(I28:O28:V28))</f>
        <v>0</v>
      </c>
      <c r="X28" s="131"/>
      <c r="Y28" s="131"/>
      <c r="Z28" s="131"/>
      <c r="AA28" s="131"/>
      <c r="AB28" s="131"/>
      <c r="AC28" s="131"/>
      <c r="AD28" s="141">
        <f t="shared" si="0"/>
        <v>0</v>
      </c>
      <c r="AE28" s="132"/>
      <c r="AF28" s="133"/>
      <c r="AG28" s="125"/>
    </row>
    <row r="29" spans="1:33" s="48" customFormat="1">
      <c r="A29" s="124"/>
      <c r="B29" s="49"/>
      <c r="C29" s="49"/>
      <c r="D29" s="49"/>
      <c r="E29" s="125"/>
      <c r="F29" s="49"/>
      <c r="G29" s="126"/>
      <c r="H29" s="140"/>
      <c r="I29" s="127">
        <v>0</v>
      </c>
      <c r="J29" s="128">
        <v>0</v>
      </c>
      <c r="K29" s="133">
        <v>0</v>
      </c>
      <c r="L29" s="129">
        <v>0</v>
      </c>
      <c r="M29" s="127">
        <v>0</v>
      </c>
      <c r="N29" s="130">
        <v>0</v>
      </c>
      <c r="O29" s="126">
        <v>0</v>
      </c>
      <c r="P29" s="129">
        <v>0</v>
      </c>
      <c r="Q29" s="126">
        <v>0</v>
      </c>
      <c r="R29" s="129">
        <v>0</v>
      </c>
      <c r="S29" s="127">
        <v>0</v>
      </c>
      <c r="T29" s="130">
        <v>0</v>
      </c>
      <c r="U29" s="129">
        <v>0</v>
      </c>
      <c r="V29" s="129">
        <v>0</v>
      </c>
      <c r="W29" s="153">
        <f>+G29-(SUM(I29:O29:V29))</f>
        <v>0</v>
      </c>
      <c r="X29" s="131"/>
      <c r="Y29" s="131"/>
      <c r="Z29" s="131"/>
      <c r="AA29" s="131"/>
      <c r="AB29" s="131"/>
      <c r="AC29" s="131"/>
      <c r="AD29" s="141">
        <f t="shared" si="0"/>
        <v>0</v>
      </c>
      <c r="AE29" s="132"/>
      <c r="AF29" s="133"/>
      <c r="AG29" s="125"/>
    </row>
    <row r="30" spans="1:33" s="48" customFormat="1">
      <c r="A30" s="124"/>
      <c r="B30" s="49"/>
      <c r="C30" s="49"/>
      <c r="D30" s="49"/>
      <c r="E30" s="125"/>
      <c r="F30" s="49"/>
      <c r="G30" s="126"/>
      <c r="H30" s="140"/>
      <c r="I30" s="127">
        <v>0</v>
      </c>
      <c r="J30" s="128">
        <v>0</v>
      </c>
      <c r="K30" s="133">
        <v>0</v>
      </c>
      <c r="L30" s="129">
        <v>0</v>
      </c>
      <c r="M30" s="127">
        <v>0</v>
      </c>
      <c r="N30" s="130">
        <v>0</v>
      </c>
      <c r="O30" s="126">
        <v>0</v>
      </c>
      <c r="P30" s="129">
        <v>0</v>
      </c>
      <c r="Q30" s="126">
        <v>0</v>
      </c>
      <c r="R30" s="129">
        <v>0</v>
      </c>
      <c r="S30" s="127">
        <v>0</v>
      </c>
      <c r="T30" s="130">
        <v>0</v>
      </c>
      <c r="U30" s="129">
        <v>0</v>
      </c>
      <c r="V30" s="129">
        <v>0</v>
      </c>
      <c r="W30" s="153">
        <f>+G30-(SUM(I30:O30:V30))</f>
        <v>0</v>
      </c>
      <c r="X30" s="131"/>
      <c r="Y30" s="131"/>
      <c r="Z30" s="131"/>
      <c r="AA30" s="131"/>
      <c r="AB30" s="131"/>
      <c r="AC30" s="131"/>
      <c r="AD30" s="141">
        <f t="shared" si="0"/>
        <v>0</v>
      </c>
      <c r="AE30" s="132"/>
      <c r="AF30" s="133"/>
      <c r="AG30" s="125"/>
    </row>
    <row r="31" spans="1:33" s="48" customFormat="1">
      <c r="A31" s="124"/>
      <c r="B31" s="49"/>
      <c r="C31" s="49"/>
      <c r="D31" s="49"/>
      <c r="E31" s="125"/>
      <c r="F31" s="49"/>
      <c r="G31" s="126"/>
      <c r="H31" s="140"/>
      <c r="I31" s="127">
        <v>0</v>
      </c>
      <c r="J31" s="128">
        <v>0</v>
      </c>
      <c r="K31" s="133">
        <v>0</v>
      </c>
      <c r="L31" s="129">
        <v>0</v>
      </c>
      <c r="M31" s="127">
        <v>0</v>
      </c>
      <c r="N31" s="130">
        <v>0</v>
      </c>
      <c r="O31" s="126">
        <v>0</v>
      </c>
      <c r="P31" s="129">
        <v>0</v>
      </c>
      <c r="Q31" s="126">
        <v>0</v>
      </c>
      <c r="R31" s="129">
        <v>0</v>
      </c>
      <c r="S31" s="127">
        <v>0</v>
      </c>
      <c r="T31" s="130">
        <v>0</v>
      </c>
      <c r="U31" s="129">
        <v>0</v>
      </c>
      <c r="V31" s="129">
        <v>0</v>
      </c>
      <c r="W31" s="153">
        <f>+G31-(SUM(I31:O31:V31))</f>
        <v>0</v>
      </c>
      <c r="X31" s="131"/>
      <c r="Y31" s="131"/>
      <c r="Z31" s="131"/>
      <c r="AA31" s="131"/>
      <c r="AB31" s="131"/>
      <c r="AC31" s="131"/>
      <c r="AD31" s="141">
        <f t="shared" si="0"/>
        <v>0</v>
      </c>
      <c r="AE31" s="132"/>
      <c r="AF31" s="133"/>
      <c r="AG31" s="125"/>
    </row>
    <row r="32" spans="1:33" s="48" customFormat="1">
      <c r="A32" s="124"/>
      <c r="B32" s="49"/>
      <c r="C32" s="49"/>
      <c r="D32" s="49"/>
      <c r="E32" s="125"/>
      <c r="F32" s="49"/>
      <c r="G32" s="126"/>
      <c r="H32" s="140"/>
      <c r="I32" s="127"/>
      <c r="J32" s="128"/>
      <c r="K32" s="133"/>
      <c r="L32" s="129"/>
      <c r="M32" s="127"/>
      <c r="N32" s="130"/>
      <c r="O32" s="126"/>
      <c r="P32" s="129"/>
      <c r="Q32" s="126"/>
      <c r="R32" s="129"/>
      <c r="S32" s="127"/>
      <c r="T32" s="130"/>
      <c r="U32" s="129"/>
      <c r="V32" s="129"/>
      <c r="W32" s="47"/>
      <c r="X32" s="131"/>
      <c r="Y32" s="131"/>
      <c r="Z32" s="131"/>
      <c r="AA32" s="131"/>
      <c r="AB32" s="131"/>
      <c r="AC32" s="131"/>
      <c r="AD32" s="141">
        <f t="shared" si="0"/>
        <v>0</v>
      </c>
      <c r="AE32" s="132"/>
      <c r="AF32" s="133"/>
      <c r="AG32" s="125"/>
    </row>
    <row r="33" spans="1:33" s="48" customFormat="1">
      <c r="A33" s="124"/>
      <c r="B33" s="49"/>
      <c r="C33" s="49"/>
      <c r="D33" s="49"/>
      <c r="E33" s="125"/>
      <c r="F33" s="49"/>
      <c r="G33" s="126"/>
      <c r="H33" s="140"/>
      <c r="I33" s="127"/>
      <c r="J33" s="128"/>
      <c r="K33" s="133"/>
      <c r="L33" s="129"/>
      <c r="M33" s="127"/>
      <c r="N33" s="130"/>
      <c r="O33" s="126"/>
      <c r="P33" s="129"/>
      <c r="Q33" s="126"/>
      <c r="R33" s="129"/>
      <c r="S33" s="127"/>
      <c r="T33" s="130"/>
      <c r="U33" s="129"/>
      <c r="V33" s="129"/>
      <c r="W33" s="47"/>
      <c r="X33" s="131"/>
      <c r="Y33" s="131"/>
      <c r="Z33" s="131"/>
      <c r="AA33" s="131"/>
      <c r="AB33" s="131"/>
      <c r="AC33" s="131"/>
      <c r="AD33" s="141">
        <f t="shared" si="0"/>
        <v>0</v>
      </c>
      <c r="AE33" s="132"/>
      <c r="AF33" s="133"/>
      <c r="AG33" s="125"/>
    </row>
    <row r="34" spans="1:33" s="48" customFormat="1">
      <c r="A34" s="124"/>
      <c r="B34" s="49"/>
      <c r="C34" s="49"/>
      <c r="D34" s="49"/>
      <c r="E34" s="125"/>
      <c r="F34" s="49"/>
      <c r="G34" s="126"/>
      <c r="H34" s="140"/>
      <c r="I34" s="127"/>
      <c r="J34" s="128"/>
      <c r="K34" s="133"/>
      <c r="L34" s="129"/>
      <c r="M34" s="127"/>
      <c r="N34" s="130"/>
      <c r="O34" s="126"/>
      <c r="P34" s="129"/>
      <c r="Q34" s="126"/>
      <c r="R34" s="129"/>
      <c r="S34" s="127"/>
      <c r="T34" s="130"/>
      <c r="U34" s="129"/>
      <c r="V34" s="129"/>
      <c r="W34" s="47"/>
      <c r="X34" s="131"/>
      <c r="Y34" s="131"/>
      <c r="Z34" s="131"/>
      <c r="AA34" s="131"/>
      <c r="AB34" s="131"/>
      <c r="AC34" s="131"/>
      <c r="AD34" s="141">
        <f t="shared" si="0"/>
        <v>0</v>
      </c>
      <c r="AE34" s="132"/>
      <c r="AF34" s="133"/>
      <c r="AG34" s="125"/>
    </row>
    <row r="35" spans="1:33" s="48" customFormat="1">
      <c r="A35" s="124"/>
      <c r="B35" s="49"/>
      <c r="C35" s="49"/>
      <c r="D35" s="49"/>
      <c r="E35" s="125"/>
      <c r="F35" s="49"/>
      <c r="G35" s="126"/>
      <c r="H35" s="140"/>
      <c r="I35" s="127"/>
      <c r="J35" s="128"/>
      <c r="K35" s="133"/>
      <c r="L35" s="129"/>
      <c r="M35" s="127"/>
      <c r="N35" s="130"/>
      <c r="O35" s="126"/>
      <c r="P35" s="129"/>
      <c r="Q35" s="126"/>
      <c r="R35" s="129"/>
      <c r="S35" s="127"/>
      <c r="T35" s="130"/>
      <c r="U35" s="129"/>
      <c r="V35" s="129"/>
      <c r="W35" s="47"/>
      <c r="X35" s="131"/>
      <c r="Y35" s="131"/>
      <c r="Z35" s="131"/>
      <c r="AA35" s="131"/>
      <c r="AB35" s="131"/>
      <c r="AC35" s="131"/>
      <c r="AD35" s="141">
        <f t="shared" si="0"/>
        <v>0</v>
      </c>
      <c r="AE35" s="132"/>
      <c r="AF35" s="133"/>
      <c r="AG35" s="125"/>
    </row>
    <row r="36" spans="1:33" s="48" customFormat="1">
      <c r="A36" s="124"/>
      <c r="B36" s="49"/>
      <c r="C36" s="49"/>
      <c r="D36" s="49"/>
      <c r="E36" s="125"/>
      <c r="F36" s="49"/>
      <c r="G36" s="126"/>
      <c r="H36" s="140"/>
      <c r="I36" s="127"/>
      <c r="J36" s="128"/>
      <c r="K36" s="133"/>
      <c r="L36" s="129"/>
      <c r="M36" s="127"/>
      <c r="N36" s="130"/>
      <c r="O36" s="126"/>
      <c r="P36" s="129"/>
      <c r="Q36" s="126"/>
      <c r="R36" s="129"/>
      <c r="S36" s="127"/>
      <c r="T36" s="130"/>
      <c r="U36" s="129"/>
      <c r="V36" s="129"/>
      <c r="W36" s="47"/>
      <c r="X36" s="131"/>
      <c r="Y36" s="131"/>
      <c r="Z36" s="131"/>
      <c r="AA36" s="131"/>
      <c r="AB36" s="131"/>
      <c r="AC36" s="131"/>
      <c r="AD36" s="141">
        <f t="shared" si="0"/>
        <v>0</v>
      </c>
      <c r="AE36" s="132"/>
      <c r="AF36" s="133"/>
      <c r="AG36" s="125"/>
    </row>
    <row r="37" spans="1:33" s="48" customFormat="1">
      <c r="A37" s="124"/>
      <c r="B37" s="49"/>
      <c r="C37" s="49"/>
      <c r="D37" s="49"/>
      <c r="E37" s="125"/>
      <c r="F37" s="49"/>
      <c r="G37" s="126"/>
      <c r="H37" s="140"/>
      <c r="I37" s="127"/>
      <c r="J37" s="128"/>
      <c r="K37" s="133"/>
      <c r="L37" s="129"/>
      <c r="M37" s="127"/>
      <c r="N37" s="130"/>
      <c r="O37" s="126"/>
      <c r="P37" s="129"/>
      <c r="Q37" s="126"/>
      <c r="R37" s="129"/>
      <c r="S37" s="127"/>
      <c r="T37" s="130"/>
      <c r="U37" s="129"/>
      <c r="V37" s="129"/>
      <c r="W37" s="47"/>
      <c r="X37" s="131"/>
      <c r="Y37" s="131"/>
      <c r="Z37" s="131"/>
      <c r="AA37" s="131"/>
      <c r="AB37" s="131"/>
      <c r="AC37" s="131"/>
      <c r="AD37" s="141">
        <f t="shared" si="0"/>
        <v>0</v>
      </c>
      <c r="AE37" s="132"/>
      <c r="AF37" s="133"/>
      <c r="AG37" s="125"/>
    </row>
    <row r="38" spans="1:33" s="48" customFormat="1">
      <c r="A38" s="124"/>
      <c r="B38" s="49"/>
      <c r="C38" s="49"/>
      <c r="D38" s="49"/>
      <c r="E38" s="125"/>
      <c r="F38" s="49"/>
      <c r="G38" s="126"/>
      <c r="H38" s="140"/>
      <c r="I38" s="127"/>
      <c r="J38" s="128"/>
      <c r="K38" s="133"/>
      <c r="L38" s="129"/>
      <c r="M38" s="127"/>
      <c r="N38" s="130"/>
      <c r="O38" s="126"/>
      <c r="P38" s="129"/>
      <c r="Q38" s="126"/>
      <c r="R38" s="129"/>
      <c r="S38" s="127"/>
      <c r="T38" s="130"/>
      <c r="U38" s="129"/>
      <c r="V38" s="129"/>
      <c r="W38" s="47"/>
      <c r="X38" s="131"/>
      <c r="Y38" s="131"/>
      <c r="Z38" s="131"/>
      <c r="AA38" s="131"/>
      <c r="AB38" s="131"/>
      <c r="AC38" s="131"/>
      <c r="AD38" s="141">
        <f t="shared" si="0"/>
        <v>0</v>
      </c>
      <c r="AE38" s="132"/>
      <c r="AF38" s="133"/>
      <c r="AG38" s="125"/>
    </row>
    <row r="39" spans="1:33" s="48" customFormat="1">
      <c r="A39" s="124"/>
      <c r="B39" s="49"/>
      <c r="C39" s="49"/>
      <c r="D39" s="49"/>
      <c r="E39" s="125"/>
      <c r="F39" s="49"/>
      <c r="G39" s="126"/>
      <c r="H39" s="140"/>
      <c r="I39" s="127"/>
      <c r="J39" s="128"/>
      <c r="K39" s="133"/>
      <c r="L39" s="129"/>
      <c r="M39" s="127"/>
      <c r="N39" s="130"/>
      <c r="O39" s="126"/>
      <c r="P39" s="129"/>
      <c r="Q39" s="126"/>
      <c r="R39" s="129"/>
      <c r="S39" s="127"/>
      <c r="T39" s="130"/>
      <c r="U39" s="129"/>
      <c r="V39" s="129"/>
      <c r="W39" s="47"/>
      <c r="X39" s="131"/>
      <c r="Y39" s="131"/>
      <c r="Z39" s="131"/>
      <c r="AA39" s="131"/>
      <c r="AB39" s="131"/>
      <c r="AC39" s="131"/>
      <c r="AD39" s="141">
        <f t="shared" si="0"/>
        <v>0</v>
      </c>
      <c r="AE39" s="132"/>
      <c r="AF39" s="133"/>
      <c r="AG39" s="125"/>
    </row>
    <row r="40" spans="1:33" s="48" customFormat="1">
      <c r="A40" s="124"/>
      <c r="B40" s="49"/>
      <c r="C40" s="49"/>
      <c r="D40" s="49"/>
      <c r="E40" s="125"/>
      <c r="F40" s="49"/>
      <c r="G40" s="126"/>
      <c r="H40" s="140"/>
      <c r="I40" s="127"/>
      <c r="J40" s="128"/>
      <c r="K40" s="133"/>
      <c r="L40" s="129"/>
      <c r="M40" s="127"/>
      <c r="N40" s="130"/>
      <c r="O40" s="126"/>
      <c r="P40" s="129"/>
      <c r="Q40" s="126"/>
      <c r="R40" s="129"/>
      <c r="S40" s="127"/>
      <c r="T40" s="130"/>
      <c r="U40" s="129"/>
      <c r="V40" s="129"/>
      <c r="W40" s="47"/>
      <c r="X40" s="131"/>
      <c r="Y40" s="131"/>
      <c r="Z40" s="131"/>
      <c r="AA40" s="131"/>
      <c r="AB40" s="131"/>
      <c r="AC40" s="131"/>
      <c r="AD40" s="141">
        <f t="shared" si="0"/>
        <v>0</v>
      </c>
      <c r="AE40" s="132"/>
      <c r="AF40" s="133"/>
      <c r="AG40" s="125"/>
    </row>
    <row r="41" spans="1:33" s="48" customFormat="1">
      <c r="A41" s="124"/>
      <c r="B41" s="49"/>
      <c r="C41" s="49"/>
      <c r="D41" s="49"/>
      <c r="E41" s="125"/>
      <c r="F41" s="49"/>
      <c r="G41" s="126"/>
      <c r="H41" s="140"/>
      <c r="I41" s="127"/>
      <c r="J41" s="128"/>
      <c r="K41" s="133"/>
      <c r="L41" s="129"/>
      <c r="M41" s="127"/>
      <c r="N41" s="130"/>
      <c r="O41" s="126"/>
      <c r="P41" s="129"/>
      <c r="Q41" s="126"/>
      <c r="R41" s="129"/>
      <c r="S41" s="127"/>
      <c r="T41" s="130"/>
      <c r="U41" s="129"/>
      <c r="V41" s="129"/>
      <c r="W41" s="47"/>
      <c r="X41" s="131"/>
      <c r="Y41" s="131"/>
      <c r="Z41" s="131"/>
      <c r="AA41" s="131"/>
      <c r="AB41" s="131"/>
      <c r="AC41" s="131"/>
      <c r="AD41" s="141">
        <f t="shared" si="0"/>
        <v>0</v>
      </c>
      <c r="AE41" s="132"/>
      <c r="AF41" s="133"/>
      <c r="AG41" s="125"/>
    </row>
    <row r="42" spans="1:33" s="48" customFormat="1">
      <c r="A42" s="124"/>
      <c r="B42" s="49"/>
      <c r="C42" s="49"/>
      <c r="D42" s="49"/>
      <c r="E42" s="125"/>
      <c r="F42" s="49"/>
      <c r="G42" s="126"/>
      <c r="H42" s="140"/>
      <c r="I42" s="127"/>
      <c r="J42" s="128"/>
      <c r="K42" s="133"/>
      <c r="L42" s="129"/>
      <c r="M42" s="127"/>
      <c r="N42" s="130"/>
      <c r="O42" s="126"/>
      <c r="P42" s="129"/>
      <c r="Q42" s="126"/>
      <c r="R42" s="129"/>
      <c r="S42" s="127"/>
      <c r="T42" s="130"/>
      <c r="U42" s="129"/>
      <c r="V42" s="129"/>
      <c r="W42" s="47"/>
      <c r="X42" s="131"/>
      <c r="Y42" s="131"/>
      <c r="Z42" s="131"/>
      <c r="AA42" s="131"/>
      <c r="AB42" s="131"/>
      <c r="AC42" s="131"/>
      <c r="AD42" s="141">
        <f t="shared" ref="AD42:AD73" si="1">W42-SUM(Y42+AC42)</f>
        <v>0</v>
      </c>
      <c r="AE42" s="132"/>
      <c r="AF42" s="133"/>
      <c r="AG42" s="125"/>
    </row>
    <row r="43" spans="1:33" s="48" customFormat="1">
      <c r="A43" s="124"/>
      <c r="B43" s="49"/>
      <c r="C43" s="49"/>
      <c r="D43" s="49"/>
      <c r="E43" s="125"/>
      <c r="F43" s="49"/>
      <c r="G43" s="126"/>
      <c r="H43" s="140"/>
      <c r="I43" s="127"/>
      <c r="J43" s="128"/>
      <c r="K43" s="133"/>
      <c r="L43" s="129"/>
      <c r="M43" s="127"/>
      <c r="N43" s="130"/>
      <c r="O43" s="126"/>
      <c r="P43" s="129"/>
      <c r="Q43" s="126"/>
      <c r="R43" s="129"/>
      <c r="S43" s="127"/>
      <c r="T43" s="130"/>
      <c r="U43" s="129"/>
      <c r="V43" s="129"/>
      <c r="W43" s="47"/>
      <c r="X43" s="131"/>
      <c r="Y43" s="131"/>
      <c r="Z43" s="131"/>
      <c r="AA43" s="131"/>
      <c r="AB43" s="131"/>
      <c r="AC43" s="131"/>
      <c r="AD43" s="141">
        <f t="shared" si="1"/>
        <v>0</v>
      </c>
      <c r="AE43" s="132"/>
      <c r="AF43" s="133"/>
      <c r="AG43" s="125"/>
    </row>
    <row r="44" spans="1:33" s="48" customFormat="1">
      <c r="A44" s="124"/>
      <c r="B44" s="49"/>
      <c r="C44" s="49"/>
      <c r="D44" s="49"/>
      <c r="E44" s="125"/>
      <c r="F44" s="49"/>
      <c r="G44" s="126"/>
      <c r="H44" s="140"/>
      <c r="I44" s="127"/>
      <c r="J44" s="128"/>
      <c r="K44" s="133"/>
      <c r="L44" s="129"/>
      <c r="M44" s="127"/>
      <c r="N44" s="130"/>
      <c r="O44" s="126"/>
      <c r="P44" s="129"/>
      <c r="Q44" s="126"/>
      <c r="R44" s="129"/>
      <c r="S44" s="127"/>
      <c r="T44" s="130"/>
      <c r="U44" s="129"/>
      <c r="V44" s="129"/>
      <c r="W44" s="47"/>
      <c r="X44" s="131"/>
      <c r="Y44" s="131"/>
      <c r="Z44" s="131"/>
      <c r="AA44" s="131"/>
      <c r="AB44" s="131"/>
      <c r="AC44" s="131"/>
      <c r="AD44" s="141">
        <f t="shared" si="1"/>
        <v>0</v>
      </c>
      <c r="AE44" s="132"/>
      <c r="AF44" s="133"/>
      <c r="AG44" s="125"/>
    </row>
    <row r="45" spans="1:33" s="48" customFormat="1">
      <c r="A45" s="124"/>
      <c r="B45" s="49"/>
      <c r="C45" s="49"/>
      <c r="D45" s="49"/>
      <c r="E45" s="125"/>
      <c r="F45" s="49"/>
      <c r="G45" s="126"/>
      <c r="H45" s="140"/>
      <c r="I45" s="127"/>
      <c r="J45" s="128"/>
      <c r="K45" s="133"/>
      <c r="L45" s="129"/>
      <c r="M45" s="127"/>
      <c r="N45" s="130"/>
      <c r="O45" s="126"/>
      <c r="P45" s="129"/>
      <c r="Q45" s="126"/>
      <c r="R45" s="129"/>
      <c r="S45" s="127"/>
      <c r="T45" s="130"/>
      <c r="U45" s="129"/>
      <c r="V45" s="129"/>
      <c r="W45" s="47"/>
      <c r="X45" s="131"/>
      <c r="Y45" s="131"/>
      <c r="Z45" s="131"/>
      <c r="AA45" s="131"/>
      <c r="AB45" s="131"/>
      <c r="AC45" s="131"/>
      <c r="AD45" s="141">
        <f t="shared" si="1"/>
        <v>0</v>
      </c>
      <c r="AE45" s="132"/>
      <c r="AF45" s="133"/>
      <c r="AG45" s="125"/>
    </row>
    <row r="46" spans="1:33" s="48" customFormat="1">
      <c r="A46" s="124"/>
      <c r="B46" s="49"/>
      <c r="C46" s="49"/>
      <c r="D46" s="49"/>
      <c r="E46" s="125"/>
      <c r="F46" s="49"/>
      <c r="G46" s="126"/>
      <c r="H46" s="140"/>
      <c r="I46" s="127"/>
      <c r="J46" s="128"/>
      <c r="K46" s="133"/>
      <c r="L46" s="129"/>
      <c r="M46" s="127"/>
      <c r="N46" s="130"/>
      <c r="O46" s="126"/>
      <c r="P46" s="129"/>
      <c r="Q46" s="126"/>
      <c r="R46" s="129"/>
      <c r="S46" s="127"/>
      <c r="T46" s="130"/>
      <c r="U46" s="129"/>
      <c r="V46" s="129"/>
      <c r="W46" s="47"/>
      <c r="X46" s="131"/>
      <c r="Y46" s="131"/>
      <c r="Z46" s="131"/>
      <c r="AA46" s="131"/>
      <c r="AB46" s="131"/>
      <c r="AC46" s="131"/>
      <c r="AD46" s="141">
        <f t="shared" si="1"/>
        <v>0</v>
      </c>
      <c r="AE46" s="132"/>
      <c r="AF46" s="133"/>
      <c r="AG46" s="125"/>
    </row>
    <row r="47" spans="1:33" s="48" customFormat="1">
      <c r="A47" s="124"/>
      <c r="B47" s="49"/>
      <c r="C47" s="49"/>
      <c r="D47" s="49"/>
      <c r="E47" s="125"/>
      <c r="F47" s="49"/>
      <c r="G47" s="126"/>
      <c r="H47" s="140"/>
      <c r="I47" s="127"/>
      <c r="J47" s="128"/>
      <c r="K47" s="133"/>
      <c r="L47" s="129"/>
      <c r="M47" s="127"/>
      <c r="N47" s="130"/>
      <c r="O47" s="126"/>
      <c r="P47" s="129"/>
      <c r="Q47" s="126"/>
      <c r="R47" s="129"/>
      <c r="S47" s="127"/>
      <c r="T47" s="130"/>
      <c r="U47" s="129"/>
      <c r="V47" s="129"/>
      <c r="W47" s="47"/>
      <c r="X47" s="131"/>
      <c r="Y47" s="131"/>
      <c r="Z47" s="131"/>
      <c r="AA47" s="131"/>
      <c r="AB47" s="131"/>
      <c r="AC47" s="131"/>
      <c r="AD47" s="141">
        <f t="shared" si="1"/>
        <v>0</v>
      </c>
      <c r="AE47" s="132"/>
      <c r="AF47" s="133"/>
      <c r="AG47" s="125"/>
    </row>
    <row r="48" spans="1:33" s="48" customFormat="1">
      <c r="A48" s="124"/>
      <c r="B48" s="49"/>
      <c r="C48" s="49"/>
      <c r="D48" s="49"/>
      <c r="E48" s="125"/>
      <c r="F48" s="49"/>
      <c r="G48" s="126"/>
      <c r="H48" s="140"/>
      <c r="I48" s="127"/>
      <c r="J48" s="128"/>
      <c r="K48" s="133"/>
      <c r="L48" s="129"/>
      <c r="M48" s="127"/>
      <c r="N48" s="130"/>
      <c r="O48" s="126"/>
      <c r="P48" s="129"/>
      <c r="Q48" s="126"/>
      <c r="R48" s="129"/>
      <c r="S48" s="127"/>
      <c r="T48" s="130"/>
      <c r="U48" s="129"/>
      <c r="V48" s="129"/>
      <c r="W48" s="47"/>
      <c r="X48" s="131"/>
      <c r="Y48" s="131"/>
      <c r="Z48" s="131"/>
      <c r="AA48" s="131"/>
      <c r="AB48" s="131"/>
      <c r="AC48" s="131"/>
      <c r="AD48" s="141">
        <f t="shared" si="1"/>
        <v>0</v>
      </c>
      <c r="AE48" s="132"/>
      <c r="AF48" s="133"/>
      <c r="AG48" s="125"/>
    </row>
    <row r="49" spans="1:33" s="48" customFormat="1">
      <c r="A49" s="124"/>
      <c r="B49" s="49"/>
      <c r="C49" s="49"/>
      <c r="D49" s="49"/>
      <c r="E49" s="125"/>
      <c r="F49" s="49"/>
      <c r="G49" s="126"/>
      <c r="H49" s="140"/>
      <c r="I49" s="127"/>
      <c r="J49" s="128"/>
      <c r="K49" s="133"/>
      <c r="L49" s="129"/>
      <c r="M49" s="127"/>
      <c r="N49" s="130"/>
      <c r="O49" s="126"/>
      <c r="P49" s="129"/>
      <c r="Q49" s="126"/>
      <c r="R49" s="129"/>
      <c r="S49" s="127"/>
      <c r="T49" s="130"/>
      <c r="U49" s="129"/>
      <c r="V49" s="129"/>
      <c r="W49" s="47"/>
      <c r="X49" s="131"/>
      <c r="Y49" s="131"/>
      <c r="Z49" s="131"/>
      <c r="AA49" s="131"/>
      <c r="AB49" s="131"/>
      <c r="AC49" s="131"/>
      <c r="AD49" s="141">
        <f t="shared" si="1"/>
        <v>0</v>
      </c>
      <c r="AE49" s="132"/>
      <c r="AF49" s="133"/>
      <c r="AG49" s="125"/>
    </row>
    <row r="50" spans="1:33" s="48" customFormat="1">
      <c r="A50" s="124"/>
      <c r="B50" s="49"/>
      <c r="C50" s="49"/>
      <c r="D50" s="49"/>
      <c r="E50" s="125"/>
      <c r="F50" s="49"/>
      <c r="G50" s="126"/>
      <c r="H50" s="140"/>
      <c r="I50" s="127"/>
      <c r="J50" s="128"/>
      <c r="K50" s="133"/>
      <c r="L50" s="129"/>
      <c r="M50" s="127"/>
      <c r="N50" s="130"/>
      <c r="O50" s="126"/>
      <c r="P50" s="129"/>
      <c r="Q50" s="126"/>
      <c r="R50" s="129"/>
      <c r="S50" s="127"/>
      <c r="T50" s="130"/>
      <c r="U50" s="129"/>
      <c r="V50" s="129"/>
      <c r="W50" s="47"/>
      <c r="X50" s="131"/>
      <c r="Y50" s="131"/>
      <c r="Z50" s="131"/>
      <c r="AA50" s="131"/>
      <c r="AB50" s="131"/>
      <c r="AC50" s="131"/>
      <c r="AD50" s="141">
        <f t="shared" si="1"/>
        <v>0</v>
      </c>
      <c r="AE50" s="132"/>
      <c r="AF50" s="133"/>
      <c r="AG50" s="125"/>
    </row>
    <row r="51" spans="1:33" s="48" customFormat="1">
      <c r="A51" s="124"/>
      <c r="B51" s="49"/>
      <c r="C51" s="49"/>
      <c r="D51" s="49"/>
      <c r="E51" s="125"/>
      <c r="F51" s="49"/>
      <c r="G51" s="126"/>
      <c r="H51" s="140"/>
      <c r="I51" s="127"/>
      <c r="J51" s="128"/>
      <c r="K51" s="133"/>
      <c r="L51" s="129"/>
      <c r="M51" s="127"/>
      <c r="N51" s="130"/>
      <c r="O51" s="126"/>
      <c r="P51" s="129"/>
      <c r="Q51" s="126"/>
      <c r="R51" s="129"/>
      <c r="S51" s="127"/>
      <c r="T51" s="130"/>
      <c r="U51" s="129"/>
      <c r="V51" s="129"/>
      <c r="W51" s="47"/>
      <c r="X51" s="131"/>
      <c r="Y51" s="131"/>
      <c r="Z51" s="131"/>
      <c r="AA51" s="131"/>
      <c r="AB51" s="131"/>
      <c r="AC51" s="131"/>
      <c r="AD51" s="141">
        <f t="shared" si="1"/>
        <v>0</v>
      </c>
      <c r="AE51" s="132"/>
      <c r="AF51" s="133"/>
      <c r="AG51" s="125"/>
    </row>
    <row r="52" spans="1:33" s="48" customFormat="1">
      <c r="A52" s="124"/>
      <c r="B52" s="49"/>
      <c r="C52" s="49"/>
      <c r="D52" s="49"/>
      <c r="E52" s="125"/>
      <c r="F52" s="49"/>
      <c r="G52" s="126"/>
      <c r="H52" s="140"/>
      <c r="I52" s="127"/>
      <c r="J52" s="128"/>
      <c r="K52" s="133"/>
      <c r="L52" s="129"/>
      <c r="M52" s="127"/>
      <c r="N52" s="130"/>
      <c r="O52" s="126"/>
      <c r="P52" s="129"/>
      <c r="Q52" s="126"/>
      <c r="R52" s="129"/>
      <c r="S52" s="127"/>
      <c r="T52" s="130"/>
      <c r="U52" s="129"/>
      <c r="V52" s="129"/>
      <c r="W52" s="47"/>
      <c r="X52" s="131"/>
      <c r="Y52" s="131"/>
      <c r="Z52" s="131"/>
      <c r="AA52" s="131"/>
      <c r="AB52" s="131"/>
      <c r="AC52" s="131"/>
      <c r="AD52" s="141">
        <f t="shared" si="1"/>
        <v>0</v>
      </c>
      <c r="AE52" s="132"/>
      <c r="AF52" s="133"/>
      <c r="AG52" s="125"/>
    </row>
    <row r="53" spans="1:33" s="48" customFormat="1">
      <c r="A53" s="124"/>
      <c r="B53" s="49"/>
      <c r="C53" s="49"/>
      <c r="D53" s="49"/>
      <c r="E53" s="125"/>
      <c r="F53" s="49"/>
      <c r="G53" s="126"/>
      <c r="H53" s="140"/>
      <c r="I53" s="127"/>
      <c r="J53" s="128"/>
      <c r="K53" s="133"/>
      <c r="L53" s="129"/>
      <c r="M53" s="127"/>
      <c r="N53" s="130"/>
      <c r="O53" s="126"/>
      <c r="P53" s="129"/>
      <c r="Q53" s="126"/>
      <c r="R53" s="129"/>
      <c r="S53" s="127"/>
      <c r="T53" s="130"/>
      <c r="U53" s="129"/>
      <c r="V53" s="129"/>
      <c r="W53" s="47"/>
      <c r="X53" s="131"/>
      <c r="Y53" s="131"/>
      <c r="Z53" s="131"/>
      <c r="AA53" s="131"/>
      <c r="AB53" s="131"/>
      <c r="AC53" s="131"/>
      <c r="AD53" s="141">
        <f t="shared" si="1"/>
        <v>0</v>
      </c>
      <c r="AE53" s="132"/>
      <c r="AF53" s="133"/>
      <c r="AG53" s="125"/>
    </row>
    <row r="54" spans="1:33" s="48" customFormat="1">
      <c r="A54" s="124"/>
      <c r="B54" s="49"/>
      <c r="C54" s="49"/>
      <c r="D54" s="49"/>
      <c r="E54" s="125"/>
      <c r="F54" s="49"/>
      <c r="G54" s="126"/>
      <c r="H54" s="140"/>
      <c r="I54" s="127"/>
      <c r="J54" s="128"/>
      <c r="K54" s="133"/>
      <c r="L54" s="129"/>
      <c r="M54" s="127"/>
      <c r="N54" s="130"/>
      <c r="O54" s="126"/>
      <c r="P54" s="129"/>
      <c r="Q54" s="126"/>
      <c r="R54" s="129"/>
      <c r="S54" s="127"/>
      <c r="T54" s="130"/>
      <c r="U54" s="129"/>
      <c r="V54" s="129"/>
      <c r="W54" s="47"/>
      <c r="X54" s="131"/>
      <c r="Y54" s="131"/>
      <c r="Z54" s="131"/>
      <c r="AA54" s="131"/>
      <c r="AB54" s="131"/>
      <c r="AC54" s="131"/>
      <c r="AD54" s="141">
        <f t="shared" si="1"/>
        <v>0</v>
      </c>
      <c r="AE54" s="132"/>
      <c r="AF54" s="133"/>
      <c r="AG54" s="125"/>
    </row>
    <row r="55" spans="1:33" s="48" customFormat="1">
      <c r="A55" s="124"/>
      <c r="B55" s="49"/>
      <c r="C55" s="49"/>
      <c r="D55" s="49"/>
      <c r="E55" s="125"/>
      <c r="F55" s="49"/>
      <c r="G55" s="126"/>
      <c r="H55" s="140"/>
      <c r="I55" s="127"/>
      <c r="J55" s="128"/>
      <c r="K55" s="133"/>
      <c r="L55" s="129"/>
      <c r="M55" s="127"/>
      <c r="N55" s="130"/>
      <c r="O55" s="126"/>
      <c r="P55" s="129"/>
      <c r="Q55" s="126"/>
      <c r="R55" s="129"/>
      <c r="S55" s="127"/>
      <c r="T55" s="130"/>
      <c r="U55" s="129"/>
      <c r="V55" s="129"/>
      <c r="W55" s="47"/>
      <c r="X55" s="131"/>
      <c r="Y55" s="131"/>
      <c r="Z55" s="131"/>
      <c r="AA55" s="131"/>
      <c r="AB55" s="131"/>
      <c r="AC55" s="131"/>
      <c r="AD55" s="141">
        <f t="shared" si="1"/>
        <v>0</v>
      </c>
      <c r="AE55" s="132"/>
      <c r="AF55" s="133"/>
      <c r="AG55" s="125"/>
    </row>
    <row r="56" spans="1:33" s="48" customFormat="1">
      <c r="A56" s="124"/>
      <c r="B56" s="49"/>
      <c r="C56" s="49"/>
      <c r="D56" s="49"/>
      <c r="E56" s="125"/>
      <c r="F56" s="49"/>
      <c r="G56" s="126"/>
      <c r="H56" s="140"/>
      <c r="I56" s="127"/>
      <c r="J56" s="128"/>
      <c r="K56" s="133"/>
      <c r="L56" s="129"/>
      <c r="M56" s="127"/>
      <c r="N56" s="130"/>
      <c r="O56" s="126"/>
      <c r="P56" s="129"/>
      <c r="Q56" s="126"/>
      <c r="R56" s="129"/>
      <c r="S56" s="127"/>
      <c r="T56" s="130"/>
      <c r="U56" s="129"/>
      <c r="V56" s="129"/>
      <c r="W56" s="47"/>
      <c r="X56" s="131"/>
      <c r="Y56" s="131"/>
      <c r="Z56" s="131"/>
      <c r="AA56" s="131"/>
      <c r="AB56" s="131"/>
      <c r="AC56" s="131"/>
      <c r="AD56" s="141">
        <f t="shared" si="1"/>
        <v>0</v>
      </c>
      <c r="AE56" s="132"/>
      <c r="AF56" s="133"/>
      <c r="AG56" s="125"/>
    </row>
    <row r="57" spans="1:33" s="48" customFormat="1">
      <c r="A57" s="124"/>
      <c r="B57" s="49"/>
      <c r="C57" s="49"/>
      <c r="D57" s="49"/>
      <c r="E57" s="125"/>
      <c r="F57" s="49"/>
      <c r="G57" s="126"/>
      <c r="H57" s="140"/>
      <c r="I57" s="127"/>
      <c r="J57" s="128"/>
      <c r="K57" s="133"/>
      <c r="L57" s="129"/>
      <c r="M57" s="127"/>
      <c r="N57" s="130"/>
      <c r="O57" s="126"/>
      <c r="P57" s="129"/>
      <c r="Q57" s="126"/>
      <c r="R57" s="129"/>
      <c r="S57" s="127"/>
      <c r="T57" s="130"/>
      <c r="U57" s="129"/>
      <c r="V57" s="129"/>
      <c r="W57" s="47"/>
      <c r="X57" s="131"/>
      <c r="Y57" s="131"/>
      <c r="Z57" s="131"/>
      <c r="AA57" s="131"/>
      <c r="AB57" s="131"/>
      <c r="AC57" s="131"/>
      <c r="AD57" s="141">
        <f t="shared" si="1"/>
        <v>0</v>
      </c>
      <c r="AE57" s="132"/>
      <c r="AF57" s="133"/>
      <c r="AG57" s="125"/>
    </row>
    <row r="58" spans="1:33" s="48" customFormat="1">
      <c r="A58" s="124"/>
      <c r="B58" s="49"/>
      <c r="C58" s="49"/>
      <c r="D58" s="49"/>
      <c r="E58" s="125"/>
      <c r="F58" s="49"/>
      <c r="G58" s="126"/>
      <c r="H58" s="140"/>
      <c r="I58" s="127"/>
      <c r="J58" s="128"/>
      <c r="K58" s="133"/>
      <c r="L58" s="129"/>
      <c r="M58" s="127"/>
      <c r="N58" s="130"/>
      <c r="O58" s="126"/>
      <c r="P58" s="129"/>
      <c r="Q58" s="126"/>
      <c r="R58" s="129"/>
      <c r="S58" s="127"/>
      <c r="T58" s="130"/>
      <c r="U58" s="129"/>
      <c r="V58" s="129"/>
      <c r="W58" s="47"/>
      <c r="X58" s="131"/>
      <c r="Y58" s="131"/>
      <c r="Z58" s="131"/>
      <c r="AA58" s="131"/>
      <c r="AB58" s="131"/>
      <c r="AC58" s="131"/>
      <c r="AD58" s="141">
        <f t="shared" si="1"/>
        <v>0</v>
      </c>
      <c r="AE58" s="132"/>
      <c r="AF58" s="133"/>
      <c r="AG58" s="125"/>
    </row>
    <row r="59" spans="1:33" s="48" customFormat="1">
      <c r="A59" s="124"/>
      <c r="B59" s="49"/>
      <c r="C59" s="49"/>
      <c r="D59" s="49"/>
      <c r="E59" s="125"/>
      <c r="F59" s="49"/>
      <c r="G59" s="126"/>
      <c r="H59" s="140"/>
      <c r="I59" s="127"/>
      <c r="J59" s="128"/>
      <c r="K59" s="133"/>
      <c r="L59" s="129"/>
      <c r="M59" s="127"/>
      <c r="N59" s="130"/>
      <c r="O59" s="126"/>
      <c r="P59" s="129"/>
      <c r="Q59" s="126"/>
      <c r="R59" s="129"/>
      <c r="S59" s="127"/>
      <c r="T59" s="130"/>
      <c r="U59" s="129"/>
      <c r="V59" s="129"/>
      <c r="W59" s="47"/>
      <c r="X59" s="131"/>
      <c r="Y59" s="131"/>
      <c r="Z59" s="131"/>
      <c r="AA59" s="131"/>
      <c r="AB59" s="131"/>
      <c r="AC59" s="131"/>
      <c r="AD59" s="141">
        <f t="shared" si="1"/>
        <v>0</v>
      </c>
      <c r="AE59" s="132"/>
      <c r="AF59" s="133"/>
      <c r="AG59" s="125"/>
    </row>
    <row r="60" spans="1:33" s="48" customFormat="1">
      <c r="A60" s="124"/>
      <c r="B60" s="49"/>
      <c r="C60" s="49"/>
      <c r="D60" s="49"/>
      <c r="E60" s="125"/>
      <c r="F60" s="49"/>
      <c r="G60" s="126"/>
      <c r="H60" s="140"/>
      <c r="I60" s="127"/>
      <c r="J60" s="128"/>
      <c r="K60" s="133"/>
      <c r="L60" s="129"/>
      <c r="M60" s="127"/>
      <c r="N60" s="130"/>
      <c r="O60" s="126"/>
      <c r="P60" s="129"/>
      <c r="Q60" s="126"/>
      <c r="R60" s="129"/>
      <c r="S60" s="127"/>
      <c r="T60" s="130"/>
      <c r="U60" s="129"/>
      <c r="V60" s="129"/>
      <c r="W60" s="47"/>
      <c r="X60" s="131"/>
      <c r="Y60" s="131"/>
      <c r="Z60" s="131"/>
      <c r="AA60" s="131"/>
      <c r="AB60" s="131"/>
      <c r="AC60" s="131"/>
      <c r="AD60" s="141">
        <f t="shared" si="1"/>
        <v>0</v>
      </c>
      <c r="AE60" s="132"/>
      <c r="AF60" s="133"/>
      <c r="AG60" s="125"/>
    </row>
    <row r="61" spans="1:33" s="48" customFormat="1">
      <c r="A61" s="124"/>
      <c r="B61" s="49"/>
      <c r="C61" s="49"/>
      <c r="D61" s="49"/>
      <c r="E61" s="125"/>
      <c r="F61" s="49"/>
      <c r="G61" s="126"/>
      <c r="H61" s="140"/>
      <c r="I61" s="127"/>
      <c r="J61" s="128"/>
      <c r="K61" s="133"/>
      <c r="L61" s="129"/>
      <c r="M61" s="127"/>
      <c r="N61" s="130"/>
      <c r="O61" s="126"/>
      <c r="P61" s="129"/>
      <c r="Q61" s="126"/>
      <c r="R61" s="129"/>
      <c r="S61" s="127"/>
      <c r="T61" s="130"/>
      <c r="U61" s="129"/>
      <c r="V61" s="129"/>
      <c r="W61" s="47"/>
      <c r="X61" s="131"/>
      <c r="Y61" s="131"/>
      <c r="Z61" s="131"/>
      <c r="AA61" s="131"/>
      <c r="AB61" s="131"/>
      <c r="AC61" s="131"/>
      <c r="AD61" s="141">
        <f t="shared" si="1"/>
        <v>0</v>
      </c>
      <c r="AE61" s="132"/>
      <c r="AF61" s="133"/>
      <c r="AG61" s="125"/>
    </row>
    <row r="62" spans="1:33" s="48" customFormat="1">
      <c r="A62" s="124"/>
      <c r="B62" s="49"/>
      <c r="C62" s="49"/>
      <c r="D62" s="49"/>
      <c r="E62" s="125"/>
      <c r="F62" s="49"/>
      <c r="G62" s="126"/>
      <c r="H62" s="140"/>
      <c r="I62" s="127"/>
      <c r="J62" s="128"/>
      <c r="K62" s="133"/>
      <c r="L62" s="129"/>
      <c r="M62" s="127"/>
      <c r="N62" s="130"/>
      <c r="O62" s="126"/>
      <c r="P62" s="129"/>
      <c r="Q62" s="126"/>
      <c r="R62" s="129"/>
      <c r="S62" s="127"/>
      <c r="T62" s="130"/>
      <c r="U62" s="129"/>
      <c r="V62" s="129"/>
      <c r="W62" s="47"/>
      <c r="X62" s="131"/>
      <c r="Y62" s="131"/>
      <c r="Z62" s="131"/>
      <c r="AA62" s="131"/>
      <c r="AB62" s="131"/>
      <c r="AC62" s="131"/>
      <c r="AD62" s="141">
        <f t="shared" si="1"/>
        <v>0</v>
      </c>
      <c r="AE62" s="132"/>
      <c r="AF62" s="133"/>
      <c r="AG62" s="125"/>
    </row>
    <row r="63" spans="1:33" s="48" customFormat="1">
      <c r="A63" s="124"/>
      <c r="B63" s="49"/>
      <c r="C63" s="49"/>
      <c r="D63" s="49"/>
      <c r="E63" s="125"/>
      <c r="F63" s="49"/>
      <c r="G63" s="126"/>
      <c r="H63" s="140"/>
      <c r="I63" s="127"/>
      <c r="J63" s="128"/>
      <c r="K63" s="133"/>
      <c r="L63" s="129"/>
      <c r="M63" s="127"/>
      <c r="N63" s="130"/>
      <c r="O63" s="126"/>
      <c r="P63" s="129"/>
      <c r="Q63" s="126"/>
      <c r="R63" s="129"/>
      <c r="S63" s="127"/>
      <c r="T63" s="130"/>
      <c r="U63" s="129"/>
      <c r="V63" s="129"/>
      <c r="W63" s="47"/>
      <c r="X63" s="131"/>
      <c r="Y63" s="131"/>
      <c r="Z63" s="131"/>
      <c r="AA63" s="131"/>
      <c r="AB63" s="131"/>
      <c r="AC63" s="131"/>
      <c r="AD63" s="141">
        <f t="shared" si="1"/>
        <v>0</v>
      </c>
      <c r="AE63" s="132"/>
      <c r="AF63" s="133"/>
      <c r="AG63" s="125"/>
    </row>
    <row r="64" spans="1:33" s="48" customFormat="1">
      <c r="A64" s="124"/>
      <c r="B64" s="49"/>
      <c r="C64" s="49"/>
      <c r="D64" s="49"/>
      <c r="E64" s="125"/>
      <c r="F64" s="49"/>
      <c r="G64" s="126"/>
      <c r="H64" s="140"/>
      <c r="I64" s="127"/>
      <c r="J64" s="128"/>
      <c r="K64" s="133"/>
      <c r="L64" s="129"/>
      <c r="M64" s="127"/>
      <c r="N64" s="130"/>
      <c r="O64" s="126"/>
      <c r="P64" s="129"/>
      <c r="Q64" s="126"/>
      <c r="R64" s="129"/>
      <c r="S64" s="127"/>
      <c r="T64" s="130"/>
      <c r="U64" s="129"/>
      <c r="V64" s="129"/>
      <c r="W64" s="47"/>
      <c r="X64" s="131"/>
      <c r="Y64" s="131"/>
      <c r="Z64" s="131"/>
      <c r="AA64" s="131"/>
      <c r="AB64" s="131"/>
      <c r="AC64" s="131"/>
      <c r="AD64" s="141">
        <f t="shared" si="1"/>
        <v>0</v>
      </c>
      <c r="AE64" s="132"/>
      <c r="AF64" s="133"/>
      <c r="AG64" s="125"/>
    </row>
    <row r="65" spans="1:33" s="48" customFormat="1">
      <c r="A65" s="124"/>
      <c r="B65" s="49"/>
      <c r="C65" s="49"/>
      <c r="D65" s="49"/>
      <c r="E65" s="125"/>
      <c r="F65" s="49"/>
      <c r="G65" s="126"/>
      <c r="H65" s="140"/>
      <c r="I65" s="127"/>
      <c r="J65" s="128"/>
      <c r="K65" s="133"/>
      <c r="L65" s="129"/>
      <c r="M65" s="127"/>
      <c r="N65" s="130"/>
      <c r="O65" s="126"/>
      <c r="P65" s="129"/>
      <c r="Q65" s="126"/>
      <c r="R65" s="129"/>
      <c r="S65" s="127"/>
      <c r="T65" s="130"/>
      <c r="U65" s="129"/>
      <c r="V65" s="129"/>
      <c r="W65" s="47"/>
      <c r="X65" s="131"/>
      <c r="Y65" s="131"/>
      <c r="Z65" s="131"/>
      <c r="AA65" s="131"/>
      <c r="AB65" s="131"/>
      <c r="AC65" s="131"/>
      <c r="AD65" s="141">
        <f t="shared" si="1"/>
        <v>0</v>
      </c>
      <c r="AE65" s="132"/>
      <c r="AF65" s="133"/>
      <c r="AG65" s="125"/>
    </row>
    <row r="66" spans="1:33" s="48" customFormat="1">
      <c r="A66" s="124"/>
      <c r="B66" s="49"/>
      <c r="C66" s="49"/>
      <c r="D66" s="49"/>
      <c r="E66" s="125"/>
      <c r="F66" s="49"/>
      <c r="G66" s="126"/>
      <c r="H66" s="140"/>
      <c r="I66" s="127"/>
      <c r="J66" s="128"/>
      <c r="K66" s="133"/>
      <c r="L66" s="129"/>
      <c r="M66" s="127"/>
      <c r="N66" s="130"/>
      <c r="O66" s="126"/>
      <c r="P66" s="129"/>
      <c r="Q66" s="126"/>
      <c r="R66" s="129"/>
      <c r="S66" s="127"/>
      <c r="T66" s="130"/>
      <c r="U66" s="129"/>
      <c r="V66" s="129"/>
      <c r="W66" s="47"/>
      <c r="X66" s="131"/>
      <c r="Y66" s="131"/>
      <c r="Z66" s="131"/>
      <c r="AA66" s="131"/>
      <c r="AB66" s="131"/>
      <c r="AC66" s="131"/>
      <c r="AD66" s="141">
        <f t="shared" si="1"/>
        <v>0</v>
      </c>
      <c r="AE66" s="132"/>
      <c r="AF66" s="133"/>
      <c r="AG66" s="125"/>
    </row>
    <row r="67" spans="1:33" s="48" customFormat="1">
      <c r="A67" s="124"/>
      <c r="B67" s="49"/>
      <c r="C67" s="49"/>
      <c r="D67" s="49"/>
      <c r="E67" s="125"/>
      <c r="F67" s="49"/>
      <c r="G67" s="126"/>
      <c r="H67" s="140"/>
      <c r="I67" s="127"/>
      <c r="J67" s="128"/>
      <c r="K67" s="133"/>
      <c r="L67" s="129"/>
      <c r="M67" s="127"/>
      <c r="N67" s="130"/>
      <c r="O67" s="126"/>
      <c r="P67" s="129"/>
      <c r="Q67" s="126"/>
      <c r="R67" s="129"/>
      <c r="S67" s="127"/>
      <c r="T67" s="130"/>
      <c r="U67" s="129"/>
      <c r="V67" s="129"/>
      <c r="W67" s="47"/>
      <c r="X67" s="131"/>
      <c r="Y67" s="131"/>
      <c r="Z67" s="131"/>
      <c r="AA67" s="131"/>
      <c r="AB67" s="131"/>
      <c r="AC67" s="131"/>
      <c r="AD67" s="141">
        <f t="shared" si="1"/>
        <v>0</v>
      </c>
      <c r="AE67" s="132"/>
      <c r="AF67" s="133"/>
      <c r="AG67" s="125"/>
    </row>
    <row r="68" spans="1:33" s="48" customFormat="1">
      <c r="A68" s="124"/>
      <c r="B68" s="49"/>
      <c r="C68" s="49"/>
      <c r="D68" s="49"/>
      <c r="E68" s="125"/>
      <c r="F68" s="49"/>
      <c r="G68" s="126"/>
      <c r="H68" s="140"/>
      <c r="I68" s="127"/>
      <c r="J68" s="128"/>
      <c r="K68" s="133"/>
      <c r="L68" s="129"/>
      <c r="M68" s="127"/>
      <c r="N68" s="130"/>
      <c r="O68" s="126"/>
      <c r="P68" s="129"/>
      <c r="Q68" s="126"/>
      <c r="R68" s="129"/>
      <c r="S68" s="127"/>
      <c r="T68" s="130"/>
      <c r="U68" s="129"/>
      <c r="V68" s="129"/>
      <c r="W68" s="47"/>
      <c r="X68" s="131"/>
      <c r="Y68" s="131"/>
      <c r="Z68" s="131"/>
      <c r="AA68" s="131"/>
      <c r="AB68" s="131"/>
      <c r="AC68" s="131"/>
      <c r="AD68" s="141">
        <f t="shared" si="1"/>
        <v>0</v>
      </c>
      <c r="AE68" s="132"/>
      <c r="AF68" s="133"/>
      <c r="AG68" s="125"/>
    </row>
    <row r="69" spans="1:33" s="48" customFormat="1">
      <c r="A69" s="124"/>
      <c r="B69" s="49"/>
      <c r="C69" s="49"/>
      <c r="D69" s="49"/>
      <c r="E69" s="125"/>
      <c r="F69" s="49"/>
      <c r="G69" s="126"/>
      <c r="H69" s="140"/>
      <c r="I69" s="127"/>
      <c r="J69" s="128"/>
      <c r="K69" s="133"/>
      <c r="L69" s="129"/>
      <c r="M69" s="127"/>
      <c r="N69" s="130"/>
      <c r="O69" s="126"/>
      <c r="P69" s="129"/>
      <c r="Q69" s="126"/>
      <c r="R69" s="129"/>
      <c r="S69" s="127"/>
      <c r="T69" s="130"/>
      <c r="U69" s="129"/>
      <c r="V69" s="129"/>
      <c r="W69" s="47"/>
      <c r="X69" s="131"/>
      <c r="Y69" s="131"/>
      <c r="Z69" s="131"/>
      <c r="AA69" s="131"/>
      <c r="AB69" s="131"/>
      <c r="AC69" s="131"/>
      <c r="AD69" s="141">
        <f t="shared" si="1"/>
        <v>0</v>
      </c>
      <c r="AE69" s="132"/>
      <c r="AF69" s="133"/>
      <c r="AG69" s="125"/>
    </row>
    <row r="70" spans="1:33" s="48" customFormat="1">
      <c r="A70" s="124"/>
      <c r="B70" s="49"/>
      <c r="C70" s="49"/>
      <c r="D70" s="49"/>
      <c r="E70" s="125"/>
      <c r="F70" s="49"/>
      <c r="G70" s="126"/>
      <c r="H70" s="140"/>
      <c r="I70" s="127"/>
      <c r="J70" s="128"/>
      <c r="K70" s="133"/>
      <c r="L70" s="129"/>
      <c r="M70" s="127"/>
      <c r="N70" s="130"/>
      <c r="O70" s="126"/>
      <c r="P70" s="129"/>
      <c r="Q70" s="126"/>
      <c r="R70" s="129"/>
      <c r="S70" s="127"/>
      <c r="T70" s="130"/>
      <c r="U70" s="129"/>
      <c r="V70" s="129"/>
      <c r="W70" s="47"/>
      <c r="X70" s="131"/>
      <c r="Y70" s="131"/>
      <c r="Z70" s="131"/>
      <c r="AA70" s="131"/>
      <c r="AB70" s="131"/>
      <c r="AC70" s="131"/>
      <c r="AD70" s="141">
        <f t="shared" si="1"/>
        <v>0</v>
      </c>
      <c r="AE70" s="132"/>
      <c r="AF70" s="133"/>
      <c r="AG70" s="125"/>
    </row>
    <row r="71" spans="1:33" s="48" customFormat="1">
      <c r="A71" s="124"/>
      <c r="B71" s="49"/>
      <c r="C71" s="49"/>
      <c r="D71" s="49"/>
      <c r="E71" s="125"/>
      <c r="F71" s="49"/>
      <c r="G71" s="126"/>
      <c r="H71" s="140"/>
      <c r="I71" s="127"/>
      <c r="J71" s="128"/>
      <c r="K71" s="133"/>
      <c r="L71" s="129"/>
      <c r="M71" s="127"/>
      <c r="N71" s="130"/>
      <c r="O71" s="126"/>
      <c r="P71" s="129"/>
      <c r="Q71" s="126"/>
      <c r="R71" s="129"/>
      <c r="S71" s="127"/>
      <c r="T71" s="130"/>
      <c r="U71" s="129"/>
      <c r="V71" s="129"/>
      <c r="W71" s="47"/>
      <c r="X71" s="131"/>
      <c r="Y71" s="131"/>
      <c r="Z71" s="131"/>
      <c r="AA71" s="131"/>
      <c r="AB71" s="131"/>
      <c r="AC71" s="131"/>
      <c r="AD71" s="141">
        <f t="shared" si="1"/>
        <v>0</v>
      </c>
      <c r="AE71" s="132"/>
      <c r="AF71" s="133"/>
      <c r="AG71" s="125"/>
    </row>
    <row r="72" spans="1:33" s="48" customFormat="1">
      <c r="A72" s="124"/>
      <c r="B72" s="49"/>
      <c r="C72" s="49"/>
      <c r="D72" s="49"/>
      <c r="E72" s="125"/>
      <c r="F72" s="49"/>
      <c r="G72" s="126"/>
      <c r="H72" s="140"/>
      <c r="I72" s="127"/>
      <c r="J72" s="128"/>
      <c r="K72" s="133"/>
      <c r="L72" s="129"/>
      <c r="M72" s="127"/>
      <c r="N72" s="130"/>
      <c r="O72" s="126"/>
      <c r="P72" s="129"/>
      <c r="Q72" s="126"/>
      <c r="R72" s="129"/>
      <c r="S72" s="127"/>
      <c r="T72" s="130"/>
      <c r="U72" s="129"/>
      <c r="V72" s="129"/>
      <c r="W72" s="47"/>
      <c r="X72" s="131"/>
      <c r="Y72" s="131"/>
      <c r="Z72" s="131"/>
      <c r="AA72" s="131"/>
      <c r="AB72" s="131"/>
      <c r="AC72" s="131"/>
      <c r="AD72" s="141">
        <f t="shared" si="1"/>
        <v>0</v>
      </c>
      <c r="AE72" s="132"/>
      <c r="AF72" s="133"/>
      <c r="AG72" s="125"/>
    </row>
    <row r="73" spans="1:33" s="48" customFormat="1">
      <c r="A73" s="124"/>
      <c r="B73" s="49"/>
      <c r="C73" s="49"/>
      <c r="D73" s="49"/>
      <c r="E73" s="125"/>
      <c r="F73" s="49"/>
      <c r="G73" s="126"/>
      <c r="H73" s="140"/>
      <c r="I73" s="127"/>
      <c r="J73" s="128"/>
      <c r="K73" s="133"/>
      <c r="L73" s="129"/>
      <c r="M73" s="127"/>
      <c r="N73" s="130"/>
      <c r="O73" s="126"/>
      <c r="P73" s="129"/>
      <c r="Q73" s="126"/>
      <c r="R73" s="129"/>
      <c r="S73" s="127"/>
      <c r="T73" s="130"/>
      <c r="U73" s="129"/>
      <c r="V73" s="129"/>
      <c r="W73" s="47"/>
      <c r="X73" s="131"/>
      <c r="Y73" s="131"/>
      <c r="Z73" s="131"/>
      <c r="AA73" s="131"/>
      <c r="AB73" s="131"/>
      <c r="AC73" s="131"/>
      <c r="AD73" s="141">
        <f t="shared" si="1"/>
        <v>0</v>
      </c>
      <c r="AE73" s="132"/>
      <c r="AF73" s="133"/>
      <c r="AG73" s="125"/>
    </row>
    <row r="74" spans="1:33" s="48" customFormat="1">
      <c r="A74" s="124"/>
      <c r="B74" s="49"/>
      <c r="C74" s="49"/>
      <c r="D74" s="49"/>
      <c r="E74" s="125"/>
      <c r="F74" s="49"/>
      <c r="G74" s="126"/>
      <c r="H74" s="140"/>
      <c r="I74" s="127"/>
      <c r="J74" s="128"/>
      <c r="K74" s="133"/>
      <c r="L74" s="129"/>
      <c r="M74" s="127"/>
      <c r="N74" s="130"/>
      <c r="O74" s="126"/>
      <c r="P74" s="129"/>
      <c r="Q74" s="126"/>
      <c r="R74" s="129"/>
      <c r="S74" s="127"/>
      <c r="T74" s="130"/>
      <c r="U74" s="129"/>
      <c r="V74" s="129"/>
      <c r="W74" s="47"/>
      <c r="X74" s="131"/>
      <c r="Y74" s="131"/>
      <c r="Z74" s="131"/>
      <c r="AA74" s="131"/>
      <c r="AB74" s="131"/>
      <c r="AC74" s="131"/>
      <c r="AD74" s="141">
        <f t="shared" ref="AD74:AD81" si="2">W74-SUM(Y74+AC74)</f>
        <v>0</v>
      </c>
      <c r="AE74" s="132"/>
      <c r="AF74" s="133"/>
      <c r="AG74" s="125"/>
    </row>
    <row r="75" spans="1:33" s="48" customFormat="1">
      <c r="A75" s="124"/>
      <c r="B75" s="49"/>
      <c r="C75" s="49"/>
      <c r="D75" s="49"/>
      <c r="E75" s="125"/>
      <c r="F75" s="49"/>
      <c r="G75" s="126"/>
      <c r="H75" s="140"/>
      <c r="I75" s="127"/>
      <c r="J75" s="128"/>
      <c r="K75" s="133"/>
      <c r="L75" s="129"/>
      <c r="M75" s="127"/>
      <c r="N75" s="130"/>
      <c r="O75" s="126"/>
      <c r="P75" s="129"/>
      <c r="Q75" s="126"/>
      <c r="R75" s="129"/>
      <c r="S75" s="127"/>
      <c r="T75" s="130"/>
      <c r="U75" s="129"/>
      <c r="V75" s="129"/>
      <c r="W75" s="47"/>
      <c r="X75" s="131"/>
      <c r="Y75" s="131"/>
      <c r="Z75" s="131"/>
      <c r="AA75" s="131"/>
      <c r="AB75" s="131"/>
      <c r="AC75" s="131"/>
      <c r="AD75" s="141">
        <f t="shared" si="2"/>
        <v>0</v>
      </c>
      <c r="AE75" s="132"/>
      <c r="AF75" s="133"/>
      <c r="AG75" s="125"/>
    </row>
    <row r="76" spans="1:33" s="48" customFormat="1">
      <c r="A76" s="124"/>
      <c r="B76" s="49"/>
      <c r="C76" s="49"/>
      <c r="D76" s="49"/>
      <c r="E76" s="125"/>
      <c r="F76" s="49"/>
      <c r="G76" s="126"/>
      <c r="H76" s="140"/>
      <c r="I76" s="127"/>
      <c r="J76" s="128"/>
      <c r="K76" s="133"/>
      <c r="L76" s="129"/>
      <c r="M76" s="127"/>
      <c r="N76" s="130"/>
      <c r="O76" s="126"/>
      <c r="P76" s="129"/>
      <c r="Q76" s="126"/>
      <c r="R76" s="129"/>
      <c r="S76" s="127"/>
      <c r="T76" s="130"/>
      <c r="U76" s="129"/>
      <c r="V76" s="129"/>
      <c r="W76" s="47"/>
      <c r="X76" s="131"/>
      <c r="Y76" s="131"/>
      <c r="Z76" s="131"/>
      <c r="AA76" s="131"/>
      <c r="AB76" s="131"/>
      <c r="AC76" s="131"/>
      <c r="AD76" s="141">
        <f t="shared" si="2"/>
        <v>0</v>
      </c>
      <c r="AE76" s="132"/>
      <c r="AF76" s="133"/>
      <c r="AG76" s="125"/>
    </row>
    <row r="77" spans="1:33" s="48" customFormat="1">
      <c r="A77" s="124"/>
      <c r="B77" s="49"/>
      <c r="C77" s="49"/>
      <c r="D77" s="49"/>
      <c r="E77" s="125"/>
      <c r="F77" s="49"/>
      <c r="G77" s="126"/>
      <c r="H77" s="140"/>
      <c r="I77" s="127"/>
      <c r="J77" s="128"/>
      <c r="K77" s="133"/>
      <c r="L77" s="129"/>
      <c r="M77" s="127"/>
      <c r="N77" s="130"/>
      <c r="O77" s="126"/>
      <c r="P77" s="129"/>
      <c r="Q77" s="126"/>
      <c r="R77" s="129"/>
      <c r="S77" s="127"/>
      <c r="T77" s="130"/>
      <c r="U77" s="129"/>
      <c r="V77" s="129"/>
      <c r="W77" s="47"/>
      <c r="X77" s="131"/>
      <c r="Y77" s="131"/>
      <c r="Z77" s="131"/>
      <c r="AA77" s="131"/>
      <c r="AB77" s="131"/>
      <c r="AC77" s="131"/>
      <c r="AD77" s="141">
        <f t="shared" si="2"/>
        <v>0</v>
      </c>
      <c r="AE77" s="132"/>
      <c r="AF77" s="133"/>
      <c r="AG77" s="125"/>
    </row>
    <row r="78" spans="1:33" s="48" customFormat="1">
      <c r="A78" s="124"/>
      <c r="B78" s="49"/>
      <c r="C78" s="49"/>
      <c r="D78" s="49"/>
      <c r="E78" s="125"/>
      <c r="F78" s="49"/>
      <c r="G78" s="126"/>
      <c r="H78" s="140"/>
      <c r="I78" s="127"/>
      <c r="J78" s="128"/>
      <c r="K78" s="133"/>
      <c r="L78" s="129"/>
      <c r="M78" s="127"/>
      <c r="N78" s="130"/>
      <c r="O78" s="126"/>
      <c r="P78" s="129"/>
      <c r="Q78" s="126"/>
      <c r="R78" s="129"/>
      <c r="S78" s="127"/>
      <c r="T78" s="130"/>
      <c r="U78" s="129"/>
      <c r="V78" s="129"/>
      <c r="W78" s="47"/>
      <c r="X78" s="131"/>
      <c r="Y78" s="131"/>
      <c r="Z78" s="131"/>
      <c r="AA78" s="131"/>
      <c r="AB78" s="131"/>
      <c r="AC78" s="131"/>
      <c r="AD78" s="141">
        <f t="shared" si="2"/>
        <v>0</v>
      </c>
      <c r="AE78" s="132"/>
      <c r="AF78" s="133"/>
      <c r="AG78" s="125"/>
    </row>
    <row r="79" spans="1:33" s="48" customFormat="1">
      <c r="A79" s="124"/>
      <c r="B79" s="49"/>
      <c r="C79" s="49"/>
      <c r="D79" s="49"/>
      <c r="E79" s="125"/>
      <c r="F79" s="49"/>
      <c r="G79" s="126"/>
      <c r="H79" s="140"/>
      <c r="I79" s="127"/>
      <c r="J79" s="128"/>
      <c r="K79" s="133"/>
      <c r="L79" s="129"/>
      <c r="M79" s="127"/>
      <c r="N79" s="130"/>
      <c r="O79" s="126"/>
      <c r="P79" s="129"/>
      <c r="Q79" s="126"/>
      <c r="R79" s="129"/>
      <c r="S79" s="127"/>
      <c r="T79" s="130"/>
      <c r="U79" s="129"/>
      <c r="V79" s="129"/>
      <c r="W79" s="47"/>
      <c r="X79" s="131"/>
      <c r="Y79" s="131"/>
      <c r="Z79" s="131"/>
      <c r="AA79" s="131"/>
      <c r="AB79" s="131"/>
      <c r="AC79" s="131"/>
      <c r="AD79" s="141">
        <f t="shared" si="2"/>
        <v>0</v>
      </c>
      <c r="AE79" s="132"/>
      <c r="AF79" s="133"/>
      <c r="AG79" s="125"/>
    </row>
    <row r="80" spans="1:33" s="48" customFormat="1">
      <c r="A80" s="124"/>
      <c r="B80" s="49"/>
      <c r="C80" s="49"/>
      <c r="D80" s="49"/>
      <c r="E80" s="125"/>
      <c r="F80" s="49"/>
      <c r="G80" s="126"/>
      <c r="H80" s="140"/>
      <c r="I80" s="127"/>
      <c r="J80" s="128"/>
      <c r="K80" s="133"/>
      <c r="L80" s="129"/>
      <c r="M80" s="127"/>
      <c r="N80" s="130"/>
      <c r="O80" s="126"/>
      <c r="P80" s="129"/>
      <c r="Q80" s="126"/>
      <c r="R80" s="129"/>
      <c r="S80" s="127"/>
      <c r="T80" s="130"/>
      <c r="U80" s="129"/>
      <c r="V80" s="129"/>
      <c r="W80" s="47"/>
      <c r="X80" s="131"/>
      <c r="Y80" s="131"/>
      <c r="Z80" s="131"/>
      <c r="AA80" s="131"/>
      <c r="AB80" s="131"/>
      <c r="AC80" s="131"/>
      <c r="AD80" s="141">
        <f t="shared" si="2"/>
        <v>0</v>
      </c>
      <c r="AE80" s="132"/>
      <c r="AF80" s="133"/>
      <c r="AG80" s="125"/>
    </row>
    <row r="81" spans="1:33" s="48" customFormat="1">
      <c r="A81" s="124"/>
      <c r="B81" s="49"/>
      <c r="C81" s="49"/>
      <c r="D81" s="49"/>
      <c r="E81" s="125"/>
      <c r="F81" s="49"/>
      <c r="G81" s="126"/>
      <c r="H81" s="140"/>
      <c r="I81" s="127"/>
      <c r="J81" s="128"/>
      <c r="K81" s="133"/>
      <c r="L81" s="129"/>
      <c r="M81" s="127"/>
      <c r="N81" s="130"/>
      <c r="O81" s="126"/>
      <c r="P81" s="129"/>
      <c r="Q81" s="126"/>
      <c r="R81" s="129"/>
      <c r="S81" s="127"/>
      <c r="T81" s="130"/>
      <c r="U81" s="129"/>
      <c r="V81" s="129"/>
      <c r="W81" s="47"/>
      <c r="X81" s="131"/>
      <c r="Y81" s="131"/>
      <c r="Z81" s="131"/>
      <c r="AA81" s="131"/>
      <c r="AB81" s="131"/>
      <c r="AC81" s="131"/>
      <c r="AD81" s="141">
        <f t="shared" si="2"/>
        <v>0</v>
      </c>
      <c r="AE81" s="132"/>
      <c r="AF81" s="133"/>
      <c r="AG81" s="125"/>
    </row>
    <row r="82" spans="1:33">
      <c r="AF82" s="30"/>
    </row>
    <row r="83" spans="1:33">
      <c r="AF83" s="30"/>
    </row>
    <row r="84" spans="1:33">
      <c r="AF84" s="30"/>
    </row>
    <row r="85" spans="1:33">
      <c r="AF85" s="30"/>
    </row>
    <row r="86" spans="1:33">
      <c r="AF86" s="30"/>
    </row>
    <row r="87" spans="1:33">
      <c r="AF87" s="30"/>
    </row>
  </sheetData>
  <sheetProtection selectLockedCells="1"/>
  <protectedRanges>
    <protectedRange sqref="AG7:AG81 B13:E81 G7:V81 B7:C12 E7:E12" name="Rango1"/>
    <protectedRange sqref="AD7:AE81" name="Rango1_2"/>
    <protectedRange sqref="F7:F81 A7:A81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13:D81 A12:B12 A7:C11 X7:AC81 F7:I81 L7:V81">
    <cfRule type="expression" dxfId="8" priority="248" stopIfTrue="1">
      <formula>"SEVERSTAL"</formula>
    </cfRule>
  </conditionalFormatting>
  <conditionalFormatting sqref="E13:E81 E7:E11 AG7:AG81 AD7:AE81">
    <cfRule type="cellIs" dxfId="7" priority="249" stopIfTrue="1" operator="equal">
      <formula>"APROBADO"</formula>
    </cfRule>
    <cfRule type="cellIs" dxfId="6" priority="250" stopIfTrue="1" operator="equal">
      <formula>"ESPERA"</formula>
    </cfRule>
    <cfRule type="cellIs" dxfId="5" priority="251" stopIfTrue="1" operator="equal">
      <formula>"RECHAZADO"</formula>
    </cfRule>
  </conditionalFormatting>
  <conditionalFormatting sqref="C12">
    <cfRule type="expression" dxfId="4" priority="2" stopIfTrue="1">
      <formula>"SEVERSTAL"</formula>
    </cfRule>
  </conditionalFormatting>
  <conditionalFormatting sqref="E12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7:D12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