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P110 ICY\"/>
    </mc:Choice>
  </mc:AlternateContent>
  <bookViews>
    <workbookView showSheetTabs="0" xWindow="0" yWindow="0" windowWidth="28800" windowHeight="1233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Resultados!$A$4:$AK$4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28" i="5" l="1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AC5" i="5" l="1"/>
  <c r="AE5" i="5" s="1"/>
  <c r="AF5" i="5" s="1"/>
  <c r="AE4" i="5"/>
  <c r="AF4" i="5" s="1"/>
  <c r="AD4" i="5"/>
  <c r="AD5" i="5" l="1"/>
  <c r="W13" i="5" l="1"/>
  <c r="AD13" i="5" s="1"/>
  <c r="W8" i="5" l="1"/>
  <c r="AD8" i="5" s="1"/>
  <c r="W9" i="5" l="1"/>
  <c r="AD9" i="5" s="1"/>
  <c r="W7" i="5" l="1"/>
  <c r="AD7" i="5" s="1"/>
  <c r="W10" i="5" l="1"/>
  <c r="AD10" i="5" s="1"/>
  <c r="W11" i="5"/>
  <c r="AD11" i="5" s="1"/>
  <c r="W12" i="5"/>
  <c r="AD12" i="5" s="1"/>
  <c r="W15" i="5"/>
  <c r="AD15" i="5" s="1"/>
  <c r="W16" i="5"/>
  <c r="AD16" i="5" s="1"/>
  <c r="W17" i="5"/>
  <c r="AD17" i="5" s="1"/>
  <c r="W18" i="5"/>
  <c r="AD18" i="5" s="1"/>
  <c r="W19" i="5"/>
  <c r="AD19" i="5" s="1"/>
  <c r="W20" i="5"/>
  <c r="W21" i="5"/>
  <c r="W22" i="5"/>
  <c r="AD33" i="5" l="1"/>
  <c r="AD35" i="5" l="1"/>
  <c r="AD31" i="5" l="1"/>
  <c r="AD30" i="5"/>
  <c r="W24" i="5" l="1"/>
  <c r="W25" i="5"/>
  <c r="W26" i="5"/>
  <c r="W27" i="5"/>
  <c r="W23" i="5" l="1"/>
  <c r="AD25" i="5" l="1"/>
  <c r="AD26" i="5"/>
  <c r="AD27" i="5"/>
  <c r="AD28" i="5"/>
  <c r="AD29" i="5"/>
  <c r="AD32" i="5"/>
  <c r="AD34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20" i="5" l="1"/>
  <c r="AD21" i="5"/>
  <c r="AD22" i="5"/>
  <c r="AD23" i="5"/>
  <c r="AD24" i="5"/>
</calcChain>
</file>

<file path=xl/comments1.xml><?xml version="1.0" encoding="utf-8"?>
<comments xmlns="http://schemas.openxmlformats.org/spreadsheetml/2006/main">
  <authors>
    <author>ARRIETA C. Carlos G. TENARIS</author>
    <author>CAMPO B. Carlos I.      TENARIS</author>
    <author>LAMBRANO Osbaldo E. TENARIS</author>
  </authors>
  <commentList>
    <comment ref="N9" authorId="0" shapeId="0">
      <text>
        <r>
          <rPr>
            <sz val="9"/>
            <color indexed="81"/>
            <rFont val="Tahoma"/>
            <family val="2"/>
          </rPr>
          <t xml:space="preserve">
DUPLICADO
125.2 - 135.6
125.9 - 136.7</t>
        </r>
      </text>
    </comment>
    <comment ref="AF15" authorId="1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7 y 8 =  660</t>
        </r>
      </text>
    </comment>
    <comment ref="AG15" authorId="1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7 y 8 =  660</t>
        </r>
      </text>
    </comment>
    <comment ref="AF16" authorId="1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7 y 8 =  660</t>
        </r>
      </text>
    </comment>
    <comment ref="AG16" authorId="1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7 y 8 =  660</t>
        </r>
      </text>
    </comment>
    <comment ref="AF17" authorId="1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7 y 8 =  660</t>
        </r>
      </text>
    </comment>
    <comment ref="AG17" authorId="1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Zona 7 y 8 =  660</t>
        </r>
      </text>
    </comment>
    <comment ref="AD18" authorId="0" shapeId="0">
      <text>
        <r>
          <rPr>
            <b/>
            <sz val="11"/>
            <color indexed="81"/>
            <rFont val="Tahoma"/>
            <family val="2"/>
          </rPr>
          <t>Z1 y Z7 = 661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8" authorId="0" shapeId="0">
      <text>
        <r>
          <rPr>
            <b/>
            <sz val="11"/>
            <color indexed="81"/>
            <rFont val="Tahoma"/>
            <family val="2"/>
          </rPr>
          <t>Z1 y Z7 = 661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8" authorId="0" shapeId="0">
      <text>
        <r>
          <rPr>
            <b/>
            <sz val="11"/>
            <color indexed="81"/>
            <rFont val="Tahoma"/>
            <family val="2"/>
          </rPr>
          <t>Z1 y Z7 = 661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9" authorId="0" shapeId="0">
      <text>
        <r>
          <rPr>
            <b/>
            <sz val="11"/>
            <color indexed="81"/>
            <rFont val="Tahoma"/>
            <family val="2"/>
          </rPr>
          <t>Z1 y Z7 = 661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9" authorId="0" shapeId="0">
      <text>
        <r>
          <rPr>
            <b/>
            <sz val="11"/>
            <color indexed="81"/>
            <rFont val="Tahoma"/>
            <family val="2"/>
          </rPr>
          <t>Z1 y Z7 = 661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9" authorId="0" shapeId="0">
      <text>
        <r>
          <rPr>
            <b/>
            <sz val="11"/>
            <color indexed="81"/>
            <rFont val="Tahoma"/>
            <family val="2"/>
          </rPr>
          <t>Z1 y Z7 = 661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0" authorId="0" shapeId="0">
      <text>
        <r>
          <rPr>
            <b/>
            <sz val="11"/>
            <color indexed="81"/>
            <rFont val="Tahoma"/>
            <family val="2"/>
          </rPr>
          <t>Z1 y Z7 = 666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0" authorId="0" shapeId="0">
      <text>
        <r>
          <rPr>
            <b/>
            <sz val="11"/>
            <color indexed="81"/>
            <rFont val="Tahoma"/>
            <family val="2"/>
          </rPr>
          <t>Z1 y Z7 = 666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0" authorId="0" shapeId="0">
      <text>
        <r>
          <rPr>
            <b/>
            <sz val="11"/>
            <color indexed="81"/>
            <rFont val="Tahoma"/>
            <family val="2"/>
          </rPr>
          <t>Z1 y Z7 = 666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1" authorId="0" shapeId="0">
      <text>
        <r>
          <rPr>
            <b/>
            <sz val="11"/>
            <color indexed="81"/>
            <rFont val="Tahoma"/>
            <family val="2"/>
          </rPr>
          <t>Z1 y Z7 = 666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1" authorId="0" shapeId="0">
      <text>
        <r>
          <rPr>
            <b/>
            <sz val="11"/>
            <color indexed="81"/>
            <rFont val="Tahoma"/>
            <family val="2"/>
          </rPr>
          <t>Z1 y Z7 = 666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1" authorId="0" shapeId="0">
      <text>
        <r>
          <rPr>
            <b/>
            <sz val="11"/>
            <color indexed="81"/>
            <rFont val="Tahoma"/>
            <family val="2"/>
          </rPr>
          <t>Z1 y Z7 = 666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22" authorId="2" shapeId="0">
      <text>
        <r>
          <rPr>
            <b/>
            <sz val="9"/>
            <color indexed="81"/>
            <rFont val="Tahoma"/>
            <family val="2"/>
          </rPr>
          <t>Duplicado:
113.6---126.3</t>
        </r>
      </text>
    </comment>
    <comment ref="AD22" authorId="0" shapeId="0">
      <text>
        <r>
          <rPr>
            <b/>
            <sz val="11"/>
            <color indexed="81"/>
            <rFont val="Tahoma"/>
            <family val="2"/>
          </rPr>
          <t>Z1 y Z7 = 666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2" authorId="0" shapeId="0">
      <text>
        <r>
          <rPr>
            <b/>
            <sz val="11"/>
            <color indexed="81"/>
            <rFont val="Tahoma"/>
            <family val="2"/>
          </rPr>
          <t>Z1 y Z7 = 666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2" authorId="0" shapeId="0">
      <text>
        <r>
          <rPr>
            <b/>
            <sz val="11"/>
            <color indexed="81"/>
            <rFont val="Tahoma"/>
            <family val="2"/>
          </rPr>
          <t>Z1 y Z7 = 666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23" authorId="2" shapeId="0">
      <text>
        <r>
          <rPr>
            <b/>
            <sz val="9"/>
            <color indexed="81"/>
            <rFont val="Tahoma"/>
            <family val="2"/>
          </rPr>
          <t>Duplicado:
116.7---128.5</t>
        </r>
      </text>
    </comment>
    <comment ref="AD23" authorId="0" shapeId="0">
      <text>
        <r>
          <rPr>
            <b/>
            <sz val="11"/>
            <color indexed="81"/>
            <rFont val="Tahoma"/>
            <family val="2"/>
          </rPr>
          <t>Z1 y Z7 = 666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3" authorId="0" shapeId="0">
      <text>
        <r>
          <rPr>
            <b/>
            <sz val="11"/>
            <color indexed="81"/>
            <rFont val="Tahoma"/>
            <family val="2"/>
          </rPr>
          <t>Z1 y Z7 = 666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3" authorId="0" shapeId="0">
      <text>
        <r>
          <rPr>
            <b/>
            <sz val="11"/>
            <color indexed="81"/>
            <rFont val="Tahoma"/>
            <family val="2"/>
          </rPr>
          <t>Z1 y Z7 = 666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4" authorId="0" shapeId="0">
      <text>
        <r>
          <rPr>
            <b/>
            <sz val="11"/>
            <color indexed="81"/>
            <rFont val="Tahoma"/>
            <family val="2"/>
          </rPr>
          <t>Z1 y Z7 = 666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4" authorId="0" shapeId="0">
      <text>
        <r>
          <rPr>
            <b/>
            <sz val="11"/>
            <color indexed="81"/>
            <rFont val="Tahoma"/>
            <family val="2"/>
          </rPr>
          <t>Z1 y Z7 = 666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4" authorId="0" shapeId="0">
      <text>
        <r>
          <rPr>
            <b/>
            <sz val="11"/>
            <color indexed="81"/>
            <rFont val="Tahoma"/>
            <family val="2"/>
          </rPr>
          <t>Z1 y Z7 = 666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5" authorId="0" shapeId="0">
      <text>
        <r>
          <rPr>
            <b/>
            <sz val="11"/>
            <color indexed="81"/>
            <rFont val="Tahoma"/>
            <family val="2"/>
          </rPr>
          <t>Z1 y Z7 = 666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5" authorId="0" shapeId="0">
      <text>
        <r>
          <rPr>
            <b/>
            <sz val="11"/>
            <color indexed="81"/>
            <rFont val="Tahoma"/>
            <family val="2"/>
          </rPr>
          <t>Z1 y Z7 = 666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5" authorId="0" shapeId="0">
      <text>
        <r>
          <rPr>
            <b/>
            <sz val="11"/>
            <color indexed="81"/>
            <rFont val="Tahoma"/>
            <family val="2"/>
          </rPr>
          <t>Z1 y Z7 = 666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LAMBRANO R. Osbaldo E.       TENARIS</author>
    <author>PEREZ M. Fredis      TENARIS</author>
  </authors>
  <commentList>
    <comment ref="Z10" authorId="0" shapeId="0">
      <text>
        <r>
          <rPr>
            <b/>
            <sz val="8"/>
            <color indexed="81"/>
            <rFont val="Tahoma"/>
            <family val="2"/>
          </rPr>
          <t>Se disparan los compresores y se apagan los hornos + 9 TUBOS fallan pot prop. Mec para P110 ICY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2" authorId="0" shapeId="0">
      <text>
        <r>
          <rPr>
            <b/>
            <sz val="8"/>
            <color indexed="81"/>
            <rFont val="Tahoma"/>
            <family val="2"/>
          </rPr>
          <t>Sale sin pirometria de enderezado.
Se reprocesa en el lote 4759</t>
        </r>
      </text>
    </comment>
    <comment ref="Z15" authorId="1" shapeId="0">
      <text>
        <r>
          <rPr>
            <b/>
            <sz val="8"/>
            <color indexed="81"/>
            <rFont val="Tahoma"/>
            <family val="2"/>
          </rPr>
          <t>Se frena en el rodillo #11 de salida horno de Austenizado.
Se reprocesa</t>
        </r>
      </text>
    </comment>
  </commentList>
</comments>
</file>

<file path=xl/sharedStrings.xml><?xml version="1.0" encoding="utf-8"?>
<sst xmlns="http://schemas.openxmlformats.org/spreadsheetml/2006/main" count="237" uniqueCount="127">
  <si>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</si>
  <si>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</si>
  <si>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</si>
  <si>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</si>
  <si>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</si>
  <si>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</si>
  <si>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</si>
  <si>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</si>
  <si>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</si>
  <si>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</si>
  <si>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</si>
  <si>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</si>
  <si>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</si>
  <si>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</si>
  <si>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</si>
  <si>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</si>
  <si>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</si>
  <si>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</si>
  <si>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</si>
  <si>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</si>
  <si>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</si>
  <si>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</si>
  <si>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</si>
  <si>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</si>
  <si>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</si>
  <si>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</si>
  <si>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</si>
  <si>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</si>
  <si>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</si>
  <si>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</si>
  <si>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</si>
  <si>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</si>
  <si>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</si>
  <si>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</si>
  <si>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</si>
  <si>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</si>
  <si>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</si>
  <si>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</si>
  <si>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</si>
  <si>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</si>
  <si>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</si>
  <si>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</si>
  <si>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</si>
  <si>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</si>
  <si>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</si>
  <si>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</si>
  <si>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</si>
  <si>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</si>
  <si>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</si>
  <si>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</si>
  <si>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</si>
  <si>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</si>
  <si>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</si>
  <si>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</si>
  <si>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</si>
  <si>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</si>
  <si>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</si>
  <si>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</si>
  <si>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</si>
  <si>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</si>
  <si>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</si>
  <si>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</si>
  <si>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</si>
  <si>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</si>
  <si>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</si>
  <si>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</si>
  <si>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</si>
  <si>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</si>
  <si>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</si>
  <si>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</si>
  <si>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</si>
  <si>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</si>
  <si>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</si>
  <si>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</si>
  <si>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</si>
  <si>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</si>
  <si>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</si>
  <si>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</si>
  <si>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</si>
  <si>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</si>
  <si>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</si>
  <si>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</si>
  <si>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</si>
  <si>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</si>
  <si>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</si>
  <si>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</si>
  <si>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</si>
  <si>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</si>
  <si>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 xml:space="preserve">SUR </t>
  </si>
  <si>
    <t>P1</t>
  </si>
  <si>
    <t>Centro</t>
  </si>
  <si>
    <t>Clave</t>
  </si>
  <si>
    <t>TAMSA</t>
  </si>
  <si>
    <t xml:space="preserve">TP110 ICY 130 x 18 mm TPC </t>
  </si>
  <si>
    <t>1 al 100</t>
  </si>
  <si>
    <t>101 al 112</t>
  </si>
  <si>
    <t>113 al 162</t>
  </si>
  <si>
    <t>RECHAZADO</t>
  </si>
  <si>
    <t>163 al 221</t>
  </si>
  <si>
    <t>222 al 321</t>
  </si>
  <si>
    <t>322 al 329</t>
  </si>
  <si>
    <t>Ciclo</t>
  </si>
  <si>
    <t>Res.</t>
  </si>
  <si>
    <t>T/Hr</t>
  </si>
  <si>
    <t>Tubos x Turno</t>
  </si>
  <si>
    <t xml:space="preserve"> H. Temple</t>
  </si>
  <si>
    <t xml:space="preserve"> H. Revenido</t>
  </si>
  <si>
    <t>330 al 429</t>
  </si>
  <si>
    <t xml:space="preserve">NORTE </t>
  </si>
  <si>
    <t>Cuerpo</t>
  </si>
  <si>
    <t>Cuerpo Centro</t>
  </si>
  <si>
    <t>OD (mm)</t>
  </si>
  <si>
    <t>WT (mm)</t>
  </si>
  <si>
    <t>Proveedor</t>
  </si>
  <si>
    <t>Colada</t>
  </si>
  <si>
    <t>No. Tubo</t>
  </si>
  <si>
    <t>TPC</t>
  </si>
  <si>
    <t>PROVEEDOR</t>
  </si>
  <si>
    <t>P110IC/ICY</t>
  </si>
  <si>
    <t>TPC 130 x 18 P110 ICY</t>
  </si>
  <si>
    <r>
      <t>22519</t>
    </r>
    <r>
      <rPr>
        <b/>
        <sz val="12"/>
        <color indexed="8"/>
        <rFont val="Arial"/>
        <family val="2"/>
      </rPr>
      <t xml:space="preserve"> PB</t>
    </r>
  </si>
  <si>
    <t>430 al 439</t>
  </si>
  <si>
    <t>1 al 23</t>
  </si>
  <si>
    <r>
      <t xml:space="preserve">22519 </t>
    </r>
    <r>
      <rPr>
        <b/>
        <sz val="12"/>
        <rFont val="Frutiger 45 Light"/>
        <family val="2"/>
      </rPr>
      <t>PB</t>
    </r>
  </si>
  <si>
    <t>1 al 5</t>
  </si>
  <si>
    <t>1 al 3</t>
  </si>
  <si>
    <t>1 al 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</si>
</sst>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9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2"/>
      <color rgb="FFFF0000"/>
      <name val="Arial"/>
      <family val="2"/>
    </font>
    <font>
      <b/>
      <sz val="12"/>
      <color rgb="FFFF0000"/>
      <name val="Arial"/>
      <family val="2"/>
    </font>
    <font>
      <i/>
      <sz val="12"/>
      <color rgb="FFFF0000"/>
      <name val="Frutiger 45 Light"/>
      <family val="2"/>
    </font>
    <font>
      <b/>
      <sz val="12"/>
      <color rgb="FF0000FF"/>
      <name val="Arial"/>
      <family val="2"/>
    </font>
    <font>
      <sz val="9"/>
      <color indexed="81"/>
      <name val="Tahoma"/>
      <family val="2"/>
    </font>
    <font>
      <sz val="12"/>
      <color indexed="63"/>
      <name val="Frutiger 45 Light"/>
      <family val="2"/>
    </font>
    <font>
      <sz val="12"/>
      <color theme="1"/>
      <name val="Arial"/>
      <family val="2"/>
    </font>
    <font>
      <b/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22"/>
      <color indexed="63"/>
      <name val="LibertyD"/>
      <family val="2"/>
    </font>
    <font>
      <b/>
      <sz val="12"/>
      <color indexed="8"/>
      <name val="Arial"/>
      <family val="2"/>
    </font>
    <font>
      <b/>
      <sz val="11"/>
      <color indexed="81"/>
      <name val="Tahoma"/>
      <family val="2"/>
    </font>
    <font>
      <b/>
      <sz val="12"/>
      <name val="Frutiger 45 Light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7" fillId="0" borderId="0"/>
    <xf numFmtId="0" fontId="1" fillId="0" borderId="0"/>
  </cellStyleXfs>
  <cellXfs count="24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30" fillId="0" borderId="0" xfId="0" applyFont="1" applyAlignment="1">
      <alignment vertical="center"/>
    </xf>
    <xf numFmtId="0" fontId="0" fillId="3" borderId="11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8" xfId="0" quotePrefix="1" applyNumberFormat="1" applyBorder="1" applyAlignment="1">
      <alignment horizontal="center"/>
    </xf>
    <xf numFmtId="49" fontId="0" fillId="0" borderId="19" xfId="0" quotePrefix="1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19" xfId="0" quotePrefix="1" applyBorder="1" applyAlignment="1">
      <alignment horizontal="center"/>
    </xf>
    <xf numFmtId="0" fontId="0" fillId="0" borderId="20" xfId="0" quotePrefix="1" applyBorder="1" applyAlignment="1">
      <alignment horizontal="center"/>
    </xf>
    <xf numFmtId="0" fontId="21" fillId="0" borderId="3" xfId="3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165" fontId="38" fillId="0" borderId="3" xfId="2" applyNumberFormat="1" applyFont="1" applyFill="1" applyBorder="1" applyAlignment="1">
      <alignment horizontal="center"/>
    </xf>
    <xf numFmtId="0" fontId="45" fillId="4" borderId="0" xfId="0" applyFont="1" applyFill="1" applyAlignment="1">
      <alignment horizontal="center"/>
    </xf>
    <xf numFmtId="0" fontId="45" fillId="4" borderId="0" xfId="0" applyFont="1" applyFill="1" applyAlignment="1">
      <alignment horizontal="center" vertical="center" wrapText="1"/>
    </xf>
    <xf numFmtId="0" fontId="46" fillId="0" borderId="0" xfId="0" applyFont="1"/>
    <xf numFmtId="0" fontId="47" fillId="0" borderId="0" xfId="0" applyFont="1" applyAlignment="1">
      <alignment horizontal="center"/>
    </xf>
    <xf numFmtId="0" fontId="48" fillId="0" borderId="0" xfId="0" applyFont="1"/>
    <xf numFmtId="0" fontId="49" fillId="0" borderId="0" xfId="0" applyFont="1"/>
    <xf numFmtId="14" fontId="50" fillId="0" borderId="0" xfId="0" quotePrefix="1" applyNumberFormat="1" applyFont="1"/>
    <xf numFmtId="14" fontId="50" fillId="0" borderId="0" xfId="0" applyNumberFormat="1" applyFont="1"/>
    <xf numFmtId="0" fontId="52" fillId="0" borderId="0" xfId="0" applyFont="1" applyAlignment="1">
      <alignment horizontal="center"/>
    </xf>
    <xf numFmtId="165" fontId="47" fillId="0" borderId="0" xfId="0" applyNumberFormat="1" applyFont="1" applyAlignment="1">
      <alignment horizontal="center"/>
    </xf>
    <xf numFmtId="0" fontId="52" fillId="0" borderId="26" xfId="0" applyFont="1" applyBorder="1"/>
    <xf numFmtId="165" fontId="52" fillId="0" borderId="26" xfId="0" applyNumberFormat="1" applyFont="1" applyBorder="1" applyAlignment="1">
      <alignment horizontal="center"/>
    </xf>
    <xf numFmtId="0" fontId="52" fillId="0" borderId="24" xfId="0" applyFont="1" applyBorder="1" applyAlignment="1">
      <alignment horizontal="center"/>
    </xf>
    <xf numFmtId="0" fontId="56" fillId="0" borderId="0" xfId="0" applyFont="1" applyAlignment="1">
      <alignment horizontal="center"/>
    </xf>
    <xf numFmtId="3" fontId="58" fillId="0" borderId="6" xfId="0" applyNumberFormat="1" applyFont="1" applyBorder="1" applyAlignment="1">
      <alignment horizontal="center"/>
    </xf>
    <xf numFmtId="0" fontId="58" fillId="0" borderId="3" xfId="0" applyFont="1" applyBorder="1" applyAlignment="1" applyProtection="1">
      <alignment horizontal="center"/>
      <protection locked="0"/>
    </xf>
    <xf numFmtId="0" fontId="53" fillId="0" borderId="0" xfId="0" applyFont="1" applyAlignment="1">
      <alignment horizontal="center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6" fillId="7" borderId="0" xfId="0" applyFont="1" applyFill="1" applyAlignment="1" applyProtection="1">
      <alignment vertical="center"/>
      <protection hidden="1"/>
    </xf>
    <xf numFmtId="0" fontId="43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4" fillId="7" borderId="0" xfId="0" applyFont="1" applyFill="1" applyAlignment="1" applyProtection="1">
      <alignment vertical="center"/>
      <protection hidden="1"/>
    </xf>
    <xf numFmtId="21" fontId="32" fillId="7" borderId="0" xfId="0" applyNumberFormat="1" applyFont="1" applyFill="1" applyAlignment="1" applyProtection="1">
      <alignment horizontal="center" vertical="center"/>
      <protection hidden="1"/>
    </xf>
    <xf numFmtId="21" fontId="29" fillId="7" borderId="0" xfId="0" applyNumberFormat="1" applyFont="1" applyFill="1" applyAlignment="1" applyProtection="1">
      <alignment horizontal="center" vertical="center"/>
      <protection hidden="1"/>
    </xf>
    <xf numFmtId="21" fontId="43" fillId="7" borderId="0" xfId="0" applyNumberFormat="1" applyFont="1" applyFill="1" applyAlignment="1" applyProtection="1">
      <alignment horizontal="center" vertical="center"/>
      <protection hidden="1"/>
    </xf>
    <xf numFmtId="0" fontId="17" fillId="7" borderId="0" xfId="0" applyFont="1" applyFill="1" applyAlignment="1" applyProtection="1">
      <alignment horizontal="center" vertical="center"/>
      <protection hidden="1"/>
    </xf>
    <xf numFmtId="0" fontId="18" fillId="7" borderId="0" xfId="0" applyFont="1" applyFill="1" applyAlignment="1" applyProtection="1">
      <alignment horizontal="center" vertical="center"/>
      <protection hidden="1"/>
    </xf>
    <xf numFmtId="0" fontId="36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19" fillId="6" borderId="0" xfId="0" applyFont="1" applyFill="1" applyAlignment="1" applyProtection="1">
      <alignment horizontal="left" vertical="center"/>
      <protection hidden="1"/>
    </xf>
    <xf numFmtId="0" fontId="22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3" fillId="6" borderId="0" xfId="0" applyFont="1" applyFill="1" applyAlignment="1" applyProtection="1">
      <alignment horizontal="right" vertical="center"/>
      <protection hidden="1"/>
    </xf>
    <xf numFmtId="0" fontId="23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4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5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6" fillId="6" borderId="0" xfId="0" applyFont="1" applyFill="1" applyAlignment="1" applyProtection="1">
      <alignment vertical="center"/>
      <protection hidden="1"/>
    </xf>
    <xf numFmtId="0" fontId="42" fillId="6" borderId="0" xfId="0" applyFont="1" applyFill="1" applyAlignment="1" applyProtection="1">
      <alignment vertical="center"/>
      <protection hidden="1"/>
    </xf>
    <xf numFmtId="0" fontId="26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20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3" fillId="6" borderId="0" xfId="0" applyFont="1" applyFill="1" applyAlignment="1" applyProtection="1">
      <alignment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0" fontId="43" fillId="6" borderId="0" xfId="0" applyFont="1" applyFill="1" applyAlignment="1" applyProtection="1">
      <alignment vertical="center"/>
      <protection hidden="1"/>
    </xf>
    <xf numFmtId="0" fontId="32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15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35" fillId="6" borderId="0" xfId="0" applyFont="1" applyFill="1" applyAlignment="1" applyProtection="1">
      <alignment vertical="center"/>
      <protection hidden="1"/>
    </xf>
    <xf numFmtId="0" fontId="44" fillId="6" borderId="0" xfId="0" applyFont="1" applyFill="1" applyAlignment="1" applyProtection="1">
      <alignment vertical="center"/>
      <protection hidden="1"/>
    </xf>
    <xf numFmtId="21" fontId="32" fillId="6" borderId="0" xfId="0" applyNumberFormat="1" applyFont="1" applyFill="1" applyAlignment="1" applyProtection="1">
      <alignment horizontal="center" vertical="center"/>
      <protection hidden="1"/>
    </xf>
    <xf numFmtId="0" fontId="0" fillId="6" borderId="12" xfId="0" applyFill="1" applyBorder="1" applyAlignment="1" applyProtection="1">
      <alignment vertical="center"/>
      <protection hidden="1"/>
    </xf>
    <xf numFmtId="0" fontId="0" fillId="6" borderId="21" xfId="0" applyFill="1" applyBorder="1" applyAlignment="1" applyProtection="1">
      <alignment vertical="center"/>
      <protection hidden="1"/>
    </xf>
    <xf numFmtId="0" fontId="1" fillId="6" borderId="21" xfId="0" applyFont="1" applyFill="1" applyBorder="1" applyAlignment="1" applyProtection="1">
      <alignment vertical="center"/>
      <protection hidden="1"/>
    </xf>
    <xf numFmtId="0" fontId="1" fillId="6" borderId="23" xfId="0" applyFont="1" applyFill="1" applyBorder="1" applyAlignment="1" applyProtection="1">
      <alignment vertical="center"/>
      <protection hidden="1"/>
    </xf>
    <xf numFmtId="0" fontId="0" fillId="6" borderId="25" xfId="0" applyFill="1" applyBorder="1" applyAlignment="1" applyProtection="1">
      <alignment vertical="center"/>
      <protection hidden="1"/>
    </xf>
    <xf numFmtId="0" fontId="1" fillId="6" borderId="28" xfId="0" applyFont="1" applyFill="1" applyBorder="1" applyAlignment="1" applyProtection="1">
      <alignment vertical="center"/>
      <protection hidden="1"/>
    </xf>
    <xf numFmtId="21" fontId="24" fillId="6" borderId="28" xfId="0" applyNumberFormat="1" applyFont="1" applyFill="1" applyBorder="1" applyAlignment="1" applyProtection="1">
      <alignment horizontal="center" vertical="center"/>
      <protection hidden="1"/>
    </xf>
    <xf numFmtId="0" fontId="8" fillId="6" borderId="25" xfId="0" applyFont="1" applyFill="1" applyBorder="1" applyAlignment="1" applyProtection="1">
      <alignment horizontal="center" vertical="center"/>
      <protection hidden="1"/>
    </xf>
    <xf numFmtId="0" fontId="9" fillId="6" borderId="25" xfId="0" applyFont="1" applyFill="1" applyBorder="1" applyAlignment="1" applyProtection="1">
      <alignment vertical="center"/>
      <protection hidden="1"/>
    </xf>
    <xf numFmtId="0" fontId="10" fillId="6" borderId="25" xfId="0" applyFont="1" applyFill="1" applyBorder="1" applyAlignment="1" applyProtection="1">
      <alignment vertical="center"/>
      <protection hidden="1"/>
    </xf>
    <xf numFmtId="0" fontId="26" fillId="6" borderId="28" xfId="0" applyFont="1" applyFill="1" applyBorder="1" applyAlignment="1" applyProtection="1">
      <alignment vertical="center"/>
      <protection hidden="1"/>
    </xf>
    <xf numFmtId="21" fontId="29" fillId="6" borderId="28" xfId="0" applyNumberFormat="1" applyFont="1" applyFill="1" applyBorder="1" applyAlignment="1" applyProtection="1">
      <alignment horizontal="center" vertical="center"/>
      <protection hidden="1"/>
    </xf>
    <xf numFmtId="0" fontId="9" fillId="6" borderId="29" xfId="0" applyFont="1" applyFill="1" applyBorder="1" applyAlignment="1" applyProtection="1">
      <alignment vertical="center"/>
      <protection hidden="1"/>
    </xf>
    <xf numFmtId="0" fontId="9" fillId="6" borderId="26" xfId="0" applyFont="1" applyFill="1" applyBorder="1" applyAlignment="1" applyProtection="1">
      <alignment vertical="center"/>
      <protection hidden="1"/>
    </xf>
    <xf numFmtId="0" fontId="26" fillId="6" borderId="26" xfId="0" applyFont="1" applyFill="1" applyBorder="1" applyAlignment="1" applyProtection="1">
      <alignment vertical="center"/>
      <protection hidden="1"/>
    </xf>
    <xf numFmtId="0" fontId="44" fillId="6" borderId="26" xfId="0" applyFont="1" applyFill="1" applyBorder="1" applyAlignment="1" applyProtection="1">
      <alignment vertical="center"/>
      <protection hidden="1"/>
    </xf>
    <xf numFmtId="0" fontId="43" fillId="6" borderId="26" xfId="0" applyFont="1" applyFill="1" applyBorder="1" applyAlignment="1" applyProtection="1">
      <alignment vertical="center"/>
      <protection hidden="1"/>
    </xf>
    <xf numFmtId="21" fontId="43" fillId="6" borderId="26" xfId="0" applyNumberFormat="1" applyFont="1" applyFill="1" applyBorder="1" applyAlignment="1" applyProtection="1">
      <alignment horizontal="center" vertical="center"/>
      <protection hidden="1"/>
    </xf>
    <xf numFmtId="21" fontId="32" fillId="6" borderId="26" xfId="0" applyNumberFormat="1" applyFont="1" applyFill="1" applyBorder="1" applyAlignment="1" applyProtection="1">
      <alignment horizontal="center" vertical="center"/>
      <protection hidden="1"/>
    </xf>
    <xf numFmtId="21" fontId="29" fillId="6" borderId="24" xfId="0" applyNumberFormat="1" applyFont="1" applyFill="1" applyBorder="1" applyAlignment="1" applyProtection="1">
      <alignment horizontal="center" vertical="center"/>
      <protection hidden="1"/>
    </xf>
    <xf numFmtId="0" fontId="60" fillId="5" borderId="0" xfId="0" applyFont="1" applyFill="1" applyAlignment="1">
      <alignment horizontal="center"/>
    </xf>
    <xf numFmtId="0" fontId="45" fillId="5" borderId="0" xfId="0" applyFont="1" applyFill="1" applyAlignment="1">
      <alignment horizontal="center" vertical="center" wrapText="1"/>
    </xf>
    <xf numFmtId="15" fontId="57" fillId="0" borderId="6" xfId="0" applyNumberFormat="1" applyFont="1" applyBorder="1" applyAlignment="1">
      <alignment horizontal="center"/>
    </xf>
    <xf numFmtId="0" fontId="58" fillId="0" borderId="3" xfId="3" applyFont="1" applyBorder="1" applyAlignment="1">
      <alignment horizontal="center"/>
    </xf>
    <xf numFmtId="3" fontId="58" fillId="0" borderId="4" xfId="2" applyNumberFormat="1" applyFont="1" applyFill="1" applyBorder="1" applyAlignment="1" applyProtection="1">
      <alignment horizontal="center"/>
      <protection locked="0"/>
    </xf>
    <xf numFmtId="3" fontId="58" fillId="0" borderId="3" xfId="2" applyNumberFormat="1" applyFont="1" applyFill="1" applyBorder="1" applyAlignment="1" applyProtection="1">
      <alignment horizontal="center"/>
      <protection locked="0"/>
    </xf>
    <xf numFmtId="0" fontId="58" fillId="0" borderId="4" xfId="0" applyFont="1" applyBorder="1" applyAlignment="1">
      <alignment horizontal="center"/>
    </xf>
    <xf numFmtId="3" fontId="58" fillId="0" borderId="6" xfId="2" applyNumberFormat="1" applyFont="1" applyFill="1" applyBorder="1" applyAlignment="1" applyProtection="1">
      <alignment horizontal="center"/>
      <protection locked="0"/>
    </xf>
    <xf numFmtId="3" fontId="58" fillId="0" borderId="30" xfId="2" applyNumberFormat="1" applyFont="1" applyFill="1" applyBorder="1" applyAlignment="1" applyProtection="1">
      <alignment horizontal="center"/>
      <protection locked="0"/>
    </xf>
    <xf numFmtId="3" fontId="59" fillId="0" borderId="3" xfId="0" applyNumberFormat="1" applyFont="1" applyBorder="1" applyAlignment="1">
      <alignment horizontal="center"/>
    </xf>
    <xf numFmtId="0" fontId="61" fillId="0" borderId="3" xfId="0" applyFont="1" applyBorder="1" applyAlignment="1" applyProtection="1">
      <alignment horizontal="center"/>
      <protection locked="0"/>
    </xf>
    <xf numFmtId="0" fontId="58" fillId="0" borderId="31" xfId="0" applyFont="1" applyBorder="1" applyAlignment="1">
      <alignment horizontal="center"/>
    </xf>
    <xf numFmtId="0" fontId="63" fillId="0" borderId="0" xfId="0" applyFont="1"/>
    <xf numFmtId="0" fontId="64" fillId="0" borderId="0" xfId="0" applyFont="1"/>
    <xf numFmtId="0" fontId="64" fillId="0" borderId="0" xfId="0" applyFont="1" applyAlignment="1">
      <alignment horizontal="center"/>
    </xf>
    <xf numFmtId="0" fontId="65" fillId="0" borderId="0" xfId="0" applyFont="1" applyAlignment="1">
      <alignment horizontal="center"/>
    </xf>
    <xf numFmtId="0" fontId="66" fillId="4" borderId="0" xfId="0" applyFont="1" applyFill="1" applyAlignment="1">
      <alignment horizontal="center" vertical="center" wrapText="1"/>
    </xf>
    <xf numFmtId="3" fontId="65" fillId="0" borderId="30" xfId="2" applyNumberFormat="1" applyFont="1" applyFill="1" applyBorder="1" applyAlignment="1" applyProtection="1">
      <alignment horizontal="center"/>
      <protection locked="0"/>
    </xf>
    <xf numFmtId="3" fontId="61" fillId="0" borderId="1" xfId="0" applyNumberFormat="1" applyFont="1" applyBorder="1" applyAlignment="1" applyProtection="1">
      <alignment horizontal="center"/>
      <protection locked="0"/>
    </xf>
    <xf numFmtId="165" fontId="69" fillId="0" borderId="3" xfId="2" applyNumberFormat="1" applyFont="1" applyFill="1" applyBorder="1" applyAlignment="1">
      <alignment horizontal="center"/>
    </xf>
    <xf numFmtId="0" fontId="69" fillId="0" borderId="3" xfId="0" applyFont="1" applyBorder="1" applyAlignment="1">
      <alignment horizontal="center"/>
    </xf>
    <xf numFmtId="165" fontId="21" fillId="0" borderId="3" xfId="2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165" fontId="70" fillId="0" borderId="3" xfId="2" applyNumberFormat="1" applyFont="1" applyFill="1" applyBorder="1" applyAlignment="1">
      <alignment horizontal="center"/>
    </xf>
    <xf numFmtId="3" fontId="71" fillId="0" borderId="3" xfId="0" applyNumberFormat="1" applyFont="1" applyBorder="1" applyAlignment="1">
      <alignment horizontal="center"/>
    </xf>
    <xf numFmtId="0" fontId="51" fillId="8" borderId="0" xfId="0" applyFont="1" applyFill="1" applyAlignment="1">
      <alignment horizontal="center"/>
    </xf>
    <xf numFmtId="0" fontId="46" fillId="8" borderId="0" xfId="0" applyFont="1" applyFill="1"/>
    <xf numFmtId="0" fontId="74" fillId="8" borderId="0" xfId="0" applyFont="1" applyFill="1" applyAlignment="1">
      <alignment horizontal="center"/>
    </xf>
    <xf numFmtId="0" fontId="47" fillId="8" borderId="0" xfId="0" applyFont="1" applyFill="1" applyAlignment="1">
      <alignment horizontal="center"/>
    </xf>
    <xf numFmtId="0" fontId="54" fillId="8" borderId="0" xfId="0" applyFont="1" applyFill="1" applyAlignment="1">
      <alignment horizontal="center"/>
    </xf>
    <xf numFmtId="0" fontId="55" fillId="8" borderId="0" xfId="0" applyFont="1" applyFill="1" applyAlignment="1">
      <alignment horizontal="right"/>
    </xf>
    <xf numFmtId="1" fontId="53" fillId="7" borderId="0" xfId="0" applyNumberFormat="1" applyFont="1" applyFill="1" applyAlignment="1">
      <alignment horizontal="center"/>
    </xf>
    <xf numFmtId="165" fontId="53" fillId="8" borderId="0" xfId="0" applyNumberFormat="1" applyFont="1" applyFill="1" applyAlignment="1">
      <alignment horizontal="center"/>
    </xf>
    <xf numFmtId="1" fontId="47" fillId="8" borderId="0" xfId="0" applyNumberFormat="1" applyFont="1" applyFill="1" applyAlignment="1">
      <alignment horizontal="center"/>
    </xf>
    <xf numFmtId="0" fontId="51" fillId="7" borderId="0" xfId="0" applyFont="1" applyFill="1" applyAlignment="1">
      <alignment horizontal="center"/>
    </xf>
    <xf numFmtId="0" fontId="54" fillId="7" borderId="0" xfId="0" applyFont="1" applyFill="1" applyAlignment="1">
      <alignment horizontal="center"/>
    </xf>
    <xf numFmtId="0" fontId="53" fillId="8" borderId="0" xfId="0" applyFont="1" applyFill="1" applyAlignment="1">
      <alignment horizontal="center"/>
    </xf>
    <xf numFmtId="0" fontId="0" fillId="0" borderId="27" xfId="0" applyBorder="1"/>
    <xf numFmtId="0" fontId="58" fillId="0" borderId="9" xfId="3" applyFont="1" applyBorder="1" applyAlignment="1">
      <alignment horizontal="center"/>
    </xf>
    <xf numFmtId="3" fontId="58" fillId="0" borderId="10" xfId="2" applyNumberFormat="1" applyFont="1" applyFill="1" applyBorder="1" applyAlignment="1" applyProtection="1">
      <alignment horizontal="center"/>
      <protection locked="0"/>
    </xf>
    <xf numFmtId="3" fontId="58" fillId="0" borderId="9" xfId="2" applyNumberFormat="1" applyFont="1" applyFill="1" applyBorder="1" applyAlignment="1" applyProtection="1">
      <alignment horizontal="center"/>
      <protection locked="0"/>
    </xf>
    <xf numFmtId="0" fontId="58" fillId="0" borderId="35" xfId="0" applyFont="1" applyBorder="1" applyAlignment="1">
      <alignment horizontal="center"/>
    </xf>
    <xf numFmtId="3" fontId="58" fillId="0" borderId="8" xfId="2" applyNumberFormat="1" applyFont="1" applyFill="1" applyBorder="1" applyAlignment="1" applyProtection="1">
      <alignment horizontal="center"/>
      <protection locked="0"/>
    </xf>
    <xf numFmtId="3" fontId="58" fillId="0" borderId="34" xfId="2" applyNumberFormat="1" applyFont="1" applyFill="1" applyBorder="1" applyAlignment="1" applyProtection="1">
      <alignment horizontal="center"/>
      <protection locked="0"/>
    </xf>
    <xf numFmtId="3" fontId="58" fillId="0" borderId="8" xfId="0" applyNumberFormat="1" applyFont="1" applyBorder="1" applyAlignment="1">
      <alignment horizontal="center"/>
    </xf>
    <xf numFmtId="3" fontId="59" fillId="0" borderId="9" xfId="0" applyNumberFormat="1" applyFont="1" applyBorder="1" applyAlignment="1">
      <alignment horizontal="center"/>
    </xf>
    <xf numFmtId="3" fontId="61" fillId="0" borderId="33" xfId="0" applyNumberFormat="1" applyFont="1" applyBorder="1" applyAlignment="1" applyProtection="1">
      <alignment horizontal="center"/>
      <protection locked="0"/>
    </xf>
    <xf numFmtId="0" fontId="61" fillId="0" borderId="9" xfId="0" applyFont="1" applyBorder="1" applyAlignment="1" applyProtection="1">
      <alignment horizontal="center"/>
      <protection locked="0"/>
    </xf>
    <xf numFmtId="0" fontId="58" fillId="0" borderId="1" xfId="3" applyFont="1" applyBorder="1" applyAlignment="1">
      <alignment horizontal="center"/>
    </xf>
    <xf numFmtId="3" fontId="58" fillId="0" borderId="2" xfId="2" applyNumberFormat="1" applyFont="1" applyFill="1" applyBorder="1" applyAlignment="1" applyProtection="1">
      <alignment horizontal="center"/>
      <protection locked="0"/>
    </xf>
    <xf numFmtId="3" fontId="58" fillId="0" borderId="1" xfId="2" applyNumberFormat="1" applyFont="1" applyFill="1" applyBorder="1" applyAlignment="1" applyProtection="1">
      <alignment horizontal="center"/>
      <protection locked="0"/>
    </xf>
    <xf numFmtId="0" fontId="58" fillId="0" borderId="36" xfId="0" applyFont="1" applyBorder="1" applyAlignment="1">
      <alignment horizontal="center"/>
    </xf>
    <xf numFmtId="3" fontId="58" fillId="0" borderId="5" xfId="2" applyNumberFormat="1" applyFont="1" applyFill="1" applyBorder="1" applyAlignment="1" applyProtection="1">
      <alignment horizontal="center"/>
      <protection locked="0"/>
    </xf>
    <xf numFmtId="3" fontId="58" fillId="0" borderId="32" xfId="2" applyNumberFormat="1" applyFont="1" applyFill="1" applyBorder="1" applyAlignment="1" applyProtection="1">
      <alignment horizontal="center"/>
      <protection locked="0"/>
    </xf>
    <xf numFmtId="3" fontId="58" fillId="0" borderId="5" xfId="0" applyNumberFormat="1" applyFont="1" applyBorder="1" applyAlignment="1">
      <alignment horizontal="center"/>
    </xf>
    <xf numFmtId="3" fontId="59" fillId="0" borderId="1" xfId="0" applyNumberFormat="1" applyFont="1" applyBorder="1" applyAlignment="1">
      <alignment horizontal="center"/>
    </xf>
    <xf numFmtId="0" fontId="61" fillId="0" borderId="1" xfId="0" applyFont="1" applyBorder="1" applyAlignment="1" applyProtection="1">
      <alignment horizontal="center"/>
      <protection locked="0"/>
    </xf>
    <xf numFmtId="0" fontId="41" fillId="0" borderId="0" xfId="0" applyFont="1" applyAlignment="1">
      <alignment horizontal="center" wrapText="1"/>
    </xf>
    <xf numFmtId="0" fontId="40" fillId="0" borderId="0" xfId="4" applyFont="1"/>
    <xf numFmtId="0" fontId="40" fillId="0" borderId="0" xfId="4" applyFont="1" applyAlignment="1">
      <alignment horizontal="center" vertical="center"/>
    </xf>
    <xf numFmtId="0" fontId="81" fillId="9" borderId="41" xfId="4" applyFont="1" applyFill="1" applyBorder="1" applyAlignment="1">
      <alignment horizontal="center"/>
    </xf>
    <xf numFmtId="0" fontId="81" fillId="11" borderId="41" xfId="4" applyFont="1" applyFill="1" applyBorder="1" applyAlignment="1">
      <alignment horizontal="center"/>
    </xf>
    <xf numFmtId="0" fontId="81" fillId="12" borderId="42" xfId="4" applyFont="1" applyFill="1" applyBorder="1" applyAlignment="1">
      <alignment horizontal="center"/>
    </xf>
    <xf numFmtId="0" fontId="82" fillId="14" borderId="3" xfId="4" applyFont="1" applyFill="1" applyBorder="1" applyAlignment="1">
      <alignment horizontal="center" vertical="center" wrapText="1"/>
    </xf>
    <xf numFmtId="0" fontId="82" fillId="10" borderId="3" xfId="4" applyFont="1" applyFill="1" applyBorder="1" applyAlignment="1">
      <alignment horizontal="center" vertical="center" wrapText="1"/>
    </xf>
    <xf numFmtId="0" fontId="81" fillId="9" borderId="3" xfId="4" applyFont="1" applyFill="1" applyBorder="1" applyAlignment="1">
      <alignment horizontal="center" vertical="center" wrapText="1"/>
    </xf>
    <xf numFmtId="0" fontId="81" fillId="11" borderId="3" xfId="4" applyFont="1" applyFill="1" applyBorder="1" applyAlignment="1">
      <alignment horizontal="center" vertical="center" wrapText="1"/>
    </xf>
    <xf numFmtId="0" fontId="81" fillId="12" borderId="3" xfId="4" applyFont="1" applyFill="1" applyBorder="1" applyAlignment="1">
      <alignment horizontal="center" vertical="center" wrapText="1"/>
    </xf>
    <xf numFmtId="0" fontId="1" fillId="0" borderId="3" xfId="0" applyFont="1" applyBorder="1"/>
    <xf numFmtId="0" fontId="0" fillId="0" borderId="3" xfId="0" applyBorder="1"/>
    <xf numFmtId="15" fontId="21" fillId="2" borderId="3" xfId="0" applyNumberFormat="1" applyFont="1" applyFill="1" applyBorder="1" applyAlignment="1">
      <alignment horizontal="center"/>
    </xf>
    <xf numFmtId="1" fontId="38" fillId="0" borderId="3" xfId="0" applyNumberFormat="1" applyFont="1" applyBorder="1" applyAlignment="1">
      <alignment horizontal="center"/>
    </xf>
    <xf numFmtId="165" fontId="38" fillId="0" borderId="3" xfId="0" applyNumberFormat="1" applyFont="1" applyBorder="1" applyAlignment="1">
      <alignment horizontal="center"/>
    </xf>
    <xf numFmtId="165" fontId="69" fillId="0" borderId="3" xfId="0" applyNumberFormat="1" applyFont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165" fontId="21" fillId="0" borderId="3" xfId="0" applyNumberFormat="1" applyFont="1" applyBorder="1" applyAlignment="1">
      <alignment horizontal="center"/>
    </xf>
    <xf numFmtId="165" fontId="70" fillId="0" borderId="3" xfId="0" applyNumberFormat="1" applyFont="1" applyBorder="1" applyAlignment="1">
      <alignment horizontal="center"/>
    </xf>
    <xf numFmtId="165" fontId="72" fillId="0" borderId="3" xfId="0" applyNumberFormat="1" applyFont="1" applyBorder="1" applyAlignment="1">
      <alignment horizontal="center"/>
    </xf>
    <xf numFmtId="165" fontId="75" fillId="0" borderId="3" xfId="0" applyNumberFormat="1" applyFont="1" applyBorder="1" applyAlignment="1">
      <alignment horizontal="center"/>
    </xf>
    <xf numFmtId="165" fontId="75" fillId="0" borderId="3" xfId="2" applyNumberFormat="1" applyFont="1" applyFill="1" applyBorder="1" applyAlignment="1">
      <alignment horizontal="center"/>
    </xf>
    <xf numFmtId="0" fontId="12" fillId="0" borderId="3" xfId="0" applyFont="1" applyBorder="1"/>
    <xf numFmtId="0" fontId="39" fillId="0" borderId="3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166" fontId="12" fillId="0" borderId="3" xfId="2" applyNumberFormat="1" applyFont="1" applyBorder="1"/>
    <xf numFmtId="0" fontId="0" fillId="2" borderId="3" xfId="0" applyFill="1" applyBorder="1"/>
    <xf numFmtId="168" fontId="21" fillId="2" borderId="3" xfId="0" applyNumberFormat="1" applyFont="1" applyFill="1" applyBorder="1" applyAlignment="1">
      <alignment horizontal="center"/>
    </xf>
    <xf numFmtId="0" fontId="58" fillId="0" borderId="3" xfId="0" applyFont="1" applyBorder="1" applyAlignment="1">
      <alignment horizontal="center"/>
    </xf>
    <xf numFmtId="3" fontId="65" fillId="0" borderId="3" xfId="2" applyNumberFormat="1" applyFont="1" applyFill="1" applyBorder="1" applyAlignment="1" applyProtection="1">
      <alignment horizontal="center"/>
      <protection locked="0"/>
    </xf>
    <xf numFmtId="3" fontId="61" fillId="0" borderId="3" xfId="0" applyNumberFormat="1" applyFont="1" applyBorder="1" applyAlignment="1" applyProtection="1">
      <alignment horizontal="center"/>
      <protection locked="0"/>
    </xf>
    <xf numFmtId="3" fontId="58" fillId="0" borderId="43" xfId="2" applyNumberFormat="1" applyFont="1" applyFill="1" applyBorder="1" applyAlignment="1" applyProtection="1">
      <alignment horizontal="center"/>
      <protection locked="0"/>
    </xf>
    <xf numFmtId="0" fontId="58" fillId="0" borderId="44" xfId="0" applyFont="1" applyBorder="1" applyAlignment="1">
      <alignment horizontal="center"/>
    </xf>
    <xf numFmtId="3" fontId="58" fillId="0" borderId="45" xfId="2" applyNumberFormat="1" applyFont="1" applyFill="1" applyBorder="1" applyAlignment="1" applyProtection="1">
      <alignment horizontal="center"/>
      <protection locked="0"/>
    </xf>
    <xf numFmtId="3" fontId="58" fillId="0" borderId="43" xfId="0" applyNumberFormat="1" applyFont="1" applyBorder="1" applyAlignment="1">
      <alignment horizontal="center"/>
    </xf>
    <xf numFmtId="3" fontId="58" fillId="0" borderId="44" xfId="2" applyNumberFormat="1" applyFont="1" applyFill="1" applyBorder="1" applyAlignment="1" applyProtection="1">
      <alignment horizontal="center"/>
      <protection locked="0"/>
    </xf>
    <xf numFmtId="169" fontId="57" fillId="0" borderId="5" xfId="0" applyNumberFormat="1" applyFont="1" applyBorder="1" applyAlignment="1">
      <alignment horizontal="center"/>
    </xf>
    <xf numFmtId="169" fontId="57" fillId="0" borderId="3" xfId="0" applyNumberFormat="1" applyFont="1" applyBorder="1" applyAlignment="1">
      <alignment horizontal="center"/>
    </xf>
    <xf numFmtId="0" fontId="62" fillId="6" borderId="0" xfId="0" applyFont="1" applyFill="1" applyAlignment="1" applyProtection="1">
      <alignment horizontal="center" vertical="center"/>
      <protection hidden="1"/>
    </xf>
    <xf numFmtId="0" fontId="80" fillId="13" borderId="15" xfId="4" applyFont="1" applyFill="1" applyBorder="1" applyAlignment="1">
      <alignment horizontal="center" vertical="center" shrinkToFit="1"/>
    </xf>
    <xf numFmtId="0" fontId="80" fillId="13" borderId="14" xfId="4" applyFont="1" applyFill="1" applyBorder="1" applyAlignment="1">
      <alignment horizontal="center" vertical="center" shrinkToFit="1"/>
    </xf>
    <xf numFmtId="0" fontId="80" fillId="13" borderId="16" xfId="4" applyFont="1" applyFill="1" applyBorder="1" applyAlignment="1">
      <alignment horizontal="center" vertical="center" shrinkToFit="1"/>
    </xf>
    <xf numFmtId="0" fontId="80" fillId="13" borderId="17" xfId="4" applyFont="1" applyFill="1" applyBorder="1" applyAlignment="1">
      <alignment horizontal="center" vertical="center" shrinkToFit="1"/>
    </xf>
    <xf numFmtId="0" fontId="85" fillId="0" borderId="26" xfId="0" applyFont="1" applyBorder="1" applyAlignment="1">
      <alignment horizontal="center" vertical="center"/>
    </xf>
    <xf numFmtId="0" fontId="83" fillId="0" borderId="26" xfId="0" applyFont="1" applyBorder="1" applyAlignment="1">
      <alignment horizontal="center" vertical="center"/>
    </xf>
    <xf numFmtId="0" fontId="84" fillId="0" borderId="26" xfId="0" applyFont="1" applyBorder="1" applyAlignment="1">
      <alignment horizontal="center" vertical="center"/>
    </xf>
    <xf numFmtId="0" fontId="81" fillId="12" borderId="41" xfId="4" applyFont="1" applyFill="1" applyBorder="1" applyAlignment="1">
      <alignment horizontal="center"/>
    </xf>
    <xf numFmtId="0" fontId="79" fillId="11" borderId="38" xfId="4" applyFont="1" applyFill="1" applyBorder="1" applyAlignment="1">
      <alignment horizontal="center"/>
    </xf>
    <xf numFmtId="0" fontId="78" fillId="9" borderId="37" xfId="4" applyFont="1" applyFill="1" applyBorder="1" applyAlignment="1">
      <alignment horizontal="center"/>
    </xf>
    <xf numFmtId="0" fontId="78" fillId="9" borderId="38" xfId="4" applyFont="1" applyFill="1" applyBorder="1" applyAlignment="1">
      <alignment horizontal="center"/>
    </xf>
    <xf numFmtId="0" fontId="79" fillId="12" borderId="38" xfId="4" applyFont="1" applyFill="1" applyBorder="1" applyAlignment="1">
      <alignment horizontal="center"/>
    </xf>
    <xf numFmtId="0" fontId="79" fillId="12" borderId="39" xfId="4" applyFont="1" applyFill="1" applyBorder="1" applyAlignment="1">
      <alignment horizontal="center"/>
    </xf>
    <xf numFmtId="0" fontId="81" fillId="9" borderId="40" xfId="4" applyFont="1" applyFill="1" applyBorder="1" applyAlignment="1">
      <alignment horizontal="center"/>
    </xf>
    <xf numFmtId="0" fontId="81" fillId="9" borderId="41" xfId="4" applyFont="1" applyFill="1" applyBorder="1" applyAlignment="1">
      <alignment horizontal="center"/>
    </xf>
    <xf numFmtId="0" fontId="80" fillId="13" borderId="21" xfId="4" applyFont="1" applyFill="1" applyBorder="1" applyAlignment="1">
      <alignment horizontal="center" vertical="center" shrinkToFit="1"/>
    </xf>
    <xf numFmtId="0" fontId="80" fillId="13" borderId="23" xfId="4" applyFont="1" applyFill="1" applyBorder="1" applyAlignment="1">
      <alignment horizontal="center" vertical="center" shrinkToFit="1"/>
    </xf>
    <xf numFmtId="0" fontId="77" fillId="10" borderId="22" xfId="4" applyFont="1" applyFill="1" applyBorder="1" applyAlignment="1">
      <alignment horizontal="center" vertical="center"/>
    </xf>
    <xf numFmtId="0" fontId="77" fillId="10" borderId="13" xfId="4" applyFont="1" applyFill="1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77" fillId="10" borderId="12" xfId="4" applyFont="1" applyFill="1" applyBorder="1" applyAlignment="1">
      <alignment horizontal="center" vertical="center"/>
    </xf>
    <xf numFmtId="0" fontId="77" fillId="10" borderId="21" xfId="4" applyFont="1" applyFill="1" applyBorder="1" applyAlignment="1">
      <alignment horizontal="center" vertical="center"/>
    </xf>
    <xf numFmtId="0" fontId="77" fillId="10" borderId="7" xfId="4" applyFont="1" applyFill="1" applyBorder="1" applyAlignment="1">
      <alignment horizontal="center" vertical="center"/>
    </xf>
    <xf numFmtId="0" fontId="80" fillId="10" borderId="12" xfId="4" applyFont="1" applyFill="1" applyBorder="1" applyAlignment="1">
      <alignment horizontal="center" vertical="center" shrinkToFit="1"/>
    </xf>
    <xf numFmtId="0" fontId="80" fillId="10" borderId="21" xfId="4" applyFont="1" applyFill="1" applyBorder="1" applyAlignment="1">
      <alignment horizontal="center" vertical="center" shrinkToFit="1"/>
    </xf>
    <xf numFmtId="3" fontId="65" fillId="0" borderId="9" xfId="2" applyNumberFormat="1" applyFont="1" applyFill="1" applyBorder="1" applyAlignment="1" applyProtection="1">
      <alignment horizontal="center" vertical="center"/>
      <protection locked="0"/>
    </xf>
    <xf numFmtId="3" fontId="65" fillId="0" borderId="1" xfId="2" applyNumberFormat="1" applyFont="1" applyFill="1" applyBorder="1" applyAlignment="1" applyProtection="1">
      <alignment horizontal="center" vertical="center"/>
      <protection locked="0"/>
    </xf>
    <xf numFmtId="3" fontId="65" fillId="0" borderId="3" xfId="2" applyNumberFormat="1" applyFont="1" applyFill="1" applyBorder="1" applyAlignment="1" applyProtection="1">
      <alignment horizontal="center" vertical="center"/>
      <protection locked="0"/>
    </xf>
    <xf numFmtId="0" fontId="49" fillId="0" borderId="0" xfId="0" applyFont="1" applyAlignment="1">
      <alignment horizontal="center"/>
    </xf>
    <xf numFmtId="0" fontId="60" fillId="5" borderId="26" xfId="0" applyFont="1" applyFill="1" applyBorder="1" applyAlignment="1">
      <alignment horizontal="center"/>
    </xf>
    <xf numFmtId="0" fontId="60" fillId="5" borderId="0" xfId="0" applyFont="1" applyFill="1" applyAlignment="1">
      <alignment horizontal="center"/>
    </xf>
    <xf numFmtId="0" fontId="45" fillId="5" borderId="12" xfId="0" applyFont="1" applyFill="1" applyBorder="1" applyAlignment="1">
      <alignment horizontal="center" vertical="center" wrapText="1"/>
    </xf>
    <xf numFmtId="0" fontId="45" fillId="5" borderId="21" xfId="0" applyFont="1" applyFill="1" applyBorder="1" applyAlignment="1">
      <alignment horizontal="center" vertical="center" wrapText="1"/>
    </xf>
    <xf numFmtId="0" fontId="45" fillId="5" borderId="23" xfId="0" applyFont="1" applyFill="1" applyBorder="1" applyAlignment="1">
      <alignment horizontal="center" vertical="center" wrapText="1"/>
    </xf>
    <xf numFmtId="0" fontId="70" fillId="0" borderId="3" xfId="0" applyFont="1" applyBorder="1" applyAlignment="1">
      <alignment horizontal="center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2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C375-448E-94B3-C2BCE1A70665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C375-448E-94B3-C2BCE1A70665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C375-448E-94B3-C2BCE1A70665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C375-448E-94B3-C2BCE1A70665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C375-448E-94B3-C2BCE1A70665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C375-448E-94B3-C2BCE1A70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8981616"/>
        <c:axId val="348982008"/>
      </c:barChart>
      <c:catAx>
        <c:axId val="348981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98200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89820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98161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C82-4D02-82E0-87A5A14AEA25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DC82-4D02-82E0-87A5A14AEA25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C82-4D02-82E0-87A5A14AEA25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C82-4D02-82E0-87A5A14AEA25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DC82-4D02-82E0-87A5A14AEA25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DC82-4D02-82E0-87A5A14AEA25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DC82-4D02-82E0-87A5A14AEA25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DC82-4D02-82E0-87A5A14AEA25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DC82-4D02-82E0-87A5A14AEA25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DC82-4D02-82E0-87A5A14AEA25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DC82-4D02-82E0-87A5A14AE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982792"/>
        <c:axId val="348983184"/>
      </c:lineChart>
      <c:catAx>
        <c:axId val="348982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983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8983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898279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F00-4CF2-B40D-2DDF56A858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F00-4CF2-B40D-2DDF56A8588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F00-4CF2-B40D-2DDF56A858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F00-4CF2-B40D-2DDF56A858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F00-4CF2-B40D-2DDF56A858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F00-4CF2-B40D-2DDF56A8588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F00-4CF2-B40D-2DDF56A858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F00-4CF2-B40D-2DDF56A858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00-4CF2-B40D-2DDF56A858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F00-4CF2-B40D-2DDF56A8588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F00-4CF2-B40D-2DDF56A8588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F00-4CF2-B40D-2DDF56A8588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F00-4CF2-B40D-2DDF56A8588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F00-4CF2-B40D-2DDF56A85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6114832"/>
        <c:axId val="316115224"/>
      </c:barChart>
      <c:catAx>
        <c:axId val="316114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6115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6115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6114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45B-414C-808F-8905A2520D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45B-414C-808F-8905A2520DD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45B-414C-808F-8905A2520D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5B-414C-808F-8905A2520D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45B-414C-808F-8905A2520D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45B-414C-808F-8905A2520DD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45B-414C-808F-8905A2520D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45B-414C-808F-8905A2520D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45B-414C-808F-8905A2520D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45B-414C-808F-8905A2520DD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45B-414C-808F-8905A2520D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45B-414C-808F-8905A2520D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45B-414C-808F-8905A2520D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45B-414C-808F-8905A2520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6116008"/>
        <c:axId val="352540152"/>
      </c:barChart>
      <c:catAx>
        <c:axId val="316116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2540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2540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6116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43F-4D78-A64E-510F173477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43F-4D78-A64E-510F1734770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43F-4D78-A64E-510F173477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3F-4D78-A64E-510F173477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43F-4D78-A64E-510F173477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43F-4D78-A64E-510F1734770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43F-4D78-A64E-510F173477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43F-4D78-A64E-510F173477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43F-4D78-A64E-510F173477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43F-4D78-A64E-510F1734770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43F-4D78-A64E-510F1734770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43F-4D78-A64E-510F1734770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43F-4D78-A64E-510F1734770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43F-4D78-A64E-510F17347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2540936"/>
        <c:axId val="352541328"/>
      </c:barChart>
      <c:catAx>
        <c:axId val="352540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2541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2541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2540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1A-4E6F-8615-348BED9779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71A-4E6F-8615-348BED97796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71A-4E6F-8615-348BED9779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71A-4E6F-8615-348BED9779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1A-4E6F-8615-348BED9779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71A-4E6F-8615-348BED97796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1A-4E6F-8615-348BED9779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1A-4E6F-8615-348BED9779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71A-4E6F-8615-348BED9779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71A-4E6F-8615-348BED97796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71A-4E6F-8615-348BED9779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71A-4E6F-8615-348BED9779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71A-4E6F-8615-348BED9779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71A-4E6F-8615-348BED977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4482664"/>
        <c:axId val="364483056"/>
      </c:barChart>
      <c:catAx>
        <c:axId val="364482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4483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4483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4482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EBF-44A2-B59E-CF74397D3C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EBF-44A2-B59E-CF74397D3C9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EBF-44A2-B59E-CF74397D3C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EBF-44A2-B59E-CF74397D3C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EBF-44A2-B59E-CF74397D3C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EBF-44A2-B59E-CF74397D3C9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EBF-44A2-B59E-CF74397D3C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EBF-44A2-B59E-CF74397D3C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EBF-44A2-B59E-CF74397D3C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EBF-44A2-B59E-CF74397D3C9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EBF-44A2-B59E-CF74397D3C9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EBF-44A2-B59E-CF74397D3C9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EBF-44A2-B59E-CF74397D3C9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EBF-44A2-B59E-CF74397D3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4483840"/>
        <c:axId val="364484232"/>
      </c:barChart>
      <c:catAx>
        <c:axId val="364483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4484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4484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4483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603-42FF-BC5C-FD9A128304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603-42FF-BC5C-FD9A128304E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603-42FF-BC5C-FD9A128304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603-42FF-BC5C-FD9A128304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603-42FF-BC5C-FD9A128304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603-42FF-BC5C-FD9A128304E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603-42FF-BC5C-FD9A128304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603-42FF-BC5C-FD9A128304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603-42FF-BC5C-FD9A128304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603-42FF-BC5C-FD9A128304E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603-42FF-BC5C-FD9A128304E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603-42FF-BC5C-FD9A128304E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603-42FF-BC5C-FD9A128304E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603-42FF-BC5C-FD9A12830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2382704"/>
        <c:axId val="352383096"/>
      </c:barChart>
      <c:catAx>
        <c:axId val="352382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2383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2383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2382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FB-4B53-847E-465E4A7E3E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FB-4B53-847E-465E4A7E3EB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FB-4B53-847E-465E4A7E3E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FB-4B53-847E-465E4A7E3E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FB-4B53-847E-465E4A7E3E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FB-4B53-847E-465E4A7E3EB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FB-4B53-847E-465E4A7E3E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FB-4B53-847E-465E4A7E3E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FB-4B53-847E-465E4A7E3E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FB-4B53-847E-465E4A7E3EB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FB-4B53-847E-465E4A7E3EB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FB-4B53-847E-465E4A7E3EB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FB-4B53-847E-465E4A7E3E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FB-4B53-847E-465E4A7E3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2383880"/>
        <c:axId val="350258568"/>
      </c:barChart>
      <c:catAx>
        <c:axId val="352383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258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02585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2383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2B4-4753-87CC-E73A682981F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2B4-4753-87CC-E73A682981F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2B4-4753-87CC-E73A682981F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2B4-4753-87CC-E73A682981F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2B4-4753-87CC-E73A682981F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2B4-4753-87CC-E73A682981F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2B4-4753-87CC-E73A682981F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2B4-4753-87CC-E73A682981F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2B4-4753-87CC-E73A682981F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2B4-4753-87CC-E73A682981F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2B4-4753-87CC-E73A682981F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2B4-4753-87CC-E73A682981F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2B4-4753-87CC-E73A682981F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2B4-4753-87CC-E73A68298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0259352"/>
        <c:axId val="350259744"/>
      </c:barChart>
      <c:catAx>
        <c:axId val="350259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259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02597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2593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9C-46B5-9799-0FA0E39654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19C-46B5-9799-0FA0E396542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9C-46B5-9799-0FA0E39654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9C-46B5-9799-0FA0E39654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9C-46B5-9799-0FA0E39654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19C-46B5-9799-0FA0E396542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9C-46B5-9799-0FA0E39654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9C-46B5-9799-0FA0E39654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9C-46B5-9799-0FA0E39654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19C-46B5-9799-0FA0E396542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19C-46B5-9799-0FA0E396542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9C-46B5-9799-0FA0E396542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9C-46B5-9799-0FA0E396542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19C-46B5-9799-0FA0E39654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0092648"/>
        <c:axId val="350093040"/>
      </c:barChart>
      <c:catAx>
        <c:axId val="350092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093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00930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0926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EB-4001-972A-3794026240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EB-4001-972A-3794026240C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EB-4001-972A-3794026240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EB-4001-972A-3794026240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EB-4001-972A-3794026240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EB-4001-972A-3794026240C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EB-4001-972A-3794026240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EB-4001-972A-3794026240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EB-4001-972A-3794026240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EB-4001-972A-3794026240C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EB-4001-972A-3794026240C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EB-4001-972A-3794026240C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EB-4001-972A-3794026240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EB-4001-972A-379402624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0093824"/>
        <c:axId val="350094216"/>
      </c:barChart>
      <c:catAx>
        <c:axId val="350093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094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00942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0938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5E9-4798-8EDB-06993339D0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5E9-4798-8EDB-06993339D0C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5E9-4798-8EDB-06993339D0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5E9-4798-8EDB-06993339D0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5E9-4798-8EDB-06993339D0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5E9-4798-8EDB-06993339D0C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5E9-4798-8EDB-06993339D0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5E9-4798-8EDB-06993339D0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5E9-4798-8EDB-06993339D0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5E9-4798-8EDB-06993339D0C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5E9-4798-8EDB-06993339D0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5E9-4798-8EDB-06993339D0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5E9-4798-8EDB-06993339D0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5E9-4798-8EDB-06993339D0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0095088"/>
        <c:axId val="350095480"/>
      </c:barChart>
      <c:catAx>
        <c:axId val="350095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095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00954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0950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F59-493A-843D-6451C8AD41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F59-493A-843D-6451C8AD412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59-493A-843D-6451C8AD41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F59-493A-843D-6451C8AD41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F59-493A-843D-6451C8AD41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F59-493A-843D-6451C8AD412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F59-493A-843D-6451C8AD41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F59-493A-843D-6451C8AD41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F59-493A-843D-6451C8AD41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F59-493A-843D-6451C8AD412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F59-493A-843D-6451C8AD412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F59-493A-843D-6451C8AD412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F59-493A-843D-6451C8AD412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F59-493A-843D-6451C8AD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0096264"/>
        <c:axId val="362713120"/>
      </c:barChart>
      <c:catAx>
        <c:axId val="350096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713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27131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0962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C5-453E-B606-725FA446F1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0C5-453E-B606-725FA446F1E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C5-453E-B606-725FA446F1E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C5-453E-B606-725FA446F1E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0C5-453E-B606-725FA446F1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0C5-453E-B606-725FA446F1E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0C5-453E-B606-725FA446F1E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0C5-453E-B606-725FA446F1E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0C5-453E-B606-725FA446F1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0C5-453E-B606-725FA446F1E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0C5-453E-B606-725FA446F1E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0C5-453E-B606-725FA446F1E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0C5-453E-B606-725FA446F1E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0C5-453E-B606-725FA446F1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2713904"/>
        <c:axId val="362714296"/>
      </c:barChart>
      <c:catAx>
        <c:axId val="36271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714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27142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7139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3D1-4C80-B7C7-CB48DA84FC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3D1-4C80-B7C7-CB48DA84FC0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D1-4C80-B7C7-CB48DA84FC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D1-4C80-B7C7-CB48DA84FC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3D1-4C80-B7C7-CB48DA84FC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3D1-4C80-B7C7-CB48DA84FC0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3D1-4C80-B7C7-CB48DA84FC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D1-4C80-B7C7-CB48DA84FC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D1-4C80-B7C7-CB48DA84FC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3D1-4C80-B7C7-CB48DA84FC0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D1-4C80-B7C7-CB48DA84FC0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3D1-4C80-B7C7-CB48DA84FC0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3D1-4C80-B7C7-CB48DA84FC0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3D1-4C80-B7C7-CB48DA84F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2746344"/>
        <c:axId val="362746736"/>
      </c:barChart>
      <c:catAx>
        <c:axId val="362746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746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2746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746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268-47E8-B7D4-6419D4E4E7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268-47E8-B7D4-6419D4E4E78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268-47E8-B7D4-6419D4E4E7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68-47E8-B7D4-6419D4E4E7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268-47E8-B7D4-6419D4E4E7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268-47E8-B7D4-6419D4E4E78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268-47E8-B7D4-6419D4E4E7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268-47E8-B7D4-6419D4E4E7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268-47E8-B7D4-6419D4E4E7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268-47E8-B7D4-6419D4E4E78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268-47E8-B7D4-6419D4E4E78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268-47E8-B7D4-6419D4E4E78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268-47E8-B7D4-6419D4E4E78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268-47E8-B7D4-6419D4E4E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2747520"/>
        <c:axId val="362747912"/>
      </c:barChart>
      <c:catAx>
        <c:axId val="362747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747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2747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747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D5-43B4-AB0A-7880771B1C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8D5-43B4-AB0A-7880771B1CB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8D5-43B4-AB0A-7880771B1C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D5-43B4-AB0A-7880771B1C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D5-43B4-AB0A-7880771B1C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8D5-43B4-AB0A-7880771B1CB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8D5-43B4-AB0A-7880771B1C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8D5-43B4-AB0A-7880771B1C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8D5-43B4-AB0A-7880771B1C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8D5-43B4-AB0A-7880771B1CB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8D5-43B4-AB0A-7880771B1CB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8D5-43B4-AB0A-7880771B1CB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8D5-43B4-AB0A-7880771B1CB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8D5-43B4-AB0A-7880771B1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2750832"/>
        <c:axId val="362751224"/>
      </c:barChart>
      <c:catAx>
        <c:axId val="362750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751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2751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750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CB0-4928-90BE-4F3B4479BE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CB0-4928-90BE-4F3B4479BEE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B0-4928-90BE-4F3B4479BE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CB0-4928-90BE-4F3B4479BE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CB0-4928-90BE-4F3B4479BE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CB0-4928-90BE-4F3B4479BEE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CB0-4928-90BE-4F3B4479BE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CB0-4928-90BE-4F3B4479BE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CB0-4928-90BE-4F3B4479BE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CB0-4928-90BE-4F3B4479BEE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CB0-4928-90BE-4F3B4479BEE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CB0-4928-90BE-4F3B4479BEE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CB0-4928-90BE-4F3B4479BEE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CB0-4928-90BE-4F3B4479BE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2752008"/>
        <c:axId val="359898232"/>
      </c:barChart>
      <c:catAx>
        <c:axId val="362752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898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898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752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64C-40C4-B499-67AA16EE09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64C-40C4-B499-67AA16EE099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64C-40C4-B499-67AA16EE09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64C-40C4-B499-67AA16EE09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64C-40C4-B499-67AA16EE09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64C-40C4-B499-67AA16EE099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64C-40C4-B499-67AA16EE09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64C-40C4-B499-67AA16EE09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64C-40C4-B499-67AA16EE09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64C-40C4-B499-67AA16EE099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64C-40C4-B499-67AA16EE099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64C-40C4-B499-67AA16EE099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64C-40C4-B499-67AA16EE099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64C-40C4-B499-67AA16EE0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899016"/>
        <c:axId val="359899408"/>
      </c:barChart>
      <c:catAx>
        <c:axId val="359899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899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899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899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FD-45AB-B328-E59BB3738F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FD-45AB-B328-E59BB3738F2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FD-45AB-B328-E59BB3738F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FD-45AB-B328-E59BB3738F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FD-45AB-B328-E59BB3738F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FD-45AB-B328-E59BB3738F2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FD-45AB-B328-E59BB3738F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FD-45AB-B328-E59BB3738F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FD-45AB-B328-E59BB3738F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FD-45AB-B328-E59BB3738F2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FD-45AB-B328-E59BB3738F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FD-45AB-B328-E59BB3738F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FD-45AB-B328-E59BB3738F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FD-45AB-B328-E59BB3738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918712"/>
        <c:axId val="359919104"/>
      </c:barChart>
      <c:catAx>
        <c:axId val="359918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919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9191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9187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97-472D-B829-8B28E03C43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F97-472D-B829-8B28E03C438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F97-472D-B829-8B28E03C43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F97-472D-B829-8B28E03C43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F97-472D-B829-8B28E03C43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F97-472D-B829-8B28E03C438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F97-472D-B829-8B28E03C43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F97-472D-B829-8B28E03C43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F97-472D-B829-8B28E03C43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F97-472D-B829-8B28E03C438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F97-472D-B829-8B28E03C438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F97-472D-B829-8B28E03C438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F97-472D-B829-8B28E03C438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F97-472D-B829-8B28E03C4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919888"/>
        <c:axId val="359920280"/>
      </c:barChart>
      <c:catAx>
        <c:axId val="359919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920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99202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9198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4E-4C94-8E99-6F359E174A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A4E-4C94-8E99-6F359E174AE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4E-4C94-8E99-6F359E174A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A4E-4C94-8E99-6F359E174A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4E-4C94-8E99-6F359E174A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A4E-4C94-8E99-6F359E174AE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4E-4C94-8E99-6F359E174A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A4E-4C94-8E99-6F359E174A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4E-4C94-8E99-6F359E174A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A4E-4C94-8E99-6F359E174AE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4E-4C94-8E99-6F359E174AE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A4E-4C94-8E99-6F359E174AE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A4E-4C94-8E99-6F359E174AE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A4E-4C94-8E99-6F359E174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2207920"/>
        <c:axId val="362208312"/>
      </c:barChart>
      <c:catAx>
        <c:axId val="362207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208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2208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207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F7D-4687-98E5-CA30631862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F7D-4687-98E5-CA306318622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F7D-4687-98E5-CA30631862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F7D-4687-98E5-CA30631862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7D-4687-98E5-CA30631862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F7D-4687-98E5-CA306318622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F7D-4687-98E5-CA30631862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7D-4687-98E5-CA30631862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F7D-4687-98E5-CA30631862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F7D-4687-98E5-CA306318622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F7D-4687-98E5-CA30631862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F7D-4687-98E5-CA30631862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F7D-4687-98E5-CA30631862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F7D-4687-98E5-CA30631862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2209096"/>
        <c:axId val="351557456"/>
      </c:barChart>
      <c:catAx>
        <c:axId val="362209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1557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15574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2209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D03-48D4-9941-47DFF8821F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D03-48D4-9941-47DFF8821FF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03-48D4-9941-47DFF8821F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03-48D4-9941-47DFF8821F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03-48D4-9941-47DFF8821F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D03-48D4-9941-47DFF8821FF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D03-48D4-9941-47DFF8821F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D03-48D4-9941-47DFF8821F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D03-48D4-9941-47DFF8821F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D03-48D4-9941-47DFF8821FF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D03-48D4-9941-47DFF8821FF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03-48D4-9941-47DFF8821FF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D03-48D4-9941-47DFF8821FF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D03-48D4-9941-47DFF8821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1558240"/>
        <c:axId val="351558632"/>
      </c:barChart>
      <c:catAx>
        <c:axId val="351558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1558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15586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15582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56C-4453-9415-6563587847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56C-4453-9415-6563587847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6C-4453-9415-6563587847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56C-4453-9415-6563587847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56C-4453-9415-6563587847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56C-4453-9415-6563587847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56C-4453-9415-6563587847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56C-4453-9415-6563587847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56C-4453-9415-6563587847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56C-4453-9415-6563587847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56C-4453-9415-6563587847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56C-4453-9415-6563587847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56C-4453-9415-6563587847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56C-4453-9415-656358784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3611784"/>
        <c:axId val="353612176"/>
      </c:barChart>
      <c:catAx>
        <c:axId val="353611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36121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36121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36117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241505</xdr:colOff>
      <xdr:row>0</xdr:row>
      <xdr:rowOff>48341</xdr:rowOff>
    </xdr:from>
    <xdr:to>
      <xdr:col>2</xdr:col>
      <xdr:colOff>340545</xdr:colOff>
      <xdr:row>2</xdr:row>
      <xdr:rowOff>241709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505" y="48341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440402</xdr:colOff>
      <xdr:row>58</xdr:row>
      <xdr:rowOff>30726</xdr:rowOff>
    </xdr:from>
    <xdr:to>
      <xdr:col>17</xdr:col>
      <xdr:colOff>540571</xdr:colOff>
      <xdr:row>61</xdr:row>
      <xdr:rowOff>8841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0402" y="11092016"/>
          <a:ext cx="9809524" cy="561905"/>
        </a:xfrm>
        <a:prstGeom prst="rect">
          <a:avLst/>
        </a:prstGeom>
      </xdr:spPr>
    </xdr:pic>
    <xdr:clientData/>
  </xdr:twoCellAnchor>
  <xdr:twoCellAnchor>
    <xdr:from>
      <xdr:col>4</xdr:col>
      <xdr:colOff>430161</xdr:colOff>
      <xdr:row>0</xdr:row>
      <xdr:rowOff>174114</xdr:rowOff>
    </xdr:from>
    <xdr:to>
      <xdr:col>5</xdr:col>
      <xdr:colOff>503145</xdr:colOff>
      <xdr:row>2</xdr:row>
      <xdr:rowOff>238782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23FC67FE-C0FE-4C0A-957D-46674A188521}"/>
            </a:ext>
          </a:extLst>
        </xdr:cNvPr>
        <xdr:cNvSpPr/>
      </xdr:nvSpPr>
      <xdr:spPr bwMode="auto">
        <a:xfrm>
          <a:off x="2488790" y="174114"/>
          <a:ext cx="871855" cy="791845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419100</xdr:colOff>
      <xdr:row>0</xdr:row>
      <xdr:rowOff>254000</xdr:rowOff>
    </xdr:from>
    <xdr:to>
      <xdr:col>1</xdr:col>
      <xdr:colOff>529167</xdr:colOff>
      <xdr:row>3</xdr:row>
      <xdr:rowOff>288191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254000"/>
          <a:ext cx="1062567" cy="97610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tabSelected="1" zoomScale="85" zoomScaleNormal="100" workbookViewId="0"/>
  </sheetViews>
  <sheetFormatPr baseColWidth="10" defaultColWidth="10.625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8"/>
      <c r="B1" s="39" t="s">
        <v>14</v>
      </c>
      <c r="C1" s="39"/>
      <c r="D1" s="39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40"/>
      <c r="V1" s="2"/>
      <c r="W1" s="2"/>
    </row>
    <row r="2" spans="1:23" ht="17.45" customHeight="1">
      <c r="A2" s="41"/>
      <c r="B2" s="89"/>
      <c r="C2" s="90"/>
      <c r="D2" s="90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2"/>
      <c r="R2" s="38"/>
      <c r="S2" s="38"/>
      <c r="T2" s="38"/>
      <c r="U2" s="40"/>
      <c r="V2" s="2"/>
      <c r="W2" s="2"/>
    </row>
    <row r="3" spans="1:23" ht="17.45" customHeight="1">
      <c r="A3" s="41"/>
      <c r="B3" s="93"/>
      <c r="C3" s="56"/>
      <c r="D3" s="56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94"/>
      <c r="R3" s="38"/>
      <c r="S3" s="38"/>
      <c r="T3" s="38"/>
      <c r="U3" s="40"/>
      <c r="V3" s="2"/>
      <c r="W3" s="2"/>
    </row>
    <row r="4" spans="1:23" ht="10.5" customHeight="1">
      <c r="A4" s="41"/>
      <c r="B4" s="93"/>
      <c r="C4" s="57"/>
      <c r="D4" s="58"/>
      <c r="E4" s="59"/>
      <c r="F4" s="59"/>
      <c r="G4" s="59"/>
      <c r="H4" s="59"/>
      <c r="I4" s="59"/>
      <c r="J4" s="59"/>
      <c r="K4" s="59"/>
      <c r="L4" s="59"/>
      <c r="M4" s="59"/>
      <c r="N4" s="60"/>
      <c r="O4" s="55"/>
      <c r="P4" s="55"/>
      <c r="Q4" s="94"/>
      <c r="R4" s="38"/>
      <c r="S4" s="38"/>
      <c r="T4" s="38"/>
      <c r="U4" s="40"/>
      <c r="V4" s="2"/>
      <c r="W4" s="2"/>
    </row>
    <row r="5" spans="1:23" ht="32.25" customHeight="1">
      <c r="A5" s="39"/>
      <c r="B5" s="93"/>
      <c r="C5" s="61"/>
      <c r="D5" s="61"/>
      <c r="E5" s="208" t="s">
        <v>68</v>
      </c>
      <c r="F5" s="208"/>
      <c r="G5" s="208"/>
      <c r="H5" s="208"/>
      <c r="I5" s="208"/>
      <c r="J5" s="208"/>
      <c r="K5" s="208"/>
      <c r="L5" s="208"/>
      <c r="M5" s="208"/>
      <c r="N5" s="62"/>
      <c r="O5" s="55"/>
      <c r="P5" s="55"/>
      <c r="Q5" s="94"/>
      <c r="R5" s="38"/>
      <c r="S5" s="38"/>
      <c r="T5" s="38"/>
      <c r="U5" s="40"/>
      <c r="V5" s="2"/>
      <c r="W5" s="2"/>
    </row>
    <row r="6" spans="1:23" ht="17.45" customHeight="1">
      <c r="A6" s="41"/>
      <c r="B6" s="93"/>
      <c r="C6" s="63"/>
      <c r="D6" s="63"/>
      <c r="E6" s="64"/>
      <c r="F6" s="65"/>
      <c r="G6" s="65"/>
      <c r="H6" s="65"/>
      <c r="I6" s="65"/>
      <c r="J6" s="65"/>
      <c r="K6" s="65"/>
      <c r="L6" s="65"/>
      <c r="M6" s="65"/>
      <c r="N6" s="66"/>
      <c r="O6" s="67"/>
      <c r="P6" s="67"/>
      <c r="Q6" s="95"/>
      <c r="R6" s="38"/>
      <c r="S6" s="38"/>
      <c r="T6" s="38"/>
      <c r="U6" s="40"/>
      <c r="V6" s="2"/>
      <c r="W6" s="2"/>
    </row>
    <row r="7" spans="1:23" ht="17.45" customHeight="1">
      <c r="A7" s="41"/>
      <c r="B7" s="96"/>
      <c r="C7" s="68"/>
      <c r="D7" s="68"/>
      <c r="E7" s="69"/>
      <c r="F7" s="69"/>
      <c r="G7" s="69"/>
      <c r="H7" s="69"/>
      <c r="I7" s="69"/>
      <c r="J7" s="69"/>
      <c r="K7" s="69"/>
      <c r="L7" s="69"/>
      <c r="M7" s="55"/>
      <c r="N7" s="67"/>
      <c r="O7" s="67"/>
      <c r="P7" s="67"/>
      <c r="Q7" s="95"/>
      <c r="R7" s="38"/>
      <c r="S7" s="38"/>
      <c r="T7" s="38"/>
      <c r="U7" s="40"/>
      <c r="V7" s="2"/>
      <c r="W7" s="2"/>
    </row>
    <row r="8" spans="1:23" ht="17.45" customHeight="1">
      <c r="A8" s="41"/>
      <c r="B8" s="97"/>
      <c r="C8" s="70"/>
      <c r="D8" s="70"/>
      <c r="E8" s="71"/>
      <c r="F8" s="72"/>
      <c r="G8" s="72"/>
      <c r="H8" s="72"/>
      <c r="I8" s="73"/>
      <c r="J8" s="73"/>
      <c r="K8" s="73"/>
      <c r="L8" s="74"/>
      <c r="M8" s="55"/>
      <c r="N8" s="55"/>
      <c r="O8" s="67"/>
      <c r="P8" s="67"/>
      <c r="Q8" s="95"/>
      <c r="R8" s="38"/>
      <c r="S8" s="38"/>
      <c r="T8" s="38"/>
      <c r="U8" s="40"/>
      <c r="V8" s="2"/>
      <c r="W8" s="2"/>
    </row>
    <row r="9" spans="1:23" ht="17.45" customHeight="1">
      <c r="A9" s="41"/>
      <c r="B9" s="97"/>
      <c r="C9" s="70"/>
      <c r="D9" s="75"/>
      <c r="E9" s="73"/>
      <c r="F9" s="73"/>
      <c r="G9" s="73"/>
      <c r="H9" s="73"/>
      <c r="I9" s="73"/>
      <c r="J9" s="73"/>
      <c r="K9" s="73"/>
      <c r="L9" s="74"/>
      <c r="M9" s="55"/>
      <c r="N9" s="55"/>
      <c r="O9" s="67"/>
      <c r="P9" s="55"/>
      <c r="Q9" s="94"/>
      <c r="R9" s="38"/>
      <c r="S9" s="38"/>
      <c r="T9" s="38"/>
      <c r="U9" s="40"/>
      <c r="V9" s="2"/>
      <c r="W9" s="2"/>
    </row>
    <row r="10" spans="1:23" ht="17.45" customHeight="1">
      <c r="A10" s="41"/>
      <c r="B10" s="97"/>
      <c r="C10" s="70"/>
      <c r="D10" s="76"/>
      <c r="E10" s="77"/>
      <c r="F10" s="73"/>
      <c r="G10" s="73"/>
      <c r="H10" s="73"/>
      <c r="I10" s="73"/>
      <c r="J10" s="73"/>
      <c r="K10" s="73"/>
      <c r="L10" s="74"/>
      <c r="M10" s="55"/>
      <c r="N10" s="55"/>
      <c r="O10" s="67"/>
      <c r="P10" s="55"/>
      <c r="Q10" s="94"/>
      <c r="R10" s="38"/>
      <c r="S10" s="38"/>
      <c r="T10" s="38"/>
      <c r="U10" s="40"/>
      <c r="V10" s="2"/>
      <c r="W10" s="2"/>
    </row>
    <row r="11" spans="1:23" ht="12" customHeight="1">
      <c r="A11" s="41"/>
      <c r="B11" s="97"/>
      <c r="C11" s="70"/>
      <c r="D11" s="78"/>
      <c r="E11" s="73"/>
      <c r="F11" s="73"/>
      <c r="G11" s="73"/>
      <c r="H11" s="73"/>
      <c r="I11" s="73"/>
      <c r="J11" s="73"/>
      <c r="K11" s="73"/>
      <c r="L11" s="79"/>
      <c r="M11" s="79"/>
      <c r="N11" s="79"/>
      <c r="O11" s="80"/>
      <c r="P11" s="55"/>
      <c r="Q11" s="94"/>
      <c r="R11" s="38"/>
      <c r="S11" s="38"/>
      <c r="T11" s="38"/>
      <c r="U11" s="40"/>
      <c r="V11" s="2"/>
      <c r="W11" s="2"/>
    </row>
    <row r="12" spans="1:23" ht="17.45" customHeight="1">
      <c r="A12" s="41"/>
      <c r="B12" s="97"/>
      <c r="C12" s="70"/>
      <c r="D12" s="70"/>
      <c r="E12" s="73"/>
      <c r="F12" s="73"/>
      <c r="G12" s="73"/>
      <c r="H12" s="73"/>
      <c r="I12" s="73"/>
      <c r="J12" s="73"/>
      <c r="K12" s="73"/>
      <c r="L12" s="81"/>
      <c r="M12" s="79"/>
      <c r="N12" s="79"/>
      <c r="O12" s="80"/>
      <c r="P12" s="82"/>
      <c r="Q12" s="94"/>
      <c r="R12" s="38"/>
      <c r="S12" s="38"/>
      <c r="T12" s="38"/>
      <c r="U12" s="40"/>
      <c r="V12" s="2"/>
      <c r="W12" s="2"/>
    </row>
    <row r="13" spans="1:23" ht="17.25" customHeight="1">
      <c r="A13" s="41"/>
      <c r="B13" s="98"/>
      <c r="C13" s="70"/>
      <c r="D13" s="70"/>
      <c r="E13" s="83"/>
      <c r="F13" s="73"/>
      <c r="G13" s="73"/>
      <c r="H13" s="73"/>
      <c r="I13" s="73"/>
      <c r="J13" s="73"/>
      <c r="K13" s="73"/>
      <c r="L13" s="81"/>
      <c r="M13" s="79"/>
      <c r="N13" s="79"/>
      <c r="O13" s="80"/>
      <c r="P13" s="82"/>
      <c r="Q13" s="94"/>
      <c r="R13" s="38"/>
      <c r="S13" s="38"/>
      <c r="T13" s="38"/>
      <c r="U13" s="40"/>
      <c r="V13" s="2"/>
      <c r="W13" s="2"/>
    </row>
    <row r="14" spans="1:23" ht="17.25" customHeight="1">
      <c r="A14" s="41"/>
      <c r="B14" s="98"/>
      <c r="C14" s="84"/>
      <c r="D14" s="70"/>
      <c r="E14" s="73"/>
      <c r="F14" s="73"/>
      <c r="G14" s="73"/>
      <c r="H14" s="73"/>
      <c r="I14" s="73"/>
      <c r="J14" s="73"/>
      <c r="K14" s="73"/>
      <c r="L14" s="81"/>
      <c r="M14" s="79"/>
      <c r="N14" s="79"/>
      <c r="O14" s="80"/>
      <c r="P14" s="82"/>
      <c r="Q14" s="94"/>
      <c r="R14" s="38"/>
      <c r="S14" s="38"/>
      <c r="T14" s="38"/>
      <c r="U14" s="40"/>
      <c r="V14" s="2"/>
      <c r="W14" s="2"/>
    </row>
    <row r="15" spans="1:23" ht="17.45" customHeight="1">
      <c r="A15" s="44"/>
      <c r="B15" s="98"/>
      <c r="C15" s="70"/>
      <c r="D15" s="70"/>
      <c r="E15" s="73"/>
      <c r="F15" s="73"/>
      <c r="G15" s="73"/>
      <c r="H15" s="73"/>
      <c r="I15" s="73"/>
      <c r="J15" s="73"/>
      <c r="K15" s="73"/>
      <c r="L15" s="81"/>
      <c r="M15" s="79"/>
      <c r="N15" s="79"/>
      <c r="O15" s="80"/>
      <c r="P15" s="85"/>
      <c r="Q15" s="99"/>
      <c r="R15" s="38"/>
      <c r="S15" s="38"/>
      <c r="T15" s="38"/>
      <c r="U15" s="40"/>
      <c r="V15" s="2"/>
      <c r="W15" s="2"/>
    </row>
    <row r="16" spans="1:23" ht="17.45" customHeight="1">
      <c r="A16" s="44"/>
      <c r="B16" s="97"/>
      <c r="C16" s="70"/>
      <c r="D16" s="70"/>
      <c r="E16" s="86"/>
      <c r="F16" s="73"/>
      <c r="G16" s="73"/>
      <c r="H16" s="73"/>
      <c r="I16" s="73"/>
      <c r="J16" s="73"/>
      <c r="K16" s="73"/>
      <c r="L16" s="81"/>
      <c r="M16" s="79"/>
      <c r="N16" s="79"/>
      <c r="O16" s="80"/>
      <c r="P16" s="85"/>
      <c r="Q16" s="99"/>
      <c r="R16" s="38"/>
      <c r="S16" s="38"/>
      <c r="T16" s="38"/>
      <c r="U16" s="40"/>
      <c r="V16" s="2"/>
      <c r="W16" s="2"/>
    </row>
    <row r="17" spans="1:23" ht="17.45" customHeight="1">
      <c r="A17" s="44"/>
      <c r="B17" s="98"/>
      <c r="C17" s="70"/>
      <c r="D17" s="70"/>
      <c r="E17" s="73"/>
      <c r="F17" s="73"/>
      <c r="G17" s="73"/>
      <c r="H17" s="73"/>
      <c r="I17" s="73"/>
      <c r="J17" s="73"/>
      <c r="K17" s="73"/>
      <c r="L17" s="81"/>
      <c r="M17" s="79"/>
      <c r="N17" s="79"/>
      <c r="O17" s="80"/>
      <c r="P17" s="85"/>
      <c r="Q17" s="94"/>
      <c r="R17" s="38"/>
      <c r="S17" s="38"/>
      <c r="T17" s="38"/>
      <c r="U17" s="40"/>
      <c r="V17" s="2"/>
      <c r="W17" s="2"/>
    </row>
    <row r="18" spans="1:23" ht="17.25" customHeight="1">
      <c r="A18" s="44"/>
      <c r="B18" s="98"/>
      <c r="C18" s="70"/>
      <c r="D18" s="70"/>
      <c r="E18" s="73"/>
      <c r="F18" s="73"/>
      <c r="G18" s="73"/>
      <c r="H18" s="73"/>
      <c r="I18" s="73"/>
      <c r="J18" s="73"/>
      <c r="K18" s="73"/>
      <c r="L18" s="81"/>
      <c r="M18" s="79"/>
      <c r="N18" s="79"/>
      <c r="O18" s="80"/>
      <c r="P18" s="85"/>
      <c r="Q18" s="94"/>
      <c r="R18" s="38"/>
      <c r="S18" s="38"/>
      <c r="T18" s="38"/>
      <c r="U18" s="40"/>
      <c r="V18" s="2"/>
      <c r="W18" s="2"/>
    </row>
    <row r="19" spans="1:23" ht="17.45" customHeight="1">
      <c r="A19" s="44"/>
      <c r="B19" s="97"/>
      <c r="C19" s="70"/>
      <c r="D19" s="70"/>
      <c r="E19" s="73"/>
      <c r="F19" s="73"/>
      <c r="G19" s="73"/>
      <c r="H19" s="73"/>
      <c r="I19" s="73"/>
      <c r="J19" s="73"/>
      <c r="K19" s="73"/>
      <c r="L19" s="87"/>
      <c r="M19" s="79"/>
      <c r="N19" s="79"/>
      <c r="O19" s="80"/>
      <c r="P19" s="85"/>
      <c r="Q19" s="99"/>
      <c r="R19" s="38"/>
      <c r="S19" s="38"/>
      <c r="T19" s="38"/>
      <c r="U19" s="40"/>
      <c r="V19" s="2"/>
      <c r="W19" s="2"/>
    </row>
    <row r="20" spans="1:23" ht="17.45" customHeight="1">
      <c r="A20" s="44"/>
      <c r="B20" s="97"/>
      <c r="C20" s="70"/>
      <c r="D20" s="70"/>
      <c r="E20" s="73"/>
      <c r="F20" s="73"/>
      <c r="G20" s="73"/>
      <c r="H20" s="73"/>
      <c r="I20" s="73"/>
      <c r="J20" s="73"/>
      <c r="K20" s="73"/>
      <c r="L20" s="87"/>
      <c r="M20" s="79"/>
      <c r="N20" s="79"/>
      <c r="O20" s="80"/>
      <c r="P20" s="88"/>
      <c r="Q20" s="100"/>
      <c r="R20" s="38"/>
      <c r="S20" s="38"/>
      <c r="T20" s="38"/>
      <c r="U20" s="40"/>
      <c r="V20" s="2"/>
      <c r="W20" s="2"/>
    </row>
    <row r="21" spans="1:23" ht="17.45" customHeight="1">
      <c r="A21" s="44"/>
      <c r="B21" s="101"/>
      <c r="C21" s="102"/>
      <c r="D21" s="102"/>
      <c r="E21" s="103"/>
      <c r="F21" s="103"/>
      <c r="G21" s="103"/>
      <c r="H21" s="103"/>
      <c r="I21" s="103"/>
      <c r="J21" s="103"/>
      <c r="K21" s="103"/>
      <c r="L21" s="104"/>
      <c r="M21" s="105"/>
      <c r="N21" s="105"/>
      <c r="O21" s="106"/>
      <c r="P21" s="107"/>
      <c r="Q21" s="108"/>
      <c r="R21" s="38"/>
      <c r="S21" s="38"/>
      <c r="T21" s="38"/>
      <c r="U21" s="40"/>
      <c r="V21" s="2"/>
      <c r="W21" s="2"/>
    </row>
    <row r="22" spans="1:23" ht="17.45" customHeight="1">
      <c r="A22" s="44"/>
      <c r="B22" s="49"/>
      <c r="C22" s="50"/>
      <c r="D22" s="50"/>
      <c r="E22" s="51"/>
      <c r="F22" s="42"/>
      <c r="G22" s="42"/>
      <c r="H22" s="42"/>
      <c r="I22" s="42"/>
      <c r="J22" s="42"/>
      <c r="K22" s="42"/>
      <c r="L22" s="45"/>
      <c r="M22" s="43"/>
      <c r="N22" s="43"/>
      <c r="O22" s="48"/>
      <c r="P22" s="46"/>
      <c r="Q22" s="47"/>
      <c r="R22" s="38"/>
      <c r="S22" s="38"/>
      <c r="T22" s="38"/>
      <c r="U22" s="40"/>
      <c r="V22" s="2"/>
      <c r="W22" s="2"/>
    </row>
    <row r="23" spans="1:23" ht="15" customHeight="1">
      <c r="A23" s="52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2"/>
      <c r="S23" s="53"/>
      <c r="T23" s="53"/>
      <c r="U23" s="53"/>
      <c r="V23" s="2"/>
      <c r="W23" s="2"/>
    </row>
    <row r="24" spans="1:23" ht="15" customHeight="1">
      <c r="A24" s="52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2"/>
      <c r="S24" s="53"/>
      <c r="T24" s="53"/>
      <c r="U24" s="53"/>
      <c r="V24" s="2"/>
      <c r="W24" s="2"/>
    </row>
    <row r="25" spans="1:23" ht="15" customHeight="1">
      <c r="A25" s="52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2"/>
      <c r="S25" s="53"/>
      <c r="T25" s="53"/>
      <c r="U25" s="53"/>
      <c r="V25" s="2"/>
      <c r="W25" s="2"/>
    </row>
    <row r="26" spans="1:23">
      <c r="A26" s="52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2"/>
      <c r="S26" s="53"/>
      <c r="T26" s="53"/>
      <c r="U26" s="54"/>
    </row>
    <row r="27" spans="1:23">
      <c r="A27" s="52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2"/>
      <c r="S27" s="53"/>
      <c r="T27" s="53"/>
      <c r="U27" s="54"/>
    </row>
    <row r="28" spans="1:23">
      <c r="A28" s="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4"/>
      <c r="S28" s="5"/>
      <c r="T28" s="5"/>
    </row>
    <row r="71" spans="2:2">
      <c r="B71" s="7" t="s">
        <v>24</v>
      </c>
    </row>
    <row r="72" spans="2:2">
      <c r="B72" s="8" t="s">
        <v>26</v>
      </c>
    </row>
    <row r="73" spans="2:2">
      <c r="B73" s="9" t="s">
        <v>30</v>
      </c>
    </row>
    <row r="74" spans="2:2">
      <c r="B74" s="10"/>
    </row>
    <row r="76" spans="2:2">
      <c r="B76" s="7" t="s">
        <v>24</v>
      </c>
    </row>
    <row r="77" spans="2:2">
      <c r="B77" s="8" t="s">
        <v>27</v>
      </c>
    </row>
    <row r="78" spans="2:2">
      <c r="B78" s="9" t="s">
        <v>31</v>
      </c>
    </row>
    <row r="79" spans="2:2">
      <c r="B79" s="10"/>
    </row>
    <row r="81" spans="2:2">
      <c r="B81" s="7" t="s">
        <v>32</v>
      </c>
    </row>
    <row r="82" spans="2:2">
      <c r="B82" s="8" t="s">
        <v>21</v>
      </c>
    </row>
    <row r="83" spans="2:2">
      <c r="B83" s="9" t="s">
        <v>28</v>
      </c>
    </row>
    <row r="84" spans="2:2">
      <c r="B84" s="9" t="s">
        <v>33</v>
      </c>
    </row>
    <row r="85" spans="2:2">
      <c r="B85" s="9" t="s">
        <v>34</v>
      </c>
    </row>
    <row r="86" spans="2:2">
      <c r="B86" s="9" t="s">
        <v>35</v>
      </c>
    </row>
    <row r="87" spans="2:2">
      <c r="B87" s="10" t="s">
        <v>36</v>
      </c>
    </row>
    <row r="88" spans="2:2">
      <c r="B88" s="1"/>
    </row>
    <row r="89" spans="2:2">
      <c r="B89" s="7" t="s">
        <v>37</v>
      </c>
    </row>
    <row r="90" spans="2:2">
      <c r="B90" s="11">
        <v>23</v>
      </c>
    </row>
    <row r="91" spans="2:2">
      <c r="B91" s="12">
        <v>27</v>
      </c>
    </row>
    <row r="92" spans="2:2">
      <c r="B92" s="12">
        <v>31</v>
      </c>
    </row>
    <row r="93" spans="2:2">
      <c r="B93" s="12">
        <v>41</v>
      </c>
    </row>
    <row r="94" spans="2:2">
      <c r="B94" s="13" t="s">
        <v>38</v>
      </c>
    </row>
    <row r="95" spans="2:2">
      <c r="B95" s="13" t="s">
        <v>39</v>
      </c>
    </row>
    <row r="96" spans="2:2">
      <c r="B96" s="13" t="s">
        <v>29</v>
      </c>
    </row>
    <row r="97" spans="2:2">
      <c r="B97" s="14" t="s">
        <v>40</v>
      </c>
    </row>
    <row r="98" spans="2:2">
      <c r="B98" s="1"/>
    </row>
    <row r="99" spans="2:2">
      <c r="B99" s="7" t="s">
        <v>25</v>
      </c>
    </row>
    <row r="100" spans="2:2">
      <c r="B100" s="15">
        <v>190</v>
      </c>
    </row>
    <row r="101" spans="2:2">
      <c r="B101" s="16">
        <v>217</v>
      </c>
    </row>
    <row r="102" spans="2:2">
      <c r="B102" s="16">
        <v>250</v>
      </c>
    </row>
    <row r="103" spans="2:2">
      <c r="B103" s="16">
        <v>254</v>
      </c>
    </row>
    <row r="104" spans="2:2">
      <c r="B104" s="16">
        <v>271</v>
      </c>
    </row>
    <row r="105" spans="2:2">
      <c r="B105" s="16">
        <v>304</v>
      </c>
    </row>
    <row r="106" spans="2:2">
      <c r="B106" s="16">
        <v>317</v>
      </c>
    </row>
    <row r="107" spans="2:2">
      <c r="B107" s="16">
        <v>362</v>
      </c>
    </row>
    <row r="108" spans="2:2">
      <c r="B108" s="17"/>
    </row>
    <row r="109" spans="2:2">
      <c r="B109" s="1"/>
    </row>
    <row r="110" spans="2:2">
      <c r="B110" s="7" t="s">
        <v>41</v>
      </c>
    </row>
    <row r="111" spans="2:2">
      <c r="B111" s="8" t="s">
        <v>42</v>
      </c>
    </row>
    <row r="112" spans="2:2">
      <c r="B112" s="9" t="s">
        <v>43</v>
      </c>
    </row>
    <row r="113" spans="2:2">
      <c r="B113" s="9" t="s">
        <v>44</v>
      </c>
    </row>
    <row r="114" spans="2:2">
      <c r="B114" s="10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K62"/>
  <sheetViews>
    <sheetView showGridLines="0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N34" sqref="N34"/>
    </sheetView>
  </sheetViews>
  <sheetFormatPr baseColWidth="10" defaultColWidth="10.625" defaultRowHeight="14.25" customHeight="1"/>
  <cols>
    <col min="1" max="1" width="6.375" customWidth="1"/>
    <col min="2" max="2" width="5.25" customWidth="1"/>
    <col min="3" max="3" width="4.875" customWidth="1"/>
    <col min="4" max="4" width="10.625" bestFit="1" customWidth="1"/>
    <col min="5" max="5" width="10.5" customWidth="1"/>
    <col min="6" max="6" width="13.375" customWidth="1"/>
    <col min="7" max="7" width="10.5" bestFit="1" customWidth="1"/>
    <col min="8" max="9" width="9.75" customWidth="1"/>
    <col min="10" max="10" width="8.875" customWidth="1"/>
    <col min="11" max="11" width="9.625" customWidth="1"/>
    <col min="12" max="12" width="8.875" customWidth="1"/>
    <col min="13" max="13" width="10.375" customWidth="1"/>
    <col min="14" max="14" width="9.5" customWidth="1"/>
    <col min="15" max="15" width="10.25" customWidth="1"/>
    <col min="16" max="17" width="7.875" customWidth="1"/>
    <col min="18" max="18" width="8.875" customWidth="1"/>
    <col min="19" max="19" width="8.75" customWidth="1"/>
    <col min="20" max="20" width="7.625" customWidth="1"/>
    <col min="21" max="21" width="7.5" customWidth="1"/>
    <col min="22" max="22" width="7.25" customWidth="1"/>
    <col min="23" max="23" width="8.25" customWidth="1"/>
    <col min="28" max="28" width="15.125" customWidth="1"/>
  </cols>
  <sheetData>
    <row r="1" spans="1:37" ht="30" customHeight="1" thickBot="1">
      <c r="E1" s="166"/>
      <c r="F1" s="213" t="s">
        <v>18</v>
      </c>
      <c r="G1" s="213"/>
      <c r="H1" s="213"/>
      <c r="I1" s="213"/>
      <c r="J1" s="213"/>
      <c r="K1" s="213"/>
      <c r="L1" s="213"/>
      <c r="M1" s="213"/>
      <c r="N1" s="6"/>
      <c r="O1" s="228"/>
      <c r="P1" s="228"/>
      <c r="Q1" s="228"/>
      <c r="R1" s="228"/>
      <c r="S1" s="228"/>
      <c r="T1" s="228"/>
      <c r="U1" s="228"/>
      <c r="V1" s="228"/>
      <c r="W1" s="228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</row>
    <row r="2" spans="1:37" ht="27.75" thickBot="1">
      <c r="E2" s="167"/>
      <c r="F2" s="214" t="s">
        <v>19</v>
      </c>
      <c r="G2" s="214"/>
      <c r="H2" s="214"/>
      <c r="I2" s="214"/>
      <c r="J2" s="214"/>
      <c r="K2" s="214"/>
      <c r="L2" s="214"/>
      <c r="M2" s="214"/>
      <c r="N2" s="229" t="s">
        <v>109</v>
      </c>
      <c r="O2" s="230"/>
      <c r="P2" s="226" t="s">
        <v>110</v>
      </c>
      <c r="Q2" s="226"/>
      <c r="R2" s="226"/>
      <c r="S2" s="226"/>
      <c r="T2" s="226"/>
      <c r="U2" s="227"/>
      <c r="V2" s="231" t="s">
        <v>109</v>
      </c>
      <c r="W2" s="226"/>
      <c r="X2" s="218" t="s">
        <v>81</v>
      </c>
      <c r="Y2" s="219"/>
      <c r="Z2" s="219"/>
      <c r="AA2" s="219"/>
      <c r="AB2" s="217" t="s">
        <v>80</v>
      </c>
      <c r="AC2" s="217"/>
      <c r="AD2" s="220" t="s">
        <v>82</v>
      </c>
      <c r="AE2" s="220"/>
      <c r="AF2" s="220"/>
      <c r="AG2" s="220"/>
      <c r="AH2" s="221"/>
    </row>
    <row r="3" spans="1:37" ht="26.25">
      <c r="E3" s="168"/>
      <c r="F3" s="215" t="s">
        <v>119</v>
      </c>
      <c r="G3" s="215"/>
      <c r="H3" s="215"/>
      <c r="I3" s="215"/>
      <c r="J3" s="215"/>
      <c r="K3" s="215"/>
      <c r="L3" s="215"/>
      <c r="M3" s="215"/>
      <c r="N3" s="209" t="s">
        <v>108</v>
      </c>
      <c r="O3" s="210"/>
      <c r="P3" s="211" t="s">
        <v>67</v>
      </c>
      <c r="Q3" s="212"/>
      <c r="R3" s="211" t="s">
        <v>90</v>
      </c>
      <c r="S3" s="212"/>
      <c r="T3" s="224" t="s">
        <v>89</v>
      </c>
      <c r="U3" s="225"/>
      <c r="V3" s="232" t="s">
        <v>88</v>
      </c>
      <c r="W3" s="233"/>
      <c r="X3" s="222" t="s">
        <v>77</v>
      </c>
      <c r="Y3" s="223"/>
      <c r="Z3" s="169" t="s">
        <v>78</v>
      </c>
      <c r="AA3" s="169" t="s">
        <v>72</v>
      </c>
      <c r="AB3" s="170" t="s">
        <v>74</v>
      </c>
      <c r="AC3" s="170" t="s">
        <v>76</v>
      </c>
      <c r="AD3" s="216" t="s">
        <v>79</v>
      </c>
      <c r="AE3" s="216"/>
      <c r="AF3" s="216" t="s">
        <v>78</v>
      </c>
      <c r="AG3" s="216"/>
      <c r="AH3" s="171" t="s">
        <v>72</v>
      </c>
    </row>
    <row r="4" spans="1:37" ht="45">
      <c r="A4" s="172" t="s">
        <v>24</v>
      </c>
      <c r="B4" s="172" t="s">
        <v>111</v>
      </c>
      <c r="C4" s="172" t="s">
        <v>112</v>
      </c>
      <c r="D4" s="172" t="s">
        <v>20</v>
      </c>
      <c r="E4" s="172" t="s">
        <v>1</v>
      </c>
      <c r="F4" s="172" t="s">
        <v>113</v>
      </c>
      <c r="G4" s="172" t="s">
        <v>5</v>
      </c>
      <c r="H4" s="172" t="s">
        <v>114</v>
      </c>
      <c r="I4" s="172" t="s">
        <v>58</v>
      </c>
      <c r="J4" s="172" t="s">
        <v>91</v>
      </c>
      <c r="K4" s="172" t="s">
        <v>22</v>
      </c>
      <c r="L4" s="172" t="s">
        <v>23</v>
      </c>
      <c r="M4" s="172" t="s">
        <v>115</v>
      </c>
      <c r="N4" s="173" t="s">
        <v>17</v>
      </c>
      <c r="O4" s="173" t="s">
        <v>2</v>
      </c>
      <c r="P4" s="173" t="s">
        <v>17</v>
      </c>
      <c r="Q4" s="173" t="s">
        <v>2</v>
      </c>
      <c r="R4" s="173" t="s">
        <v>17</v>
      </c>
      <c r="S4" s="173" t="s">
        <v>2</v>
      </c>
      <c r="T4" s="173" t="s">
        <v>17</v>
      </c>
      <c r="U4" s="173" t="s">
        <v>2</v>
      </c>
      <c r="V4" s="173" t="s">
        <v>17</v>
      </c>
      <c r="W4" s="173" t="s">
        <v>2</v>
      </c>
      <c r="X4" s="174" t="s">
        <v>83</v>
      </c>
      <c r="Y4" s="174" t="s">
        <v>84</v>
      </c>
      <c r="Z4" s="174" t="s">
        <v>83</v>
      </c>
      <c r="AA4" s="174" t="s">
        <v>73</v>
      </c>
      <c r="AB4" s="175" t="s">
        <v>75</v>
      </c>
      <c r="AC4" s="175" t="s">
        <v>85</v>
      </c>
      <c r="AD4" s="176" t="s">
        <v>83</v>
      </c>
      <c r="AE4" s="176" t="s">
        <v>84</v>
      </c>
      <c r="AF4" s="176" t="s">
        <v>83</v>
      </c>
      <c r="AG4" s="176" t="s">
        <v>86</v>
      </c>
      <c r="AH4" s="176" t="s">
        <v>73</v>
      </c>
    </row>
    <row r="5" spans="1:37" ht="15">
      <c r="A5" s="177" t="s">
        <v>116</v>
      </c>
      <c r="B5" s="178">
        <v>130</v>
      </c>
      <c r="C5" s="178">
        <v>18</v>
      </c>
      <c r="D5" s="177" t="s">
        <v>118</v>
      </c>
      <c r="E5" s="197">
        <v>43122</v>
      </c>
      <c r="F5" s="179" t="s">
        <v>92</v>
      </c>
      <c r="G5" s="19">
        <v>4679</v>
      </c>
      <c r="H5" s="18">
        <v>90299</v>
      </c>
      <c r="I5" s="18">
        <v>2412051</v>
      </c>
      <c r="J5" s="180">
        <v>310</v>
      </c>
      <c r="K5" s="18">
        <v>61</v>
      </c>
      <c r="L5" s="19">
        <v>3.17</v>
      </c>
      <c r="M5" s="19">
        <v>9</v>
      </c>
      <c r="N5" s="181"/>
      <c r="O5" s="20"/>
      <c r="P5" s="128">
        <v>155.19999999999999</v>
      </c>
      <c r="Q5" s="128">
        <v>166.5</v>
      </c>
      <c r="R5" s="128">
        <v>154.80000000000001</v>
      </c>
      <c r="S5" s="128">
        <v>167</v>
      </c>
      <c r="T5" s="128"/>
      <c r="U5" s="128"/>
      <c r="V5" s="129">
        <v>150.19999999999999</v>
      </c>
      <c r="W5" s="182">
        <v>162.69999999999999</v>
      </c>
      <c r="X5" s="183">
        <v>870</v>
      </c>
      <c r="Y5" s="183">
        <v>800</v>
      </c>
      <c r="Z5" s="184">
        <v>920</v>
      </c>
      <c r="AA5" s="184">
        <v>135</v>
      </c>
      <c r="AB5" s="185">
        <v>0.1</v>
      </c>
      <c r="AC5" s="184">
        <v>1600</v>
      </c>
      <c r="AD5" s="186">
        <v>615</v>
      </c>
      <c r="AE5" s="186">
        <v>540</v>
      </c>
      <c r="AF5" s="186">
        <v>615</v>
      </c>
      <c r="AG5" s="186">
        <v>615</v>
      </c>
      <c r="AH5" s="184">
        <v>135</v>
      </c>
    </row>
    <row r="6" spans="1:37" ht="15">
      <c r="A6" s="177" t="s">
        <v>116</v>
      </c>
      <c r="B6" s="178">
        <v>130</v>
      </c>
      <c r="C6" s="178">
        <v>18</v>
      </c>
      <c r="D6" s="177" t="s">
        <v>118</v>
      </c>
      <c r="E6" s="197">
        <v>43122</v>
      </c>
      <c r="F6" s="179" t="s">
        <v>92</v>
      </c>
      <c r="G6" s="19">
        <v>4680</v>
      </c>
      <c r="H6" s="18">
        <v>90299</v>
      </c>
      <c r="I6" s="18">
        <v>2412051</v>
      </c>
      <c r="J6" s="180">
        <v>310</v>
      </c>
      <c r="K6" s="18">
        <v>61</v>
      </c>
      <c r="L6" s="19">
        <v>3.17</v>
      </c>
      <c r="M6" s="19">
        <v>104</v>
      </c>
      <c r="N6" s="181">
        <v>154.80000000000001</v>
      </c>
      <c r="O6" s="20">
        <v>166.5</v>
      </c>
      <c r="P6" s="20"/>
      <c r="Q6" s="20"/>
      <c r="R6" s="20"/>
      <c r="S6" s="20"/>
      <c r="T6" s="20"/>
      <c r="U6" s="20"/>
      <c r="V6" s="19"/>
      <c r="W6" s="181"/>
      <c r="X6" s="183">
        <v>870</v>
      </c>
      <c r="Y6" s="183">
        <v>800</v>
      </c>
      <c r="Z6" s="184">
        <v>920</v>
      </c>
      <c r="AA6" s="184">
        <v>135</v>
      </c>
      <c r="AB6" s="185">
        <v>0.1</v>
      </c>
      <c r="AC6" s="184">
        <v>1600</v>
      </c>
      <c r="AD6" s="186">
        <v>615</v>
      </c>
      <c r="AE6" s="186">
        <v>540</v>
      </c>
      <c r="AF6" s="186">
        <v>615</v>
      </c>
      <c r="AG6" s="186">
        <v>615</v>
      </c>
      <c r="AH6" s="184">
        <v>135</v>
      </c>
    </row>
    <row r="7" spans="1:37" ht="15">
      <c r="A7" s="177" t="s">
        <v>116</v>
      </c>
      <c r="B7" s="178">
        <v>130</v>
      </c>
      <c r="C7" s="178">
        <v>18</v>
      </c>
      <c r="D7" s="177" t="s">
        <v>118</v>
      </c>
      <c r="E7" s="197">
        <v>43126</v>
      </c>
      <c r="F7" s="179" t="s">
        <v>92</v>
      </c>
      <c r="G7" s="19">
        <v>4750</v>
      </c>
      <c r="H7" s="18">
        <v>90299</v>
      </c>
      <c r="I7" s="18">
        <v>2412051</v>
      </c>
      <c r="J7" s="180">
        <v>310</v>
      </c>
      <c r="K7" s="18">
        <v>61</v>
      </c>
      <c r="L7" s="19">
        <v>3.17</v>
      </c>
      <c r="M7" s="19"/>
      <c r="N7" s="182">
        <v>120.3</v>
      </c>
      <c r="O7" s="128">
        <v>132.4</v>
      </c>
      <c r="P7" s="128"/>
      <c r="Q7" s="128"/>
      <c r="R7" s="128"/>
      <c r="S7" s="128"/>
      <c r="T7" s="128"/>
      <c r="U7" s="128"/>
      <c r="V7" s="129">
        <v>122.6</v>
      </c>
      <c r="W7" s="182">
        <v>133.6</v>
      </c>
      <c r="X7" s="183">
        <v>870</v>
      </c>
      <c r="Y7" s="183">
        <v>800</v>
      </c>
      <c r="Z7" s="184">
        <v>920</v>
      </c>
      <c r="AA7" s="184">
        <v>135</v>
      </c>
      <c r="AB7" s="185">
        <v>0.1</v>
      </c>
      <c r="AC7" s="184">
        <v>1600</v>
      </c>
      <c r="AD7" s="186">
        <v>675</v>
      </c>
      <c r="AE7" s="186">
        <v>600</v>
      </c>
      <c r="AF7" s="186">
        <v>675</v>
      </c>
      <c r="AG7" s="186">
        <v>675</v>
      </c>
      <c r="AH7" s="186">
        <v>135</v>
      </c>
    </row>
    <row r="8" spans="1:37" ht="15.75">
      <c r="A8" s="177" t="s">
        <v>116</v>
      </c>
      <c r="B8" s="178">
        <v>130</v>
      </c>
      <c r="C8" s="178">
        <v>18</v>
      </c>
      <c r="D8" s="177" t="s">
        <v>118</v>
      </c>
      <c r="E8" s="197">
        <v>43126</v>
      </c>
      <c r="F8" s="179" t="s">
        <v>92</v>
      </c>
      <c r="G8" s="19">
        <v>4756</v>
      </c>
      <c r="H8" s="18">
        <v>90299</v>
      </c>
      <c r="I8" s="18">
        <v>2412051</v>
      </c>
      <c r="J8" s="180">
        <v>310</v>
      </c>
      <c r="K8" s="18">
        <v>61</v>
      </c>
      <c r="L8" s="19">
        <v>3.17</v>
      </c>
      <c r="M8" s="19">
        <v>173</v>
      </c>
      <c r="N8" s="187">
        <v>136.5</v>
      </c>
      <c r="O8" s="130">
        <v>146</v>
      </c>
      <c r="P8" s="132">
        <v>141</v>
      </c>
      <c r="Q8" s="130">
        <v>151.69999999999999</v>
      </c>
      <c r="R8" s="132">
        <v>142.4</v>
      </c>
      <c r="S8" s="132">
        <v>153.1</v>
      </c>
      <c r="T8" s="132">
        <v>140.9</v>
      </c>
      <c r="U8" s="130">
        <v>149.30000000000001</v>
      </c>
      <c r="V8" s="131">
        <v>138.4</v>
      </c>
      <c r="W8" s="187">
        <v>147</v>
      </c>
      <c r="X8" s="183">
        <v>870</v>
      </c>
      <c r="Y8" s="183">
        <v>800</v>
      </c>
      <c r="Z8" s="184">
        <v>920</v>
      </c>
      <c r="AA8" s="184">
        <v>135</v>
      </c>
      <c r="AB8" s="185">
        <v>0.1</v>
      </c>
      <c r="AC8" s="184">
        <v>1600</v>
      </c>
      <c r="AD8" s="186">
        <v>655</v>
      </c>
      <c r="AE8" s="186">
        <v>600</v>
      </c>
      <c r="AF8" s="186">
        <v>655</v>
      </c>
      <c r="AG8" s="186">
        <v>655</v>
      </c>
      <c r="AH8" s="186">
        <v>135</v>
      </c>
    </row>
    <row r="9" spans="1:37" ht="15.75">
      <c r="A9" s="177" t="s">
        <v>116</v>
      </c>
      <c r="B9" s="178">
        <v>130</v>
      </c>
      <c r="C9" s="178">
        <v>18</v>
      </c>
      <c r="D9" s="177" t="s">
        <v>118</v>
      </c>
      <c r="E9" s="197">
        <v>43134</v>
      </c>
      <c r="F9" s="179" t="s">
        <v>92</v>
      </c>
      <c r="G9" s="19">
        <v>4758</v>
      </c>
      <c r="H9" s="18">
        <v>90299</v>
      </c>
      <c r="I9" s="18">
        <v>2412051</v>
      </c>
      <c r="J9" s="180">
        <v>310</v>
      </c>
      <c r="K9" s="18">
        <v>61</v>
      </c>
      <c r="L9" s="19">
        <v>3.17</v>
      </c>
      <c r="M9" s="19">
        <v>233</v>
      </c>
      <c r="N9" s="188">
        <v>124.1</v>
      </c>
      <c r="O9" s="130">
        <v>135.5</v>
      </c>
      <c r="P9" s="130">
        <v>133.19999999999999</v>
      </c>
      <c r="Q9" s="130">
        <v>143.6</v>
      </c>
      <c r="R9" s="130">
        <v>137.30000000000001</v>
      </c>
      <c r="S9" s="130">
        <v>147.6</v>
      </c>
      <c r="T9" s="130">
        <v>133.1</v>
      </c>
      <c r="U9" s="130">
        <v>143.80000000000001</v>
      </c>
      <c r="V9" s="131">
        <v>129.69999999999999</v>
      </c>
      <c r="W9" s="187">
        <v>139.80000000000001</v>
      </c>
      <c r="X9" s="183">
        <v>870</v>
      </c>
      <c r="Y9" s="183">
        <v>800</v>
      </c>
      <c r="Z9" s="184">
        <v>920</v>
      </c>
      <c r="AA9" s="184">
        <v>135</v>
      </c>
      <c r="AB9" s="185">
        <v>0.1</v>
      </c>
      <c r="AC9" s="184">
        <v>1600</v>
      </c>
      <c r="AD9" s="186">
        <v>665</v>
      </c>
      <c r="AE9" s="186">
        <v>565</v>
      </c>
      <c r="AF9" s="186">
        <v>665</v>
      </c>
      <c r="AG9" s="186">
        <v>665</v>
      </c>
      <c r="AH9" s="186">
        <v>135</v>
      </c>
    </row>
    <row r="10" spans="1:37" ht="15.75">
      <c r="A10" s="177" t="s">
        <v>116</v>
      </c>
      <c r="B10" s="178">
        <v>130</v>
      </c>
      <c r="C10" s="178">
        <v>18</v>
      </c>
      <c r="D10" s="177" t="s">
        <v>118</v>
      </c>
      <c r="E10" s="197">
        <v>43134</v>
      </c>
      <c r="F10" s="179" t="s">
        <v>92</v>
      </c>
      <c r="G10" s="19">
        <v>4758</v>
      </c>
      <c r="H10" s="18">
        <v>90299</v>
      </c>
      <c r="I10" s="18">
        <v>2412051</v>
      </c>
      <c r="J10" s="180">
        <v>310</v>
      </c>
      <c r="K10" s="18">
        <v>61</v>
      </c>
      <c r="L10" s="19">
        <v>3.17</v>
      </c>
      <c r="M10" s="19">
        <v>232</v>
      </c>
      <c r="N10" s="188">
        <v>126.7</v>
      </c>
      <c r="O10" s="130">
        <v>137</v>
      </c>
      <c r="P10" s="130"/>
      <c r="Q10" s="130"/>
      <c r="R10" s="130"/>
      <c r="S10" s="130"/>
      <c r="T10" s="130"/>
      <c r="U10" s="130"/>
      <c r="V10" s="131"/>
      <c r="W10" s="187"/>
      <c r="X10" s="183">
        <v>870</v>
      </c>
      <c r="Y10" s="183">
        <v>800</v>
      </c>
      <c r="Z10" s="184">
        <v>920</v>
      </c>
      <c r="AA10" s="184">
        <v>135</v>
      </c>
      <c r="AB10" s="185">
        <v>0.1</v>
      </c>
      <c r="AC10" s="184">
        <v>1600</v>
      </c>
      <c r="AD10" s="186">
        <v>665</v>
      </c>
      <c r="AE10" s="186">
        <v>565</v>
      </c>
      <c r="AF10" s="186">
        <v>665</v>
      </c>
      <c r="AG10" s="186">
        <v>665</v>
      </c>
      <c r="AH10" s="186">
        <v>135</v>
      </c>
    </row>
    <row r="11" spans="1:37" ht="15.75">
      <c r="A11" s="177" t="s">
        <v>116</v>
      </c>
      <c r="B11" s="178">
        <v>130</v>
      </c>
      <c r="C11" s="178">
        <v>18</v>
      </c>
      <c r="D11" s="177" t="s">
        <v>118</v>
      </c>
      <c r="E11" s="197">
        <v>43134</v>
      </c>
      <c r="F11" s="179" t="s">
        <v>92</v>
      </c>
      <c r="G11" s="19">
        <v>4758</v>
      </c>
      <c r="H11" s="18">
        <v>90299</v>
      </c>
      <c r="I11" s="18">
        <v>2412051</v>
      </c>
      <c r="J11" s="180">
        <v>310</v>
      </c>
      <c r="K11" s="18">
        <v>61</v>
      </c>
      <c r="L11" s="19">
        <v>3.17</v>
      </c>
      <c r="M11" s="19">
        <v>234</v>
      </c>
      <c r="N11" s="188">
        <v>127.4</v>
      </c>
      <c r="O11" s="130">
        <v>137</v>
      </c>
      <c r="P11" s="130"/>
      <c r="Q11" s="130"/>
      <c r="R11" s="130"/>
      <c r="S11" s="130"/>
      <c r="T11" s="130"/>
      <c r="U11" s="130"/>
      <c r="V11" s="131"/>
      <c r="W11" s="187"/>
      <c r="X11" s="183">
        <v>870</v>
      </c>
      <c r="Y11" s="183">
        <v>800</v>
      </c>
      <c r="Z11" s="184">
        <v>920</v>
      </c>
      <c r="AA11" s="184">
        <v>135</v>
      </c>
      <c r="AB11" s="185">
        <v>0.1</v>
      </c>
      <c r="AC11" s="184">
        <v>1600</v>
      </c>
      <c r="AD11" s="186">
        <v>665</v>
      </c>
      <c r="AE11" s="186">
        <v>565</v>
      </c>
      <c r="AF11" s="186">
        <v>665</v>
      </c>
      <c r="AG11" s="186">
        <v>665</v>
      </c>
      <c r="AH11" s="186">
        <v>135</v>
      </c>
    </row>
    <row r="12" spans="1:37" ht="15.75">
      <c r="A12" s="177" t="s">
        <v>116</v>
      </c>
      <c r="B12" s="178">
        <v>130</v>
      </c>
      <c r="C12" s="178">
        <v>18</v>
      </c>
      <c r="D12" s="177" t="s">
        <v>118</v>
      </c>
      <c r="E12" s="197">
        <v>43134</v>
      </c>
      <c r="F12" s="179" t="s">
        <v>92</v>
      </c>
      <c r="G12" s="19">
        <v>4759</v>
      </c>
      <c r="H12" s="18">
        <v>90299</v>
      </c>
      <c r="I12" s="18">
        <v>2412051</v>
      </c>
      <c r="J12" s="180">
        <v>310</v>
      </c>
      <c r="K12" s="18">
        <v>61</v>
      </c>
      <c r="L12" s="19">
        <v>3.17</v>
      </c>
      <c r="M12" s="19">
        <v>324</v>
      </c>
      <c r="N12" s="189">
        <v>125.3</v>
      </c>
      <c r="O12" s="20">
        <v>136.30000000000001</v>
      </c>
      <c r="P12" s="20"/>
      <c r="Q12" s="20"/>
      <c r="R12" s="20"/>
      <c r="S12" s="20"/>
      <c r="T12" s="20"/>
      <c r="U12" s="20"/>
      <c r="V12" s="19">
        <v>129.9</v>
      </c>
      <c r="W12" s="181">
        <v>140.69999999999999</v>
      </c>
      <c r="X12" s="183">
        <v>870</v>
      </c>
      <c r="Y12" s="183">
        <v>800</v>
      </c>
      <c r="Z12" s="184">
        <v>920</v>
      </c>
      <c r="AA12" s="184">
        <v>135</v>
      </c>
      <c r="AB12" s="185">
        <v>0.1</v>
      </c>
      <c r="AC12" s="184">
        <v>1600</v>
      </c>
      <c r="AD12" s="186">
        <v>665</v>
      </c>
      <c r="AE12" s="186">
        <v>565</v>
      </c>
      <c r="AF12" s="186">
        <v>665</v>
      </c>
      <c r="AG12" s="186">
        <v>665</v>
      </c>
      <c r="AH12" s="186">
        <v>135</v>
      </c>
    </row>
    <row r="13" spans="1:37" ht="15.75" thickBot="1">
      <c r="A13" s="177" t="s">
        <v>116</v>
      </c>
      <c r="B13" s="178">
        <v>130</v>
      </c>
      <c r="C13" s="178">
        <v>18</v>
      </c>
      <c r="D13" s="177" t="s">
        <v>118</v>
      </c>
      <c r="E13" s="197">
        <v>43134</v>
      </c>
      <c r="F13" s="179" t="s">
        <v>92</v>
      </c>
      <c r="G13" s="19">
        <v>4759</v>
      </c>
      <c r="H13" s="18">
        <v>90299</v>
      </c>
      <c r="I13" s="18">
        <v>2412051</v>
      </c>
      <c r="J13" s="180">
        <v>310</v>
      </c>
      <c r="K13" s="18">
        <v>61</v>
      </c>
      <c r="L13" s="19">
        <v>3.17</v>
      </c>
      <c r="M13" s="19">
        <v>323</v>
      </c>
      <c r="N13" s="190">
        <v>134.19999999999999</v>
      </c>
      <c r="O13" s="191">
        <v>144.1</v>
      </c>
      <c r="P13" s="20"/>
      <c r="Q13" s="20"/>
      <c r="R13" s="20"/>
      <c r="S13" s="20"/>
      <c r="T13" s="20"/>
      <c r="U13" s="20"/>
      <c r="V13" s="19"/>
      <c r="W13" s="181"/>
      <c r="X13" s="183">
        <v>870</v>
      </c>
      <c r="Y13" s="183">
        <v>800</v>
      </c>
      <c r="Z13" s="184">
        <v>920</v>
      </c>
      <c r="AA13" s="184">
        <v>135</v>
      </c>
      <c r="AB13" s="185">
        <v>0.1</v>
      </c>
      <c r="AC13" s="184">
        <v>1600</v>
      </c>
      <c r="AD13" s="186">
        <v>665</v>
      </c>
      <c r="AE13" s="186">
        <v>565</v>
      </c>
      <c r="AF13" s="186">
        <v>665</v>
      </c>
      <c r="AG13" s="186">
        <v>665</v>
      </c>
      <c r="AH13" s="186">
        <v>135</v>
      </c>
      <c r="AI13" s="146"/>
      <c r="AJ13" s="146"/>
      <c r="AK13" s="146"/>
    </row>
    <row r="14" spans="1:37" ht="15">
      <c r="A14" s="177" t="s">
        <v>116</v>
      </c>
      <c r="B14" s="178">
        <v>130</v>
      </c>
      <c r="C14" s="178">
        <v>18</v>
      </c>
      <c r="D14" s="177" t="s">
        <v>118</v>
      </c>
      <c r="E14" s="197">
        <v>43134</v>
      </c>
      <c r="F14" s="179" t="s">
        <v>92</v>
      </c>
      <c r="G14" s="19">
        <v>4759</v>
      </c>
      <c r="H14" s="18">
        <v>90299</v>
      </c>
      <c r="I14" s="18">
        <v>2412051</v>
      </c>
      <c r="J14" s="180">
        <v>310</v>
      </c>
      <c r="K14" s="18">
        <v>61</v>
      </c>
      <c r="L14" s="19">
        <v>3.17</v>
      </c>
      <c r="M14" s="19">
        <v>325</v>
      </c>
      <c r="N14" s="190">
        <v>124.9</v>
      </c>
      <c r="O14" s="191">
        <v>135.6</v>
      </c>
      <c r="P14" s="20"/>
      <c r="Q14" s="20"/>
      <c r="R14" s="20"/>
      <c r="S14" s="20"/>
      <c r="T14" s="20"/>
      <c r="U14" s="20"/>
      <c r="V14" s="19"/>
      <c r="W14" s="181"/>
      <c r="X14" s="183">
        <v>870</v>
      </c>
      <c r="Y14" s="183">
        <v>800</v>
      </c>
      <c r="Z14" s="184">
        <v>920</v>
      </c>
      <c r="AA14" s="184">
        <v>135</v>
      </c>
      <c r="AB14" s="185">
        <v>0.1</v>
      </c>
      <c r="AC14" s="184">
        <v>1600</v>
      </c>
      <c r="AD14" s="186">
        <v>665</v>
      </c>
      <c r="AE14" s="186">
        <v>565</v>
      </c>
      <c r="AF14" s="186">
        <v>665</v>
      </c>
      <c r="AG14" s="186">
        <v>665</v>
      </c>
      <c r="AH14" s="186">
        <v>135</v>
      </c>
    </row>
    <row r="15" spans="1:37" ht="15">
      <c r="A15" s="177" t="s">
        <v>116</v>
      </c>
      <c r="B15" s="178">
        <v>130</v>
      </c>
      <c r="C15" s="178">
        <v>18</v>
      </c>
      <c r="D15" s="177" t="s">
        <v>118</v>
      </c>
      <c r="E15" s="197">
        <v>43144</v>
      </c>
      <c r="F15" s="179" t="s">
        <v>92</v>
      </c>
      <c r="G15" s="19">
        <v>4866</v>
      </c>
      <c r="H15" s="18">
        <v>90299</v>
      </c>
      <c r="I15" s="18">
        <v>2412051</v>
      </c>
      <c r="J15" s="180">
        <v>310</v>
      </c>
      <c r="K15" s="18">
        <v>61</v>
      </c>
      <c r="L15" s="19">
        <v>3.17</v>
      </c>
      <c r="M15" s="19">
        <v>356</v>
      </c>
      <c r="N15" s="181">
        <v>132.69999999999999</v>
      </c>
      <c r="O15" s="20">
        <v>143.9</v>
      </c>
      <c r="P15" s="20">
        <v>134.9</v>
      </c>
      <c r="Q15" s="20">
        <v>144.9</v>
      </c>
      <c r="R15" s="20">
        <v>133.5</v>
      </c>
      <c r="S15" s="20">
        <v>143.69999999999999</v>
      </c>
      <c r="T15" s="20">
        <v>135.69999999999999</v>
      </c>
      <c r="U15" s="20">
        <v>145.5</v>
      </c>
      <c r="V15" s="19">
        <v>130.9</v>
      </c>
      <c r="W15" s="181">
        <v>142.19999999999999</v>
      </c>
      <c r="X15" s="183">
        <v>870</v>
      </c>
      <c r="Y15" s="183">
        <v>800</v>
      </c>
      <c r="Z15" s="184">
        <v>920</v>
      </c>
      <c r="AA15" s="184">
        <v>135</v>
      </c>
      <c r="AB15" s="185">
        <v>0.1</v>
      </c>
      <c r="AC15" s="184">
        <v>1600</v>
      </c>
      <c r="AD15" s="186">
        <v>665</v>
      </c>
      <c r="AE15" s="186">
        <v>565</v>
      </c>
      <c r="AF15" s="184">
        <v>665</v>
      </c>
      <c r="AG15" s="184">
        <v>665</v>
      </c>
      <c r="AH15" s="186">
        <v>135</v>
      </c>
    </row>
    <row r="16" spans="1:37" ht="15">
      <c r="A16" s="177" t="s">
        <v>116</v>
      </c>
      <c r="B16" s="178">
        <v>130</v>
      </c>
      <c r="C16" s="178">
        <v>18</v>
      </c>
      <c r="D16" s="177" t="s">
        <v>118</v>
      </c>
      <c r="E16" s="197">
        <v>43144</v>
      </c>
      <c r="F16" s="179" t="s">
        <v>92</v>
      </c>
      <c r="G16" s="19">
        <v>4867</v>
      </c>
      <c r="H16" s="18">
        <v>90299</v>
      </c>
      <c r="I16" s="18">
        <v>2412051</v>
      </c>
      <c r="J16" s="180">
        <v>310</v>
      </c>
      <c r="K16" s="18">
        <v>61</v>
      </c>
      <c r="L16" s="19">
        <v>3.17</v>
      </c>
      <c r="M16" s="19">
        <v>436</v>
      </c>
      <c r="N16" s="181">
        <v>133.80000000000001</v>
      </c>
      <c r="O16" s="20">
        <v>144.69999999999999</v>
      </c>
      <c r="P16" s="20"/>
      <c r="Q16" s="20"/>
      <c r="R16" s="20"/>
      <c r="S16" s="20"/>
      <c r="T16" s="20"/>
      <c r="U16" s="20"/>
      <c r="V16" s="19">
        <v>132.69999999999999</v>
      </c>
      <c r="W16" s="181">
        <v>144.80000000000001</v>
      </c>
      <c r="X16" s="183">
        <v>870</v>
      </c>
      <c r="Y16" s="183">
        <v>800</v>
      </c>
      <c r="Z16" s="184">
        <v>920</v>
      </c>
      <c r="AA16" s="184">
        <v>135</v>
      </c>
      <c r="AB16" s="185">
        <v>0.1</v>
      </c>
      <c r="AC16" s="184">
        <v>1600</v>
      </c>
      <c r="AD16" s="186">
        <v>665</v>
      </c>
      <c r="AE16" s="186">
        <v>565</v>
      </c>
      <c r="AF16" s="184">
        <v>665</v>
      </c>
      <c r="AG16" s="184">
        <v>665</v>
      </c>
      <c r="AH16" s="186">
        <v>135</v>
      </c>
    </row>
    <row r="17" spans="1:34" ht="15">
      <c r="A17" s="177" t="s">
        <v>116</v>
      </c>
      <c r="B17" s="178">
        <v>130</v>
      </c>
      <c r="C17" s="178">
        <v>18</v>
      </c>
      <c r="D17" s="177" t="s">
        <v>118</v>
      </c>
      <c r="E17" s="197">
        <v>43144</v>
      </c>
      <c r="F17" s="179" t="s">
        <v>92</v>
      </c>
      <c r="G17" s="19">
        <v>4867</v>
      </c>
      <c r="H17" s="18">
        <v>90299</v>
      </c>
      <c r="I17" s="18">
        <v>2412051</v>
      </c>
      <c r="J17" s="180">
        <v>310</v>
      </c>
      <c r="K17" s="18">
        <v>61</v>
      </c>
      <c r="L17" s="19">
        <v>3.17</v>
      </c>
      <c r="M17" s="19">
        <v>439</v>
      </c>
      <c r="N17" s="181">
        <v>130.5</v>
      </c>
      <c r="O17" s="20">
        <v>141.9</v>
      </c>
      <c r="P17" s="20"/>
      <c r="Q17" s="20"/>
      <c r="R17" s="20"/>
      <c r="S17" s="20"/>
      <c r="T17" s="20"/>
      <c r="U17" s="20"/>
      <c r="V17" s="19"/>
      <c r="W17" s="181"/>
      <c r="X17" s="183">
        <v>870</v>
      </c>
      <c r="Y17" s="183">
        <v>800</v>
      </c>
      <c r="Z17" s="184">
        <v>920</v>
      </c>
      <c r="AA17" s="184">
        <v>135</v>
      </c>
      <c r="AB17" s="185">
        <v>0.1</v>
      </c>
      <c r="AC17" s="184">
        <v>1600</v>
      </c>
      <c r="AD17" s="186">
        <v>665</v>
      </c>
      <c r="AE17" s="186">
        <v>565</v>
      </c>
      <c r="AF17" s="184">
        <v>665</v>
      </c>
      <c r="AG17" s="184">
        <v>665</v>
      </c>
      <c r="AH17" s="186">
        <v>135</v>
      </c>
    </row>
    <row r="18" spans="1:34" ht="15.75">
      <c r="A18" s="177" t="s">
        <v>116</v>
      </c>
      <c r="B18" s="178">
        <v>130</v>
      </c>
      <c r="C18" s="178">
        <v>18</v>
      </c>
      <c r="D18" s="177" t="s">
        <v>118</v>
      </c>
      <c r="E18" s="197">
        <v>45656</v>
      </c>
      <c r="F18" s="179" t="s">
        <v>92</v>
      </c>
      <c r="G18" s="19" t="s">
        <v>120</v>
      </c>
      <c r="H18" s="18">
        <v>94008</v>
      </c>
      <c r="I18" s="18">
        <v>5737997</v>
      </c>
      <c r="J18" s="180">
        <v>310</v>
      </c>
      <c r="K18" s="18">
        <v>61</v>
      </c>
      <c r="L18" s="19">
        <v>3.62</v>
      </c>
      <c r="M18" s="19">
        <v>4</v>
      </c>
      <c r="N18" s="181">
        <v>135.5</v>
      </c>
      <c r="O18" s="20">
        <v>143.80000000000001</v>
      </c>
      <c r="P18" s="20"/>
      <c r="Q18" s="20"/>
      <c r="R18" s="20"/>
      <c r="S18" s="20"/>
      <c r="T18" s="20"/>
      <c r="U18" s="20"/>
      <c r="V18" s="19">
        <v>134.6</v>
      </c>
      <c r="W18" s="181">
        <v>143.19999999999999</v>
      </c>
      <c r="X18" s="183">
        <v>880</v>
      </c>
      <c r="Y18" s="183">
        <v>800</v>
      </c>
      <c r="Z18" s="184">
        <v>935</v>
      </c>
      <c r="AA18" s="184">
        <v>135</v>
      </c>
      <c r="AB18" s="185">
        <v>0.12</v>
      </c>
      <c r="AC18" s="184">
        <v>1700</v>
      </c>
      <c r="AD18" s="184">
        <v>665</v>
      </c>
      <c r="AE18" s="186">
        <v>565</v>
      </c>
      <c r="AF18" s="184">
        <v>665</v>
      </c>
      <c r="AG18" s="184">
        <v>665</v>
      </c>
      <c r="AH18" s="186">
        <v>135</v>
      </c>
    </row>
    <row r="19" spans="1:34" ht="15.75">
      <c r="A19" s="177" t="s">
        <v>116</v>
      </c>
      <c r="B19" s="178">
        <v>130</v>
      </c>
      <c r="C19" s="178">
        <v>18</v>
      </c>
      <c r="D19" s="177" t="s">
        <v>118</v>
      </c>
      <c r="E19" s="197">
        <v>45656</v>
      </c>
      <c r="F19" s="179" t="s">
        <v>92</v>
      </c>
      <c r="G19" s="19" t="s">
        <v>120</v>
      </c>
      <c r="H19" s="18">
        <v>94008</v>
      </c>
      <c r="I19" s="18">
        <v>5737997</v>
      </c>
      <c r="J19" s="180">
        <v>310</v>
      </c>
      <c r="K19" s="18">
        <v>61</v>
      </c>
      <c r="L19" s="19">
        <v>3.62</v>
      </c>
      <c r="M19" s="19">
        <v>12</v>
      </c>
      <c r="N19" s="181">
        <v>135.80000000000001</v>
      </c>
      <c r="O19" s="20">
        <v>144.6</v>
      </c>
      <c r="P19" s="20">
        <v>137.69999999999999</v>
      </c>
      <c r="Q19" s="20">
        <v>146.6</v>
      </c>
      <c r="R19" s="20">
        <v>137</v>
      </c>
      <c r="S19" s="20">
        <v>145.5</v>
      </c>
      <c r="T19" s="20">
        <v>137.80000000000001</v>
      </c>
      <c r="U19" s="20">
        <v>146.6</v>
      </c>
      <c r="V19" s="19">
        <v>134.69999999999999</v>
      </c>
      <c r="W19" s="181">
        <v>143.1</v>
      </c>
      <c r="X19" s="183">
        <v>880</v>
      </c>
      <c r="Y19" s="183">
        <v>800</v>
      </c>
      <c r="Z19" s="184">
        <v>935</v>
      </c>
      <c r="AA19" s="184">
        <v>135</v>
      </c>
      <c r="AB19" s="185">
        <v>0.12</v>
      </c>
      <c r="AC19" s="184">
        <v>1700</v>
      </c>
      <c r="AD19" s="184">
        <v>665</v>
      </c>
      <c r="AE19" s="186">
        <v>565</v>
      </c>
      <c r="AF19" s="184">
        <v>665</v>
      </c>
      <c r="AG19" s="184">
        <v>665</v>
      </c>
      <c r="AH19" s="186">
        <v>135</v>
      </c>
    </row>
    <row r="20" spans="1:34" ht="15">
      <c r="A20" s="177" t="s">
        <v>116</v>
      </c>
      <c r="B20" s="178">
        <v>130</v>
      </c>
      <c r="C20" s="178">
        <v>18</v>
      </c>
      <c r="D20" s="177" t="s">
        <v>118</v>
      </c>
      <c r="E20" s="197">
        <v>45680</v>
      </c>
      <c r="F20" s="179" t="s">
        <v>92</v>
      </c>
      <c r="G20" s="19">
        <v>22645</v>
      </c>
      <c r="H20" s="18">
        <v>94042</v>
      </c>
      <c r="I20" s="18">
        <v>5797031</v>
      </c>
      <c r="J20" s="180">
        <v>310</v>
      </c>
      <c r="K20" s="18">
        <v>61</v>
      </c>
      <c r="L20" s="19">
        <v>4.08</v>
      </c>
      <c r="M20" s="19">
        <v>2</v>
      </c>
      <c r="N20" s="181">
        <v>132.5</v>
      </c>
      <c r="O20" s="20">
        <v>141.4</v>
      </c>
      <c r="P20" s="20"/>
      <c r="Q20" s="20"/>
      <c r="R20" s="20"/>
      <c r="S20" s="20"/>
      <c r="T20" s="20"/>
      <c r="U20" s="20"/>
      <c r="V20" s="19"/>
      <c r="W20" s="181"/>
      <c r="X20" s="183">
        <v>880</v>
      </c>
      <c r="Y20" s="183">
        <v>800</v>
      </c>
      <c r="Z20" s="184">
        <v>935</v>
      </c>
      <c r="AA20" s="184">
        <v>135</v>
      </c>
      <c r="AB20" s="185">
        <v>0.12</v>
      </c>
      <c r="AC20" s="184">
        <v>1700</v>
      </c>
      <c r="AD20" s="184">
        <v>670</v>
      </c>
      <c r="AE20" s="186">
        <v>565</v>
      </c>
      <c r="AF20" s="184">
        <v>670</v>
      </c>
      <c r="AG20" s="184">
        <v>670</v>
      </c>
      <c r="AH20" s="186">
        <v>135</v>
      </c>
    </row>
    <row r="21" spans="1:34" ht="15">
      <c r="A21" s="177" t="s">
        <v>116</v>
      </c>
      <c r="B21" s="178">
        <v>130</v>
      </c>
      <c r="C21" s="178">
        <v>18</v>
      </c>
      <c r="D21" s="177" t="s">
        <v>118</v>
      </c>
      <c r="E21" s="197">
        <v>45680</v>
      </c>
      <c r="F21" s="179" t="s">
        <v>92</v>
      </c>
      <c r="G21" s="19">
        <v>22645</v>
      </c>
      <c r="H21" s="18">
        <v>94042</v>
      </c>
      <c r="I21" s="18">
        <v>5797031</v>
      </c>
      <c r="J21" s="180">
        <v>310</v>
      </c>
      <c r="K21" s="18">
        <v>61</v>
      </c>
      <c r="L21" s="19">
        <v>4.08</v>
      </c>
      <c r="M21" s="19">
        <v>5</v>
      </c>
      <c r="N21" s="181"/>
      <c r="O21" s="20"/>
      <c r="P21" s="20"/>
      <c r="Q21" s="20"/>
      <c r="R21" s="20"/>
      <c r="S21" s="20"/>
      <c r="T21" s="20"/>
      <c r="U21" s="20"/>
      <c r="V21" s="19">
        <v>132.19999999999999</v>
      </c>
      <c r="W21" s="181">
        <v>140.6</v>
      </c>
      <c r="X21" s="183">
        <v>880</v>
      </c>
      <c r="Y21" s="183">
        <v>800</v>
      </c>
      <c r="Z21" s="184">
        <v>935</v>
      </c>
      <c r="AA21" s="184">
        <v>135</v>
      </c>
      <c r="AB21" s="185">
        <v>0.12</v>
      </c>
      <c r="AC21" s="184">
        <v>1700</v>
      </c>
      <c r="AD21" s="184">
        <v>670</v>
      </c>
      <c r="AE21" s="186">
        <v>565</v>
      </c>
      <c r="AF21" s="184">
        <v>670</v>
      </c>
      <c r="AG21" s="184">
        <v>670</v>
      </c>
      <c r="AH21" s="186">
        <v>135</v>
      </c>
    </row>
    <row r="22" spans="1:34" ht="15.75">
      <c r="A22" s="177" t="s">
        <v>116</v>
      </c>
      <c r="B22" s="178">
        <v>130</v>
      </c>
      <c r="C22" s="178">
        <v>18</v>
      </c>
      <c r="D22" s="177" t="s">
        <v>118</v>
      </c>
      <c r="E22" s="197">
        <v>45680</v>
      </c>
      <c r="F22" s="179" t="s">
        <v>92</v>
      </c>
      <c r="G22" s="19">
        <v>22646</v>
      </c>
      <c r="H22" s="18">
        <v>94041</v>
      </c>
      <c r="I22" s="18">
        <v>5797031</v>
      </c>
      <c r="J22" s="180">
        <v>310</v>
      </c>
      <c r="K22" s="18">
        <v>59</v>
      </c>
      <c r="L22" s="19">
        <v>4.59</v>
      </c>
      <c r="M22" s="19">
        <v>1</v>
      </c>
      <c r="N22" s="181"/>
      <c r="O22" s="20"/>
      <c r="P22" s="20"/>
      <c r="Q22" s="20"/>
      <c r="R22" s="20"/>
      <c r="S22" s="20"/>
      <c r="T22" s="20"/>
      <c r="U22" s="20"/>
      <c r="V22" s="243">
        <v>113.1</v>
      </c>
      <c r="W22" s="181">
        <v>125.5</v>
      </c>
      <c r="X22" s="183">
        <v>880</v>
      </c>
      <c r="Y22" s="183">
        <v>800</v>
      </c>
      <c r="Z22" s="184">
        <v>935</v>
      </c>
      <c r="AA22" s="184">
        <v>135</v>
      </c>
      <c r="AB22" s="185">
        <v>0.12</v>
      </c>
      <c r="AC22" s="184">
        <v>1700</v>
      </c>
      <c r="AD22" s="184">
        <v>670</v>
      </c>
      <c r="AE22" s="186">
        <v>565</v>
      </c>
      <c r="AF22" s="184">
        <v>670</v>
      </c>
      <c r="AG22" s="184">
        <v>670</v>
      </c>
      <c r="AH22" s="186">
        <v>135</v>
      </c>
    </row>
    <row r="23" spans="1:34" ht="15.75">
      <c r="A23" s="177" t="s">
        <v>116</v>
      </c>
      <c r="B23" s="178">
        <v>130</v>
      </c>
      <c r="C23" s="178">
        <v>18</v>
      </c>
      <c r="D23" s="177" t="s">
        <v>118</v>
      </c>
      <c r="E23" s="197">
        <v>45680</v>
      </c>
      <c r="F23" s="179" t="s">
        <v>92</v>
      </c>
      <c r="G23" s="19">
        <v>22646</v>
      </c>
      <c r="H23" s="18">
        <v>94041</v>
      </c>
      <c r="I23" s="18">
        <v>5797031</v>
      </c>
      <c r="J23" s="180">
        <v>310</v>
      </c>
      <c r="K23" s="18">
        <v>59</v>
      </c>
      <c r="L23" s="19">
        <v>4.59</v>
      </c>
      <c r="M23" s="19">
        <v>2</v>
      </c>
      <c r="N23" s="188">
        <v>117.4</v>
      </c>
      <c r="O23" s="20">
        <v>129</v>
      </c>
      <c r="P23" s="20"/>
      <c r="Q23" s="20"/>
      <c r="R23" s="20"/>
      <c r="S23" s="20"/>
      <c r="T23" s="20"/>
      <c r="U23" s="20"/>
      <c r="V23" s="19"/>
      <c r="W23" s="181"/>
      <c r="X23" s="183">
        <v>880</v>
      </c>
      <c r="Y23" s="183">
        <v>800</v>
      </c>
      <c r="Z23" s="184">
        <v>935</v>
      </c>
      <c r="AA23" s="184">
        <v>135</v>
      </c>
      <c r="AB23" s="185">
        <v>0.12</v>
      </c>
      <c r="AC23" s="184">
        <v>1700</v>
      </c>
      <c r="AD23" s="184">
        <v>670</v>
      </c>
      <c r="AE23" s="186">
        <v>565</v>
      </c>
      <c r="AF23" s="184">
        <v>670</v>
      </c>
      <c r="AG23" s="184">
        <v>670</v>
      </c>
      <c r="AH23" s="186">
        <v>135</v>
      </c>
    </row>
    <row r="24" spans="1:34" ht="15">
      <c r="A24" s="177" t="s">
        <v>116</v>
      </c>
      <c r="B24" s="178">
        <v>130</v>
      </c>
      <c r="C24" s="178">
        <v>18</v>
      </c>
      <c r="D24" s="177" t="s">
        <v>118</v>
      </c>
      <c r="E24" s="197">
        <v>45680</v>
      </c>
      <c r="F24" s="179" t="s">
        <v>92</v>
      </c>
      <c r="G24" s="19">
        <v>22647</v>
      </c>
      <c r="H24" s="18">
        <v>94043</v>
      </c>
      <c r="I24" s="18">
        <v>5797031</v>
      </c>
      <c r="J24" s="180">
        <v>310</v>
      </c>
      <c r="K24" s="18">
        <v>60</v>
      </c>
      <c r="L24" s="19">
        <v>3.49</v>
      </c>
      <c r="M24" s="19">
        <v>1</v>
      </c>
      <c r="N24" s="181"/>
      <c r="O24" s="20"/>
      <c r="P24" s="20"/>
      <c r="Q24" s="20"/>
      <c r="R24" s="20"/>
      <c r="S24" s="20"/>
      <c r="T24" s="20"/>
      <c r="U24" s="20"/>
      <c r="V24" s="19">
        <v>131.80000000000001</v>
      </c>
      <c r="W24" s="181">
        <v>140.9</v>
      </c>
      <c r="X24" s="183">
        <v>880</v>
      </c>
      <c r="Y24" s="183">
        <v>800</v>
      </c>
      <c r="Z24" s="184">
        <v>935</v>
      </c>
      <c r="AA24" s="184">
        <v>135</v>
      </c>
      <c r="AB24" s="185">
        <v>0.12</v>
      </c>
      <c r="AC24" s="184">
        <v>1700</v>
      </c>
      <c r="AD24" s="184">
        <v>670</v>
      </c>
      <c r="AE24" s="186">
        <v>565</v>
      </c>
      <c r="AF24" s="184">
        <v>670</v>
      </c>
      <c r="AG24" s="184">
        <v>670</v>
      </c>
      <c r="AH24" s="186">
        <v>135</v>
      </c>
    </row>
    <row r="25" spans="1:34" ht="15">
      <c r="A25" s="177" t="s">
        <v>116</v>
      </c>
      <c r="B25" s="178">
        <v>130</v>
      </c>
      <c r="C25" s="178">
        <v>18</v>
      </c>
      <c r="D25" s="177" t="s">
        <v>118</v>
      </c>
      <c r="E25" s="197">
        <v>45680</v>
      </c>
      <c r="F25" s="179" t="s">
        <v>92</v>
      </c>
      <c r="G25" s="19">
        <v>22647</v>
      </c>
      <c r="H25" s="18">
        <v>94043</v>
      </c>
      <c r="I25" s="18">
        <v>5797031</v>
      </c>
      <c r="J25" s="180">
        <v>310</v>
      </c>
      <c r="K25" s="18">
        <v>60</v>
      </c>
      <c r="L25" s="19">
        <v>3.49</v>
      </c>
      <c r="M25" s="19">
        <v>25</v>
      </c>
      <c r="N25" s="181">
        <v>131</v>
      </c>
      <c r="O25" s="20">
        <v>140.30000000000001</v>
      </c>
      <c r="P25" s="20"/>
      <c r="Q25" s="20"/>
      <c r="R25" s="20"/>
      <c r="S25" s="20"/>
      <c r="T25" s="20"/>
      <c r="U25" s="20"/>
      <c r="V25" s="19"/>
      <c r="W25" s="181"/>
      <c r="X25" s="183">
        <v>880</v>
      </c>
      <c r="Y25" s="183">
        <v>800</v>
      </c>
      <c r="Z25" s="184">
        <v>935</v>
      </c>
      <c r="AA25" s="184">
        <v>135</v>
      </c>
      <c r="AB25" s="185">
        <v>0.12</v>
      </c>
      <c r="AC25" s="184">
        <v>1700</v>
      </c>
      <c r="AD25" s="184">
        <v>670</v>
      </c>
      <c r="AE25" s="186">
        <v>565</v>
      </c>
      <c r="AF25" s="184">
        <v>670</v>
      </c>
      <c r="AG25" s="184">
        <v>670</v>
      </c>
      <c r="AH25" s="186">
        <v>135</v>
      </c>
    </row>
    <row r="26" spans="1:34" ht="15">
      <c r="A26" s="178"/>
      <c r="B26" s="178"/>
      <c r="C26" s="178"/>
      <c r="D26" s="178"/>
      <c r="E26" s="179"/>
      <c r="F26" s="179"/>
      <c r="G26" s="19"/>
      <c r="H26" s="18"/>
      <c r="I26" s="18"/>
      <c r="J26" s="19"/>
      <c r="K26" s="18"/>
      <c r="L26" s="19"/>
      <c r="M26" s="19"/>
      <c r="N26" s="181"/>
      <c r="O26" s="20"/>
      <c r="P26" s="20"/>
      <c r="Q26" s="20"/>
      <c r="R26" s="20"/>
      <c r="S26" s="20"/>
      <c r="T26" s="20"/>
      <c r="U26" s="20"/>
      <c r="V26" s="19"/>
      <c r="W26" s="181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</row>
    <row r="27" spans="1:34" ht="15">
      <c r="A27" s="178"/>
      <c r="B27" s="178"/>
      <c r="C27" s="178"/>
      <c r="D27" s="178"/>
      <c r="E27" s="179"/>
      <c r="F27" s="179"/>
      <c r="G27" s="19"/>
      <c r="H27" s="18"/>
      <c r="I27" s="18"/>
      <c r="J27" s="19"/>
      <c r="K27" s="18"/>
      <c r="L27" s="19"/>
      <c r="M27" s="19"/>
      <c r="N27" s="181"/>
      <c r="O27" s="20"/>
      <c r="P27" s="20"/>
      <c r="Q27" s="20"/>
      <c r="R27" s="20"/>
      <c r="S27" s="20"/>
      <c r="T27" s="20"/>
      <c r="U27" s="20"/>
      <c r="V27" s="19"/>
      <c r="W27" s="181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H27" s="178"/>
    </row>
    <row r="28" spans="1:34" ht="15">
      <c r="A28" s="178"/>
      <c r="B28" s="178"/>
      <c r="C28" s="178"/>
      <c r="D28" s="178"/>
      <c r="E28" s="179"/>
      <c r="F28" s="179"/>
      <c r="G28" s="19"/>
      <c r="H28" s="18"/>
      <c r="I28" s="18"/>
      <c r="J28" s="19"/>
      <c r="K28" s="18"/>
      <c r="L28" s="19"/>
      <c r="M28" s="19"/>
      <c r="N28" s="181"/>
      <c r="O28" s="20"/>
      <c r="P28" s="20"/>
      <c r="Q28" s="20"/>
      <c r="R28" s="20"/>
      <c r="S28" s="20"/>
      <c r="T28" s="20"/>
      <c r="U28" s="20"/>
      <c r="V28" s="19"/>
      <c r="W28" s="181"/>
      <c r="X28" s="178"/>
      <c r="Y28" s="178"/>
      <c r="Z28" s="178"/>
      <c r="AA28" s="178"/>
      <c r="AB28" s="178"/>
      <c r="AC28" s="178"/>
      <c r="AD28" s="178"/>
      <c r="AE28" s="178"/>
      <c r="AF28" s="178"/>
      <c r="AG28" s="178"/>
      <c r="AH28" s="178"/>
    </row>
    <row r="29" spans="1:34" ht="15">
      <c r="A29" s="178"/>
      <c r="B29" s="178"/>
      <c r="C29" s="178"/>
      <c r="D29" s="178"/>
      <c r="E29" s="179"/>
      <c r="F29" s="179"/>
      <c r="G29" s="19"/>
      <c r="H29" s="18"/>
      <c r="I29" s="18"/>
      <c r="J29" s="19"/>
      <c r="K29" s="18"/>
      <c r="L29" s="19"/>
      <c r="M29" s="19"/>
      <c r="N29" s="181"/>
      <c r="O29" s="20"/>
      <c r="P29" s="20"/>
      <c r="Q29" s="20"/>
      <c r="R29" s="20"/>
      <c r="S29" s="20"/>
      <c r="T29" s="20"/>
      <c r="U29" s="20"/>
      <c r="V29" s="19"/>
      <c r="W29" s="181"/>
      <c r="X29" s="178"/>
      <c r="Y29" s="178"/>
      <c r="Z29" s="178"/>
      <c r="AA29" s="178"/>
      <c r="AB29" s="178"/>
      <c r="AC29" s="178"/>
      <c r="AD29" s="178"/>
      <c r="AE29" s="178"/>
      <c r="AF29" s="178"/>
      <c r="AG29" s="178"/>
      <c r="AH29" s="178"/>
    </row>
    <row r="30" spans="1:34" ht="15">
      <c r="A30" s="178"/>
      <c r="B30" s="178"/>
      <c r="C30" s="178"/>
      <c r="D30" s="178"/>
      <c r="E30" s="179"/>
      <c r="F30" s="179"/>
      <c r="G30" s="19"/>
      <c r="H30" s="18"/>
      <c r="I30" s="18"/>
      <c r="J30" s="19"/>
      <c r="K30" s="18"/>
      <c r="L30" s="19"/>
      <c r="M30" s="19"/>
      <c r="N30" s="181"/>
      <c r="O30" s="20"/>
      <c r="P30" s="20"/>
      <c r="Q30" s="20"/>
      <c r="R30" s="20"/>
      <c r="S30" s="20"/>
      <c r="T30" s="20"/>
      <c r="U30" s="20"/>
      <c r="V30" s="19"/>
      <c r="W30" s="181"/>
      <c r="X30" s="178"/>
      <c r="Y30" s="178"/>
      <c r="Z30" s="178"/>
      <c r="AA30" s="178"/>
      <c r="AB30" s="178"/>
      <c r="AC30" s="178"/>
      <c r="AD30" s="178"/>
      <c r="AE30" s="178"/>
      <c r="AF30" s="178"/>
      <c r="AG30" s="178"/>
      <c r="AH30" s="178"/>
    </row>
    <row r="31" spans="1:34" ht="15">
      <c r="A31" s="178"/>
      <c r="B31" s="178"/>
      <c r="C31" s="178"/>
      <c r="D31" s="178"/>
      <c r="E31" s="179"/>
      <c r="F31" s="179"/>
      <c r="G31" s="19"/>
      <c r="H31" s="18"/>
      <c r="I31" s="18"/>
      <c r="J31" s="19"/>
      <c r="K31" s="18"/>
      <c r="L31" s="19"/>
      <c r="M31" s="19"/>
      <c r="N31" s="181"/>
      <c r="O31" s="20"/>
      <c r="P31" s="20"/>
      <c r="Q31" s="20"/>
      <c r="R31" s="20"/>
      <c r="S31" s="20"/>
      <c r="T31" s="20"/>
      <c r="U31" s="20"/>
      <c r="V31" s="19"/>
      <c r="W31" s="181"/>
      <c r="X31" s="178"/>
      <c r="Y31" s="178"/>
      <c r="Z31" s="178"/>
      <c r="AA31" s="178"/>
      <c r="AB31" s="178"/>
      <c r="AC31" s="178"/>
      <c r="AD31" s="178"/>
      <c r="AE31" s="178"/>
      <c r="AF31" s="178"/>
      <c r="AG31" s="178"/>
      <c r="AH31" s="178"/>
    </row>
    <row r="32" spans="1:34" ht="15">
      <c r="A32" s="178"/>
      <c r="B32" s="178"/>
      <c r="C32" s="178"/>
      <c r="D32" s="178"/>
      <c r="E32" s="179"/>
      <c r="F32" s="179"/>
      <c r="G32" s="19"/>
      <c r="H32" s="18"/>
      <c r="I32" s="18"/>
      <c r="J32" s="19"/>
      <c r="K32" s="18"/>
      <c r="L32" s="19"/>
      <c r="M32" s="19"/>
      <c r="N32" s="181"/>
      <c r="O32" s="20"/>
      <c r="P32" s="20"/>
      <c r="Q32" s="20"/>
      <c r="R32" s="20"/>
      <c r="S32" s="20"/>
      <c r="T32" s="20"/>
      <c r="U32" s="20"/>
      <c r="V32" s="19"/>
      <c r="W32" s="181"/>
      <c r="X32" s="178"/>
      <c r="Y32" s="178"/>
      <c r="Z32" s="178"/>
      <c r="AA32" s="178"/>
      <c r="AB32" s="178"/>
      <c r="AC32" s="178"/>
      <c r="AD32" s="178"/>
      <c r="AE32" s="178"/>
      <c r="AF32" s="178"/>
      <c r="AG32" s="178"/>
      <c r="AH32" s="178"/>
    </row>
    <row r="33" spans="1:34" ht="15">
      <c r="A33" s="178"/>
      <c r="B33" s="178"/>
      <c r="C33" s="178"/>
      <c r="D33" s="178"/>
      <c r="E33" s="179"/>
      <c r="F33" s="179"/>
      <c r="G33" s="19"/>
      <c r="H33" s="18"/>
      <c r="I33" s="18"/>
      <c r="J33" s="19"/>
      <c r="K33" s="18"/>
      <c r="L33" s="19"/>
      <c r="M33" s="19"/>
      <c r="N33" s="181"/>
      <c r="O33" s="20"/>
      <c r="P33" s="20"/>
      <c r="Q33" s="20"/>
      <c r="R33" s="20"/>
      <c r="S33" s="20"/>
      <c r="T33" s="20"/>
      <c r="U33" s="20"/>
      <c r="V33" s="19"/>
      <c r="W33" s="181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</row>
    <row r="34" spans="1:34" ht="15">
      <c r="A34" s="178"/>
      <c r="B34" s="178"/>
      <c r="C34" s="178"/>
      <c r="D34" s="178"/>
      <c r="E34" s="179"/>
      <c r="F34" s="179"/>
      <c r="G34" s="19"/>
      <c r="H34" s="18"/>
      <c r="I34" s="18"/>
      <c r="J34" s="19"/>
      <c r="K34" s="18"/>
      <c r="L34" s="19"/>
      <c r="M34" s="19"/>
      <c r="N34" s="181"/>
      <c r="O34" s="20"/>
      <c r="P34" s="20"/>
      <c r="Q34" s="20"/>
      <c r="R34" s="20"/>
      <c r="S34" s="20"/>
      <c r="T34" s="20"/>
      <c r="U34" s="20"/>
      <c r="V34" s="19"/>
      <c r="W34" s="181"/>
      <c r="X34" s="178"/>
      <c r="Y34" s="178"/>
      <c r="Z34" s="178"/>
      <c r="AA34" s="178"/>
      <c r="AB34" s="178"/>
      <c r="AC34" s="178"/>
      <c r="AD34" s="178"/>
      <c r="AE34" s="178"/>
      <c r="AF34" s="178"/>
      <c r="AG34" s="178"/>
      <c r="AH34" s="178"/>
    </row>
    <row r="35" spans="1:34" ht="15">
      <c r="A35" s="178"/>
      <c r="B35" s="178"/>
      <c r="C35" s="178"/>
      <c r="D35" s="178"/>
      <c r="E35" s="179"/>
      <c r="F35" s="179"/>
      <c r="G35" s="19"/>
      <c r="H35" s="18"/>
      <c r="I35" s="18"/>
      <c r="J35" s="19"/>
      <c r="K35" s="18"/>
      <c r="L35" s="19"/>
      <c r="M35" s="19"/>
      <c r="N35" s="181"/>
      <c r="O35" s="20"/>
      <c r="P35" s="20"/>
      <c r="Q35" s="20"/>
      <c r="R35" s="20"/>
      <c r="S35" s="20"/>
      <c r="T35" s="20"/>
      <c r="U35" s="20"/>
      <c r="V35" s="19"/>
      <c r="W35" s="181"/>
      <c r="X35" s="178"/>
      <c r="Y35" s="178"/>
      <c r="Z35" s="178"/>
      <c r="AA35" s="178"/>
      <c r="AB35" s="178"/>
      <c r="AC35" s="178"/>
      <c r="AD35" s="178"/>
      <c r="AE35" s="178"/>
      <c r="AF35" s="178"/>
      <c r="AG35" s="178"/>
      <c r="AH35" s="178"/>
    </row>
    <row r="36" spans="1:34" ht="15">
      <c r="A36" s="178"/>
      <c r="B36" s="178"/>
      <c r="C36" s="178"/>
      <c r="D36" s="178"/>
      <c r="E36" s="179"/>
      <c r="F36" s="179"/>
      <c r="G36" s="19"/>
      <c r="H36" s="18"/>
      <c r="I36" s="18"/>
      <c r="J36" s="19"/>
      <c r="K36" s="18"/>
      <c r="L36" s="19"/>
      <c r="M36" s="19"/>
      <c r="N36" s="181"/>
      <c r="O36" s="20"/>
      <c r="P36" s="20"/>
      <c r="Q36" s="20"/>
      <c r="R36" s="20"/>
      <c r="S36" s="20"/>
      <c r="T36" s="20"/>
      <c r="U36" s="20"/>
      <c r="V36" s="19"/>
      <c r="W36" s="181"/>
      <c r="X36" s="178"/>
      <c r="Y36" s="178"/>
      <c r="Z36" s="178"/>
      <c r="AA36" s="178"/>
      <c r="AB36" s="178"/>
      <c r="AC36" s="178"/>
      <c r="AD36" s="178"/>
      <c r="AE36" s="178"/>
      <c r="AF36" s="178"/>
      <c r="AG36" s="178"/>
      <c r="AH36" s="178"/>
    </row>
    <row r="37" spans="1:34" ht="15">
      <c r="A37" s="178"/>
      <c r="B37" s="178"/>
      <c r="C37" s="178"/>
      <c r="D37" s="178"/>
      <c r="E37" s="179"/>
      <c r="F37" s="179"/>
      <c r="G37" s="19"/>
      <c r="H37" s="18"/>
      <c r="I37" s="18"/>
      <c r="J37" s="19"/>
      <c r="K37" s="18"/>
      <c r="L37" s="19"/>
      <c r="M37" s="19"/>
      <c r="N37" s="181"/>
      <c r="O37" s="20"/>
      <c r="P37" s="20"/>
      <c r="Q37" s="20"/>
      <c r="R37" s="20"/>
      <c r="S37" s="20"/>
      <c r="T37" s="20"/>
      <c r="U37" s="20"/>
      <c r="V37" s="19"/>
      <c r="W37" s="181"/>
      <c r="X37" s="178"/>
      <c r="Y37" s="178"/>
      <c r="Z37" s="178"/>
      <c r="AA37" s="178"/>
      <c r="AB37" s="178"/>
      <c r="AC37" s="178"/>
      <c r="AD37" s="178"/>
      <c r="AE37" s="178"/>
      <c r="AF37" s="178"/>
      <c r="AG37" s="178"/>
      <c r="AH37" s="178"/>
    </row>
    <row r="38" spans="1:34" ht="15">
      <c r="A38" s="178"/>
      <c r="B38" s="178"/>
      <c r="C38" s="178"/>
      <c r="D38" s="178"/>
      <c r="E38" s="179"/>
      <c r="F38" s="179"/>
      <c r="G38" s="19"/>
      <c r="H38" s="18"/>
      <c r="I38" s="18"/>
      <c r="J38" s="19"/>
      <c r="K38" s="18"/>
      <c r="L38" s="19"/>
      <c r="M38" s="19"/>
      <c r="N38" s="181"/>
      <c r="O38" s="20"/>
      <c r="P38" s="20"/>
      <c r="Q38" s="20"/>
      <c r="R38" s="20"/>
      <c r="S38" s="20"/>
      <c r="T38" s="20"/>
      <c r="U38" s="20"/>
      <c r="V38" s="19"/>
      <c r="W38" s="181"/>
      <c r="X38" s="178"/>
      <c r="Y38" s="178"/>
      <c r="Z38" s="178"/>
      <c r="AA38" s="178"/>
      <c r="AB38" s="178"/>
      <c r="AC38" s="178"/>
      <c r="AD38" s="178"/>
      <c r="AE38" s="178"/>
      <c r="AF38" s="178"/>
      <c r="AG38" s="178"/>
      <c r="AH38" s="178"/>
    </row>
    <row r="39" spans="1:34" ht="15">
      <c r="A39" s="178"/>
      <c r="B39" s="178"/>
      <c r="C39" s="178"/>
      <c r="D39" s="178"/>
      <c r="E39" s="179"/>
      <c r="F39" s="179"/>
      <c r="G39" s="19"/>
      <c r="H39" s="18"/>
      <c r="I39" s="18"/>
      <c r="J39" s="19"/>
      <c r="K39" s="18"/>
      <c r="L39" s="19"/>
      <c r="M39" s="19"/>
      <c r="N39" s="181"/>
      <c r="O39" s="20"/>
      <c r="P39" s="20"/>
      <c r="Q39" s="20"/>
      <c r="R39" s="20"/>
      <c r="S39" s="20"/>
      <c r="T39" s="20"/>
      <c r="U39" s="20"/>
      <c r="V39" s="19"/>
      <c r="W39" s="181"/>
      <c r="X39" s="178"/>
      <c r="Y39" s="178"/>
      <c r="Z39" s="178"/>
      <c r="AA39" s="178"/>
      <c r="AB39" s="178"/>
      <c r="AC39" s="178"/>
      <c r="AD39" s="178"/>
      <c r="AE39" s="178"/>
      <c r="AF39" s="178"/>
      <c r="AG39" s="178"/>
      <c r="AH39" s="178"/>
    </row>
    <row r="40" spans="1:34" ht="15">
      <c r="A40" s="178"/>
      <c r="B40" s="178"/>
      <c r="C40" s="178"/>
      <c r="D40" s="178"/>
      <c r="E40" s="179"/>
      <c r="F40" s="179"/>
      <c r="G40" s="19"/>
      <c r="H40" s="18"/>
      <c r="I40" s="18"/>
      <c r="J40" s="19"/>
      <c r="K40" s="18"/>
      <c r="L40" s="19"/>
      <c r="M40" s="19"/>
      <c r="N40" s="181"/>
      <c r="O40" s="20"/>
      <c r="P40" s="20"/>
      <c r="Q40" s="20"/>
      <c r="R40" s="20"/>
      <c r="S40" s="20"/>
      <c r="T40" s="20"/>
      <c r="U40" s="20"/>
      <c r="V40" s="19"/>
      <c r="W40" s="181"/>
      <c r="X40" s="178"/>
      <c r="Y40" s="178"/>
      <c r="Z40" s="178"/>
      <c r="AA40" s="178"/>
      <c r="AB40" s="178"/>
      <c r="AC40" s="178"/>
      <c r="AD40" s="178"/>
      <c r="AE40" s="178"/>
      <c r="AF40" s="178"/>
      <c r="AG40" s="178"/>
      <c r="AH40" s="178"/>
    </row>
    <row r="41" spans="1:34" ht="15">
      <c r="A41" s="178"/>
      <c r="B41" s="178"/>
      <c r="C41" s="178"/>
      <c r="D41" s="178"/>
      <c r="E41" s="179"/>
      <c r="F41" s="179"/>
      <c r="G41" s="19"/>
      <c r="H41" s="18"/>
      <c r="I41" s="18"/>
      <c r="J41" s="19"/>
      <c r="K41" s="18"/>
      <c r="L41" s="19"/>
      <c r="M41" s="19"/>
      <c r="N41" s="181"/>
      <c r="O41" s="20"/>
      <c r="P41" s="20"/>
      <c r="Q41" s="20"/>
      <c r="R41" s="20"/>
      <c r="S41" s="20"/>
      <c r="T41" s="20"/>
      <c r="U41" s="20"/>
      <c r="V41" s="19"/>
      <c r="W41" s="181"/>
      <c r="X41" s="178"/>
      <c r="Y41" s="178"/>
      <c r="Z41" s="178"/>
      <c r="AA41" s="178"/>
      <c r="AB41" s="178"/>
      <c r="AC41" s="178"/>
      <c r="AD41" s="178"/>
      <c r="AE41" s="178"/>
      <c r="AF41" s="178"/>
      <c r="AG41" s="178"/>
      <c r="AH41" s="178"/>
    </row>
    <row r="42" spans="1:34" ht="15">
      <c r="A42" s="178"/>
      <c r="B42" s="178"/>
      <c r="C42" s="178"/>
      <c r="D42" s="178"/>
      <c r="E42" s="179"/>
      <c r="F42" s="179"/>
      <c r="G42" s="19"/>
      <c r="H42" s="18"/>
      <c r="I42" s="18"/>
      <c r="J42" s="19"/>
      <c r="K42" s="18"/>
      <c r="L42" s="19"/>
      <c r="M42" s="19"/>
      <c r="N42" s="181"/>
      <c r="O42" s="20"/>
      <c r="P42" s="20"/>
      <c r="Q42" s="20"/>
      <c r="R42" s="20"/>
      <c r="S42" s="20"/>
      <c r="T42" s="20"/>
      <c r="U42" s="20"/>
      <c r="V42" s="19"/>
      <c r="W42" s="181"/>
      <c r="X42" s="178"/>
      <c r="Y42" s="178"/>
      <c r="Z42" s="178"/>
      <c r="AA42" s="178"/>
      <c r="AB42" s="178"/>
      <c r="AC42" s="178"/>
      <c r="AD42" s="178"/>
      <c r="AE42" s="178"/>
      <c r="AF42" s="178"/>
      <c r="AG42" s="178"/>
      <c r="AH42" s="178"/>
    </row>
    <row r="43" spans="1:34" ht="15">
      <c r="A43" s="178"/>
      <c r="B43" s="178"/>
      <c r="C43" s="178"/>
      <c r="D43" s="178"/>
      <c r="E43" s="179"/>
      <c r="F43" s="179"/>
      <c r="G43" s="19"/>
      <c r="H43" s="18"/>
      <c r="I43" s="18"/>
      <c r="J43" s="19"/>
      <c r="K43" s="18"/>
      <c r="L43" s="19"/>
      <c r="M43" s="19"/>
      <c r="N43" s="181"/>
      <c r="O43" s="20"/>
      <c r="P43" s="20"/>
      <c r="Q43" s="20"/>
      <c r="R43" s="20"/>
      <c r="S43" s="20"/>
      <c r="T43" s="20"/>
      <c r="U43" s="20"/>
      <c r="V43" s="19"/>
      <c r="W43" s="181"/>
      <c r="X43" s="178"/>
      <c r="Y43" s="178"/>
      <c r="Z43" s="178"/>
      <c r="AA43" s="178"/>
      <c r="AB43" s="178"/>
      <c r="AC43" s="178"/>
      <c r="AD43" s="178"/>
      <c r="AE43" s="178"/>
      <c r="AF43" s="178"/>
      <c r="AG43" s="178"/>
      <c r="AH43" s="178"/>
    </row>
    <row r="44" spans="1:34" ht="15">
      <c r="A44" s="178"/>
      <c r="B44" s="178"/>
      <c r="C44" s="178"/>
      <c r="D44" s="178"/>
      <c r="E44" s="179"/>
      <c r="F44" s="179"/>
      <c r="G44" s="19"/>
      <c r="H44" s="18"/>
      <c r="I44" s="18"/>
      <c r="J44" s="19"/>
      <c r="K44" s="18"/>
      <c r="L44" s="19"/>
      <c r="M44" s="19"/>
      <c r="N44" s="181"/>
      <c r="O44" s="20"/>
      <c r="P44" s="20"/>
      <c r="Q44" s="20"/>
      <c r="R44" s="20"/>
      <c r="S44" s="20"/>
      <c r="T44" s="20"/>
      <c r="U44" s="20"/>
      <c r="V44" s="19"/>
      <c r="W44" s="181"/>
      <c r="X44" s="178"/>
      <c r="Y44" s="178"/>
      <c r="Z44" s="178"/>
      <c r="AA44" s="178"/>
      <c r="AB44" s="178"/>
      <c r="AC44" s="178"/>
      <c r="AD44" s="178"/>
      <c r="AE44" s="178"/>
      <c r="AF44" s="178"/>
      <c r="AG44" s="178"/>
      <c r="AH44" s="178"/>
    </row>
    <row r="45" spans="1:34" ht="15">
      <c r="A45" s="178"/>
      <c r="B45" s="178"/>
      <c r="C45" s="178"/>
      <c r="D45" s="178"/>
      <c r="E45" s="179"/>
      <c r="F45" s="179"/>
      <c r="G45" s="19"/>
      <c r="H45" s="18"/>
      <c r="I45" s="18"/>
      <c r="J45" s="19"/>
      <c r="K45" s="18"/>
      <c r="L45" s="19"/>
      <c r="M45" s="19"/>
      <c r="N45" s="181"/>
      <c r="O45" s="20"/>
      <c r="P45" s="20"/>
      <c r="Q45" s="20"/>
      <c r="R45" s="20"/>
      <c r="S45" s="20"/>
      <c r="T45" s="20"/>
      <c r="U45" s="20"/>
      <c r="V45" s="19"/>
      <c r="W45" s="181"/>
      <c r="X45" s="178"/>
      <c r="Y45" s="178"/>
      <c r="Z45" s="178"/>
      <c r="AA45" s="178"/>
      <c r="AB45" s="178"/>
      <c r="AC45" s="178"/>
      <c r="AD45" s="178"/>
      <c r="AE45" s="178"/>
      <c r="AF45" s="178"/>
      <c r="AG45" s="178"/>
      <c r="AH45" s="178"/>
    </row>
    <row r="46" spans="1:34" ht="15">
      <c r="A46" s="178"/>
      <c r="B46" s="178"/>
      <c r="C46" s="178"/>
      <c r="D46" s="178"/>
      <c r="E46" s="179"/>
      <c r="F46" s="179"/>
      <c r="G46" s="19"/>
      <c r="H46" s="18"/>
      <c r="I46" s="18"/>
      <c r="J46" s="19"/>
      <c r="K46" s="18"/>
      <c r="L46" s="19"/>
      <c r="M46" s="19"/>
      <c r="N46" s="181"/>
      <c r="O46" s="20"/>
      <c r="P46" s="20"/>
      <c r="Q46" s="20"/>
      <c r="R46" s="20"/>
      <c r="S46" s="20"/>
      <c r="T46" s="20"/>
      <c r="U46" s="20"/>
      <c r="V46" s="19"/>
      <c r="W46" s="181"/>
      <c r="X46" s="178"/>
      <c r="Y46" s="178"/>
      <c r="Z46" s="178"/>
      <c r="AA46" s="178"/>
      <c r="AB46" s="178"/>
      <c r="AC46" s="178"/>
      <c r="AD46" s="178"/>
      <c r="AE46" s="178"/>
      <c r="AF46" s="178"/>
      <c r="AG46" s="178"/>
      <c r="AH46" s="178"/>
    </row>
    <row r="47" spans="1:34" ht="15">
      <c r="A47" s="178"/>
      <c r="B47" s="178"/>
      <c r="C47" s="178"/>
      <c r="D47" s="178"/>
      <c r="E47" s="179"/>
      <c r="F47" s="179"/>
      <c r="G47" s="19"/>
      <c r="H47" s="18"/>
      <c r="I47" s="18"/>
      <c r="J47" s="19"/>
      <c r="K47" s="18"/>
      <c r="L47" s="19"/>
      <c r="M47" s="19"/>
      <c r="N47" s="181"/>
      <c r="O47" s="20"/>
      <c r="P47" s="20"/>
      <c r="Q47" s="20"/>
      <c r="R47" s="20"/>
      <c r="S47" s="20"/>
      <c r="T47" s="20"/>
      <c r="U47" s="20"/>
      <c r="V47" s="19"/>
      <c r="W47" s="181"/>
      <c r="X47" s="178"/>
      <c r="Y47" s="178"/>
      <c r="Z47" s="178"/>
      <c r="AA47" s="178"/>
      <c r="AB47" s="178"/>
      <c r="AC47" s="178"/>
      <c r="AD47" s="178"/>
      <c r="AE47" s="178"/>
      <c r="AF47" s="178"/>
      <c r="AG47" s="178"/>
      <c r="AH47" s="178"/>
    </row>
    <row r="48" spans="1:34" ht="15">
      <c r="A48" s="178"/>
      <c r="B48" s="178"/>
      <c r="C48" s="178"/>
      <c r="D48" s="178"/>
      <c r="E48" s="179"/>
      <c r="F48" s="179"/>
      <c r="G48" s="19"/>
      <c r="H48" s="18"/>
      <c r="I48" s="18"/>
      <c r="J48" s="19"/>
      <c r="K48" s="18"/>
      <c r="L48" s="19"/>
      <c r="M48" s="19"/>
      <c r="N48" s="181"/>
      <c r="O48" s="20"/>
      <c r="P48" s="20"/>
      <c r="Q48" s="20"/>
      <c r="R48" s="20"/>
      <c r="S48" s="20"/>
      <c r="T48" s="20"/>
      <c r="U48" s="20"/>
      <c r="V48" s="19"/>
      <c r="W48" s="181"/>
      <c r="X48" s="178"/>
      <c r="Y48" s="178"/>
      <c r="Z48" s="178"/>
      <c r="AA48" s="178"/>
      <c r="AB48" s="178"/>
      <c r="AC48" s="178"/>
      <c r="AD48" s="178"/>
      <c r="AE48" s="178"/>
      <c r="AF48" s="178"/>
      <c r="AG48" s="178"/>
      <c r="AH48" s="178"/>
    </row>
    <row r="49" spans="1:37" ht="15">
      <c r="A49" s="178"/>
      <c r="B49" s="178"/>
      <c r="C49" s="178"/>
      <c r="D49" s="178"/>
      <c r="E49" s="179"/>
      <c r="F49" s="179"/>
      <c r="G49" s="19"/>
      <c r="H49" s="18"/>
      <c r="I49" s="18"/>
      <c r="J49" s="19"/>
      <c r="K49" s="18"/>
      <c r="L49" s="19"/>
      <c r="M49" s="19"/>
      <c r="N49" s="181"/>
      <c r="O49" s="20"/>
      <c r="P49" s="20"/>
      <c r="Q49" s="20"/>
      <c r="R49" s="20"/>
      <c r="S49" s="20"/>
      <c r="T49" s="20"/>
      <c r="U49" s="20"/>
      <c r="V49" s="19"/>
      <c r="W49" s="181"/>
      <c r="X49" s="178"/>
      <c r="Y49" s="178"/>
      <c r="Z49" s="178"/>
      <c r="AA49" s="178"/>
      <c r="AB49" s="178"/>
      <c r="AC49" s="178"/>
      <c r="AD49" s="178"/>
      <c r="AE49" s="178"/>
      <c r="AF49" s="178"/>
      <c r="AG49" s="178"/>
      <c r="AH49" s="178"/>
    </row>
    <row r="50" spans="1:37" ht="15">
      <c r="A50" s="178"/>
      <c r="B50" s="178"/>
      <c r="C50" s="178"/>
      <c r="D50" s="178"/>
      <c r="E50" s="179"/>
      <c r="F50" s="179"/>
      <c r="G50" s="19"/>
      <c r="H50" s="18"/>
      <c r="I50" s="18"/>
      <c r="J50" s="19"/>
      <c r="K50" s="18"/>
      <c r="L50" s="19"/>
      <c r="M50" s="19"/>
      <c r="N50" s="181"/>
      <c r="O50" s="20"/>
      <c r="P50" s="20"/>
      <c r="Q50" s="20"/>
      <c r="R50" s="20"/>
      <c r="S50" s="20"/>
      <c r="T50" s="20"/>
      <c r="U50" s="20"/>
      <c r="V50" s="19"/>
      <c r="W50" s="181"/>
      <c r="X50" s="178"/>
      <c r="Y50" s="178"/>
      <c r="Z50" s="178"/>
      <c r="AA50" s="178"/>
      <c r="AB50" s="178"/>
      <c r="AC50" s="178"/>
      <c r="AD50" s="178"/>
      <c r="AE50" s="178"/>
      <c r="AF50" s="178"/>
      <c r="AG50" s="178"/>
      <c r="AH50" s="178"/>
    </row>
    <row r="51" spans="1:37" ht="15">
      <c r="A51" s="178"/>
      <c r="B51" s="178"/>
      <c r="C51" s="178"/>
      <c r="D51" s="178"/>
      <c r="E51" s="179"/>
      <c r="F51" s="179"/>
      <c r="G51" s="19"/>
      <c r="H51" s="18"/>
      <c r="I51" s="18"/>
      <c r="J51" s="19"/>
      <c r="K51" s="18"/>
      <c r="L51" s="19"/>
      <c r="M51" s="19"/>
      <c r="N51" s="181"/>
      <c r="O51" s="20"/>
      <c r="P51" s="20"/>
      <c r="Q51" s="20"/>
      <c r="R51" s="20"/>
      <c r="S51" s="20"/>
      <c r="T51" s="20"/>
      <c r="U51" s="20"/>
      <c r="V51" s="19"/>
      <c r="W51" s="181"/>
      <c r="X51" s="178"/>
      <c r="Y51" s="178"/>
      <c r="Z51" s="178"/>
      <c r="AA51" s="178"/>
      <c r="AB51" s="178"/>
      <c r="AC51" s="178"/>
      <c r="AD51" s="178"/>
      <c r="AE51" s="178"/>
      <c r="AF51" s="178"/>
      <c r="AG51" s="178"/>
      <c r="AH51" s="178"/>
    </row>
    <row r="52" spans="1:37" ht="15">
      <c r="A52" s="178"/>
      <c r="B52" s="178"/>
      <c r="C52" s="178"/>
      <c r="D52" s="178"/>
      <c r="E52" s="179"/>
      <c r="F52" s="179"/>
      <c r="G52" s="19"/>
      <c r="H52" s="18"/>
      <c r="I52" s="18"/>
      <c r="J52" s="19"/>
      <c r="K52" s="18"/>
      <c r="L52" s="19"/>
      <c r="M52" s="19"/>
      <c r="N52" s="181"/>
      <c r="O52" s="20"/>
      <c r="P52" s="20"/>
      <c r="Q52" s="20"/>
      <c r="R52" s="20"/>
      <c r="S52" s="20"/>
      <c r="T52" s="20"/>
      <c r="U52" s="20"/>
      <c r="V52" s="19"/>
      <c r="W52" s="181"/>
      <c r="X52" s="178"/>
      <c r="Y52" s="178"/>
      <c r="Z52" s="178"/>
      <c r="AA52" s="178"/>
      <c r="AB52" s="178"/>
      <c r="AC52" s="178"/>
      <c r="AD52" s="178"/>
      <c r="AE52" s="178"/>
      <c r="AF52" s="178"/>
      <c r="AG52" s="178"/>
      <c r="AH52" s="178"/>
    </row>
    <row r="53" spans="1:37" ht="15">
      <c r="A53" s="178"/>
      <c r="B53" s="178"/>
      <c r="C53" s="178"/>
      <c r="D53" s="178"/>
      <c r="E53" s="179"/>
      <c r="F53" s="179"/>
      <c r="G53" s="19"/>
      <c r="H53" s="18"/>
      <c r="I53" s="18"/>
      <c r="J53" s="19"/>
      <c r="K53" s="18"/>
      <c r="L53" s="19"/>
      <c r="M53" s="19"/>
      <c r="N53" s="181"/>
      <c r="O53" s="20"/>
      <c r="P53" s="20"/>
      <c r="Q53" s="20"/>
      <c r="R53" s="20"/>
      <c r="S53" s="20"/>
      <c r="T53" s="20"/>
      <c r="U53" s="20"/>
      <c r="V53" s="19"/>
      <c r="W53" s="181"/>
      <c r="X53" s="178"/>
      <c r="Y53" s="178"/>
      <c r="Z53" s="178"/>
      <c r="AA53" s="178"/>
      <c r="AB53" s="178"/>
      <c r="AC53" s="178"/>
      <c r="AD53" s="178"/>
      <c r="AE53" s="178"/>
      <c r="AF53" s="178"/>
      <c r="AG53" s="178"/>
      <c r="AH53" s="178"/>
    </row>
    <row r="54" spans="1:37" ht="15">
      <c r="A54" s="178"/>
      <c r="B54" s="178"/>
      <c r="C54" s="178"/>
      <c r="D54" s="178"/>
      <c r="E54" s="179"/>
      <c r="F54" s="179"/>
      <c r="G54" s="19"/>
      <c r="H54" s="18"/>
      <c r="I54" s="18"/>
      <c r="J54" s="19"/>
      <c r="K54" s="18"/>
      <c r="L54" s="19"/>
      <c r="M54" s="19"/>
      <c r="N54" s="181"/>
      <c r="O54" s="20"/>
      <c r="P54" s="20"/>
      <c r="Q54" s="20"/>
      <c r="R54" s="20"/>
      <c r="S54" s="20"/>
      <c r="T54" s="20"/>
      <c r="U54" s="20"/>
      <c r="V54" s="19"/>
      <c r="W54" s="181"/>
      <c r="X54" s="178"/>
      <c r="Y54" s="178"/>
      <c r="Z54" s="178"/>
      <c r="AA54" s="178"/>
      <c r="AB54" s="178"/>
      <c r="AC54" s="178"/>
      <c r="AD54" s="178"/>
      <c r="AE54" s="178"/>
      <c r="AF54" s="178"/>
      <c r="AG54" s="178"/>
      <c r="AH54" s="178"/>
    </row>
    <row r="55" spans="1:37" ht="15">
      <c r="A55" s="178"/>
      <c r="B55" s="178"/>
      <c r="C55" s="178"/>
      <c r="D55" s="178"/>
      <c r="E55" s="179"/>
      <c r="F55" s="179"/>
      <c r="G55" s="19"/>
      <c r="H55" s="18"/>
      <c r="I55" s="18"/>
      <c r="J55" s="19"/>
      <c r="K55" s="18"/>
      <c r="L55" s="19"/>
      <c r="M55" s="19"/>
      <c r="N55" s="181"/>
      <c r="O55" s="20"/>
      <c r="P55" s="20"/>
      <c r="Q55" s="20"/>
      <c r="R55" s="20"/>
      <c r="S55" s="20"/>
      <c r="T55" s="20"/>
      <c r="U55" s="20"/>
      <c r="V55" s="19"/>
      <c r="W55" s="181"/>
      <c r="X55" s="178"/>
      <c r="Y55" s="178"/>
      <c r="Z55" s="178"/>
      <c r="AA55" s="178"/>
      <c r="AB55" s="178"/>
      <c r="AC55" s="178"/>
      <c r="AD55" s="178"/>
      <c r="AE55" s="178"/>
      <c r="AF55" s="178"/>
      <c r="AG55" s="178"/>
      <c r="AH55" s="178"/>
    </row>
    <row r="56" spans="1:37" ht="15">
      <c r="A56" s="178"/>
      <c r="B56" s="178"/>
      <c r="C56" s="178"/>
      <c r="D56" s="178"/>
      <c r="E56" s="179"/>
      <c r="F56" s="179"/>
      <c r="G56" s="19"/>
      <c r="H56" s="18"/>
      <c r="I56" s="18"/>
      <c r="J56" s="19"/>
      <c r="K56" s="18"/>
      <c r="L56" s="19"/>
      <c r="M56" s="19"/>
      <c r="N56" s="181"/>
      <c r="O56" s="20"/>
      <c r="P56" s="20"/>
      <c r="Q56" s="20"/>
      <c r="R56" s="20"/>
      <c r="S56" s="20"/>
      <c r="T56" s="20"/>
      <c r="U56" s="20"/>
      <c r="V56" s="19"/>
      <c r="W56" s="181"/>
      <c r="X56" s="178"/>
      <c r="Y56" s="178"/>
      <c r="Z56" s="178"/>
      <c r="AA56" s="178"/>
      <c r="AB56" s="178"/>
      <c r="AC56" s="178"/>
      <c r="AD56" s="178"/>
      <c r="AE56" s="178"/>
      <c r="AF56" s="178"/>
      <c r="AG56" s="178"/>
      <c r="AH56" s="178"/>
    </row>
    <row r="57" spans="1:37" ht="15">
      <c r="A57" s="178"/>
      <c r="B57" s="178"/>
      <c r="C57" s="178"/>
      <c r="D57" s="178"/>
      <c r="E57" s="179"/>
      <c r="F57" s="179"/>
      <c r="G57" s="19"/>
      <c r="H57" s="18"/>
      <c r="I57" s="18"/>
      <c r="J57" s="19"/>
      <c r="K57" s="18"/>
      <c r="L57" s="19"/>
      <c r="M57" s="19"/>
      <c r="N57" s="181"/>
      <c r="O57" s="20"/>
      <c r="P57" s="20"/>
      <c r="Q57" s="20"/>
      <c r="R57" s="20"/>
      <c r="S57" s="20"/>
      <c r="T57" s="20"/>
      <c r="U57" s="20"/>
      <c r="V57" s="19"/>
      <c r="W57" s="181"/>
      <c r="X57" s="178"/>
      <c r="Y57" s="178"/>
      <c r="Z57" s="178"/>
      <c r="AA57" s="178"/>
      <c r="AB57" s="178"/>
      <c r="AC57" s="178"/>
      <c r="AD57" s="178"/>
      <c r="AE57" s="178"/>
      <c r="AF57" s="178"/>
      <c r="AG57" s="178"/>
      <c r="AH57" s="178"/>
      <c r="AI57" s="3"/>
      <c r="AJ57" s="3"/>
      <c r="AK57" s="3"/>
    </row>
    <row r="58" spans="1:37" ht="15">
      <c r="A58" s="178"/>
      <c r="B58" s="178"/>
      <c r="C58" s="178"/>
      <c r="D58" s="178"/>
      <c r="E58" s="192"/>
      <c r="F58" s="192"/>
      <c r="G58" s="192"/>
      <c r="H58" s="193"/>
      <c r="I58" s="193"/>
      <c r="J58" s="194"/>
      <c r="K58" s="193"/>
      <c r="L58" s="194"/>
      <c r="M58" s="194"/>
      <c r="N58" s="192"/>
      <c r="O58" s="195"/>
      <c r="P58" s="195"/>
      <c r="Q58" s="195"/>
      <c r="R58" s="195"/>
      <c r="S58" s="195"/>
      <c r="T58" s="195"/>
      <c r="U58" s="195"/>
      <c r="V58" s="192"/>
      <c r="W58" s="192"/>
      <c r="X58" s="196"/>
      <c r="Y58" s="196"/>
      <c r="Z58" s="196"/>
      <c r="AA58" s="196"/>
      <c r="AB58" s="196"/>
      <c r="AC58" s="196"/>
      <c r="AD58" s="196"/>
      <c r="AE58" s="196"/>
      <c r="AF58" s="196"/>
      <c r="AG58" s="196"/>
      <c r="AH58" s="196"/>
      <c r="AI58" s="3"/>
      <c r="AJ58" s="3"/>
      <c r="AK58" s="3"/>
    </row>
    <row r="59" spans="1:37" ht="15">
      <c r="A59" s="178"/>
      <c r="B59" s="178"/>
      <c r="C59" s="178"/>
      <c r="D59" s="178"/>
      <c r="E59" s="192"/>
      <c r="F59" s="192"/>
      <c r="G59" s="192"/>
      <c r="H59" s="193"/>
      <c r="I59" s="193"/>
      <c r="J59" s="194"/>
      <c r="K59" s="193"/>
      <c r="L59" s="194"/>
      <c r="M59" s="194"/>
      <c r="N59" s="192"/>
      <c r="O59" s="195"/>
      <c r="P59" s="195"/>
      <c r="Q59" s="195"/>
      <c r="R59" s="195"/>
      <c r="S59" s="195"/>
      <c r="T59" s="195"/>
      <c r="U59" s="195"/>
      <c r="V59" s="192"/>
      <c r="W59" s="192"/>
      <c r="X59" s="196"/>
      <c r="Y59" s="196"/>
      <c r="Z59" s="196"/>
      <c r="AA59" s="196"/>
      <c r="AB59" s="196"/>
      <c r="AC59" s="196"/>
      <c r="AD59" s="196"/>
      <c r="AE59" s="196"/>
      <c r="AF59" s="196"/>
      <c r="AG59" s="196"/>
      <c r="AH59" s="196"/>
      <c r="AI59" s="3"/>
      <c r="AJ59" s="3"/>
      <c r="AK59" s="3"/>
    </row>
    <row r="60" spans="1:37" ht="15">
      <c r="A60" s="178"/>
      <c r="B60" s="178"/>
      <c r="C60" s="178"/>
      <c r="D60" s="178"/>
      <c r="E60" s="192"/>
      <c r="F60" s="192"/>
      <c r="G60" s="192"/>
      <c r="H60" s="193"/>
      <c r="I60" s="193"/>
      <c r="J60" s="194"/>
      <c r="K60" s="193"/>
      <c r="L60" s="194"/>
      <c r="M60" s="194"/>
      <c r="N60" s="192"/>
      <c r="O60" s="195"/>
      <c r="P60" s="195"/>
      <c r="Q60" s="195"/>
      <c r="R60" s="195"/>
      <c r="S60" s="195"/>
      <c r="T60" s="195"/>
      <c r="U60" s="195"/>
      <c r="V60" s="192"/>
      <c r="W60" s="192"/>
      <c r="X60" s="196"/>
      <c r="Y60" s="196"/>
      <c r="Z60" s="196"/>
      <c r="AA60" s="196"/>
      <c r="AB60" s="196"/>
      <c r="AC60" s="196"/>
      <c r="AD60" s="196"/>
      <c r="AE60" s="196"/>
      <c r="AF60" s="196"/>
      <c r="AG60" s="196"/>
      <c r="AH60" s="196"/>
      <c r="AI60" s="3"/>
      <c r="AJ60" s="3"/>
      <c r="AK60" s="3"/>
    </row>
    <row r="61" spans="1:37" ht="15">
      <c r="A61" s="178"/>
      <c r="B61" s="178"/>
      <c r="C61" s="178"/>
      <c r="D61" s="178"/>
      <c r="E61" s="192"/>
      <c r="F61" s="192"/>
      <c r="G61" s="192"/>
      <c r="H61" s="193"/>
      <c r="I61" s="193"/>
      <c r="J61" s="194"/>
      <c r="K61" s="193"/>
      <c r="L61" s="194"/>
      <c r="M61" s="194"/>
      <c r="N61" s="192"/>
      <c r="O61" s="195"/>
      <c r="P61" s="195"/>
      <c r="Q61" s="195"/>
      <c r="R61" s="195"/>
      <c r="S61" s="195"/>
      <c r="T61" s="195"/>
      <c r="U61" s="195"/>
      <c r="V61" s="192"/>
      <c r="W61" s="192"/>
      <c r="X61" s="196"/>
      <c r="Y61" s="196"/>
      <c r="Z61" s="196"/>
      <c r="AA61" s="196"/>
      <c r="AB61" s="196"/>
      <c r="AC61" s="196"/>
      <c r="AD61" s="196"/>
      <c r="AE61" s="196"/>
      <c r="AF61" s="196"/>
      <c r="AG61" s="196"/>
      <c r="AH61" s="196"/>
      <c r="AI61" s="3"/>
      <c r="AJ61" s="3"/>
      <c r="AK61" s="3"/>
    </row>
    <row r="62" spans="1:37" ht="15">
      <c r="A62" s="178"/>
      <c r="B62" s="178"/>
      <c r="C62" s="178"/>
      <c r="D62" s="178"/>
      <c r="E62" s="192"/>
      <c r="F62" s="192"/>
      <c r="G62" s="192"/>
      <c r="H62" s="193"/>
      <c r="I62" s="193"/>
      <c r="J62" s="193"/>
      <c r="K62" s="193">
        <v>700014151379</v>
      </c>
      <c r="L62" s="193"/>
      <c r="M62" s="193"/>
      <c r="N62" s="192"/>
      <c r="O62" s="195"/>
      <c r="P62" s="195"/>
      <c r="Q62" s="195"/>
      <c r="R62" s="195"/>
      <c r="S62" s="195"/>
      <c r="T62" s="195"/>
      <c r="U62" s="195"/>
      <c r="V62" s="192"/>
      <c r="W62" s="192"/>
      <c r="X62" s="196"/>
      <c r="Y62" s="196"/>
      <c r="Z62" s="196"/>
      <c r="AA62" s="196"/>
      <c r="AB62" s="196"/>
      <c r="AC62" s="196"/>
      <c r="AD62" s="196"/>
      <c r="AE62" s="196"/>
      <c r="AF62" s="196"/>
      <c r="AG62" s="196"/>
      <c r="AH62" s="196"/>
      <c r="AI62" s="3"/>
      <c r="AJ62" s="3"/>
      <c r="AK62" s="3"/>
    </row>
  </sheetData>
  <protectedRanges>
    <protectedRange sqref="H5:I57 K5:K57" name="Rango1_1"/>
  </protectedRanges>
  <autoFilter ref="A4:AK4"/>
  <mergeCells count="18">
    <mergeCell ref="R3:S3"/>
    <mergeCell ref="T3:U3"/>
    <mergeCell ref="P2:U2"/>
    <mergeCell ref="O1:W1"/>
    <mergeCell ref="N2:O2"/>
    <mergeCell ref="V2:W2"/>
    <mergeCell ref="V3:W3"/>
    <mergeCell ref="AF3:AG3"/>
    <mergeCell ref="AD3:AE3"/>
    <mergeCell ref="AB2:AC2"/>
    <mergeCell ref="X2:AA2"/>
    <mergeCell ref="AD2:AH2"/>
    <mergeCell ref="X3:Y3"/>
    <mergeCell ref="N3:O3"/>
    <mergeCell ref="P3:Q3"/>
    <mergeCell ref="F1:M1"/>
    <mergeCell ref="F2:M2"/>
    <mergeCell ref="F3:M3"/>
  </mergeCells>
  <phoneticPr fontId="0" type="noConversion"/>
  <conditionalFormatting sqref="E5:F17 E26:F57">
    <cfRule type="expression" dxfId="21" priority="108" stopIfTrue="1">
      <formula>"SEVERSTAL"</formula>
    </cfRule>
  </conditionalFormatting>
  <conditionalFormatting sqref="H5:I14 K5:K14 H20:I57 K20:K57">
    <cfRule type="cellIs" dxfId="20" priority="109" stopIfTrue="1" operator="equal">
      <formula>"APROBADO"</formula>
    </cfRule>
    <cfRule type="cellIs" dxfId="19" priority="110" stopIfTrue="1" operator="equal">
      <formula>"ESPERA"</formula>
    </cfRule>
    <cfRule type="cellIs" dxfId="18" priority="111" stopIfTrue="1" operator="equal">
      <formula>"RECHAZADO"</formula>
    </cfRule>
  </conditionalFormatting>
  <conditionalFormatting sqref="H15:I17 K15:K17">
    <cfRule type="cellIs" dxfId="17" priority="5" stopIfTrue="1" operator="equal">
      <formula>"APROBADO"</formula>
    </cfRule>
    <cfRule type="cellIs" dxfId="16" priority="6" stopIfTrue="1" operator="equal">
      <formula>"ESPERA"</formula>
    </cfRule>
    <cfRule type="cellIs" dxfId="15" priority="7" stopIfTrue="1" operator="equal">
      <formula>"RECHAZADO"</formula>
    </cfRule>
  </conditionalFormatting>
  <conditionalFormatting sqref="E18:F25">
    <cfRule type="expression" dxfId="14" priority="4" stopIfTrue="1">
      <formula>"SEVERSTAL"</formula>
    </cfRule>
  </conditionalFormatting>
  <conditionalFormatting sqref="K18:K19 H18:I19">
    <cfRule type="cellIs" dxfId="13" priority="1" stopIfTrue="1" operator="equal">
      <formula>"APROBADO"</formula>
    </cfRule>
    <cfRule type="cellIs" dxfId="12" priority="2" stopIfTrue="1" operator="equal">
      <formula>"ESPERA"</formula>
    </cfRule>
    <cfRule type="cellIs" dxfId="11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49"/>
  <sheetViews>
    <sheetView showGridLines="0" zoomScale="90" zoomScaleNormal="90" workbookViewId="0">
      <pane xSplit="7" ySplit="6" topLeftCell="H7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0.625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9.375" customWidth="1"/>
    <col min="7" max="7" width="8.75" customWidth="1"/>
    <col min="8" max="8" width="12.875" customWidth="1"/>
    <col min="9" max="22" width="6.625" customWidth="1"/>
    <col min="23" max="23" width="10.25" customWidth="1"/>
    <col min="24" max="24" width="6.625" customWidth="1"/>
    <col min="25" max="25" width="11.875" customWidth="1"/>
    <col min="26" max="33" width="6.625" customWidth="1"/>
  </cols>
  <sheetData>
    <row r="1" spans="1:33" ht="27" customHeight="1">
      <c r="A1" s="23"/>
      <c r="B1" s="23"/>
      <c r="C1" s="23"/>
      <c r="D1" s="23"/>
      <c r="E1" s="23"/>
      <c r="F1" s="23"/>
      <c r="G1" s="23" t="s">
        <v>55</v>
      </c>
      <c r="H1" s="121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4"/>
      <c r="AG1" s="23"/>
    </row>
    <row r="2" spans="1:33" ht="30.75">
      <c r="A2" s="24"/>
      <c r="B2" s="25"/>
      <c r="C2" s="25"/>
      <c r="D2" s="25"/>
      <c r="E2" s="23"/>
      <c r="F2" s="26"/>
      <c r="G2" s="26"/>
      <c r="H2" s="122"/>
      <c r="I2" s="27"/>
      <c r="J2" s="28" t="s">
        <v>93</v>
      </c>
      <c r="K2" s="28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3"/>
      <c r="X2" s="23"/>
      <c r="Y2" s="23"/>
      <c r="Z2" s="23"/>
      <c r="AA2" s="23"/>
      <c r="AB2" s="23"/>
      <c r="AC2" s="23"/>
      <c r="AD2" s="23"/>
      <c r="AE2" s="23"/>
      <c r="AF2" s="24"/>
      <c r="AG2" s="23"/>
    </row>
    <row r="3" spans="1:33" ht="16.5" customHeight="1">
      <c r="A3" s="29"/>
      <c r="B3" s="29"/>
      <c r="C3" s="29"/>
      <c r="D3" s="29"/>
      <c r="E3" s="37"/>
      <c r="F3" s="237"/>
      <c r="G3" s="237"/>
      <c r="H3" s="123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3"/>
      <c r="X3" s="143"/>
      <c r="Y3" s="143"/>
      <c r="Z3" s="134"/>
      <c r="AA3" s="135"/>
      <c r="AB3" s="135"/>
      <c r="AC3" s="136" t="s">
        <v>101</v>
      </c>
      <c r="AD3" s="136" t="s">
        <v>102</v>
      </c>
      <c r="AE3" s="136" t="s">
        <v>103</v>
      </c>
      <c r="AF3" s="137" t="s">
        <v>104</v>
      </c>
      <c r="AG3" s="145"/>
    </row>
    <row r="4" spans="1:33" ht="26.25" customHeight="1">
      <c r="A4" s="24"/>
      <c r="B4" s="24"/>
      <c r="C4" s="24"/>
      <c r="D4" s="24"/>
      <c r="E4" s="24"/>
      <c r="F4" s="30"/>
      <c r="G4" s="24"/>
      <c r="H4" s="124"/>
      <c r="I4" s="239" t="s">
        <v>56</v>
      </c>
      <c r="J4" s="239"/>
      <c r="K4" s="239"/>
      <c r="L4" s="239"/>
      <c r="M4" s="239"/>
      <c r="N4" s="239"/>
      <c r="O4" s="239"/>
      <c r="P4" s="238" t="s">
        <v>57</v>
      </c>
      <c r="Q4" s="238"/>
      <c r="R4" s="238"/>
      <c r="S4" s="238"/>
      <c r="T4" s="238"/>
      <c r="U4" s="238"/>
      <c r="V4" s="109"/>
      <c r="W4" s="23"/>
      <c r="X4" s="144"/>
      <c r="Y4" s="144"/>
      <c r="Z4" s="138"/>
      <c r="AA4" s="138"/>
      <c r="AB4" s="139" t="s">
        <v>105</v>
      </c>
      <c r="AC4" s="140">
        <v>135</v>
      </c>
      <c r="AD4" s="141">
        <f>22*AC4/60</f>
        <v>49.5</v>
      </c>
      <c r="AE4" s="141">
        <f>3600/AC4</f>
        <v>26.666666666666668</v>
      </c>
      <c r="AF4" s="142">
        <f>AE4*8</f>
        <v>213.33333333333334</v>
      </c>
      <c r="AG4" s="141"/>
    </row>
    <row r="5" spans="1:33" ht="21" customHeight="1">
      <c r="A5" s="31"/>
      <c r="B5" s="24"/>
      <c r="C5" s="24"/>
      <c r="D5" s="24"/>
      <c r="E5" s="24"/>
      <c r="F5" s="32"/>
      <c r="G5" s="33"/>
      <c r="H5" s="123"/>
      <c r="I5" s="241" t="s">
        <v>8</v>
      </c>
      <c r="J5" s="242"/>
      <c r="K5" s="240" t="s">
        <v>9</v>
      </c>
      <c r="L5" s="241"/>
      <c r="M5" s="241"/>
      <c r="N5" s="241"/>
      <c r="O5" s="242"/>
      <c r="P5" s="240" t="s">
        <v>13</v>
      </c>
      <c r="Q5" s="242"/>
      <c r="R5" s="240" t="s">
        <v>9</v>
      </c>
      <c r="S5" s="241"/>
      <c r="T5" s="241"/>
      <c r="U5" s="241"/>
      <c r="V5" s="110"/>
      <c r="W5" s="34"/>
      <c r="X5" s="144"/>
      <c r="Y5" s="144"/>
      <c r="Z5" s="138"/>
      <c r="AA5" s="138"/>
      <c r="AB5" s="139" t="s">
        <v>106</v>
      </c>
      <c r="AC5" s="140">
        <f>AC4</f>
        <v>135</v>
      </c>
      <c r="AD5" s="141">
        <f>34*AC5/60</f>
        <v>76.5</v>
      </c>
      <c r="AE5" s="141">
        <f>3600/AC5</f>
        <v>26.666666666666668</v>
      </c>
      <c r="AF5" s="142">
        <f>AE5*8</f>
        <v>213.33333333333334</v>
      </c>
      <c r="AG5" s="141"/>
    </row>
    <row r="6" spans="1:33" ht="56.25" customHeight="1">
      <c r="A6" s="22" t="s">
        <v>1</v>
      </c>
      <c r="B6" s="22" t="s">
        <v>4</v>
      </c>
      <c r="C6" s="22" t="s">
        <v>58</v>
      </c>
      <c r="D6" s="22" t="s">
        <v>117</v>
      </c>
      <c r="E6" s="22" t="s">
        <v>3</v>
      </c>
      <c r="F6" s="22" t="s">
        <v>5</v>
      </c>
      <c r="G6" s="22" t="s">
        <v>12</v>
      </c>
      <c r="H6" s="125" t="s">
        <v>70</v>
      </c>
      <c r="I6" s="22" t="s">
        <v>7</v>
      </c>
      <c r="J6" s="22" t="s">
        <v>63</v>
      </c>
      <c r="K6" s="22" t="s">
        <v>62</v>
      </c>
      <c r="L6" s="22" t="s">
        <v>10</v>
      </c>
      <c r="M6" s="22" t="s">
        <v>11</v>
      </c>
      <c r="N6" s="22" t="s">
        <v>16</v>
      </c>
      <c r="O6" s="22" t="s">
        <v>64</v>
      </c>
      <c r="P6" s="22" t="s">
        <v>65</v>
      </c>
      <c r="Q6" s="22" t="s">
        <v>7</v>
      </c>
      <c r="R6" s="22" t="s">
        <v>10</v>
      </c>
      <c r="S6" s="22" t="s">
        <v>11</v>
      </c>
      <c r="T6" s="22" t="s">
        <v>16</v>
      </c>
      <c r="U6" s="22" t="s">
        <v>66</v>
      </c>
      <c r="V6" s="22" t="s">
        <v>62</v>
      </c>
      <c r="W6" s="22" t="s">
        <v>0</v>
      </c>
      <c r="X6" s="22" t="s">
        <v>6</v>
      </c>
      <c r="Y6" s="22" t="s">
        <v>53</v>
      </c>
      <c r="Z6" s="22" t="s">
        <v>61</v>
      </c>
      <c r="AA6" s="22" t="s">
        <v>87</v>
      </c>
      <c r="AB6" s="22" t="s">
        <v>69</v>
      </c>
      <c r="AC6" s="22" t="s">
        <v>60</v>
      </c>
      <c r="AD6" s="22" t="s">
        <v>59</v>
      </c>
      <c r="AE6" s="22" t="s">
        <v>52</v>
      </c>
      <c r="AF6" s="21" t="s">
        <v>71</v>
      </c>
      <c r="AG6" s="22" t="s">
        <v>54</v>
      </c>
    </row>
    <row r="7" spans="1:33" ht="15.75">
      <c r="A7" s="206">
        <v>43122</v>
      </c>
      <c r="B7" s="36">
        <v>2</v>
      </c>
      <c r="C7" s="36">
        <v>2412051</v>
      </c>
      <c r="D7" s="36" t="s">
        <v>92</v>
      </c>
      <c r="E7" s="112">
        <v>90299</v>
      </c>
      <c r="F7" s="36">
        <v>4679</v>
      </c>
      <c r="G7" s="113">
        <v>26</v>
      </c>
      <c r="H7" s="126" t="s">
        <v>94</v>
      </c>
      <c r="I7" s="114">
        <v>0</v>
      </c>
      <c r="J7" s="115">
        <v>1</v>
      </c>
      <c r="K7" s="120">
        <v>0</v>
      </c>
      <c r="L7" s="116">
        <v>0</v>
      </c>
      <c r="M7" s="114">
        <v>0</v>
      </c>
      <c r="N7" s="117">
        <v>0</v>
      </c>
      <c r="O7" s="113">
        <v>0</v>
      </c>
      <c r="P7" s="116">
        <v>1</v>
      </c>
      <c r="Q7" s="113">
        <v>0</v>
      </c>
      <c r="R7" s="116">
        <v>0</v>
      </c>
      <c r="S7" s="114">
        <v>0</v>
      </c>
      <c r="T7" s="117">
        <v>0</v>
      </c>
      <c r="U7" s="116">
        <v>0</v>
      </c>
      <c r="V7" s="116">
        <v>0</v>
      </c>
      <c r="W7" s="35">
        <f t="shared" ref="W7" si="0">+G7-(SUM(I7:N7,P7,Q7,R7,S7,T7,V7))</f>
        <v>24</v>
      </c>
      <c r="X7" s="118"/>
      <c r="Y7" s="133" t="s">
        <v>97</v>
      </c>
      <c r="Z7" s="118"/>
      <c r="AA7" s="118"/>
      <c r="AB7" s="118"/>
      <c r="AC7" s="118"/>
      <c r="AD7" s="127">
        <f>W7-SUM(Y7:AC7)</f>
        <v>24</v>
      </c>
      <c r="AE7" s="119"/>
      <c r="AF7" s="120"/>
      <c r="AG7" s="112"/>
    </row>
    <row r="8" spans="1:33" ht="15.75">
      <c r="A8" s="206">
        <v>43122</v>
      </c>
      <c r="B8" s="36">
        <v>3</v>
      </c>
      <c r="C8" s="36">
        <v>2412051</v>
      </c>
      <c r="D8" s="36" t="s">
        <v>92</v>
      </c>
      <c r="E8" s="112">
        <v>90299</v>
      </c>
      <c r="F8" s="36">
        <v>4679</v>
      </c>
      <c r="G8" s="113">
        <v>74</v>
      </c>
      <c r="H8" s="126" t="s">
        <v>94</v>
      </c>
      <c r="I8" s="114">
        <v>0</v>
      </c>
      <c r="J8" s="115">
        <v>0</v>
      </c>
      <c r="K8" s="120">
        <v>0</v>
      </c>
      <c r="L8" s="116">
        <v>0</v>
      </c>
      <c r="M8" s="114">
        <v>0</v>
      </c>
      <c r="N8" s="117">
        <v>0</v>
      </c>
      <c r="O8" s="113">
        <v>0</v>
      </c>
      <c r="P8" s="116">
        <v>0</v>
      </c>
      <c r="Q8" s="113">
        <v>0</v>
      </c>
      <c r="R8" s="116">
        <v>0</v>
      </c>
      <c r="S8" s="114">
        <v>0</v>
      </c>
      <c r="T8" s="117">
        <v>0</v>
      </c>
      <c r="U8" s="116">
        <v>0</v>
      </c>
      <c r="V8" s="116">
        <v>0</v>
      </c>
      <c r="W8" s="35">
        <f t="shared" ref="W8" si="1">+G8-(SUM(I8:N8,P8,Q8,R8,S8,T8,V8))</f>
        <v>74</v>
      </c>
      <c r="X8" s="118"/>
      <c r="Y8" s="133" t="s">
        <v>97</v>
      </c>
      <c r="Z8" s="118"/>
      <c r="AA8" s="118"/>
      <c r="AB8" s="118"/>
      <c r="AC8" s="118"/>
      <c r="AD8" s="127">
        <f>W8-SUM(Y8:AC8)</f>
        <v>74</v>
      </c>
      <c r="AE8" s="119"/>
      <c r="AF8" s="120"/>
      <c r="AG8" s="112"/>
    </row>
    <row r="9" spans="1:33" ht="15.75">
      <c r="A9" s="206">
        <v>43122</v>
      </c>
      <c r="B9" s="36">
        <v>3</v>
      </c>
      <c r="C9" s="36">
        <v>2412051</v>
      </c>
      <c r="D9" s="36" t="s">
        <v>92</v>
      </c>
      <c r="E9" s="112">
        <v>90299</v>
      </c>
      <c r="F9" s="36">
        <v>4680</v>
      </c>
      <c r="G9" s="113">
        <v>12</v>
      </c>
      <c r="H9" s="126" t="s">
        <v>95</v>
      </c>
      <c r="I9" s="114">
        <v>0</v>
      </c>
      <c r="J9" s="115">
        <v>0</v>
      </c>
      <c r="K9" s="120">
        <v>0</v>
      </c>
      <c r="L9" s="116">
        <v>0</v>
      </c>
      <c r="M9" s="114">
        <v>0</v>
      </c>
      <c r="N9" s="117">
        <v>0</v>
      </c>
      <c r="O9" s="113">
        <v>1</v>
      </c>
      <c r="P9" s="116">
        <v>1</v>
      </c>
      <c r="Q9" s="113">
        <v>0</v>
      </c>
      <c r="R9" s="116">
        <v>0</v>
      </c>
      <c r="S9" s="114">
        <v>0</v>
      </c>
      <c r="T9" s="117">
        <v>0</v>
      </c>
      <c r="U9" s="116">
        <v>0</v>
      </c>
      <c r="V9" s="116">
        <v>0</v>
      </c>
      <c r="W9" s="35">
        <f t="shared" ref="W9" si="2">+G9-(SUM(I9:N9,P9,Q9,R9,S9,T9,V9))</f>
        <v>11</v>
      </c>
      <c r="X9" s="118"/>
      <c r="Y9" s="133" t="s">
        <v>97</v>
      </c>
      <c r="Z9" s="118"/>
      <c r="AA9" s="118"/>
      <c r="AB9" s="118"/>
      <c r="AC9" s="118"/>
      <c r="AD9" s="127">
        <f>W9-SUM(Y9:AC9)</f>
        <v>11</v>
      </c>
      <c r="AE9" s="119"/>
      <c r="AF9" s="120"/>
      <c r="AG9" s="112"/>
    </row>
    <row r="10" spans="1:33" ht="15.75">
      <c r="A10" s="206">
        <v>43126</v>
      </c>
      <c r="B10" s="36">
        <v>2</v>
      </c>
      <c r="C10" s="36">
        <v>2412051</v>
      </c>
      <c r="D10" s="36" t="s">
        <v>92</v>
      </c>
      <c r="E10" s="112">
        <v>90299</v>
      </c>
      <c r="F10" s="36">
        <v>4750</v>
      </c>
      <c r="G10" s="113">
        <v>50</v>
      </c>
      <c r="H10" s="126" t="s">
        <v>96</v>
      </c>
      <c r="I10" s="114">
        <v>0</v>
      </c>
      <c r="J10" s="115">
        <v>0</v>
      </c>
      <c r="K10" s="120">
        <v>0</v>
      </c>
      <c r="L10" s="116">
        <v>0</v>
      </c>
      <c r="M10" s="114">
        <v>0</v>
      </c>
      <c r="N10" s="117">
        <v>0</v>
      </c>
      <c r="O10" s="113">
        <v>0</v>
      </c>
      <c r="P10" s="116">
        <v>1</v>
      </c>
      <c r="Q10" s="113">
        <v>0</v>
      </c>
      <c r="R10" s="116">
        <v>0</v>
      </c>
      <c r="S10" s="114">
        <v>0</v>
      </c>
      <c r="T10" s="117">
        <v>0</v>
      </c>
      <c r="U10" s="116">
        <v>0</v>
      </c>
      <c r="V10" s="116">
        <v>0</v>
      </c>
      <c r="W10" s="35">
        <f t="shared" ref="W10:W22" si="3">+G10-(SUM(I10:N10,P10,Q10,R10,S10,T10,V10))</f>
        <v>49</v>
      </c>
      <c r="X10" s="118"/>
      <c r="Y10" s="133" t="s">
        <v>97</v>
      </c>
      <c r="Z10" s="118"/>
      <c r="AA10" s="118"/>
      <c r="AB10" s="118"/>
      <c r="AC10" s="118"/>
      <c r="AD10" s="127">
        <f t="shared" ref="AD10:AD19" si="4">W10-SUM(Y10:AC10)</f>
        <v>49</v>
      </c>
      <c r="AE10" s="119"/>
      <c r="AF10" s="120"/>
      <c r="AG10" s="112"/>
    </row>
    <row r="11" spans="1:33" ht="15.75">
      <c r="A11" s="206">
        <v>43126</v>
      </c>
      <c r="B11" s="36">
        <v>1</v>
      </c>
      <c r="C11" s="36">
        <v>2412051</v>
      </c>
      <c r="D11" s="36" t="s">
        <v>92</v>
      </c>
      <c r="E11" s="112">
        <v>90299</v>
      </c>
      <c r="F11" s="36">
        <v>4756</v>
      </c>
      <c r="G11" s="113">
        <v>59</v>
      </c>
      <c r="H11" s="126" t="s">
        <v>98</v>
      </c>
      <c r="I11" s="114">
        <v>0</v>
      </c>
      <c r="J11" s="115">
        <v>0</v>
      </c>
      <c r="K11" s="120">
        <v>0</v>
      </c>
      <c r="L11" s="116">
        <v>0</v>
      </c>
      <c r="M11" s="114">
        <v>0</v>
      </c>
      <c r="N11" s="117">
        <v>0</v>
      </c>
      <c r="O11" s="113">
        <v>0</v>
      </c>
      <c r="P11" s="116">
        <v>1</v>
      </c>
      <c r="Q11" s="113">
        <v>0</v>
      </c>
      <c r="R11" s="116">
        <v>0</v>
      </c>
      <c r="S11" s="114">
        <v>0</v>
      </c>
      <c r="T11" s="117">
        <v>0</v>
      </c>
      <c r="U11" s="116">
        <v>0</v>
      </c>
      <c r="V11" s="116">
        <v>0</v>
      </c>
      <c r="W11" s="35">
        <f t="shared" si="3"/>
        <v>58</v>
      </c>
      <c r="X11" s="118"/>
      <c r="Y11" s="133" t="s">
        <v>97</v>
      </c>
      <c r="Z11" s="118"/>
      <c r="AA11" s="118"/>
      <c r="AB11" s="118"/>
      <c r="AC11" s="118"/>
      <c r="AD11" s="127">
        <f t="shared" si="4"/>
        <v>58</v>
      </c>
      <c r="AE11" s="119"/>
      <c r="AF11" s="120"/>
      <c r="AG11" s="112"/>
    </row>
    <row r="12" spans="1:33" ht="15.75">
      <c r="A12" s="207">
        <v>43134</v>
      </c>
      <c r="B12" s="36">
        <v>3</v>
      </c>
      <c r="C12" s="36">
        <v>2412051</v>
      </c>
      <c r="D12" s="36" t="s">
        <v>92</v>
      </c>
      <c r="E12" s="112">
        <v>90299</v>
      </c>
      <c r="F12" s="36">
        <v>4758</v>
      </c>
      <c r="G12" s="114">
        <v>64</v>
      </c>
      <c r="H12" s="236" t="s">
        <v>99</v>
      </c>
      <c r="I12" s="114">
        <v>0</v>
      </c>
      <c r="J12" s="115">
        <v>0</v>
      </c>
      <c r="K12" s="202">
        <v>0</v>
      </c>
      <c r="L12" s="201">
        <v>0</v>
      </c>
      <c r="M12" s="114">
        <v>0</v>
      </c>
      <c r="N12" s="114">
        <v>0</v>
      </c>
      <c r="O12" s="113">
        <v>0</v>
      </c>
      <c r="P12" s="116">
        <v>0</v>
      </c>
      <c r="Q12" s="113">
        <v>0</v>
      </c>
      <c r="R12" s="116">
        <v>0</v>
      </c>
      <c r="S12" s="114">
        <v>0</v>
      </c>
      <c r="T12" s="117">
        <v>0</v>
      </c>
      <c r="U12" s="151">
        <v>0</v>
      </c>
      <c r="V12" s="116">
        <v>0</v>
      </c>
      <c r="W12" s="35">
        <f t="shared" si="3"/>
        <v>64</v>
      </c>
      <c r="X12" s="118"/>
      <c r="Y12" s="118"/>
      <c r="Z12" s="118">
        <v>1</v>
      </c>
      <c r="AA12" s="118"/>
      <c r="AB12" s="118"/>
      <c r="AC12" s="118"/>
      <c r="AD12" s="127">
        <f t="shared" si="4"/>
        <v>63</v>
      </c>
      <c r="AE12" s="119"/>
      <c r="AF12" s="120"/>
      <c r="AG12" s="112"/>
    </row>
    <row r="13" spans="1:33" ht="15.75">
      <c r="A13" s="207">
        <v>43135</v>
      </c>
      <c r="B13" s="36">
        <v>1</v>
      </c>
      <c r="C13" s="36">
        <v>2412051</v>
      </c>
      <c r="D13" s="36" t="s">
        <v>92</v>
      </c>
      <c r="E13" s="112">
        <v>90299</v>
      </c>
      <c r="F13" s="36">
        <v>4758</v>
      </c>
      <c r="G13" s="114">
        <v>36</v>
      </c>
      <c r="H13" s="236"/>
      <c r="I13" s="114">
        <v>0</v>
      </c>
      <c r="J13" s="115">
        <v>0</v>
      </c>
      <c r="K13" s="202">
        <v>0</v>
      </c>
      <c r="L13" s="201">
        <v>0</v>
      </c>
      <c r="M13" s="114">
        <v>0</v>
      </c>
      <c r="N13" s="114">
        <v>0</v>
      </c>
      <c r="O13" s="148">
        <v>0</v>
      </c>
      <c r="P13" s="151">
        <v>1</v>
      </c>
      <c r="Q13" s="148">
        <v>0</v>
      </c>
      <c r="R13" s="151">
        <v>0</v>
      </c>
      <c r="S13" s="149">
        <v>0</v>
      </c>
      <c r="T13" s="152">
        <v>0</v>
      </c>
      <c r="U13" s="205">
        <v>0</v>
      </c>
      <c r="V13" s="203">
        <v>0</v>
      </c>
      <c r="W13" s="153">
        <f t="shared" ref="W13" si="5">+G13-(SUM(I13:N13,P13,Q13,R13,S13,T13,V13))</f>
        <v>35</v>
      </c>
      <c r="X13" s="154"/>
      <c r="Y13" s="154"/>
      <c r="Z13" s="154"/>
      <c r="AA13" s="154"/>
      <c r="AB13" s="154"/>
      <c r="AC13" s="154"/>
      <c r="AD13" s="155">
        <f t="shared" ref="AD13" si="6">W13-SUM(Y13:AC13)</f>
        <v>35</v>
      </c>
      <c r="AE13" s="156"/>
      <c r="AF13" s="150"/>
      <c r="AG13" s="147"/>
    </row>
    <row r="14" spans="1:33" ht="15.75">
      <c r="A14" s="207">
        <v>43135</v>
      </c>
      <c r="B14" s="36">
        <v>1</v>
      </c>
      <c r="C14" s="36">
        <v>2412051</v>
      </c>
      <c r="D14" s="36" t="s">
        <v>92</v>
      </c>
      <c r="E14" s="112">
        <v>90299</v>
      </c>
      <c r="F14" s="36">
        <v>4759</v>
      </c>
      <c r="G14" s="114">
        <v>8</v>
      </c>
      <c r="H14" s="199" t="s">
        <v>100</v>
      </c>
      <c r="I14" s="114">
        <v>0</v>
      </c>
      <c r="J14" s="115">
        <v>0</v>
      </c>
      <c r="K14" s="202">
        <v>0</v>
      </c>
      <c r="L14" s="201">
        <v>0</v>
      </c>
      <c r="M14" s="114">
        <v>0</v>
      </c>
      <c r="N14" s="114">
        <v>0</v>
      </c>
      <c r="O14" s="117">
        <v>0</v>
      </c>
      <c r="P14" s="116">
        <v>0</v>
      </c>
      <c r="Q14" s="113">
        <v>0</v>
      </c>
      <c r="R14" s="201">
        <v>0</v>
      </c>
      <c r="S14" s="114">
        <v>0</v>
      </c>
      <c r="T14" s="117">
        <v>0</v>
      </c>
      <c r="U14" s="205">
        <v>0</v>
      </c>
      <c r="V14" s="205">
        <v>0</v>
      </c>
      <c r="W14" s="204">
        <v>8</v>
      </c>
      <c r="X14" s="118"/>
      <c r="Y14" s="118"/>
      <c r="Z14" s="118"/>
      <c r="AA14" s="118"/>
      <c r="AB14" s="118"/>
      <c r="AC14" s="118"/>
      <c r="AD14" s="200">
        <v>8</v>
      </c>
      <c r="AE14" s="119"/>
      <c r="AF14" s="198"/>
      <c r="AG14" s="112"/>
    </row>
    <row r="15" spans="1:33" ht="15.75">
      <c r="A15" s="207">
        <v>43145</v>
      </c>
      <c r="B15" s="36">
        <v>1</v>
      </c>
      <c r="C15" s="36">
        <v>2412051</v>
      </c>
      <c r="D15" s="36" t="s">
        <v>92</v>
      </c>
      <c r="E15" s="112">
        <v>90299</v>
      </c>
      <c r="F15" s="36">
        <v>4866</v>
      </c>
      <c r="G15" s="114">
        <v>68</v>
      </c>
      <c r="H15" s="234" t="s">
        <v>107</v>
      </c>
      <c r="I15" s="114">
        <v>0</v>
      </c>
      <c r="J15" s="115">
        <v>0</v>
      </c>
      <c r="K15" s="202">
        <v>0</v>
      </c>
      <c r="L15" s="201">
        <v>0</v>
      </c>
      <c r="M15" s="114">
        <v>0</v>
      </c>
      <c r="N15" s="114">
        <v>0</v>
      </c>
      <c r="O15" s="158">
        <v>0</v>
      </c>
      <c r="P15" s="161">
        <v>1</v>
      </c>
      <c r="Q15" s="158">
        <v>0</v>
      </c>
      <c r="R15" s="161">
        <v>0</v>
      </c>
      <c r="S15" s="159">
        <v>0</v>
      </c>
      <c r="T15" s="162">
        <v>0</v>
      </c>
      <c r="U15" s="161">
        <v>0</v>
      </c>
      <c r="V15" s="161">
        <v>0</v>
      </c>
      <c r="W15" s="163">
        <f t="shared" si="3"/>
        <v>67</v>
      </c>
      <c r="X15" s="164"/>
      <c r="Y15" s="164"/>
      <c r="Z15" s="164">
        <v>1</v>
      </c>
      <c r="AA15" s="164"/>
      <c r="AB15" s="164"/>
      <c r="AC15" s="164"/>
      <c r="AD15" s="127">
        <f t="shared" si="4"/>
        <v>66</v>
      </c>
      <c r="AE15" s="165"/>
      <c r="AF15" s="160"/>
      <c r="AG15" s="157"/>
    </row>
    <row r="16" spans="1:33" ht="15.75">
      <c r="A16" s="207">
        <v>43145</v>
      </c>
      <c r="B16" s="36">
        <v>2</v>
      </c>
      <c r="C16" s="36">
        <v>2412051</v>
      </c>
      <c r="D16" s="36" t="s">
        <v>92</v>
      </c>
      <c r="E16" s="112">
        <v>90299</v>
      </c>
      <c r="F16" s="36">
        <v>4866</v>
      </c>
      <c r="G16" s="114">
        <v>32</v>
      </c>
      <c r="H16" s="235"/>
      <c r="I16" s="114">
        <v>0</v>
      </c>
      <c r="J16" s="115">
        <v>0</v>
      </c>
      <c r="K16" s="202">
        <v>0</v>
      </c>
      <c r="L16" s="201">
        <v>0</v>
      </c>
      <c r="M16" s="114">
        <v>0</v>
      </c>
      <c r="N16" s="114">
        <v>0</v>
      </c>
      <c r="O16" s="113">
        <v>0</v>
      </c>
      <c r="P16" s="116">
        <v>0</v>
      </c>
      <c r="Q16" s="113">
        <v>0</v>
      </c>
      <c r="R16" s="116">
        <v>0</v>
      </c>
      <c r="S16" s="114">
        <v>0</v>
      </c>
      <c r="T16" s="117">
        <v>0</v>
      </c>
      <c r="U16" s="116">
        <v>0</v>
      </c>
      <c r="V16" s="116">
        <v>0</v>
      </c>
      <c r="W16" s="35">
        <f t="shared" si="3"/>
        <v>32</v>
      </c>
      <c r="X16" s="118"/>
      <c r="Y16" s="118"/>
      <c r="Z16" s="118"/>
      <c r="AA16" s="118"/>
      <c r="AB16" s="118"/>
      <c r="AC16" s="118"/>
      <c r="AD16" s="127">
        <f t="shared" si="4"/>
        <v>32</v>
      </c>
      <c r="AE16" s="119"/>
      <c r="AF16" s="120"/>
      <c r="AG16" s="112"/>
    </row>
    <row r="17" spans="1:33" ht="15.75">
      <c r="A17" s="207">
        <v>43145</v>
      </c>
      <c r="B17" s="36">
        <v>2</v>
      </c>
      <c r="C17" s="36">
        <v>2412051</v>
      </c>
      <c r="D17" s="36" t="s">
        <v>92</v>
      </c>
      <c r="E17" s="112">
        <v>90299</v>
      </c>
      <c r="F17" s="36">
        <v>4867</v>
      </c>
      <c r="G17" s="114">
        <v>10</v>
      </c>
      <c r="H17" s="199" t="s">
        <v>121</v>
      </c>
      <c r="I17" s="114">
        <v>0</v>
      </c>
      <c r="J17" s="115">
        <v>0</v>
      </c>
      <c r="K17" s="202">
        <v>0</v>
      </c>
      <c r="L17" s="201">
        <v>0</v>
      </c>
      <c r="M17" s="114">
        <v>0</v>
      </c>
      <c r="N17" s="114">
        <v>0</v>
      </c>
      <c r="O17" s="113">
        <v>0</v>
      </c>
      <c r="P17" s="116">
        <v>0</v>
      </c>
      <c r="Q17" s="113">
        <v>0</v>
      </c>
      <c r="R17" s="116">
        <v>0</v>
      </c>
      <c r="S17" s="114">
        <v>0</v>
      </c>
      <c r="T17" s="117">
        <v>0</v>
      </c>
      <c r="U17" s="116">
        <v>0</v>
      </c>
      <c r="V17" s="116">
        <v>0</v>
      </c>
      <c r="W17" s="35">
        <f t="shared" si="3"/>
        <v>10</v>
      </c>
      <c r="X17" s="118"/>
      <c r="Y17" s="118"/>
      <c r="Z17" s="118"/>
      <c r="AA17" s="118"/>
      <c r="AB17" s="118"/>
      <c r="AC17" s="118"/>
      <c r="AD17" s="127">
        <f t="shared" si="4"/>
        <v>10</v>
      </c>
      <c r="AE17" s="119"/>
      <c r="AF17" s="120"/>
      <c r="AG17" s="112"/>
    </row>
    <row r="18" spans="1:33" ht="15.75">
      <c r="A18" s="207">
        <v>45656</v>
      </c>
      <c r="B18" s="36">
        <v>3</v>
      </c>
      <c r="C18" s="36">
        <v>5737997</v>
      </c>
      <c r="D18" s="36" t="s">
        <v>92</v>
      </c>
      <c r="E18" s="112">
        <v>94008</v>
      </c>
      <c r="F18" s="36" t="s">
        <v>123</v>
      </c>
      <c r="G18" s="113">
        <v>23</v>
      </c>
      <c r="H18" s="126" t="s">
        <v>122</v>
      </c>
      <c r="I18" s="114">
        <v>0</v>
      </c>
      <c r="J18" s="115">
        <v>0</v>
      </c>
      <c r="K18" s="202">
        <v>0</v>
      </c>
      <c r="L18" s="201">
        <v>0</v>
      </c>
      <c r="M18" s="114">
        <v>0</v>
      </c>
      <c r="N18" s="117">
        <v>0</v>
      </c>
      <c r="O18" s="113">
        <v>0</v>
      </c>
      <c r="P18" s="116">
        <v>1</v>
      </c>
      <c r="Q18" s="113">
        <v>0</v>
      </c>
      <c r="R18" s="116">
        <v>0</v>
      </c>
      <c r="S18" s="114">
        <v>0</v>
      </c>
      <c r="T18" s="117">
        <v>0</v>
      </c>
      <c r="U18" s="116">
        <v>0</v>
      </c>
      <c r="V18" s="116">
        <v>0</v>
      </c>
      <c r="W18" s="35">
        <f t="shared" si="3"/>
        <v>22</v>
      </c>
      <c r="X18" s="118"/>
      <c r="Y18" s="118"/>
      <c r="Z18" s="118"/>
      <c r="AA18" s="118"/>
      <c r="AB18" s="118"/>
      <c r="AC18" s="118"/>
      <c r="AD18" s="127">
        <f t="shared" si="4"/>
        <v>22</v>
      </c>
      <c r="AE18" s="119"/>
      <c r="AF18" s="120"/>
      <c r="AG18" s="112"/>
    </row>
    <row r="19" spans="1:33" ht="15.75">
      <c r="A19" s="207">
        <v>45680</v>
      </c>
      <c r="B19" s="36">
        <v>3</v>
      </c>
      <c r="C19" s="36">
        <v>5797031</v>
      </c>
      <c r="D19" s="36" t="s">
        <v>92</v>
      </c>
      <c r="E19" s="18">
        <v>94042</v>
      </c>
      <c r="F19" s="36">
        <v>22645</v>
      </c>
      <c r="G19" s="113">
        <v>5</v>
      </c>
      <c r="H19" s="126" t="s">
        <v>124</v>
      </c>
      <c r="I19" s="114">
        <v>0</v>
      </c>
      <c r="J19" s="115">
        <v>0</v>
      </c>
      <c r="K19" s="120">
        <v>0</v>
      </c>
      <c r="L19" s="116">
        <v>0</v>
      </c>
      <c r="M19" s="114">
        <v>0</v>
      </c>
      <c r="N19" s="117">
        <v>0</v>
      </c>
      <c r="O19" s="113">
        <v>0</v>
      </c>
      <c r="P19" s="116">
        <v>0</v>
      </c>
      <c r="Q19" s="113">
        <v>0</v>
      </c>
      <c r="R19" s="116">
        <v>0</v>
      </c>
      <c r="S19" s="114">
        <v>0</v>
      </c>
      <c r="T19" s="117">
        <v>0</v>
      </c>
      <c r="U19" s="116">
        <v>0</v>
      </c>
      <c r="V19" s="116">
        <v>0</v>
      </c>
      <c r="W19" s="35">
        <f t="shared" si="3"/>
        <v>5</v>
      </c>
      <c r="X19" s="118"/>
      <c r="Y19" s="118"/>
      <c r="Z19" s="118"/>
      <c r="AA19" s="118"/>
      <c r="AB19" s="118"/>
      <c r="AC19" s="118"/>
      <c r="AD19" s="127">
        <f t="shared" si="4"/>
        <v>5</v>
      </c>
      <c r="AE19" s="119"/>
      <c r="AF19" s="120"/>
      <c r="AG19" s="112"/>
    </row>
    <row r="20" spans="1:33" ht="15.75">
      <c r="A20" s="207">
        <v>45680</v>
      </c>
      <c r="B20" s="36">
        <v>3</v>
      </c>
      <c r="C20" s="36">
        <v>5797031</v>
      </c>
      <c r="D20" s="36" t="s">
        <v>92</v>
      </c>
      <c r="E20" s="18">
        <v>94041</v>
      </c>
      <c r="F20" s="36">
        <v>22646</v>
      </c>
      <c r="G20" s="113">
        <v>3</v>
      </c>
      <c r="H20" s="126" t="s">
        <v>125</v>
      </c>
      <c r="I20" s="114">
        <v>0</v>
      </c>
      <c r="J20" s="115">
        <v>0</v>
      </c>
      <c r="K20" s="120">
        <v>0</v>
      </c>
      <c r="L20" s="116">
        <v>0</v>
      </c>
      <c r="M20" s="114">
        <v>0</v>
      </c>
      <c r="N20" s="117">
        <v>0</v>
      </c>
      <c r="O20" s="113">
        <v>0</v>
      </c>
      <c r="P20" s="116">
        <v>0</v>
      </c>
      <c r="Q20" s="113">
        <v>0</v>
      </c>
      <c r="R20" s="116">
        <v>0</v>
      </c>
      <c r="S20" s="114">
        <v>0</v>
      </c>
      <c r="T20" s="117">
        <v>0</v>
      </c>
      <c r="U20" s="116">
        <v>0</v>
      </c>
      <c r="V20" s="116">
        <v>0</v>
      </c>
      <c r="W20" s="35">
        <f t="shared" si="3"/>
        <v>3</v>
      </c>
      <c r="X20" s="118"/>
      <c r="Y20" s="118"/>
      <c r="Z20" s="118"/>
      <c r="AA20" s="118"/>
      <c r="AB20" s="118"/>
      <c r="AC20" s="118"/>
      <c r="AD20" s="127">
        <f t="shared" ref="AD20:AD24" si="7">W20-SUM(Y20:AC20)</f>
        <v>3</v>
      </c>
      <c r="AE20" s="119"/>
      <c r="AF20" s="120"/>
      <c r="AG20" s="112"/>
    </row>
    <row r="21" spans="1:33" ht="15.75">
      <c r="A21" s="207">
        <v>45680</v>
      </c>
      <c r="B21" s="36">
        <v>3</v>
      </c>
      <c r="C21" s="36">
        <v>5797031</v>
      </c>
      <c r="D21" s="36" t="s">
        <v>92</v>
      </c>
      <c r="E21" s="18">
        <v>94043</v>
      </c>
      <c r="F21" s="36">
        <v>22647</v>
      </c>
      <c r="G21" s="113">
        <v>46</v>
      </c>
      <c r="H21" s="126" t="s">
        <v>126</v>
      </c>
      <c r="I21" s="114">
        <v>0</v>
      </c>
      <c r="J21" s="115">
        <v>0</v>
      </c>
      <c r="K21" s="120">
        <v>0</v>
      </c>
      <c r="L21" s="116">
        <v>0</v>
      </c>
      <c r="M21" s="114">
        <v>0</v>
      </c>
      <c r="N21" s="117">
        <v>0</v>
      </c>
      <c r="O21" s="113">
        <v>0</v>
      </c>
      <c r="P21" s="116">
        <v>0</v>
      </c>
      <c r="Q21" s="113">
        <v>0</v>
      </c>
      <c r="R21" s="116">
        <v>0</v>
      </c>
      <c r="S21" s="114">
        <v>0</v>
      </c>
      <c r="T21" s="117">
        <v>0</v>
      </c>
      <c r="U21" s="116">
        <v>0</v>
      </c>
      <c r="V21" s="116">
        <v>0</v>
      </c>
      <c r="W21" s="35">
        <f t="shared" si="3"/>
        <v>46</v>
      </c>
      <c r="X21" s="118"/>
      <c r="Y21" s="118"/>
      <c r="Z21" s="118"/>
      <c r="AA21" s="118"/>
      <c r="AB21" s="118"/>
      <c r="AC21" s="118"/>
      <c r="AD21" s="127">
        <f t="shared" si="7"/>
        <v>46</v>
      </c>
      <c r="AE21" s="119"/>
      <c r="AF21" s="120"/>
      <c r="AG21" s="112"/>
    </row>
    <row r="22" spans="1:33" ht="15.75">
      <c r="A22" s="111"/>
      <c r="B22" s="36"/>
      <c r="C22" s="36"/>
      <c r="D22" s="36"/>
      <c r="E22" s="112"/>
      <c r="F22" s="36"/>
      <c r="G22" s="113"/>
      <c r="H22" s="126"/>
      <c r="I22" s="114">
        <v>0</v>
      </c>
      <c r="J22" s="115">
        <v>0</v>
      </c>
      <c r="K22" s="120">
        <v>0</v>
      </c>
      <c r="L22" s="116">
        <v>0</v>
      </c>
      <c r="M22" s="114">
        <v>0</v>
      </c>
      <c r="N22" s="117">
        <v>0</v>
      </c>
      <c r="O22" s="113">
        <v>0</v>
      </c>
      <c r="P22" s="116">
        <v>0</v>
      </c>
      <c r="Q22" s="113">
        <v>0</v>
      </c>
      <c r="R22" s="116">
        <v>0</v>
      </c>
      <c r="S22" s="114">
        <v>0</v>
      </c>
      <c r="T22" s="117">
        <v>0</v>
      </c>
      <c r="U22" s="116">
        <v>0</v>
      </c>
      <c r="V22" s="116">
        <v>0</v>
      </c>
      <c r="W22" s="35">
        <f t="shared" si="3"/>
        <v>0</v>
      </c>
      <c r="X22" s="118"/>
      <c r="Y22" s="118"/>
      <c r="Z22" s="118"/>
      <c r="AA22" s="118"/>
      <c r="AB22" s="118"/>
      <c r="AC22" s="118"/>
      <c r="AD22" s="127">
        <f t="shared" si="7"/>
        <v>0</v>
      </c>
      <c r="AE22" s="119"/>
      <c r="AF22" s="120"/>
      <c r="AG22" s="112"/>
    </row>
    <row r="23" spans="1:33" ht="15.75">
      <c r="A23" s="111"/>
      <c r="B23" s="36"/>
      <c r="C23" s="36"/>
      <c r="D23" s="36"/>
      <c r="E23" s="112"/>
      <c r="F23" s="36"/>
      <c r="G23" s="113"/>
      <c r="H23" s="126"/>
      <c r="I23" s="114">
        <v>0</v>
      </c>
      <c r="J23" s="115">
        <v>0</v>
      </c>
      <c r="K23" s="120">
        <v>0</v>
      </c>
      <c r="L23" s="116">
        <v>0</v>
      </c>
      <c r="M23" s="114">
        <v>0</v>
      </c>
      <c r="N23" s="117">
        <v>0</v>
      </c>
      <c r="O23" s="113">
        <v>0</v>
      </c>
      <c r="P23" s="116">
        <v>0</v>
      </c>
      <c r="Q23" s="113">
        <v>0</v>
      </c>
      <c r="R23" s="116">
        <v>0</v>
      </c>
      <c r="S23" s="114">
        <v>0</v>
      </c>
      <c r="T23" s="117">
        <v>0</v>
      </c>
      <c r="U23" s="116">
        <v>0</v>
      </c>
      <c r="V23" s="116">
        <v>0</v>
      </c>
      <c r="W23" s="35">
        <f t="shared" ref="W23:W27" si="8">+G23-(SUM(I23:N23,P23,Q23,R23,S23,T23,V23))</f>
        <v>0</v>
      </c>
      <c r="X23" s="118"/>
      <c r="Y23" s="118"/>
      <c r="Z23" s="118"/>
      <c r="AA23" s="118"/>
      <c r="AB23" s="118"/>
      <c r="AC23" s="118"/>
      <c r="AD23" s="127">
        <f t="shared" si="7"/>
        <v>0</v>
      </c>
      <c r="AE23" s="119"/>
      <c r="AF23" s="120"/>
      <c r="AG23" s="112"/>
    </row>
    <row r="24" spans="1:33" ht="15.75">
      <c r="A24" s="111"/>
      <c r="B24" s="36"/>
      <c r="C24" s="36"/>
      <c r="D24" s="36"/>
      <c r="E24" s="112"/>
      <c r="F24" s="36"/>
      <c r="G24" s="113"/>
      <c r="H24" s="126"/>
      <c r="I24" s="114">
        <v>0</v>
      </c>
      <c r="J24" s="115">
        <v>0</v>
      </c>
      <c r="K24" s="120">
        <v>0</v>
      </c>
      <c r="L24" s="116">
        <v>0</v>
      </c>
      <c r="M24" s="114">
        <v>0</v>
      </c>
      <c r="N24" s="117">
        <v>0</v>
      </c>
      <c r="O24" s="113">
        <v>0</v>
      </c>
      <c r="P24" s="116">
        <v>0</v>
      </c>
      <c r="Q24" s="113">
        <v>0</v>
      </c>
      <c r="R24" s="116">
        <v>0</v>
      </c>
      <c r="S24" s="114">
        <v>0</v>
      </c>
      <c r="T24" s="117">
        <v>0</v>
      </c>
      <c r="U24" s="116">
        <v>0</v>
      </c>
      <c r="V24" s="116">
        <v>0</v>
      </c>
      <c r="W24" s="35">
        <f t="shared" si="8"/>
        <v>0</v>
      </c>
      <c r="X24" s="118"/>
      <c r="Y24" s="118"/>
      <c r="Z24" s="118"/>
      <c r="AA24" s="118"/>
      <c r="AB24" s="118"/>
      <c r="AC24" s="118"/>
      <c r="AD24" s="127">
        <f t="shared" si="7"/>
        <v>0</v>
      </c>
      <c r="AE24" s="119"/>
      <c r="AF24" s="120"/>
      <c r="AG24" s="112"/>
    </row>
    <row r="25" spans="1:33" ht="15.75">
      <c r="A25" s="111"/>
      <c r="B25" s="36"/>
      <c r="C25" s="36"/>
      <c r="D25" s="36"/>
      <c r="E25" s="112"/>
      <c r="F25" s="36"/>
      <c r="G25" s="113"/>
      <c r="H25" s="126"/>
      <c r="I25" s="114">
        <v>0</v>
      </c>
      <c r="J25" s="115">
        <v>0</v>
      </c>
      <c r="K25" s="120">
        <v>0</v>
      </c>
      <c r="L25" s="116">
        <v>0</v>
      </c>
      <c r="M25" s="114">
        <v>0</v>
      </c>
      <c r="N25" s="117">
        <v>0</v>
      </c>
      <c r="O25" s="113">
        <v>0</v>
      </c>
      <c r="P25" s="116">
        <v>0</v>
      </c>
      <c r="Q25" s="113">
        <v>0</v>
      </c>
      <c r="R25" s="116">
        <v>0</v>
      </c>
      <c r="S25" s="114">
        <v>0</v>
      </c>
      <c r="T25" s="117">
        <v>0</v>
      </c>
      <c r="U25" s="116">
        <v>0</v>
      </c>
      <c r="V25" s="116">
        <v>0</v>
      </c>
      <c r="W25" s="35">
        <f t="shared" si="8"/>
        <v>0</v>
      </c>
      <c r="X25" s="118"/>
      <c r="Y25" s="118"/>
      <c r="Z25" s="118"/>
      <c r="AA25" s="118"/>
      <c r="AB25" s="118"/>
      <c r="AC25" s="118"/>
      <c r="AD25" s="127">
        <f t="shared" ref="AD25:AD49" si="9">W25-SUM(Y25:AC25)</f>
        <v>0</v>
      </c>
      <c r="AE25" s="119"/>
      <c r="AF25" s="120"/>
      <c r="AG25" s="112"/>
    </row>
    <row r="26" spans="1:33" ht="15.75">
      <c r="A26" s="111"/>
      <c r="B26" s="36"/>
      <c r="C26" s="36"/>
      <c r="D26" s="36"/>
      <c r="E26" s="112"/>
      <c r="F26" s="36"/>
      <c r="G26" s="113"/>
      <c r="H26" s="126"/>
      <c r="I26" s="114">
        <v>0</v>
      </c>
      <c r="J26" s="115">
        <v>0</v>
      </c>
      <c r="K26" s="120">
        <v>0</v>
      </c>
      <c r="L26" s="116">
        <v>0</v>
      </c>
      <c r="M26" s="114">
        <v>0</v>
      </c>
      <c r="N26" s="117">
        <v>0</v>
      </c>
      <c r="O26" s="113">
        <v>0</v>
      </c>
      <c r="P26" s="116">
        <v>0</v>
      </c>
      <c r="Q26" s="113">
        <v>0</v>
      </c>
      <c r="R26" s="116">
        <v>0</v>
      </c>
      <c r="S26" s="114">
        <v>0</v>
      </c>
      <c r="T26" s="117">
        <v>0</v>
      </c>
      <c r="U26" s="116">
        <v>0</v>
      </c>
      <c r="V26" s="116">
        <v>0</v>
      </c>
      <c r="W26" s="35">
        <f t="shared" si="8"/>
        <v>0</v>
      </c>
      <c r="X26" s="118"/>
      <c r="Y26" s="118"/>
      <c r="Z26" s="118"/>
      <c r="AA26" s="118"/>
      <c r="AB26" s="118"/>
      <c r="AC26" s="118"/>
      <c r="AD26" s="127">
        <f t="shared" si="9"/>
        <v>0</v>
      </c>
      <c r="AE26" s="119"/>
      <c r="AF26" s="120"/>
      <c r="AG26" s="112"/>
    </row>
    <row r="27" spans="1:33" ht="15.75">
      <c r="A27" s="111"/>
      <c r="B27" s="36"/>
      <c r="C27" s="36"/>
      <c r="D27" s="36"/>
      <c r="E27" s="112"/>
      <c r="F27" s="36"/>
      <c r="G27" s="113"/>
      <c r="H27" s="126"/>
      <c r="I27" s="114">
        <v>0</v>
      </c>
      <c r="J27" s="115">
        <v>0</v>
      </c>
      <c r="K27" s="120">
        <v>0</v>
      </c>
      <c r="L27" s="116">
        <v>0</v>
      </c>
      <c r="M27" s="114">
        <v>0</v>
      </c>
      <c r="N27" s="117">
        <v>0</v>
      </c>
      <c r="O27" s="113">
        <v>0</v>
      </c>
      <c r="P27" s="116">
        <v>0</v>
      </c>
      <c r="Q27" s="113">
        <v>0</v>
      </c>
      <c r="R27" s="116">
        <v>0</v>
      </c>
      <c r="S27" s="114">
        <v>0</v>
      </c>
      <c r="T27" s="117">
        <v>0</v>
      </c>
      <c r="U27" s="116">
        <v>0</v>
      </c>
      <c r="V27" s="116">
        <v>0</v>
      </c>
      <c r="W27" s="35">
        <f t="shared" si="8"/>
        <v>0</v>
      </c>
      <c r="X27" s="118"/>
      <c r="Y27" s="118"/>
      <c r="Z27" s="118"/>
      <c r="AA27" s="118"/>
      <c r="AB27" s="118"/>
      <c r="AC27" s="118"/>
      <c r="AD27" s="127">
        <f t="shared" si="9"/>
        <v>0</v>
      </c>
      <c r="AE27" s="119"/>
      <c r="AF27" s="120"/>
      <c r="AG27" s="112"/>
    </row>
    <row r="28" spans="1:33" ht="15.75">
      <c r="A28" s="111"/>
      <c r="B28" s="36"/>
      <c r="C28" s="36"/>
      <c r="D28" s="36"/>
      <c r="E28" s="112"/>
      <c r="F28" s="36"/>
      <c r="G28" s="113"/>
      <c r="H28" s="126"/>
      <c r="I28" s="114">
        <v>0</v>
      </c>
      <c r="J28" s="115">
        <v>0</v>
      </c>
      <c r="K28" s="120">
        <v>0</v>
      </c>
      <c r="L28" s="116">
        <v>0</v>
      </c>
      <c r="M28" s="114">
        <v>0</v>
      </c>
      <c r="N28" s="117">
        <v>0</v>
      </c>
      <c r="O28" s="113">
        <v>0</v>
      </c>
      <c r="P28" s="116">
        <v>0</v>
      </c>
      <c r="Q28" s="113">
        <v>0</v>
      </c>
      <c r="R28" s="116">
        <v>0</v>
      </c>
      <c r="S28" s="114">
        <v>0</v>
      </c>
      <c r="T28" s="117">
        <v>0</v>
      </c>
      <c r="U28" s="116">
        <v>0</v>
      </c>
      <c r="V28" s="116">
        <v>0</v>
      </c>
      <c r="W28" s="35">
        <f t="shared" ref="W28:W49" si="10">+G28-(SUM(I28:N28,P28,Q28,R28,S28,T28,V28))</f>
        <v>0</v>
      </c>
      <c r="X28" s="118"/>
      <c r="Y28" s="118"/>
      <c r="Z28" s="118"/>
      <c r="AA28" s="118"/>
      <c r="AB28" s="118"/>
      <c r="AC28" s="118"/>
      <c r="AD28" s="127">
        <f t="shared" si="9"/>
        <v>0</v>
      </c>
      <c r="AE28" s="119"/>
      <c r="AF28" s="120"/>
      <c r="AG28" s="112"/>
    </row>
    <row r="29" spans="1:33" ht="15.75">
      <c r="A29" s="111"/>
      <c r="B29" s="36"/>
      <c r="C29" s="36"/>
      <c r="D29" s="36"/>
      <c r="E29" s="112"/>
      <c r="F29" s="36"/>
      <c r="G29" s="113"/>
      <c r="H29" s="126"/>
      <c r="I29" s="114">
        <v>0</v>
      </c>
      <c r="J29" s="115">
        <v>0</v>
      </c>
      <c r="K29" s="120">
        <v>0</v>
      </c>
      <c r="L29" s="116">
        <v>0</v>
      </c>
      <c r="M29" s="114">
        <v>0</v>
      </c>
      <c r="N29" s="117">
        <v>0</v>
      </c>
      <c r="O29" s="113">
        <v>0</v>
      </c>
      <c r="P29" s="116">
        <v>0</v>
      </c>
      <c r="Q29" s="113">
        <v>0</v>
      </c>
      <c r="R29" s="116">
        <v>0</v>
      </c>
      <c r="S29" s="114">
        <v>0</v>
      </c>
      <c r="T29" s="117">
        <v>0</v>
      </c>
      <c r="U29" s="116">
        <v>0</v>
      </c>
      <c r="V29" s="116">
        <v>0</v>
      </c>
      <c r="W29" s="35">
        <f t="shared" si="10"/>
        <v>0</v>
      </c>
      <c r="X29" s="118"/>
      <c r="Y29" s="118"/>
      <c r="Z29" s="118"/>
      <c r="AA29" s="118"/>
      <c r="AB29" s="118"/>
      <c r="AC29" s="118"/>
      <c r="AD29" s="127">
        <f t="shared" si="9"/>
        <v>0</v>
      </c>
      <c r="AE29" s="119"/>
      <c r="AF29" s="120"/>
      <c r="AG29" s="112"/>
    </row>
    <row r="30" spans="1:33" ht="15.75">
      <c r="A30" s="111"/>
      <c r="B30" s="36"/>
      <c r="C30" s="36"/>
      <c r="D30" s="36"/>
      <c r="E30" s="112"/>
      <c r="F30" s="36"/>
      <c r="G30" s="113"/>
      <c r="H30" s="126"/>
      <c r="I30" s="114">
        <v>0</v>
      </c>
      <c r="J30" s="115">
        <v>0</v>
      </c>
      <c r="K30" s="120">
        <v>0</v>
      </c>
      <c r="L30" s="116">
        <v>0</v>
      </c>
      <c r="M30" s="114">
        <v>0</v>
      </c>
      <c r="N30" s="117">
        <v>0</v>
      </c>
      <c r="O30" s="113">
        <v>0</v>
      </c>
      <c r="P30" s="116">
        <v>0</v>
      </c>
      <c r="Q30" s="113">
        <v>0</v>
      </c>
      <c r="R30" s="116">
        <v>0</v>
      </c>
      <c r="S30" s="114">
        <v>0</v>
      </c>
      <c r="T30" s="117">
        <v>0</v>
      </c>
      <c r="U30" s="116">
        <v>0</v>
      </c>
      <c r="V30" s="116">
        <v>0</v>
      </c>
      <c r="W30" s="35">
        <f t="shared" si="10"/>
        <v>0</v>
      </c>
      <c r="X30" s="118"/>
      <c r="Y30" s="118"/>
      <c r="Z30" s="118"/>
      <c r="AA30" s="118"/>
      <c r="AB30" s="118"/>
      <c r="AC30" s="118"/>
      <c r="AD30" s="127">
        <f t="shared" ref="AD30" si="11">W30-SUM(Y30:AC30)</f>
        <v>0</v>
      </c>
      <c r="AE30" s="119"/>
      <c r="AF30" s="120"/>
      <c r="AG30" s="112"/>
    </row>
    <row r="31" spans="1:33" ht="15.75">
      <c r="A31" s="111"/>
      <c r="B31" s="36"/>
      <c r="C31" s="36"/>
      <c r="D31" s="36"/>
      <c r="E31" s="112"/>
      <c r="F31" s="36"/>
      <c r="G31" s="113"/>
      <c r="H31" s="126"/>
      <c r="I31" s="114">
        <v>0</v>
      </c>
      <c r="J31" s="115">
        <v>0</v>
      </c>
      <c r="K31" s="120">
        <v>0</v>
      </c>
      <c r="L31" s="116">
        <v>0</v>
      </c>
      <c r="M31" s="114">
        <v>0</v>
      </c>
      <c r="N31" s="117">
        <v>0</v>
      </c>
      <c r="O31" s="113">
        <v>0</v>
      </c>
      <c r="P31" s="116">
        <v>0</v>
      </c>
      <c r="Q31" s="113">
        <v>0</v>
      </c>
      <c r="R31" s="116">
        <v>0</v>
      </c>
      <c r="S31" s="114">
        <v>0</v>
      </c>
      <c r="T31" s="117">
        <v>0</v>
      </c>
      <c r="U31" s="116">
        <v>0</v>
      </c>
      <c r="V31" s="116">
        <v>0</v>
      </c>
      <c r="W31" s="35">
        <f t="shared" si="10"/>
        <v>0</v>
      </c>
      <c r="X31" s="118"/>
      <c r="Y31" s="118"/>
      <c r="Z31" s="118"/>
      <c r="AA31" s="118"/>
      <c r="AB31" s="118"/>
      <c r="AC31" s="118"/>
      <c r="AD31" s="127">
        <f t="shared" ref="AD31" si="12">W31-SUM(Y31:AC31)</f>
        <v>0</v>
      </c>
      <c r="AE31" s="119"/>
      <c r="AF31" s="120"/>
      <c r="AG31" s="112"/>
    </row>
    <row r="32" spans="1:33" ht="15.75">
      <c r="A32" s="111"/>
      <c r="B32" s="36"/>
      <c r="C32" s="36"/>
      <c r="D32" s="36"/>
      <c r="E32" s="112"/>
      <c r="F32" s="36"/>
      <c r="G32" s="113"/>
      <c r="H32" s="126"/>
      <c r="I32" s="114">
        <v>0</v>
      </c>
      <c r="J32" s="115">
        <v>0</v>
      </c>
      <c r="K32" s="120">
        <v>0</v>
      </c>
      <c r="L32" s="116">
        <v>0</v>
      </c>
      <c r="M32" s="114">
        <v>0</v>
      </c>
      <c r="N32" s="117">
        <v>0</v>
      </c>
      <c r="O32" s="113">
        <v>0</v>
      </c>
      <c r="P32" s="116">
        <v>0</v>
      </c>
      <c r="Q32" s="113">
        <v>0</v>
      </c>
      <c r="R32" s="116">
        <v>0</v>
      </c>
      <c r="S32" s="114">
        <v>0</v>
      </c>
      <c r="T32" s="117">
        <v>0</v>
      </c>
      <c r="U32" s="116">
        <v>0</v>
      </c>
      <c r="V32" s="116">
        <v>0</v>
      </c>
      <c r="W32" s="35">
        <f t="shared" si="10"/>
        <v>0</v>
      </c>
      <c r="X32" s="118"/>
      <c r="Y32" s="118"/>
      <c r="Z32" s="118"/>
      <c r="AA32" s="118"/>
      <c r="AB32" s="118"/>
      <c r="AC32" s="118"/>
      <c r="AD32" s="127">
        <f t="shared" si="9"/>
        <v>0</v>
      </c>
      <c r="AE32" s="119"/>
      <c r="AF32" s="120"/>
      <c r="AG32" s="112"/>
    </row>
    <row r="33" spans="1:33" ht="15.75">
      <c r="A33" s="111"/>
      <c r="B33" s="36"/>
      <c r="C33" s="36"/>
      <c r="D33" s="36"/>
      <c r="E33" s="112"/>
      <c r="F33" s="36"/>
      <c r="G33" s="113"/>
      <c r="H33" s="126"/>
      <c r="I33" s="114">
        <v>0</v>
      </c>
      <c r="J33" s="115">
        <v>0</v>
      </c>
      <c r="K33" s="120">
        <v>0</v>
      </c>
      <c r="L33" s="116">
        <v>0</v>
      </c>
      <c r="M33" s="114">
        <v>0</v>
      </c>
      <c r="N33" s="117">
        <v>0</v>
      </c>
      <c r="O33" s="113">
        <v>0</v>
      </c>
      <c r="P33" s="116">
        <v>0</v>
      </c>
      <c r="Q33" s="113">
        <v>0</v>
      </c>
      <c r="R33" s="116">
        <v>0</v>
      </c>
      <c r="S33" s="114">
        <v>0</v>
      </c>
      <c r="T33" s="117">
        <v>0</v>
      </c>
      <c r="U33" s="116">
        <v>0</v>
      </c>
      <c r="V33" s="116">
        <v>0</v>
      </c>
      <c r="W33" s="35">
        <f t="shared" si="10"/>
        <v>0</v>
      </c>
      <c r="X33" s="118"/>
      <c r="Y33" s="118"/>
      <c r="Z33" s="118"/>
      <c r="AA33" s="118"/>
      <c r="AB33" s="118"/>
      <c r="AC33" s="118"/>
      <c r="AD33" s="127">
        <f t="shared" ref="AD33" si="13">W33-SUM(Y33:AC33)</f>
        <v>0</v>
      </c>
      <c r="AE33" s="119"/>
      <c r="AF33" s="120"/>
      <c r="AG33" s="112"/>
    </row>
    <row r="34" spans="1:33" ht="15.75">
      <c r="A34" s="111"/>
      <c r="B34" s="36"/>
      <c r="C34" s="36"/>
      <c r="D34" s="36"/>
      <c r="E34" s="112"/>
      <c r="F34" s="36"/>
      <c r="G34" s="113"/>
      <c r="H34" s="126"/>
      <c r="I34" s="114">
        <v>0</v>
      </c>
      <c r="J34" s="115">
        <v>0</v>
      </c>
      <c r="K34" s="120">
        <v>0</v>
      </c>
      <c r="L34" s="116">
        <v>0</v>
      </c>
      <c r="M34" s="114">
        <v>0</v>
      </c>
      <c r="N34" s="117">
        <v>0</v>
      </c>
      <c r="O34" s="113">
        <v>0</v>
      </c>
      <c r="P34" s="116">
        <v>0</v>
      </c>
      <c r="Q34" s="113">
        <v>0</v>
      </c>
      <c r="R34" s="116">
        <v>0</v>
      </c>
      <c r="S34" s="114">
        <v>0</v>
      </c>
      <c r="T34" s="117">
        <v>0</v>
      </c>
      <c r="U34" s="116">
        <v>0</v>
      </c>
      <c r="V34" s="116">
        <v>0</v>
      </c>
      <c r="W34" s="35">
        <f t="shared" si="10"/>
        <v>0</v>
      </c>
      <c r="X34" s="118"/>
      <c r="Y34" s="118"/>
      <c r="Z34" s="118"/>
      <c r="AA34" s="118"/>
      <c r="AB34" s="118"/>
      <c r="AC34" s="118"/>
      <c r="AD34" s="127">
        <f t="shared" si="9"/>
        <v>0</v>
      </c>
      <c r="AE34" s="119"/>
      <c r="AF34" s="120"/>
      <c r="AG34" s="112"/>
    </row>
    <row r="35" spans="1:33" ht="15.75">
      <c r="A35" s="111"/>
      <c r="B35" s="36"/>
      <c r="C35" s="36"/>
      <c r="D35" s="36"/>
      <c r="E35" s="112"/>
      <c r="F35" s="36"/>
      <c r="G35" s="113"/>
      <c r="H35" s="126"/>
      <c r="I35" s="114">
        <v>0</v>
      </c>
      <c r="J35" s="115">
        <v>0</v>
      </c>
      <c r="K35" s="120">
        <v>0</v>
      </c>
      <c r="L35" s="116">
        <v>0</v>
      </c>
      <c r="M35" s="114">
        <v>0</v>
      </c>
      <c r="N35" s="117">
        <v>0</v>
      </c>
      <c r="O35" s="113">
        <v>0</v>
      </c>
      <c r="P35" s="116">
        <v>0</v>
      </c>
      <c r="Q35" s="113">
        <v>0</v>
      </c>
      <c r="R35" s="116">
        <v>0</v>
      </c>
      <c r="S35" s="114">
        <v>0</v>
      </c>
      <c r="T35" s="117">
        <v>0</v>
      </c>
      <c r="U35" s="116">
        <v>0</v>
      </c>
      <c r="V35" s="116">
        <v>0</v>
      </c>
      <c r="W35" s="35">
        <f t="shared" si="10"/>
        <v>0</v>
      </c>
      <c r="X35" s="118"/>
      <c r="Y35" s="118"/>
      <c r="Z35" s="118"/>
      <c r="AA35" s="118"/>
      <c r="AB35" s="118"/>
      <c r="AC35" s="118"/>
      <c r="AD35" s="127">
        <f t="shared" ref="AD35" si="14">W35-SUM(Y35:AC35)</f>
        <v>0</v>
      </c>
      <c r="AE35" s="119"/>
      <c r="AF35" s="120"/>
      <c r="AG35" s="112"/>
    </row>
    <row r="36" spans="1:33" ht="15.75">
      <c r="A36" s="111"/>
      <c r="B36" s="36"/>
      <c r="C36" s="36"/>
      <c r="D36" s="36"/>
      <c r="E36" s="112"/>
      <c r="F36" s="36"/>
      <c r="G36" s="113"/>
      <c r="H36" s="126"/>
      <c r="I36" s="114">
        <v>0</v>
      </c>
      <c r="J36" s="115">
        <v>0</v>
      </c>
      <c r="K36" s="120">
        <v>0</v>
      </c>
      <c r="L36" s="116">
        <v>0</v>
      </c>
      <c r="M36" s="114">
        <v>0</v>
      </c>
      <c r="N36" s="117">
        <v>0</v>
      </c>
      <c r="O36" s="113">
        <v>0</v>
      </c>
      <c r="P36" s="116">
        <v>0</v>
      </c>
      <c r="Q36" s="113">
        <v>0</v>
      </c>
      <c r="R36" s="116">
        <v>0</v>
      </c>
      <c r="S36" s="114">
        <v>0</v>
      </c>
      <c r="T36" s="117">
        <v>0</v>
      </c>
      <c r="U36" s="116">
        <v>0</v>
      </c>
      <c r="V36" s="116">
        <v>0</v>
      </c>
      <c r="W36" s="35">
        <f t="shared" si="10"/>
        <v>0</v>
      </c>
      <c r="X36" s="118"/>
      <c r="Y36" s="118"/>
      <c r="Z36" s="118"/>
      <c r="AA36" s="118"/>
      <c r="AB36" s="118"/>
      <c r="AC36" s="118"/>
      <c r="AD36" s="127">
        <f t="shared" si="9"/>
        <v>0</v>
      </c>
      <c r="AE36" s="119"/>
      <c r="AF36" s="120"/>
      <c r="AG36" s="112"/>
    </row>
    <row r="37" spans="1:33" ht="15.75">
      <c r="A37" s="111"/>
      <c r="B37" s="36"/>
      <c r="C37" s="36"/>
      <c r="D37" s="36"/>
      <c r="E37" s="112"/>
      <c r="F37" s="36"/>
      <c r="G37" s="113"/>
      <c r="H37" s="126"/>
      <c r="I37" s="114">
        <v>0</v>
      </c>
      <c r="J37" s="115">
        <v>0</v>
      </c>
      <c r="K37" s="120">
        <v>0</v>
      </c>
      <c r="L37" s="116">
        <v>0</v>
      </c>
      <c r="M37" s="114">
        <v>0</v>
      </c>
      <c r="N37" s="117">
        <v>0</v>
      </c>
      <c r="O37" s="113">
        <v>0</v>
      </c>
      <c r="P37" s="116">
        <v>0</v>
      </c>
      <c r="Q37" s="113">
        <v>0</v>
      </c>
      <c r="R37" s="116">
        <v>0</v>
      </c>
      <c r="S37" s="114">
        <v>0</v>
      </c>
      <c r="T37" s="117">
        <v>0</v>
      </c>
      <c r="U37" s="116">
        <v>0</v>
      </c>
      <c r="V37" s="116">
        <v>0</v>
      </c>
      <c r="W37" s="35">
        <f t="shared" si="10"/>
        <v>0</v>
      </c>
      <c r="X37" s="118"/>
      <c r="Y37" s="118"/>
      <c r="Z37" s="118"/>
      <c r="AA37" s="118"/>
      <c r="AB37" s="118"/>
      <c r="AC37" s="118"/>
      <c r="AD37" s="127">
        <f t="shared" si="9"/>
        <v>0</v>
      </c>
      <c r="AE37" s="119"/>
      <c r="AF37" s="120"/>
      <c r="AG37" s="112"/>
    </row>
    <row r="38" spans="1:33" ht="15.75">
      <c r="A38" s="111"/>
      <c r="B38" s="36"/>
      <c r="C38" s="36"/>
      <c r="D38" s="36"/>
      <c r="E38" s="112"/>
      <c r="F38" s="36"/>
      <c r="G38" s="113"/>
      <c r="H38" s="126"/>
      <c r="I38" s="114">
        <v>0</v>
      </c>
      <c r="J38" s="115">
        <v>0</v>
      </c>
      <c r="K38" s="120">
        <v>0</v>
      </c>
      <c r="L38" s="116">
        <v>0</v>
      </c>
      <c r="M38" s="114">
        <v>0</v>
      </c>
      <c r="N38" s="117">
        <v>0</v>
      </c>
      <c r="O38" s="113">
        <v>0</v>
      </c>
      <c r="P38" s="116">
        <v>0</v>
      </c>
      <c r="Q38" s="113">
        <v>0</v>
      </c>
      <c r="R38" s="116">
        <v>0</v>
      </c>
      <c r="S38" s="114">
        <v>0</v>
      </c>
      <c r="T38" s="117">
        <v>0</v>
      </c>
      <c r="U38" s="116">
        <v>0</v>
      </c>
      <c r="V38" s="116">
        <v>0</v>
      </c>
      <c r="W38" s="35">
        <f t="shared" si="10"/>
        <v>0</v>
      </c>
      <c r="X38" s="118"/>
      <c r="Y38" s="118"/>
      <c r="Z38" s="118"/>
      <c r="AA38" s="118"/>
      <c r="AB38" s="118"/>
      <c r="AC38" s="118"/>
      <c r="AD38" s="127">
        <f t="shared" si="9"/>
        <v>0</v>
      </c>
      <c r="AE38" s="119"/>
      <c r="AF38" s="120"/>
      <c r="AG38" s="112"/>
    </row>
    <row r="39" spans="1:33" ht="15.75">
      <c r="A39" s="111"/>
      <c r="B39" s="36"/>
      <c r="C39" s="36"/>
      <c r="D39" s="36"/>
      <c r="E39" s="112"/>
      <c r="F39" s="36"/>
      <c r="G39" s="113"/>
      <c r="H39" s="126"/>
      <c r="I39" s="114">
        <v>0</v>
      </c>
      <c r="J39" s="115">
        <v>0</v>
      </c>
      <c r="K39" s="120">
        <v>0</v>
      </c>
      <c r="L39" s="116">
        <v>0</v>
      </c>
      <c r="M39" s="114">
        <v>0</v>
      </c>
      <c r="N39" s="117">
        <v>0</v>
      </c>
      <c r="O39" s="113">
        <v>0</v>
      </c>
      <c r="P39" s="116">
        <v>0</v>
      </c>
      <c r="Q39" s="113">
        <v>0</v>
      </c>
      <c r="R39" s="116">
        <v>0</v>
      </c>
      <c r="S39" s="114">
        <v>0</v>
      </c>
      <c r="T39" s="117">
        <v>0</v>
      </c>
      <c r="U39" s="116">
        <v>0</v>
      </c>
      <c r="V39" s="116">
        <v>0</v>
      </c>
      <c r="W39" s="35">
        <f t="shared" si="10"/>
        <v>0</v>
      </c>
      <c r="X39" s="118"/>
      <c r="Y39" s="118"/>
      <c r="Z39" s="118"/>
      <c r="AA39" s="118"/>
      <c r="AB39" s="118"/>
      <c r="AC39" s="118"/>
      <c r="AD39" s="127">
        <f t="shared" si="9"/>
        <v>0</v>
      </c>
      <c r="AE39" s="119"/>
      <c r="AF39" s="120"/>
      <c r="AG39" s="112"/>
    </row>
    <row r="40" spans="1:33" ht="15.75">
      <c r="A40" s="111"/>
      <c r="B40" s="36"/>
      <c r="C40" s="36"/>
      <c r="D40" s="36"/>
      <c r="E40" s="112"/>
      <c r="F40" s="36"/>
      <c r="G40" s="113"/>
      <c r="H40" s="126"/>
      <c r="I40" s="114">
        <v>0</v>
      </c>
      <c r="J40" s="115">
        <v>0</v>
      </c>
      <c r="K40" s="120">
        <v>0</v>
      </c>
      <c r="L40" s="116">
        <v>0</v>
      </c>
      <c r="M40" s="114">
        <v>0</v>
      </c>
      <c r="N40" s="117">
        <v>0</v>
      </c>
      <c r="O40" s="113">
        <v>0</v>
      </c>
      <c r="P40" s="116">
        <v>0</v>
      </c>
      <c r="Q40" s="113">
        <v>0</v>
      </c>
      <c r="R40" s="116">
        <v>0</v>
      </c>
      <c r="S40" s="114">
        <v>0</v>
      </c>
      <c r="T40" s="117">
        <v>0</v>
      </c>
      <c r="U40" s="116">
        <v>0</v>
      </c>
      <c r="V40" s="116">
        <v>0</v>
      </c>
      <c r="W40" s="35">
        <f t="shared" si="10"/>
        <v>0</v>
      </c>
      <c r="X40" s="118"/>
      <c r="Y40" s="118"/>
      <c r="Z40" s="118"/>
      <c r="AA40" s="118"/>
      <c r="AB40" s="118"/>
      <c r="AC40" s="118"/>
      <c r="AD40" s="127">
        <f t="shared" si="9"/>
        <v>0</v>
      </c>
      <c r="AE40" s="119"/>
      <c r="AF40" s="120"/>
      <c r="AG40" s="112"/>
    </row>
    <row r="41" spans="1:33" ht="15.75">
      <c r="A41" s="111"/>
      <c r="B41" s="36"/>
      <c r="C41" s="36"/>
      <c r="D41" s="36"/>
      <c r="E41" s="112"/>
      <c r="F41" s="36"/>
      <c r="G41" s="113"/>
      <c r="H41" s="126"/>
      <c r="I41" s="114">
        <v>0</v>
      </c>
      <c r="J41" s="115">
        <v>0</v>
      </c>
      <c r="K41" s="120">
        <v>0</v>
      </c>
      <c r="L41" s="116">
        <v>0</v>
      </c>
      <c r="M41" s="114">
        <v>0</v>
      </c>
      <c r="N41" s="117">
        <v>0</v>
      </c>
      <c r="O41" s="113">
        <v>0</v>
      </c>
      <c r="P41" s="116">
        <v>0</v>
      </c>
      <c r="Q41" s="113">
        <v>0</v>
      </c>
      <c r="R41" s="116">
        <v>0</v>
      </c>
      <c r="S41" s="114">
        <v>0</v>
      </c>
      <c r="T41" s="117">
        <v>0</v>
      </c>
      <c r="U41" s="116">
        <v>0</v>
      </c>
      <c r="V41" s="116">
        <v>0</v>
      </c>
      <c r="W41" s="35">
        <f t="shared" si="10"/>
        <v>0</v>
      </c>
      <c r="X41" s="118"/>
      <c r="Y41" s="118"/>
      <c r="Z41" s="118"/>
      <c r="AA41" s="118"/>
      <c r="AB41" s="118"/>
      <c r="AC41" s="118"/>
      <c r="AD41" s="127">
        <f t="shared" si="9"/>
        <v>0</v>
      </c>
      <c r="AE41" s="119"/>
      <c r="AF41" s="120"/>
      <c r="AG41" s="112"/>
    </row>
    <row r="42" spans="1:33" ht="15.75">
      <c r="A42" s="111"/>
      <c r="B42" s="36"/>
      <c r="C42" s="36"/>
      <c r="D42" s="36"/>
      <c r="E42" s="112"/>
      <c r="F42" s="36"/>
      <c r="G42" s="113"/>
      <c r="H42" s="126"/>
      <c r="I42" s="114">
        <v>0</v>
      </c>
      <c r="J42" s="115">
        <v>0</v>
      </c>
      <c r="K42" s="120">
        <v>0</v>
      </c>
      <c r="L42" s="116">
        <v>0</v>
      </c>
      <c r="M42" s="114">
        <v>0</v>
      </c>
      <c r="N42" s="117">
        <v>0</v>
      </c>
      <c r="O42" s="113">
        <v>0</v>
      </c>
      <c r="P42" s="116">
        <v>0</v>
      </c>
      <c r="Q42" s="113">
        <v>0</v>
      </c>
      <c r="R42" s="116">
        <v>0</v>
      </c>
      <c r="S42" s="114">
        <v>0</v>
      </c>
      <c r="T42" s="117">
        <v>0</v>
      </c>
      <c r="U42" s="116">
        <v>0</v>
      </c>
      <c r="V42" s="116">
        <v>0</v>
      </c>
      <c r="W42" s="35">
        <f t="shared" si="10"/>
        <v>0</v>
      </c>
      <c r="X42" s="118"/>
      <c r="Y42" s="118"/>
      <c r="Z42" s="118"/>
      <c r="AA42" s="118"/>
      <c r="AB42" s="118"/>
      <c r="AC42" s="118"/>
      <c r="AD42" s="127">
        <f t="shared" si="9"/>
        <v>0</v>
      </c>
      <c r="AE42" s="119"/>
      <c r="AF42" s="120"/>
      <c r="AG42" s="112"/>
    </row>
    <row r="43" spans="1:33" ht="15.75">
      <c r="A43" s="111"/>
      <c r="B43" s="36"/>
      <c r="C43" s="36"/>
      <c r="D43" s="36"/>
      <c r="E43" s="112"/>
      <c r="F43" s="36"/>
      <c r="G43" s="113"/>
      <c r="H43" s="126"/>
      <c r="I43" s="114">
        <v>0</v>
      </c>
      <c r="J43" s="115">
        <v>0</v>
      </c>
      <c r="K43" s="120">
        <v>0</v>
      </c>
      <c r="L43" s="116">
        <v>0</v>
      </c>
      <c r="M43" s="114">
        <v>0</v>
      </c>
      <c r="N43" s="117">
        <v>0</v>
      </c>
      <c r="O43" s="113">
        <v>0</v>
      </c>
      <c r="P43" s="116">
        <v>0</v>
      </c>
      <c r="Q43" s="113">
        <v>0</v>
      </c>
      <c r="R43" s="116">
        <v>0</v>
      </c>
      <c r="S43" s="114">
        <v>0</v>
      </c>
      <c r="T43" s="117">
        <v>0</v>
      </c>
      <c r="U43" s="116">
        <v>0</v>
      </c>
      <c r="V43" s="116">
        <v>0</v>
      </c>
      <c r="W43" s="35">
        <f t="shared" si="10"/>
        <v>0</v>
      </c>
      <c r="X43" s="118"/>
      <c r="Y43" s="118"/>
      <c r="Z43" s="118"/>
      <c r="AA43" s="118"/>
      <c r="AB43" s="118"/>
      <c r="AC43" s="118"/>
      <c r="AD43" s="127">
        <f t="shared" si="9"/>
        <v>0</v>
      </c>
      <c r="AE43" s="119"/>
      <c r="AF43" s="120"/>
      <c r="AG43" s="112"/>
    </row>
    <row r="44" spans="1:33" ht="15.75">
      <c r="A44" s="111"/>
      <c r="B44" s="36"/>
      <c r="C44" s="36"/>
      <c r="D44" s="36"/>
      <c r="E44" s="112"/>
      <c r="F44" s="36"/>
      <c r="G44" s="113"/>
      <c r="H44" s="126"/>
      <c r="I44" s="114">
        <v>0</v>
      </c>
      <c r="J44" s="115">
        <v>0</v>
      </c>
      <c r="K44" s="120">
        <v>0</v>
      </c>
      <c r="L44" s="116">
        <v>0</v>
      </c>
      <c r="M44" s="114">
        <v>0</v>
      </c>
      <c r="N44" s="117">
        <v>0</v>
      </c>
      <c r="O44" s="113">
        <v>0</v>
      </c>
      <c r="P44" s="116">
        <v>0</v>
      </c>
      <c r="Q44" s="113">
        <v>0</v>
      </c>
      <c r="R44" s="116">
        <v>0</v>
      </c>
      <c r="S44" s="114">
        <v>0</v>
      </c>
      <c r="T44" s="117">
        <v>0</v>
      </c>
      <c r="U44" s="116">
        <v>0</v>
      </c>
      <c r="V44" s="116">
        <v>0</v>
      </c>
      <c r="W44" s="35">
        <f t="shared" si="10"/>
        <v>0</v>
      </c>
      <c r="X44" s="118"/>
      <c r="Y44" s="118"/>
      <c r="Z44" s="118"/>
      <c r="AA44" s="118"/>
      <c r="AB44" s="118"/>
      <c r="AC44" s="118"/>
      <c r="AD44" s="127">
        <f t="shared" si="9"/>
        <v>0</v>
      </c>
      <c r="AE44" s="119"/>
      <c r="AF44" s="120"/>
      <c r="AG44" s="112"/>
    </row>
    <row r="45" spans="1:33" ht="15.75">
      <c r="A45" s="111"/>
      <c r="B45" s="36"/>
      <c r="C45" s="36"/>
      <c r="D45" s="36"/>
      <c r="E45" s="112"/>
      <c r="F45" s="36"/>
      <c r="G45" s="113"/>
      <c r="H45" s="126"/>
      <c r="I45" s="114">
        <v>0</v>
      </c>
      <c r="J45" s="115">
        <v>0</v>
      </c>
      <c r="K45" s="120">
        <v>0</v>
      </c>
      <c r="L45" s="116">
        <v>0</v>
      </c>
      <c r="M45" s="114">
        <v>0</v>
      </c>
      <c r="N45" s="117">
        <v>0</v>
      </c>
      <c r="O45" s="113">
        <v>0</v>
      </c>
      <c r="P45" s="116">
        <v>0</v>
      </c>
      <c r="Q45" s="113">
        <v>0</v>
      </c>
      <c r="R45" s="116">
        <v>0</v>
      </c>
      <c r="S45" s="114">
        <v>0</v>
      </c>
      <c r="T45" s="117">
        <v>0</v>
      </c>
      <c r="U45" s="116">
        <v>0</v>
      </c>
      <c r="V45" s="116">
        <v>0</v>
      </c>
      <c r="W45" s="35">
        <f t="shared" si="10"/>
        <v>0</v>
      </c>
      <c r="X45" s="118"/>
      <c r="Y45" s="118"/>
      <c r="Z45" s="118"/>
      <c r="AA45" s="118"/>
      <c r="AB45" s="118"/>
      <c r="AC45" s="118"/>
      <c r="AD45" s="127">
        <f t="shared" si="9"/>
        <v>0</v>
      </c>
      <c r="AE45" s="119"/>
      <c r="AF45" s="120"/>
      <c r="AG45" s="112"/>
    </row>
    <row r="46" spans="1:33" ht="15.75">
      <c r="A46" s="111"/>
      <c r="B46" s="36"/>
      <c r="C46" s="36"/>
      <c r="D46" s="36"/>
      <c r="E46" s="112"/>
      <c r="F46" s="36"/>
      <c r="G46" s="113"/>
      <c r="H46" s="126"/>
      <c r="I46" s="114">
        <v>0</v>
      </c>
      <c r="J46" s="115">
        <v>0</v>
      </c>
      <c r="K46" s="120">
        <v>0</v>
      </c>
      <c r="L46" s="116">
        <v>0</v>
      </c>
      <c r="M46" s="114">
        <v>0</v>
      </c>
      <c r="N46" s="117">
        <v>0</v>
      </c>
      <c r="O46" s="113">
        <v>0</v>
      </c>
      <c r="P46" s="116">
        <v>0</v>
      </c>
      <c r="Q46" s="113">
        <v>0</v>
      </c>
      <c r="R46" s="116">
        <v>0</v>
      </c>
      <c r="S46" s="114">
        <v>0</v>
      </c>
      <c r="T46" s="117">
        <v>0</v>
      </c>
      <c r="U46" s="116">
        <v>0</v>
      </c>
      <c r="V46" s="116">
        <v>0</v>
      </c>
      <c r="W46" s="35">
        <f t="shared" si="10"/>
        <v>0</v>
      </c>
      <c r="X46" s="118"/>
      <c r="Y46" s="118"/>
      <c r="Z46" s="118"/>
      <c r="AA46" s="118"/>
      <c r="AB46" s="118"/>
      <c r="AC46" s="118"/>
      <c r="AD46" s="127">
        <f t="shared" si="9"/>
        <v>0</v>
      </c>
      <c r="AE46" s="119"/>
      <c r="AF46" s="120"/>
      <c r="AG46" s="112"/>
    </row>
    <row r="47" spans="1:33" ht="15.75">
      <c r="A47" s="111"/>
      <c r="B47" s="36"/>
      <c r="C47" s="36"/>
      <c r="D47" s="36"/>
      <c r="E47" s="112"/>
      <c r="F47" s="36"/>
      <c r="G47" s="113"/>
      <c r="H47" s="126"/>
      <c r="I47" s="114">
        <v>0</v>
      </c>
      <c r="J47" s="115">
        <v>0</v>
      </c>
      <c r="K47" s="120">
        <v>0</v>
      </c>
      <c r="L47" s="116">
        <v>0</v>
      </c>
      <c r="M47" s="114">
        <v>0</v>
      </c>
      <c r="N47" s="117">
        <v>0</v>
      </c>
      <c r="O47" s="113">
        <v>0</v>
      </c>
      <c r="P47" s="116">
        <v>0</v>
      </c>
      <c r="Q47" s="113">
        <v>0</v>
      </c>
      <c r="R47" s="116">
        <v>0</v>
      </c>
      <c r="S47" s="114">
        <v>0</v>
      </c>
      <c r="T47" s="117">
        <v>0</v>
      </c>
      <c r="U47" s="116">
        <v>0</v>
      </c>
      <c r="V47" s="116">
        <v>0</v>
      </c>
      <c r="W47" s="35">
        <f t="shared" si="10"/>
        <v>0</v>
      </c>
      <c r="X47" s="118"/>
      <c r="Y47" s="118"/>
      <c r="Z47" s="118"/>
      <c r="AA47" s="118"/>
      <c r="AB47" s="118"/>
      <c r="AC47" s="118"/>
      <c r="AD47" s="127">
        <f t="shared" si="9"/>
        <v>0</v>
      </c>
      <c r="AE47" s="119"/>
      <c r="AF47" s="120"/>
      <c r="AG47" s="112"/>
    </row>
    <row r="48" spans="1:33" ht="15.75">
      <c r="A48" s="111"/>
      <c r="B48" s="36"/>
      <c r="C48" s="36"/>
      <c r="D48" s="36"/>
      <c r="E48" s="112"/>
      <c r="F48" s="36"/>
      <c r="G48" s="113"/>
      <c r="H48" s="126"/>
      <c r="I48" s="114">
        <v>0</v>
      </c>
      <c r="J48" s="115">
        <v>0</v>
      </c>
      <c r="K48" s="120">
        <v>0</v>
      </c>
      <c r="L48" s="116">
        <v>0</v>
      </c>
      <c r="M48" s="114">
        <v>0</v>
      </c>
      <c r="N48" s="117">
        <v>0</v>
      </c>
      <c r="O48" s="113">
        <v>0</v>
      </c>
      <c r="P48" s="116">
        <v>0</v>
      </c>
      <c r="Q48" s="113">
        <v>0</v>
      </c>
      <c r="R48" s="116">
        <v>0</v>
      </c>
      <c r="S48" s="114">
        <v>0</v>
      </c>
      <c r="T48" s="117">
        <v>0</v>
      </c>
      <c r="U48" s="116">
        <v>0</v>
      </c>
      <c r="V48" s="116">
        <v>0</v>
      </c>
      <c r="W48" s="35">
        <f t="shared" si="10"/>
        <v>0</v>
      </c>
      <c r="X48" s="118"/>
      <c r="Y48" s="118"/>
      <c r="Z48" s="118"/>
      <c r="AA48" s="118"/>
      <c r="AB48" s="118"/>
      <c r="AC48" s="118"/>
      <c r="AD48" s="127">
        <f t="shared" si="9"/>
        <v>0</v>
      </c>
      <c r="AE48" s="119"/>
      <c r="AF48" s="120"/>
      <c r="AG48" s="112"/>
    </row>
    <row r="49" spans="1:33" ht="15.75">
      <c r="A49" s="111"/>
      <c r="B49" s="36"/>
      <c r="C49" s="36"/>
      <c r="D49" s="36"/>
      <c r="E49" s="112"/>
      <c r="F49" s="36"/>
      <c r="G49" s="113"/>
      <c r="H49" s="126"/>
      <c r="I49" s="114">
        <v>0</v>
      </c>
      <c r="J49" s="115">
        <v>0</v>
      </c>
      <c r="K49" s="120">
        <v>0</v>
      </c>
      <c r="L49" s="116">
        <v>0</v>
      </c>
      <c r="M49" s="114">
        <v>0</v>
      </c>
      <c r="N49" s="117">
        <v>0</v>
      </c>
      <c r="O49" s="113">
        <v>0</v>
      </c>
      <c r="P49" s="116">
        <v>0</v>
      </c>
      <c r="Q49" s="113">
        <v>0</v>
      </c>
      <c r="R49" s="116">
        <v>0</v>
      </c>
      <c r="S49" s="114">
        <v>0</v>
      </c>
      <c r="T49" s="117">
        <v>0</v>
      </c>
      <c r="U49" s="116">
        <v>0</v>
      </c>
      <c r="V49" s="116">
        <v>0</v>
      </c>
      <c r="W49" s="35">
        <f t="shared" si="10"/>
        <v>0</v>
      </c>
      <c r="X49" s="118"/>
      <c r="Y49" s="118"/>
      <c r="Z49" s="118"/>
      <c r="AA49" s="118"/>
      <c r="AB49" s="118"/>
      <c r="AC49" s="118"/>
      <c r="AD49" s="127">
        <f t="shared" si="9"/>
        <v>0</v>
      </c>
      <c r="AE49" s="119"/>
      <c r="AF49" s="120"/>
      <c r="AG49" s="112"/>
    </row>
  </sheetData>
  <sheetProtection selectLockedCells="1"/>
  <protectedRanges>
    <protectedRange sqref="AG7:AG49 G7:V49 B7:E18 B22:E49 B19:D20 B21:D21" name="Rango1"/>
    <protectedRange sqref="AE7:AE49" name="Rango1_2"/>
    <protectedRange sqref="A7:A49 F7:F49" name="Rango1_1"/>
    <protectedRange sqref="AD7:AD49" name="Rango1_2_1"/>
    <protectedRange sqref="E19:E20" name="Rango1_1_3"/>
    <protectedRange sqref="E21" name="Rango1_1_4"/>
  </protectedRanges>
  <mergeCells count="9">
    <mergeCell ref="H15:H16"/>
    <mergeCell ref="H12:H13"/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G18 F47:H49 F7:I12 I13 H14:I15 X7:AC49 F13:G17 H17:I27 I16 H28:H46 L7:V49 I28:I49 A7:D49 F19:G46">
    <cfRule type="expression" dxfId="10" priority="247" stopIfTrue="1">
      <formula>"SEVERSTAL"</formula>
    </cfRule>
  </conditionalFormatting>
  <conditionalFormatting sqref="E22:E49 AG7:AG49 AD7:AE49 E7:E17">
    <cfRule type="cellIs" dxfId="9" priority="248" stopIfTrue="1" operator="equal">
      <formula>"APROBADO"</formula>
    </cfRule>
    <cfRule type="cellIs" dxfId="8" priority="249" stopIfTrue="1" operator="equal">
      <formula>"ESPERA"</formula>
    </cfRule>
    <cfRule type="cellIs" dxfId="7" priority="250" stopIfTrue="1" operator="equal">
      <formula>"RECHAZADO"</formula>
    </cfRule>
  </conditionalFormatting>
  <conditionalFormatting sqref="F18">
    <cfRule type="expression" dxfId="6" priority="7" stopIfTrue="1">
      <formula>"SEVERSTAL"</formula>
    </cfRule>
  </conditionalFormatting>
  <conditionalFormatting sqref="E18">
    <cfRule type="cellIs" dxfId="5" priority="8" stopIfTrue="1" operator="equal">
      <formula>"APROBADO"</formula>
    </cfRule>
    <cfRule type="cellIs" dxfId="4" priority="9" stopIfTrue="1" operator="equal">
      <formula>"ESPERA"</formula>
    </cfRule>
    <cfRule type="cellIs" dxfId="3" priority="10" stopIfTrue="1" operator="equal">
      <formula>"RECHAZADO"</formula>
    </cfRule>
  </conditionalFormatting>
  <conditionalFormatting sqref="E19:E21">
    <cfRule type="cellIs" dxfId="2" priority="1" stopIfTrue="1" operator="equal">
      <formula>"APROBADO"</formula>
    </cfRule>
    <cfRule type="cellIs" dxfId="1" priority="2" stopIfTrue="1" operator="equal">
      <formula>"ESPERA"</formula>
    </cfRule>
    <cfRule type="cellIs" dxfId="0" priority="3" stopIfTrue="1" operator="equal">
      <formula>"RECHAZADO"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2025-01-25T04:47:03Z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