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 ICY\"/>
    </mc:Choice>
  </mc:AlternateContent>
  <xr:revisionPtr revIDLastSave="0" documentId="13_ncr:1_{751050C5-B91E-4FF6-BB3E-4237BA45A638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Produccion!$A$6:$AF$6</definedName>
    <definedName name="_xlnm._FilterDatabase" localSheetId="1" hidden="1">Resultados!$A$4:$AH$4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Produccion!$4:$6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3" i="5" l="1"/>
  <c r="AC13" i="5" s="1"/>
  <c r="AA1" i="40516" l="1"/>
  <c r="V10" i="5" l="1"/>
  <c r="AC10" i="5" s="1"/>
  <c r="V11" i="5"/>
  <c r="AC11" i="5" s="1"/>
  <c r="V12" i="5"/>
  <c r="AC5" i="5" l="1"/>
  <c r="AD5" i="5" s="1"/>
  <c r="AE4" i="5"/>
  <c r="AF4" i="5" s="1"/>
  <c r="AD4" i="5"/>
  <c r="AE5" i="5" l="1"/>
  <c r="AF5" i="5" s="1"/>
  <c r="V7" i="5" l="1"/>
  <c r="AC7" i="5" s="1"/>
  <c r="V8" i="5"/>
  <c r="AC8" i="5" s="1"/>
  <c r="V9" i="5"/>
  <c r="AC9" i="5" s="1"/>
  <c r="AC12" i="5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G5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 xr:uid="{00000000-0006-0000-0200-000002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 xr:uid="{00000000-0006-0000-0200-000003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00000000-0006-0000-0200-000004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 xr:uid="{00000000-0006-0000-0200-000005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" authorId="0" shapeId="0" xr:uid="{00000000-0006-0000-0200-000006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0" shapeId="0" xr:uid="{00000000-0006-0000-0200-000007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" authorId="0" shapeId="0" xr:uid="{00000000-0006-0000-0200-000008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E7" authorId="0" shapeId="0" xr:uid="{00000000-0006-0000-0500-000001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8" authorId="0" shapeId="0" xr:uid="{00000000-0006-0000-0500-000002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00000000-0006-0000-0500-000003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0" authorId="0" shapeId="0" xr:uid="{00000000-0006-0000-0500-000004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" authorId="0" shapeId="0" xr:uid="{00000000-0006-0000-0500-000005000000}">
      <text>
        <r>
          <rPr>
            <b/>
            <sz val="12"/>
            <color indexed="81"/>
            <rFont val="Tahoma"/>
            <family val="2"/>
          </rPr>
          <t>PRUEBAS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<sst xmlns="http://schemas.openxmlformats.org/spreadsheetml/2006/main" count="165" uniqueCount="115">
  <si>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</si>
  <si>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</si>
  <si>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</si>
  <si>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</si>
  <si>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</si>
  <si>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</si>
  <si>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</si>
  <si>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</si>
  <si>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</si>
  <si>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</si>
  <si>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</si>
  <si>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</si>
  <si>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</si>
  <si>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</si>
  <si>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</si>
  <si>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</si>
  <si>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</si>
  <si>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</si>
  <si>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</si>
  <si>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</si>
  <si>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</si>
  <si>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</si>
  <si>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</si>
  <si>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</si>
  <si>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</si>
  <si>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</si>
  <si>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</si>
  <si>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</si>
  <si>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</si>
  <si>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</si>
  <si>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</si>
  <si>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</si>
  <si>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</si>
  <si>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</si>
  <si>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</si>
  <si>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</si>
  <si>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</si>
  <si>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</si>
  <si>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</si>
  <si>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</si>
  <si>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</si>
  <si>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</si>
  <si>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</si>
  <si>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</si>
  <si>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</si>
  <si>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</si>
  <si>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</si>
  <si>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</si>
  <si>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</si>
  <si>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</si>
  <si>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</si>
  <si>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</si>
  <si>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</si>
  <si>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</si>
  <si>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</si>
  <si>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</si>
  <si>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</si>
  <si>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</si>
  <si>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</si>
  <si>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</si>
  <si>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</si>
  <si>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</si>
  <si>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</si>
  <si>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</si>
  <si>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</si>
  <si>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</si>
  <si>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</si>
  <si>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</si>
  <si>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</si>
  <si>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</si>
  <si>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</si>
  <si>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</si>
  <si>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</si>
  <si>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</si>
  <si>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</si>
  <si>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</si>
  <si>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</si>
  <si>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</si>
  <si>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</si>
  <si>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</si>
  <si>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</si>
  <si>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</si>
  <si>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</si>
  <si>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</si>
  <si>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</si>
  <si>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</si>
  <si>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</si>
  <si>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</si>
  <si>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</si>
  <si>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</si>
  <si>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</si>
  <si>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</si>
  <si>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</si>
  <si>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</si>
  <si>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</si>
  <si>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</si>
  <si>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</si>
  <si>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TCP L80 ICY 200 mm - 17.98 mm </t>
    </r>
    <r>
      <rPr>
        <b/>
        <sz val="12"/>
        <color indexed="8"/>
        <rFont val="Frutiger 45 Light"/>
        <family val="2"/>
      </rPr>
      <t>( Cupla 7 )</t>
    </r>
  </si>
  <si>
    <t>1 al 100</t>
  </si>
  <si>
    <t>1 al 54</t>
  </si>
  <si>
    <t>1 al 24</t>
  </si>
  <si>
    <t>101 al 135</t>
  </si>
  <si>
    <t>TAMSA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</si>
  <si>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</si>
  <si>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</si>
  <si>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</si>
  <si>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</si>
  <si>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</si>
  <si>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</si>
  <si>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</si>
  <si>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</si>
  <si>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</si>
  <si>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L80ICY</t>
  </si>
  <si>
    <t xml:space="preserve">                             ( Cupla 7 )( Cabezal 7 7/8 </t>
  </si>
  <si>
    <t>TPC L80 ICY 200mm x 17.98mm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</si>
</sst>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8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9" fillId="0" borderId="0" xfId="0" applyFont="1" applyAlignment="1">
      <alignment vertical="center"/>
    </xf>
    <xf numFmtId="0" fontId="0" fillId="4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37" fillId="0" borderId="3" xfId="0" applyFont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3" fillId="0" borderId="0" xfId="0" applyFont="1"/>
    <xf numFmtId="0" fontId="44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14" fontId="47" fillId="0" borderId="0" xfId="0" quotePrefix="1" applyNumberFormat="1" applyFont="1"/>
    <xf numFmtId="14" fontId="47" fillId="0" borderId="0" xfId="0" applyNumberFormat="1" applyFont="1"/>
    <xf numFmtId="0" fontId="49" fillId="0" borderId="0" xfId="0" applyFont="1" applyAlignment="1">
      <alignment horizontal="center"/>
    </xf>
    <xf numFmtId="0" fontId="48" fillId="2" borderId="0" xfId="0" applyFont="1" applyFill="1" applyAlignment="1">
      <alignment horizontal="center"/>
    </xf>
    <xf numFmtId="165" fontId="44" fillId="0" borderId="0" xfId="0" applyNumberFormat="1" applyFont="1" applyAlignment="1">
      <alignment horizontal="center"/>
    </xf>
    <xf numFmtId="0" fontId="51" fillId="2" borderId="0" xfId="0" applyFont="1" applyFill="1" applyAlignment="1">
      <alignment horizontal="center"/>
    </xf>
    <xf numFmtId="0" fontId="53" fillId="0" borderId="0" xfId="0" applyFont="1" applyAlignment="1">
      <alignment horizontal="center"/>
    </xf>
    <xf numFmtId="3" fontId="55" fillId="0" borderId="6" xfId="0" applyNumberFormat="1" applyFont="1" applyBorder="1" applyAlignment="1">
      <alignment horizontal="center"/>
    </xf>
    <xf numFmtId="0" fontId="55" fillId="0" borderId="3" xfId="0" applyFont="1" applyBorder="1" applyAlignment="1" applyProtection="1">
      <alignment horizontal="center"/>
      <protection locked="0"/>
    </xf>
    <xf numFmtId="0" fontId="50" fillId="0" borderId="0" xfId="0" applyFont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5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1" fillId="8" borderId="0" xfId="0" applyFont="1" applyFill="1" applyAlignment="1" applyProtection="1">
      <alignment vertical="center"/>
      <protection hidden="1"/>
    </xf>
    <xf numFmtId="21" fontId="31" fillId="8" borderId="0" xfId="0" applyNumberFormat="1" applyFont="1" applyFill="1" applyAlignment="1" applyProtection="1">
      <alignment horizontal="center" vertical="center"/>
      <protection hidden="1"/>
    </xf>
    <xf numFmtId="21" fontId="28" fillId="8" borderId="0" xfId="0" applyNumberFormat="1" applyFont="1" applyFill="1" applyAlignment="1" applyProtection="1">
      <alignment horizontal="center" vertical="center"/>
      <protection hidden="1"/>
    </xf>
    <xf numFmtId="21" fontId="40" fillId="8" borderId="0" xfId="0" applyNumberFormat="1" applyFont="1" applyFill="1" applyAlignment="1" applyProtection="1">
      <alignment horizontal="center" vertical="center"/>
      <protection hidden="1"/>
    </xf>
    <xf numFmtId="0" fontId="16" fillId="8" borderId="0" xfId="0" applyFont="1" applyFill="1" applyAlignment="1" applyProtection="1">
      <alignment horizontal="center" vertical="center"/>
      <protection hidden="1"/>
    </xf>
    <xf numFmtId="0" fontId="17" fillId="8" borderId="0" xfId="0" applyFont="1" applyFill="1" applyAlignment="1" applyProtection="1">
      <alignment horizontal="center" vertical="center"/>
      <protection hidden="1"/>
    </xf>
    <xf numFmtId="0" fontId="35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18" fillId="7" borderId="0" xfId="0" applyFont="1" applyFill="1" applyAlignment="1" applyProtection="1">
      <alignment horizontal="left" vertical="center"/>
      <protection hidden="1"/>
    </xf>
    <xf numFmtId="0" fontId="21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right" vertical="center"/>
      <protection hidden="1"/>
    </xf>
    <xf numFmtId="0" fontId="22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3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5" fillId="7" borderId="0" xfId="0" applyFont="1" applyFill="1" applyAlignment="1" applyProtection="1">
      <alignment vertical="center"/>
      <protection hidden="1"/>
    </xf>
    <xf numFmtId="0" fontId="39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19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2" fillId="7" borderId="0" xfId="0" applyFont="1" applyFill="1" applyAlignment="1" applyProtection="1">
      <alignment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31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14" fillId="7" borderId="0" xfId="0" applyFont="1" applyFill="1" applyAlignment="1" applyProtection="1">
      <alignment vertical="center"/>
      <protection hidden="1"/>
    </xf>
    <xf numFmtId="0" fontId="32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0" fontId="0" fillId="7" borderId="10" xfId="0" applyFill="1" applyBorder="1" applyAlignment="1" applyProtection="1">
      <alignment vertical="center"/>
      <protection hidden="1"/>
    </xf>
    <xf numFmtId="0" fontId="0" fillId="7" borderId="19" xfId="0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3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5" fillId="7" borderId="25" xfId="0" applyFont="1" applyFill="1" applyBorder="1" applyAlignment="1" applyProtection="1">
      <alignment vertical="center"/>
      <protection hidden="1"/>
    </xf>
    <xf numFmtId="21" fontId="28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5" fillId="7" borderId="24" xfId="0" applyFont="1" applyFill="1" applyBorder="1" applyAlignment="1" applyProtection="1">
      <alignment vertical="center"/>
      <protection hidden="1"/>
    </xf>
    <xf numFmtId="0" fontId="41" fillId="7" borderId="24" xfId="0" applyFont="1" applyFill="1" applyBorder="1" applyAlignment="1" applyProtection="1">
      <alignment vertical="center"/>
      <protection hidden="1"/>
    </xf>
    <xf numFmtId="0" fontId="40" fillId="7" borderId="24" xfId="0" applyFont="1" applyFill="1" applyBorder="1" applyAlignment="1" applyProtection="1">
      <alignment vertical="center"/>
      <protection hidden="1"/>
    </xf>
    <xf numFmtId="21" fontId="40" fillId="7" borderId="24" xfId="0" applyNumberFormat="1" applyFont="1" applyFill="1" applyBorder="1" applyAlignment="1" applyProtection="1">
      <alignment horizontal="center" vertical="center"/>
      <protection hidden="1"/>
    </xf>
    <xf numFmtId="21" fontId="31" fillId="7" borderId="24" xfId="0" applyNumberFormat="1" applyFont="1" applyFill="1" applyBorder="1" applyAlignment="1" applyProtection="1">
      <alignment horizontal="center" vertical="center"/>
      <protection hidden="1"/>
    </xf>
    <xf numFmtId="21" fontId="28" fillId="7" borderId="22" xfId="0" applyNumberFormat="1" applyFont="1" applyFill="1" applyBorder="1" applyAlignment="1" applyProtection="1">
      <alignment horizontal="center" vertical="center"/>
      <protection hidden="1"/>
    </xf>
    <xf numFmtId="0" fontId="57" fillId="6" borderId="0" xfId="0" applyFont="1" applyFill="1" applyAlignment="1">
      <alignment horizontal="center"/>
    </xf>
    <xf numFmtId="15" fontId="54" fillId="0" borderId="6" xfId="0" applyNumberFormat="1" applyFont="1" applyBorder="1" applyAlignment="1">
      <alignment horizontal="center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55" fillId="0" borderId="28" xfId="0" applyFont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3" fontId="62" fillId="0" borderId="27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Border="1" applyAlignment="1">
      <alignment horizontal="center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0" fontId="55" fillId="0" borderId="30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5" fillId="0" borderId="29" xfId="2" applyNumberFormat="1" applyFont="1" applyFill="1" applyBorder="1" applyAlignment="1" applyProtection="1">
      <alignment horizontal="center"/>
      <protection locked="0"/>
    </xf>
    <xf numFmtId="0" fontId="49" fillId="0" borderId="0" xfId="0" applyFont="1"/>
    <xf numFmtId="165" fontId="49" fillId="0" borderId="0" xfId="0" applyNumberFormat="1" applyFont="1" applyAlignment="1">
      <alignment horizontal="center"/>
    </xf>
    <xf numFmtId="0" fontId="49" fillId="0" borderId="25" xfId="0" applyFont="1" applyBorder="1" applyAlignment="1">
      <alignment horizontal="center"/>
    </xf>
    <xf numFmtId="0" fontId="42" fillId="5" borderId="9" xfId="0" applyFont="1" applyFill="1" applyBorder="1" applyAlignment="1">
      <alignment horizontal="center" vertical="center" wrapText="1"/>
    </xf>
    <xf numFmtId="0" fontId="63" fillId="5" borderId="9" xfId="0" applyFont="1" applyFill="1" applyBorder="1" applyAlignment="1">
      <alignment horizontal="center" vertical="center" wrapText="1"/>
    </xf>
    <xf numFmtId="0" fontId="42" fillId="6" borderId="20" xfId="0" applyFont="1" applyFill="1" applyBorder="1" applyAlignment="1">
      <alignment horizontal="center" vertical="center" wrapText="1"/>
    </xf>
    <xf numFmtId="3" fontId="55" fillId="0" borderId="31" xfId="2" applyNumberFormat="1" applyFont="1" applyFill="1" applyBorder="1" applyAlignment="1" applyProtection="1">
      <alignment horizontal="center"/>
      <protection locked="0"/>
    </xf>
    <xf numFmtId="0" fontId="42" fillId="5" borderId="16" xfId="0" applyFont="1" applyFill="1" applyBorder="1" applyAlignment="1">
      <alignment horizontal="center" vertical="center" wrapText="1"/>
    </xf>
    <xf numFmtId="3" fontId="58" fillId="0" borderId="1" xfId="0" applyNumberFormat="1" applyFont="1" applyBorder="1" applyAlignment="1" applyProtection="1">
      <alignment horizontal="center"/>
      <protection locked="0"/>
    </xf>
    <xf numFmtId="0" fontId="42" fillId="5" borderId="9" xfId="0" applyFont="1" applyFill="1" applyBorder="1" applyAlignment="1">
      <alignment horizontal="center" vertical="center"/>
    </xf>
    <xf numFmtId="0" fontId="20" fillId="8" borderId="3" xfId="3" applyFont="1" applyFill="1" applyBorder="1" applyAlignment="1">
      <alignment horizontal="center"/>
    </xf>
    <xf numFmtId="0" fontId="48" fillId="9" borderId="0" xfId="0" applyFont="1" applyFill="1" applyAlignment="1">
      <alignment horizontal="center"/>
    </xf>
    <xf numFmtId="0" fontId="43" fillId="9" borderId="0" xfId="0" applyFont="1" applyFill="1"/>
    <xf numFmtId="0" fontId="64" fillId="9" borderId="0" xfId="0" applyFont="1" applyFill="1" applyAlignment="1">
      <alignment horizontal="center"/>
    </xf>
    <xf numFmtId="0" fontId="44" fillId="9" borderId="0" xfId="0" applyFont="1" applyFill="1" applyAlignment="1">
      <alignment horizontal="left"/>
    </xf>
    <xf numFmtId="0" fontId="51" fillId="9" borderId="0" xfId="0" applyFont="1" applyFill="1" applyAlignment="1">
      <alignment horizontal="center"/>
    </xf>
    <xf numFmtId="0" fontId="52" fillId="9" borderId="0" xfId="0" applyFont="1" applyFill="1" applyAlignment="1">
      <alignment horizontal="right"/>
    </xf>
    <xf numFmtId="1" fontId="50" fillId="8" borderId="0" xfId="0" applyNumberFormat="1" applyFont="1" applyFill="1" applyAlignment="1">
      <alignment horizontal="center"/>
    </xf>
    <xf numFmtId="165" fontId="50" fillId="9" borderId="0" xfId="0" applyNumberFormat="1" applyFont="1" applyFill="1" applyAlignment="1">
      <alignment horizontal="center"/>
    </xf>
    <xf numFmtId="1" fontId="44" fillId="9" borderId="0" xfId="0" applyNumberFormat="1" applyFont="1" applyFill="1" applyAlignment="1">
      <alignment horizontal="center"/>
    </xf>
    <xf numFmtId="165" fontId="37" fillId="0" borderId="3" xfId="0" applyNumberFormat="1" applyFont="1" applyBorder="1" applyAlignment="1">
      <alignment horizontal="center"/>
    </xf>
    <xf numFmtId="0" fontId="38" fillId="0" borderId="0" xfId="0" applyFont="1" applyAlignment="1">
      <alignment horizontal="center" wrapText="1"/>
    </xf>
    <xf numFmtId="0" fontId="38" fillId="0" borderId="0" xfId="4" applyFont="1" applyAlignment="1">
      <alignment wrapText="1"/>
    </xf>
    <xf numFmtId="0" fontId="38" fillId="0" borderId="25" xfId="4" applyFont="1" applyBorder="1" applyAlignment="1">
      <alignment wrapText="1"/>
    </xf>
    <xf numFmtId="0" fontId="71" fillId="10" borderId="36" xfId="4" applyFont="1" applyFill="1" applyBorder="1" applyAlignment="1">
      <alignment horizontal="center"/>
    </xf>
    <xf numFmtId="0" fontId="71" fillId="12" borderId="36" xfId="4" applyFont="1" applyFill="1" applyBorder="1" applyAlignment="1">
      <alignment horizontal="center"/>
    </xf>
    <xf numFmtId="0" fontId="71" fillId="13" borderId="37" xfId="4" applyFont="1" applyFill="1" applyBorder="1" applyAlignment="1">
      <alignment horizontal="center"/>
    </xf>
    <xf numFmtId="0" fontId="72" fillId="15" borderId="3" xfId="4" applyFont="1" applyFill="1" applyBorder="1" applyAlignment="1">
      <alignment horizontal="center" vertical="center" wrapText="1"/>
    </xf>
    <xf numFmtId="0" fontId="72" fillId="11" borderId="3" xfId="4" applyFont="1" applyFill="1" applyBorder="1" applyAlignment="1">
      <alignment horizontal="center" vertical="center" wrapText="1"/>
    </xf>
    <xf numFmtId="0" fontId="71" fillId="10" borderId="3" xfId="4" applyFont="1" applyFill="1" applyBorder="1" applyAlignment="1">
      <alignment horizontal="center" vertical="center" wrapText="1"/>
    </xf>
    <xf numFmtId="0" fontId="71" fillId="12" borderId="3" xfId="4" applyFont="1" applyFill="1" applyBorder="1" applyAlignment="1">
      <alignment horizontal="center" vertical="center" wrapText="1"/>
    </xf>
    <xf numFmtId="0" fontId="71" fillId="13" borderId="3" xfId="4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65" fontId="20" fillId="0" borderId="3" xfId="0" applyNumberFormat="1" applyFon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20" fillId="8" borderId="3" xfId="3" applyNumberFormat="1" applyFont="1" applyFill="1" applyBorder="1" applyAlignment="1">
      <alignment horizontal="center"/>
    </xf>
    <xf numFmtId="0" fontId="0" fillId="0" borderId="3" xfId="0" applyBorder="1"/>
    <xf numFmtId="0" fontId="75" fillId="0" borderId="0" xfId="0" applyFont="1"/>
    <xf numFmtId="0" fontId="59" fillId="7" borderId="0" xfId="0" applyFont="1" applyFill="1" applyAlignment="1" applyProtection="1">
      <alignment horizontal="center" vertical="center"/>
      <protection hidden="1"/>
    </xf>
    <xf numFmtId="0" fontId="70" fillId="14" borderId="13" xfId="4" applyFont="1" applyFill="1" applyBorder="1" applyAlignment="1">
      <alignment horizontal="center" vertical="center" shrinkToFit="1"/>
    </xf>
    <xf numFmtId="0" fontId="70" fillId="14" borderId="12" xfId="4" applyFont="1" applyFill="1" applyBorder="1" applyAlignment="1">
      <alignment horizontal="center" vertical="center" shrinkToFit="1"/>
    </xf>
    <xf numFmtId="0" fontId="70" fillId="14" borderId="14" xfId="4" applyFont="1" applyFill="1" applyBorder="1" applyAlignment="1">
      <alignment horizontal="center" vertical="center" shrinkToFit="1"/>
    </xf>
    <xf numFmtId="0" fontId="70" fillId="14" borderId="15" xfId="4" applyFont="1" applyFill="1" applyBorder="1" applyAlignment="1">
      <alignment horizontal="center" vertical="center" shrinkToFit="1"/>
    </xf>
    <xf numFmtId="0" fontId="73" fillId="0" borderId="24" xfId="0" applyFont="1" applyBorder="1" applyAlignment="1">
      <alignment horizontal="center" vertical="center"/>
    </xf>
    <xf numFmtId="0" fontId="74" fillId="0" borderId="24" xfId="0" applyFont="1" applyBorder="1" applyAlignment="1">
      <alignment horizontal="center" vertical="center"/>
    </xf>
    <xf numFmtId="0" fontId="71" fillId="13" borderId="36" xfId="4" applyFont="1" applyFill="1" applyBorder="1" applyAlignment="1">
      <alignment horizontal="center"/>
    </xf>
    <xf numFmtId="0" fontId="69" fillId="12" borderId="33" xfId="4" applyFont="1" applyFill="1" applyBorder="1" applyAlignment="1">
      <alignment horizontal="center"/>
    </xf>
    <xf numFmtId="0" fontId="68" fillId="10" borderId="32" xfId="4" applyFont="1" applyFill="1" applyBorder="1" applyAlignment="1">
      <alignment horizontal="center"/>
    </xf>
    <xf numFmtId="0" fontId="68" fillId="10" borderId="33" xfId="4" applyFont="1" applyFill="1" applyBorder="1" applyAlignment="1">
      <alignment horizontal="center"/>
    </xf>
    <xf numFmtId="0" fontId="69" fillId="13" borderId="33" xfId="4" applyFont="1" applyFill="1" applyBorder="1" applyAlignment="1">
      <alignment horizontal="center"/>
    </xf>
    <xf numFmtId="0" fontId="69" fillId="13" borderId="34" xfId="4" applyFont="1" applyFill="1" applyBorder="1" applyAlignment="1">
      <alignment horizontal="center"/>
    </xf>
    <xf numFmtId="0" fontId="71" fillId="10" borderId="35" xfId="4" applyFont="1" applyFill="1" applyBorder="1" applyAlignment="1">
      <alignment horizontal="center"/>
    </xf>
    <xf numFmtId="0" fontId="71" fillId="10" borderId="36" xfId="4" applyFont="1" applyFill="1" applyBorder="1" applyAlignment="1">
      <alignment horizontal="center"/>
    </xf>
    <xf numFmtId="0" fontId="70" fillId="14" borderId="19" xfId="4" applyFont="1" applyFill="1" applyBorder="1" applyAlignment="1">
      <alignment horizontal="center" vertical="center" shrinkToFit="1"/>
    </xf>
    <xf numFmtId="0" fontId="70" fillId="14" borderId="21" xfId="4" applyFont="1" applyFill="1" applyBorder="1" applyAlignment="1">
      <alignment horizontal="center" vertical="center" shrinkToFit="1"/>
    </xf>
    <xf numFmtId="0" fontId="67" fillId="11" borderId="20" xfId="4" applyFont="1" applyFill="1" applyBorder="1" applyAlignment="1">
      <alignment horizontal="center" vertical="center"/>
    </xf>
    <xf numFmtId="0" fontId="67" fillId="11" borderId="11" xfId="4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67" fillId="11" borderId="10" xfId="4" applyFont="1" applyFill="1" applyBorder="1" applyAlignment="1">
      <alignment horizontal="center" vertical="center"/>
    </xf>
    <xf numFmtId="0" fontId="67" fillId="11" borderId="19" xfId="4" applyFont="1" applyFill="1" applyBorder="1" applyAlignment="1">
      <alignment horizontal="center" vertical="center"/>
    </xf>
    <xf numFmtId="0" fontId="67" fillId="11" borderId="7" xfId="4" applyFont="1" applyFill="1" applyBorder="1" applyAlignment="1">
      <alignment horizontal="center" vertical="center"/>
    </xf>
    <xf numFmtId="0" fontId="70" fillId="11" borderId="10" xfId="4" applyFont="1" applyFill="1" applyBorder="1" applyAlignment="1">
      <alignment horizontal="center" vertical="center" shrinkToFit="1"/>
    </xf>
    <xf numFmtId="0" fontId="70" fillId="11" borderId="19" xfId="4" applyFont="1" applyFill="1" applyBorder="1" applyAlignment="1">
      <alignment horizontal="center" vertical="center" shrinkToFit="1"/>
    </xf>
    <xf numFmtId="3" fontId="62" fillId="0" borderId="8" xfId="2" applyNumberFormat="1" applyFont="1" applyFill="1" applyBorder="1" applyAlignment="1" applyProtection="1">
      <alignment horizontal="center" vertical="center"/>
      <protection locked="0"/>
    </xf>
    <xf numFmtId="3" fontId="62" fillId="0" borderId="5" xfId="2" applyNumberFormat="1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>
      <alignment horizontal="center"/>
    </xf>
    <xf numFmtId="0" fontId="57" fillId="6" borderId="24" xfId="0" applyFont="1" applyFill="1" applyBorder="1" applyAlignment="1">
      <alignment horizontal="center"/>
    </xf>
    <xf numFmtId="0" fontId="57" fillId="6" borderId="0" xfId="0" applyFont="1" applyFill="1" applyAlignment="1">
      <alignment horizontal="center"/>
    </xf>
    <xf numFmtId="0" fontId="42" fillId="6" borderId="10" xfId="0" applyFont="1" applyFill="1" applyBorder="1" applyAlignment="1">
      <alignment horizontal="center" vertical="center" wrapText="1"/>
    </xf>
    <xf numFmtId="0" fontId="42" fillId="6" borderId="19" xfId="0" applyFont="1" applyFill="1" applyBorder="1" applyAlignment="1">
      <alignment horizontal="center" vertical="center" wrapText="1"/>
    </xf>
    <xf numFmtId="0" fontId="42" fillId="6" borderId="21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B70-4A9E-BCEE-C5C4DED4B3B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B70-4A9E-BCEE-C5C4DED4B3B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B70-4A9E-BCEE-C5C4DED4B3B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B70-4A9E-BCEE-C5C4DED4B3B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B70-4A9E-BCEE-C5C4DED4B3B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B70-4A9E-BCEE-C5C4DED4B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615624"/>
        <c:axId val="233616408"/>
      </c:barChart>
      <c:catAx>
        <c:axId val="233615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61640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33616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6156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838-4EEB-B797-843794C7980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838-4EEB-B797-843794C7980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838-4EEB-B797-843794C7980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838-4EEB-B797-843794C7980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838-4EEB-B797-843794C7980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838-4EEB-B797-843794C7980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838-4EEB-B797-843794C7980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838-4EEB-B797-843794C7980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838-4EEB-B797-843794C7980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838-4EEB-B797-843794C7980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838-4EEB-B797-843794C79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17192"/>
        <c:axId val="233617584"/>
      </c:lineChart>
      <c:catAx>
        <c:axId val="233617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617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617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36171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FE-4367-909F-F125082F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FE-4367-909F-F125082FDAA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FE-4367-909F-F125082FDA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FE-4367-909F-F125082FDA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FE-4367-909F-F125082F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FE-4367-909F-F125082FDAA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FE-4367-909F-F125082FDA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FE-4367-909F-F125082FDA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FE-4367-909F-F125082F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FE-4367-909F-F125082FDAA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FE-4367-909F-F125082FDAA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FE-4367-909F-F125082FDAA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FE-4367-909F-F125082FDAA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FE-4367-909F-F125082FD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007360"/>
        <c:axId val="238007752"/>
      </c:barChart>
      <c:catAx>
        <c:axId val="23800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007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8007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007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AF-46AE-934D-D20FB963B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7AF-46AE-934D-D20FB963BC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AF-46AE-934D-D20FB963B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AF-46AE-934D-D20FB963B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AF-46AE-934D-D20FB963B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7AF-46AE-934D-D20FB963BC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AF-46AE-934D-D20FB963B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AF-46AE-934D-D20FB963B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AF-46AE-934D-D20FB963B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AF-46AE-934D-D20FB963BC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AF-46AE-934D-D20FB963B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AF-46AE-934D-D20FB963B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AF-46AE-934D-D20FB963B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7AF-46AE-934D-D20FB963B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008536"/>
        <c:axId val="238808696"/>
      </c:barChart>
      <c:catAx>
        <c:axId val="238008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808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8808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008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25-4F37-997C-3919588C3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25-4F37-997C-3919588C36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5-4F37-997C-3919588C3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25-4F37-997C-3919588C3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5-4F37-997C-3919588C3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25-4F37-997C-3919588C36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5-4F37-997C-3919588C3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25-4F37-997C-3919588C3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5-4F37-997C-3919588C3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25-4F37-997C-3919588C36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25-4F37-997C-3919588C36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25-4F37-997C-3919588C36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25-4F37-997C-3919588C36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25-4F37-997C-3919588C3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809480"/>
        <c:axId val="238809872"/>
      </c:barChart>
      <c:catAx>
        <c:axId val="23880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809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8809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809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387-4FF3-8C6A-D8BAF11FA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7-4FF3-8C6A-D8BAF11FA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387-4FF3-8C6A-D8BAF11FA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387-4FF3-8C6A-D8BAF11FA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387-4FF3-8C6A-D8BAF11FA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387-4FF3-8C6A-D8BAF11FA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387-4FF3-8C6A-D8BAF11FA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387-4FF3-8C6A-D8BAF11FA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387-4FF3-8C6A-D8BAF11FA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387-4FF3-8C6A-D8BAF11FA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387-4FF3-8C6A-D8BAF11FA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387-4FF3-8C6A-D8BAF11FA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387-4FF3-8C6A-D8BAF11FA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387-4FF3-8C6A-D8BAF11FA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810656"/>
        <c:axId val="238811048"/>
      </c:barChart>
      <c:catAx>
        <c:axId val="23881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811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8811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810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63-445A-BD3C-12DB54FFFD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63-445A-BD3C-12DB54FFFD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63-445A-BD3C-12DB54FFFD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63-445A-BD3C-12DB54FFFD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63-445A-BD3C-12DB54FFFD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63-445A-BD3C-12DB54FFFD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63-445A-BD3C-12DB54FFFD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63-445A-BD3C-12DB54FFFD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63-445A-BD3C-12DB54FFFD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63-445A-BD3C-12DB54FFFD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63-445A-BD3C-12DB54FFFD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63-445A-BD3C-12DB54FFFD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63-445A-BD3C-12DB54FFFD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63-445A-BD3C-12DB54FFF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811832"/>
        <c:axId val="238812224"/>
      </c:barChart>
      <c:catAx>
        <c:axId val="238811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812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8812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8811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CF-4249-A624-7C65BFF17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CF-4249-A624-7C65BFF177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CF-4249-A624-7C65BFF17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CF-4249-A624-7C65BFF17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CF-4249-A624-7C65BFF17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CF-4249-A624-7C65BFF177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CF-4249-A624-7C65BFF17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CF-4249-A624-7C65BFF17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CF-4249-A624-7C65BFF17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CF-4249-A624-7C65BFF177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CF-4249-A624-7C65BFF17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CF-4249-A624-7C65BFF17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CF-4249-A624-7C65BFF17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CF-4249-A624-7C65BFF17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124496"/>
        <c:axId val="239124888"/>
      </c:barChart>
      <c:catAx>
        <c:axId val="239124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124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124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124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47-4510-B7B4-443F20947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47-4510-B7B4-443F209473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47-4510-B7B4-443F209473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47-4510-B7B4-443F209473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47-4510-B7B4-443F20947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47-4510-B7B4-443F209473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47-4510-B7B4-443F209473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47-4510-B7B4-443F209473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47-4510-B7B4-443F20947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47-4510-B7B4-443F209473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47-4510-B7B4-443F209473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47-4510-B7B4-443F209473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47-4510-B7B4-443F209473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47-4510-B7B4-443F20947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125672"/>
        <c:axId val="239126064"/>
      </c:barChart>
      <c:catAx>
        <c:axId val="239125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126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126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125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CB-4AE7-8078-C15F52BEB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1CB-4AE7-8078-C15F52BEB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CB-4AE7-8078-C15F52BEB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CB-4AE7-8078-C15F52BEB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1CB-4AE7-8078-C15F52BEB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1CB-4AE7-8078-C15F52BEB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CB-4AE7-8078-C15F52BEB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1CB-4AE7-8078-C15F52BEB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1CB-4AE7-8078-C15F52BEB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1CB-4AE7-8078-C15F52BEB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CB-4AE7-8078-C15F52BEB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CB-4AE7-8078-C15F52BEB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1CB-4AE7-8078-C15F52BEB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1CB-4AE7-8078-C15F52BEB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126848"/>
        <c:axId val="239127240"/>
      </c:barChart>
      <c:catAx>
        <c:axId val="23912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127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127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126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6B-4FEE-8DF1-DE7ECE81E0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6B-4FEE-8DF1-DE7ECE81E0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6B-4FEE-8DF1-DE7ECE81E0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6B-4FEE-8DF1-DE7ECE81E0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6B-4FEE-8DF1-DE7ECE81E0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6B-4FEE-8DF1-DE7ECE81E0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6B-4FEE-8DF1-DE7ECE81E0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6B-4FEE-8DF1-DE7ECE81E0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6B-4FEE-8DF1-DE7ECE81E0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6B-4FEE-8DF1-DE7ECE81E0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6B-4FEE-8DF1-DE7ECE81E0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6B-4FEE-8DF1-DE7ECE81E0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6B-4FEE-8DF1-DE7ECE81E0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6B-4FEE-8DF1-DE7ECE81E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435408"/>
        <c:axId val="239435800"/>
      </c:barChart>
      <c:catAx>
        <c:axId val="23943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435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435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435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1C-44CF-9EC4-1CFFAAE3E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1C-44CF-9EC4-1CFFAAE3E2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1C-44CF-9EC4-1CFFAAE3E2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1C-44CF-9EC4-1CFFAAE3E2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1C-44CF-9EC4-1CFFAAE3E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1C-44CF-9EC4-1CFFAAE3E2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1C-44CF-9EC4-1CFFAAE3E2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1C-44CF-9EC4-1CFFAAE3E2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1C-44CF-9EC4-1CFFAAE3E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1C-44CF-9EC4-1CFFAAE3E2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1C-44CF-9EC4-1CFFAAE3E2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1C-44CF-9EC4-1CFFAAE3E2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1C-44CF-9EC4-1CFFAAE3E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1C-44CF-9EC4-1CFFAAE3E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436584"/>
        <c:axId val="239436976"/>
      </c:barChart>
      <c:catAx>
        <c:axId val="239436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436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436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436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F3-487D-AE8C-F01402828D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F3-487D-AE8C-F01402828D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F3-487D-AE8C-F01402828D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F3-487D-AE8C-F01402828D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F3-487D-AE8C-F01402828D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F3-487D-AE8C-F01402828D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F3-487D-AE8C-F01402828D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F3-487D-AE8C-F01402828D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F3-487D-AE8C-F01402828D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F3-487D-AE8C-F01402828D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F3-487D-AE8C-F01402828D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F3-487D-AE8C-F01402828D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F3-487D-AE8C-F01402828D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F3-487D-AE8C-F01402828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437760"/>
        <c:axId val="239438152"/>
      </c:barChart>
      <c:catAx>
        <c:axId val="23943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438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438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437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9F-4464-B267-0BA77C598E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9F-4464-B267-0BA77C598E0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9F-4464-B267-0BA77C598E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9F-4464-B267-0BA77C598E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9F-4464-B267-0BA77C598E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9F-4464-B267-0BA77C598E0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9F-4464-B267-0BA77C598E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9F-4464-B267-0BA77C598E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9F-4464-B267-0BA77C598E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9F-4464-B267-0BA77C598E0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9F-4464-B267-0BA77C598E0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9F-4464-B267-0BA77C598E0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9F-4464-B267-0BA77C598E0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9F-4464-B267-0BA77C598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438936"/>
        <c:axId val="239723408"/>
      </c:barChart>
      <c:catAx>
        <c:axId val="239438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723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723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438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0C-4774-862F-46E7A0D15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0C-4774-862F-46E7A0D152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0C-4774-862F-46E7A0D152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0C-4774-862F-46E7A0D152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0C-4774-862F-46E7A0D15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0C-4774-862F-46E7A0D152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0C-4774-862F-46E7A0D152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0C-4774-862F-46E7A0D152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0C-4774-862F-46E7A0D15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0C-4774-862F-46E7A0D152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0C-4774-862F-46E7A0D152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0C-4774-862F-46E7A0D152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0C-4774-862F-46E7A0D152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0C-4774-862F-46E7A0D15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724192"/>
        <c:axId val="239724584"/>
      </c:barChart>
      <c:catAx>
        <c:axId val="23972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724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724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724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20-48D4-BC82-6544A52768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20-48D4-BC82-6544A527680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20-48D4-BC82-6544A52768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20-48D4-BC82-6544A52768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20-48D4-BC82-6544A52768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20-48D4-BC82-6544A527680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20-48D4-BC82-6544A52768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20-48D4-BC82-6544A52768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20-48D4-BC82-6544A52768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20-48D4-BC82-6544A527680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20-48D4-BC82-6544A527680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20-48D4-BC82-6544A527680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20-48D4-BC82-6544A527680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20-48D4-BC82-6544A5276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725368"/>
        <c:axId val="239725760"/>
      </c:barChart>
      <c:catAx>
        <c:axId val="239725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725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725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725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9D-4453-B6B8-309D5E5A3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9D-4453-B6B8-309D5E5A3F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9D-4453-B6B8-309D5E5A3F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9D-4453-B6B8-309D5E5A3F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9D-4453-B6B8-309D5E5A3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9D-4453-B6B8-309D5E5A3F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9D-4453-B6B8-309D5E5A3F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9D-4453-B6B8-309D5E5A3F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9D-4453-B6B8-309D5E5A3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9D-4453-B6B8-309D5E5A3F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9D-4453-B6B8-309D5E5A3F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9D-4453-B6B8-309D5E5A3F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9D-4453-B6B8-309D5E5A3F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9D-4453-B6B8-309D5E5A3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726544"/>
        <c:axId val="239726936"/>
      </c:barChart>
      <c:catAx>
        <c:axId val="239726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726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726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726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5B-4A5B-BEF0-9EE9B25DAD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85B-4A5B-BEF0-9EE9B25DAD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85B-4A5B-BEF0-9EE9B25DAD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85B-4A5B-BEF0-9EE9B25DAD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85B-4A5B-BEF0-9EE9B25DAD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85B-4A5B-BEF0-9EE9B25DAD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85B-4A5B-BEF0-9EE9B25DAD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85B-4A5B-BEF0-9EE9B25DAD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85B-4A5B-BEF0-9EE9B25DAD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85B-4A5B-BEF0-9EE9B25DAD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85B-4A5B-BEF0-9EE9B25DAD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85B-4A5B-BEF0-9EE9B25DAD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85B-4A5B-BEF0-9EE9B25DAD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85B-4A5B-BEF0-9EE9B25DA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598560"/>
        <c:axId val="234598952"/>
      </c:barChart>
      <c:catAx>
        <c:axId val="23459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598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598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598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E2-4DAB-BE3C-72CA960A5C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E2-4DAB-BE3C-72CA960A5C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E2-4DAB-BE3C-72CA960A5C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E2-4DAB-BE3C-72CA960A5C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E2-4DAB-BE3C-72CA960A5C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E2-4DAB-BE3C-72CA960A5C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E2-4DAB-BE3C-72CA960A5C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E2-4DAB-BE3C-72CA960A5C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E2-4DAB-BE3C-72CA960A5C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E2-4DAB-BE3C-72CA960A5C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E2-4DAB-BE3C-72CA960A5C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E2-4DAB-BE3C-72CA960A5C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E2-4DAB-BE3C-72CA960A5C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E2-4DAB-BE3C-72CA960A5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599736"/>
        <c:axId val="234600128"/>
      </c:barChart>
      <c:catAx>
        <c:axId val="23459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60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60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59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AE-42B1-96F1-401D063130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AE-42B1-96F1-401D063130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AE-42B1-96F1-401D063130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AE-42B1-96F1-401D063130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AE-42B1-96F1-401D063130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AE-42B1-96F1-401D063130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AE-42B1-96F1-401D063130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AE-42B1-96F1-401D063130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AE-42B1-96F1-401D063130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AE-42B1-96F1-401D063130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AE-42B1-96F1-401D063130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AE-42B1-96F1-401D063130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AE-42B1-96F1-401D063130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AE-42B1-96F1-401D06313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600912"/>
        <c:axId val="234601304"/>
      </c:barChart>
      <c:catAx>
        <c:axId val="23460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601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601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600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0B-4253-BAAE-F18F474D9E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0B-4253-BAAE-F18F474D9E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0B-4253-BAAE-F18F474D9E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0B-4253-BAAE-F18F474D9E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0B-4253-BAAE-F18F474D9E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0B-4253-BAAE-F18F474D9E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0B-4253-BAAE-F18F474D9E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0B-4253-BAAE-F18F474D9E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0B-4253-BAAE-F18F474D9E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0B-4253-BAAE-F18F474D9E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0B-4253-BAAE-F18F474D9E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0B-4253-BAAE-F18F474D9E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0B-4253-BAAE-F18F474D9E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0B-4253-BAAE-F18F474D9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721048"/>
        <c:axId val="234721440"/>
      </c:barChart>
      <c:catAx>
        <c:axId val="234721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721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721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721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B8-4969-92AD-22509E5674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B8-4969-92AD-22509E5674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B8-4969-92AD-22509E5674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B8-4969-92AD-22509E5674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B8-4969-92AD-22509E5674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B8-4969-92AD-22509E5674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B8-4969-92AD-22509E5674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B8-4969-92AD-22509E5674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B8-4969-92AD-22509E5674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B8-4969-92AD-22509E5674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B8-4969-92AD-22509E5674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B8-4969-92AD-22509E5674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B8-4969-92AD-22509E5674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B8-4969-92AD-22509E567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722224"/>
        <c:axId val="234722616"/>
      </c:barChart>
      <c:catAx>
        <c:axId val="23472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722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722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722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46-4C7A-98F4-E894F3149F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46-4C7A-98F4-E894F3149F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46-4C7A-98F4-E894F3149F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46-4C7A-98F4-E894F3149F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46-4C7A-98F4-E894F3149F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46-4C7A-98F4-E894F3149F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46-4C7A-98F4-E894F3149F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46-4C7A-98F4-E894F3149F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46-4C7A-98F4-E894F3149F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46-4C7A-98F4-E894F3149F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46-4C7A-98F4-E894F3149F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46-4C7A-98F4-E894F3149F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46-4C7A-98F4-E894F3149F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46-4C7A-98F4-E894F314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723400"/>
        <c:axId val="234723792"/>
      </c:barChart>
      <c:catAx>
        <c:axId val="234723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723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4723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723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20-4191-B939-CFB2DC0987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20-4191-B939-CFB2DC0987C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20-4191-B939-CFB2DC0987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20-4191-B939-CFB2DC0987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20-4191-B939-CFB2DC0987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20-4191-B939-CFB2DC0987C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20-4191-B939-CFB2DC0987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20-4191-B939-CFB2DC0987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20-4191-B939-CFB2DC0987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20-4191-B939-CFB2DC0987C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20-4191-B939-CFB2DC0987C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20-4191-B939-CFB2DC0987C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20-4191-B939-CFB2DC0987C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20-4191-B939-CFB2DC098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4724576"/>
        <c:axId val="239898184"/>
      </c:barChart>
      <c:catAx>
        <c:axId val="234724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89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898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4724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F8-4512-A94C-81747B7499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F8-4512-A94C-81747B7499C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F8-4512-A94C-81747B7499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F8-4512-A94C-81747B7499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F8-4512-A94C-81747B7499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F8-4512-A94C-81747B7499C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F8-4512-A94C-81747B7499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F8-4512-A94C-81747B7499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F8-4512-A94C-81747B7499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F8-4512-A94C-81747B7499C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F8-4512-A94C-81747B7499C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F8-4512-A94C-81747B7499C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F8-4512-A94C-81747B7499C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F8-4512-A94C-81747B749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898968"/>
        <c:axId val="239899360"/>
      </c:barChart>
      <c:catAx>
        <c:axId val="239898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89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899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898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C6-4C31-8E4F-24F67B5A7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C6-4C31-8E4F-24F67B5A714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C6-4C31-8E4F-24F67B5A71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C6-4C31-8E4F-24F67B5A71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C6-4C31-8E4F-24F67B5A7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C6-4C31-8E4F-24F67B5A714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C6-4C31-8E4F-24F67B5A71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C6-4C31-8E4F-24F67B5A71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C6-4C31-8E4F-24F67B5A7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C6-4C31-8E4F-24F67B5A714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C6-4C31-8E4F-24F67B5A714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C6-4C31-8E4F-24F67B5A714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C6-4C31-8E4F-24F67B5A714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C6-4C31-8E4F-24F67B5A7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900144"/>
        <c:axId val="239900536"/>
      </c:barChart>
      <c:catAx>
        <c:axId val="239900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90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900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39900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174112</xdr:colOff>
      <xdr:row>0</xdr:row>
      <xdr:rowOff>79068</xdr:rowOff>
    </xdr:from>
    <xdr:to>
      <xdr:col>1</xdr:col>
      <xdr:colOff>314119</xdr:colOff>
      <xdr:row>2</xdr:row>
      <xdr:rowOff>262194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112" y="79068"/>
          <a:ext cx="979846" cy="9103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399435</xdr:colOff>
      <xdr:row>0</xdr:row>
      <xdr:rowOff>112662</xdr:rowOff>
    </xdr:from>
    <xdr:to>
      <xdr:col>2</xdr:col>
      <xdr:colOff>327742</xdr:colOff>
      <xdr:row>2</xdr:row>
      <xdr:rowOff>215081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39274" y="112662"/>
          <a:ext cx="768145" cy="82959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6</xdr:row>
      <xdr:rowOff>0</xdr:rowOff>
    </xdr:from>
    <xdr:to>
      <xdr:col>4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Normal="100" workbookViewId="0"/>
  </sheetViews>
  <sheetFormatPr defaultColWidth="10.6640625" defaultRowHeight="14.25" customHeight="1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35"/>
      <c r="B1" s="36"/>
      <c r="C1" s="36"/>
      <c r="D1" s="36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7"/>
      <c r="V1" s="2"/>
      <c r="W1" s="2"/>
    </row>
    <row r="2" spans="1:23" ht="17.5" customHeight="1">
      <c r="A2" s="38"/>
      <c r="B2" s="86"/>
      <c r="C2" s="87"/>
      <c r="D2" s="87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9"/>
      <c r="R2" s="35"/>
      <c r="S2" s="35"/>
      <c r="T2" s="35"/>
      <c r="U2" s="37"/>
      <c r="V2" s="2"/>
      <c r="W2" s="2"/>
    </row>
    <row r="3" spans="1:23" ht="17.5" customHeight="1">
      <c r="A3" s="38"/>
      <c r="B3" s="90"/>
      <c r="C3" s="53"/>
      <c r="D3" s="53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91"/>
      <c r="R3" s="35"/>
      <c r="S3" s="35"/>
      <c r="T3" s="35"/>
      <c r="U3" s="37"/>
      <c r="V3" s="2"/>
      <c r="W3" s="2"/>
    </row>
    <row r="4" spans="1:23" ht="10.5" customHeight="1">
      <c r="A4" s="38"/>
      <c r="B4" s="90"/>
      <c r="C4" s="54"/>
      <c r="D4" s="55"/>
      <c r="E4" s="56"/>
      <c r="F4" s="56"/>
      <c r="G4" s="56"/>
      <c r="H4" s="56"/>
      <c r="I4" s="56"/>
      <c r="J4" s="56"/>
      <c r="K4" s="56"/>
      <c r="L4" s="56"/>
      <c r="M4" s="56"/>
      <c r="N4" s="57"/>
      <c r="O4" s="52"/>
      <c r="P4" s="52"/>
      <c r="Q4" s="91"/>
      <c r="R4" s="35"/>
      <c r="S4" s="35"/>
      <c r="T4" s="35"/>
      <c r="U4" s="37"/>
      <c r="V4" s="2"/>
      <c r="W4" s="2"/>
    </row>
    <row r="5" spans="1:23" ht="32.25" customHeight="1">
      <c r="A5" s="36"/>
      <c r="B5" s="90"/>
      <c r="C5" s="58"/>
      <c r="D5" s="58"/>
      <c r="E5" s="167" t="s">
        <v>65</v>
      </c>
      <c r="F5" s="167"/>
      <c r="G5" s="167"/>
      <c r="H5" s="167"/>
      <c r="I5" s="167"/>
      <c r="J5" s="167"/>
      <c r="K5" s="167"/>
      <c r="L5" s="167"/>
      <c r="M5" s="167"/>
      <c r="N5" s="59"/>
      <c r="O5" s="52"/>
      <c r="P5" s="52"/>
      <c r="Q5" s="91"/>
      <c r="R5" s="35"/>
      <c r="S5" s="35"/>
      <c r="T5" s="35"/>
      <c r="U5" s="37"/>
      <c r="V5" s="2"/>
      <c r="W5" s="2"/>
    </row>
    <row r="6" spans="1:23" ht="17.5" customHeight="1">
      <c r="A6" s="38"/>
      <c r="B6" s="90"/>
      <c r="C6" s="60"/>
      <c r="D6" s="60"/>
      <c r="E6" s="61"/>
      <c r="F6" s="62"/>
      <c r="G6" s="62"/>
      <c r="H6" s="62"/>
      <c r="I6" s="62"/>
      <c r="J6" s="62"/>
      <c r="K6" s="62"/>
      <c r="L6" s="62"/>
      <c r="M6" s="62"/>
      <c r="N6" s="63"/>
      <c r="O6" s="64"/>
      <c r="P6" s="64"/>
      <c r="Q6" s="92"/>
      <c r="R6" s="35"/>
      <c r="S6" s="35"/>
      <c r="T6" s="35"/>
      <c r="U6" s="37"/>
      <c r="V6" s="2"/>
      <c r="W6" s="2"/>
    </row>
    <row r="7" spans="1:23" ht="17.5" customHeight="1">
      <c r="A7" s="38"/>
      <c r="B7" s="93"/>
      <c r="C7" s="65"/>
      <c r="D7" s="65"/>
      <c r="E7" s="66"/>
      <c r="F7" s="66"/>
      <c r="G7" s="66"/>
      <c r="H7" s="66"/>
      <c r="I7" s="66"/>
      <c r="J7" s="66"/>
      <c r="K7" s="66"/>
      <c r="L7" s="66"/>
      <c r="M7" s="52"/>
      <c r="N7" s="64"/>
      <c r="O7" s="64"/>
      <c r="P7" s="64"/>
      <c r="Q7" s="92"/>
      <c r="R7" s="35"/>
      <c r="S7" s="35"/>
      <c r="T7" s="35"/>
      <c r="U7" s="37"/>
      <c r="V7" s="2"/>
      <c r="W7" s="2"/>
    </row>
    <row r="8" spans="1:23" ht="17.5" customHeight="1">
      <c r="A8" s="38"/>
      <c r="B8" s="94"/>
      <c r="C8" s="67"/>
      <c r="D8" s="67"/>
      <c r="E8" s="68"/>
      <c r="F8" s="69"/>
      <c r="G8" s="69"/>
      <c r="H8" s="69"/>
      <c r="I8" s="70"/>
      <c r="J8" s="70"/>
      <c r="K8" s="70"/>
      <c r="L8" s="71"/>
      <c r="M8" s="52"/>
      <c r="N8" s="52"/>
      <c r="O8" s="64"/>
      <c r="P8" s="64"/>
      <c r="Q8" s="92"/>
      <c r="R8" s="35"/>
      <c r="S8" s="35"/>
      <c r="T8" s="35"/>
      <c r="U8" s="37"/>
      <c r="V8" s="2"/>
      <c r="W8" s="2"/>
    </row>
    <row r="9" spans="1:23" ht="17.5" customHeight="1">
      <c r="A9" s="38"/>
      <c r="B9" s="94"/>
      <c r="C9" s="67"/>
      <c r="D9" s="72"/>
      <c r="E9" s="70"/>
      <c r="F9" s="70"/>
      <c r="G9" s="70"/>
      <c r="H9" s="70"/>
      <c r="I9" s="70"/>
      <c r="J9" s="70"/>
      <c r="K9" s="70"/>
      <c r="L9" s="71"/>
      <c r="M9" s="52"/>
      <c r="N9" s="52"/>
      <c r="O9" s="64"/>
      <c r="P9" s="52"/>
      <c r="Q9" s="91"/>
      <c r="R9" s="35"/>
      <c r="S9" s="35"/>
      <c r="T9" s="35"/>
      <c r="U9" s="37"/>
      <c r="V9" s="2"/>
      <c r="W9" s="2"/>
    </row>
    <row r="10" spans="1:23" ht="17.5" customHeight="1">
      <c r="A10" s="38"/>
      <c r="B10" s="94"/>
      <c r="C10" s="67"/>
      <c r="D10" s="73"/>
      <c r="E10" s="74"/>
      <c r="F10" s="70"/>
      <c r="G10" s="70"/>
      <c r="H10" s="70"/>
      <c r="I10" s="70"/>
      <c r="J10" s="70"/>
      <c r="K10" s="70"/>
      <c r="L10" s="71"/>
      <c r="M10" s="52"/>
      <c r="N10" s="52"/>
      <c r="O10" s="64"/>
      <c r="P10" s="52"/>
      <c r="Q10" s="91"/>
      <c r="R10" s="35"/>
      <c r="S10" s="35"/>
      <c r="T10" s="35"/>
      <c r="U10" s="37"/>
      <c r="V10" s="2"/>
      <c r="W10" s="2"/>
    </row>
    <row r="11" spans="1:23" ht="12" customHeight="1">
      <c r="A11" s="38"/>
      <c r="B11" s="94"/>
      <c r="C11" s="67"/>
      <c r="D11" s="75"/>
      <c r="E11" s="70"/>
      <c r="F11" s="70"/>
      <c r="G11" s="70"/>
      <c r="H11" s="70"/>
      <c r="I11" s="70"/>
      <c r="J11" s="70"/>
      <c r="K11" s="70"/>
      <c r="L11" s="76"/>
      <c r="M11" s="76"/>
      <c r="N11" s="76"/>
      <c r="O11" s="77"/>
      <c r="P11" s="52"/>
      <c r="Q11" s="91"/>
      <c r="R11" s="35"/>
      <c r="S11" s="35"/>
      <c r="T11" s="35"/>
      <c r="U11" s="37"/>
      <c r="V11" s="2"/>
      <c r="W11" s="2"/>
    </row>
    <row r="12" spans="1:23" ht="17.5" customHeight="1">
      <c r="A12" s="38"/>
      <c r="B12" s="94"/>
      <c r="C12" s="67"/>
      <c r="D12" s="67"/>
      <c r="E12" s="70"/>
      <c r="F12" s="70"/>
      <c r="G12" s="70"/>
      <c r="H12" s="70"/>
      <c r="I12" s="70"/>
      <c r="J12" s="70"/>
      <c r="K12" s="70"/>
      <c r="L12" s="78"/>
      <c r="M12" s="76"/>
      <c r="N12" s="76"/>
      <c r="O12" s="77"/>
      <c r="P12" s="79"/>
      <c r="Q12" s="91"/>
      <c r="R12" s="35"/>
      <c r="S12" s="35"/>
      <c r="T12" s="35"/>
      <c r="U12" s="37"/>
      <c r="V12" s="2"/>
      <c r="W12" s="2"/>
    </row>
    <row r="13" spans="1:23" ht="17.25" customHeight="1">
      <c r="A13" s="38"/>
      <c r="B13" s="95"/>
      <c r="C13" s="67"/>
      <c r="D13" s="67"/>
      <c r="E13" s="80"/>
      <c r="F13" s="70"/>
      <c r="G13" s="70"/>
      <c r="H13" s="70"/>
      <c r="I13" s="70"/>
      <c r="J13" s="70"/>
      <c r="K13" s="70"/>
      <c r="L13" s="78"/>
      <c r="M13" s="76"/>
      <c r="N13" s="76"/>
      <c r="O13" s="77"/>
      <c r="P13" s="79"/>
      <c r="Q13" s="91"/>
      <c r="R13" s="35"/>
      <c r="S13" s="35"/>
      <c r="T13" s="35"/>
      <c r="U13" s="37"/>
      <c r="V13" s="2"/>
      <c r="W13" s="2"/>
    </row>
    <row r="14" spans="1:23" ht="17.25" customHeight="1">
      <c r="A14" s="38"/>
      <c r="B14" s="95"/>
      <c r="C14" s="81"/>
      <c r="D14" s="67"/>
      <c r="E14" s="70"/>
      <c r="F14" s="70"/>
      <c r="G14" s="70"/>
      <c r="H14" s="70"/>
      <c r="I14" s="70"/>
      <c r="J14" s="70"/>
      <c r="K14" s="70"/>
      <c r="L14" s="78"/>
      <c r="M14" s="76"/>
      <c r="N14" s="76"/>
      <c r="O14" s="77"/>
      <c r="P14" s="79"/>
      <c r="Q14" s="91"/>
      <c r="R14" s="35"/>
      <c r="S14" s="35"/>
      <c r="T14" s="35"/>
      <c r="U14" s="37"/>
      <c r="V14" s="2"/>
      <c r="W14" s="2"/>
    </row>
    <row r="15" spans="1:23" ht="17.5" customHeight="1">
      <c r="A15" s="41"/>
      <c r="B15" s="95"/>
      <c r="C15" s="67"/>
      <c r="D15" s="67"/>
      <c r="E15" s="70"/>
      <c r="F15" s="70"/>
      <c r="G15" s="70"/>
      <c r="H15" s="70"/>
      <c r="I15" s="70"/>
      <c r="J15" s="70"/>
      <c r="K15" s="70"/>
      <c r="L15" s="78"/>
      <c r="M15" s="76"/>
      <c r="N15" s="76"/>
      <c r="O15" s="77"/>
      <c r="P15" s="82"/>
      <c r="Q15" s="96"/>
      <c r="R15" s="35"/>
      <c r="S15" s="35"/>
      <c r="T15" s="35"/>
      <c r="U15" s="37"/>
      <c r="V15" s="2"/>
      <c r="W15" s="2"/>
    </row>
    <row r="16" spans="1:23" ht="17.5" customHeight="1">
      <c r="A16" s="41"/>
      <c r="B16" s="94"/>
      <c r="C16" s="67"/>
      <c r="D16" s="67"/>
      <c r="E16" s="83"/>
      <c r="F16" s="70"/>
      <c r="G16" s="70"/>
      <c r="H16" s="70"/>
      <c r="I16" s="70"/>
      <c r="J16" s="70"/>
      <c r="K16" s="70"/>
      <c r="L16" s="78"/>
      <c r="M16" s="76"/>
      <c r="N16" s="76"/>
      <c r="O16" s="77"/>
      <c r="P16" s="82"/>
      <c r="Q16" s="96"/>
      <c r="R16" s="35"/>
      <c r="S16" s="35"/>
      <c r="T16" s="35"/>
      <c r="U16" s="37"/>
      <c r="V16" s="2"/>
      <c r="W16" s="2"/>
    </row>
    <row r="17" spans="1:23" ht="17.5" customHeight="1">
      <c r="A17" s="41"/>
      <c r="B17" s="95"/>
      <c r="C17" s="67"/>
      <c r="D17" s="67"/>
      <c r="E17" s="70"/>
      <c r="F17" s="70"/>
      <c r="G17" s="70"/>
      <c r="H17" s="70"/>
      <c r="I17" s="70"/>
      <c r="J17" s="70"/>
      <c r="K17" s="70"/>
      <c r="L17" s="78"/>
      <c r="M17" s="76"/>
      <c r="N17" s="76"/>
      <c r="O17" s="77"/>
      <c r="P17" s="82"/>
      <c r="Q17" s="91"/>
      <c r="R17" s="35"/>
      <c r="S17" s="35"/>
      <c r="T17" s="35"/>
      <c r="U17" s="37"/>
      <c r="V17" s="2"/>
      <c r="W17" s="2"/>
    </row>
    <row r="18" spans="1:23" ht="17.25" customHeight="1">
      <c r="A18" s="41"/>
      <c r="B18" s="95"/>
      <c r="C18" s="67"/>
      <c r="D18" s="67"/>
      <c r="E18" s="70"/>
      <c r="F18" s="70"/>
      <c r="G18" s="70"/>
      <c r="H18" s="70"/>
      <c r="I18" s="70"/>
      <c r="J18" s="70"/>
      <c r="K18" s="70"/>
      <c r="L18" s="78"/>
      <c r="M18" s="76"/>
      <c r="N18" s="76"/>
      <c r="O18" s="77"/>
      <c r="P18" s="82"/>
      <c r="Q18" s="91"/>
      <c r="R18" s="35"/>
      <c r="S18" s="35"/>
      <c r="T18" s="35"/>
      <c r="U18" s="37"/>
      <c r="V18" s="2"/>
      <c r="W18" s="2"/>
    </row>
    <row r="19" spans="1:23" ht="17.5" customHeight="1">
      <c r="A19" s="41"/>
      <c r="B19" s="94"/>
      <c r="C19" s="67"/>
      <c r="D19" s="67"/>
      <c r="E19" s="70"/>
      <c r="F19" s="70"/>
      <c r="G19" s="70"/>
      <c r="H19" s="70"/>
      <c r="I19" s="70"/>
      <c r="J19" s="70"/>
      <c r="K19" s="70"/>
      <c r="L19" s="84"/>
      <c r="M19" s="76"/>
      <c r="N19" s="76"/>
      <c r="O19" s="77"/>
      <c r="P19" s="82"/>
      <c r="Q19" s="96"/>
      <c r="R19" s="35"/>
      <c r="S19" s="35"/>
      <c r="T19" s="35"/>
      <c r="U19" s="37"/>
      <c r="V19" s="2"/>
      <c r="W19" s="2"/>
    </row>
    <row r="20" spans="1:23" ht="17.5" customHeight="1">
      <c r="A20" s="41"/>
      <c r="B20" s="94"/>
      <c r="C20" s="67"/>
      <c r="D20" s="67"/>
      <c r="E20" s="70"/>
      <c r="F20" s="70"/>
      <c r="G20" s="70"/>
      <c r="H20" s="70"/>
      <c r="I20" s="70"/>
      <c r="J20" s="70"/>
      <c r="K20" s="70"/>
      <c r="L20" s="84"/>
      <c r="M20" s="76"/>
      <c r="N20" s="76"/>
      <c r="O20" s="77"/>
      <c r="P20" s="85"/>
      <c r="Q20" s="97"/>
      <c r="R20" s="35"/>
      <c r="S20" s="35"/>
      <c r="T20" s="35"/>
      <c r="U20" s="37"/>
      <c r="V20" s="2"/>
      <c r="W20" s="2"/>
    </row>
    <row r="21" spans="1:23" ht="17.5" customHeight="1">
      <c r="A21" s="41"/>
      <c r="B21" s="98"/>
      <c r="C21" s="99"/>
      <c r="D21" s="99"/>
      <c r="E21" s="100"/>
      <c r="F21" s="100"/>
      <c r="G21" s="100"/>
      <c r="H21" s="100"/>
      <c r="I21" s="100"/>
      <c r="J21" s="100"/>
      <c r="K21" s="100"/>
      <c r="L21" s="101"/>
      <c r="M21" s="102"/>
      <c r="N21" s="102"/>
      <c r="O21" s="103"/>
      <c r="P21" s="104"/>
      <c r="Q21" s="105"/>
      <c r="R21" s="35"/>
      <c r="S21" s="35"/>
      <c r="T21" s="35"/>
      <c r="U21" s="37"/>
      <c r="V21" s="2"/>
      <c r="W21" s="2"/>
    </row>
    <row r="22" spans="1:23" ht="17.5" customHeight="1">
      <c r="A22" s="41"/>
      <c r="B22" s="46"/>
      <c r="C22" s="47"/>
      <c r="D22" s="47"/>
      <c r="E22" s="48"/>
      <c r="F22" s="39"/>
      <c r="G22" s="39"/>
      <c r="H22" s="39"/>
      <c r="I22" s="39"/>
      <c r="J22" s="39"/>
      <c r="K22" s="39"/>
      <c r="L22" s="42"/>
      <c r="M22" s="40"/>
      <c r="N22" s="40"/>
      <c r="O22" s="45"/>
      <c r="P22" s="43"/>
      <c r="Q22" s="44"/>
      <c r="R22" s="35"/>
      <c r="S22" s="35"/>
      <c r="T22" s="35"/>
      <c r="U22" s="37"/>
      <c r="V22" s="2"/>
      <c r="W22" s="2"/>
    </row>
    <row r="23" spans="1:23" ht="15" customHeight="1">
      <c r="A23" s="49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49"/>
      <c r="S23" s="50"/>
      <c r="T23" s="50"/>
      <c r="U23" s="50"/>
      <c r="V23" s="2"/>
      <c r="W23" s="2"/>
    </row>
    <row r="24" spans="1:23" ht="15" customHeight="1">
      <c r="A24" s="49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49"/>
      <c r="S24" s="50"/>
      <c r="T24" s="50"/>
      <c r="U24" s="50"/>
      <c r="V24" s="2"/>
      <c r="W24" s="2"/>
    </row>
    <row r="25" spans="1:23" ht="15" customHeight="1">
      <c r="A25" s="49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49"/>
      <c r="S25" s="50"/>
      <c r="T25" s="50"/>
      <c r="U25" s="50"/>
      <c r="V25" s="2"/>
      <c r="W25" s="2"/>
    </row>
    <row r="26" spans="1:23" ht="14">
      <c r="A26" s="49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49"/>
      <c r="S26" s="50"/>
      <c r="T26" s="50"/>
      <c r="U26" s="51"/>
    </row>
    <row r="27" spans="1:23" ht="14">
      <c r="A27" s="49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49"/>
      <c r="S27" s="50"/>
      <c r="T27" s="50"/>
      <c r="U27" s="51"/>
    </row>
    <row r="28" spans="1:23" ht="14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 ht="14">
      <c r="B71" s="7" t="s">
        <v>23</v>
      </c>
    </row>
    <row r="72" spans="2:2" ht="14">
      <c r="B72" s="8" t="s">
        <v>25</v>
      </c>
    </row>
    <row r="73" spans="2:2" ht="14">
      <c r="B73" s="9" t="s">
        <v>29</v>
      </c>
    </row>
    <row r="74" spans="2:2" ht="14">
      <c r="B74" s="10"/>
    </row>
    <row r="76" spans="2:2" ht="14">
      <c r="B76" s="7" t="s">
        <v>23</v>
      </c>
    </row>
    <row r="77" spans="2:2" ht="14">
      <c r="B77" s="8" t="s">
        <v>26</v>
      </c>
    </row>
    <row r="78" spans="2:2" ht="14">
      <c r="B78" s="9" t="s">
        <v>30</v>
      </c>
    </row>
    <row r="79" spans="2:2" ht="14">
      <c r="B79" s="10"/>
    </row>
    <row r="81" spans="2:2" ht="14">
      <c r="B81" s="7" t="s">
        <v>31</v>
      </c>
    </row>
    <row r="82" spans="2:2" ht="14">
      <c r="B82" s="8" t="s">
        <v>20</v>
      </c>
    </row>
    <row r="83" spans="2:2" ht="14">
      <c r="B83" s="9" t="s">
        <v>27</v>
      </c>
    </row>
    <row r="84" spans="2:2" ht="14">
      <c r="B84" s="9" t="s">
        <v>32</v>
      </c>
    </row>
    <row r="85" spans="2:2" ht="14">
      <c r="B85" s="9" t="s">
        <v>33</v>
      </c>
    </row>
    <row r="86" spans="2:2" ht="14">
      <c r="B86" s="9" t="s">
        <v>34</v>
      </c>
    </row>
    <row r="87" spans="2:2" ht="14">
      <c r="B87" s="10" t="s">
        <v>35</v>
      </c>
    </row>
    <row r="88" spans="2:2" ht="14">
      <c r="B88" s="1"/>
    </row>
    <row r="89" spans="2:2" ht="14">
      <c r="B89" s="7" t="s">
        <v>36</v>
      </c>
    </row>
    <row r="90" spans="2:2" ht="14">
      <c r="B90" s="11">
        <v>23</v>
      </c>
    </row>
    <row r="91" spans="2:2" ht="14">
      <c r="B91" s="12">
        <v>27</v>
      </c>
    </row>
    <row r="92" spans="2:2" ht="14">
      <c r="B92" s="12">
        <v>31</v>
      </c>
    </row>
    <row r="93" spans="2:2" ht="14">
      <c r="B93" s="12">
        <v>41</v>
      </c>
    </row>
    <row r="94" spans="2:2" ht="14">
      <c r="B94" s="13" t="s">
        <v>37</v>
      </c>
    </row>
    <row r="95" spans="2:2" ht="14">
      <c r="B95" s="13" t="s">
        <v>38</v>
      </c>
    </row>
    <row r="96" spans="2:2" ht="14">
      <c r="B96" s="13" t="s">
        <v>28</v>
      </c>
    </row>
    <row r="97" spans="2:2" ht="14">
      <c r="B97" s="14" t="s">
        <v>39</v>
      </c>
    </row>
    <row r="98" spans="2:2" ht="14">
      <c r="B98" s="1"/>
    </row>
    <row r="99" spans="2:2" ht="14">
      <c r="B99" s="7" t="s">
        <v>24</v>
      </c>
    </row>
    <row r="100" spans="2:2" ht="14">
      <c r="B100" s="15">
        <v>190</v>
      </c>
    </row>
    <row r="101" spans="2:2" ht="14">
      <c r="B101" s="16">
        <v>217</v>
      </c>
    </row>
    <row r="102" spans="2:2" ht="14">
      <c r="B102" s="16">
        <v>250</v>
      </c>
    </row>
    <row r="103" spans="2:2" ht="14">
      <c r="B103" s="16">
        <v>254</v>
      </c>
    </row>
    <row r="104" spans="2:2" ht="14">
      <c r="B104" s="16">
        <v>271</v>
      </c>
    </row>
    <row r="105" spans="2:2" ht="14">
      <c r="B105" s="16">
        <v>304</v>
      </c>
    </row>
    <row r="106" spans="2:2" ht="14">
      <c r="B106" s="16">
        <v>317</v>
      </c>
    </row>
    <row r="107" spans="2:2" ht="14">
      <c r="B107" s="16">
        <v>362</v>
      </c>
    </row>
    <row r="108" spans="2:2" ht="14">
      <c r="B108" s="17"/>
    </row>
    <row r="109" spans="2:2" ht="14">
      <c r="B109" s="1"/>
    </row>
    <row r="110" spans="2:2" ht="14">
      <c r="B110" s="7" t="s">
        <v>40</v>
      </c>
    </row>
    <row r="111" spans="2:2" ht="14">
      <c r="B111" s="8" t="s">
        <v>41</v>
      </c>
    </row>
    <row r="112" spans="2:2" ht="14">
      <c r="B112" s="9" t="s">
        <v>42</v>
      </c>
    </row>
    <row r="113" spans="2:2" ht="14">
      <c r="B113" s="9" t="s">
        <v>43</v>
      </c>
    </row>
    <row r="114" spans="2:2" ht="14">
      <c r="B114" s="10" t="s">
        <v>14</v>
      </c>
    </row>
    <row r="250" spans="6:7" ht="14">
      <c r="G250" t="s">
        <v>44</v>
      </c>
    </row>
    <row r="252" spans="6:7" ht="14">
      <c r="F252">
        <v>0</v>
      </c>
      <c r="G252" t="s">
        <v>45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46</v>
      </c>
    </row>
    <row r="271" spans="5:6" ht="14">
      <c r="E271" t="s">
        <v>47</v>
      </c>
    </row>
    <row r="272" spans="5:6" ht="14">
      <c r="E272" t="s">
        <v>47</v>
      </c>
    </row>
    <row r="274" spans="5:5" ht="14">
      <c r="E274" t="s">
        <v>48</v>
      </c>
    </row>
    <row r="275" spans="5:5" ht="14">
      <c r="E275" t="s">
        <v>49</v>
      </c>
    </row>
    <row r="276" spans="5:5" ht="14">
      <c r="E276" t="s">
        <v>50</v>
      </c>
    </row>
    <row r="277" spans="5:5" ht="14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20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I6" sqref="I6"/>
    </sheetView>
  </sheetViews>
  <sheetFormatPr defaultColWidth="10.6640625" defaultRowHeight="14.25" customHeight="1"/>
  <cols>
    <col min="5" max="5" width="10.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3203125" customWidth="1"/>
    <col min="14" max="23" width="6.58203125" customWidth="1"/>
    <col min="28" max="28" width="15.08203125" customWidth="1"/>
  </cols>
  <sheetData>
    <row r="1" spans="1:34" ht="30" customHeight="1" thickBot="1">
      <c r="D1" s="172" t="s">
        <v>17</v>
      </c>
      <c r="E1" s="172"/>
      <c r="F1" s="172"/>
      <c r="G1" s="172"/>
      <c r="H1" s="172"/>
      <c r="I1" s="172"/>
      <c r="J1" s="172"/>
      <c r="K1" s="172"/>
      <c r="L1" s="146"/>
      <c r="M1" s="146"/>
      <c r="N1" s="6"/>
      <c r="O1" s="186"/>
      <c r="P1" s="186"/>
      <c r="Q1" s="186"/>
      <c r="R1" s="186"/>
      <c r="S1" s="186"/>
      <c r="T1" s="186"/>
      <c r="U1" s="186"/>
      <c r="V1" s="186"/>
      <c r="W1" s="186"/>
      <c r="X1" s="3"/>
      <c r="Y1" s="3"/>
      <c r="Z1" s="3"/>
      <c r="AA1" s="3">
        <f>3600/200</f>
        <v>18</v>
      </c>
      <c r="AB1" s="3"/>
      <c r="AC1" s="3"/>
      <c r="AD1" s="3"/>
      <c r="AE1" s="3" t="s">
        <v>113</v>
      </c>
      <c r="AF1" s="3"/>
      <c r="AG1" s="3"/>
      <c r="AH1" s="3"/>
    </row>
    <row r="2" spans="1:34" ht="28" thickBot="1">
      <c r="D2" s="172" t="s">
        <v>18</v>
      </c>
      <c r="E2" s="172"/>
      <c r="F2" s="172"/>
      <c r="G2" s="172"/>
      <c r="H2" s="172"/>
      <c r="I2" s="172"/>
      <c r="J2" s="172"/>
      <c r="K2" s="172"/>
      <c r="L2" s="147"/>
      <c r="M2" s="148"/>
      <c r="N2" s="187" t="s">
        <v>103</v>
      </c>
      <c r="O2" s="188"/>
      <c r="P2" s="184" t="s">
        <v>104</v>
      </c>
      <c r="Q2" s="184"/>
      <c r="R2" s="184"/>
      <c r="S2" s="184"/>
      <c r="T2" s="184"/>
      <c r="U2" s="185"/>
      <c r="V2" s="189" t="s">
        <v>103</v>
      </c>
      <c r="W2" s="184"/>
      <c r="X2" s="176" t="s">
        <v>78</v>
      </c>
      <c r="Y2" s="177"/>
      <c r="Z2" s="177"/>
      <c r="AA2" s="177"/>
      <c r="AB2" s="175" t="s">
        <v>77</v>
      </c>
      <c r="AC2" s="175"/>
      <c r="AD2" s="178" t="s">
        <v>79</v>
      </c>
      <c r="AE2" s="178"/>
      <c r="AF2" s="178"/>
      <c r="AG2" s="178"/>
      <c r="AH2" s="179"/>
    </row>
    <row r="3" spans="1:34" ht="24.5">
      <c r="D3" s="173" t="s">
        <v>114</v>
      </c>
      <c r="E3" s="173"/>
      <c r="F3" s="173"/>
      <c r="G3" s="173"/>
      <c r="H3" s="173"/>
      <c r="I3" s="173"/>
      <c r="J3" s="173"/>
      <c r="K3" s="173"/>
      <c r="L3" s="147"/>
      <c r="M3" s="148"/>
      <c r="N3" s="168" t="s">
        <v>88</v>
      </c>
      <c r="O3" s="169"/>
      <c r="P3" s="170" t="s">
        <v>64</v>
      </c>
      <c r="Q3" s="171"/>
      <c r="R3" s="170" t="s">
        <v>85</v>
      </c>
      <c r="S3" s="171"/>
      <c r="T3" s="182" t="s">
        <v>87</v>
      </c>
      <c r="U3" s="183"/>
      <c r="V3" s="190" t="s">
        <v>86</v>
      </c>
      <c r="W3" s="191"/>
      <c r="X3" s="180" t="s">
        <v>74</v>
      </c>
      <c r="Y3" s="181"/>
      <c r="Z3" s="149" t="s">
        <v>75</v>
      </c>
      <c r="AA3" s="149" t="s">
        <v>69</v>
      </c>
      <c r="AB3" s="150" t="s">
        <v>71</v>
      </c>
      <c r="AC3" s="150" t="s">
        <v>73</v>
      </c>
      <c r="AD3" s="174" t="s">
        <v>76</v>
      </c>
      <c r="AE3" s="174"/>
      <c r="AF3" s="174" t="s">
        <v>75</v>
      </c>
      <c r="AG3" s="174"/>
      <c r="AH3" s="151" t="s">
        <v>69</v>
      </c>
    </row>
    <row r="4" spans="1:34" ht="15.5">
      <c r="A4" s="152" t="s">
        <v>23</v>
      </c>
      <c r="B4" s="152" t="s">
        <v>105</v>
      </c>
      <c r="C4" s="152" t="s">
        <v>106</v>
      </c>
      <c r="D4" s="152" t="s">
        <v>19</v>
      </c>
      <c r="E4" s="152" t="s">
        <v>1</v>
      </c>
      <c r="F4" s="152" t="s">
        <v>107</v>
      </c>
      <c r="G4" s="152" t="s">
        <v>5</v>
      </c>
      <c r="H4" s="152" t="s">
        <v>108</v>
      </c>
      <c r="I4" s="152" t="s">
        <v>56</v>
      </c>
      <c r="J4" s="152" t="s">
        <v>109</v>
      </c>
      <c r="K4" s="152" t="s">
        <v>21</v>
      </c>
      <c r="L4" s="152" t="s">
        <v>22</v>
      </c>
      <c r="M4" s="152" t="s">
        <v>110</v>
      </c>
      <c r="N4" s="153" t="s">
        <v>16</v>
      </c>
      <c r="O4" s="153" t="s">
        <v>2</v>
      </c>
      <c r="P4" s="153" t="s">
        <v>16</v>
      </c>
      <c r="Q4" s="153" t="s">
        <v>2</v>
      </c>
      <c r="R4" s="153" t="s">
        <v>16</v>
      </c>
      <c r="S4" s="153" t="s">
        <v>2</v>
      </c>
      <c r="T4" s="153" t="s">
        <v>16</v>
      </c>
      <c r="U4" s="153" t="s">
        <v>2</v>
      </c>
      <c r="V4" s="153" t="s">
        <v>16</v>
      </c>
      <c r="W4" s="153" t="s">
        <v>2</v>
      </c>
      <c r="X4" s="154" t="s">
        <v>80</v>
      </c>
      <c r="Y4" s="154" t="s">
        <v>81</v>
      </c>
      <c r="Z4" s="154" t="s">
        <v>80</v>
      </c>
      <c r="AA4" s="154" t="s">
        <v>70</v>
      </c>
      <c r="AB4" s="155" t="s">
        <v>72</v>
      </c>
      <c r="AC4" s="155" t="s">
        <v>82</v>
      </c>
      <c r="AD4" s="156" t="s">
        <v>80</v>
      </c>
      <c r="AE4" s="156" t="s">
        <v>81</v>
      </c>
      <c r="AF4" s="156" t="s">
        <v>80</v>
      </c>
      <c r="AG4" s="156" t="s">
        <v>83</v>
      </c>
      <c r="AH4" s="156" t="s">
        <v>70</v>
      </c>
    </row>
    <row r="5" spans="1:34" ht="15.5">
      <c r="A5" s="157" t="s">
        <v>111</v>
      </c>
      <c r="B5" s="158">
        <v>200</v>
      </c>
      <c r="C5" s="158">
        <v>17.98</v>
      </c>
      <c r="D5" s="157" t="s">
        <v>112</v>
      </c>
      <c r="E5" s="159">
        <v>43384</v>
      </c>
      <c r="F5" s="160" t="s">
        <v>102</v>
      </c>
      <c r="G5" s="19">
        <v>6820</v>
      </c>
      <c r="H5" s="18">
        <v>91071</v>
      </c>
      <c r="I5" s="18">
        <v>2800133</v>
      </c>
      <c r="J5" s="135">
        <v>776</v>
      </c>
      <c r="K5" s="135">
        <v>60</v>
      </c>
      <c r="L5" s="118">
        <v>2.96</v>
      </c>
      <c r="M5" s="19">
        <v>5</v>
      </c>
      <c r="N5" s="161">
        <v>88.1</v>
      </c>
      <c r="O5" s="20">
        <v>103.9</v>
      </c>
      <c r="P5" s="20">
        <v>88.8</v>
      </c>
      <c r="Q5" s="20">
        <v>104.4</v>
      </c>
      <c r="R5" s="20">
        <v>88.2</v>
      </c>
      <c r="S5" s="20">
        <v>104.5</v>
      </c>
      <c r="T5" s="20">
        <v>88.2</v>
      </c>
      <c r="U5" s="20">
        <v>103.6</v>
      </c>
      <c r="V5" s="19">
        <v>88.1</v>
      </c>
      <c r="W5" s="145">
        <v>104.3</v>
      </c>
      <c r="X5" s="162">
        <v>880</v>
      </c>
      <c r="Y5" s="162">
        <v>800</v>
      </c>
      <c r="Z5" s="163">
        <v>930</v>
      </c>
      <c r="AA5" s="163">
        <v>200</v>
      </c>
      <c r="AB5" s="164">
        <v>0.1</v>
      </c>
      <c r="AC5" s="135">
        <v>1700</v>
      </c>
      <c r="AD5" s="158">
        <v>732</v>
      </c>
      <c r="AE5" s="158">
        <v>660</v>
      </c>
      <c r="AF5" s="158">
        <v>732</v>
      </c>
      <c r="AG5" s="158">
        <v>732</v>
      </c>
      <c r="AH5" s="163">
        <v>200</v>
      </c>
    </row>
    <row r="6" spans="1:34" ht="15.5">
      <c r="A6" s="157" t="s">
        <v>111</v>
      </c>
      <c r="B6" s="158">
        <v>200</v>
      </c>
      <c r="C6" s="158">
        <v>17.98</v>
      </c>
      <c r="D6" s="157" t="s">
        <v>112</v>
      </c>
      <c r="E6" s="159">
        <v>43384</v>
      </c>
      <c r="F6" s="160" t="s">
        <v>102</v>
      </c>
      <c r="G6" s="19">
        <v>6820</v>
      </c>
      <c r="H6" s="18">
        <v>91071</v>
      </c>
      <c r="I6" s="18">
        <v>2800133</v>
      </c>
      <c r="J6" s="135">
        <v>776</v>
      </c>
      <c r="K6" s="135">
        <v>60</v>
      </c>
      <c r="L6" s="118">
        <v>2.96</v>
      </c>
      <c r="M6" s="19">
        <v>21</v>
      </c>
      <c r="N6" s="161">
        <v>89.7</v>
      </c>
      <c r="O6" s="20">
        <v>105.2</v>
      </c>
      <c r="P6" s="20"/>
      <c r="Q6" s="20"/>
      <c r="R6" s="20"/>
      <c r="S6" s="20"/>
      <c r="T6" s="20"/>
      <c r="U6" s="20"/>
      <c r="V6" s="19">
        <v>89.7</v>
      </c>
      <c r="W6" s="145">
        <v>105</v>
      </c>
      <c r="X6" s="162">
        <v>880</v>
      </c>
      <c r="Y6" s="162">
        <v>800</v>
      </c>
      <c r="Z6" s="163">
        <v>930</v>
      </c>
      <c r="AA6" s="163">
        <v>200</v>
      </c>
      <c r="AB6" s="164">
        <v>0.1</v>
      </c>
      <c r="AC6" s="135">
        <v>1700</v>
      </c>
      <c r="AD6" s="158">
        <v>732</v>
      </c>
      <c r="AE6" s="158">
        <v>660</v>
      </c>
      <c r="AF6" s="158">
        <v>732</v>
      </c>
      <c r="AG6" s="158">
        <v>732</v>
      </c>
      <c r="AH6" s="163">
        <v>200</v>
      </c>
    </row>
    <row r="7" spans="1:34" ht="15.5">
      <c r="A7" s="157" t="s">
        <v>111</v>
      </c>
      <c r="B7" s="158">
        <v>200</v>
      </c>
      <c r="C7" s="158">
        <v>17.98</v>
      </c>
      <c r="D7" s="157" t="s">
        <v>112</v>
      </c>
      <c r="E7" s="159">
        <v>43384</v>
      </c>
      <c r="F7" s="160" t="s">
        <v>102</v>
      </c>
      <c r="G7" s="19">
        <v>6821</v>
      </c>
      <c r="H7" s="18">
        <v>91069</v>
      </c>
      <c r="I7" s="18">
        <v>2800133</v>
      </c>
      <c r="J7" s="135">
        <v>776</v>
      </c>
      <c r="K7" s="135">
        <v>61</v>
      </c>
      <c r="L7" s="118">
        <v>2</v>
      </c>
      <c r="M7" s="19">
        <v>5</v>
      </c>
      <c r="N7" s="161">
        <v>86.6</v>
      </c>
      <c r="O7" s="20">
        <v>102.6</v>
      </c>
      <c r="P7" s="20"/>
      <c r="Q7" s="20"/>
      <c r="R7" s="20"/>
      <c r="S7" s="20"/>
      <c r="T7" s="20"/>
      <c r="U7" s="20"/>
      <c r="V7" s="19">
        <v>88.2</v>
      </c>
      <c r="W7" s="145">
        <v>104</v>
      </c>
      <c r="X7" s="162">
        <v>880</v>
      </c>
      <c r="Y7" s="162">
        <v>800</v>
      </c>
      <c r="Z7" s="163">
        <v>930</v>
      </c>
      <c r="AA7" s="163">
        <v>200</v>
      </c>
      <c r="AB7" s="164">
        <v>0.1</v>
      </c>
      <c r="AC7" s="135">
        <v>1700</v>
      </c>
      <c r="AD7" s="158">
        <v>732</v>
      </c>
      <c r="AE7" s="158">
        <v>660</v>
      </c>
      <c r="AF7" s="158">
        <v>732</v>
      </c>
      <c r="AG7" s="158">
        <v>732</v>
      </c>
      <c r="AH7" s="163">
        <v>200</v>
      </c>
    </row>
    <row r="8" spans="1:34" ht="15.5">
      <c r="A8" s="157" t="s">
        <v>111</v>
      </c>
      <c r="B8" s="158">
        <v>200</v>
      </c>
      <c r="C8" s="158">
        <v>17.98</v>
      </c>
      <c r="D8" s="157" t="s">
        <v>112</v>
      </c>
      <c r="E8" s="159">
        <v>43384</v>
      </c>
      <c r="F8" s="160" t="s">
        <v>102</v>
      </c>
      <c r="G8" s="19">
        <v>6821</v>
      </c>
      <c r="H8" s="18">
        <v>91069</v>
      </c>
      <c r="I8" s="18">
        <v>2800133</v>
      </c>
      <c r="J8" s="135">
        <v>776</v>
      </c>
      <c r="K8" s="135">
        <v>61</v>
      </c>
      <c r="L8" s="118">
        <v>2</v>
      </c>
      <c r="M8" s="19">
        <v>40</v>
      </c>
      <c r="N8" s="161">
        <v>87.5</v>
      </c>
      <c r="O8" s="20">
        <v>103.6</v>
      </c>
      <c r="P8" s="20"/>
      <c r="Q8" s="20"/>
      <c r="R8" s="20"/>
      <c r="S8" s="20"/>
      <c r="T8" s="20"/>
      <c r="U8" s="20"/>
      <c r="V8" s="19">
        <v>89.6</v>
      </c>
      <c r="W8" s="145">
        <v>105.4</v>
      </c>
      <c r="X8" s="162">
        <v>880</v>
      </c>
      <c r="Y8" s="162">
        <v>800</v>
      </c>
      <c r="Z8" s="163">
        <v>930</v>
      </c>
      <c r="AA8" s="163">
        <v>200</v>
      </c>
      <c r="AB8" s="164">
        <v>0.1</v>
      </c>
      <c r="AC8" s="135">
        <v>1700</v>
      </c>
      <c r="AD8" s="158">
        <v>732</v>
      </c>
      <c r="AE8" s="158">
        <v>660</v>
      </c>
      <c r="AF8" s="158">
        <v>732</v>
      </c>
      <c r="AG8" s="158">
        <v>732</v>
      </c>
      <c r="AH8" s="163">
        <v>200</v>
      </c>
    </row>
    <row r="9" spans="1:34" ht="15.5">
      <c r="A9" s="157" t="s">
        <v>111</v>
      </c>
      <c r="B9" s="158">
        <v>200</v>
      </c>
      <c r="C9" s="158">
        <v>17.98</v>
      </c>
      <c r="D9" s="157" t="s">
        <v>112</v>
      </c>
      <c r="E9" s="159">
        <v>43384</v>
      </c>
      <c r="F9" s="160" t="s">
        <v>102</v>
      </c>
      <c r="G9" s="19">
        <v>6822</v>
      </c>
      <c r="H9" s="18">
        <v>91070</v>
      </c>
      <c r="I9" s="18">
        <v>2800133</v>
      </c>
      <c r="J9" s="135">
        <v>776</v>
      </c>
      <c r="K9" s="135">
        <v>61</v>
      </c>
      <c r="L9" s="118">
        <v>2.54</v>
      </c>
      <c r="M9" s="19">
        <v>2</v>
      </c>
      <c r="N9" s="161">
        <v>88.7</v>
      </c>
      <c r="O9" s="20">
        <v>104.6</v>
      </c>
      <c r="P9" s="20"/>
      <c r="Q9" s="20"/>
      <c r="R9" s="20"/>
      <c r="S9" s="20"/>
      <c r="T9" s="20"/>
      <c r="U9" s="20"/>
      <c r="V9" s="145">
        <v>89</v>
      </c>
      <c r="W9" s="145">
        <v>104.6</v>
      </c>
      <c r="X9" s="162">
        <v>880</v>
      </c>
      <c r="Y9" s="162">
        <v>800</v>
      </c>
      <c r="Z9" s="163">
        <v>930</v>
      </c>
      <c r="AA9" s="163">
        <v>200</v>
      </c>
      <c r="AB9" s="164">
        <v>0.1</v>
      </c>
      <c r="AC9" s="135">
        <v>1700</v>
      </c>
      <c r="AD9" s="158">
        <v>732</v>
      </c>
      <c r="AE9" s="158">
        <v>660</v>
      </c>
      <c r="AF9" s="158">
        <v>732</v>
      </c>
      <c r="AG9" s="158">
        <v>732</v>
      </c>
      <c r="AH9" s="163">
        <v>200</v>
      </c>
    </row>
    <row r="10" spans="1:34" ht="15.5">
      <c r="A10" s="157" t="s">
        <v>111</v>
      </c>
      <c r="B10" s="158">
        <v>200</v>
      </c>
      <c r="C10" s="158">
        <v>17.98</v>
      </c>
      <c r="D10" s="157" t="s">
        <v>112</v>
      </c>
      <c r="E10" s="159">
        <v>43384</v>
      </c>
      <c r="F10" s="160" t="s">
        <v>102</v>
      </c>
      <c r="G10" s="19">
        <v>6822</v>
      </c>
      <c r="H10" s="18">
        <v>91070</v>
      </c>
      <c r="I10" s="18">
        <v>2800133</v>
      </c>
      <c r="J10" s="135">
        <v>776</v>
      </c>
      <c r="K10" s="135">
        <v>61</v>
      </c>
      <c r="L10" s="118">
        <v>2.54</v>
      </c>
      <c r="M10" s="19">
        <v>60</v>
      </c>
      <c r="N10" s="161">
        <v>87.9</v>
      </c>
      <c r="O10" s="20">
        <v>103.3</v>
      </c>
      <c r="P10" s="20"/>
      <c r="Q10" s="20"/>
      <c r="R10" s="20"/>
      <c r="S10" s="20"/>
      <c r="T10" s="20"/>
      <c r="U10" s="20"/>
      <c r="V10" s="19">
        <v>88.5</v>
      </c>
      <c r="W10" s="145">
        <v>104.6</v>
      </c>
      <c r="X10" s="162">
        <v>880</v>
      </c>
      <c r="Y10" s="162">
        <v>800</v>
      </c>
      <c r="Z10" s="163">
        <v>930</v>
      </c>
      <c r="AA10" s="163">
        <v>200</v>
      </c>
      <c r="AB10" s="164">
        <v>0.1</v>
      </c>
      <c r="AC10" s="135">
        <v>1700</v>
      </c>
      <c r="AD10" s="158">
        <v>732</v>
      </c>
      <c r="AE10" s="158">
        <v>660</v>
      </c>
      <c r="AF10" s="158">
        <v>732</v>
      </c>
      <c r="AG10" s="158">
        <v>732</v>
      </c>
      <c r="AH10" s="163">
        <v>200</v>
      </c>
    </row>
    <row r="11" spans="1:34" ht="15.5">
      <c r="A11" s="157" t="s">
        <v>111</v>
      </c>
      <c r="B11" s="158">
        <v>200</v>
      </c>
      <c r="C11" s="158">
        <v>17.98</v>
      </c>
      <c r="D11" s="157" t="s">
        <v>112</v>
      </c>
      <c r="E11" s="159">
        <v>43384</v>
      </c>
      <c r="F11" s="160" t="s">
        <v>102</v>
      </c>
      <c r="G11" s="19">
        <v>6823</v>
      </c>
      <c r="H11" s="18">
        <v>91070</v>
      </c>
      <c r="I11" s="18">
        <v>2800133</v>
      </c>
      <c r="J11" s="135">
        <v>776</v>
      </c>
      <c r="K11" s="135">
        <v>61</v>
      </c>
      <c r="L11" s="118">
        <v>2.54</v>
      </c>
      <c r="M11" s="19">
        <v>104</v>
      </c>
      <c r="N11" s="161">
        <v>88</v>
      </c>
      <c r="O11" s="20">
        <v>104.3</v>
      </c>
      <c r="P11" s="20"/>
      <c r="Q11" s="20"/>
      <c r="R11" s="20"/>
      <c r="S11" s="20"/>
      <c r="T11" s="20"/>
      <c r="U11" s="20"/>
      <c r="V11" s="19">
        <v>89.8</v>
      </c>
      <c r="W11" s="145">
        <v>105</v>
      </c>
      <c r="X11" s="162">
        <v>880</v>
      </c>
      <c r="Y11" s="162">
        <v>800</v>
      </c>
      <c r="Z11" s="163">
        <v>930</v>
      </c>
      <c r="AA11" s="163">
        <v>200</v>
      </c>
      <c r="AB11" s="164">
        <v>0.1</v>
      </c>
      <c r="AC11" s="135">
        <v>1700</v>
      </c>
      <c r="AD11" s="158">
        <v>732</v>
      </c>
      <c r="AE11" s="158">
        <v>660</v>
      </c>
      <c r="AF11" s="158">
        <v>732</v>
      </c>
      <c r="AG11" s="158">
        <v>732</v>
      </c>
      <c r="AH11" s="163">
        <v>200</v>
      </c>
    </row>
    <row r="12" spans="1:34" ht="15.5">
      <c r="A12" s="157" t="s">
        <v>111</v>
      </c>
      <c r="B12" s="158">
        <v>200</v>
      </c>
      <c r="C12" s="158">
        <v>17.98</v>
      </c>
      <c r="D12" s="157" t="s">
        <v>112</v>
      </c>
      <c r="E12" s="159">
        <v>43384</v>
      </c>
      <c r="F12" s="160" t="s">
        <v>102</v>
      </c>
      <c r="G12" s="19">
        <v>6823</v>
      </c>
      <c r="H12" s="18">
        <v>91070</v>
      </c>
      <c r="I12" s="18">
        <v>2800133</v>
      </c>
      <c r="J12" s="135">
        <v>776</v>
      </c>
      <c r="K12" s="135">
        <v>61</v>
      </c>
      <c r="L12" s="118">
        <v>2.54</v>
      </c>
      <c r="M12" s="19">
        <v>131</v>
      </c>
      <c r="N12" s="161">
        <v>88</v>
      </c>
      <c r="O12" s="20">
        <v>104.4</v>
      </c>
      <c r="P12" s="20"/>
      <c r="Q12" s="20"/>
      <c r="R12" s="20"/>
      <c r="S12" s="20"/>
      <c r="T12" s="20"/>
      <c r="U12" s="20"/>
      <c r="V12" s="19">
        <v>89.2</v>
      </c>
      <c r="W12" s="145">
        <v>104.5</v>
      </c>
      <c r="X12" s="162">
        <v>880</v>
      </c>
      <c r="Y12" s="162">
        <v>800</v>
      </c>
      <c r="Z12" s="163">
        <v>930</v>
      </c>
      <c r="AA12" s="163">
        <v>200</v>
      </c>
      <c r="AB12" s="164">
        <v>0.1</v>
      </c>
      <c r="AC12" s="135">
        <v>1700</v>
      </c>
      <c r="AD12" s="158">
        <v>732</v>
      </c>
      <c r="AE12" s="158">
        <v>660</v>
      </c>
      <c r="AF12" s="158">
        <v>732</v>
      </c>
      <c r="AG12" s="158">
        <v>732</v>
      </c>
      <c r="AH12" s="163">
        <v>200</v>
      </c>
    </row>
    <row r="13" spans="1:34" ht="15.5">
      <c r="A13" s="165"/>
      <c r="B13" s="165"/>
      <c r="C13" s="165"/>
      <c r="D13" s="165"/>
      <c r="E13" s="159"/>
      <c r="F13" s="160"/>
      <c r="G13" s="19"/>
      <c r="H13" s="18"/>
      <c r="I13" s="18"/>
      <c r="J13" s="135"/>
      <c r="K13" s="18"/>
      <c r="L13" s="118"/>
      <c r="M13" s="19"/>
      <c r="N13" s="161"/>
      <c r="O13" s="20"/>
      <c r="P13" s="20"/>
      <c r="Q13" s="20"/>
      <c r="R13" s="20"/>
      <c r="S13" s="20"/>
      <c r="T13" s="20"/>
      <c r="U13" s="20"/>
      <c r="V13" s="19"/>
      <c r="W13" s="145"/>
      <c r="X13" s="162"/>
      <c r="Y13" s="162"/>
      <c r="Z13" s="163"/>
      <c r="AA13" s="163"/>
      <c r="AB13" s="164"/>
      <c r="AC13" s="135"/>
      <c r="AD13" s="158"/>
      <c r="AE13" s="158"/>
      <c r="AF13" s="158"/>
      <c r="AG13" s="158"/>
      <c r="AH13" s="163"/>
    </row>
    <row r="14" spans="1:34" ht="15.5">
      <c r="A14" s="165"/>
      <c r="B14" s="165"/>
      <c r="C14" s="165"/>
      <c r="D14" s="165"/>
      <c r="E14" s="159"/>
      <c r="F14" s="160"/>
      <c r="G14" s="19"/>
      <c r="H14" s="18"/>
      <c r="I14" s="18"/>
      <c r="J14" s="135"/>
      <c r="K14" s="18"/>
      <c r="L14" s="118"/>
      <c r="M14" s="19"/>
      <c r="N14" s="161"/>
      <c r="O14" s="20"/>
      <c r="P14" s="20"/>
      <c r="Q14" s="20"/>
      <c r="R14" s="20"/>
      <c r="S14" s="20"/>
      <c r="T14" s="20"/>
      <c r="U14" s="20"/>
      <c r="V14" s="19"/>
      <c r="W14" s="145"/>
      <c r="X14" s="162"/>
      <c r="Y14" s="162"/>
      <c r="Z14" s="163"/>
      <c r="AA14" s="163"/>
      <c r="AB14" s="164"/>
      <c r="AC14" s="135"/>
      <c r="AD14" s="158"/>
      <c r="AE14" s="158"/>
      <c r="AF14" s="158"/>
      <c r="AG14" s="158"/>
      <c r="AH14" s="163"/>
    </row>
    <row r="15" spans="1:34" ht="15.5">
      <c r="A15" s="165"/>
      <c r="B15" s="165"/>
      <c r="C15" s="165"/>
      <c r="D15" s="165"/>
      <c r="E15" s="159"/>
      <c r="F15" s="160"/>
      <c r="G15" s="19"/>
      <c r="H15" s="18"/>
      <c r="I15" s="18"/>
      <c r="J15" s="135"/>
      <c r="K15" s="18"/>
      <c r="L15" s="118"/>
      <c r="M15" s="19"/>
      <c r="N15" s="161"/>
      <c r="O15" s="20"/>
      <c r="P15" s="20"/>
      <c r="Q15" s="20"/>
      <c r="R15" s="20"/>
      <c r="S15" s="20"/>
      <c r="T15" s="20"/>
      <c r="U15" s="20"/>
      <c r="V15" s="19"/>
      <c r="W15" s="145"/>
      <c r="X15" s="162"/>
      <c r="Y15" s="162"/>
      <c r="Z15" s="163"/>
      <c r="AA15" s="163"/>
      <c r="AB15" s="164"/>
      <c r="AC15" s="135"/>
      <c r="AD15" s="158"/>
      <c r="AE15" s="158"/>
      <c r="AF15" s="158"/>
      <c r="AG15" s="158"/>
      <c r="AH15" s="163"/>
    </row>
    <row r="16" spans="1:34" ht="15.5">
      <c r="A16" s="165"/>
      <c r="B16" s="165"/>
      <c r="C16" s="165"/>
      <c r="D16" s="165"/>
      <c r="E16" s="159"/>
      <c r="F16" s="160"/>
      <c r="G16" s="19"/>
      <c r="H16" s="18"/>
      <c r="I16" s="18"/>
      <c r="J16" s="135"/>
      <c r="K16" s="18"/>
      <c r="L16" s="118"/>
      <c r="M16" s="19"/>
      <c r="N16" s="161"/>
      <c r="O16" s="20"/>
      <c r="P16" s="20"/>
      <c r="Q16" s="20"/>
      <c r="R16" s="20"/>
      <c r="S16" s="20"/>
      <c r="T16" s="20"/>
      <c r="U16" s="20"/>
      <c r="V16" s="19"/>
      <c r="W16" s="145"/>
      <c r="X16" s="162"/>
      <c r="Y16" s="162"/>
      <c r="Z16" s="163"/>
      <c r="AA16" s="163"/>
      <c r="AB16" s="164"/>
      <c r="AC16" s="135"/>
      <c r="AD16" s="158"/>
      <c r="AE16" s="158"/>
      <c r="AF16" s="158"/>
      <c r="AG16" s="158"/>
      <c r="AH16" s="163"/>
    </row>
    <row r="17" spans="1:34" ht="15.5">
      <c r="A17" s="165"/>
      <c r="B17" s="165"/>
      <c r="C17" s="165"/>
      <c r="D17" s="165"/>
      <c r="E17" s="159"/>
      <c r="F17" s="160"/>
      <c r="G17" s="19"/>
      <c r="H17" s="18"/>
      <c r="I17" s="18"/>
      <c r="J17" s="135"/>
      <c r="K17" s="18"/>
      <c r="L17" s="118"/>
      <c r="M17" s="19"/>
      <c r="N17" s="161"/>
      <c r="O17" s="20"/>
      <c r="P17" s="20"/>
      <c r="Q17" s="20"/>
      <c r="R17" s="20"/>
      <c r="S17" s="20"/>
      <c r="T17" s="20"/>
      <c r="U17" s="20"/>
      <c r="V17" s="19"/>
      <c r="W17" s="145"/>
      <c r="X17" s="162"/>
      <c r="Y17" s="162"/>
      <c r="Z17" s="163"/>
      <c r="AA17" s="163"/>
      <c r="AB17" s="164"/>
      <c r="AC17" s="135"/>
      <c r="AD17" s="158"/>
      <c r="AE17" s="158"/>
      <c r="AF17" s="158"/>
      <c r="AG17" s="158"/>
      <c r="AH17" s="163"/>
    </row>
    <row r="20" spans="1:34" ht="14.25" customHeight="1">
      <c r="D20" s="166"/>
    </row>
  </sheetData>
  <protectedRanges>
    <protectedRange sqref="H5:I52 K5:K52" name="Rango1_1"/>
  </protectedRanges>
  <autoFilter ref="A4:AH4" xr:uid="{00000000-0001-0000-0200-000000000000}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D1:K1"/>
    <mergeCell ref="D2:K2"/>
    <mergeCell ref="D3:K3"/>
  </mergeCells>
  <phoneticPr fontId="0" type="noConversion"/>
  <conditionalFormatting sqref="E5:F17">
    <cfRule type="expression" dxfId="11" priority="119" stopIfTrue="1">
      <formula>"SEVERSTAL"</formula>
    </cfRule>
  </conditionalFormatting>
  <conditionalFormatting sqref="AB5:AC17 H5:K17">
    <cfRule type="cellIs" dxfId="10" priority="120" stopIfTrue="1" operator="equal">
      <formula>"APROBADO"</formula>
    </cfRule>
    <cfRule type="cellIs" dxfId="9" priority="121" stopIfTrue="1" operator="equal">
      <formula>"ESPERA"</formula>
    </cfRule>
    <cfRule type="cellIs" dxfId="8" priority="122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F57"/>
  <sheetViews>
    <sheetView showGridLines="0" zoomScale="90" zoomScaleNormal="90" workbookViewId="0">
      <pane xSplit="6" ySplit="6" topLeftCell="G7" activePane="bottomRight" state="frozen"/>
      <selection pane="topRight" activeCell="E1" sqref="E1"/>
      <selection pane="bottomLeft" activeCell="A7" sqref="A7"/>
      <selection pane="bottomRight" activeCell="G24" sqref="G24"/>
    </sheetView>
  </sheetViews>
  <sheetFormatPr defaultColWidth="10.6640625" defaultRowHeight="14.25" customHeight="1"/>
  <cols>
    <col min="1" max="1" width="12.5" customWidth="1"/>
    <col min="2" max="2" width="7.08203125" customWidth="1"/>
    <col min="3" max="3" width="12.83203125" customWidth="1"/>
    <col min="4" max="4" width="9.83203125" customWidth="1"/>
    <col min="5" max="5" width="8" customWidth="1"/>
    <col min="6" max="6" width="11.75" customWidth="1"/>
    <col min="7" max="7" width="12.75" customWidth="1"/>
    <col min="8" max="21" width="6.58203125" customWidth="1"/>
    <col min="22" max="22" width="10.25" customWidth="1"/>
    <col min="23" max="23" width="11.75" hidden="1" customWidth="1"/>
    <col min="24" max="32" width="8.58203125" customWidth="1"/>
  </cols>
  <sheetData>
    <row r="1" spans="1:32" ht="27" customHeight="1">
      <c r="A1" s="21"/>
      <c r="B1" s="21"/>
      <c r="C1" s="21"/>
      <c r="D1" s="21"/>
      <c r="E1" s="21"/>
      <c r="F1" s="21" t="s">
        <v>53</v>
      </c>
      <c r="G1" s="113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2"/>
      <c r="AF1" s="21"/>
    </row>
    <row r="2" spans="1:32" ht="30.5">
      <c r="A2" s="22"/>
      <c r="B2" s="23"/>
      <c r="C2" s="23"/>
      <c r="D2" s="21"/>
      <c r="E2" s="24"/>
      <c r="F2" s="24"/>
      <c r="G2" s="114"/>
      <c r="H2" s="25"/>
      <c r="I2" s="26" t="s">
        <v>97</v>
      </c>
      <c r="J2" s="26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1"/>
      <c r="W2" s="21"/>
      <c r="X2" s="21"/>
      <c r="Y2" s="21"/>
      <c r="Z2" s="21"/>
      <c r="AA2" s="21"/>
      <c r="AB2" s="21"/>
      <c r="AC2" s="21"/>
      <c r="AD2" s="21"/>
      <c r="AE2" s="22"/>
      <c r="AF2" s="21"/>
    </row>
    <row r="3" spans="1:32" ht="16.5" customHeight="1">
      <c r="A3" s="27"/>
      <c r="B3" s="27"/>
      <c r="C3" s="27"/>
      <c r="D3" s="34"/>
      <c r="E3" s="194"/>
      <c r="F3" s="194"/>
      <c r="G3" s="115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1"/>
      <c r="W3" s="28"/>
      <c r="X3" s="21"/>
      <c r="Y3" s="21"/>
      <c r="Z3" s="136"/>
      <c r="AA3" s="137"/>
      <c r="AB3" s="137"/>
      <c r="AC3" s="138" t="s">
        <v>91</v>
      </c>
      <c r="AD3" s="138" t="s">
        <v>92</v>
      </c>
      <c r="AE3" s="138" t="s">
        <v>93</v>
      </c>
      <c r="AF3" s="139" t="s">
        <v>94</v>
      </c>
    </row>
    <row r="4" spans="1:32" ht="26.25" customHeight="1">
      <c r="A4" s="22"/>
      <c r="B4" s="22"/>
      <c r="C4" s="22"/>
      <c r="D4" s="22"/>
      <c r="E4" s="29"/>
      <c r="F4" s="22"/>
      <c r="G4" s="116"/>
      <c r="H4" s="196" t="s">
        <v>54</v>
      </c>
      <c r="I4" s="196"/>
      <c r="J4" s="196"/>
      <c r="K4" s="196"/>
      <c r="L4" s="196"/>
      <c r="M4" s="196"/>
      <c r="N4" s="196"/>
      <c r="O4" s="195" t="s">
        <v>55</v>
      </c>
      <c r="P4" s="195"/>
      <c r="Q4" s="195"/>
      <c r="R4" s="195"/>
      <c r="S4" s="195"/>
      <c r="T4" s="195"/>
      <c r="U4" s="106"/>
      <c r="V4" s="21"/>
      <c r="W4" s="30"/>
      <c r="X4" s="21"/>
      <c r="Y4" s="21"/>
      <c r="Z4" s="140"/>
      <c r="AA4" s="140"/>
      <c r="AB4" s="141" t="s">
        <v>95</v>
      </c>
      <c r="AC4" s="142">
        <v>200</v>
      </c>
      <c r="AD4" s="143">
        <f>22*AC4/60</f>
        <v>73.333333333333329</v>
      </c>
      <c r="AE4" s="143">
        <f>3600/AC4</f>
        <v>18</v>
      </c>
      <c r="AF4" s="144">
        <f>AE4*8</f>
        <v>144</v>
      </c>
    </row>
    <row r="5" spans="1:32" ht="21" customHeight="1">
      <c r="A5" s="125"/>
      <c r="B5" s="22"/>
      <c r="C5" s="22"/>
      <c r="D5" s="22"/>
      <c r="E5" s="126"/>
      <c r="F5" s="127"/>
      <c r="G5" s="115"/>
      <c r="H5" s="198" t="s">
        <v>8</v>
      </c>
      <c r="I5" s="199"/>
      <c r="J5" s="197" t="s">
        <v>9</v>
      </c>
      <c r="K5" s="198"/>
      <c r="L5" s="198"/>
      <c r="M5" s="198"/>
      <c r="N5" s="199"/>
      <c r="O5" s="197" t="s">
        <v>13</v>
      </c>
      <c r="P5" s="199"/>
      <c r="Q5" s="197" t="s">
        <v>9</v>
      </c>
      <c r="R5" s="198"/>
      <c r="S5" s="198"/>
      <c r="T5" s="198"/>
      <c r="U5" s="130"/>
      <c r="V5" s="31"/>
      <c r="W5" s="30"/>
      <c r="X5" s="21"/>
      <c r="Y5" s="21"/>
      <c r="Z5" s="140"/>
      <c r="AA5" s="140"/>
      <c r="AB5" s="141" t="s">
        <v>96</v>
      </c>
      <c r="AC5" s="142">
        <f>AC4</f>
        <v>200</v>
      </c>
      <c r="AD5" s="143">
        <f>34*AC5/60</f>
        <v>113.33333333333333</v>
      </c>
      <c r="AE5" s="143">
        <f>3600/AC5</f>
        <v>18</v>
      </c>
      <c r="AF5" s="144">
        <f>AE5*8</f>
        <v>144</v>
      </c>
    </row>
    <row r="6" spans="1:32" ht="56.25" customHeight="1">
      <c r="A6" s="128" t="s">
        <v>1</v>
      </c>
      <c r="B6" s="128" t="s">
        <v>4</v>
      </c>
      <c r="C6" s="128" t="s">
        <v>56</v>
      </c>
      <c r="D6" s="128" t="s">
        <v>3</v>
      </c>
      <c r="E6" s="128" t="s">
        <v>5</v>
      </c>
      <c r="F6" s="128" t="s">
        <v>12</v>
      </c>
      <c r="G6" s="129" t="s">
        <v>67</v>
      </c>
      <c r="H6" s="128" t="s">
        <v>7</v>
      </c>
      <c r="I6" s="128" t="s">
        <v>60</v>
      </c>
      <c r="J6" s="128" t="s">
        <v>59</v>
      </c>
      <c r="K6" s="128" t="s">
        <v>10</v>
      </c>
      <c r="L6" s="128" t="s">
        <v>11</v>
      </c>
      <c r="M6" s="128" t="s">
        <v>15</v>
      </c>
      <c r="N6" s="128" t="s">
        <v>61</v>
      </c>
      <c r="O6" s="128" t="s">
        <v>62</v>
      </c>
      <c r="P6" s="128" t="s">
        <v>7</v>
      </c>
      <c r="Q6" s="128" t="s">
        <v>10</v>
      </c>
      <c r="R6" s="128" t="s">
        <v>11</v>
      </c>
      <c r="S6" s="128" t="s">
        <v>15</v>
      </c>
      <c r="T6" s="132" t="s">
        <v>63</v>
      </c>
      <c r="U6" s="128" t="s">
        <v>59</v>
      </c>
      <c r="V6" s="128" t="s">
        <v>0</v>
      </c>
      <c r="W6" s="128" t="s">
        <v>6</v>
      </c>
      <c r="X6" s="128" t="s">
        <v>89</v>
      </c>
      <c r="Y6" s="128" t="s">
        <v>58</v>
      </c>
      <c r="Z6" s="128" t="s">
        <v>84</v>
      </c>
      <c r="AA6" s="128" t="s">
        <v>66</v>
      </c>
      <c r="AB6" s="128" t="s">
        <v>57</v>
      </c>
      <c r="AC6" s="128" t="s">
        <v>90</v>
      </c>
      <c r="AD6" s="128" t="s">
        <v>51</v>
      </c>
      <c r="AE6" s="134" t="s">
        <v>68</v>
      </c>
      <c r="AF6" s="128" t="s">
        <v>52</v>
      </c>
    </row>
    <row r="7" spans="1:32" ht="15.5">
      <c r="A7" s="107">
        <v>43384</v>
      </c>
      <c r="B7" s="33">
        <v>2</v>
      </c>
      <c r="C7" s="33">
        <v>2800133</v>
      </c>
      <c r="D7" s="108">
        <v>91071</v>
      </c>
      <c r="E7" s="33">
        <v>6820</v>
      </c>
      <c r="F7" s="109">
        <v>24</v>
      </c>
      <c r="G7" s="117" t="s">
        <v>100</v>
      </c>
      <c r="H7" s="120">
        <v>0</v>
      </c>
      <c r="I7" s="121">
        <v>0</v>
      </c>
      <c r="J7" s="122">
        <v>0</v>
      </c>
      <c r="K7" s="123">
        <v>0</v>
      </c>
      <c r="L7" s="120">
        <v>0</v>
      </c>
      <c r="M7" s="124">
        <v>0</v>
      </c>
      <c r="N7" s="119">
        <v>0</v>
      </c>
      <c r="O7" s="123">
        <v>1</v>
      </c>
      <c r="P7" s="119">
        <v>0</v>
      </c>
      <c r="Q7" s="123">
        <v>0</v>
      </c>
      <c r="R7" s="120">
        <v>0</v>
      </c>
      <c r="S7" s="124">
        <v>0</v>
      </c>
      <c r="T7" s="120">
        <v>0</v>
      </c>
      <c r="U7" s="131">
        <v>0</v>
      </c>
      <c r="V7" s="32">
        <f t="shared" ref="V7:V33" si="0">+F7-(SUM(H7:M7,O7,P7,Q7,R7,S7,U7))</f>
        <v>23</v>
      </c>
      <c r="W7" s="110"/>
      <c r="X7" s="110"/>
      <c r="Y7" s="110"/>
      <c r="Z7" s="110"/>
      <c r="AA7" s="110"/>
      <c r="AB7" s="110"/>
      <c r="AC7" s="133">
        <f t="shared" ref="AC7:AC25" si="1">V7-SUM(X7:Y7)</f>
        <v>23</v>
      </c>
      <c r="AD7" s="111"/>
      <c r="AE7" s="112"/>
      <c r="AF7" s="108"/>
    </row>
    <row r="8" spans="1:32" ht="15.5">
      <c r="A8" s="107">
        <v>43384</v>
      </c>
      <c r="B8" s="33">
        <v>2</v>
      </c>
      <c r="C8" s="33">
        <v>2800133</v>
      </c>
      <c r="D8" s="108">
        <v>91069</v>
      </c>
      <c r="E8" s="33">
        <v>6821</v>
      </c>
      <c r="F8" s="109">
        <v>54</v>
      </c>
      <c r="G8" s="117" t="s">
        <v>99</v>
      </c>
      <c r="H8" s="120">
        <v>0</v>
      </c>
      <c r="I8" s="121">
        <v>0</v>
      </c>
      <c r="J8" s="122">
        <v>0</v>
      </c>
      <c r="K8" s="123">
        <v>0</v>
      </c>
      <c r="L8" s="120">
        <v>0</v>
      </c>
      <c r="M8" s="124">
        <v>0</v>
      </c>
      <c r="N8" s="119">
        <v>0</v>
      </c>
      <c r="O8" s="123">
        <v>0</v>
      </c>
      <c r="P8" s="119">
        <v>0</v>
      </c>
      <c r="Q8" s="123">
        <v>0</v>
      </c>
      <c r="R8" s="120">
        <v>0</v>
      </c>
      <c r="S8" s="124">
        <v>0</v>
      </c>
      <c r="T8" s="120">
        <v>0</v>
      </c>
      <c r="U8" s="131">
        <v>0</v>
      </c>
      <c r="V8" s="32">
        <f t="shared" si="0"/>
        <v>54</v>
      </c>
      <c r="W8" s="110"/>
      <c r="X8" s="110"/>
      <c r="Y8" s="110"/>
      <c r="Z8" s="110"/>
      <c r="AA8" s="110"/>
      <c r="AB8" s="110"/>
      <c r="AC8" s="133">
        <f t="shared" si="1"/>
        <v>54</v>
      </c>
      <c r="AD8" s="111"/>
      <c r="AE8" s="112"/>
      <c r="AF8" s="108"/>
    </row>
    <row r="9" spans="1:32" ht="15.5">
      <c r="A9" s="107">
        <v>43384</v>
      </c>
      <c r="B9" s="33">
        <v>2</v>
      </c>
      <c r="C9" s="33">
        <v>2800133</v>
      </c>
      <c r="D9" s="108">
        <v>91070</v>
      </c>
      <c r="E9" s="33">
        <v>6822</v>
      </c>
      <c r="F9" s="109">
        <v>51</v>
      </c>
      <c r="G9" s="192" t="s">
        <v>98</v>
      </c>
      <c r="H9" s="120">
        <v>0</v>
      </c>
      <c r="I9" s="121">
        <v>0</v>
      </c>
      <c r="J9" s="122">
        <v>0</v>
      </c>
      <c r="K9" s="123">
        <v>0</v>
      </c>
      <c r="L9" s="120">
        <v>0</v>
      </c>
      <c r="M9" s="124">
        <v>0</v>
      </c>
      <c r="N9" s="119">
        <v>0</v>
      </c>
      <c r="O9" s="123">
        <v>0</v>
      </c>
      <c r="P9" s="119">
        <v>0</v>
      </c>
      <c r="Q9" s="123">
        <v>0</v>
      </c>
      <c r="R9" s="120">
        <v>0</v>
      </c>
      <c r="S9" s="124">
        <v>0</v>
      </c>
      <c r="T9" s="120">
        <v>0</v>
      </c>
      <c r="U9" s="131">
        <v>0</v>
      </c>
      <c r="V9" s="32">
        <f t="shared" si="0"/>
        <v>51</v>
      </c>
      <c r="W9" s="110"/>
      <c r="X9" s="110"/>
      <c r="Y9" s="110"/>
      <c r="Z9" s="110"/>
      <c r="AA9" s="110"/>
      <c r="AB9" s="110"/>
      <c r="AC9" s="133">
        <f t="shared" si="1"/>
        <v>51</v>
      </c>
      <c r="AD9" s="111"/>
      <c r="AE9" s="112"/>
      <c r="AF9" s="108"/>
    </row>
    <row r="10" spans="1:32" ht="15.5">
      <c r="A10" s="107">
        <v>43384</v>
      </c>
      <c r="B10" s="33">
        <v>3</v>
      </c>
      <c r="C10" s="33">
        <v>2800133</v>
      </c>
      <c r="D10" s="108">
        <v>91070</v>
      </c>
      <c r="E10" s="33">
        <v>6822</v>
      </c>
      <c r="F10" s="109">
        <v>49</v>
      </c>
      <c r="G10" s="193"/>
      <c r="H10" s="120">
        <v>0</v>
      </c>
      <c r="I10" s="121">
        <v>0</v>
      </c>
      <c r="J10" s="122">
        <v>0</v>
      </c>
      <c r="K10" s="123">
        <v>0</v>
      </c>
      <c r="L10" s="120">
        <v>0</v>
      </c>
      <c r="M10" s="124">
        <v>0</v>
      </c>
      <c r="N10" s="119">
        <v>0</v>
      </c>
      <c r="O10" s="123">
        <v>0</v>
      </c>
      <c r="P10" s="119">
        <v>0</v>
      </c>
      <c r="Q10" s="123">
        <v>0</v>
      </c>
      <c r="R10" s="120">
        <v>0</v>
      </c>
      <c r="S10" s="124">
        <v>0</v>
      </c>
      <c r="T10" s="120">
        <v>0</v>
      </c>
      <c r="U10" s="131">
        <v>0</v>
      </c>
      <c r="V10" s="32">
        <f t="shared" si="0"/>
        <v>49</v>
      </c>
      <c r="W10" s="110"/>
      <c r="X10" s="110"/>
      <c r="Y10" s="110"/>
      <c r="Z10" s="110"/>
      <c r="AA10" s="110"/>
      <c r="AB10" s="110"/>
      <c r="AC10" s="133">
        <f t="shared" si="1"/>
        <v>49</v>
      </c>
      <c r="AD10" s="111"/>
      <c r="AE10" s="112"/>
      <c r="AF10" s="108"/>
    </row>
    <row r="11" spans="1:32" ht="15.5">
      <c r="A11" s="107">
        <v>43384</v>
      </c>
      <c r="B11" s="33">
        <v>3</v>
      </c>
      <c r="C11" s="33">
        <v>2800133</v>
      </c>
      <c r="D11" s="108">
        <v>91070</v>
      </c>
      <c r="E11" s="33">
        <v>6823</v>
      </c>
      <c r="F11" s="109">
        <v>35</v>
      </c>
      <c r="G11" s="117" t="s">
        <v>101</v>
      </c>
      <c r="H11" s="120">
        <v>0</v>
      </c>
      <c r="I11" s="121">
        <v>0</v>
      </c>
      <c r="J11" s="122">
        <v>0</v>
      </c>
      <c r="K11" s="123">
        <v>0</v>
      </c>
      <c r="L11" s="120">
        <v>0</v>
      </c>
      <c r="M11" s="124">
        <v>0</v>
      </c>
      <c r="N11" s="119">
        <v>0</v>
      </c>
      <c r="O11" s="123">
        <v>0</v>
      </c>
      <c r="P11" s="119">
        <v>0</v>
      </c>
      <c r="Q11" s="123">
        <v>0</v>
      </c>
      <c r="R11" s="120">
        <v>0</v>
      </c>
      <c r="S11" s="124">
        <v>0</v>
      </c>
      <c r="T11" s="120">
        <v>0</v>
      </c>
      <c r="U11" s="131">
        <v>0</v>
      </c>
      <c r="V11" s="32">
        <f t="shared" si="0"/>
        <v>35</v>
      </c>
      <c r="W11" s="110"/>
      <c r="X11" s="110"/>
      <c r="Y11" s="110"/>
      <c r="Z11" s="110"/>
      <c r="AA11" s="110"/>
      <c r="AB11" s="110"/>
      <c r="AC11" s="133">
        <f t="shared" si="1"/>
        <v>35</v>
      </c>
      <c r="AD11" s="111"/>
      <c r="AE11" s="112"/>
      <c r="AF11" s="108"/>
    </row>
    <row r="12" spans="1:32" ht="15.5">
      <c r="A12" s="107"/>
      <c r="B12" s="33"/>
      <c r="C12" s="33"/>
      <c r="D12" s="108"/>
      <c r="E12" s="33"/>
      <c r="F12" s="109"/>
      <c r="G12" s="117"/>
      <c r="H12" s="120">
        <v>0</v>
      </c>
      <c r="I12" s="121">
        <v>0</v>
      </c>
      <c r="J12" s="122">
        <v>0</v>
      </c>
      <c r="K12" s="123">
        <v>0</v>
      </c>
      <c r="L12" s="120">
        <v>0</v>
      </c>
      <c r="M12" s="124">
        <v>0</v>
      </c>
      <c r="N12" s="119">
        <v>0</v>
      </c>
      <c r="O12" s="123">
        <v>0</v>
      </c>
      <c r="P12" s="119">
        <v>0</v>
      </c>
      <c r="Q12" s="123">
        <v>0</v>
      </c>
      <c r="R12" s="120">
        <v>0</v>
      </c>
      <c r="S12" s="124">
        <v>0</v>
      </c>
      <c r="T12" s="120">
        <v>0</v>
      </c>
      <c r="U12" s="131">
        <v>0</v>
      </c>
      <c r="V12" s="32">
        <f t="shared" si="0"/>
        <v>0</v>
      </c>
      <c r="W12" s="110"/>
      <c r="X12" s="110"/>
      <c r="Y12" s="110"/>
      <c r="Z12" s="110"/>
      <c r="AA12" s="110"/>
      <c r="AB12" s="110"/>
      <c r="AC12" s="133">
        <f t="shared" si="1"/>
        <v>0</v>
      </c>
      <c r="AD12" s="111"/>
      <c r="AE12" s="112"/>
      <c r="AF12" s="108"/>
    </row>
    <row r="13" spans="1:32" ht="15.5">
      <c r="A13" s="107"/>
      <c r="B13" s="33"/>
      <c r="C13" s="33"/>
      <c r="D13" s="108"/>
      <c r="E13" s="33"/>
      <c r="F13" s="109"/>
      <c r="G13" s="117"/>
      <c r="H13" s="120">
        <v>0</v>
      </c>
      <c r="I13" s="121">
        <v>0</v>
      </c>
      <c r="J13" s="122">
        <v>0</v>
      </c>
      <c r="K13" s="123">
        <v>0</v>
      </c>
      <c r="L13" s="120">
        <v>0</v>
      </c>
      <c r="M13" s="124">
        <v>0</v>
      </c>
      <c r="N13" s="119">
        <v>0</v>
      </c>
      <c r="O13" s="123">
        <v>0</v>
      </c>
      <c r="P13" s="119">
        <v>0</v>
      </c>
      <c r="Q13" s="123">
        <v>0</v>
      </c>
      <c r="R13" s="120">
        <v>0</v>
      </c>
      <c r="S13" s="124">
        <v>0</v>
      </c>
      <c r="T13" s="120">
        <v>0</v>
      </c>
      <c r="U13" s="131">
        <v>0</v>
      </c>
      <c r="V13" s="32">
        <f t="shared" ref="V13" si="2">+F13-(SUM(H13:M13,O13,P13,Q13,R13,S13,U13))</f>
        <v>0</v>
      </c>
      <c r="W13" s="110"/>
      <c r="X13" s="110"/>
      <c r="Y13" s="110"/>
      <c r="Z13" s="110"/>
      <c r="AA13" s="110"/>
      <c r="AB13" s="110"/>
      <c r="AC13" s="133">
        <f t="shared" ref="AC13" si="3">V13-SUM(X13:Y13)</f>
        <v>0</v>
      </c>
      <c r="AD13" s="111"/>
      <c r="AE13" s="112"/>
      <c r="AF13" s="108"/>
    </row>
    <row r="14" spans="1:32" ht="15.5">
      <c r="A14" s="107"/>
      <c r="B14" s="33"/>
      <c r="C14" s="33"/>
      <c r="D14" s="108"/>
      <c r="E14" s="33"/>
      <c r="F14" s="109"/>
      <c r="G14" s="117"/>
      <c r="H14" s="120">
        <v>0</v>
      </c>
      <c r="I14" s="121">
        <v>0</v>
      </c>
      <c r="J14" s="122">
        <v>0</v>
      </c>
      <c r="K14" s="123">
        <v>0</v>
      </c>
      <c r="L14" s="120">
        <v>0</v>
      </c>
      <c r="M14" s="124">
        <v>0</v>
      </c>
      <c r="N14" s="119">
        <v>0</v>
      </c>
      <c r="O14" s="123">
        <v>0</v>
      </c>
      <c r="P14" s="119">
        <v>0</v>
      </c>
      <c r="Q14" s="123">
        <v>0</v>
      </c>
      <c r="R14" s="120">
        <v>0</v>
      </c>
      <c r="S14" s="124">
        <v>0</v>
      </c>
      <c r="T14" s="120">
        <v>0</v>
      </c>
      <c r="U14" s="131">
        <v>0</v>
      </c>
      <c r="V14" s="32">
        <f t="shared" si="0"/>
        <v>0</v>
      </c>
      <c r="W14" s="110"/>
      <c r="X14" s="110"/>
      <c r="Y14" s="110"/>
      <c r="Z14" s="110"/>
      <c r="AA14" s="110"/>
      <c r="AB14" s="110"/>
      <c r="AC14" s="133">
        <f t="shared" si="1"/>
        <v>0</v>
      </c>
      <c r="AD14" s="111"/>
      <c r="AE14" s="112"/>
      <c r="AF14" s="108"/>
    </row>
    <row r="15" spans="1:32" ht="15.5">
      <c r="A15" s="107"/>
      <c r="B15" s="33"/>
      <c r="C15" s="33"/>
      <c r="D15" s="108"/>
      <c r="E15" s="33"/>
      <c r="F15" s="109"/>
      <c r="G15" s="117"/>
      <c r="H15" s="120">
        <v>0</v>
      </c>
      <c r="I15" s="121">
        <v>0</v>
      </c>
      <c r="J15" s="122">
        <v>0</v>
      </c>
      <c r="K15" s="123">
        <v>0</v>
      </c>
      <c r="L15" s="120">
        <v>0</v>
      </c>
      <c r="M15" s="124">
        <v>0</v>
      </c>
      <c r="N15" s="119">
        <v>0</v>
      </c>
      <c r="O15" s="123">
        <v>0</v>
      </c>
      <c r="P15" s="119">
        <v>0</v>
      </c>
      <c r="Q15" s="123">
        <v>0</v>
      </c>
      <c r="R15" s="120">
        <v>0</v>
      </c>
      <c r="S15" s="124">
        <v>0</v>
      </c>
      <c r="T15" s="120">
        <v>0</v>
      </c>
      <c r="U15" s="131">
        <v>0</v>
      </c>
      <c r="V15" s="32">
        <f t="shared" si="0"/>
        <v>0</v>
      </c>
      <c r="W15" s="110"/>
      <c r="X15" s="110"/>
      <c r="Y15" s="110"/>
      <c r="Z15" s="110"/>
      <c r="AA15" s="110"/>
      <c r="AB15" s="110"/>
      <c r="AC15" s="133">
        <f t="shared" si="1"/>
        <v>0</v>
      </c>
      <c r="AD15" s="111"/>
      <c r="AE15" s="112"/>
      <c r="AF15" s="108"/>
    </row>
    <row r="16" spans="1:32" ht="15.5">
      <c r="A16" s="107"/>
      <c r="B16" s="33"/>
      <c r="C16" s="33"/>
      <c r="D16" s="108"/>
      <c r="E16" s="33"/>
      <c r="F16" s="109"/>
      <c r="G16" s="117"/>
      <c r="H16" s="120">
        <v>0</v>
      </c>
      <c r="I16" s="121">
        <v>0</v>
      </c>
      <c r="J16" s="122">
        <v>0</v>
      </c>
      <c r="K16" s="123">
        <v>0</v>
      </c>
      <c r="L16" s="120">
        <v>0</v>
      </c>
      <c r="M16" s="124">
        <v>0</v>
      </c>
      <c r="N16" s="119">
        <v>0</v>
      </c>
      <c r="O16" s="123">
        <v>0</v>
      </c>
      <c r="P16" s="119">
        <v>0</v>
      </c>
      <c r="Q16" s="123">
        <v>0</v>
      </c>
      <c r="R16" s="120">
        <v>0</v>
      </c>
      <c r="S16" s="124">
        <v>0</v>
      </c>
      <c r="T16" s="120">
        <v>0</v>
      </c>
      <c r="U16" s="131">
        <v>0</v>
      </c>
      <c r="V16" s="32">
        <f t="shared" si="0"/>
        <v>0</v>
      </c>
      <c r="W16" s="110"/>
      <c r="X16" s="110"/>
      <c r="Y16" s="110"/>
      <c r="Z16" s="110"/>
      <c r="AA16" s="110"/>
      <c r="AB16" s="110"/>
      <c r="AC16" s="133">
        <f t="shared" si="1"/>
        <v>0</v>
      </c>
      <c r="AD16" s="111"/>
      <c r="AE16" s="112"/>
      <c r="AF16" s="108"/>
    </row>
    <row r="17" spans="1:32" ht="15.5">
      <c r="A17" s="107"/>
      <c r="B17" s="33"/>
      <c r="C17" s="33"/>
      <c r="D17" s="108"/>
      <c r="E17" s="33"/>
      <c r="F17" s="109"/>
      <c r="G17" s="117"/>
      <c r="H17" s="120">
        <v>0</v>
      </c>
      <c r="I17" s="121">
        <v>0</v>
      </c>
      <c r="J17" s="122">
        <v>0</v>
      </c>
      <c r="K17" s="123">
        <v>0</v>
      </c>
      <c r="L17" s="120">
        <v>0</v>
      </c>
      <c r="M17" s="124">
        <v>0</v>
      </c>
      <c r="N17" s="119">
        <v>0</v>
      </c>
      <c r="O17" s="123">
        <v>0</v>
      </c>
      <c r="P17" s="119">
        <v>0</v>
      </c>
      <c r="Q17" s="123">
        <v>0</v>
      </c>
      <c r="R17" s="120">
        <v>0</v>
      </c>
      <c r="S17" s="124">
        <v>0</v>
      </c>
      <c r="T17" s="120">
        <v>0</v>
      </c>
      <c r="U17" s="131">
        <v>0</v>
      </c>
      <c r="V17" s="32">
        <f t="shared" si="0"/>
        <v>0</v>
      </c>
      <c r="W17" s="110"/>
      <c r="X17" s="110"/>
      <c r="Y17" s="110"/>
      <c r="Z17" s="110"/>
      <c r="AA17" s="110"/>
      <c r="AB17" s="110"/>
      <c r="AC17" s="133">
        <f t="shared" si="1"/>
        <v>0</v>
      </c>
      <c r="AD17" s="111"/>
      <c r="AE17" s="112"/>
      <c r="AF17" s="108"/>
    </row>
    <row r="18" spans="1:32" ht="15.5">
      <c r="A18" s="107"/>
      <c r="B18" s="33"/>
      <c r="C18" s="33"/>
      <c r="D18" s="108"/>
      <c r="E18" s="33"/>
      <c r="F18" s="109"/>
      <c r="G18" s="117"/>
      <c r="H18" s="120">
        <v>0</v>
      </c>
      <c r="I18" s="121">
        <v>0</v>
      </c>
      <c r="J18" s="122">
        <v>0</v>
      </c>
      <c r="K18" s="123">
        <v>0</v>
      </c>
      <c r="L18" s="120">
        <v>0</v>
      </c>
      <c r="M18" s="124">
        <v>0</v>
      </c>
      <c r="N18" s="119">
        <v>0</v>
      </c>
      <c r="O18" s="123">
        <v>0</v>
      </c>
      <c r="P18" s="119">
        <v>0</v>
      </c>
      <c r="Q18" s="123">
        <v>0</v>
      </c>
      <c r="R18" s="120">
        <v>0</v>
      </c>
      <c r="S18" s="124">
        <v>0</v>
      </c>
      <c r="T18" s="120">
        <v>0</v>
      </c>
      <c r="U18" s="131">
        <v>0</v>
      </c>
      <c r="V18" s="32">
        <f t="shared" si="0"/>
        <v>0</v>
      </c>
      <c r="W18" s="110"/>
      <c r="X18" s="110"/>
      <c r="Y18" s="110"/>
      <c r="Z18" s="110"/>
      <c r="AA18" s="110"/>
      <c r="AB18" s="110"/>
      <c r="AC18" s="133">
        <f t="shared" si="1"/>
        <v>0</v>
      </c>
      <c r="AD18" s="111"/>
      <c r="AE18" s="112"/>
      <c r="AF18" s="108"/>
    </row>
    <row r="19" spans="1:32" ht="15.5">
      <c r="A19" s="107"/>
      <c r="B19" s="33"/>
      <c r="C19" s="33"/>
      <c r="D19" s="108"/>
      <c r="E19" s="33"/>
      <c r="F19" s="109"/>
      <c r="G19" s="117"/>
      <c r="H19" s="120">
        <v>0</v>
      </c>
      <c r="I19" s="121">
        <v>0</v>
      </c>
      <c r="J19" s="122">
        <v>0</v>
      </c>
      <c r="K19" s="123">
        <v>0</v>
      </c>
      <c r="L19" s="120">
        <v>0</v>
      </c>
      <c r="M19" s="124">
        <v>0</v>
      </c>
      <c r="N19" s="119">
        <v>0</v>
      </c>
      <c r="O19" s="123">
        <v>0</v>
      </c>
      <c r="P19" s="119">
        <v>0</v>
      </c>
      <c r="Q19" s="123">
        <v>0</v>
      </c>
      <c r="R19" s="120">
        <v>0</v>
      </c>
      <c r="S19" s="124">
        <v>0</v>
      </c>
      <c r="T19" s="120">
        <v>0</v>
      </c>
      <c r="U19" s="131">
        <v>0</v>
      </c>
      <c r="V19" s="32">
        <f t="shared" si="0"/>
        <v>0</v>
      </c>
      <c r="W19" s="110"/>
      <c r="X19" s="110"/>
      <c r="Y19" s="110"/>
      <c r="Z19" s="110"/>
      <c r="AA19" s="110"/>
      <c r="AB19" s="110"/>
      <c r="AC19" s="133">
        <f t="shared" si="1"/>
        <v>0</v>
      </c>
      <c r="AD19" s="111"/>
      <c r="AE19" s="112"/>
      <c r="AF19" s="108"/>
    </row>
    <row r="20" spans="1:32" ht="15.5">
      <c r="A20" s="107"/>
      <c r="B20" s="33"/>
      <c r="C20" s="33"/>
      <c r="D20" s="108"/>
      <c r="E20" s="33"/>
      <c r="F20" s="109"/>
      <c r="G20" s="117"/>
      <c r="H20" s="120">
        <v>0</v>
      </c>
      <c r="I20" s="121">
        <v>0</v>
      </c>
      <c r="J20" s="122">
        <v>0</v>
      </c>
      <c r="K20" s="123">
        <v>0</v>
      </c>
      <c r="L20" s="120">
        <v>0</v>
      </c>
      <c r="M20" s="124">
        <v>0</v>
      </c>
      <c r="N20" s="119">
        <v>0</v>
      </c>
      <c r="O20" s="123">
        <v>0</v>
      </c>
      <c r="P20" s="119">
        <v>0</v>
      </c>
      <c r="Q20" s="123">
        <v>0</v>
      </c>
      <c r="R20" s="120">
        <v>0</v>
      </c>
      <c r="S20" s="124">
        <v>0</v>
      </c>
      <c r="T20" s="120">
        <v>0</v>
      </c>
      <c r="U20" s="131">
        <v>0</v>
      </c>
      <c r="V20" s="32">
        <f t="shared" si="0"/>
        <v>0</v>
      </c>
      <c r="W20" s="110"/>
      <c r="X20" s="110"/>
      <c r="Y20" s="110"/>
      <c r="Z20" s="110"/>
      <c r="AA20" s="110"/>
      <c r="AB20" s="110"/>
      <c r="AC20" s="133">
        <f t="shared" si="1"/>
        <v>0</v>
      </c>
      <c r="AD20" s="111"/>
      <c r="AE20" s="112"/>
      <c r="AF20" s="108"/>
    </row>
    <row r="21" spans="1:32" ht="15.5">
      <c r="A21" s="107"/>
      <c r="B21" s="33"/>
      <c r="C21" s="33"/>
      <c r="D21" s="108"/>
      <c r="E21" s="33"/>
      <c r="F21" s="109"/>
      <c r="G21" s="117"/>
      <c r="H21" s="120">
        <v>0</v>
      </c>
      <c r="I21" s="121">
        <v>0</v>
      </c>
      <c r="J21" s="122">
        <v>0</v>
      </c>
      <c r="K21" s="123">
        <v>0</v>
      </c>
      <c r="L21" s="120">
        <v>0</v>
      </c>
      <c r="M21" s="124">
        <v>0</v>
      </c>
      <c r="N21" s="119">
        <v>0</v>
      </c>
      <c r="O21" s="123">
        <v>0</v>
      </c>
      <c r="P21" s="119">
        <v>0</v>
      </c>
      <c r="Q21" s="123">
        <v>0</v>
      </c>
      <c r="R21" s="120">
        <v>0</v>
      </c>
      <c r="S21" s="124">
        <v>0</v>
      </c>
      <c r="T21" s="120">
        <v>0</v>
      </c>
      <c r="U21" s="131">
        <v>0</v>
      </c>
      <c r="V21" s="32">
        <f t="shared" si="0"/>
        <v>0</v>
      </c>
      <c r="W21" s="110"/>
      <c r="X21" s="110"/>
      <c r="Y21" s="110"/>
      <c r="Z21" s="110"/>
      <c r="AA21" s="110"/>
      <c r="AB21" s="110"/>
      <c r="AC21" s="133">
        <f t="shared" si="1"/>
        <v>0</v>
      </c>
      <c r="AD21" s="111"/>
      <c r="AE21" s="112"/>
      <c r="AF21" s="108"/>
    </row>
    <row r="22" spans="1:32" ht="15.5">
      <c r="A22" s="107"/>
      <c r="B22" s="33"/>
      <c r="C22" s="33"/>
      <c r="D22" s="108"/>
      <c r="E22" s="33"/>
      <c r="F22" s="109"/>
      <c r="G22" s="117"/>
      <c r="H22" s="120">
        <v>0</v>
      </c>
      <c r="I22" s="121">
        <v>0</v>
      </c>
      <c r="J22" s="122">
        <v>0</v>
      </c>
      <c r="K22" s="123">
        <v>0</v>
      </c>
      <c r="L22" s="120">
        <v>0</v>
      </c>
      <c r="M22" s="124">
        <v>0</v>
      </c>
      <c r="N22" s="119">
        <v>0</v>
      </c>
      <c r="O22" s="123">
        <v>0</v>
      </c>
      <c r="P22" s="119">
        <v>0</v>
      </c>
      <c r="Q22" s="123">
        <v>0</v>
      </c>
      <c r="R22" s="120">
        <v>0</v>
      </c>
      <c r="S22" s="124">
        <v>0</v>
      </c>
      <c r="T22" s="120">
        <v>0</v>
      </c>
      <c r="U22" s="131">
        <v>0</v>
      </c>
      <c r="V22" s="32">
        <f t="shared" si="0"/>
        <v>0</v>
      </c>
      <c r="W22" s="110"/>
      <c r="X22" s="110"/>
      <c r="Y22" s="110"/>
      <c r="Z22" s="110"/>
      <c r="AA22" s="110"/>
      <c r="AB22" s="110"/>
      <c r="AC22" s="133">
        <f t="shared" si="1"/>
        <v>0</v>
      </c>
      <c r="AD22" s="111"/>
      <c r="AE22" s="112"/>
      <c r="AF22" s="108"/>
    </row>
    <row r="23" spans="1:32" ht="15.5">
      <c r="A23" s="107"/>
      <c r="B23" s="33"/>
      <c r="C23" s="33"/>
      <c r="D23" s="108"/>
      <c r="E23" s="33"/>
      <c r="F23" s="109"/>
      <c r="G23" s="117"/>
      <c r="H23" s="120">
        <v>0</v>
      </c>
      <c r="I23" s="121">
        <v>0</v>
      </c>
      <c r="J23" s="122">
        <v>0</v>
      </c>
      <c r="K23" s="123">
        <v>0</v>
      </c>
      <c r="L23" s="120">
        <v>0</v>
      </c>
      <c r="M23" s="124">
        <v>0</v>
      </c>
      <c r="N23" s="119">
        <v>0</v>
      </c>
      <c r="O23" s="123">
        <v>0</v>
      </c>
      <c r="P23" s="119">
        <v>0</v>
      </c>
      <c r="Q23" s="123">
        <v>0</v>
      </c>
      <c r="R23" s="120">
        <v>0</v>
      </c>
      <c r="S23" s="124">
        <v>0</v>
      </c>
      <c r="T23" s="120">
        <v>0</v>
      </c>
      <c r="U23" s="131">
        <v>0</v>
      </c>
      <c r="V23" s="32">
        <f t="shared" si="0"/>
        <v>0</v>
      </c>
      <c r="W23" s="110"/>
      <c r="X23" s="110"/>
      <c r="Y23" s="110"/>
      <c r="Z23" s="110"/>
      <c r="AA23" s="110"/>
      <c r="AB23" s="110"/>
      <c r="AC23" s="133">
        <f t="shared" si="1"/>
        <v>0</v>
      </c>
      <c r="AD23" s="111"/>
      <c r="AE23" s="112"/>
      <c r="AF23" s="108"/>
    </row>
    <row r="24" spans="1:32" ht="15.5">
      <c r="A24" s="107"/>
      <c r="B24" s="33"/>
      <c r="C24" s="33"/>
      <c r="D24" s="108"/>
      <c r="E24" s="33"/>
      <c r="F24" s="109"/>
      <c r="G24" s="117"/>
      <c r="H24" s="120">
        <v>0</v>
      </c>
      <c r="I24" s="121">
        <v>0</v>
      </c>
      <c r="J24" s="122">
        <v>0</v>
      </c>
      <c r="K24" s="123">
        <v>0</v>
      </c>
      <c r="L24" s="120">
        <v>0</v>
      </c>
      <c r="M24" s="124">
        <v>0</v>
      </c>
      <c r="N24" s="119">
        <v>0</v>
      </c>
      <c r="O24" s="123">
        <v>0</v>
      </c>
      <c r="P24" s="119">
        <v>0</v>
      </c>
      <c r="Q24" s="123">
        <v>0</v>
      </c>
      <c r="R24" s="120">
        <v>0</v>
      </c>
      <c r="S24" s="124">
        <v>0</v>
      </c>
      <c r="T24" s="120">
        <v>0</v>
      </c>
      <c r="U24" s="131">
        <v>0</v>
      </c>
      <c r="V24" s="32">
        <f t="shared" si="0"/>
        <v>0</v>
      </c>
      <c r="W24" s="110"/>
      <c r="X24" s="110"/>
      <c r="Y24" s="110"/>
      <c r="Z24" s="110"/>
      <c r="AA24" s="110"/>
      <c r="AB24" s="110"/>
      <c r="AC24" s="133">
        <f t="shared" si="1"/>
        <v>0</v>
      </c>
      <c r="AD24" s="111"/>
      <c r="AE24" s="112"/>
      <c r="AF24" s="108"/>
    </row>
    <row r="25" spans="1:32" ht="15.5">
      <c r="A25" s="107"/>
      <c r="B25" s="33"/>
      <c r="C25" s="33"/>
      <c r="D25" s="108"/>
      <c r="E25" s="33"/>
      <c r="F25" s="109"/>
      <c r="G25" s="117"/>
      <c r="H25" s="120">
        <v>0</v>
      </c>
      <c r="I25" s="121">
        <v>0</v>
      </c>
      <c r="J25" s="122">
        <v>0</v>
      </c>
      <c r="K25" s="123">
        <v>0</v>
      </c>
      <c r="L25" s="120">
        <v>0</v>
      </c>
      <c r="M25" s="124">
        <v>0</v>
      </c>
      <c r="N25" s="119">
        <v>0</v>
      </c>
      <c r="O25" s="123">
        <v>0</v>
      </c>
      <c r="P25" s="119">
        <v>0</v>
      </c>
      <c r="Q25" s="123">
        <v>0</v>
      </c>
      <c r="R25" s="120">
        <v>0</v>
      </c>
      <c r="S25" s="124">
        <v>0</v>
      </c>
      <c r="T25" s="120">
        <v>0</v>
      </c>
      <c r="U25" s="131">
        <v>0</v>
      </c>
      <c r="V25" s="32">
        <f t="shared" si="0"/>
        <v>0</v>
      </c>
      <c r="W25" s="110"/>
      <c r="X25" s="110"/>
      <c r="Y25" s="110"/>
      <c r="Z25" s="110"/>
      <c r="AA25" s="110"/>
      <c r="AB25" s="110"/>
      <c r="AC25" s="133">
        <f t="shared" si="1"/>
        <v>0</v>
      </c>
      <c r="AD25" s="111"/>
      <c r="AE25" s="112"/>
      <c r="AF25" s="108"/>
    </row>
    <row r="26" spans="1:32" ht="15.5">
      <c r="A26" s="107"/>
      <c r="B26" s="33"/>
      <c r="C26" s="33"/>
      <c r="D26" s="108"/>
      <c r="E26" s="33"/>
      <c r="F26" s="109"/>
      <c r="G26" s="117"/>
      <c r="H26" s="120">
        <v>0</v>
      </c>
      <c r="I26" s="121">
        <v>0</v>
      </c>
      <c r="J26" s="122">
        <v>0</v>
      </c>
      <c r="K26" s="123">
        <v>0</v>
      </c>
      <c r="L26" s="120">
        <v>0</v>
      </c>
      <c r="M26" s="124">
        <v>0</v>
      </c>
      <c r="N26" s="119">
        <v>0</v>
      </c>
      <c r="O26" s="123">
        <v>0</v>
      </c>
      <c r="P26" s="119">
        <v>0</v>
      </c>
      <c r="Q26" s="123">
        <v>0</v>
      </c>
      <c r="R26" s="120">
        <v>0</v>
      </c>
      <c r="S26" s="124">
        <v>0</v>
      </c>
      <c r="T26" s="120">
        <v>0</v>
      </c>
      <c r="U26" s="131">
        <v>0</v>
      </c>
      <c r="V26" s="32">
        <f t="shared" si="0"/>
        <v>0</v>
      </c>
      <c r="W26" s="110"/>
      <c r="X26" s="110"/>
      <c r="Y26" s="110"/>
      <c r="Z26" s="110"/>
      <c r="AA26" s="110"/>
      <c r="AB26" s="110"/>
      <c r="AC26" s="133">
        <f t="shared" ref="AC26:AC57" si="4">V26-SUM(X26:Y26)</f>
        <v>0</v>
      </c>
      <c r="AD26" s="111"/>
      <c r="AE26" s="112"/>
      <c r="AF26" s="108"/>
    </row>
    <row r="27" spans="1:32" ht="15.5">
      <c r="A27" s="107"/>
      <c r="B27" s="33"/>
      <c r="C27" s="33"/>
      <c r="D27" s="108"/>
      <c r="E27" s="33"/>
      <c r="F27" s="109"/>
      <c r="G27" s="117"/>
      <c r="H27" s="120">
        <v>0</v>
      </c>
      <c r="I27" s="121">
        <v>0</v>
      </c>
      <c r="J27" s="122">
        <v>0</v>
      </c>
      <c r="K27" s="123">
        <v>0</v>
      </c>
      <c r="L27" s="120">
        <v>0</v>
      </c>
      <c r="M27" s="124">
        <v>0</v>
      </c>
      <c r="N27" s="119">
        <v>0</v>
      </c>
      <c r="O27" s="123">
        <v>0</v>
      </c>
      <c r="P27" s="119">
        <v>0</v>
      </c>
      <c r="Q27" s="123">
        <v>0</v>
      </c>
      <c r="R27" s="120">
        <v>0</v>
      </c>
      <c r="S27" s="124">
        <v>0</v>
      </c>
      <c r="T27" s="120">
        <v>0</v>
      </c>
      <c r="U27" s="131">
        <v>0</v>
      </c>
      <c r="V27" s="32">
        <f t="shared" si="0"/>
        <v>0</v>
      </c>
      <c r="W27" s="110"/>
      <c r="X27" s="110"/>
      <c r="Y27" s="110"/>
      <c r="Z27" s="110"/>
      <c r="AA27" s="110"/>
      <c r="AB27" s="110"/>
      <c r="AC27" s="133">
        <f t="shared" si="4"/>
        <v>0</v>
      </c>
      <c r="AD27" s="111"/>
      <c r="AE27" s="112"/>
      <c r="AF27" s="108"/>
    </row>
    <row r="28" spans="1:32" ht="15.5">
      <c r="A28" s="107"/>
      <c r="B28" s="33"/>
      <c r="C28" s="33"/>
      <c r="D28" s="108"/>
      <c r="E28" s="33"/>
      <c r="F28" s="109"/>
      <c r="G28" s="117"/>
      <c r="H28" s="120">
        <v>0</v>
      </c>
      <c r="I28" s="121">
        <v>0</v>
      </c>
      <c r="J28" s="122">
        <v>0</v>
      </c>
      <c r="K28" s="123">
        <v>0</v>
      </c>
      <c r="L28" s="120">
        <v>0</v>
      </c>
      <c r="M28" s="124">
        <v>0</v>
      </c>
      <c r="N28" s="119">
        <v>0</v>
      </c>
      <c r="O28" s="123">
        <v>0</v>
      </c>
      <c r="P28" s="119">
        <v>0</v>
      </c>
      <c r="Q28" s="123">
        <v>0</v>
      </c>
      <c r="R28" s="120">
        <v>0</v>
      </c>
      <c r="S28" s="124">
        <v>0</v>
      </c>
      <c r="T28" s="120">
        <v>0</v>
      </c>
      <c r="U28" s="131">
        <v>0</v>
      </c>
      <c r="V28" s="32">
        <f t="shared" si="0"/>
        <v>0</v>
      </c>
      <c r="W28" s="110"/>
      <c r="X28" s="110"/>
      <c r="Y28" s="110"/>
      <c r="Z28" s="110"/>
      <c r="AA28" s="110"/>
      <c r="AB28" s="110"/>
      <c r="AC28" s="133">
        <f t="shared" si="4"/>
        <v>0</v>
      </c>
      <c r="AD28" s="111"/>
      <c r="AE28" s="112"/>
      <c r="AF28" s="108"/>
    </row>
    <row r="29" spans="1:32" ht="15.5">
      <c r="A29" s="107"/>
      <c r="B29" s="33"/>
      <c r="C29" s="33"/>
      <c r="D29" s="108"/>
      <c r="E29" s="33"/>
      <c r="F29" s="109"/>
      <c r="G29" s="117"/>
      <c r="H29" s="120">
        <v>0</v>
      </c>
      <c r="I29" s="121">
        <v>0</v>
      </c>
      <c r="J29" s="122">
        <v>0</v>
      </c>
      <c r="K29" s="123">
        <v>0</v>
      </c>
      <c r="L29" s="120">
        <v>0</v>
      </c>
      <c r="M29" s="124">
        <v>0</v>
      </c>
      <c r="N29" s="119">
        <v>0</v>
      </c>
      <c r="O29" s="123">
        <v>0</v>
      </c>
      <c r="P29" s="119">
        <v>0</v>
      </c>
      <c r="Q29" s="123">
        <v>0</v>
      </c>
      <c r="R29" s="120">
        <v>0</v>
      </c>
      <c r="S29" s="124">
        <v>0</v>
      </c>
      <c r="T29" s="120">
        <v>0</v>
      </c>
      <c r="U29" s="131">
        <v>0</v>
      </c>
      <c r="V29" s="32">
        <f t="shared" si="0"/>
        <v>0</v>
      </c>
      <c r="W29" s="110"/>
      <c r="X29" s="110"/>
      <c r="Y29" s="110"/>
      <c r="Z29" s="110"/>
      <c r="AA29" s="110"/>
      <c r="AB29" s="110"/>
      <c r="AC29" s="133">
        <f t="shared" si="4"/>
        <v>0</v>
      </c>
      <c r="AD29" s="111"/>
      <c r="AE29" s="112"/>
      <c r="AF29" s="108"/>
    </row>
    <row r="30" spans="1:32" ht="15.5">
      <c r="A30" s="107"/>
      <c r="B30" s="33"/>
      <c r="C30" s="33"/>
      <c r="D30" s="108"/>
      <c r="E30" s="33"/>
      <c r="F30" s="109"/>
      <c r="G30" s="117"/>
      <c r="H30" s="120">
        <v>0</v>
      </c>
      <c r="I30" s="121">
        <v>0</v>
      </c>
      <c r="J30" s="122">
        <v>0</v>
      </c>
      <c r="K30" s="123">
        <v>0</v>
      </c>
      <c r="L30" s="120">
        <v>0</v>
      </c>
      <c r="M30" s="124">
        <v>0</v>
      </c>
      <c r="N30" s="119">
        <v>0</v>
      </c>
      <c r="O30" s="123">
        <v>0</v>
      </c>
      <c r="P30" s="119">
        <v>0</v>
      </c>
      <c r="Q30" s="123">
        <v>0</v>
      </c>
      <c r="R30" s="120">
        <v>0</v>
      </c>
      <c r="S30" s="124">
        <v>0</v>
      </c>
      <c r="T30" s="120">
        <v>0</v>
      </c>
      <c r="U30" s="131">
        <v>0</v>
      </c>
      <c r="V30" s="32">
        <f t="shared" si="0"/>
        <v>0</v>
      </c>
      <c r="W30" s="110"/>
      <c r="X30" s="110"/>
      <c r="Y30" s="110"/>
      <c r="Z30" s="110"/>
      <c r="AA30" s="110"/>
      <c r="AB30" s="110"/>
      <c r="AC30" s="133">
        <f t="shared" si="4"/>
        <v>0</v>
      </c>
      <c r="AD30" s="111"/>
      <c r="AE30" s="112"/>
      <c r="AF30" s="108"/>
    </row>
    <row r="31" spans="1:32" ht="15.5">
      <c r="A31" s="107"/>
      <c r="B31" s="33"/>
      <c r="C31" s="33"/>
      <c r="D31" s="108"/>
      <c r="E31" s="33"/>
      <c r="F31" s="109"/>
      <c r="G31" s="117"/>
      <c r="H31" s="120">
        <v>0</v>
      </c>
      <c r="I31" s="121">
        <v>0</v>
      </c>
      <c r="J31" s="122">
        <v>0</v>
      </c>
      <c r="K31" s="123">
        <v>0</v>
      </c>
      <c r="L31" s="120">
        <v>0</v>
      </c>
      <c r="M31" s="124">
        <v>0</v>
      </c>
      <c r="N31" s="119">
        <v>0</v>
      </c>
      <c r="O31" s="123">
        <v>0</v>
      </c>
      <c r="P31" s="119">
        <v>0</v>
      </c>
      <c r="Q31" s="123">
        <v>0</v>
      </c>
      <c r="R31" s="120">
        <v>0</v>
      </c>
      <c r="S31" s="124">
        <v>0</v>
      </c>
      <c r="T31" s="120">
        <v>0</v>
      </c>
      <c r="U31" s="131">
        <v>0</v>
      </c>
      <c r="V31" s="32">
        <f t="shared" si="0"/>
        <v>0</v>
      </c>
      <c r="W31" s="110"/>
      <c r="X31" s="110"/>
      <c r="Y31" s="110"/>
      <c r="Z31" s="110"/>
      <c r="AA31" s="110"/>
      <c r="AB31" s="110"/>
      <c r="AC31" s="133">
        <f t="shared" si="4"/>
        <v>0</v>
      </c>
      <c r="AD31" s="111"/>
      <c r="AE31" s="112"/>
      <c r="AF31" s="108"/>
    </row>
    <row r="32" spans="1:32" ht="15.5">
      <c r="A32" s="107"/>
      <c r="B32" s="33"/>
      <c r="C32" s="33"/>
      <c r="D32" s="108"/>
      <c r="E32" s="33"/>
      <c r="F32" s="109"/>
      <c r="G32" s="117"/>
      <c r="H32" s="120">
        <v>0</v>
      </c>
      <c r="I32" s="121">
        <v>0</v>
      </c>
      <c r="J32" s="122">
        <v>0</v>
      </c>
      <c r="K32" s="123">
        <v>0</v>
      </c>
      <c r="L32" s="120">
        <v>0</v>
      </c>
      <c r="M32" s="124">
        <v>0</v>
      </c>
      <c r="N32" s="119">
        <v>0</v>
      </c>
      <c r="O32" s="123">
        <v>0</v>
      </c>
      <c r="P32" s="119">
        <v>0</v>
      </c>
      <c r="Q32" s="123">
        <v>0</v>
      </c>
      <c r="R32" s="120">
        <v>0</v>
      </c>
      <c r="S32" s="124">
        <v>0</v>
      </c>
      <c r="T32" s="120">
        <v>0</v>
      </c>
      <c r="U32" s="131">
        <v>0</v>
      </c>
      <c r="V32" s="32">
        <f t="shared" si="0"/>
        <v>0</v>
      </c>
      <c r="W32" s="110"/>
      <c r="X32" s="110"/>
      <c r="Y32" s="110"/>
      <c r="Z32" s="110"/>
      <c r="AA32" s="110"/>
      <c r="AB32" s="110"/>
      <c r="AC32" s="133">
        <f t="shared" si="4"/>
        <v>0</v>
      </c>
      <c r="AD32" s="111"/>
      <c r="AE32" s="112"/>
      <c r="AF32" s="108"/>
    </row>
    <row r="33" spans="1:32" ht="15.5">
      <c r="A33" s="107"/>
      <c r="B33" s="33"/>
      <c r="C33" s="33"/>
      <c r="D33" s="108"/>
      <c r="E33" s="33"/>
      <c r="F33" s="109"/>
      <c r="G33" s="117"/>
      <c r="H33" s="120">
        <v>0</v>
      </c>
      <c r="I33" s="121">
        <v>0</v>
      </c>
      <c r="J33" s="122">
        <v>0</v>
      </c>
      <c r="K33" s="123">
        <v>0</v>
      </c>
      <c r="L33" s="120">
        <v>0</v>
      </c>
      <c r="M33" s="124">
        <v>0</v>
      </c>
      <c r="N33" s="119">
        <v>0</v>
      </c>
      <c r="O33" s="123">
        <v>0</v>
      </c>
      <c r="P33" s="119">
        <v>0</v>
      </c>
      <c r="Q33" s="123">
        <v>0</v>
      </c>
      <c r="R33" s="120">
        <v>0</v>
      </c>
      <c r="S33" s="124">
        <v>0</v>
      </c>
      <c r="T33" s="120">
        <v>0</v>
      </c>
      <c r="U33" s="131">
        <v>0</v>
      </c>
      <c r="V33" s="32">
        <f t="shared" si="0"/>
        <v>0</v>
      </c>
      <c r="W33" s="110"/>
      <c r="X33" s="110"/>
      <c r="Y33" s="110"/>
      <c r="Z33" s="110"/>
      <c r="AA33" s="110"/>
      <c r="AB33" s="110"/>
      <c r="AC33" s="133">
        <f t="shared" si="4"/>
        <v>0</v>
      </c>
      <c r="AD33" s="111"/>
      <c r="AE33" s="112"/>
      <c r="AF33" s="108"/>
    </row>
    <row r="34" spans="1:32" ht="15.5">
      <c r="A34" s="107"/>
      <c r="B34" s="33"/>
      <c r="C34" s="33"/>
      <c r="D34" s="108"/>
      <c r="E34" s="33"/>
      <c r="F34" s="109"/>
      <c r="G34" s="117"/>
      <c r="H34" s="120">
        <v>0</v>
      </c>
      <c r="I34" s="121">
        <v>0</v>
      </c>
      <c r="J34" s="122">
        <v>0</v>
      </c>
      <c r="K34" s="123">
        <v>0</v>
      </c>
      <c r="L34" s="120">
        <v>0</v>
      </c>
      <c r="M34" s="124">
        <v>0</v>
      </c>
      <c r="N34" s="119">
        <v>0</v>
      </c>
      <c r="O34" s="123">
        <v>0</v>
      </c>
      <c r="P34" s="119">
        <v>0</v>
      </c>
      <c r="Q34" s="123">
        <v>0</v>
      </c>
      <c r="R34" s="120">
        <v>0</v>
      </c>
      <c r="S34" s="124">
        <v>0</v>
      </c>
      <c r="T34" s="120">
        <v>0</v>
      </c>
      <c r="U34" s="131">
        <v>0</v>
      </c>
      <c r="V34" s="32">
        <f t="shared" ref="V34:V57" si="5">+F34-(SUM(H34:M34,O34,P34,Q34,R34,S34,U34))</f>
        <v>0</v>
      </c>
      <c r="W34" s="110"/>
      <c r="X34" s="110"/>
      <c r="Y34" s="110"/>
      <c r="Z34" s="110"/>
      <c r="AA34" s="110"/>
      <c r="AB34" s="110"/>
      <c r="AC34" s="133">
        <f t="shared" si="4"/>
        <v>0</v>
      </c>
      <c r="AD34" s="111"/>
      <c r="AE34" s="112"/>
      <c r="AF34" s="108"/>
    </row>
    <row r="35" spans="1:32" ht="15.5">
      <c r="A35" s="107"/>
      <c r="B35" s="33"/>
      <c r="C35" s="33"/>
      <c r="D35" s="108"/>
      <c r="E35" s="33"/>
      <c r="F35" s="109"/>
      <c r="G35" s="117"/>
      <c r="H35" s="120">
        <v>0</v>
      </c>
      <c r="I35" s="121">
        <v>0</v>
      </c>
      <c r="J35" s="122">
        <v>0</v>
      </c>
      <c r="K35" s="123">
        <v>0</v>
      </c>
      <c r="L35" s="120">
        <v>0</v>
      </c>
      <c r="M35" s="124">
        <v>0</v>
      </c>
      <c r="N35" s="119">
        <v>0</v>
      </c>
      <c r="O35" s="123">
        <v>0</v>
      </c>
      <c r="P35" s="119">
        <v>0</v>
      </c>
      <c r="Q35" s="123">
        <v>0</v>
      </c>
      <c r="R35" s="120">
        <v>0</v>
      </c>
      <c r="S35" s="124">
        <v>0</v>
      </c>
      <c r="T35" s="120">
        <v>0</v>
      </c>
      <c r="U35" s="131">
        <v>0</v>
      </c>
      <c r="V35" s="32">
        <f t="shared" si="5"/>
        <v>0</v>
      </c>
      <c r="W35" s="110"/>
      <c r="X35" s="110"/>
      <c r="Y35" s="110"/>
      <c r="Z35" s="110"/>
      <c r="AA35" s="110"/>
      <c r="AB35" s="110"/>
      <c r="AC35" s="133">
        <f t="shared" si="4"/>
        <v>0</v>
      </c>
      <c r="AD35" s="111"/>
      <c r="AE35" s="112"/>
      <c r="AF35" s="108"/>
    </row>
    <row r="36" spans="1:32" ht="15.5">
      <c r="A36" s="107"/>
      <c r="B36" s="33"/>
      <c r="C36" s="33"/>
      <c r="D36" s="108"/>
      <c r="E36" s="33"/>
      <c r="F36" s="109"/>
      <c r="G36" s="117"/>
      <c r="H36" s="120">
        <v>0</v>
      </c>
      <c r="I36" s="121">
        <v>0</v>
      </c>
      <c r="J36" s="122">
        <v>0</v>
      </c>
      <c r="K36" s="123">
        <v>0</v>
      </c>
      <c r="L36" s="120">
        <v>0</v>
      </c>
      <c r="M36" s="124">
        <v>0</v>
      </c>
      <c r="N36" s="119">
        <v>0</v>
      </c>
      <c r="O36" s="123">
        <v>0</v>
      </c>
      <c r="P36" s="119">
        <v>0</v>
      </c>
      <c r="Q36" s="123">
        <v>0</v>
      </c>
      <c r="R36" s="120">
        <v>0</v>
      </c>
      <c r="S36" s="124">
        <v>0</v>
      </c>
      <c r="T36" s="120">
        <v>0</v>
      </c>
      <c r="U36" s="131">
        <v>0</v>
      </c>
      <c r="V36" s="32">
        <f t="shared" si="5"/>
        <v>0</v>
      </c>
      <c r="W36" s="110"/>
      <c r="X36" s="110"/>
      <c r="Y36" s="110"/>
      <c r="Z36" s="110"/>
      <c r="AA36" s="110"/>
      <c r="AB36" s="110"/>
      <c r="AC36" s="133">
        <f t="shared" si="4"/>
        <v>0</v>
      </c>
      <c r="AD36" s="111"/>
      <c r="AE36" s="112"/>
      <c r="AF36" s="108"/>
    </row>
    <row r="37" spans="1:32" ht="15.5">
      <c r="A37" s="107"/>
      <c r="B37" s="33"/>
      <c r="C37" s="33"/>
      <c r="D37" s="108"/>
      <c r="E37" s="33"/>
      <c r="F37" s="109"/>
      <c r="G37" s="117"/>
      <c r="H37" s="120">
        <v>0</v>
      </c>
      <c r="I37" s="121">
        <v>0</v>
      </c>
      <c r="J37" s="122">
        <v>0</v>
      </c>
      <c r="K37" s="123">
        <v>0</v>
      </c>
      <c r="L37" s="120">
        <v>0</v>
      </c>
      <c r="M37" s="124">
        <v>0</v>
      </c>
      <c r="N37" s="119">
        <v>0</v>
      </c>
      <c r="O37" s="123">
        <v>0</v>
      </c>
      <c r="P37" s="119">
        <v>0</v>
      </c>
      <c r="Q37" s="123">
        <v>0</v>
      </c>
      <c r="R37" s="120">
        <v>0</v>
      </c>
      <c r="S37" s="124">
        <v>0</v>
      </c>
      <c r="T37" s="120">
        <v>0</v>
      </c>
      <c r="U37" s="131">
        <v>0</v>
      </c>
      <c r="V37" s="32">
        <f t="shared" si="5"/>
        <v>0</v>
      </c>
      <c r="W37" s="110"/>
      <c r="X37" s="110"/>
      <c r="Y37" s="110"/>
      <c r="Z37" s="110"/>
      <c r="AA37" s="110"/>
      <c r="AB37" s="110"/>
      <c r="AC37" s="133">
        <f t="shared" si="4"/>
        <v>0</v>
      </c>
      <c r="AD37" s="111"/>
      <c r="AE37" s="112"/>
      <c r="AF37" s="108"/>
    </row>
    <row r="38" spans="1:32" ht="15.5">
      <c r="A38" s="107"/>
      <c r="B38" s="33"/>
      <c r="C38" s="33"/>
      <c r="D38" s="108"/>
      <c r="E38" s="33"/>
      <c r="F38" s="109"/>
      <c r="G38" s="117"/>
      <c r="H38" s="120">
        <v>0</v>
      </c>
      <c r="I38" s="121">
        <v>0</v>
      </c>
      <c r="J38" s="122">
        <v>0</v>
      </c>
      <c r="K38" s="123">
        <v>0</v>
      </c>
      <c r="L38" s="120">
        <v>0</v>
      </c>
      <c r="M38" s="124">
        <v>0</v>
      </c>
      <c r="N38" s="119">
        <v>0</v>
      </c>
      <c r="O38" s="123">
        <v>0</v>
      </c>
      <c r="P38" s="119">
        <v>0</v>
      </c>
      <c r="Q38" s="123">
        <v>0</v>
      </c>
      <c r="R38" s="120">
        <v>0</v>
      </c>
      <c r="S38" s="124">
        <v>0</v>
      </c>
      <c r="T38" s="120">
        <v>0</v>
      </c>
      <c r="U38" s="131">
        <v>0</v>
      </c>
      <c r="V38" s="32">
        <f t="shared" si="5"/>
        <v>0</v>
      </c>
      <c r="W38" s="110"/>
      <c r="X38" s="110"/>
      <c r="Y38" s="110"/>
      <c r="Z38" s="110"/>
      <c r="AA38" s="110"/>
      <c r="AB38" s="110"/>
      <c r="AC38" s="133">
        <f t="shared" si="4"/>
        <v>0</v>
      </c>
      <c r="AD38" s="111"/>
      <c r="AE38" s="112"/>
      <c r="AF38" s="108"/>
    </row>
    <row r="39" spans="1:32" ht="15.5">
      <c r="A39" s="107"/>
      <c r="B39" s="33"/>
      <c r="C39" s="33"/>
      <c r="D39" s="108"/>
      <c r="E39" s="33"/>
      <c r="F39" s="109"/>
      <c r="G39" s="117"/>
      <c r="H39" s="120">
        <v>0</v>
      </c>
      <c r="I39" s="121">
        <v>0</v>
      </c>
      <c r="J39" s="122">
        <v>0</v>
      </c>
      <c r="K39" s="123">
        <v>0</v>
      </c>
      <c r="L39" s="120">
        <v>0</v>
      </c>
      <c r="M39" s="124">
        <v>0</v>
      </c>
      <c r="N39" s="119">
        <v>0</v>
      </c>
      <c r="O39" s="123">
        <v>0</v>
      </c>
      <c r="P39" s="119">
        <v>0</v>
      </c>
      <c r="Q39" s="123">
        <v>0</v>
      </c>
      <c r="R39" s="120">
        <v>0</v>
      </c>
      <c r="S39" s="124">
        <v>0</v>
      </c>
      <c r="T39" s="120">
        <v>0</v>
      </c>
      <c r="U39" s="131">
        <v>0</v>
      </c>
      <c r="V39" s="32">
        <f t="shared" si="5"/>
        <v>0</v>
      </c>
      <c r="W39" s="110"/>
      <c r="X39" s="110"/>
      <c r="Y39" s="110"/>
      <c r="Z39" s="110"/>
      <c r="AA39" s="110"/>
      <c r="AB39" s="110"/>
      <c r="AC39" s="133">
        <f t="shared" si="4"/>
        <v>0</v>
      </c>
      <c r="AD39" s="111"/>
      <c r="AE39" s="112"/>
      <c r="AF39" s="108"/>
    </row>
    <row r="40" spans="1:32" ht="15.5">
      <c r="A40" s="107"/>
      <c r="B40" s="33"/>
      <c r="C40" s="33"/>
      <c r="D40" s="108"/>
      <c r="E40" s="33"/>
      <c r="F40" s="109"/>
      <c r="G40" s="117"/>
      <c r="H40" s="120">
        <v>0</v>
      </c>
      <c r="I40" s="121">
        <v>0</v>
      </c>
      <c r="J40" s="122">
        <v>0</v>
      </c>
      <c r="K40" s="123">
        <v>0</v>
      </c>
      <c r="L40" s="120">
        <v>0</v>
      </c>
      <c r="M40" s="124">
        <v>0</v>
      </c>
      <c r="N40" s="119">
        <v>0</v>
      </c>
      <c r="O40" s="123">
        <v>0</v>
      </c>
      <c r="P40" s="119">
        <v>0</v>
      </c>
      <c r="Q40" s="123">
        <v>0</v>
      </c>
      <c r="R40" s="120">
        <v>0</v>
      </c>
      <c r="S40" s="124">
        <v>0</v>
      </c>
      <c r="T40" s="120">
        <v>0</v>
      </c>
      <c r="U40" s="131">
        <v>0</v>
      </c>
      <c r="V40" s="32">
        <f t="shared" si="5"/>
        <v>0</v>
      </c>
      <c r="W40" s="110"/>
      <c r="X40" s="110"/>
      <c r="Y40" s="110"/>
      <c r="Z40" s="110"/>
      <c r="AA40" s="110"/>
      <c r="AB40" s="110"/>
      <c r="AC40" s="133">
        <f t="shared" si="4"/>
        <v>0</v>
      </c>
      <c r="AD40" s="111"/>
      <c r="AE40" s="112"/>
      <c r="AF40" s="108"/>
    </row>
    <row r="41" spans="1:32" ht="15.5">
      <c r="A41" s="107"/>
      <c r="B41" s="33"/>
      <c r="C41" s="33"/>
      <c r="D41" s="108"/>
      <c r="E41" s="33"/>
      <c r="F41" s="109"/>
      <c r="G41" s="117"/>
      <c r="H41" s="120">
        <v>0</v>
      </c>
      <c r="I41" s="121">
        <v>0</v>
      </c>
      <c r="J41" s="122">
        <v>0</v>
      </c>
      <c r="K41" s="123">
        <v>0</v>
      </c>
      <c r="L41" s="120">
        <v>0</v>
      </c>
      <c r="M41" s="124">
        <v>0</v>
      </c>
      <c r="N41" s="119">
        <v>0</v>
      </c>
      <c r="O41" s="123">
        <v>0</v>
      </c>
      <c r="P41" s="119">
        <v>0</v>
      </c>
      <c r="Q41" s="123">
        <v>0</v>
      </c>
      <c r="R41" s="120">
        <v>0</v>
      </c>
      <c r="S41" s="124">
        <v>0</v>
      </c>
      <c r="T41" s="120">
        <v>0</v>
      </c>
      <c r="U41" s="131">
        <v>0</v>
      </c>
      <c r="V41" s="32">
        <f t="shared" si="5"/>
        <v>0</v>
      </c>
      <c r="W41" s="110"/>
      <c r="X41" s="110"/>
      <c r="Y41" s="110"/>
      <c r="Z41" s="110"/>
      <c r="AA41" s="110"/>
      <c r="AB41" s="110"/>
      <c r="AC41" s="133">
        <f t="shared" si="4"/>
        <v>0</v>
      </c>
      <c r="AD41" s="111"/>
      <c r="AE41" s="112"/>
      <c r="AF41" s="108"/>
    </row>
    <row r="42" spans="1:32" ht="15.5">
      <c r="A42" s="107"/>
      <c r="B42" s="33"/>
      <c r="C42" s="33"/>
      <c r="D42" s="108"/>
      <c r="E42" s="33"/>
      <c r="F42" s="109"/>
      <c r="G42" s="117"/>
      <c r="H42" s="120">
        <v>0</v>
      </c>
      <c r="I42" s="121">
        <v>0</v>
      </c>
      <c r="J42" s="122">
        <v>0</v>
      </c>
      <c r="K42" s="123">
        <v>0</v>
      </c>
      <c r="L42" s="120">
        <v>0</v>
      </c>
      <c r="M42" s="124">
        <v>0</v>
      </c>
      <c r="N42" s="119">
        <v>0</v>
      </c>
      <c r="O42" s="123">
        <v>0</v>
      </c>
      <c r="P42" s="119">
        <v>0</v>
      </c>
      <c r="Q42" s="123">
        <v>0</v>
      </c>
      <c r="R42" s="120">
        <v>0</v>
      </c>
      <c r="S42" s="124">
        <v>0</v>
      </c>
      <c r="T42" s="120">
        <v>0</v>
      </c>
      <c r="U42" s="131">
        <v>0</v>
      </c>
      <c r="V42" s="32">
        <f t="shared" si="5"/>
        <v>0</v>
      </c>
      <c r="W42" s="110"/>
      <c r="X42" s="110"/>
      <c r="Y42" s="110"/>
      <c r="Z42" s="110"/>
      <c r="AA42" s="110"/>
      <c r="AB42" s="110"/>
      <c r="AC42" s="133">
        <f t="shared" si="4"/>
        <v>0</v>
      </c>
      <c r="AD42" s="111"/>
      <c r="AE42" s="112"/>
      <c r="AF42" s="108"/>
    </row>
    <row r="43" spans="1:32" ht="15.5">
      <c r="A43" s="107"/>
      <c r="B43" s="33"/>
      <c r="C43" s="33"/>
      <c r="D43" s="108"/>
      <c r="E43" s="33"/>
      <c r="F43" s="109"/>
      <c r="G43" s="117"/>
      <c r="H43" s="120">
        <v>0</v>
      </c>
      <c r="I43" s="121">
        <v>0</v>
      </c>
      <c r="J43" s="122">
        <v>0</v>
      </c>
      <c r="K43" s="123">
        <v>0</v>
      </c>
      <c r="L43" s="120">
        <v>0</v>
      </c>
      <c r="M43" s="124">
        <v>0</v>
      </c>
      <c r="N43" s="119">
        <v>0</v>
      </c>
      <c r="O43" s="123">
        <v>0</v>
      </c>
      <c r="P43" s="119">
        <v>0</v>
      </c>
      <c r="Q43" s="123">
        <v>0</v>
      </c>
      <c r="R43" s="120">
        <v>0</v>
      </c>
      <c r="S43" s="124">
        <v>0</v>
      </c>
      <c r="T43" s="120">
        <v>0</v>
      </c>
      <c r="U43" s="131">
        <v>0</v>
      </c>
      <c r="V43" s="32">
        <f t="shared" si="5"/>
        <v>0</v>
      </c>
      <c r="W43" s="110"/>
      <c r="X43" s="110"/>
      <c r="Y43" s="110"/>
      <c r="Z43" s="110"/>
      <c r="AA43" s="110"/>
      <c r="AB43" s="110"/>
      <c r="AC43" s="133">
        <f t="shared" si="4"/>
        <v>0</v>
      </c>
      <c r="AD43" s="111"/>
      <c r="AE43" s="112"/>
      <c r="AF43" s="108"/>
    </row>
    <row r="44" spans="1:32" ht="15.5">
      <c r="A44" s="107"/>
      <c r="B44" s="33"/>
      <c r="C44" s="33"/>
      <c r="D44" s="108"/>
      <c r="E44" s="33"/>
      <c r="F44" s="109"/>
      <c r="G44" s="117"/>
      <c r="H44" s="120">
        <v>0</v>
      </c>
      <c r="I44" s="121">
        <v>0</v>
      </c>
      <c r="J44" s="122">
        <v>0</v>
      </c>
      <c r="K44" s="123">
        <v>0</v>
      </c>
      <c r="L44" s="120">
        <v>0</v>
      </c>
      <c r="M44" s="124">
        <v>0</v>
      </c>
      <c r="N44" s="119">
        <v>0</v>
      </c>
      <c r="O44" s="123">
        <v>0</v>
      </c>
      <c r="P44" s="119">
        <v>0</v>
      </c>
      <c r="Q44" s="123">
        <v>0</v>
      </c>
      <c r="R44" s="120">
        <v>0</v>
      </c>
      <c r="S44" s="124">
        <v>0</v>
      </c>
      <c r="T44" s="120">
        <v>0</v>
      </c>
      <c r="U44" s="131">
        <v>0</v>
      </c>
      <c r="V44" s="32">
        <f t="shared" si="5"/>
        <v>0</v>
      </c>
      <c r="W44" s="110"/>
      <c r="X44" s="110"/>
      <c r="Y44" s="110"/>
      <c r="Z44" s="110"/>
      <c r="AA44" s="110"/>
      <c r="AB44" s="110"/>
      <c r="AC44" s="133">
        <f t="shared" si="4"/>
        <v>0</v>
      </c>
      <c r="AD44" s="111"/>
      <c r="AE44" s="112"/>
      <c r="AF44" s="108"/>
    </row>
    <row r="45" spans="1:32" ht="15.5">
      <c r="A45" s="107"/>
      <c r="B45" s="33"/>
      <c r="C45" s="33"/>
      <c r="D45" s="108"/>
      <c r="E45" s="33"/>
      <c r="F45" s="109"/>
      <c r="G45" s="117"/>
      <c r="H45" s="120">
        <v>0</v>
      </c>
      <c r="I45" s="121">
        <v>0</v>
      </c>
      <c r="J45" s="122">
        <v>0</v>
      </c>
      <c r="K45" s="123">
        <v>0</v>
      </c>
      <c r="L45" s="120">
        <v>0</v>
      </c>
      <c r="M45" s="124">
        <v>0</v>
      </c>
      <c r="N45" s="119">
        <v>0</v>
      </c>
      <c r="O45" s="123">
        <v>0</v>
      </c>
      <c r="P45" s="119">
        <v>0</v>
      </c>
      <c r="Q45" s="123">
        <v>0</v>
      </c>
      <c r="R45" s="120">
        <v>0</v>
      </c>
      <c r="S45" s="124">
        <v>0</v>
      </c>
      <c r="T45" s="120">
        <v>0</v>
      </c>
      <c r="U45" s="131">
        <v>0</v>
      </c>
      <c r="V45" s="32">
        <f t="shared" si="5"/>
        <v>0</v>
      </c>
      <c r="W45" s="110"/>
      <c r="X45" s="110"/>
      <c r="Y45" s="110"/>
      <c r="Z45" s="110"/>
      <c r="AA45" s="110"/>
      <c r="AB45" s="110"/>
      <c r="AC45" s="133">
        <f t="shared" si="4"/>
        <v>0</v>
      </c>
      <c r="AD45" s="111"/>
      <c r="AE45" s="112"/>
      <c r="AF45" s="108"/>
    </row>
    <row r="46" spans="1:32" ht="15.5">
      <c r="A46" s="107"/>
      <c r="B46" s="33"/>
      <c r="C46" s="33"/>
      <c r="D46" s="108"/>
      <c r="E46" s="33"/>
      <c r="F46" s="109"/>
      <c r="G46" s="117"/>
      <c r="H46" s="120">
        <v>0</v>
      </c>
      <c r="I46" s="121">
        <v>0</v>
      </c>
      <c r="J46" s="122">
        <v>0</v>
      </c>
      <c r="K46" s="123">
        <v>0</v>
      </c>
      <c r="L46" s="120">
        <v>0</v>
      </c>
      <c r="M46" s="124">
        <v>0</v>
      </c>
      <c r="N46" s="119">
        <v>0</v>
      </c>
      <c r="O46" s="123">
        <v>0</v>
      </c>
      <c r="P46" s="119">
        <v>0</v>
      </c>
      <c r="Q46" s="123">
        <v>0</v>
      </c>
      <c r="R46" s="120">
        <v>0</v>
      </c>
      <c r="S46" s="124">
        <v>0</v>
      </c>
      <c r="T46" s="120">
        <v>0</v>
      </c>
      <c r="U46" s="131">
        <v>0</v>
      </c>
      <c r="V46" s="32">
        <f t="shared" si="5"/>
        <v>0</v>
      </c>
      <c r="W46" s="110"/>
      <c r="X46" s="110"/>
      <c r="Y46" s="110"/>
      <c r="Z46" s="110"/>
      <c r="AA46" s="110"/>
      <c r="AB46" s="110"/>
      <c r="AC46" s="133">
        <f t="shared" si="4"/>
        <v>0</v>
      </c>
      <c r="AD46" s="111"/>
      <c r="AE46" s="112"/>
      <c r="AF46" s="108"/>
    </row>
    <row r="47" spans="1:32" ht="15.5">
      <c r="A47" s="107"/>
      <c r="B47" s="33"/>
      <c r="C47" s="33"/>
      <c r="D47" s="108"/>
      <c r="E47" s="33"/>
      <c r="F47" s="109"/>
      <c r="G47" s="117"/>
      <c r="H47" s="120">
        <v>0</v>
      </c>
      <c r="I47" s="121">
        <v>0</v>
      </c>
      <c r="J47" s="122">
        <v>0</v>
      </c>
      <c r="K47" s="123">
        <v>0</v>
      </c>
      <c r="L47" s="120">
        <v>0</v>
      </c>
      <c r="M47" s="124">
        <v>0</v>
      </c>
      <c r="N47" s="119">
        <v>0</v>
      </c>
      <c r="O47" s="123">
        <v>0</v>
      </c>
      <c r="P47" s="119">
        <v>0</v>
      </c>
      <c r="Q47" s="123">
        <v>0</v>
      </c>
      <c r="R47" s="120">
        <v>0</v>
      </c>
      <c r="S47" s="124">
        <v>0</v>
      </c>
      <c r="T47" s="120">
        <v>0</v>
      </c>
      <c r="U47" s="131">
        <v>0</v>
      </c>
      <c r="V47" s="32">
        <f t="shared" si="5"/>
        <v>0</v>
      </c>
      <c r="W47" s="110"/>
      <c r="X47" s="110"/>
      <c r="Y47" s="110"/>
      <c r="Z47" s="110"/>
      <c r="AA47" s="110"/>
      <c r="AB47" s="110"/>
      <c r="AC47" s="133">
        <f t="shared" si="4"/>
        <v>0</v>
      </c>
      <c r="AD47" s="111"/>
      <c r="AE47" s="112"/>
      <c r="AF47" s="108"/>
    </row>
    <row r="48" spans="1:32" ht="15.5">
      <c r="A48" s="107"/>
      <c r="B48" s="33"/>
      <c r="C48" s="33"/>
      <c r="D48" s="108"/>
      <c r="E48" s="33"/>
      <c r="F48" s="109"/>
      <c r="G48" s="117"/>
      <c r="H48" s="120">
        <v>0</v>
      </c>
      <c r="I48" s="121">
        <v>0</v>
      </c>
      <c r="J48" s="122">
        <v>0</v>
      </c>
      <c r="K48" s="123">
        <v>0</v>
      </c>
      <c r="L48" s="120">
        <v>0</v>
      </c>
      <c r="M48" s="124">
        <v>0</v>
      </c>
      <c r="N48" s="119">
        <v>0</v>
      </c>
      <c r="O48" s="123">
        <v>0</v>
      </c>
      <c r="P48" s="119">
        <v>0</v>
      </c>
      <c r="Q48" s="123">
        <v>0</v>
      </c>
      <c r="R48" s="120">
        <v>0</v>
      </c>
      <c r="S48" s="124">
        <v>0</v>
      </c>
      <c r="T48" s="120">
        <v>0</v>
      </c>
      <c r="U48" s="131">
        <v>0</v>
      </c>
      <c r="V48" s="32">
        <f t="shared" si="5"/>
        <v>0</v>
      </c>
      <c r="W48" s="110"/>
      <c r="X48" s="110"/>
      <c r="Y48" s="110"/>
      <c r="Z48" s="110"/>
      <c r="AA48" s="110"/>
      <c r="AB48" s="110"/>
      <c r="AC48" s="133">
        <f t="shared" si="4"/>
        <v>0</v>
      </c>
      <c r="AD48" s="111"/>
      <c r="AE48" s="112"/>
      <c r="AF48" s="108"/>
    </row>
    <row r="49" spans="1:32" ht="15.5">
      <c r="A49" s="107"/>
      <c r="B49" s="33"/>
      <c r="C49" s="33"/>
      <c r="D49" s="108"/>
      <c r="E49" s="33"/>
      <c r="F49" s="109"/>
      <c r="G49" s="117"/>
      <c r="H49" s="120">
        <v>0</v>
      </c>
      <c r="I49" s="121">
        <v>0</v>
      </c>
      <c r="J49" s="122">
        <v>0</v>
      </c>
      <c r="K49" s="123">
        <v>0</v>
      </c>
      <c r="L49" s="120">
        <v>0</v>
      </c>
      <c r="M49" s="124">
        <v>0</v>
      </c>
      <c r="N49" s="119">
        <v>0</v>
      </c>
      <c r="O49" s="123">
        <v>0</v>
      </c>
      <c r="P49" s="119">
        <v>0</v>
      </c>
      <c r="Q49" s="123">
        <v>0</v>
      </c>
      <c r="R49" s="120">
        <v>0</v>
      </c>
      <c r="S49" s="124">
        <v>0</v>
      </c>
      <c r="T49" s="120">
        <v>0</v>
      </c>
      <c r="U49" s="131">
        <v>0</v>
      </c>
      <c r="V49" s="32">
        <f t="shared" si="5"/>
        <v>0</v>
      </c>
      <c r="W49" s="110"/>
      <c r="X49" s="110"/>
      <c r="Y49" s="110"/>
      <c r="Z49" s="110"/>
      <c r="AA49" s="110"/>
      <c r="AB49" s="110"/>
      <c r="AC49" s="133">
        <f t="shared" si="4"/>
        <v>0</v>
      </c>
      <c r="AD49" s="111"/>
      <c r="AE49" s="112"/>
      <c r="AF49" s="108"/>
    </row>
    <row r="50" spans="1:32" ht="15.5">
      <c r="A50" s="107"/>
      <c r="B50" s="33"/>
      <c r="C50" s="33"/>
      <c r="D50" s="108"/>
      <c r="E50" s="33"/>
      <c r="F50" s="109"/>
      <c r="G50" s="117"/>
      <c r="H50" s="120">
        <v>0</v>
      </c>
      <c r="I50" s="121">
        <v>0</v>
      </c>
      <c r="J50" s="122">
        <v>0</v>
      </c>
      <c r="K50" s="123">
        <v>0</v>
      </c>
      <c r="L50" s="120">
        <v>0</v>
      </c>
      <c r="M50" s="124">
        <v>0</v>
      </c>
      <c r="N50" s="119">
        <v>0</v>
      </c>
      <c r="O50" s="123">
        <v>0</v>
      </c>
      <c r="P50" s="119">
        <v>0</v>
      </c>
      <c r="Q50" s="123">
        <v>0</v>
      </c>
      <c r="R50" s="120">
        <v>0</v>
      </c>
      <c r="S50" s="124">
        <v>0</v>
      </c>
      <c r="T50" s="120">
        <v>0</v>
      </c>
      <c r="U50" s="131">
        <v>0</v>
      </c>
      <c r="V50" s="32">
        <f t="shared" si="5"/>
        <v>0</v>
      </c>
      <c r="W50" s="110"/>
      <c r="X50" s="110"/>
      <c r="Y50" s="110"/>
      <c r="Z50" s="110"/>
      <c r="AA50" s="110"/>
      <c r="AB50" s="110"/>
      <c r="AC50" s="133">
        <f t="shared" si="4"/>
        <v>0</v>
      </c>
      <c r="AD50" s="111"/>
      <c r="AE50" s="112"/>
      <c r="AF50" s="108"/>
    </row>
    <row r="51" spans="1:32" ht="15.5">
      <c r="A51" s="107"/>
      <c r="B51" s="33"/>
      <c r="C51" s="33"/>
      <c r="D51" s="108"/>
      <c r="E51" s="33"/>
      <c r="F51" s="109"/>
      <c r="G51" s="117"/>
      <c r="H51" s="120">
        <v>0</v>
      </c>
      <c r="I51" s="121">
        <v>0</v>
      </c>
      <c r="J51" s="122">
        <v>0</v>
      </c>
      <c r="K51" s="123">
        <v>0</v>
      </c>
      <c r="L51" s="120">
        <v>0</v>
      </c>
      <c r="M51" s="124">
        <v>0</v>
      </c>
      <c r="N51" s="119">
        <v>0</v>
      </c>
      <c r="O51" s="123">
        <v>0</v>
      </c>
      <c r="P51" s="119">
        <v>0</v>
      </c>
      <c r="Q51" s="123">
        <v>0</v>
      </c>
      <c r="R51" s="120">
        <v>0</v>
      </c>
      <c r="S51" s="124">
        <v>0</v>
      </c>
      <c r="T51" s="120">
        <v>0</v>
      </c>
      <c r="U51" s="131">
        <v>0</v>
      </c>
      <c r="V51" s="32">
        <f t="shared" si="5"/>
        <v>0</v>
      </c>
      <c r="W51" s="110"/>
      <c r="X51" s="110"/>
      <c r="Y51" s="110"/>
      <c r="Z51" s="110"/>
      <c r="AA51" s="110"/>
      <c r="AB51" s="110"/>
      <c r="AC51" s="133">
        <f t="shared" si="4"/>
        <v>0</v>
      </c>
      <c r="AD51" s="111"/>
      <c r="AE51" s="112"/>
      <c r="AF51" s="108"/>
    </row>
    <row r="52" spans="1:32" ht="15.5">
      <c r="A52" s="107"/>
      <c r="B52" s="33"/>
      <c r="C52" s="33"/>
      <c r="D52" s="108"/>
      <c r="E52" s="33"/>
      <c r="F52" s="109"/>
      <c r="G52" s="117"/>
      <c r="H52" s="120">
        <v>0</v>
      </c>
      <c r="I52" s="121">
        <v>0</v>
      </c>
      <c r="J52" s="122">
        <v>0</v>
      </c>
      <c r="K52" s="123">
        <v>0</v>
      </c>
      <c r="L52" s="120">
        <v>0</v>
      </c>
      <c r="M52" s="124">
        <v>0</v>
      </c>
      <c r="N52" s="119">
        <v>0</v>
      </c>
      <c r="O52" s="123">
        <v>0</v>
      </c>
      <c r="P52" s="119">
        <v>0</v>
      </c>
      <c r="Q52" s="123">
        <v>0</v>
      </c>
      <c r="R52" s="120">
        <v>0</v>
      </c>
      <c r="S52" s="124">
        <v>0</v>
      </c>
      <c r="T52" s="120">
        <v>0</v>
      </c>
      <c r="U52" s="131">
        <v>0</v>
      </c>
      <c r="V52" s="32">
        <f t="shared" si="5"/>
        <v>0</v>
      </c>
      <c r="W52" s="110"/>
      <c r="X52" s="110"/>
      <c r="Y52" s="110"/>
      <c r="Z52" s="110"/>
      <c r="AA52" s="110"/>
      <c r="AB52" s="110"/>
      <c r="AC52" s="133">
        <f t="shared" si="4"/>
        <v>0</v>
      </c>
      <c r="AD52" s="111"/>
      <c r="AE52" s="112"/>
      <c r="AF52" s="108"/>
    </row>
    <row r="53" spans="1:32" ht="15.5">
      <c r="A53" s="107"/>
      <c r="B53" s="33"/>
      <c r="C53" s="33"/>
      <c r="D53" s="108"/>
      <c r="E53" s="33"/>
      <c r="F53" s="109"/>
      <c r="G53" s="117"/>
      <c r="H53" s="120">
        <v>0</v>
      </c>
      <c r="I53" s="121">
        <v>0</v>
      </c>
      <c r="J53" s="122">
        <v>0</v>
      </c>
      <c r="K53" s="123">
        <v>0</v>
      </c>
      <c r="L53" s="120">
        <v>0</v>
      </c>
      <c r="M53" s="124">
        <v>0</v>
      </c>
      <c r="N53" s="119">
        <v>0</v>
      </c>
      <c r="O53" s="123">
        <v>0</v>
      </c>
      <c r="P53" s="119">
        <v>0</v>
      </c>
      <c r="Q53" s="123">
        <v>0</v>
      </c>
      <c r="R53" s="120">
        <v>0</v>
      </c>
      <c r="S53" s="124">
        <v>0</v>
      </c>
      <c r="T53" s="120">
        <v>0</v>
      </c>
      <c r="U53" s="131">
        <v>0</v>
      </c>
      <c r="V53" s="32">
        <f t="shared" si="5"/>
        <v>0</v>
      </c>
      <c r="W53" s="110"/>
      <c r="X53" s="110"/>
      <c r="Y53" s="110"/>
      <c r="Z53" s="110"/>
      <c r="AA53" s="110"/>
      <c r="AB53" s="110"/>
      <c r="AC53" s="133">
        <f t="shared" si="4"/>
        <v>0</v>
      </c>
      <c r="AD53" s="111"/>
      <c r="AE53" s="112"/>
      <c r="AF53" s="108"/>
    </row>
    <row r="54" spans="1:32" ht="15.5">
      <c r="A54" s="107"/>
      <c r="B54" s="33"/>
      <c r="C54" s="33"/>
      <c r="D54" s="108"/>
      <c r="E54" s="33"/>
      <c r="F54" s="109"/>
      <c r="G54" s="117"/>
      <c r="H54" s="120">
        <v>0</v>
      </c>
      <c r="I54" s="121">
        <v>0</v>
      </c>
      <c r="J54" s="122">
        <v>0</v>
      </c>
      <c r="K54" s="123">
        <v>0</v>
      </c>
      <c r="L54" s="120">
        <v>0</v>
      </c>
      <c r="M54" s="124">
        <v>0</v>
      </c>
      <c r="N54" s="119">
        <v>0</v>
      </c>
      <c r="O54" s="123">
        <v>0</v>
      </c>
      <c r="P54" s="119">
        <v>0</v>
      </c>
      <c r="Q54" s="123">
        <v>0</v>
      </c>
      <c r="R54" s="120">
        <v>0</v>
      </c>
      <c r="S54" s="124">
        <v>0</v>
      </c>
      <c r="T54" s="120">
        <v>0</v>
      </c>
      <c r="U54" s="131">
        <v>0</v>
      </c>
      <c r="V54" s="32">
        <f t="shared" si="5"/>
        <v>0</v>
      </c>
      <c r="W54" s="110"/>
      <c r="X54" s="110"/>
      <c r="Y54" s="110"/>
      <c r="Z54" s="110"/>
      <c r="AA54" s="110"/>
      <c r="AB54" s="110"/>
      <c r="AC54" s="133">
        <f t="shared" si="4"/>
        <v>0</v>
      </c>
      <c r="AD54" s="111"/>
      <c r="AE54" s="112"/>
      <c r="AF54" s="108"/>
    </row>
    <row r="55" spans="1:32" ht="15.5">
      <c r="A55" s="107"/>
      <c r="B55" s="33"/>
      <c r="C55" s="33"/>
      <c r="D55" s="108"/>
      <c r="E55" s="33"/>
      <c r="F55" s="109"/>
      <c r="G55" s="117"/>
      <c r="H55" s="120">
        <v>0</v>
      </c>
      <c r="I55" s="121">
        <v>0</v>
      </c>
      <c r="J55" s="122">
        <v>0</v>
      </c>
      <c r="K55" s="123">
        <v>0</v>
      </c>
      <c r="L55" s="120">
        <v>0</v>
      </c>
      <c r="M55" s="124">
        <v>0</v>
      </c>
      <c r="N55" s="119">
        <v>0</v>
      </c>
      <c r="O55" s="123">
        <v>0</v>
      </c>
      <c r="P55" s="119">
        <v>0</v>
      </c>
      <c r="Q55" s="123">
        <v>0</v>
      </c>
      <c r="R55" s="120">
        <v>0</v>
      </c>
      <c r="S55" s="124">
        <v>0</v>
      </c>
      <c r="T55" s="120">
        <v>0</v>
      </c>
      <c r="U55" s="131">
        <v>0</v>
      </c>
      <c r="V55" s="32">
        <f t="shared" si="5"/>
        <v>0</v>
      </c>
      <c r="W55" s="110"/>
      <c r="X55" s="110"/>
      <c r="Y55" s="110"/>
      <c r="Z55" s="110"/>
      <c r="AA55" s="110"/>
      <c r="AB55" s="110"/>
      <c r="AC55" s="133">
        <f t="shared" si="4"/>
        <v>0</v>
      </c>
      <c r="AD55" s="111"/>
      <c r="AE55" s="112"/>
      <c r="AF55" s="108"/>
    </row>
    <row r="56" spans="1:32" ht="15.5">
      <c r="A56" s="107"/>
      <c r="B56" s="33"/>
      <c r="C56" s="33"/>
      <c r="D56" s="108"/>
      <c r="E56" s="33"/>
      <c r="F56" s="109"/>
      <c r="G56" s="117"/>
      <c r="H56" s="120">
        <v>0</v>
      </c>
      <c r="I56" s="121">
        <v>0</v>
      </c>
      <c r="J56" s="122">
        <v>0</v>
      </c>
      <c r="K56" s="123">
        <v>0</v>
      </c>
      <c r="L56" s="120">
        <v>0</v>
      </c>
      <c r="M56" s="124">
        <v>0</v>
      </c>
      <c r="N56" s="119">
        <v>0</v>
      </c>
      <c r="O56" s="123">
        <v>0</v>
      </c>
      <c r="P56" s="119">
        <v>0</v>
      </c>
      <c r="Q56" s="123">
        <v>0</v>
      </c>
      <c r="R56" s="120">
        <v>0</v>
      </c>
      <c r="S56" s="124">
        <v>0</v>
      </c>
      <c r="T56" s="120">
        <v>0</v>
      </c>
      <c r="U56" s="131">
        <v>0</v>
      </c>
      <c r="V56" s="32">
        <f t="shared" si="5"/>
        <v>0</v>
      </c>
      <c r="W56" s="110"/>
      <c r="X56" s="110"/>
      <c r="Y56" s="110"/>
      <c r="Z56" s="110"/>
      <c r="AA56" s="110"/>
      <c r="AB56" s="110"/>
      <c r="AC56" s="133">
        <f t="shared" si="4"/>
        <v>0</v>
      </c>
      <c r="AD56" s="111"/>
      <c r="AE56" s="112"/>
      <c r="AF56" s="108"/>
    </row>
    <row r="57" spans="1:32" ht="15.5">
      <c r="A57" s="107"/>
      <c r="B57" s="33"/>
      <c r="C57" s="33"/>
      <c r="D57" s="108"/>
      <c r="E57" s="33"/>
      <c r="F57" s="109"/>
      <c r="G57" s="117"/>
      <c r="H57" s="120">
        <v>0</v>
      </c>
      <c r="I57" s="121">
        <v>0</v>
      </c>
      <c r="J57" s="122">
        <v>0</v>
      </c>
      <c r="K57" s="123">
        <v>0</v>
      </c>
      <c r="L57" s="120">
        <v>0</v>
      </c>
      <c r="M57" s="124">
        <v>0</v>
      </c>
      <c r="N57" s="119">
        <v>0</v>
      </c>
      <c r="O57" s="123">
        <v>0</v>
      </c>
      <c r="P57" s="119">
        <v>0</v>
      </c>
      <c r="Q57" s="123">
        <v>0</v>
      </c>
      <c r="R57" s="120">
        <v>0</v>
      </c>
      <c r="S57" s="124">
        <v>0</v>
      </c>
      <c r="T57" s="120">
        <v>0</v>
      </c>
      <c r="U57" s="131">
        <v>0</v>
      </c>
      <c r="V57" s="32">
        <f t="shared" si="5"/>
        <v>0</v>
      </c>
      <c r="W57" s="110"/>
      <c r="X57" s="110"/>
      <c r="Y57" s="110"/>
      <c r="Z57" s="110"/>
      <c r="AA57" s="22"/>
      <c r="AB57" s="110"/>
      <c r="AC57" s="133">
        <f t="shared" si="4"/>
        <v>0</v>
      </c>
      <c r="AD57" s="111"/>
      <c r="AE57" s="112"/>
      <c r="AF57" s="108"/>
    </row>
  </sheetData>
  <sheetProtection selectLockedCells="1"/>
  <protectedRanges>
    <protectedRange sqref="AF7:AF57 F7:U57 B7:D57" name="Rango1"/>
    <protectedRange sqref="AC7:AD57" name="Rango1_2"/>
    <protectedRange sqref="E7:E57 A7:A57" name="Rango1_1"/>
  </protectedRanges>
  <mergeCells count="8">
    <mergeCell ref="G9:G10"/>
    <mergeCell ref="E3:F3"/>
    <mergeCell ref="O4:T4"/>
    <mergeCell ref="H4:N4"/>
    <mergeCell ref="J5:N5"/>
    <mergeCell ref="H5:I5"/>
    <mergeCell ref="Q5:T5"/>
    <mergeCell ref="O5:P5"/>
  </mergeCells>
  <phoneticPr fontId="0" type="noConversion"/>
  <conditionalFormatting sqref="E7:H9 A7:C9 F10 H10 AA14:AA56 AB14:AB57 W14:Z57 K7:U57 W7:AB13 E11:H57 A11:C57">
    <cfRule type="expression" dxfId="7" priority="253" stopIfTrue="1">
      <formula>"SEVERSTAL"</formula>
    </cfRule>
  </conditionalFormatting>
  <conditionalFormatting sqref="D7:D9 AF7:AF57 AC7:AD57 D11:D57">
    <cfRule type="cellIs" dxfId="6" priority="254" stopIfTrue="1" operator="equal">
      <formula>"APROBADO"</formula>
    </cfRule>
    <cfRule type="cellIs" dxfId="5" priority="255" stopIfTrue="1" operator="equal">
      <formula>"ESPERA"</formula>
    </cfRule>
    <cfRule type="cellIs" dxfId="4" priority="256" stopIfTrue="1" operator="equal">
      <formula>"RECHAZADO"</formula>
    </cfRule>
  </conditionalFormatting>
  <conditionalFormatting sqref="E10 A10:C10">
    <cfRule type="expression" dxfId="3" priority="1" stopIfTrue="1">
      <formula>"SEVERSTAL"</formula>
    </cfRule>
  </conditionalFormatting>
  <conditionalFormatting sqref="D10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2024-02-13T16:44:06Z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