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S:\SEC\TTRTUCA\0- TT04 Master Plan\SPC TT04 2015\SPC TPC TT04\SPC TPC N80Q\"/>
    </mc:Choice>
  </mc:AlternateContent>
  <bookViews>
    <workbookView showSheetTabs="0" xWindow="20370" yWindow="-120" windowWidth="29040" windowHeight="15840" tabRatio="717" activeTab="1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Produccion!$A$6:$AG$6</definedName>
    <definedName name="_xlnm._FilterDatabase" localSheetId="1" hidden="1">Resultados!$A$4:$AN$4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Produccion!$4:$6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5" l="1"/>
  <c r="J39" i="5" l="1"/>
  <c r="W7" i="5" l="1"/>
</calcChain>
</file>

<file path=xl/sharedStrings.xml><?xml version="1.0" encoding="utf-8"?>
<sst xmlns="http://schemas.openxmlformats.org/spreadsheetml/2006/main" count="173" uniqueCount="132">
  <si>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</si>
  <si>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</si>
  <si>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</si>
  <si>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</si>
  <si>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</si>
  <si>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</si>
  <si>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</si>
  <si>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</si>
  <si>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</si>
  <si>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</si>
  <si>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</si>
  <si>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</si>
  <si>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</si>
  <si>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</si>
  <si>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</si>
  <si>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</si>
  <si>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</si>
  <si>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</si>
  <si>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</si>
  <si>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</si>
  <si>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</si>
  <si>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</si>
  <si>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</si>
  <si>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</si>
  <si>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CICLO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</si>
  <si>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</si>
  <si>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</si>
  <si>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</si>
  <si>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</si>
  <si>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</si>
  <si>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</si>
  <si>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</si>
  <si>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</si>
  <si>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</si>
  <si>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</si>
  <si>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</si>
  <si>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</si>
  <si>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</si>
  <si>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</si>
  <si>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</si>
  <si>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</si>
  <si>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</si>
  <si>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</si>
  <si>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</si>
  <si>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</si>
  <si>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</si>
  <si>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</si>
  <si>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</si>
  <si>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</si>
  <si>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</si>
  <si>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</si>
  <si>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</si>
  <si>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</si>
  <si>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</si>
  <si>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ESTADO</t>
  </si>
  <si>
    <t>T/Hr H. Temple</t>
  </si>
  <si>
    <t>T/Hr H. Revenido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</si>
  <si>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</si>
  <si>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</si>
  <si>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</si>
  <si>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</si>
  <si>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</si>
  <si>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</si>
  <si>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</si>
  <si>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</si>
  <si>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</si>
  <si>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</si>
  <si>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</si>
  <si>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</si>
  <si>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</si>
  <si>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P5</t>
  </si>
  <si>
    <t>P4</t>
  </si>
  <si>
    <t>P3</t>
  </si>
  <si>
    <t>P2</t>
  </si>
  <si>
    <t xml:space="preserve">CUERPO 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</si>
  <si>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</si>
  <si>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</si>
  <si>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</si>
  <si>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</si>
  <si>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</si>
  <si>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</si>
  <si>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</si>
  <si>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</si>
  <si>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</si>
  <si>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</si>
  <si>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</si>
  <si>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</si>
  <si>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</si>
  <si>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</si>
  <si>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</si>
  <si>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</si>
  <si>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</si>
  <si>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</si>
  <si>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</si>
  <si>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</si>
  <si>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65 Seg</t>
  </si>
  <si>
    <t>1 al 30</t>
  </si>
  <si>
    <t>SEAMLESS</t>
  </si>
  <si>
    <t>CN80114,4-14,9 TPC</t>
  </si>
  <si>
    <t>CN80 114,4 --14,9 TPC</t>
  </si>
  <si>
    <t>Clave</t>
  </si>
  <si>
    <t>Cuerpo</t>
  </si>
  <si>
    <t>Cuerpo Centro</t>
  </si>
  <si>
    <t xml:space="preserve">NORTE </t>
  </si>
  <si>
    <t>Centro</t>
  </si>
  <si>
    <t>P1</t>
  </si>
  <si>
    <t xml:space="preserve">SUR </t>
  </si>
  <si>
    <t>OD (mm)</t>
  </si>
  <si>
    <t>WT (mm)</t>
  </si>
  <si>
    <t>Proveedor</t>
  </si>
  <si>
    <t>Colada</t>
  </si>
  <si>
    <t>No. Tubo</t>
  </si>
  <si>
    <t>N80Q</t>
  </si>
  <si>
    <t>TPC</t>
  </si>
  <si>
    <t xml:space="preserve">proveedor </t>
  </si>
  <si>
    <t>92.4</t>
  </si>
  <si>
    <t>106.9</t>
  </si>
  <si>
    <t>95.0</t>
  </si>
  <si>
    <t>108.8</t>
  </si>
  <si>
    <t>96.3</t>
  </si>
  <si>
    <t>110.0</t>
  </si>
  <si>
    <t>96.8</t>
  </si>
  <si>
    <t>109.7</t>
  </si>
  <si>
    <t>94.3</t>
  </si>
  <si>
    <t>94.2</t>
  </si>
  <si>
    <t>107.1</t>
  </si>
  <si>
    <t>93.9</t>
  </si>
  <si>
    <t>108.7</t>
  </si>
  <si>
    <t>94.8</t>
  </si>
  <si>
    <t>108.2</t>
  </si>
  <si>
    <t>96.7</t>
  </si>
  <si>
    <t>110.5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</si>
</sst>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</numFmts>
  <fonts count="76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7" fillId="0" borderId="0"/>
    <xf numFmtId="0" fontId="1" fillId="0" borderId="0"/>
  </cellStyleXfs>
  <cellXfs count="220">
    <xf numFmtId="0" fontId="0" fillId="0" borderId="0" xfId="0"/>
    <xf numFmtId="0" fontId="13" fillId="0" borderId="0" xfId="0" applyFont="1"/>
    <xf numFmtId="166" fontId="13" fillId="0" borderId="0" xfId="2" applyNumberFormat="1" applyFont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3" borderId="0" xfId="0" applyFill="1"/>
    <xf numFmtId="0" fontId="11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 applyBorder="1" applyAlignment="1">
      <alignment vertical="center"/>
    </xf>
    <xf numFmtId="0" fontId="30" fillId="0" borderId="0" xfId="0" applyFont="1" applyFill="1" applyBorder="1" applyAlignment="1">
      <alignment vertical="center"/>
    </xf>
    <xf numFmtId="0" fontId="0" fillId="4" borderId="7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49" fontId="0" fillId="0" borderId="14" xfId="0" quotePrefix="1" applyNumberFormat="1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21" fillId="0" borderId="1" xfId="3" applyFont="1" applyBorder="1" applyAlignment="1">
      <alignment horizontal="center"/>
    </xf>
    <xf numFmtId="0" fontId="39" fillId="0" borderId="1" xfId="0" applyFont="1" applyFill="1" applyBorder="1" applyAlignment="1">
      <alignment horizontal="center"/>
    </xf>
    <xf numFmtId="165" fontId="39" fillId="0" borderId="1" xfId="2" applyNumberFormat="1" applyFont="1" applyFill="1" applyBorder="1" applyAlignment="1">
      <alignment horizontal="center"/>
    </xf>
    <xf numFmtId="0" fontId="46" fillId="8" borderId="0" xfId="0" applyFont="1" applyFill="1" applyAlignment="1">
      <alignment horizontal="center"/>
    </xf>
    <xf numFmtId="0" fontId="46" fillId="8" borderId="0" xfId="0" applyFont="1" applyFill="1" applyAlignment="1">
      <alignment horizontal="center" vertical="center" wrapText="1"/>
    </xf>
    <xf numFmtId="0" fontId="47" fillId="0" borderId="0" xfId="0" applyFont="1" applyFill="1" applyBorder="1" applyAlignment="1"/>
    <xf numFmtId="0" fontId="48" fillId="0" borderId="0" xfId="0" applyFont="1" applyAlignment="1">
      <alignment horizontal="center"/>
    </xf>
    <xf numFmtId="0" fontId="49" fillId="0" borderId="0" xfId="0" applyFont="1" applyFill="1" applyBorder="1" applyAlignment="1"/>
    <xf numFmtId="0" fontId="50" fillId="0" borderId="0" xfId="0" applyFont="1" applyFill="1" applyBorder="1" applyAlignment="1"/>
    <xf numFmtId="14" fontId="51" fillId="0" borderId="0" xfId="0" quotePrefix="1" applyNumberFormat="1" applyFont="1" applyFill="1" applyBorder="1" applyAlignment="1"/>
    <xf numFmtId="14" fontId="51" fillId="0" borderId="0" xfId="0" applyNumberFormat="1" applyFont="1" applyFill="1" applyBorder="1" applyAlignment="1"/>
    <xf numFmtId="0" fontId="53" fillId="0" borderId="0" xfId="0" applyFont="1" applyFill="1" applyBorder="1" applyAlignment="1">
      <alignment horizontal="center"/>
    </xf>
    <xf numFmtId="0" fontId="52" fillId="2" borderId="0" xfId="0" applyFont="1" applyFill="1" applyAlignment="1">
      <alignment horizontal="center"/>
    </xf>
    <xf numFmtId="0" fontId="54" fillId="2" borderId="0" xfId="0" applyFont="1" applyFill="1" applyAlignment="1">
      <alignment horizontal="center"/>
    </xf>
    <xf numFmtId="0" fontId="55" fillId="2" borderId="0" xfId="0" applyFont="1" applyFill="1" applyBorder="1" applyAlignment="1">
      <alignment horizontal="center"/>
    </xf>
    <xf numFmtId="165" fontId="48" fillId="0" borderId="0" xfId="0" applyNumberFormat="1" applyFont="1" applyAlignment="1">
      <alignment horizontal="center"/>
    </xf>
    <xf numFmtId="0" fontId="56" fillId="2" borderId="0" xfId="0" applyFont="1" applyFill="1" applyAlignment="1">
      <alignment horizontal="center"/>
    </xf>
    <xf numFmtId="0" fontId="57" fillId="2" borderId="0" xfId="0" applyFont="1" applyFill="1" applyBorder="1" applyAlignment="1">
      <alignment horizontal="right"/>
    </xf>
    <xf numFmtId="165" fontId="55" fillId="2" borderId="0" xfId="0" applyNumberFormat="1" applyFont="1" applyFill="1" applyBorder="1" applyAlignment="1">
      <alignment horizontal="center"/>
    </xf>
    <xf numFmtId="0" fontId="53" fillId="0" borderId="22" xfId="0" applyFont="1" applyFill="1" applyBorder="1" applyAlignment="1"/>
    <xf numFmtId="165" fontId="53" fillId="0" borderId="22" xfId="0" applyNumberFormat="1" applyFont="1" applyFill="1" applyBorder="1" applyAlignment="1">
      <alignment horizontal="center"/>
    </xf>
    <xf numFmtId="0" fontId="53" fillId="0" borderId="20" xfId="0" applyFont="1" applyFill="1" applyBorder="1" applyAlignment="1">
      <alignment horizontal="center"/>
    </xf>
    <xf numFmtId="0" fontId="58" fillId="0" borderId="0" xfId="0" applyFont="1" applyFill="1" applyBorder="1" applyAlignment="1">
      <alignment horizontal="center"/>
    </xf>
    <xf numFmtId="3" fontId="60" fillId="0" borderId="4" xfId="0" applyNumberFormat="1" applyFont="1" applyFill="1" applyBorder="1" applyAlignment="1">
      <alignment horizontal="center"/>
    </xf>
    <xf numFmtId="0" fontId="60" fillId="0" borderId="0" xfId="0" applyFont="1" applyAlignment="1">
      <alignment horizontal="center"/>
    </xf>
    <xf numFmtId="0" fontId="60" fillId="0" borderId="1" xfId="0" applyFont="1" applyFill="1" applyBorder="1" applyAlignment="1" applyProtection="1">
      <alignment horizontal="center"/>
      <protection locked="0"/>
    </xf>
    <xf numFmtId="0" fontId="55" fillId="0" borderId="0" xfId="0" applyFont="1" applyFill="1" applyBorder="1" applyAlignment="1">
      <alignment horizontal="center"/>
    </xf>
    <xf numFmtId="0" fontId="1" fillId="11" borderId="0" xfId="0" applyFont="1" applyFill="1" applyAlignment="1" applyProtection="1">
      <alignment vertical="center"/>
      <protection hidden="1"/>
    </xf>
    <xf numFmtId="0" fontId="0" fillId="11" borderId="0" xfId="0" applyFill="1" applyAlignment="1" applyProtection="1">
      <alignment vertical="center"/>
      <protection hidden="1"/>
    </xf>
    <xf numFmtId="0" fontId="1" fillId="11" borderId="0" xfId="0" applyFont="1" applyFill="1" applyBorder="1" applyAlignment="1" applyProtection="1">
      <alignment vertical="center"/>
      <protection hidden="1"/>
    </xf>
    <xf numFmtId="0" fontId="1" fillId="11" borderId="0" xfId="0" applyFont="1" applyFill="1" applyBorder="1" applyAlignment="1">
      <alignment vertical="center"/>
    </xf>
    <xf numFmtId="0" fontId="2" fillId="11" borderId="0" xfId="0" applyFont="1" applyFill="1" applyAlignment="1" applyProtection="1">
      <alignment vertical="center"/>
      <protection hidden="1"/>
    </xf>
    <xf numFmtId="0" fontId="0" fillId="11" borderId="0" xfId="0" applyFill="1" applyBorder="1" applyAlignment="1" applyProtection="1">
      <alignment vertical="center"/>
      <protection hidden="1"/>
    </xf>
    <xf numFmtId="0" fontId="26" fillId="11" borderId="0" xfId="0" applyFont="1" applyFill="1" applyBorder="1" applyAlignment="1" applyProtection="1">
      <alignment vertical="center"/>
      <protection hidden="1"/>
    </xf>
    <xf numFmtId="0" fontId="43" fillId="11" borderId="0" xfId="0" applyFont="1" applyFill="1" applyBorder="1" applyAlignment="1" applyProtection="1">
      <alignment vertical="center"/>
      <protection hidden="1"/>
    </xf>
    <xf numFmtId="0" fontId="11" fillId="11" borderId="0" xfId="0" applyFont="1" applyFill="1" applyAlignment="1" applyProtection="1">
      <alignment vertical="center"/>
      <protection hidden="1"/>
    </xf>
    <xf numFmtId="0" fontId="44" fillId="11" borderId="0" xfId="0" applyFont="1" applyFill="1" applyBorder="1" applyAlignment="1" applyProtection="1">
      <alignment vertical="center"/>
      <protection hidden="1"/>
    </xf>
    <xf numFmtId="21" fontId="32" fillId="11" borderId="0" xfId="0" applyNumberFormat="1" applyFont="1" applyFill="1" applyBorder="1" applyAlignment="1" applyProtection="1">
      <alignment horizontal="center" vertical="center"/>
      <protection hidden="1"/>
    </xf>
    <xf numFmtId="21" fontId="29" fillId="11" borderId="0" xfId="0" applyNumberFormat="1" applyFont="1" applyFill="1" applyBorder="1" applyAlignment="1" applyProtection="1">
      <alignment horizontal="center" vertical="center"/>
      <protection hidden="1"/>
    </xf>
    <xf numFmtId="21" fontId="43" fillId="11" borderId="0" xfId="0" applyNumberFormat="1" applyFont="1" applyFill="1" applyBorder="1" applyAlignment="1" applyProtection="1">
      <alignment horizontal="center" vertical="center"/>
      <protection hidden="1"/>
    </xf>
    <xf numFmtId="0" fontId="17" fillId="11" borderId="0" xfId="0" applyFont="1" applyFill="1" applyBorder="1" applyAlignment="1" applyProtection="1">
      <alignment horizontal="center" vertical="center"/>
      <protection hidden="1"/>
    </xf>
    <xf numFmtId="0" fontId="18" fillId="11" borderId="0" xfId="0" applyFont="1" applyFill="1" applyBorder="1" applyAlignment="1" applyProtection="1">
      <alignment horizontal="center" vertical="center"/>
      <protection hidden="1"/>
    </xf>
    <xf numFmtId="0" fontId="36" fillId="11" borderId="0" xfId="0" applyFont="1" applyFill="1" applyBorder="1" applyAlignment="1" applyProtection="1">
      <alignment horizontal="center" vertical="center"/>
      <protection hidden="1"/>
    </xf>
    <xf numFmtId="0" fontId="11" fillId="11" borderId="0" xfId="0" applyFont="1" applyFill="1" applyAlignment="1">
      <alignment vertical="center"/>
    </xf>
    <xf numFmtId="0" fontId="0" fillId="11" borderId="0" xfId="0" applyFill="1" applyAlignment="1">
      <alignment vertical="center"/>
    </xf>
    <xf numFmtId="0" fontId="0" fillId="11" borderId="0" xfId="0" applyFill="1" applyBorder="1" applyAlignment="1">
      <alignment vertical="center"/>
    </xf>
    <xf numFmtId="0" fontId="0" fillId="11" borderId="0" xfId="0" applyFill="1"/>
    <xf numFmtId="0" fontId="1" fillId="10" borderId="0" xfId="0" applyFont="1" applyFill="1" applyBorder="1" applyAlignment="1" applyProtection="1">
      <alignment vertical="center"/>
      <protection hidden="1"/>
    </xf>
    <xf numFmtId="0" fontId="0" fillId="10" borderId="0" xfId="0" applyFill="1" applyBorder="1" applyAlignment="1" applyProtection="1">
      <alignment vertical="center"/>
      <protection hidden="1"/>
    </xf>
    <xf numFmtId="0" fontId="3" fillId="10" borderId="0" xfId="0" applyFont="1" applyFill="1" applyBorder="1" applyAlignment="1" applyProtection="1">
      <alignment horizontal="left" vertical="center"/>
      <protection hidden="1"/>
    </xf>
    <xf numFmtId="0" fontId="19" fillId="10" borderId="0" xfId="0" applyFont="1" applyFill="1" applyBorder="1" applyAlignment="1" applyProtection="1">
      <alignment horizontal="left" vertical="center"/>
      <protection hidden="1"/>
    </xf>
    <xf numFmtId="0" fontId="22" fillId="10" borderId="0" xfId="0" applyFont="1" applyFill="1" applyBorder="1" applyAlignment="1" applyProtection="1">
      <alignment horizontal="left" vertical="center"/>
      <protection hidden="1"/>
    </xf>
    <xf numFmtId="15" fontId="4" fillId="10" borderId="0" xfId="0" applyNumberFormat="1" applyFont="1" applyFill="1" applyBorder="1" applyAlignment="1" applyProtection="1">
      <alignment horizontal="center" vertical="center"/>
      <protection hidden="1"/>
    </xf>
    <xf numFmtId="0" fontId="5" fillId="10" borderId="0" xfId="0" applyFont="1" applyFill="1" applyBorder="1" applyAlignment="1" applyProtection="1">
      <alignment horizontal="center" vertical="center"/>
      <protection hidden="1"/>
    </xf>
    <xf numFmtId="21" fontId="6" fillId="10" borderId="0" xfId="0" applyNumberFormat="1" applyFont="1" applyFill="1" applyBorder="1" applyAlignment="1" applyProtection="1">
      <alignment horizontal="center" vertical="center"/>
      <protection hidden="1"/>
    </xf>
    <xf numFmtId="0" fontId="7" fillId="10" borderId="0" xfId="0" applyFont="1" applyFill="1" applyBorder="1" applyAlignment="1" applyProtection="1">
      <alignment horizontal="center" vertical="center"/>
      <protection hidden="1"/>
    </xf>
    <xf numFmtId="0" fontId="23" fillId="10" borderId="0" xfId="0" applyFont="1" applyFill="1" applyBorder="1" applyAlignment="1" applyProtection="1">
      <alignment horizontal="right" vertical="center"/>
      <protection hidden="1"/>
    </xf>
    <xf numFmtId="0" fontId="23" fillId="10" borderId="0" xfId="0" applyFont="1" applyFill="1" applyBorder="1" applyAlignment="1" applyProtection="1">
      <alignment horizontal="center" vertical="center"/>
      <protection hidden="1"/>
    </xf>
    <xf numFmtId="0" fontId="6" fillId="10" borderId="0" xfId="0" applyFont="1" applyFill="1" applyBorder="1" applyAlignment="1" applyProtection="1">
      <alignment horizontal="center" vertical="center"/>
      <protection hidden="1"/>
    </xf>
    <xf numFmtId="21" fontId="24" fillId="10" borderId="0" xfId="0" applyNumberFormat="1" applyFont="1" applyFill="1" applyBorder="1" applyAlignment="1" applyProtection="1">
      <alignment horizontal="center" vertical="center"/>
      <protection hidden="1"/>
    </xf>
    <xf numFmtId="0" fontId="8" fillId="10" borderId="0" xfId="0" applyFont="1" applyFill="1" applyBorder="1" applyAlignment="1" applyProtection="1">
      <alignment horizontal="center" vertical="center"/>
      <protection hidden="1"/>
    </xf>
    <xf numFmtId="0" fontId="25" fillId="10" borderId="0" xfId="0" applyFont="1" applyFill="1" applyBorder="1" applyAlignment="1" applyProtection="1">
      <alignment horizontal="center" vertical="center"/>
      <protection hidden="1"/>
    </xf>
    <xf numFmtId="0" fontId="9" fillId="10" borderId="0" xfId="0" applyFont="1" applyFill="1" applyBorder="1" applyAlignment="1" applyProtection="1">
      <alignment vertical="center"/>
      <protection hidden="1"/>
    </xf>
    <xf numFmtId="0" fontId="16" fillId="10" borderId="0" xfId="0" applyFont="1" applyFill="1" applyBorder="1" applyAlignment="1" applyProtection="1">
      <alignment vertical="center"/>
      <protection hidden="1"/>
    </xf>
    <xf numFmtId="0" fontId="42" fillId="10" borderId="0" xfId="0" applyFont="1" applyFill="1" applyBorder="1" applyAlignment="1" applyProtection="1">
      <alignment vertical="center"/>
      <protection hidden="1"/>
    </xf>
    <xf numFmtId="0" fontId="26" fillId="10" borderId="0" xfId="0" applyFont="1" applyFill="1" applyBorder="1" applyAlignment="1" applyProtection="1">
      <alignment vertical="center"/>
      <protection hidden="1"/>
    </xf>
    <xf numFmtId="0" fontId="27" fillId="10" borderId="0" xfId="0" applyFont="1" applyFill="1" applyBorder="1" applyAlignment="1" applyProtection="1">
      <alignment vertical="center"/>
      <protection hidden="1"/>
    </xf>
    <xf numFmtId="0" fontId="10" fillId="10" borderId="0" xfId="0" applyFont="1" applyFill="1" applyBorder="1" applyAlignment="1" applyProtection="1">
      <alignment vertical="center"/>
      <protection hidden="1"/>
    </xf>
    <xf numFmtId="0" fontId="20" fillId="10" borderId="0" xfId="0" applyFont="1" applyFill="1" applyBorder="1" applyAlignment="1" applyProtection="1">
      <alignment vertical="center"/>
      <protection hidden="1"/>
    </xf>
    <xf numFmtId="0" fontId="28" fillId="10" borderId="0" xfId="0" applyFont="1" applyFill="1" applyBorder="1" applyAlignment="1" applyProtection="1">
      <alignment horizontal="center" vertical="center"/>
      <protection hidden="1"/>
    </xf>
    <xf numFmtId="0" fontId="9" fillId="10" borderId="0" xfId="0" quotePrefix="1" applyFont="1" applyFill="1" applyBorder="1" applyAlignment="1" applyProtection="1">
      <alignment vertical="center"/>
      <protection hidden="1"/>
    </xf>
    <xf numFmtId="0" fontId="12" fillId="10" borderId="0" xfId="0" applyFont="1" applyFill="1" applyBorder="1" applyAlignment="1" applyProtection="1">
      <alignment vertical="center"/>
      <protection hidden="1"/>
    </xf>
    <xf numFmtId="21" fontId="31" fillId="10" borderId="0" xfId="0" applyNumberFormat="1" applyFont="1" applyFill="1" applyBorder="1" applyAlignment="1" applyProtection="1">
      <alignment horizontal="center" vertical="center"/>
      <protection hidden="1"/>
    </xf>
    <xf numFmtId="0" fontId="43" fillId="10" borderId="0" xfId="0" applyFont="1" applyFill="1" applyBorder="1" applyAlignment="1" applyProtection="1">
      <alignment vertical="center"/>
      <protection hidden="1"/>
    </xf>
    <xf numFmtId="0" fontId="32" fillId="10" borderId="0" xfId="0" applyFont="1" applyFill="1" applyBorder="1" applyAlignment="1" applyProtection="1">
      <alignment vertical="center"/>
      <protection hidden="1"/>
    </xf>
    <xf numFmtId="0" fontId="34" fillId="10" borderId="0" xfId="0" applyFont="1" applyFill="1" applyBorder="1" applyAlignment="1" applyProtection="1">
      <alignment vertical="center"/>
      <protection hidden="1"/>
    </xf>
    <xf numFmtId="0" fontId="15" fillId="10" borderId="0" xfId="0" applyFont="1" applyFill="1" applyBorder="1" applyAlignment="1" applyProtection="1">
      <alignment vertical="center"/>
      <protection hidden="1"/>
    </xf>
    <xf numFmtId="0" fontId="33" fillId="10" borderId="0" xfId="0" applyFont="1" applyFill="1" applyBorder="1" applyAlignment="1" applyProtection="1">
      <alignment vertical="center"/>
      <protection hidden="1"/>
    </xf>
    <xf numFmtId="0" fontId="35" fillId="10" borderId="0" xfId="0" applyFont="1" applyFill="1" applyBorder="1" applyAlignment="1" applyProtection="1">
      <alignment vertical="center"/>
      <protection hidden="1"/>
    </xf>
    <xf numFmtId="0" fontId="44" fillId="10" borderId="0" xfId="0" applyFont="1" applyFill="1" applyBorder="1" applyAlignment="1" applyProtection="1">
      <alignment vertical="center"/>
      <protection hidden="1"/>
    </xf>
    <xf numFmtId="21" fontId="32" fillId="10" borderId="0" xfId="0" applyNumberFormat="1" applyFont="1" applyFill="1" applyBorder="1" applyAlignment="1" applyProtection="1">
      <alignment horizontal="center" vertical="center"/>
      <protection hidden="1"/>
    </xf>
    <xf numFmtId="0" fontId="0" fillId="10" borderId="8" xfId="0" applyFill="1" applyBorder="1" applyAlignment="1" applyProtection="1">
      <alignment vertical="center"/>
      <protection hidden="1"/>
    </xf>
    <xf numFmtId="0" fontId="0" fillId="10" borderId="17" xfId="0" applyFill="1" applyBorder="1" applyAlignment="1" applyProtection="1">
      <alignment vertical="center"/>
      <protection hidden="1"/>
    </xf>
    <xf numFmtId="0" fontId="1" fillId="10" borderId="17" xfId="0" applyFont="1" applyFill="1" applyBorder="1" applyAlignment="1" applyProtection="1">
      <alignment vertical="center"/>
      <protection hidden="1"/>
    </xf>
    <xf numFmtId="0" fontId="1" fillId="10" borderId="19" xfId="0" applyFont="1" applyFill="1" applyBorder="1" applyAlignment="1" applyProtection="1">
      <alignment vertical="center"/>
      <protection hidden="1"/>
    </xf>
    <xf numFmtId="0" fontId="0" fillId="10" borderId="21" xfId="0" applyFill="1" applyBorder="1" applyAlignment="1" applyProtection="1">
      <alignment vertical="center"/>
      <protection hidden="1"/>
    </xf>
    <xf numFmtId="0" fontId="1" fillId="10" borderId="23" xfId="0" applyFont="1" applyFill="1" applyBorder="1" applyAlignment="1" applyProtection="1">
      <alignment vertical="center"/>
      <protection hidden="1"/>
    </xf>
    <xf numFmtId="21" fontId="24" fillId="10" borderId="23" xfId="0" applyNumberFormat="1" applyFont="1" applyFill="1" applyBorder="1" applyAlignment="1" applyProtection="1">
      <alignment horizontal="center" vertical="center"/>
      <protection hidden="1"/>
    </xf>
    <xf numFmtId="0" fontId="8" fillId="10" borderId="21" xfId="0" applyFont="1" applyFill="1" applyBorder="1" applyAlignment="1" applyProtection="1">
      <alignment horizontal="center" vertical="center"/>
      <protection hidden="1"/>
    </xf>
    <xf numFmtId="0" fontId="9" fillId="10" borderId="21" xfId="0" applyFont="1" applyFill="1" applyBorder="1" applyAlignment="1" applyProtection="1">
      <alignment vertical="center"/>
      <protection hidden="1"/>
    </xf>
    <xf numFmtId="0" fontId="10" fillId="10" borderId="21" xfId="0" applyFont="1" applyFill="1" applyBorder="1" applyAlignment="1" applyProtection="1">
      <alignment vertical="center"/>
      <protection hidden="1"/>
    </xf>
    <xf numFmtId="0" fontId="26" fillId="10" borderId="23" xfId="0" applyFont="1" applyFill="1" applyBorder="1" applyAlignment="1" applyProtection="1">
      <alignment vertical="center"/>
      <protection hidden="1"/>
    </xf>
    <xf numFmtId="21" fontId="29" fillId="10" borderId="23" xfId="0" applyNumberFormat="1" applyFont="1" applyFill="1" applyBorder="1" applyAlignment="1" applyProtection="1">
      <alignment horizontal="center" vertical="center"/>
      <protection hidden="1"/>
    </xf>
    <xf numFmtId="0" fontId="9" fillId="10" borderId="24" xfId="0" applyFont="1" applyFill="1" applyBorder="1" applyAlignment="1" applyProtection="1">
      <alignment vertical="center"/>
      <protection hidden="1"/>
    </xf>
    <xf numFmtId="0" fontId="9" fillId="10" borderId="22" xfId="0" applyFont="1" applyFill="1" applyBorder="1" applyAlignment="1" applyProtection="1">
      <alignment vertical="center"/>
      <protection hidden="1"/>
    </xf>
    <xf numFmtId="0" fontId="26" fillId="10" borderId="22" xfId="0" applyFont="1" applyFill="1" applyBorder="1" applyAlignment="1" applyProtection="1">
      <alignment vertical="center"/>
      <protection hidden="1"/>
    </xf>
    <xf numFmtId="0" fontId="44" fillId="10" borderId="22" xfId="0" applyFont="1" applyFill="1" applyBorder="1" applyAlignment="1" applyProtection="1">
      <alignment vertical="center"/>
      <protection hidden="1"/>
    </xf>
    <xf numFmtId="0" fontId="43" fillId="10" borderId="22" xfId="0" applyFont="1" applyFill="1" applyBorder="1" applyAlignment="1" applyProtection="1">
      <alignment vertical="center"/>
      <protection hidden="1"/>
    </xf>
    <xf numFmtId="21" fontId="43" fillId="10" borderId="22" xfId="0" applyNumberFormat="1" applyFont="1" applyFill="1" applyBorder="1" applyAlignment="1" applyProtection="1">
      <alignment horizontal="center" vertical="center"/>
      <protection hidden="1"/>
    </xf>
    <xf numFmtId="21" fontId="32" fillId="10" borderId="22" xfId="0" applyNumberFormat="1" applyFont="1" applyFill="1" applyBorder="1" applyAlignment="1" applyProtection="1">
      <alignment horizontal="center" vertical="center"/>
      <protection hidden="1"/>
    </xf>
    <xf numFmtId="21" fontId="29" fillId="10" borderId="20" xfId="0" applyNumberFormat="1" applyFont="1" applyFill="1" applyBorder="1" applyAlignment="1" applyProtection="1">
      <alignment horizontal="center" vertical="center"/>
      <protection hidden="1"/>
    </xf>
    <xf numFmtId="0" fontId="62" fillId="9" borderId="0" xfId="0" applyFont="1" applyFill="1" applyBorder="1" applyAlignment="1">
      <alignment horizontal="center"/>
    </xf>
    <xf numFmtId="0" fontId="46" fillId="9" borderId="0" xfId="0" applyFont="1" applyFill="1" applyBorder="1" applyAlignment="1">
      <alignment horizontal="center" vertical="center" wrapText="1"/>
    </xf>
    <xf numFmtId="15" fontId="59" fillId="0" borderId="4" xfId="0" applyNumberFormat="1" applyFont="1" applyFill="1" applyBorder="1" applyAlignment="1">
      <alignment horizontal="center"/>
    </xf>
    <xf numFmtId="0" fontId="60" fillId="0" borderId="1" xfId="3" applyFont="1" applyBorder="1" applyAlignment="1">
      <alignment horizontal="center"/>
    </xf>
    <xf numFmtId="3" fontId="60" fillId="0" borderId="2" xfId="2" applyNumberFormat="1" applyFont="1" applyFill="1" applyBorder="1" applyAlignment="1" applyProtection="1">
      <alignment horizontal="center"/>
      <protection locked="0"/>
    </xf>
    <xf numFmtId="3" fontId="60" fillId="0" borderId="1" xfId="2" applyNumberFormat="1" applyFont="1" applyFill="1" applyBorder="1" applyAlignment="1" applyProtection="1">
      <alignment horizontal="center"/>
      <protection locked="0"/>
    </xf>
    <xf numFmtId="0" fontId="60" fillId="0" borderId="2" xfId="0" applyFont="1" applyFill="1" applyBorder="1" applyAlignment="1">
      <alignment horizontal="center"/>
    </xf>
    <xf numFmtId="3" fontId="60" fillId="0" borderId="4" xfId="2" applyNumberFormat="1" applyFont="1" applyFill="1" applyBorder="1" applyAlignment="1" applyProtection="1">
      <alignment horizontal="center"/>
      <protection locked="0"/>
    </xf>
    <xf numFmtId="3" fontId="60" fillId="0" borderId="25" xfId="2" applyNumberFormat="1" applyFont="1" applyFill="1" applyBorder="1" applyAlignment="1" applyProtection="1">
      <alignment horizontal="center"/>
      <protection locked="0"/>
    </xf>
    <xf numFmtId="3" fontId="61" fillId="0" borderId="1" xfId="0" applyNumberFormat="1" applyFont="1" applyFill="1" applyBorder="1" applyAlignment="1" applyProtection="1">
      <alignment horizontal="center"/>
    </xf>
    <xf numFmtId="0" fontId="63" fillId="0" borderId="1" xfId="0" applyFont="1" applyFill="1" applyBorder="1" applyAlignment="1" applyProtection="1">
      <alignment horizontal="center"/>
      <protection locked="0"/>
    </xf>
    <xf numFmtId="0" fontId="60" fillId="0" borderId="26" xfId="0" applyFont="1" applyBorder="1" applyAlignment="1">
      <alignment horizontal="center"/>
    </xf>
    <xf numFmtId="0" fontId="60" fillId="0" borderId="26" xfId="0" applyFont="1" applyFill="1" applyBorder="1" applyAlignment="1">
      <alignment horizontal="center"/>
    </xf>
    <xf numFmtId="15" fontId="59" fillId="0" borderId="3" xfId="0" applyNumberFormat="1" applyFont="1" applyFill="1" applyBorder="1" applyAlignment="1">
      <alignment horizontal="center"/>
    </xf>
    <xf numFmtId="0" fontId="65" fillId="0" borderId="0" xfId="0" applyFont="1" applyFill="1" applyBorder="1" applyAlignment="1"/>
    <xf numFmtId="0" fontId="66" fillId="0" borderId="0" xfId="0" applyFont="1" applyFill="1" applyBorder="1" applyAlignment="1"/>
    <xf numFmtId="0" fontId="66" fillId="0" borderId="0" xfId="0" applyFont="1" applyFill="1" applyBorder="1" applyAlignment="1">
      <alignment horizontal="center"/>
    </xf>
    <xf numFmtId="0" fontId="67" fillId="0" borderId="0" xfId="0" applyFont="1" applyAlignment="1">
      <alignment horizontal="center"/>
    </xf>
    <xf numFmtId="0" fontId="68" fillId="8" borderId="0" xfId="0" applyFont="1" applyFill="1" applyAlignment="1">
      <alignment horizontal="center" vertical="center" wrapText="1"/>
    </xf>
    <xf numFmtId="3" fontId="67" fillId="0" borderId="25" xfId="2" applyNumberFormat="1" applyFont="1" applyFill="1" applyBorder="1" applyAlignment="1" applyProtection="1">
      <alignment horizontal="center"/>
      <protection locked="0"/>
    </xf>
    <xf numFmtId="2" fontId="39" fillId="0" borderId="1" xfId="0" applyNumberFormat="1" applyFont="1" applyFill="1" applyBorder="1" applyAlignment="1">
      <alignment horizontal="center"/>
    </xf>
    <xf numFmtId="15" fontId="59" fillId="13" borderId="3" xfId="0" applyNumberFormat="1" applyFont="1" applyFill="1" applyBorder="1" applyAlignment="1">
      <alignment horizontal="center"/>
    </xf>
    <xf numFmtId="0" fontId="60" fillId="13" borderId="1" xfId="0" applyFont="1" applyFill="1" applyBorder="1" applyAlignment="1" applyProtection="1">
      <alignment horizontal="center"/>
      <protection locked="0"/>
    </xf>
    <xf numFmtId="0" fontId="60" fillId="13" borderId="1" xfId="3" applyFont="1" applyFill="1" applyBorder="1" applyAlignment="1">
      <alignment horizontal="center"/>
    </xf>
    <xf numFmtId="3" fontId="60" fillId="13" borderId="2" xfId="2" applyNumberFormat="1" applyFont="1" applyFill="1" applyBorder="1" applyAlignment="1" applyProtection="1">
      <alignment horizontal="center"/>
      <protection locked="0"/>
    </xf>
    <xf numFmtId="3" fontId="60" fillId="13" borderId="1" xfId="2" applyNumberFormat="1" applyFont="1" applyFill="1" applyBorder="1" applyAlignment="1" applyProtection="1">
      <alignment horizontal="center"/>
      <protection locked="0"/>
    </xf>
    <xf numFmtId="0" fontId="60" fillId="13" borderId="2" xfId="0" applyFont="1" applyFill="1" applyBorder="1" applyAlignment="1">
      <alignment horizontal="center"/>
    </xf>
    <xf numFmtId="0" fontId="60" fillId="13" borderId="26" xfId="0" applyFont="1" applyFill="1" applyBorder="1" applyAlignment="1">
      <alignment horizontal="center"/>
    </xf>
    <xf numFmtId="3" fontId="60" fillId="13" borderId="4" xfId="2" applyNumberFormat="1" applyFont="1" applyFill="1" applyBorder="1" applyAlignment="1" applyProtection="1">
      <alignment horizontal="center"/>
      <protection locked="0"/>
    </xf>
    <xf numFmtId="3" fontId="60" fillId="13" borderId="25" xfId="2" applyNumberFormat="1" applyFont="1" applyFill="1" applyBorder="1" applyAlignment="1" applyProtection="1">
      <alignment horizontal="center"/>
      <protection locked="0"/>
    </xf>
    <xf numFmtId="3" fontId="60" fillId="13" borderId="4" xfId="0" applyNumberFormat="1" applyFont="1" applyFill="1" applyBorder="1" applyAlignment="1">
      <alignment horizontal="center"/>
    </xf>
    <xf numFmtId="3" fontId="61" fillId="13" borderId="1" xfId="0" applyNumberFormat="1" applyFont="1" applyFill="1" applyBorder="1" applyAlignment="1" applyProtection="1">
      <alignment horizontal="center"/>
    </xf>
    <xf numFmtId="0" fontId="63" fillId="13" borderId="1" xfId="0" applyFont="1" applyFill="1" applyBorder="1" applyAlignment="1" applyProtection="1">
      <alignment horizontal="center"/>
      <protection locked="0"/>
    </xf>
    <xf numFmtId="3" fontId="61" fillId="11" borderId="1" xfId="0" applyNumberFormat="1" applyFont="1" applyFill="1" applyBorder="1" applyAlignment="1" applyProtection="1">
      <alignment horizontal="center"/>
    </xf>
    <xf numFmtId="0" fontId="45" fillId="6" borderId="18" xfId="0" applyFont="1" applyFill="1" applyBorder="1" applyAlignment="1">
      <alignment horizontal="center" vertical="center"/>
    </xf>
    <xf numFmtId="0" fontId="45" fillId="6" borderId="9" xfId="0" applyFont="1" applyFill="1" applyBorder="1" applyAlignment="1">
      <alignment horizontal="center" vertical="center"/>
    </xf>
    <xf numFmtId="0" fontId="41" fillId="0" borderId="0" xfId="0" applyFont="1" applyAlignment="1">
      <alignment horizontal="center" wrapText="1"/>
    </xf>
    <xf numFmtId="0" fontId="14" fillId="0" borderId="22" xfId="0" applyFont="1" applyFill="1" applyBorder="1" applyAlignment="1">
      <alignment horizontal="center" vertical="center"/>
    </xf>
    <xf numFmtId="0" fontId="40" fillId="0" borderId="0" xfId="4" applyFont="1"/>
    <xf numFmtId="0" fontId="40" fillId="0" borderId="0" xfId="4" applyFont="1" applyBorder="1" applyAlignment="1">
      <alignment horizontal="center" vertical="center"/>
    </xf>
    <xf numFmtId="0" fontId="73" fillId="12" borderId="31" xfId="4" applyFont="1" applyFill="1" applyBorder="1" applyAlignment="1">
      <alignment horizontal="center"/>
    </xf>
    <xf numFmtId="0" fontId="73" fillId="15" borderId="31" xfId="4" applyFont="1" applyFill="1" applyBorder="1" applyAlignment="1">
      <alignment horizontal="center"/>
    </xf>
    <xf numFmtId="0" fontId="73" fillId="16" borderId="32" xfId="4" applyFont="1" applyFill="1" applyBorder="1" applyAlignment="1">
      <alignment horizontal="center"/>
    </xf>
    <xf numFmtId="0" fontId="38" fillId="7" borderId="12" xfId="0" applyNumberFormat="1" applyFont="1" applyFill="1" applyBorder="1" applyAlignment="1">
      <alignment vertical="center" shrinkToFit="1"/>
    </xf>
    <xf numFmtId="0" fontId="38" fillId="7" borderId="13" xfId="0" applyNumberFormat="1" applyFont="1" applyFill="1" applyBorder="1" applyAlignment="1">
      <alignment vertical="center" shrinkToFit="1"/>
    </xf>
    <xf numFmtId="0" fontId="38" fillId="7" borderId="17" xfId="0" applyNumberFormat="1" applyFont="1" applyFill="1" applyBorder="1" applyAlignment="1">
      <alignment horizontal="center" vertical="center" shrinkToFit="1"/>
    </xf>
    <xf numFmtId="0" fontId="38" fillId="7" borderId="19" xfId="0" applyNumberFormat="1" applyFont="1" applyFill="1" applyBorder="1" applyAlignment="1">
      <alignment horizontal="center" vertical="center" shrinkToFit="1"/>
    </xf>
    <xf numFmtId="0" fontId="74" fillId="18" borderId="1" xfId="4" applyFont="1" applyFill="1" applyBorder="1" applyAlignment="1">
      <alignment horizontal="center" vertical="center" wrapText="1"/>
    </xf>
    <xf numFmtId="0" fontId="74" fillId="14" borderId="1" xfId="4" applyFont="1" applyFill="1" applyBorder="1" applyAlignment="1">
      <alignment horizontal="center" vertical="center" wrapText="1"/>
    </xf>
    <xf numFmtId="0" fontId="73" fillId="12" borderId="1" xfId="4" applyFont="1" applyFill="1" applyBorder="1" applyAlignment="1">
      <alignment horizontal="center" vertical="center" wrapText="1"/>
    </xf>
    <xf numFmtId="0" fontId="73" fillId="15" borderId="1" xfId="4" applyFont="1" applyFill="1" applyBorder="1" applyAlignment="1">
      <alignment horizontal="center" vertical="center" wrapText="1"/>
    </xf>
    <xf numFmtId="0" fontId="73" fillId="16" borderId="1" xfId="4" applyFont="1" applyFill="1" applyBorder="1" applyAlignment="1">
      <alignment horizontal="center" vertical="center" wrapText="1"/>
    </xf>
    <xf numFmtId="0" fontId="39" fillId="5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15" fontId="21" fillId="11" borderId="1" xfId="0" applyNumberFormat="1" applyFont="1" applyFill="1" applyBorder="1" applyAlignment="1">
      <alignment horizontal="center"/>
    </xf>
    <xf numFmtId="15" fontId="21" fillId="3" borderId="1" xfId="0" applyNumberFormat="1" applyFont="1" applyFill="1" applyBorder="1" applyAlignment="1">
      <alignment horizontal="center"/>
    </xf>
    <xf numFmtId="1" fontId="39" fillId="0" borderId="1" xfId="0" applyNumberFormat="1" applyFont="1" applyFill="1" applyBorder="1" applyAlignment="1">
      <alignment horizontal="center"/>
    </xf>
    <xf numFmtId="165" fontId="39" fillId="0" borderId="1" xfId="0" applyNumberFormat="1" applyFont="1" applyFill="1" applyBorder="1" applyAlignment="1">
      <alignment horizontal="center"/>
    </xf>
    <xf numFmtId="0" fontId="1" fillId="11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2" fontId="0" fillId="11" borderId="1" xfId="0" applyNumberFormat="1" applyFill="1" applyBorder="1" applyAlignment="1">
      <alignment horizontal="center"/>
    </xf>
    <xf numFmtId="0" fontId="0" fillId="0" borderId="1" xfId="0" applyFill="1" applyBorder="1"/>
    <xf numFmtId="0" fontId="1" fillId="0" borderId="0" xfId="0" applyFont="1"/>
    <xf numFmtId="0" fontId="1" fillId="0" borderId="1" xfId="0" applyFont="1" applyFill="1" applyBorder="1" applyAlignment="1">
      <alignment horizontal="center"/>
    </xf>
    <xf numFmtId="2" fontId="1" fillId="11" borderId="1" xfId="0" applyNumberFormat="1" applyFont="1" applyFill="1" applyBorder="1" applyAlignment="1">
      <alignment horizontal="center"/>
    </xf>
    <xf numFmtId="0" fontId="64" fillId="10" borderId="0" xfId="0" applyFont="1" applyFill="1" applyBorder="1" applyAlignment="1" applyProtection="1">
      <alignment horizontal="center" vertical="center"/>
      <protection hidden="1"/>
    </xf>
    <xf numFmtId="0" fontId="69" fillId="14" borderId="18" xfId="4" applyFont="1" applyFill="1" applyBorder="1" applyAlignment="1">
      <alignment horizontal="center" vertical="center"/>
    </xf>
    <xf numFmtId="0" fontId="69" fillId="14" borderId="9" xfId="4" applyFont="1" applyFill="1" applyBorder="1" applyAlignment="1">
      <alignment horizontal="center" vertical="center"/>
    </xf>
    <xf numFmtId="0" fontId="69" fillId="14" borderId="5" xfId="4" applyFont="1" applyFill="1" applyBorder="1" applyAlignment="1">
      <alignment horizontal="center" vertical="center"/>
    </xf>
    <xf numFmtId="0" fontId="75" fillId="0" borderId="22" xfId="0" applyFont="1" applyFill="1" applyBorder="1" applyAlignment="1">
      <alignment horizontal="center" vertical="center"/>
    </xf>
    <xf numFmtId="0" fontId="14" fillId="0" borderId="18" xfId="0" applyFont="1" applyFill="1" applyBorder="1" applyAlignment="1">
      <alignment horizontal="center" vertical="center"/>
    </xf>
    <xf numFmtId="0" fontId="14" fillId="0" borderId="9" xfId="0" applyFont="1" applyFill="1" applyBorder="1" applyAlignment="1">
      <alignment horizontal="center" vertical="center"/>
    </xf>
    <xf numFmtId="0" fontId="73" fillId="16" borderId="31" xfId="4" applyFont="1" applyFill="1" applyBorder="1" applyAlignment="1">
      <alignment horizontal="center"/>
    </xf>
    <xf numFmtId="0" fontId="71" fillId="15" borderId="28" xfId="4" applyFont="1" applyFill="1" applyBorder="1" applyAlignment="1">
      <alignment horizontal="center"/>
    </xf>
    <xf numFmtId="0" fontId="70" fillId="12" borderId="27" xfId="4" applyFont="1" applyFill="1" applyBorder="1" applyAlignment="1">
      <alignment horizontal="center"/>
    </xf>
    <xf numFmtId="0" fontId="70" fillId="12" borderId="28" xfId="4" applyFont="1" applyFill="1" applyBorder="1" applyAlignment="1">
      <alignment horizontal="center"/>
    </xf>
    <xf numFmtId="0" fontId="71" fillId="16" borderId="28" xfId="4" applyFont="1" applyFill="1" applyBorder="1" applyAlignment="1">
      <alignment horizontal="center"/>
    </xf>
    <xf numFmtId="0" fontId="71" fillId="16" borderId="29" xfId="4" applyFont="1" applyFill="1" applyBorder="1" applyAlignment="1">
      <alignment horizontal="center"/>
    </xf>
    <xf numFmtId="0" fontId="72" fillId="17" borderId="17" xfId="4" applyFont="1" applyFill="1" applyBorder="1" applyAlignment="1">
      <alignment horizontal="center" vertical="center" shrinkToFit="1"/>
    </xf>
    <xf numFmtId="0" fontId="72" fillId="17" borderId="19" xfId="4" applyFont="1" applyFill="1" applyBorder="1" applyAlignment="1">
      <alignment horizontal="center" vertical="center" shrinkToFit="1"/>
    </xf>
    <xf numFmtId="0" fontId="72" fillId="14" borderId="8" xfId="4" applyFont="1" applyFill="1" applyBorder="1" applyAlignment="1">
      <alignment horizontal="center" vertical="center" shrinkToFit="1"/>
    </xf>
    <xf numFmtId="0" fontId="72" fillId="14" borderId="17" xfId="4" applyFont="1" applyFill="1" applyBorder="1" applyAlignment="1">
      <alignment horizontal="center" vertical="center" shrinkToFit="1"/>
    </xf>
    <xf numFmtId="0" fontId="69" fillId="14" borderId="8" xfId="4" applyFont="1" applyFill="1" applyBorder="1" applyAlignment="1">
      <alignment horizontal="center" vertical="center"/>
    </xf>
    <xf numFmtId="0" fontId="69" fillId="14" borderId="17" xfId="4" applyFont="1" applyFill="1" applyBorder="1" applyAlignment="1">
      <alignment horizontal="center" vertical="center"/>
    </xf>
    <xf numFmtId="0" fontId="73" fillId="12" borderId="30" xfId="4" applyFont="1" applyFill="1" applyBorder="1" applyAlignment="1">
      <alignment horizontal="center"/>
    </xf>
    <xf numFmtId="0" fontId="73" fillId="12" borderId="31" xfId="4" applyFont="1" applyFill="1" applyBorder="1" applyAlignment="1">
      <alignment horizontal="center"/>
    </xf>
    <xf numFmtId="0" fontId="72" fillId="17" borderId="11" xfId="4" applyFont="1" applyFill="1" applyBorder="1" applyAlignment="1">
      <alignment horizontal="center" vertical="center" shrinkToFit="1"/>
    </xf>
    <xf numFmtId="0" fontId="72" fillId="17" borderId="10" xfId="4" applyFont="1" applyFill="1" applyBorder="1" applyAlignment="1">
      <alignment horizontal="center" vertical="center" shrinkToFit="1"/>
    </xf>
    <xf numFmtId="0" fontId="72" fillId="17" borderId="12" xfId="4" applyFont="1" applyFill="1" applyBorder="1" applyAlignment="1">
      <alignment horizontal="center" vertical="center" shrinkToFit="1"/>
    </xf>
    <xf numFmtId="0" fontId="72" fillId="17" borderId="13" xfId="4" applyFont="1" applyFill="1" applyBorder="1" applyAlignment="1">
      <alignment horizontal="center" vertical="center" shrinkToFit="1"/>
    </xf>
    <xf numFmtId="3" fontId="67" fillId="0" borderId="6" xfId="2" applyNumberFormat="1" applyFont="1" applyFill="1" applyBorder="1" applyAlignment="1" applyProtection="1">
      <alignment horizontal="center" vertical="center"/>
      <protection locked="0"/>
    </xf>
    <xf numFmtId="3" fontId="67" fillId="0" borderId="3" xfId="2" applyNumberFormat="1" applyFont="1" applyFill="1" applyBorder="1" applyAlignment="1" applyProtection="1">
      <alignment horizontal="center" vertical="center"/>
      <protection locked="0"/>
    </xf>
    <xf numFmtId="0" fontId="50" fillId="0" borderId="0" xfId="0" applyFont="1" applyFill="1" applyBorder="1" applyAlignment="1">
      <alignment horizontal="center"/>
    </xf>
    <xf numFmtId="0" fontId="62" fillId="9" borderId="22" xfId="0" applyFont="1" applyFill="1" applyBorder="1" applyAlignment="1">
      <alignment horizontal="center"/>
    </xf>
    <xf numFmtId="0" fontId="62" fillId="9" borderId="0" xfId="0" applyFont="1" applyFill="1" applyAlignment="1">
      <alignment horizontal="center"/>
    </xf>
    <xf numFmtId="0" fontId="46" fillId="9" borderId="8" xfId="0" applyFont="1" applyFill="1" applyBorder="1" applyAlignment="1">
      <alignment horizontal="center" vertical="center" wrapText="1"/>
    </xf>
    <xf numFmtId="0" fontId="46" fillId="9" borderId="17" xfId="0" applyFont="1" applyFill="1" applyBorder="1" applyAlignment="1">
      <alignment horizontal="center" vertical="center" wrapText="1"/>
    </xf>
    <xf numFmtId="0" fontId="46" fillId="9" borderId="19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18"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42D0-4BB4-9CA2-6C2AF9A85702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42D0-4BB4-9CA2-6C2AF9A85702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42D0-4BB4-9CA2-6C2AF9A85702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42D0-4BB4-9CA2-6C2AF9A85702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42D0-4BB4-9CA2-6C2AF9A85702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42D0-4BB4-9CA2-6C2AF9A85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7223048"/>
        <c:axId val="277224616"/>
      </c:barChart>
      <c:catAx>
        <c:axId val="277223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722461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2772246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722304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B056-4A19-A655-EAD10142B70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056-4A19-A655-EAD10142B70F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B056-4A19-A655-EAD10142B70F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B056-4A19-A655-EAD10142B70F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B056-4A19-A655-EAD10142B70F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B056-4A19-A655-EAD10142B70F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B056-4A19-A655-EAD10142B70F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B056-4A19-A655-EAD10142B70F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B056-4A19-A655-EAD10142B70F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B056-4A19-A655-EAD10142B70F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B056-4A19-A655-EAD10142B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7223440"/>
        <c:axId val="277223832"/>
      </c:lineChart>
      <c:catAx>
        <c:axId val="277223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7223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72238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7722344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974-4E4F-B0D1-AE4A58265F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974-4E4F-B0D1-AE4A58265F6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974-4E4F-B0D1-AE4A58265F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974-4E4F-B0D1-AE4A58265F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974-4E4F-B0D1-AE4A58265F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974-4E4F-B0D1-AE4A58265F6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974-4E4F-B0D1-AE4A58265F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974-4E4F-B0D1-AE4A58265F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974-4E4F-B0D1-AE4A58265F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974-4E4F-B0D1-AE4A58265F6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974-4E4F-B0D1-AE4A58265F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974-4E4F-B0D1-AE4A58265F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974-4E4F-B0D1-AE4A58265F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974-4E4F-B0D1-AE4A58265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5243152"/>
        <c:axId val="295243544"/>
      </c:barChart>
      <c:catAx>
        <c:axId val="295243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52435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52435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52431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CEE-4CB3-B47B-4CF09C39C7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CEE-4CB3-B47B-4CF09C39C71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EE-4CB3-B47B-4CF09C39C7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CEE-4CB3-B47B-4CF09C39C7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EE-4CB3-B47B-4CF09C39C7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CEE-4CB3-B47B-4CF09C39C71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EE-4CB3-B47B-4CF09C39C7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CEE-4CB3-B47B-4CF09C39C7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EE-4CB3-B47B-4CF09C39C7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CEE-4CB3-B47B-4CF09C39C71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CEE-4CB3-B47B-4CF09C39C7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CEE-4CB3-B47B-4CF09C39C7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CEE-4CB3-B47B-4CF09C39C7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CEE-4CB3-B47B-4CF09C39C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5244328"/>
        <c:axId val="295244720"/>
      </c:barChart>
      <c:catAx>
        <c:axId val="295244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52447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52447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52443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95E-478E-B056-8DFF271BA79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95E-478E-B056-8DFF271BA79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5E-478E-B056-8DFF271BA79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5E-478E-B056-8DFF271BA79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95E-478E-B056-8DFF271BA79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95E-478E-B056-8DFF271BA79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95E-478E-B056-8DFF271BA79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95E-478E-B056-8DFF271BA79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95E-478E-B056-8DFF271BA79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95E-478E-B056-8DFF271BA79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95E-478E-B056-8DFF271BA79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95E-478E-B056-8DFF271BA79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95E-478E-B056-8DFF271BA79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95E-478E-B056-8DFF271BA7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5791608"/>
        <c:axId val="295792000"/>
      </c:barChart>
      <c:catAx>
        <c:axId val="295791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57920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57920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57916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F87-42C9-98BB-EEAFD398380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F87-42C9-98BB-EEAFD398380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F87-42C9-98BB-EEAFD398380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F87-42C9-98BB-EEAFD398380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F87-42C9-98BB-EEAFD398380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F87-42C9-98BB-EEAFD398380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F87-42C9-98BB-EEAFD398380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F87-42C9-98BB-EEAFD398380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F87-42C9-98BB-EEAFD398380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F87-42C9-98BB-EEAFD398380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F87-42C9-98BB-EEAFD398380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F87-42C9-98BB-EEAFD398380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F87-42C9-98BB-EEAFD398380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F87-42C9-98BB-EEAFD3983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5792784"/>
        <c:axId val="295793176"/>
      </c:barChart>
      <c:catAx>
        <c:axId val="295792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5793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57931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57927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B6C-4A16-9874-3078F79285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B6C-4A16-9874-3078F79285F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B6C-4A16-9874-3078F79285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B6C-4A16-9874-3078F79285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B6C-4A16-9874-3078F79285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B6C-4A16-9874-3078F79285F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B6C-4A16-9874-3078F79285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B6C-4A16-9874-3078F79285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B6C-4A16-9874-3078F79285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B6C-4A16-9874-3078F79285F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B6C-4A16-9874-3078F79285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B6C-4A16-9874-3078F79285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B6C-4A16-9874-3078F79285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B6C-4A16-9874-3078F7928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5793960"/>
        <c:axId val="295794352"/>
      </c:barChart>
      <c:catAx>
        <c:axId val="295793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57943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57943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57939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CB5-407C-A8BF-317696DFA1F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CB5-407C-A8BF-317696DFA1F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CB5-407C-A8BF-317696DFA1F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CB5-407C-A8BF-317696DFA1F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CB5-407C-A8BF-317696DFA1F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CB5-407C-A8BF-317696DFA1F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CB5-407C-A8BF-317696DFA1F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CB5-407C-A8BF-317696DFA1F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CB5-407C-A8BF-317696DFA1F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CB5-407C-A8BF-317696DFA1F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CB5-407C-A8BF-317696DFA1F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CB5-407C-A8BF-317696DFA1F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CB5-407C-A8BF-317696DFA1F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CB5-407C-A8BF-317696DFA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1527848"/>
        <c:axId val="291528240"/>
      </c:barChart>
      <c:catAx>
        <c:axId val="291527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15282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15282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15278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62F-489C-A51D-75F6A8962F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62F-489C-A51D-75F6A8962FA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62F-489C-A51D-75F6A8962F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62F-489C-A51D-75F6A8962F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62F-489C-A51D-75F6A8962F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62F-489C-A51D-75F6A8962FA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62F-489C-A51D-75F6A8962F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62F-489C-A51D-75F6A8962F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62F-489C-A51D-75F6A8962F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62F-489C-A51D-75F6A8962FA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62F-489C-A51D-75F6A8962FA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62F-489C-A51D-75F6A8962FA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62F-489C-A51D-75F6A8962FA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62F-489C-A51D-75F6A8962F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1529024"/>
        <c:axId val="291529416"/>
      </c:barChart>
      <c:catAx>
        <c:axId val="291529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15294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15294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15290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C03-4B13-AA4D-5104B4DFAB3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C03-4B13-AA4D-5104B4DFAB3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C03-4B13-AA4D-5104B4DFAB3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C03-4B13-AA4D-5104B4DFAB3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C03-4B13-AA4D-5104B4DFAB3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C03-4B13-AA4D-5104B4DFAB3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C03-4B13-AA4D-5104B4DFAB3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C03-4B13-AA4D-5104B4DFAB3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C03-4B13-AA4D-5104B4DFAB3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C03-4B13-AA4D-5104B4DFAB3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C03-4B13-AA4D-5104B4DFAB3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C03-4B13-AA4D-5104B4DFAB3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C03-4B13-AA4D-5104B4DFAB3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C03-4B13-AA4D-5104B4DFAB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1530200"/>
        <c:axId val="291530592"/>
      </c:barChart>
      <c:catAx>
        <c:axId val="291530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15305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15305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15302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D42-4F01-902A-3E29068C22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D42-4F01-902A-3E29068C222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D42-4F01-902A-3E29068C222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D42-4F01-902A-3E29068C222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D42-4F01-902A-3E29068C22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D42-4F01-902A-3E29068C222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D42-4F01-902A-3E29068C222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D42-4F01-902A-3E29068C222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D42-4F01-902A-3E29068C22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D42-4F01-902A-3E29068C222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D42-4F01-902A-3E29068C222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D42-4F01-902A-3E29068C222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D42-4F01-902A-3E29068C22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D42-4F01-902A-3E29068C2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1531376"/>
        <c:axId val="291531768"/>
      </c:barChart>
      <c:catAx>
        <c:axId val="291531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15317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15317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15313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E07-4688-8BA1-95C8CA36EC5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E07-4688-8BA1-95C8CA36EC5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E07-4688-8BA1-95C8CA36EC5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E07-4688-8BA1-95C8CA36EC5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E07-4688-8BA1-95C8CA36EC5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E07-4688-8BA1-95C8CA36EC5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E07-4688-8BA1-95C8CA36EC5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E07-4688-8BA1-95C8CA36EC5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E07-4688-8BA1-95C8CA36EC5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E07-4688-8BA1-95C8CA36EC5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E07-4688-8BA1-95C8CA36EC5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E07-4688-8BA1-95C8CA36EC5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E07-4688-8BA1-95C8CA36EC5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E07-4688-8BA1-95C8CA36E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1532552"/>
        <c:axId val="291532944"/>
      </c:barChart>
      <c:catAx>
        <c:axId val="291532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15329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15329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15325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1FE-4591-B850-191360B1633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1FE-4591-B850-191360B1633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1FE-4591-B850-191360B1633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1FE-4591-B850-191360B1633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1FE-4591-B850-191360B1633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1FE-4591-B850-191360B1633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1FE-4591-B850-191360B1633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1FE-4591-B850-191360B1633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1FE-4591-B850-191360B1633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1FE-4591-B850-191360B1633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1FE-4591-B850-191360B1633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1FE-4591-B850-191360B1633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1FE-4591-B850-191360B1633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1FE-4591-B850-191360B163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1533728"/>
        <c:axId val="291534120"/>
      </c:barChart>
      <c:catAx>
        <c:axId val="291533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15341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15341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15337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B96-4090-BDB9-5EABC6F403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B96-4090-BDB9-5EABC6F4036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B96-4090-BDB9-5EABC6F403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B96-4090-BDB9-5EABC6F403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B96-4090-BDB9-5EABC6F403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B96-4090-BDB9-5EABC6F4036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B96-4090-BDB9-5EABC6F403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B96-4090-BDB9-5EABC6F403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B96-4090-BDB9-5EABC6F403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B96-4090-BDB9-5EABC6F4036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B96-4090-BDB9-5EABC6F403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B96-4090-BDB9-5EABC6F403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B96-4090-BDB9-5EABC6F403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B96-4090-BDB9-5EABC6F403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1534904"/>
        <c:axId val="291535296"/>
      </c:barChart>
      <c:catAx>
        <c:axId val="291534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1535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15352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15349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6BE-42D6-956B-BDBD98A091D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6BE-42D6-956B-BDBD98A091D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6BE-42D6-956B-BDBD98A091D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6BE-42D6-956B-BDBD98A091D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6BE-42D6-956B-BDBD98A091D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6BE-42D6-956B-BDBD98A091D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6BE-42D6-956B-BDBD98A091D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6BE-42D6-956B-BDBD98A091D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6BE-42D6-956B-BDBD98A091D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6BE-42D6-956B-BDBD98A091D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6BE-42D6-956B-BDBD98A091D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6BE-42D6-956B-BDBD98A091D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6BE-42D6-956B-BDBD98A091D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6BE-42D6-956B-BDBD98A0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6292624"/>
        <c:axId val="296293016"/>
      </c:barChart>
      <c:catAx>
        <c:axId val="296292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6293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62930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62926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660-40D1-B339-EB642C639D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660-40D1-B339-EB642C639DB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660-40D1-B339-EB642C639DB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660-40D1-B339-EB642C639DB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660-40D1-B339-EB642C639D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660-40D1-B339-EB642C639DB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660-40D1-B339-EB642C639DB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660-40D1-B339-EB642C639DB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660-40D1-B339-EB642C639D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660-40D1-B339-EB642C639DB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660-40D1-B339-EB642C639DB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660-40D1-B339-EB642C639DB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660-40D1-B339-EB642C639D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660-40D1-B339-EB642C639D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6293800"/>
        <c:axId val="296294192"/>
      </c:barChart>
      <c:catAx>
        <c:axId val="296293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62941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62941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62938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1A1-4670-AEC8-1B581D30EB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1A1-4670-AEC8-1B581D30EBF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1A1-4670-AEC8-1B581D30EBF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1A1-4670-AEC8-1B581D30EBF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1A1-4670-AEC8-1B581D30EB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1A1-4670-AEC8-1B581D30EBF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1A1-4670-AEC8-1B581D30EBF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1A1-4670-AEC8-1B581D30EBF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1A1-4670-AEC8-1B581D30EB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1A1-4670-AEC8-1B581D30EBF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1A1-4670-AEC8-1B581D30EBF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1A1-4670-AEC8-1B581D30EBF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1A1-4670-AEC8-1B581D30EB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1A1-4670-AEC8-1B581D30EB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6294976"/>
        <c:axId val="296295368"/>
      </c:barChart>
      <c:catAx>
        <c:axId val="296294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62953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62953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62949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5D5-4161-9833-BD8565E4376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5D5-4161-9833-BD8565E4376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5D5-4161-9833-BD8565E4376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5D5-4161-9833-BD8565E4376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5D5-4161-9833-BD8565E4376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5D5-4161-9833-BD8565E4376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5D5-4161-9833-BD8565E4376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5D5-4161-9833-BD8565E4376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5D5-4161-9833-BD8565E4376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5D5-4161-9833-BD8565E4376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5D5-4161-9833-BD8565E4376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5D5-4161-9833-BD8565E4376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5D5-4161-9833-BD8565E4376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5D5-4161-9833-BD8565E43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6561504"/>
        <c:axId val="296561896"/>
      </c:barChart>
      <c:catAx>
        <c:axId val="296561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6561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65618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65615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086-467A-858A-09290667DAA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086-467A-858A-09290667DAA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086-467A-858A-09290667DAA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086-467A-858A-09290667DAA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086-467A-858A-09290667DAA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086-467A-858A-09290667DAA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086-467A-858A-09290667DAA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086-467A-858A-09290667DAA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086-467A-858A-09290667DAA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086-467A-858A-09290667DAA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086-467A-858A-09290667DAA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086-467A-858A-09290667DAA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086-467A-858A-09290667DAA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086-467A-858A-09290667D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6562680"/>
        <c:axId val="296563072"/>
      </c:barChart>
      <c:catAx>
        <c:axId val="296562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65630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65630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65626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423-4EDF-8BDD-0A2152C26A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423-4EDF-8BDD-0A2152C26AE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423-4EDF-8BDD-0A2152C26A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423-4EDF-8BDD-0A2152C26A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423-4EDF-8BDD-0A2152C26A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423-4EDF-8BDD-0A2152C26AE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423-4EDF-8BDD-0A2152C26A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423-4EDF-8BDD-0A2152C26A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423-4EDF-8BDD-0A2152C26A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423-4EDF-8BDD-0A2152C26AE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423-4EDF-8BDD-0A2152C26A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423-4EDF-8BDD-0A2152C26A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423-4EDF-8BDD-0A2152C26A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423-4EDF-8BDD-0A2152C26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6563856"/>
        <c:axId val="296564248"/>
      </c:barChart>
      <c:catAx>
        <c:axId val="296563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6564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65642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65638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D4C-4A92-9172-DF2439813D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D4C-4A92-9172-DF2439813DD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D4C-4A92-9172-DF2439813DD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D4C-4A92-9172-DF2439813DD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D4C-4A92-9172-DF2439813D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D4C-4A92-9172-DF2439813DD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D4C-4A92-9172-DF2439813DD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D4C-4A92-9172-DF2439813DD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D4C-4A92-9172-DF2439813D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D4C-4A92-9172-DF2439813DD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D4C-4A92-9172-DF2439813DD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D4C-4A92-9172-DF2439813DD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D4C-4A92-9172-DF2439813D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D4C-4A92-9172-DF2439813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6565032"/>
        <c:axId val="296565424"/>
      </c:barChart>
      <c:catAx>
        <c:axId val="296565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65654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65654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65650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02-41C9-A6C5-B554C194D6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E02-41C9-A6C5-B554C194D67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E02-41C9-A6C5-B554C194D67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02-41C9-A6C5-B554C194D67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E02-41C9-A6C5-B554C194D6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E02-41C9-A6C5-B554C194D67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E02-41C9-A6C5-B554C194D67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E02-41C9-A6C5-B554C194D67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E02-41C9-A6C5-B554C194D6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E02-41C9-A6C5-B554C194D67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E02-41C9-A6C5-B554C194D67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E02-41C9-A6C5-B554C194D67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E02-41C9-A6C5-B554C194D6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E02-41C9-A6C5-B554C194D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6566208"/>
        <c:axId val="296566600"/>
      </c:barChart>
      <c:catAx>
        <c:axId val="296566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6566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65666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65662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CB-4FDF-8D00-095B7F7EC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FCB-4FDF-8D00-095B7F7EC1B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FCB-4FDF-8D00-095B7F7EC1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FCB-4FDF-8D00-095B7F7EC1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FCB-4FDF-8D00-095B7F7EC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FCB-4FDF-8D00-095B7F7EC1B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FCB-4FDF-8D00-095B7F7EC1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FCB-4FDF-8D00-095B7F7EC1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FCB-4FDF-8D00-095B7F7EC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FCB-4FDF-8D00-095B7F7EC1B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FCB-4FDF-8D00-095B7F7EC1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FCB-4FDF-8D00-095B7F7EC1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FCB-4FDF-8D00-095B7F7EC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FCB-4FDF-8D00-095B7F7EC1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6567384"/>
        <c:axId val="296567776"/>
      </c:barChart>
      <c:catAx>
        <c:axId val="296567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6567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65677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65673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993-4453-9B70-D793417913D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993-4453-9B70-D793417913D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993-4453-9B70-D793417913D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993-4453-9B70-D793417913D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993-4453-9B70-D793417913D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993-4453-9B70-D793417913D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993-4453-9B70-D793417913D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993-4453-9B70-D793417913D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993-4453-9B70-D793417913D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993-4453-9B70-D793417913D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993-4453-9B70-D793417913D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993-4453-9B70-D793417913D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993-4453-9B70-D793417913D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993-4453-9B70-D793417913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6568560"/>
        <c:axId val="296568952"/>
      </c:barChart>
      <c:catAx>
        <c:axId val="296568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6568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65689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65685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3C4-4BDE-B123-A375CF1C0F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3C4-4BDE-B123-A375CF1C0F8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3C4-4BDE-B123-A375CF1C0F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3C4-4BDE-B123-A375CF1C0F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3C4-4BDE-B123-A375CF1C0F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3C4-4BDE-B123-A375CF1C0F8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3C4-4BDE-B123-A375CF1C0F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3C4-4BDE-B123-A375CF1C0F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3C4-4BDE-B123-A375CF1C0F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3C4-4BDE-B123-A375CF1C0F8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3C4-4BDE-B123-A375CF1C0F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3C4-4BDE-B123-A375CF1C0F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3C4-4BDE-B123-A375CF1C0F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3C4-4BDE-B123-A375CF1C0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6647912"/>
        <c:axId val="296648304"/>
      </c:barChart>
      <c:catAx>
        <c:axId val="296647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6648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66483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66479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B09-42BD-BE91-E7546958551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B09-42BD-BE91-E7546958551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B09-42BD-BE91-E7546958551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B09-42BD-BE91-E7546958551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B09-42BD-BE91-E7546958551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B09-42BD-BE91-E7546958551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B09-42BD-BE91-E7546958551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B09-42BD-BE91-E7546958551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B09-42BD-BE91-E7546958551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B09-42BD-BE91-E7546958551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B09-42BD-BE91-E7546958551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B09-42BD-BE91-E7546958551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B09-42BD-BE91-E7546958551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B09-42BD-BE91-E754695855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6649088"/>
        <c:axId val="296649480"/>
      </c:barChart>
      <c:catAx>
        <c:axId val="296649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6649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66494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66490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221021</xdr:colOff>
      <xdr:row>0</xdr:row>
      <xdr:rowOff>68826</xdr:rowOff>
    </xdr:from>
    <xdr:to>
      <xdr:col>2</xdr:col>
      <xdr:colOff>104980</xdr:colOff>
      <xdr:row>2</xdr:row>
      <xdr:rowOff>262194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021" y="68826"/>
          <a:ext cx="979846" cy="9205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450641</xdr:colOff>
      <xdr:row>8</xdr:row>
      <xdr:rowOff>10241</xdr:rowOff>
    </xdr:from>
    <xdr:to>
      <xdr:col>13</xdr:col>
      <xdr:colOff>49874</xdr:colOff>
      <xdr:row>26</xdr:row>
      <xdr:rowOff>133144</xdr:rowOff>
    </xdr:to>
    <xdr:pic>
      <xdr:nvPicPr>
        <xdr:cNvPr id="4" name="3 Imagen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46528" y="2314676"/>
          <a:ext cx="7383104" cy="36154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286774</xdr:colOff>
      <xdr:row>0</xdr:row>
      <xdr:rowOff>92177</xdr:rowOff>
    </xdr:from>
    <xdr:to>
      <xdr:col>4</xdr:col>
      <xdr:colOff>1167</xdr:colOff>
      <xdr:row>2</xdr:row>
      <xdr:rowOff>172085</xdr:rowOff>
    </xdr:to>
    <xdr:sp macro="[0]!MayraGomez" textlink="">
      <xdr:nvSpPr>
        <xdr:cNvPr id="5" name="Rectángulo 4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382661" y="92177"/>
          <a:ext cx="728345" cy="80708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</xdr:row>
      <xdr:rowOff>105833</xdr:rowOff>
    </xdr:from>
    <xdr:to>
      <xdr:col>1</xdr:col>
      <xdr:colOff>300567</xdr:colOff>
      <xdr:row>3</xdr:row>
      <xdr:rowOff>327025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5600" y="444500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2</xdr:col>
      <xdr:colOff>0</xdr:colOff>
      <xdr:row>37</xdr:row>
      <xdr:rowOff>0</xdr:rowOff>
    </xdr:from>
    <xdr:to>
      <xdr:col>6</xdr:col>
      <xdr:colOff>9525</xdr:colOff>
      <xdr:row>50</xdr:row>
      <xdr:rowOff>52917</xdr:rowOff>
    </xdr:to>
    <xdr:pic>
      <xdr:nvPicPr>
        <xdr:cNvPr id="27" name="26 Imagen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2250" y="5281083"/>
          <a:ext cx="3343275" cy="266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W277"/>
  <sheetViews>
    <sheetView showGridLines="0" zoomScale="85" zoomScaleNormal="100" workbookViewId="0"/>
  </sheetViews>
  <sheetFormatPr baseColWidth="10" defaultRowHeight="14.25" customHeight="1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48">
        <v>777</v>
      </c>
      <c r="B1" s="49" t="s">
        <v>14</v>
      </c>
      <c r="C1" s="49"/>
      <c r="D1" s="49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1"/>
      <c r="V1" s="4"/>
      <c r="W1" s="4"/>
    </row>
    <row r="2" spans="1:23" ht="17.45" customHeight="1">
      <c r="A2" s="52"/>
      <c r="B2" s="102"/>
      <c r="C2" s="103"/>
      <c r="D2" s="103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5"/>
      <c r="R2" s="50"/>
      <c r="S2" s="50"/>
      <c r="T2" s="50"/>
      <c r="U2" s="51"/>
      <c r="V2" s="4"/>
      <c r="W2" s="4"/>
    </row>
    <row r="3" spans="1:23" ht="17.45" customHeight="1">
      <c r="A3" s="52"/>
      <c r="B3" s="106"/>
      <c r="C3" s="69"/>
      <c r="D3" s="69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107"/>
      <c r="R3" s="50"/>
      <c r="S3" s="50"/>
      <c r="T3" s="50"/>
      <c r="U3" s="51"/>
      <c r="V3" s="4"/>
      <c r="W3" s="4"/>
    </row>
    <row r="4" spans="1:23" ht="10.5" customHeight="1">
      <c r="A4" s="52"/>
      <c r="B4" s="106"/>
      <c r="C4" s="70"/>
      <c r="D4" s="71"/>
      <c r="E4" s="72"/>
      <c r="F4" s="72"/>
      <c r="G4" s="72"/>
      <c r="H4" s="72"/>
      <c r="I4" s="72"/>
      <c r="J4" s="72"/>
      <c r="K4" s="72"/>
      <c r="L4" s="72"/>
      <c r="M4" s="72"/>
      <c r="N4" s="73"/>
      <c r="O4" s="68"/>
      <c r="P4" s="68"/>
      <c r="Q4" s="107"/>
      <c r="R4" s="50"/>
      <c r="S4" s="50"/>
      <c r="T4" s="50"/>
      <c r="U4" s="51"/>
      <c r="V4" s="4"/>
      <c r="W4" s="4"/>
    </row>
    <row r="5" spans="1:23" ht="32.25" customHeight="1">
      <c r="A5" s="53"/>
      <c r="B5" s="106"/>
      <c r="C5" s="74"/>
      <c r="D5" s="74"/>
      <c r="E5" s="187" t="s">
        <v>75</v>
      </c>
      <c r="F5" s="187"/>
      <c r="G5" s="187"/>
      <c r="H5" s="187"/>
      <c r="I5" s="187"/>
      <c r="J5" s="187"/>
      <c r="K5" s="187"/>
      <c r="L5" s="187"/>
      <c r="M5" s="187"/>
      <c r="N5" s="75"/>
      <c r="O5" s="68"/>
      <c r="P5" s="68"/>
      <c r="Q5" s="107"/>
      <c r="R5" s="50"/>
      <c r="S5" s="50"/>
      <c r="T5" s="50"/>
      <c r="U5" s="51"/>
      <c r="V5" s="4"/>
      <c r="W5" s="4"/>
    </row>
    <row r="6" spans="1:23" ht="17.45" customHeight="1">
      <c r="A6" s="52"/>
      <c r="B6" s="106"/>
      <c r="C6" s="76"/>
      <c r="D6" s="76"/>
      <c r="E6" s="77"/>
      <c r="F6" s="78"/>
      <c r="G6" s="78"/>
      <c r="H6" s="78"/>
      <c r="I6" s="78"/>
      <c r="J6" s="78"/>
      <c r="K6" s="78"/>
      <c r="L6" s="78"/>
      <c r="M6" s="78"/>
      <c r="N6" s="79"/>
      <c r="O6" s="80"/>
      <c r="P6" s="80"/>
      <c r="Q6" s="108"/>
      <c r="R6" s="50"/>
      <c r="S6" s="50"/>
      <c r="T6" s="50"/>
      <c r="U6" s="51"/>
      <c r="V6" s="4"/>
      <c r="W6" s="4"/>
    </row>
    <row r="7" spans="1:23" ht="17.45" customHeight="1">
      <c r="A7" s="52"/>
      <c r="B7" s="109"/>
      <c r="C7" s="81"/>
      <c r="D7" s="81"/>
      <c r="E7" s="82"/>
      <c r="F7" s="82"/>
      <c r="G7" s="82"/>
      <c r="H7" s="82"/>
      <c r="I7" s="82"/>
      <c r="J7" s="82"/>
      <c r="K7" s="82"/>
      <c r="L7" s="82"/>
      <c r="M7" s="68"/>
      <c r="N7" s="80"/>
      <c r="O7" s="80"/>
      <c r="P7" s="80"/>
      <c r="Q7" s="108"/>
      <c r="R7" s="50"/>
      <c r="S7" s="50"/>
      <c r="T7" s="50"/>
      <c r="U7" s="51"/>
      <c r="V7" s="4"/>
      <c r="W7" s="4"/>
    </row>
    <row r="8" spans="1:23" ht="17.45" customHeight="1">
      <c r="A8" s="52"/>
      <c r="B8" s="110"/>
      <c r="C8" s="83"/>
      <c r="D8" s="83"/>
      <c r="E8" s="84"/>
      <c r="F8" s="85"/>
      <c r="G8" s="85"/>
      <c r="H8" s="85"/>
      <c r="I8" s="86"/>
      <c r="J8" s="86"/>
      <c r="K8" s="86"/>
      <c r="L8" s="87"/>
      <c r="M8" s="68"/>
      <c r="N8" s="68"/>
      <c r="O8" s="80"/>
      <c r="P8" s="80"/>
      <c r="Q8" s="108"/>
      <c r="R8" s="50"/>
      <c r="S8" s="50"/>
      <c r="T8" s="50"/>
      <c r="U8" s="51"/>
      <c r="V8" s="4"/>
      <c r="W8" s="4"/>
    </row>
    <row r="9" spans="1:23" ht="17.45" customHeight="1">
      <c r="A9" s="52"/>
      <c r="B9" s="110"/>
      <c r="C9" s="83"/>
      <c r="D9" s="88"/>
      <c r="E9" s="86"/>
      <c r="F9" s="86"/>
      <c r="G9" s="86"/>
      <c r="H9" s="86"/>
      <c r="I9" s="86"/>
      <c r="J9" s="86"/>
      <c r="K9" s="86"/>
      <c r="L9" s="87"/>
      <c r="M9" s="68"/>
      <c r="N9" s="68"/>
      <c r="O9" s="80"/>
      <c r="P9" s="68"/>
      <c r="Q9" s="107"/>
      <c r="R9" s="50"/>
      <c r="S9" s="50"/>
      <c r="T9" s="50"/>
      <c r="U9" s="51"/>
      <c r="V9" s="4"/>
      <c r="W9" s="4"/>
    </row>
    <row r="10" spans="1:23" ht="17.45" customHeight="1">
      <c r="A10" s="52"/>
      <c r="B10" s="110"/>
      <c r="C10" s="83"/>
      <c r="D10" s="89"/>
      <c r="E10" s="90"/>
      <c r="F10" s="86"/>
      <c r="G10" s="86"/>
      <c r="H10" s="86"/>
      <c r="I10" s="86"/>
      <c r="J10" s="86"/>
      <c r="K10" s="86"/>
      <c r="L10" s="87"/>
      <c r="M10" s="68"/>
      <c r="N10" s="68"/>
      <c r="O10" s="80"/>
      <c r="P10" s="68"/>
      <c r="Q10" s="107"/>
      <c r="R10" s="50"/>
      <c r="S10" s="50"/>
      <c r="T10" s="50"/>
      <c r="U10" s="51"/>
      <c r="V10" s="4"/>
      <c r="W10" s="4"/>
    </row>
    <row r="11" spans="1:23" ht="12" customHeight="1">
      <c r="A11" s="52"/>
      <c r="B11" s="110"/>
      <c r="C11" s="83"/>
      <c r="D11" s="91"/>
      <c r="E11" s="86"/>
      <c r="F11" s="86"/>
      <c r="G11" s="86"/>
      <c r="H11" s="86"/>
      <c r="I11" s="86"/>
      <c r="J11" s="86"/>
      <c r="K11" s="86"/>
      <c r="L11" s="92"/>
      <c r="M11" s="92"/>
      <c r="N11" s="92"/>
      <c r="O11" s="93"/>
      <c r="P11" s="68"/>
      <c r="Q11" s="107"/>
      <c r="R11" s="50"/>
      <c r="S11" s="50"/>
      <c r="T11" s="50"/>
      <c r="U11" s="51"/>
      <c r="V11" s="4"/>
      <c r="W11" s="4"/>
    </row>
    <row r="12" spans="1:23" ht="17.45" customHeight="1">
      <c r="A12" s="52"/>
      <c r="B12" s="110"/>
      <c r="C12" s="83"/>
      <c r="D12" s="83"/>
      <c r="E12" s="86"/>
      <c r="F12" s="86"/>
      <c r="G12" s="86"/>
      <c r="H12" s="86"/>
      <c r="I12" s="86"/>
      <c r="J12" s="86"/>
      <c r="K12" s="86"/>
      <c r="L12" s="94"/>
      <c r="M12" s="92"/>
      <c r="N12" s="92"/>
      <c r="O12" s="93"/>
      <c r="P12" s="95"/>
      <c r="Q12" s="107"/>
      <c r="R12" s="50"/>
      <c r="S12" s="50"/>
      <c r="T12" s="50"/>
      <c r="U12" s="51"/>
      <c r="V12" s="4"/>
      <c r="W12" s="4"/>
    </row>
    <row r="13" spans="1:23" ht="17.25" customHeight="1">
      <c r="A13" s="52"/>
      <c r="B13" s="111"/>
      <c r="C13" s="83"/>
      <c r="D13" s="83"/>
      <c r="E13" s="96"/>
      <c r="F13" s="86"/>
      <c r="G13" s="86"/>
      <c r="H13" s="86"/>
      <c r="I13" s="86"/>
      <c r="J13" s="86"/>
      <c r="K13" s="86"/>
      <c r="L13" s="94"/>
      <c r="M13" s="92"/>
      <c r="N13" s="92"/>
      <c r="O13" s="93"/>
      <c r="P13" s="95"/>
      <c r="Q13" s="107"/>
      <c r="R13" s="50"/>
      <c r="S13" s="50"/>
      <c r="T13" s="50"/>
      <c r="U13" s="51"/>
      <c r="V13" s="4"/>
      <c r="W13" s="4"/>
    </row>
    <row r="14" spans="1:23" ht="17.25" customHeight="1">
      <c r="A14" s="52"/>
      <c r="B14" s="111"/>
      <c r="C14" s="97"/>
      <c r="D14" s="83"/>
      <c r="E14" s="86"/>
      <c r="F14" s="86"/>
      <c r="G14" s="86"/>
      <c r="H14" s="86"/>
      <c r="I14" s="86"/>
      <c r="J14" s="86"/>
      <c r="K14" s="86"/>
      <c r="L14" s="94"/>
      <c r="M14" s="92"/>
      <c r="N14" s="92"/>
      <c r="O14" s="93"/>
      <c r="P14" s="95"/>
      <c r="Q14" s="107"/>
      <c r="R14" s="50"/>
      <c r="S14" s="50"/>
      <c r="T14" s="50"/>
      <c r="U14" s="51"/>
      <c r="V14" s="4"/>
      <c r="W14" s="4"/>
    </row>
    <row r="15" spans="1:23" ht="17.45" customHeight="1">
      <c r="A15" s="56"/>
      <c r="B15" s="111"/>
      <c r="C15" s="83"/>
      <c r="D15" s="83"/>
      <c r="E15" s="86"/>
      <c r="F15" s="86"/>
      <c r="G15" s="86"/>
      <c r="H15" s="86"/>
      <c r="I15" s="86"/>
      <c r="J15" s="86"/>
      <c r="K15" s="86"/>
      <c r="L15" s="94"/>
      <c r="M15" s="92"/>
      <c r="N15" s="92"/>
      <c r="O15" s="93"/>
      <c r="P15" s="98"/>
      <c r="Q15" s="112"/>
      <c r="R15" s="50"/>
      <c r="S15" s="50"/>
      <c r="T15" s="50"/>
      <c r="U15" s="51"/>
      <c r="V15" s="4"/>
      <c r="W15" s="4"/>
    </row>
    <row r="16" spans="1:23" ht="17.45" customHeight="1">
      <c r="A16" s="56"/>
      <c r="B16" s="110"/>
      <c r="C16" s="83"/>
      <c r="D16" s="83"/>
      <c r="E16" s="99"/>
      <c r="F16" s="86"/>
      <c r="G16" s="86"/>
      <c r="H16" s="86"/>
      <c r="I16" s="86"/>
      <c r="J16" s="86"/>
      <c r="K16" s="86"/>
      <c r="L16" s="94"/>
      <c r="M16" s="92"/>
      <c r="N16" s="92"/>
      <c r="O16" s="93"/>
      <c r="P16" s="98"/>
      <c r="Q16" s="112"/>
      <c r="R16" s="50"/>
      <c r="S16" s="50"/>
      <c r="T16" s="50"/>
      <c r="U16" s="51"/>
      <c r="V16" s="4"/>
      <c r="W16" s="4"/>
    </row>
    <row r="17" spans="1:23" ht="17.45" customHeight="1">
      <c r="A17" s="56"/>
      <c r="B17" s="111"/>
      <c r="C17" s="83"/>
      <c r="D17" s="83"/>
      <c r="E17" s="86"/>
      <c r="F17" s="86"/>
      <c r="G17" s="86"/>
      <c r="H17" s="86"/>
      <c r="I17" s="86"/>
      <c r="J17" s="86"/>
      <c r="K17" s="86"/>
      <c r="L17" s="94"/>
      <c r="M17" s="92"/>
      <c r="N17" s="92"/>
      <c r="O17" s="93"/>
      <c r="P17" s="98"/>
      <c r="Q17" s="107"/>
      <c r="R17" s="50"/>
      <c r="S17" s="50"/>
      <c r="T17" s="50"/>
      <c r="U17" s="51"/>
      <c r="V17" s="4"/>
      <c r="W17" s="4"/>
    </row>
    <row r="18" spans="1:23" ht="17.25" customHeight="1">
      <c r="A18" s="56"/>
      <c r="B18" s="111"/>
      <c r="C18" s="83"/>
      <c r="D18" s="83"/>
      <c r="E18" s="86"/>
      <c r="F18" s="86"/>
      <c r="G18" s="86"/>
      <c r="H18" s="86"/>
      <c r="I18" s="86"/>
      <c r="J18" s="86"/>
      <c r="K18" s="86"/>
      <c r="L18" s="94"/>
      <c r="M18" s="92"/>
      <c r="N18" s="92"/>
      <c r="O18" s="93"/>
      <c r="P18" s="98"/>
      <c r="Q18" s="107"/>
      <c r="R18" s="50"/>
      <c r="S18" s="50"/>
      <c r="T18" s="50"/>
      <c r="U18" s="51"/>
      <c r="V18" s="4"/>
      <c r="W18" s="4"/>
    </row>
    <row r="19" spans="1:23" ht="17.45" customHeight="1">
      <c r="A19" s="56"/>
      <c r="B19" s="110"/>
      <c r="C19" s="83"/>
      <c r="D19" s="83"/>
      <c r="E19" s="86"/>
      <c r="F19" s="86"/>
      <c r="G19" s="86"/>
      <c r="H19" s="86"/>
      <c r="I19" s="86"/>
      <c r="J19" s="86"/>
      <c r="K19" s="86"/>
      <c r="L19" s="100"/>
      <c r="M19" s="92"/>
      <c r="N19" s="92"/>
      <c r="O19" s="93"/>
      <c r="P19" s="98"/>
      <c r="Q19" s="112"/>
      <c r="R19" s="50"/>
      <c r="S19" s="50"/>
      <c r="T19" s="50"/>
      <c r="U19" s="51"/>
      <c r="V19" s="4"/>
      <c r="W19" s="4"/>
    </row>
    <row r="20" spans="1:23" ht="17.45" customHeight="1">
      <c r="A20" s="56"/>
      <c r="B20" s="110"/>
      <c r="C20" s="83"/>
      <c r="D20" s="83"/>
      <c r="E20" s="86"/>
      <c r="F20" s="86"/>
      <c r="G20" s="86"/>
      <c r="H20" s="86"/>
      <c r="I20" s="86"/>
      <c r="J20" s="86"/>
      <c r="K20" s="86"/>
      <c r="L20" s="100"/>
      <c r="M20" s="92"/>
      <c r="N20" s="92"/>
      <c r="O20" s="93"/>
      <c r="P20" s="101"/>
      <c r="Q20" s="113"/>
      <c r="R20" s="50"/>
      <c r="S20" s="50"/>
      <c r="T20" s="50"/>
      <c r="U20" s="51"/>
      <c r="V20" s="4"/>
      <c r="W20" s="4"/>
    </row>
    <row r="21" spans="1:23" ht="17.45" customHeight="1">
      <c r="A21" s="56"/>
      <c r="B21" s="114"/>
      <c r="C21" s="115"/>
      <c r="D21" s="115"/>
      <c r="E21" s="116"/>
      <c r="F21" s="116"/>
      <c r="G21" s="116"/>
      <c r="H21" s="116"/>
      <c r="I21" s="116"/>
      <c r="J21" s="116"/>
      <c r="K21" s="116"/>
      <c r="L21" s="117"/>
      <c r="M21" s="118"/>
      <c r="N21" s="118"/>
      <c r="O21" s="119"/>
      <c r="P21" s="120"/>
      <c r="Q21" s="121"/>
      <c r="R21" s="50"/>
      <c r="S21" s="50"/>
      <c r="T21" s="50"/>
      <c r="U21" s="51"/>
      <c r="V21" s="4"/>
      <c r="W21" s="4"/>
    </row>
    <row r="22" spans="1:23" ht="17.45" customHeight="1">
      <c r="A22" s="56"/>
      <c r="B22" s="61"/>
      <c r="C22" s="62"/>
      <c r="D22" s="62"/>
      <c r="E22" s="63"/>
      <c r="F22" s="54"/>
      <c r="G22" s="54"/>
      <c r="H22" s="54"/>
      <c r="I22" s="54"/>
      <c r="J22" s="54"/>
      <c r="K22" s="54"/>
      <c r="L22" s="57"/>
      <c r="M22" s="55"/>
      <c r="N22" s="55"/>
      <c r="O22" s="60"/>
      <c r="P22" s="58"/>
      <c r="Q22" s="59"/>
      <c r="R22" s="50"/>
      <c r="S22" s="50"/>
      <c r="T22" s="50"/>
      <c r="U22" s="51"/>
      <c r="V22" s="4"/>
      <c r="W22" s="4"/>
    </row>
    <row r="23" spans="1:23" ht="15" customHeight="1">
      <c r="A23" s="64"/>
      <c r="B23" s="65"/>
      <c r="C23" s="66"/>
      <c r="D23" s="66"/>
      <c r="E23" s="66"/>
      <c r="F23" s="66"/>
      <c r="G23" s="66"/>
      <c r="H23" s="66"/>
      <c r="I23" s="66"/>
      <c r="J23" s="66"/>
      <c r="K23" s="66"/>
      <c r="L23" s="66"/>
      <c r="M23" s="66"/>
      <c r="N23" s="66"/>
      <c r="O23" s="66"/>
      <c r="P23" s="66"/>
      <c r="Q23" s="65"/>
      <c r="R23" s="64"/>
      <c r="S23" s="65"/>
      <c r="T23" s="66"/>
      <c r="U23" s="65"/>
      <c r="V23" s="4"/>
      <c r="W23" s="4"/>
    </row>
    <row r="24" spans="1:23" ht="15" customHeight="1">
      <c r="A24" s="64"/>
      <c r="B24" s="65"/>
      <c r="C24" s="66"/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5"/>
      <c r="R24" s="64"/>
      <c r="S24" s="65"/>
      <c r="T24" s="66"/>
      <c r="U24" s="65"/>
      <c r="V24" s="4"/>
      <c r="W24" s="4"/>
    </row>
    <row r="25" spans="1:23" ht="15" customHeight="1">
      <c r="A25" s="64"/>
      <c r="B25" s="65"/>
      <c r="C25" s="66"/>
      <c r="D25" s="66"/>
      <c r="E25" s="66"/>
      <c r="F25" s="66"/>
      <c r="G25" s="66"/>
      <c r="H25" s="66"/>
      <c r="I25" s="66"/>
      <c r="J25" s="66"/>
      <c r="K25" s="66"/>
      <c r="L25" s="66"/>
      <c r="M25" s="66"/>
      <c r="N25" s="66"/>
      <c r="O25" s="66"/>
      <c r="P25" s="66"/>
      <c r="Q25" s="65"/>
      <c r="R25" s="64"/>
      <c r="S25" s="65"/>
      <c r="T25" s="66"/>
      <c r="U25" s="65"/>
      <c r="V25" s="4"/>
      <c r="W25" s="4"/>
    </row>
    <row r="26" spans="1:23">
      <c r="A26" s="64"/>
      <c r="B26" s="65"/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5"/>
      <c r="R26" s="64"/>
      <c r="S26" s="65"/>
      <c r="T26" s="66"/>
      <c r="U26" s="67"/>
    </row>
    <row r="27" spans="1:2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5"/>
      <c r="R27" s="64"/>
      <c r="S27" s="65"/>
      <c r="T27" s="66"/>
      <c r="U27" s="67"/>
    </row>
    <row r="28" spans="1:23">
      <c r="A28" s="6"/>
      <c r="B28" s="7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7"/>
      <c r="R28" s="6"/>
      <c r="S28" s="7"/>
      <c r="T28" s="8"/>
    </row>
    <row r="71" spans="2:2">
      <c r="B71" s="10" t="s">
        <v>25</v>
      </c>
    </row>
    <row r="72" spans="2:2">
      <c r="B72" s="11" t="s">
        <v>27</v>
      </c>
    </row>
    <row r="73" spans="2:2">
      <c r="B73" s="12" t="s">
        <v>31</v>
      </c>
    </row>
    <row r="74" spans="2:2">
      <c r="B74" s="13"/>
    </row>
    <row r="76" spans="2:2">
      <c r="B76" s="10" t="s">
        <v>25</v>
      </c>
    </row>
    <row r="77" spans="2:2">
      <c r="B77" s="11" t="s">
        <v>28</v>
      </c>
    </row>
    <row r="78" spans="2:2">
      <c r="B78" s="12" t="s">
        <v>32</v>
      </c>
    </row>
    <row r="79" spans="2:2">
      <c r="B79" s="13"/>
    </row>
    <row r="81" spans="2:2">
      <c r="B81" s="10" t="s">
        <v>33</v>
      </c>
    </row>
    <row r="82" spans="2:2">
      <c r="B82" s="11" t="s">
        <v>21</v>
      </c>
    </row>
    <row r="83" spans="2:2">
      <c r="B83" s="12" t="s">
        <v>29</v>
      </c>
    </row>
    <row r="84" spans="2:2">
      <c r="B84" s="12" t="s">
        <v>34</v>
      </c>
    </row>
    <row r="85" spans="2:2">
      <c r="B85" s="12" t="s">
        <v>35</v>
      </c>
    </row>
    <row r="86" spans="2:2">
      <c r="B86" s="12" t="s">
        <v>36</v>
      </c>
    </row>
    <row r="87" spans="2:2">
      <c r="B87" s="13" t="s">
        <v>37</v>
      </c>
    </row>
    <row r="88" spans="2:2">
      <c r="B88" s="3"/>
    </row>
    <row r="89" spans="2:2">
      <c r="B89" s="10" t="s">
        <v>38</v>
      </c>
    </row>
    <row r="90" spans="2:2">
      <c r="B90" s="14">
        <v>23</v>
      </c>
    </row>
    <row r="91" spans="2:2">
      <c r="B91" s="15">
        <v>27</v>
      </c>
    </row>
    <row r="92" spans="2:2">
      <c r="B92" s="15">
        <v>31</v>
      </c>
    </row>
    <row r="93" spans="2:2">
      <c r="B93" s="15">
        <v>41</v>
      </c>
    </row>
    <row r="94" spans="2:2">
      <c r="B94" s="16" t="s">
        <v>39</v>
      </c>
    </row>
    <row r="95" spans="2:2">
      <c r="B95" s="16" t="s">
        <v>40</v>
      </c>
    </row>
    <row r="96" spans="2:2">
      <c r="B96" s="16" t="s">
        <v>30</v>
      </c>
    </row>
    <row r="97" spans="2:2">
      <c r="B97" s="17" t="s">
        <v>41</v>
      </c>
    </row>
    <row r="98" spans="2:2">
      <c r="B98" s="3"/>
    </row>
    <row r="99" spans="2:2">
      <c r="B99" s="10" t="s">
        <v>26</v>
      </c>
    </row>
    <row r="100" spans="2:2">
      <c r="B100" s="18">
        <v>190</v>
      </c>
    </row>
    <row r="101" spans="2:2">
      <c r="B101" s="19">
        <v>217</v>
      </c>
    </row>
    <row r="102" spans="2:2">
      <c r="B102" s="19">
        <v>250</v>
      </c>
    </row>
    <row r="103" spans="2:2">
      <c r="B103" s="19">
        <v>254</v>
      </c>
    </row>
    <row r="104" spans="2:2">
      <c r="B104" s="19">
        <v>271</v>
      </c>
    </row>
    <row r="105" spans="2:2">
      <c r="B105" s="19">
        <v>304</v>
      </c>
    </row>
    <row r="106" spans="2:2">
      <c r="B106" s="19">
        <v>317</v>
      </c>
    </row>
    <row r="107" spans="2:2">
      <c r="B107" s="19">
        <v>362</v>
      </c>
    </row>
    <row r="108" spans="2:2">
      <c r="B108" s="20"/>
    </row>
    <row r="109" spans="2:2">
      <c r="B109" s="3"/>
    </row>
    <row r="110" spans="2:2">
      <c r="B110" s="10" t="s">
        <v>42</v>
      </c>
    </row>
    <row r="111" spans="2:2">
      <c r="B111" s="11" t="s">
        <v>43</v>
      </c>
    </row>
    <row r="112" spans="2:2">
      <c r="B112" s="12" t="s">
        <v>44</v>
      </c>
    </row>
    <row r="113" spans="2:2">
      <c r="B113" s="12" t="s">
        <v>45</v>
      </c>
    </row>
    <row r="114" spans="2:2">
      <c r="B114" s="13" t="s">
        <v>15</v>
      </c>
    </row>
    <row r="250" spans="6:7">
      <c r="G250" t="s">
        <v>46</v>
      </c>
    </row>
    <row r="252" spans="6:7">
      <c r="F252">
        <v>0</v>
      </c>
      <c r="G252" t="s">
        <v>47</v>
      </c>
    </row>
    <row r="256" spans="6:7">
      <c r="F256">
        <v>0</v>
      </c>
    </row>
    <row r="262" spans="5:6">
      <c r="F262">
        <v>0</v>
      </c>
    </row>
    <row r="270" spans="5:6">
      <c r="E270" t="s">
        <v>48</v>
      </c>
    </row>
    <row r="271" spans="5:6">
      <c r="E271" t="s">
        <v>49</v>
      </c>
    </row>
    <row r="272" spans="5:6">
      <c r="E272" t="s">
        <v>49</v>
      </c>
    </row>
    <row r="274" spans="5:5">
      <c r="E274" t="s">
        <v>50</v>
      </c>
    </row>
    <row r="275" spans="5:5">
      <c r="E275" t="s">
        <v>51</v>
      </c>
    </row>
    <row r="276" spans="5:5">
      <c r="E276" t="s">
        <v>52</v>
      </c>
    </row>
    <row r="277" spans="5:5">
      <c r="E277" t="s">
        <v>49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autoPageBreaks="0"/>
  </sheetPr>
  <dimension ref="A1:AN25"/>
  <sheetViews>
    <sheetView showGridLines="0" tabSelected="1" zoomScale="93" zoomScaleNormal="100" workbookViewId="0">
      <pane xSplit="13" ySplit="4" topLeftCell="Q5" activePane="bottomRight" state="frozen"/>
      <selection pane="topRight" activeCell="G1" sqref="G1"/>
      <selection pane="bottomLeft" activeCell="A6" sqref="A6"/>
      <selection pane="bottomRight" activeCell="T19" sqref="T19"/>
    </sheetView>
  </sheetViews>
  <sheetFormatPr baseColWidth="10" defaultRowHeight="14.25" customHeight="1"/>
  <cols>
    <col min="1" max="1" width="7.375" customWidth="1"/>
    <col min="2" max="2" width="7" customWidth="1"/>
    <col min="3" max="3" width="5.875" customWidth="1"/>
    <col min="4" max="4" width="7.375" customWidth="1"/>
    <col min="5" max="6" width="10.5" customWidth="1"/>
    <col min="7" max="7" width="10.5" bestFit="1" customWidth="1"/>
    <col min="8" max="9" width="9.75" customWidth="1"/>
    <col min="10" max="10" width="8.875" customWidth="1"/>
    <col min="11" max="11" width="9.625" customWidth="1"/>
    <col min="12" max="12" width="8.875" customWidth="1"/>
    <col min="13" max="13" width="10.375" customWidth="1"/>
    <col min="14" max="14" width="9.5" customWidth="1"/>
    <col min="15" max="15" width="10.25" customWidth="1"/>
    <col min="16" max="16" width="8.875" customWidth="1"/>
    <col min="17" max="19" width="8.75" customWidth="1"/>
    <col min="20" max="22" width="7.25" customWidth="1"/>
    <col min="23" max="23" width="8.25" customWidth="1"/>
    <col min="28" max="28" width="15.125" customWidth="1"/>
    <col min="35" max="35" width="8.625" customWidth="1"/>
    <col min="36" max="36" width="9.25" customWidth="1"/>
    <col min="37" max="38" width="7.875" customWidth="1"/>
    <col min="39" max="39" width="7.625" customWidth="1"/>
    <col min="40" max="40" width="7.5" customWidth="1"/>
  </cols>
  <sheetData>
    <row r="1" spans="1:40" ht="30" customHeight="1" thickBot="1">
      <c r="E1" s="158"/>
      <c r="F1" s="191" t="s">
        <v>18</v>
      </c>
      <c r="G1" s="191"/>
      <c r="H1" s="191"/>
      <c r="I1" s="191"/>
      <c r="J1" s="191"/>
      <c r="K1" s="191"/>
      <c r="L1" s="191"/>
      <c r="M1" s="191"/>
      <c r="N1" s="9"/>
      <c r="O1" s="159"/>
      <c r="P1" s="159"/>
      <c r="Q1" s="159"/>
      <c r="R1" s="2"/>
      <c r="S1" s="2"/>
      <c r="T1" s="1"/>
      <c r="U1" s="1"/>
      <c r="V1" s="1"/>
      <c r="W1" s="1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159"/>
      <c r="AJ1" s="159"/>
      <c r="AK1" s="159"/>
      <c r="AL1" s="159"/>
      <c r="AM1" s="159"/>
      <c r="AN1" s="159"/>
    </row>
    <row r="2" spans="1:40" ht="27.75" thickBot="1">
      <c r="E2" s="160"/>
      <c r="F2" s="191" t="s">
        <v>19</v>
      </c>
      <c r="G2" s="191"/>
      <c r="H2" s="191"/>
      <c r="I2" s="191"/>
      <c r="J2" s="191"/>
      <c r="K2" s="191"/>
      <c r="L2" s="191"/>
      <c r="M2" s="191"/>
      <c r="N2" s="204" t="s">
        <v>101</v>
      </c>
      <c r="O2" s="205"/>
      <c r="P2" s="188" t="s">
        <v>102</v>
      </c>
      <c r="Q2" s="188"/>
      <c r="R2" s="188"/>
      <c r="S2" s="188"/>
      <c r="T2" s="188"/>
      <c r="U2" s="189"/>
      <c r="V2" s="190" t="s">
        <v>101</v>
      </c>
      <c r="W2" s="188"/>
      <c r="X2" s="196" t="s">
        <v>88</v>
      </c>
      <c r="Y2" s="197"/>
      <c r="Z2" s="197"/>
      <c r="AA2" s="197"/>
      <c r="AB2" s="195" t="s">
        <v>87</v>
      </c>
      <c r="AC2" s="195"/>
      <c r="AD2" s="198" t="s">
        <v>89</v>
      </c>
      <c r="AE2" s="198"/>
      <c r="AF2" s="198"/>
      <c r="AG2" s="198"/>
      <c r="AH2" s="199"/>
      <c r="AI2" s="156" t="s">
        <v>74</v>
      </c>
      <c r="AJ2" s="156"/>
      <c r="AK2" s="156"/>
      <c r="AL2" s="156"/>
      <c r="AM2" s="156"/>
      <c r="AN2" s="157"/>
    </row>
    <row r="3" spans="1:40" ht="33">
      <c r="E3" s="161"/>
      <c r="F3" s="192" t="s">
        <v>98</v>
      </c>
      <c r="G3" s="192"/>
      <c r="H3" s="192"/>
      <c r="I3" s="192"/>
      <c r="J3" s="192"/>
      <c r="K3" s="192"/>
      <c r="L3" s="192"/>
      <c r="M3" s="193"/>
      <c r="N3" s="208" t="s">
        <v>103</v>
      </c>
      <c r="O3" s="209"/>
      <c r="P3" s="210" t="s">
        <v>72</v>
      </c>
      <c r="Q3" s="211"/>
      <c r="R3" s="210" t="s">
        <v>104</v>
      </c>
      <c r="S3" s="211"/>
      <c r="T3" s="200" t="s">
        <v>105</v>
      </c>
      <c r="U3" s="201"/>
      <c r="V3" s="202" t="s">
        <v>106</v>
      </c>
      <c r="W3" s="203"/>
      <c r="X3" s="206" t="s">
        <v>84</v>
      </c>
      <c r="Y3" s="207"/>
      <c r="Z3" s="162" t="s">
        <v>85</v>
      </c>
      <c r="AA3" s="162" t="s">
        <v>79</v>
      </c>
      <c r="AB3" s="163" t="s">
        <v>81</v>
      </c>
      <c r="AC3" s="163" t="s">
        <v>83</v>
      </c>
      <c r="AD3" s="194" t="s">
        <v>86</v>
      </c>
      <c r="AE3" s="194"/>
      <c r="AF3" s="194" t="s">
        <v>85</v>
      </c>
      <c r="AG3" s="194"/>
      <c r="AH3" s="164" t="s">
        <v>79</v>
      </c>
      <c r="AI3" s="165" t="s">
        <v>70</v>
      </c>
      <c r="AJ3" s="166"/>
      <c r="AK3" s="165" t="s">
        <v>71</v>
      </c>
      <c r="AL3" s="166"/>
      <c r="AM3" s="167" t="s">
        <v>73</v>
      </c>
      <c r="AN3" s="168"/>
    </row>
    <row r="4" spans="1:40" s="184" customFormat="1" ht="30">
      <c r="A4" s="169" t="s">
        <v>25</v>
      </c>
      <c r="B4" s="169" t="s">
        <v>107</v>
      </c>
      <c r="C4" s="169" t="s">
        <v>108</v>
      </c>
      <c r="D4" s="169" t="s">
        <v>20</v>
      </c>
      <c r="E4" s="169" t="s">
        <v>1</v>
      </c>
      <c r="F4" s="169" t="s">
        <v>109</v>
      </c>
      <c r="G4" s="169" t="s">
        <v>5</v>
      </c>
      <c r="H4" s="169" t="s">
        <v>110</v>
      </c>
      <c r="I4" s="169" t="s">
        <v>61</v>
      </c>
      <c r="J4" s="169" t="s">
        <v>100</v>
      </c>
      <c r="K4" s="169" t="s">
        <v>22</v>
      </c>
      <c r="L4" s="169" t="s">
        <v>23</v>
      </c>
      <c r="M4" s="169" t="s">
        <v>111</v>
      </c>
      <c r="N4" s="170" t="s">
        <v>17</v>
      </c>
      <c r="O4" s="170" t="s">
        <v>2</v>
      </c>
      <c r="P4" s="170" t="s">
        <v>17</v>
      </c>
      <c r="Q4" s="170" t="s">
        <v>2</v>
      </c>
      <c r="R4" s="170" t="s">
        <v>17</v>
      </c>
      <c r="S4" s="170" t="s">
        <v>2</v>
      </c>
      <c r="T4" s="170" t="s">
        <v>17</v>
      </c>
      <c r="U4" s="170" t="s">
        <v>2</v>
      </c>
      <c r="V4" s="170" t="s">
        <v>17</v>
      </c>
      <c r="W4" s="170" t="s">
        <v>2</v>
      </c>
      <c r="X4" s="171" t="s">
        <v>90</v>
      </c>
      <c r="Y4" s="171" t="s">
        <v>91</v>
      </c>
      <c r="Z4" s="171" t="s">
        <v>90</v>
      </c>
      <c r="AA4" s="171" t="s">
        <v>80</v>
      </c>
      <c r="AB4" s="172" t="s">
        <v>82</v>
      </c>
      <c r="AC4" s="172" t="s">
        <v>92</v>
      </c>
      <c r="AD4" s="173" t="s">
        <v>90</v>
      </c>
      <c r="AE4" s="173" t="s">
        <v>91</v>
      </c>
      <c r="AF4" s="173" t="s">
        <v>90</v>
      </c>
      <c r="AG4" s="173" t="s">
        <v>93</v>
      </c>
      <c r="AH4" s="173" t="s">
        <v>80</v>
      </c>
      <c r="AI4" s="174" t="s">
        <v>17</v>
      </c>
      <c r="AJ4" s="174" t="s">
        <v>2</v>
      </c>
      <c r="AK4" s="174" t="s">
        <v>17</v>
      </c>
      <c r="AL4" s="174" t="s">
        <v>2</v>
      </c>
      <c r="AM4" s="174" t="s">
        <v>17</v>
      </c>
      <c r="AN4" s="174" t="s">
        <v>2</v>
      </c>
    </row>
    <row r="5" spans="1:40" s="184" customFormat="1" ht="15">
      <c r="A5" s="185" t="s">
        <v>113</v>
      </c>
      <c r="B5" s="185">
        <v>114</v>
      </c>
      <c r="C5" s="185">
        <v>14.9</v>
      </c>
      <c r="D5" s="185" t="s">
        <v>112</v>
      </c>
      <c r="E5" s="176">
        <v>42479</v>
      </c>
      <c r="F5" s="177" t="s">
        <v>97</v>
      </c>
      <c r="G5" s="22">
        <v>1144</v>
      </c>
      <c r="H5" s="21">
        <v>90014</v>
      </c>
      <c r="I5" s="21">
        <v>1795001</v>
      </c>
      <c r="J5" s="178">
        <v>364</v>
      </c>
      <c r="K5" s="21">
        <v>53</v>
      </c>
      <c r="L5" s="142">
        <v>3.28</v>
      </c>
      <c r="M5" s="22">
        <v>15</v>
      </c>
      <c r="N5" s="179" t="s">
        <v>115</v>
      </c>
      <c r="O5" s="23" t="s">
        <v>116</v>
      </c>
      <c r="P5" s="23" t="s">
        <v>117</v>
      </c>
      <c r="Q5" s="23" t="s">
        <v>118</v>
      </c>
      <c r="R5" s="23" t="s">
        <v>119</v>
      </c>
      <c r="S5" s="23" t="s">
        <v>120</v>
      </c>
      <c r="T5" s="22" t="s">
        <v>121</v>
      </c>
      <c r="U5" s="22" t="s">
        <v>122</v>
      </c>
      <c r="V5" s="22" t="s">
        <v>123</v>
      </c>
      <c r="W5" s="179" t="s">
        <v>122</v>
      </c>
      <c r="X5" s="180">
        <v>890</v>
      </c>
      <c r="Y5" s="180">
        <v>800</v>
      </c>
      <c r="Z5" s="180">
        <v>920</v>
      </c>
      <c r="AA5" s="180">
        <v>165</v>
      </c>
      <c r="AB5" s="186">
        <v>0.18</v>
      </c>
      <c r="AC5" s="180">
        <v>1420</v>
      </c>
      <c r="AD5" s="185">
        <v>670</v>
      </c>
      <c r="AE5" s="185">
        <v>555</v>
      </c>
      <c r="AF5" s="185">
        <v>680</v>
      </c>
      <c r="AG5" s="185">
        <v>680</v>
      </c>
      <c r="AH5" s="180">
        <v>165</v>
      </c>
      <c r="AI5" s="23"/>
      <c r="AJ5" s="23"/>
      <c r="AK5" s="23"/>
      <c r="AL5" s="23"/>
      <c r="AM5" s="23"/>
      <c r="AN5" s="23"/>
    </row>
    <row r="6" spans="1:40" s="184" customFormat="1" ht="15">
      <c r="A6" s="185" t="s">
        <v>113</v>
      </c>
      <c r="B6" s="185">
        <v>114</v>
      </c>
      <c r="C6" s="185">
        <v>14.9</v>
      </c>
      <c r="D6" s="185" t="s">
        <v>112</v>
      </c>
      <c r="E6" s="176">
        <v>42479</v>
      </c>
      <c r="F6" s="177" t="s">
        <v>97</v>
      </c>
      <c r="G6" s="22">
        <v>1144</v>
      </c>
      <c r="H6" s="21">
        <v>90014</v>
      </c>
      <c r="I6" s="21">
        <v>1795001</v>
      </c>
      <c r="J6" s="178">
        <v>364</v>
      </c>
      <c r="K6" s="21">
        <v>53</v>
      </c>
      <c r="L6" s="142">
        <v>3.28</v>
      </c>
      <c r="M6" s="22">
        <v>25</v>
      </c>
      <c r="N6" s="179" t="s">
        <v>126</v>
      </c>
      <c r="O6" s="23" t="s">
        <v>127</v>
      </c>
      <c r="P6" s="23" t="s">
        <v>124</v>
      </c>
      <c r="Q6" s="23" t="s">
        <v>125</v>
      </c>
      <c r="R6" s="23"/>
      <c r="S6" s="23"/>
      <c r="T6" s="22" t="s">
        <v>128</v>
      </c>
      <c r="U6" s="22" t="s">
        <v>129</v>
      </c>
      <c r="V6" s="22" t="s">
        <v>130</v>
      </c>
      <c r="W6" s="179" t="s">
        <v>131</v>
      </c>
      <c r="X6" s="180">
        <v>890</v>
      </c>
      <c r="Y6" s="180">
        <v>800</v>
      </c>
      <c r="Z6" s="180">
        <v>920</v>
      </c>
      <c r="AA6" s="180">
        <v>165</v>
      </c>
      <c r="AB6" s="186">
        <v>0.18</v>
      </c>
      <c r="AC6" s="180">
        <v>1420</v>
      </c>
      <c r="AD6" s="185">
        <v>670</v>
      </c>
      <c r="AE6" s="185">
        <v>555</v>
      </c>
      <c r="AF6" s="185">
        <v>680</v>
      </c>
      <c r="AG6" s="185">
        <v>680</v>
      </c>
      <c r="AH6" s="180">
        <v>165</v>
      </c>
      <c r="AI6" s="23"/>
      <c r="AJ6" s="23"/>
      <c r="AK6" s="23"/>
      <c r="AL6" s="23"/>
      <c r="AM6" s="23"/>
      <c r="AN6" s="23"/>
    </row>
    <row r="7" spans="1:40" ht="15">
      <c r="A7" s="183"/>
      <c r="B7" s="183"/>
      <c r="C7" s="183"/>
      <c r="D7" s="183"/>
      <c r="E7" s="176"/>
      <c r="F7" s="177"/>
      <c r="G7" s="22"/>
      <c r="H7" s="21"/>
      <c r="I7" s="21"/>
      <c r="J7" s="142"/>
      <c r="K7" s="21"/>
      <c r="L7" s="142"/>
      <c r="M7" s="22"/>
      <c r="N7" s="179"/>
      <c r="O7" s="23"/>
      <c r="P7" s="23"/>
      <c r="Q7" s="23"/>
      <c r="R7" s="23"/>
      <c r="S7" s="23"/>
      <c r="T7" s="22"/>
      <c r="U7" s="22"/>
      <c r="V7" s="22"/>
      <c r="W7" s="179"/>
      <c r="X7" s="180"/>
      <c r="Y7" s="180"/>
      <c r="Z7" s="181"/>
      <c r="AA7" s="181"/>
      <c r="AB7" s="182"/>
      <c r="AC7" s="181"/>
      <c r="AD7" s="175"/>
      <c r="AE7" s="175"/>
      <c r="AF7" s="175"/>
      <c r="AG7" s="175"/>
      <c r="AH7" s="175"/>
      <c r="AI7" s="23"/>
      <c r="AJ7" s="23"/>
      <c r="AK7" s="23"/>
      <c r="AL7" s="23"/>
      <c r="AM7" s="23"/>
      <c r="AN7" s="23"/>
    </row>
    <row r="8" spans="1:40" ht="15">
      <c r="A8" s="183"/>
      <c r="B8" s="183"/>
      <c r="C8" s="183"/>
      <c r="D8" s="183"/>
      <c r="E8" s="176"/>
      <c r="F8" s="177"/>
      <c r="G8" s="22"/>
      <c r="H8" s="21"/>
      <c r="I8" s="21"/>
      <c r="J8" s="142"/>
      <c r="K8" s="21"/>
      <c r="L8" s="142"/>
      <c r="M8" s="22"/>
      <c r="N8" s="179"/>
      <c r="O8" s="23"/>
      <c r="P8" s="23"/>
      <c r="Q8" s="23"/>
      <c r="R8" s="23"/>
      <c r="S8" s="23"/>
      <c r="T8" s="22"/>
      <c r="U8" s="22"/>
      <c r="V8" s="22"/>
      <c r="W8" s="179"/>
      <c r="X8" s="180"/>
      <c r="Y8" s="180"/>
      <c r="Z8" s="181"/>
      <c r="AA8" s="181"/>
      <c r="AB8" s="182"/>
      <c r="AC8" s="181"/>
      <c r="AD8" s="175"/>
      <c r="AE8" s="175"/>
      <c r="AF8" s="175"/>
      <c r="AG8" s="175"/>
      <c r="AH8" s="175"/>
      <c r="AI8" s="23"/>
      <c r="AJ8" s="23"/>
      <c r="AK8" s="23"/>
      <c r="AL8" s="23"/>
      <c r="AM8" s="23"/>
      <c r="AN8" s="23"/>
    </row>
    <row r="9" spans="1:40" ht="15">
      <c r="A9" s="183"/>
      <c r="B9" s="183"/>
      <c r="C9" s="183"/>
      <c r="D9" s="183"/>
      <c r="E9" s="176"/>
      <c r="F9" s="177"/>
      <c r="G9" s="22"/>
      <c r="H9" s="21"/>
      <c r="I9" s="21"/>
      <c r="J9" s="142"/>
      <c r="K9" s="21"/>
      <c r="L9" s="142"/>
      <c r="M9" s="22"/>
      <c r="N9" s="179"/>
      <c r="O9" s="23"/>
      <c r="P9" s="23"/>
      <c r="Q9" s="23"/>
      <c r="R9" s="23"/>
      <c r="S9" s="23"/>
      <c r="T9" s="22"/>
      <c r="U9" s="22"/>
      <c r="V9" s="22"/>
      <c r="W9" s="179"/>
      <c r="X9" s="180"/>
      <c r="Y9" s="180"/>
      <c r="Z9" s="181"/>
      <c r="AA9" s="181"/>
      <c r="AB9" s="182"/>
      <c r="AC9" s="181"/>
      <c r="AD9" s="175"/>
      <c r="AE9" s="175"/>
      <c r="AF9" s="175"/>
      <c r="AG9" s="175"/>
      <c r="AH9" s="175"/>
      <c r="AI9" s="23"/>
      <c r="AJ9" s="23"/>
      <c r="AK9" s="23"/>
      <c r="AL9" s="23"/>
      <c r="AM9" s="23"/>
      <c r="AN9" s="23"/>
    </row>
    <row r="10" spans="1:40" ht="15">
      <c r="A10" s="183"/>
      <c r="B10" s="183"/>
      <c r="C10" s="183"/>
      <c r="D10" s="183"/>
      <c r="E10" s="176"/>
      <c r="F10" s="177"/>
      <c r="G10" s="22"/>
      <c r="H10" s="21"/>
      <c r="I10" s="21"/>
      <c r="J10" s="142"/>
      <c r="K10" s="21"/>
      <c r="L10" s="142"/>
      <c r="M10" s="22"/>
      <c r="N10" s="179"/>
      <c r="O10" s="23"/>
      <c r="P10" s="23"/>
      <c r="Q10" s="23"/>
      <c r="R10" s="23"/>
      <c r="S10" s="23"/>
      <c r="T10" s="22"/>
      <c r="U10" s="22"/>
      <c r="V10" s="22"/>
      <c r="W10" s="179"/>
      <c r="X10" s="180"/>
      <c r="Y10" s="180"/>
      <c r="Z10" s="181"/>
      <c r="AA10" s="181"/>
      <c r="AB10" s="182"/>
      <c r="AC10" s="181"/>
      <c r="AD10" s="175"/>
      <c r="AE10" s="175"/>
      <c r="AF10" s="175"/>
      <c r="AG10" s="175"/>
      <c r="AH10" s="175"/>
      <c r="AI10" s="23"/>
      <c r="AJ10" s="23"/>
      <c r="AK10" s="23"/>
      <c r="AL10" s="23"/>
      <c r="AM10" s="23"/>
      <c r="AN10" s="23"/>
    </row>
    <row r="11" spans="1:40" ht="15">
      <c r="A11" s="183"/>
      <c r="B11" s="183"/>
      <c r="C11" s="183"/>
      <c r="D11" s="183"/>
      <c r="E11" s="176"/>
      <c r="F11" s="177"/>
      <c r="G11" s="22"/>
      <c r="H11" s="21"/>
      <c r="I11" s="21"/>
      <c r="J11" s="22"/>
      <c r="K11" s="21"/>
      <c r="L11" s="22"/>
      <c r="M11" s="22"/>
      <c r="N11" s="179"/>
      <c r="O11" s="23"/>
      <c r="P11" s="23"/>
      <c r="Q11" s="23"/>
      <c r="R11" s="23"/>
      <c r="S11" s="23"/>
      <c r="T11" s="22"/>
      <c r="U11" s="22"/>
      <c r="V11" s="22"/>
      <c r="W11" s="179"/>
      <c r="X11" s="180"/>
      <c r="Y11" s="180"/>
      <c r="Z11" s="181"/>
      <c r="AA11" s="181"/>
      <c r="AB11" s="182"/>
      <c r="AC11" s="181"/>
      <c r="AD11" s="175"/>
      <c r="AE11" s="175"/>
      <c r="AF11" s="175"/>
      <c r="AG11" s="175"/>
      <c r="AH11" s="175"/>
      <c r="AI11" s="23"/>
      <c r="AJ11" s="23"/>
      <c r="AK11" s="23"/>
      <c r="AL11" s="23"/>
      <c r="AM11" s="23"/>
      <c r="AN11" s="23"/>
    </row>
    <row r="12" spans="1:40" ht="15">
      <c r="A12" s="183"/>
      <c r="B12" s="183"/>
      <c r="C12" s="183"/>
      <c r="D12" s="183"/>
      <c r="E12" s="176"/>
      <c r="F12" s="177"/>
      <c r="G12" s="22"/>
      <c r="H12" s="21"/>
      <c r="I12" s="21"/>
      <c r="J12" s="22"/>
      <c r="K12" s="21"/>
      <c r="L12" s="22"/>
      <c r="M12" s="22"/>
      <c r="N12" s="179"/>
      <c r="O12" s="23"/>
      <c r="P12" s="23"/>
      <c r="Q12" s="23"/>
      <c r="R12" s="23"/>
      <c r="S12" s="23"/>
      <c r="T12" s="22"/>
      <c r="U12" s="22"/>
      <c r="V12" s="22"/>
      <c r="W12" s="179"/>
      <c r="X12" s="180"/>
      <c r="Y12" s="180"/>
      <c r="Z12" s="181"/>
      <c r="AA12" s="181"/>
      <c r="AB12" s="182"/>
      <c r="AC12" s="181"/>
      <c r="AD12" s="175"/>
      <c r="AE12" s="175"/>
      <c r="AF12" s="175"/>
      <c r="AG12" s="175"/>
      <c r="AH12" s="175"/>
      <c r="AI12" s="23"/>
      <c r="AJ12" s="23"/>
      <c r="AK12" s="23"/>
      <c r="AL12" s="23"/>
      <c r="AM12" s="23"/>
      <c r="AN12" s="23"/>
    </row>
    <row r="13" spans="1:40" ht="15">
      <c r="A13" s="183"/>
      <c r="B13" s="183"/>
      <c r="C13" s="183"/>
      <c r="D13" s="183"/>
      <c r="E13" s="176"/>
      <c r="F13" s="177"/>
      <c r="G13" s="22"/>
      <c r="H13" s="21"/>
      <c r="I13" s="21"/>
      <c r="J13" s="22"/>
      <c r="K13" s="21"/>
      <c r="L13" s="22"/>
      <c r="M13" s="22"/>
      <c r="N13" s="179"/>
      <c r="O13" s="23"/>
      <c r="P13" s="23"/>
      <c r="Q13" s="23"/>
      <c r="R13" s="23"/>
      <c r="S13" s="23"/>
      <c r="T13" s="22"/>
      <c r="U13" s="22"/>
      <c r="V13" s="22"/>
      <c r="W13" s="179"/>
      <c r="X13" s="180"/>
      <c r="Y13" s="180"/>
      <c r="Z13" s="181"/>
      <c r="AA13" s="181"/>
      <c r="AB13" s="182"/>
      <c r="AC13" s="181"/>
      <c r="AD13" s="175"/>
      <c r="AE13" s="175"/>
      <c r="AF13" s="175"/>
      <c r="AG13" s="175"/>
      <c r="AH13" s="175"/>
      <c r="AI13" s="23"/>
      <c r="AJ13" s="23"/>
      <c r="AK13" s="23"/>
      <c r="AL13" s="23"/>
      <c r="AM13" s="23"/>
      <c r="AN13" s="23"/>
    </row>
    <row r="14" spans="1:40" ht="15">
      <c r="A14" s="183"/>
      <c r="B14" s="183"/>
      <c r="C14" s="183"/>
      <c r="D14" s="183"/>
      <c r="E14" s="176"/>
      <c r="F14" s="177"/>
      <c r="G14" s="22"/>
      <c r="H14" s="21"/>
      <c r="I14" s="21"/>
      <c r="J14" s="142"/>
      <c r="K14" s="21"/>
      <c r="L14" s="142"/>
      <c r="M14" s="22"/>
      <c r="N14" s="179"/>
      <c r="O14" s="23"/>
      <c r="P14" s="23"/>
      <c r="Q14" s="23"/>
      <c r="R14" s="23"/>
      <c r="S14" s="23"/>
      <c r="T14" s="22"/>
      <c r="U14" s="22"/>
      <c r="V14" s="22"/>
      <c r="W14" s="179"/>
      <c r="X14" s="180"/>
      <c r="Y14" s="180"/>
      <c r="Z14" s="181"/>
      <c r="AA14" s="181"/>
      <c r="AB14" s="182"/>
      <c r="AC14" s="181"/>
      <c r="AD14" s="175"/>
      <c r="AE14" s="175"/>
      <c r="AF14" s="175"/>
      <c r="AG14" s="175"/>
      <c r="AH14" s="175"/>
      <c r="AI14" s="23"/>
      <c r="AJ14" s="23"/>
      <c r="AK14" s="23"/>
      <c r="AL14" s="23"/>
      <c r="AM14" s="23"/>
      <c r="AN14" s="23"/>
    </row>
    <row r="15" spans="1:40" ht="15">
      <c r="A15" s="183"/>
      <c r="B15" s="183"/>
      <c r="C15" s="183"/>
      <c r="D15" s="183"/>
      <c r="E15" s="176"/>
      <c r="F15" s="177"/>
      <c r="G15" s="22"/>
      <c r="H15" s="21"/>
      <c r="I15" s="21"/>
      <c r="J15" s="142"/>
      <c r="K15" s="21"/>
      <c r="L15" s="142"/>
      <c r="M15" s="22"/>
      <c r="N15" s="179"/>
      <c r="O15" s="23"/>
      <c r="P15" s="23"/>
      <c r="Q15" s="23"/>
      <c r="R15" s="23"/>
      <c r="S15" s="23"/>
      <c r="T15" s="22"/>
      <c r="U15" s="22"/>
      <c r="V15" s="22"/>
      <c r="W15" s="179"/>
      <c r="X15" s="180"/>
      <c r="Y15" s="180"/>
      <c r="Z15" s="181"/>
      <c r="AA15" s="181"/>
      <c r="AB15" s="182"/>
      <c r="AC15" s="181"/>
      <c r="AD15" s="175"/>
      <c r="AE15" s="175"/>
      <c r="AF15" s="175"/>
      <c r="AG15" s="175"/>
      <c r="AH15" s="175"/>
      <c r="AI15" s="23"/>
      <c r="AJ15" s="23"/>
      <c r="AK15" s="23"/>
      <c r="AL15" s="23"/>
      <c r="AM15" s="23"/>
      <c r="AN15" s="23"/>
    </row>
    <row r="16" spans="1:40" ht="15">
      <c r="A16" s="183"/>
      <c r="B16" s="183"/>
      <c r="C16" s="183"/>
      <c r="D16" s="183"/>
      <c r="E16" s="176"/>
      <c r="F16" s="177"/>
      <c r="G16" s="22"/>
      <c r="H16" s="21"/>
      <c r="I16" s="21"/>
      <c r="J16" s="142"/>
      <c r="K16" s="21"/>
      <c r="L16" s="142"/>
      <c r="M16" s="22"/>
      <c r="N16" s="179"/>
      <c r="O16" s="23"/>
      <c r="P16" s="23"/>
      <c r="Q16" s="23"/>
      <c r="R16" s="23"/>
      <c r="S16" s="23"/>
      <c r="T16" s="22"/>
      <c r="U16" s="22"/>
      <c r="V16" s="22"/>
      <c r="W16" s="179"/>
      <c r="X16" s="180"/>
      <c r="Y16" s="180"/>
      <c r="Z16" s="181"/>
      <c r="AA16" s="181"/>
      <c r="AB16" s="182"/>
      <c r="AC16" s="181"/>
      <c r="AD16" s="175"/>
      <c r="AE16" s="175"/>
      <c r="AF16" s="175"/>
      <c r="AG16" s="175"/>
      <c r="AH16" s="175"/>
      <c r="AI16" s="23"/>
      <c r="AJ16" s="23"/>
      <c r="AK16" s="23"/>
      <c r="AL16" s="23"/>
      <c r="AM16" s="23"/>
      <c r="AN16" s="23"/>
    </row>
    <row r="17" spans="1:40" ht="15">
      <c r="A17" s="183"/>
      <c r="B17" s="183"/>
      <c r="C17" s="183"/>
      <c r="D17" s="183"/>
      <c r="E17" s="176"/>
      <c r="F17" s="177"/>
      <c r="G17" s="22"/>
      <c r="H17" s="21"/>
      <c r="I17" s="21"/>
      <c r="J17" s="142"/>
      <c r="K17" s="21"/>
      <c r="L17" s="142"/>
      <c r="M17" s="22"/>
      <c r="N17" s="179"/>
      <c r="O17" s="23"/>
      <c r="P17" s="23"/>
      <c r="Q17" s="23"/>
      <c r="R17" s="23"/>
      <c r="S17" s="23"/>
      <c r="T17" s="22"/>
      <c r="U17" s="22"/>
      <c r="V17" s="22"/>
      <c r="W17" s="179"/>
      <c r="X17" s="180"/>
      <c r="Y17" s="180"/>
      <c r="Z17" s="181"/>
      <c r="AA17" s="181"/>
      <c r="AB17" s="182"/>
      <c r="AC17" s="181"/>
      <c r="AD17" s="175"/>
      <c r="AE17" s="175"/>
      <c r="AF17" s="175"/>
      <c r="AG17" s="175"/>
      <c r="AH17" s="175"/>
      <c r="AI17" s="183"/>
      <c r="AJ17" s="183"/>
      <c r="AK17" s="183"/>
      <c r="AL17" s="183"/>
      <c r="AM17" s="183"/>
      <c r="AN17" s="183"/>
    </row>
    <row r="18" spans="1:40" ht="15">
      <c r="A18" s="183"/>
      <c r="B18" s="183"/>
      <c r="C18" s="183"/>
      <c r="D18" s="183"/>
      <c r="E18" s="176"/>
      <c r="F18" s="177"/>
      <c r="G18" s="22"/>
      <c r="H18" s="21"/>
      <c r="I18" s="21"/>
      <c r="J18" s="142"/>
      <c r="K18" s="21"/>
      <c r="L18" s="142"/>
      <c r="M18" s="22"/>
      <c r="N18" s="179"/>
      <c r="O18" s="23"/>
      <c r="P18" s="23"/>
      <c r="Q18" s="23"/>
      <c r="R18" s="23"/>
      <c r="S18" s="23"/>
      <c r="T18" s="22"/>
      <c r="U18" s="22"/>
      <c r="V18" s="22"/>
      <c r="W18" s="179"/>
      <c r="X18" s="180"/>
      <c r="Y18" s="180"/>
      <c r="Z18" s="181"/>
      <c r="AA18" s="181"/>
      <c r="AB18" s="182"/>
      <c r="AC18" s="181"/>
      <c r="AD18" s="175"/>
      <c r="AE18" s="175"/>
      <c r="AF18" s="175"/>
      <c r="AG18" s="175"/>
      <c r="AH18" s="175"/>
      <c r="AI18" s="183"/>
      <c r="AJ18" s="183"/>
      <c r="AK18" s="183"/>
      <c r="AL18" s="183"/>
      <c r="AM18" s="183"/>
      <c r="AN18" s="183"/>
    </row>
    <row r="19" spans="1:40" ht="15">
      <c r="A19" s="183"/>
      <c r="B19" s="183"/>
      <c r="C19" s="183"/>
      <c r="D19" s="183"/>
      <c r="E19" s="176"/>
      <c r="F19" s="177"/>
      <c r="G19" s="22"/>
      <c r="H19" s="21"/>
      <c r="I19" s="21"/>
      <c r="J19" s="22"/>
      <c r="K19" s="21"/>
      <c r="L19" s="22"/>
      <c r="M19" s="22"/>
      <c r="N19" s="179"/>
      <c r="O19" s="23"/>
      <c r="P19" s="23"/>
      <c r="Q19" s="23"/>
      <c r="R19" s="23"/>
      <c r="S19" s="23"/>
      <c r="T19" s="22"/>
      <c r="U19" s="22"/>
      <c r="V19" s="22"/>
      <c r="W19" s="179"/>
      <c r="X19" s="180"/>
      <c r="Y19" s="180"/>
      <c r="Z19" s="181"/>
      <c r="AA19" s="181"/>
      <c r="AB19" s="182"/>
      <c r="AC19" s="181"/>
      <c r="AD19" s="175"/>
      <c r="AE19" s="175"/>
      <c r="AF19" s="175"/>
      <c r="AG19" s="175"/>
      <c r="AH19" s="175"/>
      <c r="AI19" s="183"/>
      <c r="AJ19" s="183"/>
      <c r="AK19" s="183"/>
      <c r="AL19" s="183"/>
      <c r="AM19" s="183"/>
      <c r="AN19" s="183"/>
    </row>
    <row r="20" spans="1:40" ht="15">
      <c r="A20" s="183"/>
      <c r="B20" s="183"/>
      <c r="C20" s="183"/>
      <c r="D20" s="183"/>
      <c r="E20" s="176"/>
      <c r="F20" s="177"/>
      <c r="G20" s="22"/>
      <c r="H20" s="21"/>
      <c r="I20" s="21"/>
      <c r="J20" s="22"/>
      <c r="K20" s="21"/>
      <c r="L20" s="22"/>
      <c r="M20" s="22"/>
      <c r="N20" s="179"/>
      <c r="O20" s="23"/>
      <c r="P20" s="23"/>
      <c r="Q20" s="23"/>
      <c r="R20" s="23"/>
      <c r="S20" s="23"/>
      <c r="T20" s="22"/>
      <c r="U20" s="22"/>
      <c r="V20" s="22"/>
      <c r="W20" s="179"/>
      <c r="X20" s="180"/>
      <c r="Y20" s="180"/>
      <c r="Z20" s="181"/>
      <c r="AA20" s="181"/>
      <c r="AB20" s="182"/>
      <c r="AC20" s="181"/>
      <c r="AD20" s="175"/>
      <c r="AE20" s="175"/>
      <c r="AF20" s="175"/>
      <c r="AG20" s="175"/>
      <c r="AH20" s="175"/>
      <c r="AI20" s="183"/>
      <c r="AJ20" s="183"/>
      <c r="AK20" s="183"/>
      <c r="AL20" s="183"/>
      <c r="AM20" s="183"/>
      <c r="AN20" s="183"/>
    </row>
    <row r="21" spans="1:40" ht="15">
      <c r="A21" s="183"/>
      <c r="B21" s="183"/>
      <c r="C21" s="183"/>
      <c r="D21" s="183"/>
      <c r="E21" s="177"/>
      <c r="F21" s="177"/>
      <c r="G21" s="22"/>
      <c r="H21" s="21"/>
      <c r="I21" s="21"/>
      <c r="J21" s="22"/>
      <c r="K21" s="21"/>
      <c r="L21" s="22"/>
      <c r="M21" s="22"/>
      <c r="N21" s="179"/>
      <c r="O21" s="23"/>
      <c r="P21" s="23"/>
      <c r="Q21" s="23"/>
      <c r="R21" s="23"/>
      <c r="S21" s="23"/>
      <c r="T21" s="22"/>
      <c r="U21" s="22"/>
      <c r="V21" s="22"/>
      <c r="W21" s="179"/>
      <c r="X21" s="183"/>
      <c r="Y21" s="183"/>
      <c r="Z21" s="183"/>
      <c r="AA21" s="183"/>
      <c r="AB21" s="183"/>
      <c r="AC21" s="183"/>
      <c r="AD21" s="183"/>
      <c r="AE21" s="183"/>
      <c r="AF21" s="183"/>
      <c r="AG21" s="183"/>
      <c r="AH21" s="183"/>
      <c r="AI21" s="183"/>
      <c r="AJ21" s="183"/>
      <c r="AK21" s="183"/>
      <c r="AL21" s="183"/>
      <c r="AM21" s="183"/>
      <c r="AN21" s="183"/>
    </row>
    <row r="22" spans="1:40" ht="15">
      <c r="A22" s="183"/>
      <c r="B22" s="183"/>
      <c r="C22" s="183"/>
      <c r="D22" s="183"/>
      <c r="E22" s="177"/>
      <c r="F22" s="177"/>
      <c r="G22" s="22"/>
      <c r="H22" s="21"/>
      <c r="I22" s="21"/>
      <c r="J22" s="22"/>
      <c r="K22" s="21"/>
      <c r="L22" s="22"/>
      <c r="M22" s="22"/>
      <c r="N22" s="179"/>
      <c r="O22" s="23"/>
      <c r="P22" s="23"/>
      <c r="Q22" s="23"/>
      <c r="R22" s="23"/>
      <c r="S22" s="23"/>
      <c r="T22" s="22"/>
      <c r="U22" s="22"/>
      <c r="V22" s="22"/>
      <c r="W22" s="179"/>
      <c r="X22" s="183"/>
      <c r="Y22" s="183"/>
      <c r="Z22" s="183"/>
      <c r="AA22" s="183"/>
      <c r="AB22" s="183"/>
      <c r="AC22" s="183"/>
      <c r="AD22" s="183"/>
      <c r="AE22" s="183"/>
      <c r="AF22" s="183"/>
      <c r="AG22" s="183"/>
      <c r="AH22" s="183"/>
      <c r="AI22" s="183"/>
      <c r="AJ22" s="183"/>
      <c r="AK22" s="183"/>
      <c r="AL22" s="183"/>
      <c r="AM22" s="183"/>
      <c r="AN22" s="183"/>
    </row>
    <row r="23" spans="1:40" ht="15">
      <c r="A23" s="183"/>
      <c r="B23" s="183"/>
      <c r="C23" s="183"/>
      <c r="D23" s="183"/>
      <c r="E23" s="177"/>
      <c r="F23" s="177"/>
      <c r="G23" s="22"/>
      <c r="H23" s="21"/>
      <c r="I23" s="21"/>
      <c r="J23" s="22"/>
      <c r="K23" s="21"/>
      <c r="L23" s="22"/>
      <c r="M23" s="22"/>
      <c r="N23" s="179"/>
      <c r="O23" s="23"/>
      <c r="P23" s="23"/>
      <c r="Q23" s="23"/>
      <c r="R23" s="23"/>
      <c r="S23" s="23"/>
      <c r="T23" s="22"/>
      <c r="U23" s="22"/>
      <c r="V23" s="22"/>
      <c r="W23" s="179"/>
      <c r="X23" s="183"/>
      <c r="Y23" s="183"/>
      <c r="Z23" s="183"/>
      <c r="AA23" s="183"/>
      <c r="AB23" s="183"/>
      <c r="AC23" s="183"/>
      <c r="AD23" s="183"/>
      <c r="AE23" s="183"/>
      <c r="AF23" s="183"/>
      <c r="AG23" s="183"/>
      <c r="AH23" s="183"/>
      <c r="AI23" s="23"/>
      <c r="AJ23" s="23"/>
      <c r="AK23" s="23"/>
      <c r="AL23" s="23"/>
      <c r="AM23" s="23"/>
      <c r="AN23" s="23"/>
    </row>
    <row r="24" spans="1:40" ht="15">
      <c r="A24" s="183"/>
      <c r="B24" s="183"/>
      <c r="C24" s="183"/>
      <c r="D24" s="183"/>
      <c r="E24" s="177"/>
      <c r="F24" s="177"/>
      <c r="G24" s="22"/>
      <c r="H24" s="21"/>
      <c r="I24" s="21"/>
      <c r="J24" s="22"/>
      <c r="K24" s="21"/>
      <c r="L24" s="22"/>
      <c r="M24" s="22"/>
      <c r="N24" s="179"/>
      <c r="O24" s="23"/>
      <c r="P24" s="23"/>
      <c r="Q24" s="23"/>
      <c r="R24" s="23"/>
      <c r="S24" s="23"/>
      <c r="T24" s="22"/>
      <c r="U24" s="22"/>
      <c r="V24" s="22"/>
      <c r="W24" s="179"/>
      <c r="X24" s="183"/>
      <c r="Y24" s="183"/>
      <c r="Z24" s="183"/>
      <c r="AA24" s="183"/>
      <c r="AB24" s="183"/>
      <c r="AC24" s="183"/>
      <c r="AD24" s="183"/>
      <c r="AE24" s="183"/>
      <c r="AF24" s="183"/>
      <c r="AG24" s="183"/>
      <c r="AH24" s="183"/>
      <c r="AI24" s="23"/>
      <c r="AJ24" s="23"/>
      <c r="AK24" s="23"/>
      <c r="AL24" s="23"/>
      <c r="AM24" s="23"/>
      <c r="AN24" s="23"/>
    </row>
    <row r="25" spans="1:40" ht="15">
      <c r="A25" s="183"/>
      <c r="B25" s="183"/>
      <c r="C25" s="183"/>
      <c r="D25" s="183"/>
      <c r="E25" s="177"/>
      <c r="F25" s="177"/>
      <c r="G25" s="22"/>
      <c r="H25" s="21"/>
      <c r="I25" s="21"/>
      <c r="J25" s="22"/>
      <c r="K25" s="21"/>
      <c r="L25" s="22"/>
      <c r="M25" s="22"/>
      <c r="N25" s="179"/>
      <c r="O25" s="23"/>
      <c r="P25" s="23"/>
      <c r="Q25" s="23"/>
      <c r="R25" s="23"/>
      <c r="S25" s="23"/>
      <c r="T25" s="22"/>
      <c r="U25" s="22"/>
      <c r="V25" s="22"/>
      <c r="W25" s="179"/>
      <c r="X25" s="183"/>
      <c r="Y25" s="183"/>
      <c r="Z25" s="183"/>
      <c r="AA25" s="183"/>
      <c r="AB25" s="183"/>
      <c r="AC25" s="183"/>
      <c r="AD25" s="183"/>
      <c r="AE25" s="183"/>
      <c r="AF25" s="183"/>
      <c r="AG25" s="183"/>
      <c r="AH25" s="183"/>
      <c r="AI25" s="23"/>
      <c r="AJ25" s="23"/>
      <c r="AK25" s="23"/>
      <c r="AL25" s="23"/>
      <c r="AM25" s="23"/>
      <c r="AN25" s="23"/>
    </row>
  </sheetData>
  <protectedRanges>
    <protectedRange sqref="H5:I41 K5:K41" name="Rango1_1"/>
  </protectedRanges>
  <autoFilter ref="A4:AN4"/>
  <mergeCells count="17">
    <mergeCell ref="AF3:AG3"/>
    <mergeCell ref="AD3:AE3"/>
    <mergeCell ref="AB2:AC2"/>
    <mergeCell ref="X2:AA2"/>
    <mergeCell ref="AD2:AH2"/>
    <mergeCell ref="X3:Y3"/>
    <mergeCell ref="P2:U2"/>
    <mergeCell ref="V2:W2"/>
    <mergeCell ref="F1:M1"/>
    <mergeCell ref="F2:M2"/>
    <mergeCell ref="F3:M3"/>
    <mergeCell ref="T3:U3"/>
    <mergeCell ref="V3:W3"/>
    <mergeCell ref="N2:O2"/>
    <mergeCell ref="N3:O3"/>
    <mergeCell ref="P3:Q3"/>
    <mergeCell ref="R3:S3"/>
  </mergeCells>
  <phoneticPr fontId="0" type="noConversion"/>
  <conditionalFormatting sqref="E5:F20">
    <cfRule type="expression" dxfId="17" priority="71" stopIfTrue="1">
      <formula>"SEVERSTAL"</formula>
    </cfRule>
  </conditionalFormatting>
  <conditionalFormatting sqref="H21:I25 H19:H20 H5:I13 K5:K13 K19:K25">
    <cfRule type="cellIs" dxfId="16" priority="72" stopIfTrue="1" operator="equal">
      <formula>"APROBADO"</formula>
    </cfRule>
    <cfRule type="cellIs" dxfId="15" priority="73" stopIfTrue="1" operator="equal">
      <formula>"ESPERA"</formula>
    </cfRule>
    <cfRule type="cellIs" dxfId="14" priority="74" stopIfTrue="1" operator="equal">
      <formula>"RECHAZADO"</formula>
    </cfRule>
  </conditionalFormatting>
  <conditionalFormatting sqref="E21:F25">
    <cfRule type="expression" dxfId="13" priority="12" stopIfTrue="1">
      <formula>"SEVERSTAL"</formula>
    </cfRule>
  </conditionalFormatting>
  <conditionalFormatting sqref="H14:I18 I19:I20 K14:K18">
    <cfRule type="cellIs" dxfId="12" priority="1" stopIfTrue="1" operator="equal">
      <formula>"APROBADO"</formula>
    </cfRule>
    <cfRule type="cellIs" dxfId="11" priority="2" stopIfTrue="1" operator="equal">
      <formula>"ESPERA"</formula>
    </cfRule>
    <cfRule type="cellIs" dxfId="10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pageSetUpPr autoPageBreaks="0"/>
  </sheetPr>
  <dimension ref="A1:AG51"/>
  <sheetViews>
    <sheetView showGridLines="0" zoomScale="90" zoomScaleNormal="90" workbookViewId="0">
      <pane xSplit="7" ySplit="6" topLeftCell="H7" activePane="bottomRight" state="frozen"/>
      <selection pane="topRight" activeCell="E1" sqref="E1"/>
      <selection pane="bottomLeft" activeCell="A7" sqref="A7"/>
      <selection pane="bottomRight" activeCell="D3" sqref="D3"/>
    </sheetView>
  </sheetViews>
  <sheetFormatPr baseColWidth="10" defaultRowHeight="14.25" customHeight="1"/>
  <cols>
    <col min="1" max="1" width="12.5" customWidth="1"/>
    <col min="2" max="2" width="7.125" customWidth="1"/>
    <col min="3" max="4" width="12.875" customWidth="1"/>
    <col min="5" max="5" width="9.875" customWidth="1"/>
    <col min="6" max="6" width="8" customWidth="1"/>
    <col min="7" max="7" width="8.75" customWidth="1"/>
    <col min="8" max="8" width="12.75" customWidth="1"/>
    <col min="9" max="9" width="11" customWidth="1"/>
    <col min="10" max="10" width="9.25" customWidth="1"/>
    <col min="11" max="11" width="10.625" customWidth="1"/>
    <col min="12" max="12" width="8.125" customWidth="1"/>
    <col min="13" max="13" width="8.875" customWidth="1"/>
    <col min="14" max="14" width="9" customWidth="1"/>
    <col min="15" max="15" width="9.875" customWidth="1"/>
    <col min="16" max="16" width="10.25" customWidth="1"/>
    <col min="17" max="17" width="9.25" customWidth="1"/>
    <col min="18" max="19" width="5.625" customWidth="1"/>
    <col min="20" max="20" width="9" customWidth="1"/>
    <col min="21" max="22" width="11.5" customWidth="1"/>
    <col min="23" max="23" width="10.25" customWidth="1"/>
    <col min="24" max="29" width="11.75" customWidth="1"/>
    <col min="30" max="30" width="14" customWidth="1"/>
    <col min="31" max="31" width="8.5" customWidth="1"/>
    <col min="33" max="33" width="8.25" customWidth="1"/>
  </cols>
  <sheetData>
    <row r="1" spans="1:33" ht="27" customHeight="1">
      <c r="A1" s="26"/>
      <c r="B1" s="26"/>
      <c r="C1" s="26"/>
      <c r="D1" s="26"/>
      <c r="E1" s="26"/>
      <c r="F1" s="26"/>
      <c r="G1" s="26" t="s">
        <v>58</v>
      </c>
      <c r="H1" s="13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7"/>
      <c r="AG1" s="26"/>
    </row>
    <row r="2" spans="1:33" ht="30.75">
      <c r="A2" s="27"/>
      <c r="B2" s="28"/>
      <c r="C2" s="28"/>
      <c r="D2" s="28"/>
      <c r="E2" s="26"/>
      <c r="F2" s="29"/>
      <c r="G2" s="29"/>
      <c r="H2" s="137"/>
      <c r="I2" s="30"/>
      <c r="J2" s="31" t="s">
        <v>99</v>
      </c>
      <c r="K2" s="31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26"/>
      <c r="X2" s="26"/>
      <c r="Y2" s="26"/>
      <c r="Z2" s="26"/>
      <c r="AA2" s="26"/>
      <c r="AB2" s="26"/>
      <c r="AC2" s="26"/>
      <c r="AD2" s="26"/>
      <c r="AE2" s="26"/>
      <c r="AF2" s="27"/>
      <c r="AG2" s="26"/>
    </row>
    <row r="3" spans="1:33" ht="16.5" customHeight="1">
      <c r="A3" s="32"/>
      <c r="B3" s="32"/>
      <c r="C3" s="32"/>
      <c r="D3" s="32"/>
      <c r="E3" s="47"/>
      <c r="F3" s="214"/>
      <c r="G3" s="214"/>
      <c r="H3" s="138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26"/>
      <c r="X3" s="33"/>
      <c r="Y3" s="33"/>
      <c r="Z3" s="33"/>
      <c r="AA3" s="33"/>
      <c r="AB3" s="33"/>
      <c r="AC3" s="33"/>
      <c r="AD3" s="33"/>
      <c r="AE3" s="34" t="s">
        <v>24</v>
      </c>
      <c r="AF3" s="27" t="s">
        <v>95</v>
      </c>
      <c r="AG3" s="35"/>
    </row>
    <row r="4" spans="1:33" ht="26.25" customHeight="1">
      <c r="A4" s="27"/>
      <c r="B4" s="27"/>
      <c r="C4" s="27"/>
      <c r="D4" s="27"/>
      <c r="E4" s="27"/>
      <c r="F4" s="36"/>
      <c r="G4" s="27"/>
      <c r="H4" s="139">
        <f>56-8</f>
        <v>48</v>
      </c>
      <c r="I4" s="216" t="s">
        <v>59</v>
      </c>
      <c r="J4" s="216"/>
      <c r="K4" s="216"/>
      <c r="L4" s="216"/>
      <c r="M4" s="216"/>
      <c r="N4" s="216"/>
      <c r="O4" s="216"/>
      <c r="P4" s="215" t="s">
        <v>60</v>
      </c>
      <c r="Q4" s="215"/>
      <c r="R4" s="215"/>
      <c r="S4" s="215"/>
      <c r="T4" s="215"/>
      <c r="U4" s="215"/>
      <c r="V4" s="122"/>
      <c r="W4" s="26"/>
      <c r="X4" s="37"/>
      <c r="Y4" s="37"/>
      <c r="Z4" s="37"/>
      <c r="AA4" s="37"/>
      <c r="AB4" s="37"/>
      <c r="AC4" s="37"/>
      <c r="AD4" s="38" t="s">
        <v>55</v>
      </c>
      <c r="AE4" s="39"/>
      <c r="AF4" s="27"/>
      <c r="AG4" s="39"/>
    </row>
    <row r="5" spans="1:33" ht="21" customHeight="1">
      <c r="A5" s="40"/>
      <c r="B5" s="27"/>
      <c r="C5" s="27"/>
      <c r="D5" s="27"/>
      <c r="E5" s="27"/>
      <c r="F5" s="41"/>
      <c r="G5" s="42"/>
      <c r="H5" s="138"/>
      <c r="I5" s="218" t="s">
        <v>8</v>
      </c>
      <c r="J5" s="219"/>
      <c r="K5" s="217" t="s">
        <v>9</v>
      </c>
      <c r="L5" s="218"/>
      <c r="M5" s="218"/>
      <c r="N5" s="218"/>
      <c r="O5" s="219"/>
      <c r="P5" s="217" t="s">
        <v>13</v>
      </c>
      <c r="Q5" s="219"/>
      <c r="R5" s="217" t="s">
        <v>9</v>
      </c>
      <c r="S5" s="218"/>
      <c r="T5" s="218"/>
      <c r="U5" s="218"/>
      <c r="V5" s="123"/>
      <c r="W5" s="43"/>
      <c r="X5" s="37"/>
      <c r="Y5" s="37"/>
      <c r="Z5" s="37"/>
      <c r="AA5" s="37"/>
      <c r="AB5" s="37"/>
      <c r="AC5" s="37"/>
      <c r="AD5" s="38" t="s">
        <v>56</v>
      </c>
      <c r="AE5" s="39"/>
      <c r="AF5" s="27"/>
      <c r="AG5" s="39"/>
    </row>
    <row r="6" spans="1:33" ht="56.25" customHeight="1">
      <c r="A6" s="25" t="s">
        <v>1</v>
      </c>
      <c r="B6" s="25" t="s">
        <v>4</v>
      </c>
      <c r="C6" s="25" t="s">
        <v>61</v>
      </c>
      <c r="D6" s="25" t="s">
        <v>114</v>
      </c>
      <c r="E6" s="25" t="s">
        <v>3</v>
      </c>
      <c r="F6" s="25" t="s">
        <v>5</v>
      </c>
      <c r="G6" s="25" t="s">
        <v>12</v>
      </c>
      <c r="H6" s="140" t="s">
        <v>77</v>
      </c>
      <c r="I6" s="25" t="s">
        <v>7</v>
      </c>
      <c r="J6" s="25" t="s">
        <v>66</v>
      </c>
      <c r="K6" s="25" t="s">
        <v>65</v>
      </c>
      <c r="L6" s="25" t="s">
        <v>10</v>
      </c>
      <c r="M6" s="25" t="s">
        <v>11</v>
      </c>
      <c r="N6" s="25" t="s">
        <v>16</v>
      </c>
      <c r="O6" s="25" t="s">
        <v>67</v>
      </c>
      <c r="P6" s="25" t="s">
        <v>68</v>
      </c>
      <c r="Q6" s="25" t="s">
        <v>7</v>
      </c>
      <c r="R6" s="25" t="s">
        <v>10</v>
      </c>
      <c r="S6" s="25" t="s">
        <v>11</v>
      </c>
      <c r="T6" s="25" t="s">
        <v>16</v>
      </c>
      <c r="U6" s="25" t="s">
        <v>69</v>
      </c>
      <c r="V6" s="25" t="s">
        <v>65</v>
      </c>
      <c r="W6" s="25" t="s">
        <v>0</v>
      </c>
      <c r="X6" s="25" t="s">
        <v>6</v>
      </c>
      <c r="Y6" s="25" t="s">
        <v>54</v>
      </c>
      <c r="Z6" s="25" t="s">
        <v>64</v>
      </c>
      <c r="AA6" s="25" t="s">
        <v>94</v>
      </c>
      <c r="AB6" s="25" t="s">
        <v>76</v>
      </c>
      <c r="AC6" s="25" t="s">
        <v>63</v>
      </c>
      <c r="AD6" s="25" t="s">
        <v>62</v>
      </c>
      <c r="AE6" s="25" t="s">
        <v>53</v>
      </c>
      <c r="AF6" s="24" t="s">
        <v>78</v>
      </c>
      <c r="AG6" s="25" t="s">
        <v>57</v>
      </c>
    </row>
    <row r="7" spans="1:33" ht="15.75">
      <c r="A7" s="135">
        <v>42479</v>
      </c>
      <c r="B7" s="46">
        <v>3</v>
      </c>
      <c r="C7" s="46">
        <v>1795001</v>
      </c>
      <c r="D7" s="177" t="s">
        <v>97</v>
      </c>
      <c r="E7" s="125">
        <v>80116</v>
      </c>
      <c r="F7" s="46">
        <v>1144</v>
      </c>
      <c r="G7" s="126">
        <v>30</v>
      </c>
      <c r="H7" s="141" t="s">
        <v>96</v>
      </c>
      <c r="I7" s="127">
        <v>0</v>
      </c>
      <c r="J7" s="128">
        <v>1</v>
      </c>
      <c r="K7" s="134">
        <v>0</v>
      </c>
      <c r="L7" s="129">
        <v>0</v>
      </c>
      <c r="M7" s="127">
        <v>0</v>
      </c>
      <c r="N7" s="130">
        <v>0</v>
      </c>
      <c r="O7" s="126">
        <v>0</v>
      </c>
      <c r="P7" s="129">
        <v>2</v>
      </c>
      <c r="Q7" s="126">
        <v>0</v>
      </c>
      <c r="R7" s="129">
        <v>0</v>
      </c>
      <c r="S7" s="127">
        <v>0</v>
      </c>
      <c r="T7" s="130">
        <v>0</v>
      </c>
      <c r="U7" s="129">
        <v>1</v>
      </c>
      <c r="V7" s="129">
        <v>0</v>
      </c>
      <c r="W7" s="44">
        <f t="shared" ref="W7" si="0">+G7-(SUM(I7:N7,P7,Q7,R7,S7,T7,V7))</f>
        <v>27</v>
      </c>
      <c r="X7" s="131"/>
      <c r="Y7" s="131"/>
      <c r="Z7" s="131"/>
      <c r="AA7" s="131"/>
      <c r="AB7" s="131"/>
      <c r="AC7" s="131"/>
      <c r="AD7" s="132"/>
      <c r="AE7" s="132"/>
      <c r="AF7" s="133"/>
      <c r="AG7" s="125"/>
    </row>
    <row r="8" spans="1:33" ht="15.75">
      <c r="A8" s="135"/>
      <c r="B8" s="46"/>
      <c r="C8" s="46"/>
      <c r="D8" s="177" t="s">
        <v>97</v>
      </c>
      <c r="E8" s="125"/>
      <c r="F8" s="46"/>
      <c r="G8" s="126"/>
      <c r="H8" s="212"/>
      <c r="I8" s="127"/>
      <c r="J8" s="128"/>
      <c r="K8" s="134"/>
      <c r="L8" s="129"/>
      <c r="M8" s="127"/>
      <c r="N8" s="130"/>
      <c r="O8" s="126"/>
      <c r="P8" s="129"/>
      <c r="Q8" s="126"/>
      <c r="R8" s="129"/>
      <c r="S8" s="127"/>
      <c r="T8" s="130"/>
      <c r="U8" s="129"/>
      <c r="V8" s="129"/>
      <c r="W8" s="44"/>
      <c r="X8" s="131"/>
      <c r="Y8" s="131"/>
      <c r="Z8" s="131"/>
      <c r="AA8" s="131"/>
      <c r="AB8" s="131"/>
      <c r="AC8" s="131"/>
      <c r="AD8" s="132"/>
      <c r="AE8" s="132"/>
      <c r="AF8" s="133"/>
      <c r="AG8" s="125"/>
    </row>
    <row r="9" spans="1:33" ht="15.75">
      <c r="A9" s="135"/>
      <c r="B9" s="46"/>
      <c r="C9" s="46"/>
      <c r="D9" s="46"/>
      <c r="E9" s="125"/>
      <c r="F9" s="46"/>
      <c r="G9" s="126"/>
      <c r="H9" s="213"/>
      <c r="I9" s="127"/>
      <c r="J9" s="128"/>
      <c r="K9" s="134"/>
      <c r="L9" s="129"/>
      <c r="M9" s="127"/>
      <c r="N9" s="130"/>
      <c r="O9" s="126"/>
      <c r="P9" s="129"/>
      <c r="Q9" s="126"/>
      <c r="R9" s="129"/>
      <c r="S9" s="127"/>
      <c r="T9" s="130"/>
      <c r="U9" s="129"/>
      <c r="V9" s="129"/>
      <c r="W9" s="44"/>
      <c r="X9" s="131"/>
      <c r="Y9" s="131"/>
      <c r="Z9" s="131"/>
      <c r="AA9" s="131"/>
      <c r="AB9" s="131"/>
      <c r="AC9" s="131"/>
      <c r="AD9" s="132"/>
      <c r="AE9" s="132"/>
      <c r="AF9" s="133"/>
      <c r="AG9" s="125"/>
    </row>
    <row r="10" spans="1:33" ht="15.75">
      <c r="A10" s="135"/>
      <c r="B10" s="46"/>
      <c r="C10" s="46"/>
      <c r="D10" s="46"/>
      <c r="E10" s="125"/>
      <c r="F10" s="46"/>
      <c r="G10" s="126"/>
      <c r="H10" s="141"/>
      <c r="I10" s="127"/>
      <c r="J10" s="128"/>
      <c r="K10" s="134"/>
      <c r="L10" s="129"/>
      <c r="M10" s="127"/>
      <c r="N10" s="130"/>
      <c r="O10" s="126"/>
      <c r="P10" s="129"/>
      <c r="Q10" s="126"/>
      <c r="R10" s="129"/>
      <c r="S10" s="127"/>
      <c r="T10" s="130"/>
      <c r="U10" s="129"/>
      <c r="V10" s="129"/>
      <c r="W10" s="44"/>
      <c r="X10" s="131"/>
      <c r="Y10" s="131"/>
      <c r="Z10" s="131"/>
      <c r="AA10" s="131"/>
      <c r="AB10" s="131"/>
      <c r="AC10" s="131"/>
      <c r="AD10" s="132"/>
      <c r="AE10" s="132"/>
      <c r="AF10" s="133"/>
      <c r="AG10" s="125"/>
    </row>
    <row r="11" spans="1:33" ht="15.75">
      <c r="A11" s="135"/>
      <c r="B11" s="46"/>
      <c r="C11" s="46"/>
      <c r="D11" s="46"/>
      <c r="E11" s="125"/>
      <c r="F11" s="46"/>
      <c r="G11" s="126"/>
      <c r="H11" s="141"/>
      <c r="I11" s="127"/>
      <c r="J11" s="128"/>
      <c r="K11" s="134"/>
      <c r="L11" s="129"/>
      <c r="M11" s="127"/>
      <c r="N11" s="130"/>
      <c r="O11" s="126"/>
      <c r="P11" s="129"/>
      <c r="Q11" s="126"/>
      <c r="R11" s="129"/>
      <c r="S11" s="127"/>
      <c r="T11" s="130"/>
      <c r="U11" s="129"/>
      <c r="V11" s="129"/>
      <c r="W11" s="44"/>
      <c r="X11" s="131"/>
      <c r="Y11" s="131"/>
      <c r="Z11" s="131"/>
      <c r="AA11" s="131"/>
      <c r="AB11" s="131"/>
      <c r="AC11" s="131"/>
      <c r="AD11" s="132"/>
      <c r="AE11" s="132"/>
      <c r="AF11" s="133"/>
      <c r="AG11" s="125"/>
    </row>
    <row r="12" spans="1:33" ht="15.75">
      <c r="A12" s="135"/>
      <c r="B12" s="46"/>
      <c r="C12" s="46"/>
      <c r="D12" s="46"/>
      <c r="E12" s="125"/>
      <c r="F12" s="46"/>
      <c r="G12" s="126"/>
      <c r="H12" s="141"/>
      <c r="I12" s="127"/>
      <c r="J12" s="128"/>
      <c r="K12" s="134"/>
      <c r="L12" s="129"/>
      <c r="M12" s="127"/>
      <c r="N12" s="130"/>
      <c r="O12" s="126"/>
      <c r="P12" s="129"/>
      <c r="Q12" s="126"/>
      <c r="R12" s="129"/>
      <c r="S12" s="127"/>
      <c r="T12" s="130"/>
      <c r="U12" s="129"/>
      <c r="V12" s="129"/>
      <c r="W12" s="44"/>
      <c r="X12" s="131"/>
      <c r="Y12" s="131"/>
      <c r="Z12" s="131"/>
      <c r="AA12" s="131"/>
      <c r="AB12" s="131"/>
      <c r="AC12" s="131"/>
      <c r="AD12" s="132"/>
      <c r="AE12" s="132"/>
      <c r="AF12" s="133"/>
      <c r="AG12" s="125"/>
    </row>
    <row r="13" spans="1:33" ht="15.75">
      <c r="A13" s="135"/>
      <c r="B13" s="46"/>
      <c r="C13" s="46"/>
      <c r="D13" s="46"/>
      <c r="E13" s="125"/>
      <c r="F13" s="46"/>
      <c r="G13" s="126"/>
      <c r="H13" s="212"/>
      <c r="I13" s="127"/>
      <c r="J13" s="128"/>
      <c r="K13" s="134"/>
      <c r="L13" s="129"/>
      <c r="M13" s="127"/>
      <c r="N13" s="130"/>
      <c r="O13" s="126"/>
      <c r="P13" s="129"/>
      <c r="Q13" s="126"/>
      <c r="R13" s="129"/>
      <c r="S13" s="127"/>
      <c r="T13" s="130"/>
      <c r="U13" s="129"/>
      <c r="V13" s="129"/>
      <c r="W13" s="44"/>
      <c r="X13" s="131"/>
      <c r="Y13" s="131"/>
      <c r="Z13" s="131"/>
      <c r="AA13" s="131"/>
      <c r="AB13" s="131"/>
      <c r="AC13" s="131"/>
      <c r="AD13" s="132"/>
      <c r="AE13" s="132"/>
      <c r="AF13" s="133"/>
      <c r="AG13" s="125"/>
    </row>
    <row r="14" spans="1:33" ht="15.75">
      <c r="A14" s="135"/>
      <c r="B14" s="46"/>
      <c r="C14" s="46"/>
      <c r="D14" s="46"/>
      <c r="E14" s="125"/>
      <c r="F14" s="46"/>
      <c r="G14" s="126"/>
      <c r="H14" s="213"/>
      <c r="I14" s="127"/>
      <c r="J14" s="128"/>
      <c r="K14" s="134"/>
      <c r="L14" s="129"/>
      <c r="M14" s="127"/>
      <c r="N14" s="130"/>
      <c r="O14" s="126"/>
      <c r="P14" s="129"/>
      <c r="Q14" s="126"/>
      <c r="R14" s="129"/>
      <c r="S14" s="127"/>
      <c r="T14" s="130"/>
      <c r="U14" s="129"/>
      <c r="V14" s="129"/>
      <c r="W14" s="44"/>
      <c r="X14" s="131"/>
      <c r="Y14" s="131"/>
      <c r="Z14" s="131"/>
      <c r="AA14" s="131"/>
      <c r="AB14" s="131"/>
      <c r="AC14" s="131"/>
      <c r="AD14" s="132"/>
      <c r="AE14" s="132"/>
      <c r="AF14" s="133"/>
      <c r="AG14" s="125"/>
    </row>
    <row r="15" spans="1:33" ht="15.75">
      <c r="A15" s="135"/>
      <c r="B15" s="46"/>
      <c r="C15" s="46"/>
      <c r="D15" s="46"/>
      <c r="E15" s="125"/>
      <c r="F15" s="46"/>
      <c r="G15" s="126"/>
      <c r="H15" s="141"/>
      <c r="I15" s="127"/>
      <c r="J15" s="128"/>
      <c r="K15" s="134"/>
      <c r="L15" s="129"/>
      <c r="M15" s="127"/>
      <c r="N15" s="130"/>
      <c r="O15" s="126"/>
      <c r="P15" s="129"/>
      <c r="Q15" s="126"/>
      <c r="R15" s="129"/>
      <c r="S15" s="127"/>
      <c r="T15" s="130"/>
      <c r="U15" s="129"/>
      <c r="V15" s="129"/>
      <c r="W15" s="44"/>
      <c r="X15" s="131"/>
      <c r="Y15" s="131"/>
      <c r="Z15" s="131"/>
      <c r="AA15" s="131"/>
      <c r="AB15" s="131"/>
      <c r="AC15" s="131"/>
      <c r="AD15" s="132"/>
      <c r="AE15" s="132"/>
      <c r="AF15" s="133"/>
      <c r="AG15" s="125"/>
    </row>
    <row r="16" spans="1:33" ht="15.75">
      <c r="A16" s="135"/>
      <c r="B16" s="46"/>
      <c r="C16" s="46"/>
      <c r="D16" s="46"/>
      <c r="E16" s="125"/>
      <c r="F16" s="46"/>
      <c r="G16" s="126"/>
      <c r="H16" s="212"/>
      <c r="I16" s="127"/>
      <c r="J16" s="128"/>
      <c r="K16" s="134"/>
      <c r="L16" s="129"/>
      <c r="M16" s="127"/>
      <c r="N16" s="130"/>
      <c r="O16" s="126"/>
      <c r="P16" s="129"/>
      <c r="Q16" s="126"/>
      <c r="R16" s="129"/>
      <c r="S16" s="127"/>
      <c r="T16" s="130"/>
      <c r="U16" s="129"/>
      <c r="V16" s="129"/>
      <c r="W16" s="44"/>
      <c r="X16" s="131"/>
      <c r="Y16" s="131"/>
      <c r="Z16" s="131"/>
      <c r="AA16" s="131"/>
      <c r="AB16" s="131"/>
      <c r="AC16" s="131"/>
      <c r="AD16" s="132"/>
      <c r="AE16" s="132"/>
      <c r="AF16" s="133"/>
      <c r="AG16" s="125"/>
    </row>
    <row r="17" spans="1:33" ht="15.75">
      <c r="A17" s="135"/>
      <c r="B17" s="46"/>
      <c r="C17" s="46"/>
      <c r="D17" s="46"/>
      <c r="E17" s="125"/>
      <c r="F17" s="46"/>
      <c r="G17" s="126"/>
      <c r="H17" s="213"/>
      <c r="I17" s="127"/>
      <c r="J17" s="128"/>
      <c r="K17" s="134"/>
      <c r="L17" s="129"/>
      <c r="M17" s="127"/>
      <c r="N17" s="130"/>
      <c r="O17" s="126"/>
      <c r="P17" s="129"/>
      <c r="Q17" s="126"/>
      <c r="R17" s="129"/>
      <c r="S17" s="127"/>
      <c r="T17" s="130"/>
      <c r="U17" s="129"/>
      <c r="V17" s="129"/>
      <c r="W17" s="44"/>
      <c r="X17" s="131"/>
      <c r="Y17" s="131"/>
      <c r="Z17" s="131"/>
      <c r="AA17" s="131"/>
      <c r="AB17" s="131"/>
      <c r="AC17" s="131"/>
      <c r="AD17" s="132"/>
      <c r="AE17" s="132"/>
      <c r="AF17" s="133"/>
      <c r="AG17" s="125"/>
    </row>
    <row r="18" spans="1:33" ht="15.75">
      <c r="A18" s="135"/>
      <c r="B18" s="46"/>
      <c r="C18" s="46"/>
      <c r="D18" s="46"/>
      <c r="E18" s="125"/>
      <c r="F18" s="46"/>
      <c r="G18" s="126"/>
      <c r="H18" s="212"/>
      <c r="I18" s="127"/>
      <c r="J18" s="128"/>
      <c r="K18" s="134"/>
      <c r="L18" s="129"/>
      <c r="M18" s="127"/>
      <c r="N18" s="130"/>
      <c r="O18" s="126"/>
      <c r="P18" s="129"/>
      <c r="Q18" s="126"/>
      <c r="R18" s="129"/>
      <c r="S18" s="127"/>
      <c r="T18" s="130"/>
      <c r="U18" s="129"/>
      <c r="V18" s="129"/>
      <c r="W18" s="44"/>
      <c r="X18" s="131"/>
      <c r="Y18" s="131"/>
      <c r="Z18" s="131"/>
      <c r="AA18" s="131"/>
      <c r="AB18" s="131"/>
      <c r="AC18" s="131"/>
      <c r="AD18" s="132"/>
      <c r="AE18" s="132"/>
      <c r="AF18" s="133"/>
      <c r="AG18" s="125"/>
    </row>
    <row r="19" spans="1:33" ht="15.75">
      <c r="A19" s="135"/>
      <c r="B19" s="46"/>
      <c r="C19" s="46"/>
      <c r="D19" s="46"/>
      <c r="E19" s="125"/>
      <c r="F19" s="46"/>
      <c r="G19" s="126"/>
      <c r="H19" s="213"/>
      <c r="I19" s="127"/>
      <c r="J19" s="128"/>
      <c r="K19" s="134"/>
      <c r="L19" s="129"/>
      <c r="M19" s="127"/>
      <c r="N19" s="130"/>
      <c r="O19" s="126"/>
      <c r="P19" s="129"/>
      <c r="Q19" s="126"/>
      <c r="R19" s="129"/>
      <c r="S19" s="127"/>
      <c r="T19" s="130"/>
      <c r="U19" s="129"/>
      <c r="V19" s="129"/>
      <c r="W19" s="44"/>
      <c r="X19" s="131"/>
      <c r="Y19" s="131"/>
      <c r="Z19" s="131"/>
      <c r="AA19" s="131"/>
      <c r="AB19" s="131"/>
      <c r="AC19" s="131"/>
      <c r="AD19" s="132"/>
      <c r="AE19" s="132"/>
      <c r="AF19" s="133"/>
      <c r="AG19" s="125"/>
    </row>
    <row r="20" spans="1:33" ht="15.75">
      <c r="A20" s="143"/>
      <c r="B20" s="144"/>
      <c r="C20" s="144"/>
      <c r="D20" s="144"/>
      <c r="E20" s="145"/>
      <c r="F20" s="144"/>
      <c r="G20" s="146"/>
      <c r="H20" s="212"/>
      <c r="I20" s="147"/>
      <c r="J20" s="148"/>
      <c r="K20" s="149"/>
      <c r="L20" s="150"/>
      <c r="M20" s="147"/>
      <c r="N20" s="151"/>
      <c r="O20" s="146"/>
      <c r="P20" s="150"/>
      <c r="Q20" s="146"/>
      <c r="R20" s="150"/>
      <c r="S20" s="147"/>
      <c r="T20" s="151"/>
      <c r="U20" s="150"/>
      <c r="V20" s="150"/>
      <c r="W20" s="152"/>
      <c r="X20" s="153"/>
      <c r="Y20" s="153"/>
      <c r="Z20" s="149"/>
      <c r="AA20" s="153"/>
      <c r="AB20" s="153"/>
      <c r="AC20" s="153"/>
      <c r="AD20" s="154"/>
      <c r="AE20" s="154"/>
      <c r="AF20" s="149"/>
      <c r="AG20" s="145"/>
    </row>
    <row r="21" spans="1:33" ht="15.75">
      <c r="A21" s="135"/>
      <c r="B21" s="46"/>
      <c r="C21" s="46"/>
      <c r="D21" s="46"/>
      <c r="E21" s="125"/>
      <c r="F21" s="46"/>
      <c r="G21" s="126"/>
      <c r="H21" s="213"/>
      <c r="I21" s="127"/>
      <c r="J21" s="128"/>
      <c r="K21" s="134"/>
      <c r="L21" s="129"/>
      <c r="M21" s="127"/>
      <c r="N21" s="130"/>
      <c r="O21" s="126"/>
      <c r="P21" s="129"/>
      <c r="Q21" s="126"/>
      <c r="R21" s="129"/>
      <c r="S21" s="127"/>
      <c r="T21" s="130"/>
      <c r="U21" s="129"/>
      <c r="V21" s="129"/>
      <c r="W21" s="44"/>
      <c r="X21" s="131"/>
      <c r="Y21" s="131"/>
      <c r="Z21" s="131"/>
      <c r="AA21" s="131"/>
      <c r="AB21" s="155"/>
      <c r="AC21" s="131"/>
      <c r="AD21" s="132"/>
      <c r="AE21" s="132"/>
      <c r="AF21" s="133"/>
      <c r="AG21" s="125"/>
    </row>
    <row r="22" spans="1:33" ht="15.75">
      <c r="A22" s="135"/>
      <c r="B22" s="46"/>
      <c r="C22" s="46"/>
      <c r="D22" s="46"/>
      <c r="E22" s="125"/>
      <c r="F22" s="46"/>
      <c r="G22" s="126"/>
      <c r="H22" s="141"/>
      <c r="I22" s="127"/>
      <c r="J22" s="128"/>
      <c r="K22" s="134"/>
      <c r="L22" s="129"/>
      <c r="M22" s="127"/>
      <c r="N22" s="130"/>
      <c r="O22" s="126"/>
      <c r="P22" s="129"/>
      <c r="Q22" s="126"/>
      <c r="R22" s="129"/>
      <c r="S22" s="127"/>
      <c r="T22" s="130"/>
      <c r="U22" s="129"/>
      <c r="V22" s="129"/>
      <c r="W22" s="44"/>
      <c r="X22" s="131"/>
      <c r="Y22" s="131"/>
      <c r="Z22" s="131"/>
      <c r="AA22" s="131"/>
      <c r="AB22" s="131"/>
      <c r="AC22" s="131"/>
      <c r="AD22" s="132"/>
      <c r="AE22" s="132"/>
      <c r="AF22" s="133"/>
      <c r="AG22" s="125"/>
    </row>
    <row r="23" spans="1:33" ht="15.75">
      <c r="A23" s="135"/>
      <c r="B23" s="46"/>
      <c r="C23" s="46"/>
      <c r="D23" s="46"/>
      <c r="E23" s="125"/>
      <c r="F23" s="46"/>
      <c r="G23" s="126"/>
      <c r="H23" s="212"/>
      <c r="I23" s="127"/>
      <c r="J23" s="128"/>
      <c r="K23" s="134"/>
      <c r="L23" s="129"/>
      <c r="M23" s="127"/>
      <c r="N23" s="130"/>
      <c r="O23" s="126"/>
      <c r="P23" s="129"/>
      <c r="Q23" s="126"/>
      <c r="R23" s="129"/>
      <c r="S23" s="127"/>
      <c r="T23" s="130"/>
      <c r="U23" s="129"/>
      <c r="V23" s="129"/>
      <c r="W23" s="44"/>
      <c r="X23" s="131"/>
      <c r="Y23" s="131"/>
      <c r="Z23" s="131"/>
      <c r="AA23" s="131"/>
      <c r="AB23" s="131"/>
      <c r="AC23" s="131"/>
      <c r="AD23" s="132"/>
      <c r="AE23" s="132"/>
      <c r="AF23" s="133"/>
      <c r="AG23" s="125"/>
    </row>
    <row r="24" spans="1:33" ht="15.75">
      <c r="A24" s="135"/>
      <c r="B24" s="46"/>
      <c r="C24" s="46"/>
      <c r="D24" s="46"/>
      <c r="E24" s="125"/>
      <c r="F24" s="46"/>
      <c r="G24" s="126"/>
      <c r="H24" s="213"/>
      <c r="I24" s="127"/>
      <c r="J24" s="128"/>
      <c r="K24" s="134"/>
      <c r="L24" s="129"/>
      <c r="M24" s="127"/>
      <c r="N24" s="130"/>
      <c r="O24" s="126"/>
      <c r="P24" s="129"/>
      <c r="Q24" s="126"/>
      <c r="R24" s="129"/>
      <c r="S24" s="127"/>
      <c r="T24" s="130"/>
      <c r="U24" s="129"/>
      <c r="V24" s="129"/>
      <c r="W24" s="44"/>
      <c r="X24" s="131"/>
      <c r="Y24" s="131"/>
      <c r="Z24" s="131"/>
      <c r="AA24" s="131"/>
      <c r="AB24" s="131"/>
      <c r="AC24" s="131"/>
      <c r="AD24" s="132"/>
      <c r="AE24" s="132"/>
      <c r="AF24" s="133"/>
      <c r="AG24" s="125"/>
    </row>
    <row r="25" spans="1:33" ht="15.75">
      <c r="A25" s="135"/>
      <c r="B25" s="46"/>
      <c r="C25" s="46"/>
      <c r="D25" s="46"/>
      <c r="E25" s="125"/>
      <c r="F25" s="46"/>
      <c r="G25" s="126"/>
      <c r="H25" s="141"/>
      <c r="I25" s="127"/>
      <c r="J25" s="128"/>
      <c r="K25" s="134"/>
      <c r="L25" s="129"/>
      <c r="M25" s="127"/>
      <c r="N25" s="130"/>
      <c r="O25" s="126"/>
      <c r="P25" s="129"/>
      <c r="Q25" s="126"/>
      <c r="R25" s="129"/>
      <c r="S25" s="127"/>
      <c r="T25" s="130"/>
      <c r="U25" s="129"/>
      <c r="V25" s="129"/>
      <c r="W25" s="44"/>
      <c r="X25" s="131"/>
      <c r="Y25" s="131"/>
      <c r="Z25" s="131"/>
      <c r="AA25" s="131"/>
      <c r="AB25" s="131"/>
      <c r="AC25" s="131"/>
      <c r="AD25" s="132"/>
      <c r="AE25" s="132"/>
      <c r="AF25" s="133"/>
      <c r="AG25" s="125"/>
    </row>
    <row r="26" spans="1:33" ht="15.75">
      <c r="A26" s="124"/>
      <c r="B26" s="46"/>
      <c r="C26" s="46"/>
      <c r="D26" s="46"/>
      <c r="E26" s="125"/>
      <c r="F26" s="46"/>
      <c r="G26" s="126"/>
      <c r="H26" s="141"/>
      <c r="I26" s="127"/>
      <c r="J26" s="128"/>
      <c r="K26" s="134"/>
      <c r="L26" s="129"/>
      <c r="M26" s="127"/>
      <c r="N26" s="130"/>
      <c r="O26" s="126"/>
      <c r="P26" s="129"/>
      <c r="Q26" s="126"/>
      <c r="R26" s="129"/>
      <c r="S26" s="127"/>
      <c r="T26" s="130"/>
      <c r="U26" s="129"/>
      <c r="V26" s="129"/>
      <c r="W26" s="44"/>
      <c r="X26" s="131"/>
      <c r="Y26" s="131"/>
      <c r="Z26" s="131"/>
      <c r="AA26" s="131"/>
      <c r="AB26" s="131"/>
      <c r="AC26" s="131"/>
      <c r="AD26" s="132"/>
      <c r="AE26" s="132"/>
      <c r="AF26" s="133"/>
      <c r="AG26" s="125"/>
    </row>
    <row r="27" spans="1:33" ht="15.75">
      <c r="A27" s="124"/>
      <c r="B27" s="46"/>
      <c r="C27" s="46"/>
      <c r="D27" s="46"/>
      <c r="E27" s="125"/>
      <c r="F27" s="46"/>
      <c r="G27" s="126"/>
      <c r="H27" s="141"/>
      <c r="I27" s="127"/>
      <c r="J27" s="128"/>
      <c r="K27" s="134"/>
      <c r="L27" s="129"/>
      <c r="M27" s="127"/>
      <c r="N27" s="130"/>
      <c r="O27" s="126"/>
      <c r="P27" s="129"/>
      <c r="Q27" s="126"/>
      <c r="R27" s="129"/>
      <c r="S27" s="127"/>
      <c r="T27" s="130"/>
      <c r="U27" s="129"/>
      <c r="V27" s="129"/>
      <c r="W27" s="44"/>
      <c r="X27" s="131"/>
      <c r="Y27" s="131"/>
      <c r="Z27" s="131"/>
      <c r="AA27" s="131"/>
      <c r="AB27" s="131"/>
      <c r="AC27" s="131"/>
      <c r="AD27" s="132"/>
      <c r="AE27" s="132"/>
      <c r="AF27" s="133"/>
      <c r="AG27" s="125"/>
    </row>
    <row r="28" spans="1:33" ht="15.75">
      <c r="A28" s="124"/>
      <c r="B28" s="46"/>
      <c r="C28" s="46"/>
      <c r="D28" s="46"/>
      <c r="E28" s="125"/>
      <c r="F28" s="46"/>
      <c r="G28" s="126"/>
      <c r="H28" s="141"/>
      <c r="I28" s="127"/>
      <c r="J28" s="128"/>
      <c r="K28" s="134"/>
      <c r="L28" s="129"/>
      <c r="M28" s="127"/>
      <c r="N28" s="130"/>
      <c r="O28" s="126"/>
      <c r="P28" s="129"/>
      <c r="Q28" s="126"/>
      <c r="R28" s="129"/>
      <c r="S28" s="127"/>
      <c r="T28" s="130"/>
      <c r="U28" s="129"/>
      <c r="V28" s="129"/>
      <c r="W28" s="44"/>
      <c r="X28" s="131"/>
      <c r="Y28" s="131"/>
      <c r="Z28" s="131"/>
      <c r="AA28" s="131"/>
      <c r="AB28" s="131"/>
      <c r="AC28" s="131"/>
      <c r="AD28" s="132"/>
      <c r="AE28" s="132"/>
      <c r="AF28" s="133"/>
      <c r="AG28" s="125"/>
    </row>
    <row r="29" spans="1:33" ht="15.75">
      <c r="A29" s="124"/>
      <c r="B29" s="46"/>
      <c r="C29" s="46"/>
      <c r="D29" s="46"/>
      <c r="E29" s="125"/>
      <c r="F29" s="46"/>
      <c r="G29" s="126"/>
      <c r="H29" s="141"/>
      <c r="I29" s="127"/>
      <c r="J29" s="128"/>
      <c r="K29" s="134"/>
      <c r="L29" s="129"/>
      <c r="M29" s="127"/>
      <c r="N29" s="130"/>
      <c r="O29" s="126"/>
      <c r="P29" s="129"/>
      <c r="Q29" s="126"/>
      <c r="R29" s="129"/>
      <c r="S29" s="127"/>
      <c r="T29" s="130"/>
      <c r="U29" s="129"/>
      <c r="V29" s="129"/>
      <c r="W29" s="44"/>
      <c r="X29" s="131"/>
      <c r="Y29" s="131"/>
      <c r="Z29" s="131"/>
      <c r="AA29" s="131"/>
      <c r="AB29" s="131"/>
      <c r="AC29" s="131"/>
      <c r="AD29" s="132"/>
      <c r="AE29" s="132"/>
      <c r="AF29" s="133"/>
      <c r="AG29" s="125"/>
    </row>
    <row r="30" spans="1:33" ht="15.75">
      <c r="A30" s="124"/>
      <c r="B30" s="46"/>
      <c r="C30" s="46"/>
      <c r="D30" s="46"/>
      <c r="E30" s="125"/>
      <c r="F30" s="46"/>
      <c r="G30" s="126"/>
      <c r="H30" s="141"/>
      <c r="I30" s="127"/>
      <c r="J30" s="128"/>
      <c r="K30" s="134"/>
      <c r="L30" s="129"/>
      <c r="M30" s="127"/>
      <c r="N30" s="130"/>
      <c r="O30" s="126"/>
      <c r="P30" s="129"/>
      <c r="Q30" s="126"/>
      <c r="R30" s="129"/>
      <c r="S30" s="127"/>
      <c r="T30" s="130"/>
      <c r="U30" s="129"/>
      <c r="V30" s="129"/>
      <c r="W30" s="44"/>
      <c r="X30" s="131"/>
      <c r="Y30" s="131"/>
      <c r="Z30" s="131"/>
      <c r="AA30" s="131"/>
      <c r="AB30" s="131"/>
      <c r="AC30" s="131"/>
      <c r="AD30" s="132"/>
      <c r="AE30" s="132"/>
      <c r="AF30" s="133"/>
      <c r="AG30" s="125"/>
    </row>
    <row r="31" spans="1:33" ht="15.75">
      <c r="A31" s="124"/>
      <c r="B31" s="46"/>
      <c r="C31" s="46"/>
      <c r="D31" s="46"/>
      <c r="E31" s="125"/>
      <c r="F31" s="46"/>
      <c r="G31" s="126"/>
      <c r="H31" s="141"/>
      <c r="I31" s="127"/>
      <c r="J31" s="128"/>
      <c r="K31" s="134"/>
      <c r="L31" s="129"/>
      <c r="M31" s="127"/>
      <c r="N31" s="130"/>
      <c r="O31" s="126"/>
      <c r="P31" s="129"/>
      <c r="Q31" s="126"/>
      <c r="R31" s="129"/>
      <c r="S31" s="127"/>
      <c r="T31" s="130"/>
      <c r="U31" s="129"/>
      <c r="V31" s="129"/>
      <c r="W31" s="44"/>
      <c r="X31" s="131"/>
      <c r="Y31" s="131"/>
      <c r="Z31" s="131"/>
      <c r="AA31" s="131"/>
      <c r="AB31" s="131"/>
      <c r="AC31" s="131"/>
      <c r="AD31" s="132"/>
      <c r="AE31" s="132"/>
      <c r="AF31" s="133"/>
      <c r="AG31" s="125"/>
    </row>
    <row r="32" spans="1:33" ht="15.75">
      <c r="A32" s="124"/>
      <c r="B32" s="46"/>
      <c r="C32" s="46"/>
      <c r="D32" s="46"/>
      <c r="E32" s="125"/>
      <c r="F32" s="46"/>
      <c r="G32" s="126"/>
      <c r="H32" s="141"/>
      <c r="I32" s="127"/>
      <c r="J32" s="128"/>
      <c r="K32" s="134"/>
      <c r="L32" s="129"/>
      <c r="M32" s="127"/>
      <c r="N32" s="130"/>
      <c r="O32" s="126"/>
      <c r="P32" s="129"/>
      <c r="Q32" s="126"/>
      <c r="R32" s="129"/>
      <c r="S32" s="127"/>
      <c r="T32" s="130"/>
      <c r="U32" s="129"/>
      <c r="V32" s="129"/>
      <c r="W32" s="44"/>
      <c r="X32" s="131"/>
      <c r="Y32" s="131"/>
      <c r="Z32" s="131"/>
      <c r="AA32" s="131"/>
      <c r="AB32" s="131"/>
      <c r="AC32" s="131"/>
      <c r="AD32" s="132"/>
      <c r="AE32" s="132"/>
      <c r="AF32" s="133"/>
      <c r="AG32" s="125"/>
    </row>
    <row r="33" spans="1:33" ht="15.75">
      <c r="A33" s="124"/>
      <c r="B33" s="46"/>
      <c r="C33" s="46"/>
      <c r="D33" s="46"/>
      <c r="E33" s="125"/>
      <c r="F33" s="46"/>
      <c r="G33" s="126"/>
      <c r="H33" s="141"/>
      <c r="I33" s="127"/>
      <c r="J33" s="128"/>
      <c r="K33" s="134"/>
      <c r="L33" s="129"/>
      <c r="M33" s="127"/>
      <c r="N33" s="130"/>
      <c r="O33" s="126"/>
      <c r="P33" s="129"/>
      <c r="Q33" s="126"/>
      <c r="R33" s="129"/>
      <c r="S33" s="127"/>
      <c r="T33" s="130"/>
      <c r="U33" s="129"/>
      <c r="V33" s="129"/>
      <c r="W33" s="44"/>
      <c r="X33" s="131"/>
      <c r="Y33" s="131"/>
      <c r="Z33" s="131"/>
      <c r="AA33" s="131"/>
      <c r="AB33" s="131"/>
      <c r="AC33" s="131"/>
      <c r="AD33" s="132"/>
      <c r="AE33" s="132"/>
      <c r="AF33" s="133"/>
      <c r="AG33" s="125"/>
    </row>
    <row r="34" spans="1:33" ht="15.75">
      <c r="A34" s="124"/>
      <c r="B34" s="46"/>
      <c r="C34" s="46"/>
      <c r="D34" s="46"/>
      <c r="E34" s="125"/>
      <c r="F34" s="46"/>
      <c r="G34" s="126"/>
      <c r="H34" s="141"/>
      <c r="I34" s="127"/>
      <c r="J34" s="128"/>
      <c r="K34" s="134"/>
      <c r="L34" s="129"/>
      <c r="M34" s="127"/>
      <c r="N34" s="130"/>
      <c r="O34" s="126"/>
      <c r="P34" s="129"/>
      <c r="Q34" s="126"/>
      <c r="R34" s="129"/>
      <c r="S34" s="127"/>
      <c r="T34" s="130"/>
      <c r="U34" s="129"/>
      <c r="V34" s="129"/>
      <c r="W34" s="44"/>
      <c r="X34" s="131"/>
      <c r="Y34" s="131"/>
      <c r="Z34" s="131"/>
      <c r="AA34" s="131"/>
      <c r="AB34" s="131"/>
      <c r="AC34" s="131"/>
      <c r="AD34" s="132"/>
      <c r="AE34" s="132"/>
      <c r="AF34" s="133"/>
      <c r="AG34" s="125"/>
    </row>
    <row r="35" spans="1:33" ht="15.75">
      <c r="A35" s="27"/>
      <c r="B35" s="27"/>
      <c r="C35" s="27"/>
      <c r="D35" s="27"/>
      <c r="E35" s="45"/>
      <c r="F35" s="27"/>
      <c r="G35" s="27"/>
      <c r="H35" s="139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27"/>
      <c r="AF35" s="27"/>
      <c r="AG35" s="45"/>
    </row>
    <row r="36" spans="1:33" ht="15.75">
      <c r="A36" s="27"/>
      <c r="B36" s="27"/>
      <c r="C36" s="27"/>
      <c r="D36" s="27"/>
      <c r="E36" s="45"/>
      <c r="F36" s="27"/>
      <c r="G36" s="27"/>
      <c r="H36" s="139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  <c r="AG36" s="45"/>
    </row>
    <row r="37" spans="1:33" ht="15.75">
      <c r="A37" s="27"/>
      <c r="B37" s="27"/>
      <c r="C37" s="27"/>
      <c r="D37" s="27"/>
      <c r="E37" s="45"/>
      <c r="F37" s="27"/>
      <c r="G37" s="27"/>
      <c r="H37" s="139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  <c r="AG37" s="45"/>
    </row>
    <row r="38" spans="1:33" ht="15.75">
      <c r="A38" s="27"/>
      <c r="B38" s="27"/>
      <c r="C38" s="27"/>
      <c r="D38" s="27"/>
      <c r="E38" s="45"/>
      <c r="F38" s="27"/>
      <c r="G38" s="27"/>
      <c r="H38" s="139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27"/>
      <c r="AG38" s="45"/>
    </row>
    <row r="39" spans="1:33" ht="15.75">
      <c r="A39" s="27"/>
      <c r="B39" s="27"/>
      <c r="C39" s="27"/>
      <c r="D39" s="27"/>
      <c r="E39" s="45"/>
      <c r="F39" s="27"/>
      <c r="G39" s="27"/>
      <c r="H39" s="139"/>
      <c r="I39" s="27"/>
      <c r="J39" s="27">
        <f>1330-8</f>
        <v>1322</v>
      </c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27"/>
      <c r="AG39" s="45"/>
    </row>
    <row r="40" spans="1:33" ht="15.75">
      <c r="A40" s="27"/>
      <c r="B40" s="27"/>
      <c r="C40" s="27"/>
      <c r="D40" s="27"/>
      <c r="E40" s="45"/>
      <c r="F40" s="27"/>
      <c r="G40" s="27"/>
      <c r="H40" s="139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  <c r="AG40" s="45"/>
    </row>
    <row r="41" spans="1:33" ht="15.75">
      <c r="A41" s="27"/>
      <c r="B41" s="27"/>
      <c r="C41" s="27"/>
      <c r="D41" s="27"/>
      <c r="E41" s="45"/>
      <c r="F41" s="27"/>
      <c r="G41" s="27"/>
      <c r="H41" s="139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45"/>
    </row>
    <row r="42" spans="1:33" ht="15.75">
      <c r="A42" s="27"/>
      <c r="B42" s="27"/>
      <c r="C42" s="27"/>
      <c r="D42" s="27"/>
      <c r="E42" s="45"/>
      <c r="F42" s="27"/>
      <c r="G42" s="27"/>
      <c r="H42" s="139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45"/>
    </row>
    <row r="43" spans="1:33" ht="15.75">
      <c r="A43" s="27"/>
      <c r="B43" s="27"/>
      <c r="C43" s="27"/>
      <c r="D43" s="27"/>
      <c r="E43" s="45"/>
      <c r="F43" s="27"/>
      <c r="G43" s="27"/>
      <c r="H43" s="139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27"/>
      <c r="AD43" s="27"/>
      <c r="AE43" s="27"/>
      <c r="AF43" s="27"/>
      <c r="AG43" s="45"/>
    </row>
    <row r="44" spans="1:33" ht="15.75">
      <c r="A44" s="27"/>
      <c r="B44" s="27"/>
      <c r="C44" s="27"/>
      <c r="D44" s="27"/>
      <c r="E44" s="45"/>
      <c r="F44" s="27"/>
      <c r="G44" s="27"/>
      <c r="H44" s="139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45"/>
    </row>
    <row r="45" spans="1:33" ht="15.75">
      <c r="A45" s="27"/>
      <c r="B45" s="27"/>
      <c r="C45" s="27"/>
      <c r="D45" s="27"/>
      <c r="E45" s="45"/>
      <c r="F45" s="27"/>
      <c r="G45" s="27"/>
      <c r="H45" s="139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27"/>
      <c r="AD45" s="27"/>
      <c r="AE45" s="27"/>
      <c r="AF45" s="27"/>
      <c r="AG45" s="45"/>
    </row>
    <row r="46" spans="1:33" ht="15.75">
      <c r="A46" s="27"/>
      <c r="B46" s="27"/>
      <c r="C46" s="27"/>
      <c r="D46" s="27"/>
      <c r="E46" s="45"/>
      <c r="F46" s="27"/>
      <c r="G46" s="27"/>
      <c r="H46" s="139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27"/>
      <c r="AD46" s="27"/>
      <c r="AE46" s="27"/>
      <c r="AF46" s="27"/>
      <c r="AG46" s="45"/>
    </row>
    <row r="47" spans="1:33" ht="15.75">
      <c r="A47" s="27"/>
      <c r="B47" s="27"/>
      <c r="C47" s="27"/>
      <c r="D47" s="27"/>
      <c r="E47" s="45"/>
      <c r="F47" s="27"/>
      <c r="G47" s="27"/>
      <c r="H47" s="139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27"/>
      <c r="AD47" s="27"/>
      <c r="AE47" s="27"/>
      <c r="AF47" s="27"/>
      <c r="AG47" s="45"/>
    </row>
    <row r="48" spans="1:33" ht="15.75">
      <c r="A48" s="27"/>
      <c r="B48" s="27"/>
      <c r="C48" s="27"/>
      <c r="D48" s="27"/>
      <c r="E48" s="45"/>
      <c r="F48" s="27"/>
      <c r="G48" s="27"/>
      <c r="H48" s="139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27"/>
      <c r="AD48" s="27"/>
      <c r="AE48" s="27"/>
      <c r="AF48" s="27"/>
      <c r="AG48" s="45"/>
    </row>
    <row r="49" spans="1:33" ht="15.75">
      <c r="A49" s="27"/>
      <c r="B49" s="27"/>
      <c r="C49" s="27"/>
      <c r="D49" s="27"/>
      <c r="E49" s="45"/>
      <c r="F49" s="27"/>
      <c r="G49" s="27"/>
      <c r="H49" s="139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45"/>
    </row>
    <row r="50" spans="1:33" ht="15.75">
      <c r="A50" s="27"/>
      <c r="B50" s="27"/>
      <c r="C50" s="27"/>
      <c r="D50" s="27"/>
      <c r="E50" s="45"/>
      <c r="F50" s="27"/>
      <c r="G50" s="27"/>
      <c r="H50" s="139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45"/>
    </row>
    <row r="51" spans="1:33" ht="15.75">
      <c r="A51" s="27"/>
      <c r="B51" s="27"/>
      <c r="C51" s="27"/>
      <c r="D51" s="27"/>
      <c r="E51" s="45"/>
      <c r="F51" s="27"/>
      <c r="G51" s="27"/>
      <c r="H51" s="139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45"/>
    </row>
  </sheetData>
  <sheetProtection selectLockedCells="1"/>
  <protectedRanges>
    <protectedRange sqref="AG7:AG34 G7:V34 Z20 B9:E34 B7:C8 E7:E8" name="Rango1"/>
    <protectedRange sqref="AD7:AE34" name="Rango1_2"/>
    <protectedRange sqref="F7:F34 A7:A34" name="Rango1_1"/>
  </protectedRanges>
  <mergeCells count="13">
    <mergeCell ref="F3:G3"/>
    <mergeCell ref="P4:U4"/>
    <mergeCell ref="I4:O4"/>
    <mergeCell ref="K5:O5"/>
    <mergeCell ref="I5:J5"/>
    <mergeCell ref="R5:U5"/>
    <mergeCell ref="P5:Q5"/>
    <mergeCell ref="H23:H24"/>
    <mergeCell ref="H20:H21"/>
    <mergeCell ref="H16:H17"/>
    <mergeCell ref="H18:H19"/>
    <mergeCell ref="H8:H9"/>
    <mergeCell ref="H13:H14"/>
  </mergeCells>
  <phoneticPr fontId="0" type="noConversion"/>
  <conditionalFormatting sqref="F7:I8 F9:G9 I9 F10:I13 F14:G14 I14 X7:AC19 F15:I16 F18:I18 F17:G17 I17 F20:H20 F19:G19 A9:D20 A26:D34 F30:I34 G21 L7:V34 I19:I29 X20:Y20 AA20:AC20 F22:H23 F25:H29 F24:G24 B24:B25 X21:AC34 A7:C8">
    <cfRule type="expression" dxfId="9" priority="238" stopIfTrue="1">
      <formula>"SEVERSTAL"</formula>
    </cfRule>
  </conditionalFormatting>
  <conditionalFormatting sqref="AG7:AG34 AD7:AE34 E7:E20 E22:E34">
    <cfRule type="cellIs" dxfId="8" priority="239" stopIfTrue="1" operator="equal">
      <formula>"APROBADO"</formula>
    </cfRule>
    <cfRule type="cellIs" dxfId="7" priority="240" stopIfTrue="1" operator="equal">
      <formula>"ESPERA"</formula>
    </cfRule>
    <cfRule type="cellIs" dxfId="6" priority="241" stopIfTrue="1" operator="equal">
      <formula>"RECHAZADO"</formula>
    </cfRule>
  </conditionalFormatting>
  <conditionalFormatting sqref="F21 A21:D21">
    <cfRule type="expression" dxfId="5" priority="3" stopIfTrue="1">
      <formula>"SEVERSTAL"</formula>
    </cfRule>
  </conditionalFormatting>
  <conditionalFormatting sqref="E21">
    <cfRule type="cellIs" dxfId="4" priority="4" stopIfTrue="1" operator="equal">
      <formula>"APROBADO"</formula>
    </cfRule>
    <cfRule type="cellIs" dxfId="3" priority="5" stopIfTrue="1" operator="equal">
      <formula>"ESPERA"</formula>
    </cfRule>
    <cfRule type="cellIs" dxfId="2" priority="6" stopIfTrue="1" operator="equal">
      <formula>"RECHAZADO"</formula>
    </cfRule>
  </conditionalFormatting>
  <conditionalFormatting sqref="A22:D23 A24:A25 C24:D25">
    <cfRule type="expression" dxfId="1" priority="2" stopIfTrue="1">
      <formula>"SEVERSTAL"</formula>
    </cfRule>
  </conditionalFormatting>
  <conditionalFormatting sqref="D7:D8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CAMPO B. Carlos I.      TENARIS</cp:lastModifiedBy>
  <cp:lastPrinted>2009-12-04T18:59:15Z</cp:lastPrinted>
  <dcterms:created xsi:type="dcterms:W3CDTF">2006-02-25T16:15:52Z</dcterms:created>
  <dcterms:modified xsi:type="dcterms:W3CDTF">2023-03-25T09:17:15Z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