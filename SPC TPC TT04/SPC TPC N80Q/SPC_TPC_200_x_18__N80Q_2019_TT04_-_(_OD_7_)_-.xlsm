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N80Q\"/>
    </mc:Choice>
  </mc:AlternateContent>
  <xr:revisionPtr revIDLastSave="0" documentId="13_ncr:1_{D95D409C-7999-462B-BF08-11D298D79CAA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4" i="5" l="1"/>
  <c r="AF4" i="5" s="1"/>
  <c r="AG4" i="5" s="1"/>
  <c r="AF3" i="5"/>
  <c r="AG3" i="5" s="1"/>
  <c r="AE3" i="5"/>
  <c r="AE4" i="5" l="1"/>
  <c r="W6" i="5" l="1"/>
  <c r="AD6" i="5" s="1"/>
  <c r="W7" i="5" l="1"/>
  <c r="AD7" i="5" s="1"/>
  <c r="W8" i="5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Z7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Rechaza BT por pirometria irregular de Horno Revenido.
PENDIENTE POR REPROCESAR</t>
        </r>
      </text>
    </comment>
  </commentList>
</comments>
</file>

<file path=xl/sharedStrings.xml><?xml version="1.0" encoding="utf-8"?>
<sst xmlns="http://schemas.openxmlformats.org/spreadsheetml/2006/main" count="164" uniqueCount="115">
  <si>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</si>
  <si>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</si>
  <si>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</si>
  <si>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</si>
  <si>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</si>
  <si>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</si>
  <si>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</si>
  <si>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</si>
  <si>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</si>
  <si>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</si>
  <si>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</si>
  <si>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</si>
  <si>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</si>
  <si>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</si>
  <si>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</si>
  <si>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</si>
  <si>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</si>
  <si>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</si>
  <si>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</si>
  <si>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</si>
  <si>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</si>
  <si>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</si>
  <si>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</si>
  <si>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</si>
  <si>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</si>
  <si>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</si>
  <si>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</si>
  <si>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</si>
  <si>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</si>
  <si>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</si>
  <si>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</si>
  <si>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</si>
  <si>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</si>
  <si>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</si>
  <si>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</si>
  <si>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</si>
  <si>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</si>
  <si>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</si>
  <si>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</si>
  <si>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</si>
  <si>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</si>
  <si>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</si>
  <si>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</si>
  <si>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</si>
  <si>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</si>
  <si>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</si>
  <si>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</si>
  <si>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</si>
  <si>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</si>
  <si>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</si>
  <si>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</si>
  <si>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</si>
  <si>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</si>
  <si>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</si>
  <si>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</si>
  <si>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</si>
  <si>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</si>
  <si>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</si>
  <si>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</si>
  <si>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</si>
  <si>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</si>
  <si>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</si>
  <si>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</si>
  <si>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</si>
  <si>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</si>
  <si>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</si>
  <si>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</si>
  <si>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</si>
  <si>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</si>
  <si>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</si>
  <si>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</si>
  <si>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</si>
  <si>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</si>
  <si>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</si>
  <si>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</si>
  <si>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</si>
  <si>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</si>
  <si>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</si>
  <si>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</si>
  <si>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</si>
  <si>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</si>
  <si>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</si>
  <si>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</si>
  <si>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</si>
  <si>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</si>
  <si>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</si>
  <si>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</si>
  <si>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</si>
  <si>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</si>
  <si>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</si>
  <si>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</si>
  <si>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</si>
  <si>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</si>
  <si>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</si>
  <si>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</si>
  <si>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</si>
  <si>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</si>
  <si>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</si>
  <si>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35</t>
  </si>
  <si>
    <t>1 al 19</t>
  </si>
  <si>
    <t>1 al 10</t>
  </si>
  <si>
    <r>
      <t xml:space="preserve">TCP 200 mm - 18 mm  N80Q </t>
    </r>
    <r>
      <rPr>
        <b/>
        <sz val="12"/>
        <color indexed="8"/>
        <rFont val="Frutiger 45 Light"/>
        <family val="2"/>
      </rPr>
      <t>( Cupla 7 )</t>
    </r>
  </si>
  <si>
    <t>1 al 4</t>
  </si>
  <si>
    <t>TPC 200 mm x 18 mm N80Q ( Cupla 7 )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</si>
  <si>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</si>
  <si>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</si>
  <si>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</si>
  <si>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</si>
  <si>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</si>
  <si>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</si>
  <si>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</si>
  <si>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</si>
  <si>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</si>
  <si>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N80Q</t>
  </si>
  <si>
    <t>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</si>
</sst>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8" formatCode="_-[$€-2]* #,##0.00_-;\-[$€-2]* #,##0.00_-;_-[$€-2]* &quot;-&quot;??_-"/>
    <numFmt numFmtId="173" formatCode="[$-C0A]d\-mmm\-yy;@"/>
  </numFmts>
  <fonts count="7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name val="Arial"/>
      <family val="2"/>
    </font>
    <font>
      <u/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8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199">
    <xf numFmtId="0" fontId="0" fillId="0" borderId="0" xfId="0"/>
    <xf numFmtId="0" fontId="1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30" fillId="0" borderId="0" xfId="0" applyFont="1" applyFill="1" applyBorder="1" applyAlignment="1">
      <alignment vertical="center"/>
    </xf>
    <xf numFmtId="0" fontId="0" fillId="4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1" fillId="0" borderId="3" xfId="3" applyFont="1" applyBorder="1" applyAlignment="1">
      <alignment horizontal="center"/>
    </xf>
    <xf numFmtId="0" fontId="38" fillId="0" borderId="3" xfId="0" applyFont="1" applyFill="1" applyBorder="1" applyAlignment="1">
      <alignment horizontal="center"/>
    </xf>
    <xf numFmtId="165" fontId="38" fillId="0" borderId="3" xfId="2" applyNumberFormat="1" applyFont="1" applyFill="1" applyBorder="1" applyAlignment="1">
      <alignment horizontal="center"/>
    </xf>
    <xf numFmtId="0" fontId="44" fillId="0" borderId="0" xfId="0" applyFont="1" applyFill="1" applyBorder="1" applyAlignment="1"/>
    <xf numFmtId="0" fontId="45" fillId="0" borderId="0" xfId="0" applyFont="1" applyAlignment="1">
      <alignment horizontal="center"/>
    </xf>
    <xf numFmtId="0" fontId="46" fillId="0" borderId="0" xfId="0" applyFont="1" applyFill="1" applyBorder="1" applyAlignment="1"/>
    <xf numFmtId="0" fontId="47" fillId="0" borderId="0" xfId="0" applyFont="1" applyFill="1" applyBorder="1" applyAlignment="1"/>
    <xf numFmtId="14" fontId="48" fillId="0" borderId="0" xfId="0" quotePrefix="1" applyNumberFormat="1" applyFont="1" applyFill="1" applyBorder="1" applyAlignment="1"/>
    <xf numFmtId="14" fontId="48" fillId="0" borderId="0" xfId="0" applyNumberFormat="1" applyFont="1" applyFill="1" applyBorder="1" applyAlignment="1"/>
    <xf numFmtId="165" fontId="45" fillId="0" borderId="0" xfId="0" applyNumberFormat="1" applyFont="1" applyAlignment="1">
      <alignment horizontal="center"/>
    </xf>
    <xf numFmtId="0" fontId="52" fillId="2" borderId="0" xfId="0" applyFont="1" applyFill="1" applyAlignment="1">
      <alignment horizontal="center"/>
    </xf>
    <xf numFmtId="0" fontId="54" fillId="0" borderId="0" xfId="0" applyFont="1" applyFill="1" applyBorder="1" applyAlignment="1">
      <alignment horizontal="center"/>
    </xf>
    <xf numFmtId="3" fontId="56" fillId="0" borderId="6" xfId="0" applyNumberFormat="1" applyFont="1" applyFill="1" applyBorder="1" applyAlignment="1">
      <alignment horizontal="center"/>
    </xf>
    <xf numFmtId="0" fontId="56" fillId="0" borderId="3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6" fillId="8" borderId="0" xfId="0" applyFont="1" applyFill="1" applyBorder="1" applyAlignment="1" applyProtection="1">
      <alignment vertical="center"/>
      <protection hidden="1"/>
    </xf>
    <xf numFmtId="0" fontId="41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2" fillId="8" borderId="0" xfId="0" applyFont="1" applyFill="1" applyBorder="1" applyAlignment="1" applyProtection="1">
      <alignment vertical="center"/>
      <protection hidden="1"/>
    </xf>
    <xf numFmtId="21" fontId="32" fillId="8" borderId="0" xfId="0" applyNumberFormat="1" applyFont="1" applyFill="1" applyBorder="1" applyAlignment="1" applyProtection="1">
      <alignment horizontal="center" vertical="center"/>
      <protection hidden="1"/>
    </xf>
    <xf numFmtId="21" fontId="29" fillId="8" borderId="0" xfId="0" applyNumberFormat="1" applyFont="1" applyFill="1" applyBorder="1" applyAlignment="1" applyProtection="1">
      <alignment horizontal="center" vertical="center"/>
      <protection hidden="1"/>
    </xf>
    <xf numFmtId="21" fontId="41" fillId="8" borderId="0" xfId="0" applyNumberFormat="1" applyFont="1" applyFill="1" applyBorder="1" applyAlignment="1" applyProtection="1">
      <alignment horizontal="center" vertical="center"/>
      <protection hidden="1"/>
    </xf>
    <xf numFmtId="0" fontId="17" fillId="8" borderId="0" xfId="0" applyFont="1" applyFill="1" applyBorder="1" applyAlignment="1" applyProtection="1">
      <alignment horizontal="center" vertical="center"/>
      <protection hidden="1"/>
    </xf>
    <xf numFmtId="0" fontId="18" fillId="8" borderId="0" xfId="0" applyFont="1" applyFill="1" applyBorder="1" applyAlignment="1" applyProtection="1">
      <alignment horizontal="center" vertical="center"/>
      <protection hidden="1"/>
    </xf>
    <xf numFmtId="0" fontId="36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19" fillId="7" borderId="0" xfId="0" applyFont="1" applyFill="1" applyBorder="1" applyAlignment="1" applyProtection="1">
      <alignment horizontal="left" vertical="center"/>
      <protection hidden="1"/>
    </xf>
    <xf numFmtId="0" fontId="22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3" fillId="7" borderId="0" xfId="0" applyFont="1" applyFill="1" applyBorder="1" applyAlignment="1" applyProtection="1">
      <alignment horizontal="right" vertical="center"/>
      <protection hidden="1"/>
    </xf>
    <xf numFmtId="0" fontId="23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4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5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6" fillId="7" borderId="0" xfId="0" applyFont="1" applyFill="1" applyBorder="1" applyAlignment="1" applyProtection="1">
      <alignment vertical="center"/>
      <protection hidden="1"/>
    </xf>
    <xf numFmtId="0" fontId="40" fillId="7" borderId="0" xfId="0" applyFont="1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20" fillId="7" borderId="0" xfId="0" applyFont="1" applyFill="1" applyBorder="1" applyAlignment="1" applyProtection="1">
      <alignment vertical="center"/>
      <protection hidden="1"/>
    </xf>
    <xf numFmtId="0" fontId="28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2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0" fontId="41" fillId="7" borderId="0" xfId="0" applyFont="1" applyFill="1" applyBorder="1" applyAlignment="1" applyProtection="1">
      <alignment vertical="center"/>
      <protection hidden="1"/>
    </xf>
    <xf numFmtId="0" fontId="32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15" fillId="7" borderId="0" xfId="0" applyFont="1" applyFill="1" applyBorder="1" applyAlignment="1" applyProtection="1">
      <alignment vertical="center"/>
      <protection hidden="1"/>
    </xf>
    <xf numFmtId="0" fontId="33" fillId="7" borderId="0" xfId="0" applyFont="1" applyFill="1" applyBorder="1" applyAlignment="1" applyProtection="1">
      <alignment vertical="center"/>
      <protection hidden="1"/>
    </xf>
    <xf numFmtId="0" fontId="35" fillId="7" borderId="0" xfId="0" applyFont="1" applyFill="1" applyBorder="1" applyAlignment="1" applyProtection="1">
      <alignment vertical="center"/>
      <protection hidden="1"/>
    </xf>
    <xf numFmtId="0" fontId="42" fillId="7" borderId="0" xfId="0" applyFont="1" applyFill="1" applyBorder="1" applyAlignment="1" applyProtection="1">
      <alignment vertical="center"/>
      <protection hidden="1"/>
    </xf>
    <xf numFmtId="21" fontId="32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vertical="center"/>
      <protection hidden="1"/>
    </xf>
    <xf numFmtId="0" fontId="0" fillId="7" borderId="18" xfId="0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0" fontId="1" fillId="7" borderId="20" xfId="0" applyFont="1" applyFill="1" applyBorder="1" applyAlignment="1" applyProtection="1">
      <alignment vertical="center"/>
      <protection hidden="1"/>
    </xf>
    <xf numFmtId="0" fontId="0" fillId="7" borderId="22" xfId="0" applyFill="1" applyBorder="1" applyAlignment="1" applyProtection="1">
      <alignment vertical="center"/>
      <protection hidden="1"/>
    </xf>
    <xf numFmtId="0" fontId="1" fillId="7" borderId="24" xfId="0" applyFont="1" applyFill="1" applyBorder="1" applyAlignment="1" applyProtection="1">
      <alignment vertical="center"/>
      <protection hidden="1"/>
    </xf>
    <xf numFmtId="21" fontId="24" fillId="7" borderId="24" xfId="0" applyNumberFormat="1" applyFont="1" applyFill="1" applyBorder="1" applyAlignment="1" applyProtection="1">
      <alignment horizontal="center" vertical="center"/>
      <protection hidden="1"/>
    </xf>
    <xf numFmtId="0" fontId="8" fillId="7" borderId="22" xfId="0" applyFont="1" applyFill="1" applyBorder="1" applyAlignment="1" applyProtection="1">
      <alignment horizontal="center" vertical="center"/>
      <protection hidden="1"/>
    </xf>
    <xf numFmtId="0" fontId="9" fillId="7" borderId="22" xfId="0" applyFont="1" applyFill="1" applyBorder="1" applyAlignment="1" applyProtection="1">
      <alignment vertical="center"/>
      <protection hidden="1"/>
    </xf>
    <xf numFmtId="0" fontId="10" fillId="7" borderId="22" xfId="0" applyFont="1" applyFill="1" applyBorder="1" applyAlignment="1" applyProtection="1">
      <alignment vertical="center"/>
      <protection hidden="1"/>
    </xf>
    <xf numFmtId="0" fontId="26" fillId="7" borderId="24" xfId="0" applyFont="1" applyFill="1" applyBorder="1" applyAlignment="1" applyProtection="1">
      <alignment vertical="center"/>
      <protection hidden="1"/>
    </xf>
    <xf numFmtId="21" fontId="29" fillId="7" borderId="24" xfId="0" applyNumberFormat="1" applyFont="1" applyFill="1" applyBorder="1" applyAlignment="1" applyProtection="1">
      <alignment horizontal="center" vertical="center"/>
      <protection hidden="1"/>
    </xf>
    <xf numFmtId="0" fontId="9" fillId="7" borderId="25" xfId="0" applyFont="1" applyFill="1" applyBorder="1" applyAlignment="1" applyProtection="1">
      <alignment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26" fillId="7" borderId="23" xfId="0" applyFont="1" applyFill="1" applyBorder="1" applyAlignment="1" applyProtection="1">
      <alignment vertical="center"/>
      <protection hidden="1"/>
    </xf>
    <xf numFmtId="0" fontId="42" fillId="7" borderId="23" xfId="0" applyFont="1" applyFill="1" applyBorder="1" applyAlignment="1" applyProtection="1">
      <alignment vertical="center"/>
      <protection hidden="1"/>
    </xf>
    <xf numFmtId="0" fontId="41" fillId="7" borderId="23" xfId="0" applyFont="1" applyFill="1" applyBorder="1" applyAlignment="1" applyProtection="1">
      <alignment vertical="center"/>
      <protection hidden="1"/>
    </xf>
    <xf numFmtId="21" fontId="41" fillId="7" borderId="23" xfId="0" applyNumberFormat="1" applyFont="1" applyFill="1" applyBorder="1" applyAlignment="1" applyProtection="1">
      <alignment horizontal="center" vertical="center"/>
      <protection hidden="1"/>
    </xf>
    <xf numFmtId="21" fontId="32" fillId="7" borderId="23" xfId="0" applyNumberFormat="1" applyFont="1" applyFill="1" applyBorder="1" applyAlignment="1" applyProtection="1">
      <alignment horizontal="center" vertical="center"/>
      <protection hidden="1"/>
    </xf>
    <xf numFmtId="21" fontId="29" fillId="7" borderId="21" xfId="0" applyNumberFormat="1" applyFont="1" applyFill="1" applyBorder="1" applyAlignment="1" applyProtection="1">
      <alignment horizontal="center" vertical="center"/>
      <protection hidden="1"/>
    </xf>
    <xf numFmtId="0" fontId="58" fillId="6" borderId="0" xfId="0" applyFont="1" applyFill="1" applyBorder="1" applyAlignment="1">
      <alignment horizontal="center"/>
    </xf>
    <xf numFmtId="15" fontId="55" fillId="0" borderId="6" xfId="0" applyNumberFormat="1" applyFont="1" applyFill="1" applyBorder="1" applyAlignment="1">
      <alignment horizontal="center"/>
    </xf>
    <xf numFmtId="0" fontId="56" fillId="0" borderId="3" xfId="3" applyFont="1" applyBorder="1" applyAlignment="1">
      <alignment horizontal="center"/>
    </xf>
    <xf numFmtId="3" fontId="56" fillId="0" borderId="4" xfId="2" applyNumberFormat="1" applyFont="1" applyFill="1" applyBorder="1" applyAlignment="1" applyProtection="1">
      <alignment horizontal="center"/>
      <protection locked="0"/>
    </xf>
    <xf numFmtId="3" fontId="57" fillId="0" borderId="3" xfId="0" applyNumberFormat="1" applyFont="1" applyFill="1" applyBorder="1" applyAlignment="1" applyProtection="1">
      <alignment horizontal="center"/>
    </xf>
    <xf numFmtId="0" fontId="59" fillId="0" borderId="3" xfId="0" applyFont="1" applyFill="1" applyBorder="1" applyAlignment="1" applyProtection="1">
      <alignment horizontal="center"/>
      <protection locked="0"/>
    </xf>
    <xf numFmtId="0" fontId="56" fillId="0" borderId="27" xfId="0" applyFont="1" applyBorder="1" applyAlignment="1">
      <alignment horizontal="center"/>
    </xf>
    <xf numFmtId="0" fontId="61" fillId="0" borderId="0" xfId="0" applyFont="1" applyFill="1" applyBorder="1" applyAlignment="1"/>
    <xf numFmtId="0" fontId="62" fillId="0" borderId="0" xfId="0" applyFont="1" applyFill="1" applyBorder="1" applyAlignment="1"/>
    <xf numFmtId="0" fontId="62" fillId="0" borderId="0" xfId="0" applyFont="1" applyFill="1" applyBorder="1" applyAlignment="1">
      <alignment horizontal="center"/>
    </xf>
    <xf numFmtId="0" fontId="63" fillId="0" borderId="0" xfId="0" applyFont="1" applyAlignment="1">
      <alignment horizontal="center"/>
    </xf>
    <xf numFmtId="3" fontId="63" fillId="0" borderId="26" xfId="2" applyNumberFormat="1" applyFont="1" applyFill="1" applyBorder="1" applyAlignment="1" applyProtection="1">
      <alignment horizontal="center"/>
      <protection locked="0"/>
    </xf>
    <xf numFmtId="2" fontId="38" fillId="0" borderId="3" xfId="0" applyNumberFormat="1" applyFont="1" applyFill="1" applyBorder="1" applyAlignment="1">
      <alignment horizontal="center"/>
    </xf>
    <xf numFmtId="0" fontId="56" fillId="0" borderId="1" xfId="0" applyFont="1" applyFill="1" applyBorder="1" applyAlignment="1" applyProtection="1">
      <alignment horizontal="center"/>
      <protection locked="0"/>
    </xf>
    <xf numFmtId="3" fontId="56" fillId="0" borderId="2" xfId="2" applyNumberFormat="1" applyFont="1" applyFill="1" applyBorder="1" applyAlignment="1" applyProtection="1">
      <alignment horizontal="center"/>
      <protection locked="0"/>
    </xf>
    <xf numFmtId="3" fontId="56" fillId="0" borderId="1" xfId="2" applyNumberFormat="1" applyFont="1" applyFill="1" applyBorder="1" applyAlignment="1" applyProtection="1">
      <alignment horizontal="center"/>
      <protection locked="0"/>
    </xf>
    <xf numFmtId="0" fontId="56" fillId="0" borderId="2" xfId="0" applyFont="1" applyFill="1" applyBorder="1" applyAlignment="1">
      <alignment horizontal="center"/>
    </xf>
    <xf numFmtId="0" fontId="56" fillId="0" borderId="29" xfId="0" applyFont="1" applyFill="1" applyBorder="1" applyAlignment="1">
      <alignment horizontal="center"/>
    </xf>
    <xf numFmtId="3" fontId="56" fillId="0" borderId="5" xfId="2" applyNumberFormat="1" applyFont="1" applyFill="1" applyBorder="1" applyAlignment="1" applyProtection="1">
      <alignment horizontal="center"/>
      <protection locked="0"/>
    </xf>
    <xf numFmtId="3" fontId="56" fillId="0" borderId="28" xfId="2" applyNumberFormat="1" applyFont="1" applyFill="1" applyBorder="1" applyAlignment="1" applyProtection="1">
      <alignment horizontal="center"/>
      <protection locked="0"/>
    </xf>
    <xf numFmtId="0" fontId="50" fillId="0" borderId="0" xfId="0" applyFont="1" applyFill="1" applyBorder="1" applyAlignment="1"/>
    <xf numFmtId="165" fontId="50" fillId="0" borderId="0" xfId="0" applyNumberFormat="1" applyFont="1" applyFill="1" applyBorder="1" applyAlignment="1">
      <alignment horizontal="center"/>
    </xf>
    <xf numFmtId="0" fontId="50" fillId="0" borderId="24" xfId="0" applyFont="1" applyFill="1" applyBorder="1" applyAlignment="1">
      <alignment horizontal="center"/>
    </xf>
    <xf numFmtId="0" fontId="43" fillId="5" borderId="8" xfId="0" applyFont="1" applyFill="1" applyBorder="1" applyAlignment="1">
      <alignment horizontal="center" vertical="center" wrapText="1"/>
    </xf>
    <xf numFmtId="0" fontId="64" fillId="5" borderId="8" xfId="0" applyFont="1" applyFill="1" applyBorder="1" applyAlignment="1">
      <alignment horizontal="center" vertical="center" wrapText="1"/>
    </xf>
    <xf numFmtId="0" fontId="43" fillId="6" borderId="19" xfId="0" applyFont="1" applyFill="1" applyBorder="1" applyAlignment="1">
      <alignment horizontal="center" vertical="center" wrapText="1"/>
    </xf>
    <xf numFmtId="3" fontId="56" fillId="0" borderId="30" xfId="2" applyNumberFormat="1" applyFont="1" applyFill="1" applyBorder="1" applyAlignment="1" applyProtection="1">
      <alignment horizontal="center"/>
      <protection locked="0"/>
    </xf>
    <xf numFmtId="0" fontId="43" fillId="5" borderId="15" xfId="0" applyFont="1" applyFill="1" applyBorder="1" applyAlignment="1">
      <alignment horizontal="center" vertical="center" wrapText="1"/>
    </xf>
    <xf numFmtId="3" fontId="59" fillId="0" borderId="1" xfId="0" applyNumberFormat="1" applyFont="1" applyFill="1" applyBorder="1" applyAlignment="1" applyProtection="1">
      <alignment horizontal="center"/>
      <protection locked="0"/>
    </xf>
    <xf numFmtId="0" fontId="43" fillId="5" borderId="8" xfId="0" applyFont="1" applyFill="1" applyBorder="1" applyAlignment="1">
      <alignment horizontal="center" vertical="center"/>
    </xf>
    <xf numFmtId="0" fontId="49" fillId="9" borderId="0" xfId="0" applyFont="1" applyFill="1" applyAlignment="1">
      <alignment horizontal="center"/>
    </xf>
    <xf numFmtId="0" fontId="44" fillId="9" borderId="0" xfId="0" applyFont="1" applyFill="1" applyBorder="1" applyAlignment="1"/>
    <xf numFmtId="0" fontId="65" fillId="9" borderId="0" xfId="0" applyFont="1" applyFill="1" applyBorder="1" applyAlignment="1">
      <alignment horizontal="center"/>
    </xf>
    <xf numFmtId="0" fontId="45" fillId="9" borderId="0" xfId="0" applyFont="1" applyFill="1" applyAlignment="1">
      <alignment horizontal="center"/>
    </xf>
    <xf numFmtId="0" fontId="52" fillId="9" borderId="0" xfId="0" applyFont="1" applyFill="1" applyAlignment="1">
      <alignment horizontal="center"/>
    </xf>
    <xf numFmtId="0" fontId="53" fillId="9" borderId="0" xfId="0" applyFont="1" applyFill="1" applyBorder="1" applyAlignment="1">
      <alignment horizontal="right"/>
    </xf>
    <xf numFmtId="1" fontId="51" fillId="8" borderId="0" xfId="0" applyNumberFormat="1" applyFont="1" applyFill="1" applyBorder="1" applyAlignment="1">
      <alignment horizontal="center"/>
    </xf>
    <xf numFmtId="165" fontId="51" fillId="9" borderId="0" xfId="0" applyNumberFormat="1" applyFont="1" applyFill="1" applyBorder="1" applyAlignment="1">
      <alignment horizontal="center"/>
    </xf>
    <xf numFmtId="1" fontId="45" fillId="9" borderId="0" xfId="0" applyNumberFormat="1" applyFont="1" applyFill="1" applyAlignment="1">
      <alignment horizontal="center"/>
    </xf>
    <xf numFmtId="173" fontId="55" fillId="0" borderId="5" xfId="0" applyNumberFormat="1" applyFont="1" applyFill="1" applyBorder="1" applyAlignment="1">
      <alignment horizontal="center"/>
    </xf>
    <xf numFmtId="0" fontId="39" fillId="0" borderId="0" xfId="4" applyFont="1"/>
    <xf numFmtId="0" fontId="39" fillId="0" borderId="0" xfId="4" applyFont="1" applyBorder="1" applyAlignment="1">
      <alignment horizontal="center" vertical="center"/>
    </xf>
    <xf numFmtId="0" fontId="72" fillId="10" borderId="35" xfId="4" applyFont="1" applyFill="1" applyBorder="1" applyAlignment="1">
      <alignment horizontal="center"/>
    </xf>
    <xf numFmtId="0" fontId="72" fillId="12" borderId="35" xfId="4" applyFont="1" applyFill="1" applyBorder="1" applyAlignment="1">
      <alignment horizontal="center"/>
    </xf>
    <xf numFmtId="0" fontId="72" fillId="13" borderId="36" xfId="4" applyFont="1" applyFill="1" applyBorder="1" applyAlignment="1">
      <alignment horizontal="center"/>
    </xf>
    <xf numFmtId="0" fontId="73" fillId="15" borderId="3" xfId="4" applyFont="1" applyFill="1" applyBorder="1" applyAlignment="1">
      <alignment horizontal="center" vertical="center" wrapText="1"/>
    </xf>
    <xf numFmtId="0" fontId="73" fillId="11" borderId="3" xfId="4" applyFont="1" applyFill="1" applyBorder="1" applyAlignment="1">
      <alignment horizontal="center" vertical="center" wrapText="1"/>
    </xf>
    <xf numFmtId="0" fontId="72" fillId="10" borderId="3" xfId="4" applyFont="1" applyFill="1" applyBorder="1" applyAlignment="1">
      <alignment horizontal="center" vertical="center" wrapText="1"/>
    </xf>
    <xf numFmtId="0" fontId="72" fillId="12" borderId="3" xfId="4" applyFont="1" applyFill="1" applyBorder="1" applyAlignment="1">
      <alignment horizontal="center" vertical="center" wrapText="1"/>
    </xf>
    <xf numFmtId="0" fontId="72" fillId="13" borderId="3" xfId="4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5" fontId="21" fillId="8" borderId="3" xfId="0" applyNumberFormat="1" applyFont="1" applyFill="1" applyBorder="1" applyAlignment="1">
      <alignment horizontal="center"/>
    </xf>
    <xf numFmtId="15" fontId="21" fillId="3" borderId="3" xfId="0" applyNumberFormat="1" applyFont="1" applyFill="1" applyBorder="1" applyAlignment="1">
      <alignment horizontal="center"/>
    </xf>
    <xf numFmtId="1" fontId="38" fillId="0" borderId="3" xfId="0" applyNumberFormat="1" applyFont="1" applyFill="1" applyBorder="1" applyAlignment="1">
      <alignment horizontal="center"/>
    </xf>
    <xf numFmtId="165" fontId="21" fillId="0" borderId="3" xfId="0" applyNumberFormat="1" applyFont="1" applyFill="1" applyBorder="1" applyAlignment="1">
      <alignment horizontal="center"/>
    </xf>
    <xf numFmtId="165" fontId="38" fillId="0" borderId="3" xfId="0" applyNumberFormat="1" applyFont="1" applyFill="1" applyBorder="1" applyAlignment="1">
      <alignment horizontal="center"/>
    </xf>
    <xf numFmtId="2" fontId="21" fillId="0" borderId="3" xfId="3" applyNumberFormat="1" applyFont="1" applyBorder="1" applyAlignment="1">
      <alignment horizontal="center"/>
    </xf>
    <xf numFmtId="0" fontId="60" fillId="7" borderId="0" xfId="0" applyFont="1" applyFill="1" applyBorder="1" applyAlignment="1" applyProtection="1">
      <alignment horizontal="center" vertical="center"/>
      <protection hidden="1"/>
    </xf>
    <xf numFmtId="0" fontId="74" fillId="0" borderId="23" xfId="0" applyFont="1" applyFill="1" applyBorder="1" applyAlignment="1">
      <alignment horizontal="center" vertical="center"/>
    </xf>
    <xf numFmtId="0" fontId="74" fillId="0" borderId="19" xfId="0" applyFont="1" applyFill="1" applyBorder="1" applyAlignment="1">
      <alignment horizontal="center" vertical="center"/>
    </xf>
    <xf numFmtId="0" fontId="75" fillId="0" borderId="18" xfId="0" applyFont="1" applyBorder="1" applyAlignment="1">
      <alignment horizontal="center"/>
    </xf>
    <xf numFmtId="0" fontId="75" fillId="0" borderId="20" xfId="0" applyFont="1" applyBorder="1" applyAlignment="1">
      <alignment horizontal="center"/>
    </xf>
    <xf numFmtId="0" fontId="72" fillId="13" borderId="35" xfId="4" applyFont="1" applyFill="1" applyBorder="1" applyAlignment="1">
      <alignment horizontal="center"/>
    </xf>
    <xf numFmtId="0" fontId="70" fillId="12" borderId="32" xfId="4" applyFont="1" applyFill="1" applyBorder="1" applyAlignment="1">
      <alignment horizontal="center"/>
    </xf>
    <xf numFmtId="0" fontId="69" fillId="10" borderId="31" xfId="4" applyFont="1" applyFill="1" applyBorder="1" applyAlignment="1">
      <alignment horizontal="center"/>
    </xf>
    <xf numFmtId="0" fontId="69" fillId="10" borderId="32" xfId="4" applyFont="1" applyFill="1" applyBorder="1" applyAlignment="1">
      <alignment horizontal="center"/>
    </xf>
    <xf numFmtId="0" fontId="70" fillId="13" borderId="32" xfId="4" applyFont="1" applyFill="1" applyBorder="1" applyAlignment="1">
      <alignment horizontal="center"/>
    </xf>
    <xf numFmtId="0" fontId="70" fillId="13" borderId="33" xfId="4" applyFont="1" applyFill="1" applyBorder="1" applyAlignment="1">
      <alignment horizontal="center"/>
    </xf>
    <xf numFmtId="0" fontId="72" fillId="10" borderId="34" xfId="4" applyFont="1" applyFill="1" applyBorder="1" applyAlignment="1">
      <alignment horizontal="center"/>
    </xf>
    <xf numFmtId="0" fontId="72" fillId="10" borderId="35" xfId="4" applyFont="1" applyFill="1" applyBorder="1" applyAlignment="1">
      <alignment horizontal="center"/>
    </xf>
    <xf numFmtId="0" fontId="71" fillId="14" borderId="13" xfId="4" applyFont="1" applyFill="1" applyBorder="1" applyAlignment="1">
      <alignment horizontal="center" vertical="center" shrinkToFit="1"/>
    </xf>
    <xf numFmtId="0" fontId="71" fillId="14" borderId="14" xfId="4" applyFont="1" applyFill="1" applyBorder="1" applyAlignment="1">
      <alignment horizontal="center" vertical="center" shrinkToFit="1"/>
    </xf>
    <xf numFmtId="0" fontId="71" fillId="14" borderId="18" xfId="4" applyFont="1" applyFill="1" applyBorder="1" applyAlignment="1">
      <alignment horizontal="center" vertical="center" shrinkToFit="1"/>
    </xf>
    <xf numFmtId="0" fontId="71" fillId="14" borderId="20" xfId="4" applyFont="1" applyFill="1" applyBorder="1" applyAlignment="1">
      <alignment horizontal="center" vertical="center" shrinkToFit="1"/>
    </xf>
    <xf numFmtId="0" fontId="68" fillId="11" borderId="19" xfId="4" applyFont="1" applyFill="1" applyBorder="1" applyAlignment="1">
      <alignment horizontal="center" vertical="center"/>
    </xf>
    <xf numFmtId="0" fontId="68" fillId="11" borderId="10" xfId="4" applyFont="1" applyFill="1" applyBorder="1" applyAlignment="1">
      <alignment horizontal="center" vertical="center"/>
    </xf>
    <xf numFmtId="0" fontId="14" fillId="0" borderId="23" xfId="0" applyFont="1" applyFill="1" applyBorder="1" applyAlignment="1">
      <alignment horizontal="center" vertical="center"/>
    </xf>
    <xf numFmtId="0" fontId="68" fillId="11" borderId="9" xfId="4" applyFont="1" applyFill="1" applyBorder="1" applyAlignment="1">
      <alignment horizontal="center" vertical="center"/>
    </xf>
    <xf numFmtId="0" fontId="68" fillId="11" borderId="18" xfId="4" applyFont="1" applyFill="1" applyBorder="1" applyAlignment="1">
      <alignment horizontal="center" vertical="center"/>
    </xf>
    <xf numFmtId="0" fontId="68" fillId="11" borderId="7" xfId="4" applyFont="1" applyFill="1" applyBorder="1" applyAlignment="1">
      <alignment horizontal="center" vertical="center"/>
    </xf>
    <xf numFmtId="0" fontId="71" fillId="11" borderId="9" xfId="4" applyFont="1" applyFill="1" applyBorder="1" applyAlignment="1">
      <alignment horizontal="center" vertical="center" shrinkToFit="1"/>
    </xf>
    <xf numFmtId="0" fontId="71" fillId="11" borderId="18" xfId="4" applyFont="1" applyFill="1" applyBorder="1" applyAlignment="1">
      <alignment horizontal="center" vertical="center" shrinkToFit="1"/>
    </xf>
    <xf numFmtId="0" fontId="71" fillId="14" borderId="12" xfId="4" applyFont="1" applyFill="1" applyBorder="1" applyAlignment="1">
      <alignment horizontal="center" vertical="center" shrinkToFit="1"/>
    </xf>
    <xf numFmtId="0" fontId="71" fillId="14" borderId="11" xfId="4" applyFont="1" applyFill="1" applyBorder="1" applyAlignment="1">
      <alignment horizontal="center" vertical="center" shrinkToFit="1"/>
    </xf>
    <xf numFmtId="0" fontId="58" fillId="6" borderId="23" xfId="0" applyFont="1" applyFill="1" applyBorder="1" applyAlignment="1">
      <alignment horizontal="center"/>
    </xf>
    <xf numFmtId="0" fontId="58" fillId="6" borderId="0" xfId="0" applyFont="1" applyFill="1" applyAlignment="1">
      <alignment horizontal="center"/>
    </xf>
    <xf numFmtId="0" fontId="43" fillId="6" borderId="9" xfId="0" applyFont="1" applyFill="1" applyBorder="1" applyAlignment="1">
      <alignment horizontal="center" vertical="center" wrapText="1"/>
    </xf>
    <xf numFmtId="0" fontId="43" fillId="6" borderId="18" xfId="0" applyFont="1" applyFill="1" applyBorder="1" applyAlignment="1">
      <alignment horizontal="center" vertical="center" wrapText="1"/>
    </xf>
    <xf numFmtId="0" fontId="43" fillId="6" borderId="20" xfId="0" applyFont="1" applyFill="1" applyBorder="1" applyAlignment="1">
      <alignment horizontal="center" vertical="center" wrapText="1"/>
    </xf>
    <xf numFmtId="0" fontId="76" fillId="0" borderId="0" xfId="0" applyFont="1" applyAlignment="1">
      <alignment horizontal="center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28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D56-4DFB-8E51-15C54B9B009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D56-4DFB-8E51-15C54B9B009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D56-4DFB-8E51-15C54B9B009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D56-4DFB-8E51-15C54B9B009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D56-4DFB-8E51-15C54B9B009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D56-4DFB-8E51-15C54B9B0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455040"/>
        <c:axId val="313636528"/>
      </c:barChart>
      <c:catAx>
        <c:axId val="354455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1363652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13636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5445504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EF7-449A-BBD7-6CF2C54CF44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EF7-449A-BBD7-6CF2C54CF44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EF7-449A-BBD7-6CF2C54CF44D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EF7-449A-BBD7-6CF2C54CF44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EF7-449A-BBD7-6CF2C54CF44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EF7-449A-BBD7-6CF2C54CF44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1EF7-449A-BBD7-6CF2C54CF44D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1EF7-449A-BBD7-6CF2C54CF44D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EF7-449A-BBD7-6CF2C54CF44D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1EF7-449A-BBD7-6CF2C54CF44D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1EF7-449A-BBD7-6CF2C54CF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637312"/>
        <c:axId val="313637704"/>
      </c:lineChart>
      <c:catAx>
        <c:axId val="313637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13637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37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1363731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8F-4C43-8E22-5C9E22FFCF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8F-4C43-8E22-5C9E22FFCF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8F-4C43-8E22-5C9E22FFCF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8F-4C43-8E22-5C9E22FFC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2818328"/>
        <c:axId val="352818720"/>
      </c:barChart>
      <c:catAx>
        <c:axId val="352818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52818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2818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52818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E4-465A-A9B5-FCF65108B2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E4-465A-A9B5-FCF65108B2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E4-465A-A9B5-FCF65108B2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E4-465A-A9B5-FCF65108B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640544"/>
        <c:axId val="357640936"/>
      </c:barChart>
      <c:catAx>
        <c:axId val="357640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57640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640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57640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F5-4DFD-A247-20B1147B60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F5-4DFD-A247-20B1147B60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F5-4DFD-A247-20B1147B60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F5-4DFD-A247-20B1147B6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641720"/>
        <c:axId val="345883744"/>
      </c:barChart>
      <c:catAx>
        <c:axId val="357641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588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5883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57641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C5-410A-9FD2-33C3E0DF20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C5-410A-9FD2-33C3E0DF20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C5-410A-9FD2-33C3E0DF20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C5-410A-9FD2-33C3E0DF2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884528"/>
        <c:axId val="345884920"/>
      </c:barChart>
      <c:catAx>
        <c:axId val="345884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5884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5884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5884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21-40CC-B31C-589B9A0CD0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21-40CC-B31C-589B9A0CD0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21-40CC-B31C-589B9A0CD0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21-40CC-B31C-589B9A0CD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818208"/>
        <c:axId val="345818600"/>
      </c:barChart>
      <c:catAx>
        <c:axId val="345818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5818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5818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5818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463-410F-AD03-6292053F65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463-410F-AD03-6292053F65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463-410F-AD03-6292053F65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463-410F-AD03-6292053F6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819384"/>
        <c:axId val="345819776"/>
      </c:barChart>
      <c:catAx>
        <c:axId val="345819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5819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5819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5819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D9-47AB-AAEC-1FDBC0E83C4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D9-47AB-AAEC-1FDBC0E83C4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D9-47AB-AAEC-1FDBC0E83C4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D9-47AB-AAEC-1FDBC0E83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1310568"/>
        <c:axId val="361310960"/>
      </c:barChart>
      <c:catAx>
        <c:axId val="361310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131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1310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1310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F8-4FB4-A438-671217841F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F8-4FB4-A438-671217841F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F8-4FB4-A438-671217841F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F8-4FB4-A438-671217841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1311744"/>
        <c:axId val="360310992"/>
      </c:barChart>
      <c:catAx>
        <c:axId val="36131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0310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310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1311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20A-41B3-B7DF-DAB412556C7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20A-41B3-B7DF-DAB412556C7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20A-41B3-B7DF-DAB412556C7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20A-41B3-B7DF-DAB412556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311776"/>
        <c:axId val="360312168"/>
      </c:barChart>
      <c:catAx>
        <c:axId val="36031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0312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312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0311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BF-4B46-AA79-F28FD1FE5F8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BF-4B46-AA79-F28FD1FE5F8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BF-4B46-AA79-F28FD1FE5F8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BF-4B46-AA79-F28FD1FE5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7104160"/>
        <c:axId val="347104552"/>
      </c:barChart>
      <c:catAx>
        <c:axId val="34710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7104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7104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7104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05-4D0A-B9C5-658160434E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05-4D0A-B9C5-658160434E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05-4D0A-B9C5-658160434E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05-4D0A-B9C5-658160434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7105336"/>
        <c:axId val="347105728"/>
      </c:barChart>
      <c:catAx>
        <c:axId val="34710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7105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7105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7105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09-4AF6-AE1E-43D622248A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409-4AF6-AE1E-43D622248A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409-4AF6-AE1E-43D622248A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09-4AF6-AE1E-43D622248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334816"/>
        <c:axId val="313335208"/>
      </c:barChart>
      <c:catAx>
        <c:axId val="313334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13335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335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13334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93-4DFA-A92E-E856C2FFE0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93-4DFA-A92E-E856C2FFE0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93-4DFA-A92E-E856C2FFE0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93-4DFA-A92E-E856C2FFE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335992"/>
        <c:axId val="360021960"/>
      </c:barChart>
      <c:catAx>
        <c:axId val="313335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0021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021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13335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10-4E5C-BE3C-EB04090EBF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10-4E5C-BE3C-EB04090EBF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10-4E5C-BE3C-EB04090EBF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10-4E5C-BE3C-EB04090EB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022744"/>
        <c:axId val="360023136"/>
      </c:barChart>
      <c:catAx>
        <c:axId val="360022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0023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023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0022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9-414B-BBB7-803954A531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9-414B-BBB7-803954A531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9-414B-BBB7-803954A531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9-414B-BBB7-803954A53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855400"/>
        <c:axId val="349855792"/>
      </c:barChart>
      <c:catAx>
        <c:axId val="349855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9855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9855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9855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CD-46E9-B54A-71484A9E650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CD-46E9-B54A-71484A9E650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CD-46E9-B54A-71484A9E650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CD-46E9-B54A-71484A9E6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856576"/>
        <c:axId val="349856968"/>
      </c:barChart>
      <c:catAx>
        <c:axId val="349856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9856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9856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9856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62-4900-9A1D-80284AF308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62-4900-9A1D-80284AF308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62-4900-9A1D-80284AF308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62-4900-9A1D-80284AF30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900848"/>
        <c:axId val="349901240"/>
      </c:barChart>
      <c:catAx>
        <c:axId val="349900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9901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9901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9900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D94-4518-87F4-D827078DF2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D94-4518-87F4-D827078DF2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D94-4518-87F4-D827078DF2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D94-4518-87F4-D827078DF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902024"/>
        <c:axId val="349974232"/>
      </c:barChart>
      <c:catAx>
        <c:axId val="349902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9974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9974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9902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8A-47FB-8F8C-297278FBA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8A-47FB-8F8C-297278FBA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8A-47FB-8F8C-297278FBA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8A-47FB-8F8C-297278FBA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975016"/>
        <c:axId val="349975408"/>
      </c:barChart>
      <c:catAx>
        <c:axId val="349975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9975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9975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9975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F6-4326-86EB-D0A1E4508E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F6-4326-86EB-D0A1E4508E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F6-4326-86EB-D0A1E4508E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F6-4326-86EB-D0A1E4508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947752"/>
        <c:axId val="360948144"/>
      </c:barChart>
      <c:catAx>
        <c:axId val="360947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0948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948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0947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398-43F5-B54A-F7B694A9EC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398-43F5-B54A-F7B694A9EC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398-43F5-B54A-F7B694A9EC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398-43F5-B54A-F7B694A9E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948928"/>
        <c:axId val="360949320"/>
      </c:barChart>
      <c:catAx>
        <c:axId val="36094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0949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949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0948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EF-46A7-89B8-62FBE7CDEF8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EF-46A7-89B8-62FBE7CDEF8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EF-46A7-89B8-62FBE7CDEF8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EF-46A7-89B8-62FBE7CDE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1013688"/>
        <c:axId val="361014080"/>
      </c:barChart>
      <c:catAx>
        <c:axId val="361013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1014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1014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1013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59-42D6-B771-FAEBE8D75B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59-42D6-B771-FAEBE8D75B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59-42D6-B771-FAEBE8D75B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59-42D6-B771-FAEBE8D75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1014864"/>
        <c:axId val="349617840"/>
      </c:barChart>
      <c:catAx>
        <c:axId val="36101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9617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9617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1014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D3-41E3-A356-DB64062E08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D3-41E3-A356-DB64062E08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D3-41E3-A356-DB64062E08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D3-41E3-A356-DB64062E0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618624"/>
        <c:axId val="349619016"/>
      </c:barChart>
      <c:catAx>
        <c:axId val="349618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9619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9619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9618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323851</xdr:colOff>
      <xdr:row>0</xdr:row>
      <xdr:rowOff>190500</xdr:rowOff>
    </xdr:from>
    <xdr:to>
      <xdr:col>2</xdr:col>
      <xdr:colOff>221039</xdr:colOff>
      <xdr:row>2</xdr:row>
      <xdr:rowOff>228600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1" y="190500"/>
          <a:ext cx="906838" cy="771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47625</xdr:colOff>
      <xdr:row>0</xdr:row>
      <xdr:rowOff>219075</xdr:rowOff>
    </xdr:from>
    <xdr:to>
      <xdr:col>4</xdr:col>
      <xdr:colOff>228600</xdr:colOff>
      <xdr:row>2</xdr:row>
      <xdr:rowOff>226060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419225" y="219075"/>
          <a:ext cx="676275" cy="74041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897467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Normal="100" workbookViewId="0"/>
  </sheetViews>
  <sheetFormatPr baseColWidth="10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4"/>
      <c r="B1" s="35"/>
      <c r="C1" s="35"/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/>
      <c r="V1" s="3"/>
      <c r="W1" s="3"/>
    </row>
    <row r="2" spans="1:23" ht="17.45" customHeight="1">
      <c r="A2" s="38"/>
      <c r="B2" s="88"/>
      <c r="C2" s="89"/>
      <c r="D2" s="89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1"/>
      <c r="R2" s="36"/>
      <c r="S2" s="36"/>
      <c r="T2" s="36"/>
      <c r="U2" s="37"/>
      <c r="V2" s="3"/>
      <c r="W2" s="3"/>
    </row>
    <row r="3" spans="1:23" ht="17.45" customHeight="1">
      <c r="A3" s="38"/>
      <c r="B3" s="92"/>
      <c r="C3" s="55"/>
      <c r="D3" s="55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93"/>
      <c r="R3" s="36"/>
      <c r="S3" s="36"/>
      <c r="T3" s="36"/>
      <c r="U3" s="37"/>
      <c r="V3" s="3"/>
      <c r="W3" s="3"/>
    </row>
    <row r="4" spans="1:23" ht="10.5" customHeight="1">
      <c r="A4" s="38"/>
      <c r="B4" s="92"/>
      <c r="C4" s="56"/>
      <c r="D4" s="57"/>
      <c r="E4" s="58"/>
      <c r="F4" s="58"/>
      <c r="G4" s="58"/>
      <c r="H4" s="58"/>
      <c r="I4" s="58"/>
      <c r="J4" s="58"/>
      <c r="K4" s="58"/>
      <c r="L4" s="58"/>
      <c r="M4" s="58"/>
      <c r="N4" s="59"/>
      <c r="O4" s="54"/>
      <c r="P4" s="54"/>
      <c r="Q4" s="93"/>
      <c r="R4" s="36"/>
      <c r="S4" s="36"/>
      <c r="T4" s="36"/>
      <c r="U4" s="37"/>
      <c r="V4" s="3"/>
      <c r="W4" s="3"/>
    </row>
    <row r="5" spans="1:23" ht="32.25" customHeight="1">
      <c r="A5" s="39"/>
      <c r="B5" s="92"/>
      <c r="C5" s="60"/>
      <c r="D5" s="60"/>
      <c r="E5" s="166" t="s">
        <v>65</v>
      </c>
      <c r="F5" s="166"/>
      <c r="G5" s="166"/>
      <c r="H5" s="166"/>
      <c r="I5" s="166"/>
      <c r="J5" s="166"/>
      <c r="K5" s="166"/>
      <c r="L5" s="166"/>
      <c r="M5" s="166"/>
      <c r="N5" s="61"/>
      <c r="O5" s="54"/>
      <c r="P5" s="54"/>
      <c r="Q5" s="93"/>
      <c r="R5" s="36"/>
      <c r="S5" s="36"/>
      <c r="T5" s="36"/>
      <c r="U5" s="37"/>
      <c r="V5" s="3"/>
      <c r="W5" s="3"/>
    </row>
    <row r="6" spans="1:23" ht="17.45" customHeight="1">
      <c r="A6" s="38"/>
      <c r="B6" s="92"/>
      <c r="C6" s="62"/>
      <c r="D6" s="62"/>
      <c r="E6" s="63"/>
      <c r="F6" s="64"/>
      <c r="G6" s="64"/>
      <c r="H6" s="64"/>
      <c r="I6" s="64"/>
      <c r="J6" s="64"/>
      <c r="K6" s="64"/>
      <c r="L6" s="64"/>
      <c r="M6" s="64"/>
      <c r="N6" s="65"/>
      <c r="O6" s="66"/>
      <c r="P6" s="66"/>
      <c r="Q6" s="94"/>
      <c r="R6" s="36"/>
      <c r="S6" s="36"/>
      <c r="T6" s="36"/>
      <c r="U6" s="37"/>
      <c r="V6" s="3"/>
      <c r="W6" s="3"/>
    </row>
    <row r="7" spans="1:23" ht="17.45" customHeight="1">
      <c r="A7" s="38"/>
      <c r="B7" s="95"/>
      <c r="C7" s="67"/>
      <c r="D7" s="67"/>
      <c r="E7" s="68"/>
      <c r="F7" s="68"/>
      <c r="G7" s="68"/>
      <c r="H7" s="68"/>
      <c r="I7" s="68"/>
      <c r="J7" s="68"/>
      <c r="K7" s="68"/>
      <c r="L7" s="68"/>
      <c r="M7" s="54"/>
      <c r="N7" s="66"/>
      <c r="O7" s="66"/>
      <c r="P7" s="66"/>
      <c r="Q7" s="94"/>
      <c r="R7" s="36"/>
      <c r="S7" s="36"/>
      <c r="T7" s="36"/>
      <c r="U7" s="37"/>
      <c r="V7" s="3"/>
      <c r="W7" s="3"/>
    </row>
    <row r="8" spans="1:23" ht="17.45" customHeight="1">
      <c r="A8" s="38"/>
      <c r="B8" s="96"/>
      <c r="C8" s="69"/>
      <c r="D8" s="69"/>
      <c r="E8" s="70"/>
      <c r="F8" s="71"/>
      <c r="G8" s="71"/>
      <c r="H8" s="71"/>
      <c r="I8" s="72"/>
      <c r="J8" s="72"/>
      <c r="K8" s="72"/>
      <c r="L8" s="73"/>
      <c r="M8" s="54"/>
      <c r="N8" s="54"/>
      <c r="O8" s="66"/>
      <c r="P8" s="66"/>
      <c r="Q8" s="94"/>
      <c r="R8" s="36"/>
      <c r="S8" s="36"/>
      <c r="T8" s="36"/>
      <c r="U8" s="37"/>
      <c r="V8" s="3"/>
      <c r="W8" s="3"/>
    </row>
    <row r="9" spans="1:23" ht="17.45" customHeight="1">
      <c r="A9" s="38"/>
      <c r="B9" s="96"/>
      <c r="C9" s="69"/>
      <c r="D9" s="74"/>
      <c r="E9" s="72"/>
      <c r="F9" s="72"/>
      <c r="G9" s="72"/>
      <c r="H9" s="72"/>
      <c r="I9" s="72"/>
      <c r="J9" s="72"/>
      <c r="K9" s="72"/>
      <c r="L9" s="73"/>
      <c r="M9" s="54"/>
      <c r="N9" s="54"/>
      <c r="O9" s="66"/>
      <c r="P9" s="54"/>
      <c r="Q9" s="93"/>
      <c r="R9" s="36"/>
      <c r="S9" s="36"/>
      <c r="T9" s="36"/>
      <c r="U9" s="37"/>
      <c r="V9" s="3"/>
      <c r="W9" s="3"/>
    </row>
    <row r="10" spans="1:23" ht="17.45" customHeight="1">
      <c r="A10" s="38"/>
      <c r="B10" s="96"/>
      <c r="C10" s="69"/>
      <c r="D10" s="75"/>
      <c r="E10" s="76"/>
      <c r="F10" s="72"/>
      <c r="G10" s="72"/>
      <c r="H10" s="72"/>
      <c r="I10" s="72"/>
      <c r="J10" s="72"/>
      <c r="K10" s="72"/>
      <c r="L10" s="73"/>
      <c r="M10" s="54"/>
      <c r="N10" s="54"/>
      <c r="O10" s="66"/>
      <c r="P10" s="54"/>
      <c r="Q10" s="93"/>
      <c r="R10" s="36"/>
      <c r="S10" s="36"/>
      <c r="T10" s="36"/>
      <c r="U10" s="37"/>
      <c r="V10" s="3"/>
      <c r="W10" s="3"/>
    </row>
    <row r="11" spans="1:23" ht="12" customHeight="1">
      <c r="A11" s="38"/>
      <c r="B11" s="96"/>
      <c r="C11" s="69"/>
      <c r="D11" s="77"/>
      <c r="E11" s="72"/>
      <c r="F11" s="72"/>
      <c r="G11" s="72"/>
      <c r="H11" s="72"/>
      <c r="I11" s="72"/>
      <c r="J11" s="72"/>
      <c r="K11" s="72"/>
      <c r="L11" s="78"/>
      <c r="M11" s="78"/>
      <c r="N11" s="78"/>
      <c r="O11" s="79"/>
      <c r="P11" s="54"/>
      <c r="Q11" s="93"/>
      <c r="R11" s="36"/>
      <c r="S11" s="36"/>
      <c r="T11" s="36"/>
      <c r="U11" s="37"/>
      <c r="V11" s="3"/>
      <c r="W11" s="3"/>
    </row>
    <row r="12" spans="1:23" ht="17.45" customHeight="1">
      <c r="A12" s="38"/>
      <c r="B12" s="96"/>
      <c r="C12" s="69"/>
      <c r="D12" s="69"/>
      <c r="E12" s="72"/>
      <c r="F12" s="72"/>
      <c r="G12" s="72"/>
      <c r="H12" s="72"/>
      <c r="I12" s="72"/>
      <c r="J12" s="72"/>
      <c r="K12" s="72"/>
      <c r="L12" s="80"/>
      <c r="M12" s="78"/>
      <c r="N12" s="78"/>
      <c r="O12" s="79"/>
      <c r="P12" s="81"/>
      <c r="Q12" s="93"/>
      <c r="R12" s="36"/>
      <c r="S12" s="36"/>
      <c r="T12" s="36"/>
      <c r="U12" s="37"/>
      <c r="V12" s="3"/>
      <c r="W12" s="3"/>
    </row>
    <row r="13" spans="1:23" ht="17.25" customHeight="1">
      <c r="A13" s="38"/>
      <c r="B13" s="97"/>
      <c r="C13" s="69"/>
      <c r="D13" s="69"/>
      <c r="E13" s="82"/>
      <c r="F13" s="72"/>
      <c r="G13" s="72"/>
      <c r="H13" s="72"/>
      <c r="I13" s="72"/>
      <c r="J13" s="72"/>
      <c r="K13" s="72"/>
      <c r="L13" s="80"/>
      <c r="M13" s="78"/>
      <c r="N13" s="78"/>
      <c r="O13" s="79"/>
      <c r="P13" s="81"/>
      <c r="Q13" s="93"/>
      <c r="R13" s="36"/>
      <c r="S13" s="36"/>
      <c r="T13" s="36"/>
      <c r="U13" s="37"/>
      <c r="V13" s="3"/>
      <c r="W13" s="3"/>
    </row>
    <row r="14" spans="1:23" ht="17.25" customHeight="1">
      <c r="A14" s="38"/>
      <c r="B14" s="97"/>
      <c r="C14" s="83"/>
      <c r="D14" s="69"/>
      <c r="E14" s="72"/>
      <c r="F14" s="72"/>
      <c r="G14" s="72"/>
      <c r="H14" s="72"/>
      <c r="I14" s="72"/>
      <c r="J14" s="72"/>
      <c r="K14" s="72"/>
      <c r="L14" s="80"/>
      <c r="M14" s="78"/>
      <c r="N14" s="78"/>
      <c r="O14" s="79"/>
      <c r="P14" s="81"/>
      <c r="Q14" s="93"/>
      <c r="R14" s="36"/>
      <c r="S14" s="36"/>
      <c r="T14" s="36"/>
      <c r="U14" s="37"/>
      <c r="V14" s="3"/>
      <c r="W14" s="3"/>
    </row>
    <row r="15" spans="1:23" ht="17.45" customHeight="1">
      <c r="A15" s="42"/>
      <c r="B15" s="97"/>
      <c r="C15" s="69"/>
      <c r="D15" s="69"/>
      <c r="E15" s="72"/>
      <c r="F15" s="72"/>
      <c r="G15" s="72"/>
      <c r="H15" s="72"/>
      <c r="I15" s="72"/>
      <c r="J15" s="72"/>
      <c r="K15" s="72"/>
      <c r="L15" s="80"/>
      <c r="M15" s="78"/>
      <c r="N15" s="78"/>
      <c r="O15" s="79"/>
      <c r="P15" s="84"/>
      <c r="Q15" s="98"/>
      <c r="R15" s="36"/>
      <c r="S15" s="36"/>
      <c r="T15" s="36"/>
      <c r="U15" s="37"/>
      <c r="V15" s="3"/>
      <c r="W15" s="3"/>
    </row>
    <row r="16" spans="1:23" ht="17.45" customHeight="1">
      <c r="A16" s="42"/>
      <c r="B16" s="96"/>
      <c r="C16" s="69"/>
      <c r="D16" s="69"/>
      <c r="E16" s="85"/>
      <c r="F16" s="72"/>
      <c r="G16" s="72"/>
      <c r="H16" s="72"/>
      <c r="I16" s="72"/>
      <c r="J16" s="72"/>
      <c r="K16" s="72"/>
      <c r="L16" s="80"/>
      <c r="M16" s="78"/>
      <c r="N16" s="78"/>
      <c r="O16" s="79"/>
      <c r="P16" s="84"/>
      <c r="Q16" s="98"/>
      <c r="R16" s="36"/>
      <c r="S16" s="36"/>
      <c r="T16" s="36"/>
      <c r="U16" s="37"/>
      <c r="V16" s="3"/>
      <c r="W16" s="3"/>
    </row>
    <row r="17" spans="1:23" ht="17.45" customHeight="1">
      <c r="A17" s="42"/>
      <c r="B17" s="97"/>
      <c r="C17" s="69"/>
      <c r="D17" s="69"/>
      <c r="E17" s="72"/>
      <c r="F17" s="72"/>
      <c r="G17" s="72"/>
      <c r="H17" s="72"/>
      <c r="I17" s="72"/>
      <c r="J17" s="72"/>
      <c r="K17" s="72"/>
      <c r="L17" s="80"/>
      <c r="M17" s="78"/>
      <c r="N17" s="78"/>
      <c r="O17" s="79"/>
      <c r="P17" s="84"/>
      <c r="Q17" s="93"/>
      <c r="R17" s="36"/>
      <c r="S17" s="36"/>
      <c r="T17" s="36"/>
      <c r="U17" s="37"/>
      <c r="V17" s="3"/>
      <c r="W17" s="3"/>
    </row>
    <row r="18" spans="1:23" ht="17.25" customHeight="1">
      <c r="A18" s="42"/>
      <c r="B18" s="97"/>
      <c r="C18" s="69"/>
      <c r="D18" s="69"/>
      <c r="E18" s="72"/>
      <c r="F18" s="72"/>
      <c r="G18" s="72"/>
      <c r="H18" s="72"/>
      <c r="I18" s="72"/>
      <c r="J18" s="72"/>
      <c r="K18" s="72"/>
      <c r="L18" s="80"/>
      <c r="M18" s="78"/>
      <c r="N18" s="78"/>
      <c r="O18" s="79"/>
      <c r="P18" s="84"/>
      <c r="Q18" s="93"/>
      <c r="R18" s="36"/>
      <c r="S18" s="36"/>
      <c r="T18" s="36"/>
      <c r="U18" s="37"/>
      <c r="V18" s="3"/>
      <c r="W18" s="3"/>
    </row>
    <row r="19" spans="1:23" ht="17.45" customHeight="1">
      <c r="A19" s="42"/>
      <c r="B19" s="96"/>
      <c r="C19" s="69"/>
      <c r="D19" s="69"/>
      <c r="E19" s="72"/>
      <c r="F19" s="72"/>
      <c r="G19" s="72"/>
      <c r="H19" s="72"/>
      <c r="I19" s="72"/>
      <c r="J19" s="72"/>
      <c r="K19" s="72"/>
      <c r="L19" s="86"/>
      <c r="M19" s="78"/>
      <c r="N19" s="78"/>
      <c r="O19" s="79"/>
      <c r="P19" s="84"/>
      <c r="Q19" s="98"/>
      <c r="R19" s="36"/>
      <c r="S19" s="36"/>
      <c r="T19" s="36"/>
      <c r="U19" s="37"/>
      <c r="V19" s="3"/>
      <c r="W19" s="3"/>
    </row>
    <row r="20" spans="1:23" ht="17.45" customHeight="1">
      <c r="A20" s="42"/>
      <c r="B20" s="96"/>
      <c r="C20" s="69"/>
      <c r="D20" s="69"/>
      <c r="E20" s="72"/>
      <c r="F20" s="72"/>
      <c r="G20" s="72"/>
      <c r="H20" s="72"/>
      <c r="I20" s="72"/>
      <c r="J20" s="72"/>
      <c r="K20" s="72"/>
      <c r="L20" s="86"/>
      <c r="M20" s="78"/>
      <c r="N20" s="78"/>
      <c r="O20" s="79"/>
      <c r="P20" s="87"/>
      <c r="Q20" s="99"/>
      <c r="R20" s="36"/>
      <c r="S20" s="36"/>
      <c r="T20" s="36"/>
      <c r="U20" s="37"/>
      <c r="V20" s="3"/>
      <c r="W20" s="3"/>
    </row>
    <row r="21" spans="1:23" ht="17.45" customHeight="1">
      <c r="A21" s="42"/>
      <c r="B21" s="100"/>
      <c r="C21" s="101"/>
      <c r="D21" s="101"/>
      <c r="E21" s="102"/>
      <c r="F21" s="102"/>
      <c r="G21" s="102"/>
      <c r="H21" s="102"/>
      <c r="I21" s="102"/>
      <c r="J21" s="102"/>
      <c r="K21" s="102"/>
      <c r="L21" s="103"/>
      <c r="M21" s="104"/>
      <c r="N21" s="104"/>
      <c r="O21" s="105"/>
      <c r="P21" s="106"/>
      <c r="Q21" s="107"/>
      <c r="R21" s="36"/>
      <c r="S21" s="36"/>
      <c r="T21" s="36"/>
      <c r="U21" s="37"/>
      <c r="V21" s="3"/>
      <c r="W21" s="3"/>
    </row>
    <row r="22" spans="1:23" ht="17.45" customHeight="1">
      <c r="A22" s="42"/>
      <c r="B22" s="47"/>
      <c r="C22" s="48"/>
      <c r="D22" s="48"/>
      <c r="E22" s="49"/>
      <c r="F22" s="40"/>
      <c r="G22" s="40"/>
      <c r="H22" s="40"/>
      <c r="I22" s="40"/>
      <c r="J22" s="40"/>
      <c r="K22" s="40"/>
      <c r="L22" s="43"/>
      <c r="M22" s="41"/>
      <c r="N22" s="41"/>
      <c r="O22" s="46"/>
      <c r="P22" s="44"/>
      <c r="Q22" s="45"/>
      <c r="R22" s="36"/>
      <c r="S22" s="36"/>
      <c r="T22" s="36"/>
      <c r="U22" s="37"/>
      <c r="V22" s="3"/>
      <c r="W22" s="3"/>
    </row>
    <row r="23" spans="1:23" ht="15" customHeight="1">
      <c r="A23" s="50"/>
      <c r="B23" s="51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1"/>
      <c r="R23" s="50"/>
      <c r="S23" s="51"/>
      <c r="T23" s="52"/>
      <c r="U23" s="51"/>
      <c r="V23" s="3"/>
      <c r="W23" s="3"/>
    </row>
    <row r="24" spans="1:23" ht="15" customHeight="1">
      <c r="A24" s="50"/>
      <c r="B24" s="51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1"/>
      <c r="R24" s="50"/>
      <c r="S24" s="51"/>
      <c r="T24" s="52"/>
      <c r="U24" s="51"/>
      <c r="V24" s="3"/>
      <c r="W24" s="3"/>
    </row>
    <row r="25" spans="1:23" ht="15" customHeight="1">
      <c r="A25" s="50"/>
      <c r="B25" s="51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1"/>
      <c r="R25" s="50"/>
      <c r="S25" s="51"/>
      <c r="T25" s="52"/>
      <c r="U25" s="51"/>
      <c r="V25" s="3"/>
      <c r="W25" s="3"/>
    </row>
    <row r="26" spans="1:23">
      <c r="A26" s="50"/>
      <c r="B26" s="51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1"/>
      <c r="R26" s="50"/>
      <c r="S26" s="51"/>
      <c r="T26" s="52"/>
      <c r="U26" s="53"/>
    </row>
    <row r="27" spans="1:23">
      <c r="A27" s="50"/>
      <c r="B27" s="51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1"/>
      <c r="R27" s="50"/>
      <c r="S27" s="51"/>
      <c r="T27" s="52"/>
      <c r="U27" s="53"/>
    </row>
    <row r="28" spans="1:23">
      <c r="A28" s="5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6"/>
      <c r="R28" s="5"/>
      <c r="S28" s="6"/>
      <c r="T28" s="7"/>
    </row>
    <row r="71" spans="2:2">
      <c r="B71" s="9" t="s">
        <v>23</v>
      </c>
    </row>
    <row r="72" spans="2:2">
      <c r="B72" s="10" t="s">
        <v>25</v>
      </c>
    </row>
    <row r="73" spans="2:2">
      <c r="B73" s="11" t="s">
        <v>29</v>
      </c>
    </row>
    <row r="74" spans="2:2">
      <c r="B74" s="12"/>
    </row>
    <row r="76" spans="2:2">
      <c r="B76" s="9" t="s">
        <v>23</v>
      </c>
    </row>
    <row r="77" spans="2:2">
      <c r="B77" s="10" t="s">
        <v>26</v>
      </c>
    </row>
    <row r="78" spans="2:2">
      <c r="B78" s="11" t="s">
        <v>30</v>
      </c>
    </row>
    <row r="79" spans="2:2">
      <c r="B79" s="12"/>
    </row>
    <row r="81" spans="2:2">
      <c r="B81" s="9" t="s">
        <v>31</v>
      </c>
    </row>
    <row r="82" spans="2:2">
      <c r="B82" s="10" t="s">
        <v>20</v>
      </c>
    </row>
    <row r="83" spans="2:2">
      <c r="B83" s="11" t="s">
        <v>27</v>
      </c>
    </row>
    <row r="84" spans="2:2">
      <c r="B84" s="11" t="s">
        <v>32</v>
      </c>
    </row>
    <row r="85" spans="2:2">
      <c r="B85" s="11" t="s">
        <v>33</v>
      </c>
    </row>
    <row r="86" spans="2:2">
      <c r="B86" s="11" t="s">
        <v>34</v>
      </c>
    </row>
    <row r="87" spans="2:2">
      <c r="B87" s="12" t="s">
        <v>35</v>
      </c>
    </row>
    <row r="88" spans="2:2">
      <c r="B88" s="2"/>
    </row>
    <row r="89" spans="2:2">
      <c r="B89" s="9" t="s">
        <v>36</v>
      </c>
    </row>
    <row r="90" spans="2:2">
      <c r="B90" s="13">
        <v>23</v>
      </c>
    </row>
    <row r="91" spans="2:2">
      <c r="B91" s="14">
        <v>27</v>
      </c>
    </row>
    <row r="92" spans="2:2">
      <c r="B92" s="14">
        <v>31</v>
      </c>
    </row>
    <row r="93" spans="2:2">
      <c r="B93" s="14">
        <v>41</v>
      </c>
    </row>
    <row r="94" spans="2:2">
      <c r="B94" s="15" t="s">
        <v>37</v>
      </c>
    </row>
    <row r="95" spans="2:2">
      <c r="B95" s="15" t="s">
        <v>38</v>
      </c>
    </row>
    <row r="96" spans="2:2">
      <c r="B96" s="15" t="s">
        <v>28</v>
      </c>
    </row>
    <row r="97" spans="2:2">
      <c r="B97" s="16" t="s">
        <v>39</v>
      </c>
    </row>
    <row r="98" spans="2:2">
      <c r="B98" s="2"/>
    </row>
    <row r="99" spans="2:2">
      <c r="B99" s="9" t="s">
        <v>24</v>
      </c>
    </row>
    <row r="100" spans="2:2">
      <c r="B100" s="17">
        <v>190</v>
      </c>
    </row>
    <row r="101" spans="2:2">
      <c r="B101" s="18">
        <v>217</v>
      </c>
    </row>
    <row r="102" spans="2:2">
      <c r="B102" s="18">
        <v>250</v>
      </c>
    </row>
    <row r="103" spans="2:2">
      <c r="B103" s="18">
        <v>254</v>
      </c>
    </row>
    <row r="104" spans="2:2">
      <c r="B104" s="18">
        <v>271</v>
      </c>
    </row>
    <row r="105" spans="2:2">
      <c r="B105" s="18">
        <v>304</v>
      </c>
    </row>
    <row r="106" spans="2:2">
      <c r="B106" s="18">
        <v>317</v>
      </c>
    </row>
    <row r="107" spans="2:2">
      <c r="B107" s="18">
        <v>362</v>
      </c>
    </row>
    <row r="108" spans="2:2">
      <c r="B108" s="19"/>
    </row>
    <row r="109" spans="2:2">
      <c r="B109" s="2"/>
    </row>
    <row r="110" spans="2:2">
      <c r="B110" s="9" t="s">
        <v>40</v>
      </c>
    </row>
    <row r="111" spans="2:2">
      <c r="B111" s="10" t="s">
        <v>41</v>
      </c>
    </row>
    <row r="112" spans="2:2">
      <c r="B112" s="11" t="s">
        <v>42</v>
      </c>
    </row>
    <row r="113" spans="2:2">
      <c r="B113" s="11" t="s">
        <v>43</v>
      </c>
    </row>
    <row r="114" spans="2:2">
      <c r="B114" s="12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H10"/>
  <sheetViews>
    <sheetView showGridLines="0" tabSelected="1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A4" sqref="A4:AH10"/>
    </sheetView>
  </sheetViews>
  <sheetFormatPr baseColWidth="10" defaultRowHeight="14.25" customHeight="1"/>
  <cols>
    <col min="1" max="1" width="6.125" customWidth="1"/>
    <col min="2" max="2" width="7.125" customWidth="1"/>
    <col min="3" max="3" width="4.75" customWidth="1"/>
    <col min="4" max="4" width="6.5" customWidth="1"/>
    <col min="5" max="5" width="13.25" customWidth="1"/>
    <col min="6" max="6" width="12" customWidth="1"/>
    <col min="7" max="7" width="10.5" bestFit="1" customWidth="1"/>
    <col min="8" max="9" width="9.75" customWidth="1"/>
    <col min="10" max="12" width="7.75" customWidth="1"/>
    <col min="13" max="13" width="10.375" customWidth="1"/>
    <col min="14" max="23" width="6.625" customWidth="1"/>
    <col min="28" max="28" width="15.125" customWidth="1"/>
  </cols>
  <sheetData>
    <row r="1" spans="1:34" ht="30" customHeight="1" thickBot="1">
      <c r="A1" s="198"/>
      <c r="B1" s="2"/>
      <c r="C1" s="2"/>
      <c r="D1" s="2"/>
      <c r="E1" s="1"/>
      <c r="F1" s="167" t="s">
        <v>17</v>
      </c>
      <c r="G1" s="167"/>
      <c r="H1" s="167"/>
      <c r="I1" s="167"/>
      <c r="J1" s="167"/>
      <c r="K1" s="167"/>
      <c r="L1" s="167"/>
      <c r="M1" s="167"/>
      <c r="N1" s="8"/>
      <c r="O1" s="185"/>
      <c r="P1" s="185"/>
      <c r="Q1" s="185"/>
      <c r="R1" s="185"/>
      <c r="S1" s="185"/>
      <c r="T1" s="185"/>
      <c r="U1" s="185"/>
      <c r="V1" s="185"/>
      <c r="W1" s="185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</row>
    <row r="2" spans="1:34" ht="27.75" thickBot="1">
      <c r="A2" s="2"/>
      <c r="B2" s="2"/>
      <c r="C2" s="2"/>
      <c r="D2" s="2"/>
      <c r="E2" s="148"/>
      <c r="F2" s="168" t="s">
        <v>18</v>
      </c>
      <c r="G2" s="168"/>
      <c r="H2" s="168"/>
      <c r="I2" s="168"/>
      <c r="J2" s="168"/>
      <c r="K2" s="168"/>
      <c r="L2" s="168"/>
      <c r="M2" s="168"/>
      <c r="N2" s="186" t="s">
        <v>104</v>
      </c>
      <c r="O2" s="187"/>
      <c r="P2" s="183" t="s">
        <v>105</v>
      </c>
      <c r="Q2" s="183"/>
      <c r="R2" s="183"/>
      <c r="S2" s="183"/>
      <c r="T2" s="183"/>
      <c r="U2" s="184"/>
      <c r="V2" s="188" t="s">
        <v>104</v>
      </c>
      <c r="W2" s="183"/>
      <c r="X2" s="173" t="s">
        <v>78</v>
      </c>
      <c r="Y2" s="174"/>
      <c r="Z2" s="174"/>
      <c r="AA2" s="174"/>
      <c r="AB2" s="172" t="s">
        <v>77</v>
      </c>
      <c r="AC2" s="172"/>
      <c r="AD2" s="175" t="s">
        <v>79</v>
      </c>
      <c r="AE2" s="175"/>
      <c r="AF2" s="175"/>
      <c r="AG2" s="175"/>
      <c r="AH2" s="176"/>
    </row>
    <row r="3" spans="1:34" ht="26.25">
      <c r="A3" s="2"/>
      <c r="B3" s="2"/>
      <c r="C3" s="2"/>
      <c r="D3" s="2"/>
      <c r="E3" s="149"/>
      <c r="F3" s="169" t="s">
        <v>103</v>
      </c>
      <c r="G3" s="169"/>
      <c r="H3" s="169"/>
      <c r="I3" s="169"/>
      <c r="J3" s="169"/>
      <c r="K3" s="169"/>
      <c r="L3" s="169"/>
      <c r="M3" s="170"/>
      <c r="N3" s="191" t="s">
        <v>88</v>
      </c>
      <c r="O3" s="192"/>
      <c r="P3" s="179" t="s">
        <v>64</v>
      </c>
      <c r="Q3" s="180"/>
      <c r="R3" s="179" t="s">
        <v>85</v>
      </c>
      <c r="S3" s="180"/>
      <c r="T3" s="181" t="s">
        <v>87</v>
      </c>
      <c r="U3" s="182"/>
      <c r="V3" s="189" t="s">
        <v>86</v>
      </c>
      <c r="W3" s="190"/>
      <c r="X3" s="177" t="s">
        <v>74</v>
      </c>
      <c r="Y3" s="178"/>
      <c r="Z3" s="150" t="s">
        <v>75</v>
      </c>
      <c r="AA3" s="150" t="s">
        <v>69</v>
      </c>
      <c r="AB3" s="151" t="s">
        <v>71</v>
      </c>
      <c r="AC3" s="151" t="s">
        <v>73</v>
      </c>
      <c r="AD3" s="171" t="s">
        <v>76</v>
      </c>
      <c r="AE3" s="171"/>
      <c r="AF3" s="171" t="s">
        <v>75</v>
      </c>
      <c r="AG3" s="171"/>
      <c r="AH3" s="152" t="s">
        <v>69</v>
      </c>
    </row>
    <row r="4" spans="1:34" ht="45">
      <c r="A4" s="153" t="s">
        <v>23</v>
      </c>
      <c r="B4" s="153" t="s">
        <v>106</v>
      </c>
      <c r="C4" s="153" t="s">
        <v>107</v>
      </c>
      <c r="D4" s="153" t="s">
        <v>19</v>
      </c>
      <c r="E4" s="153" t="s">
        <v>1</v>
      </c>
      <c r="F4" s="153" t="s">
        <v>108</v>
      </c>
      <c r="G4" s="153" t="s">
        <v>5</v>
      </c>
      <c r="H4" s="153" t="s">
        <v>109</v>
      </c>
      <c r="I4" s="153" t="s">
        <v>56</v>
      </c>
      <c r="J4" s="153" t="s">
        <v>110</v>
      </c>
      <c r="K4" s="153" t="s">
        <v>21</v>
      </c>
      <c r="L4" s="153" t="s">
        <v>22</v>
      </c>
      <c r="M4" s="153" t="s">
        <v>111</v>
      </c>
      <c r="N4" s="154" t="s">
        <v>16</v>
      </c>
      <c r="O4" s="154" t="s">
        <v>2</v>
      </c>
      <c r="P4" s="154" t="s">
        <v>16</v>
      </c>
      <c r="Q4" s="154" t="s">
        <v>2</v>
      </c>
      <c r="R4" s="154" t="s">
        <v>16</v>
      </c>
      <c r="S4" s="154" t="s">
        <v>2</v>
      </c>
      <c r="T4" s="154" t="s">
        <v>16</v>
      </c>
      <c r="U4" s="154" t="s">
        <v>2</v>
      </c>
      <c r="V4" s="154" t="s">
        <v>16</v>
      </c>
      <c r="W4" s="154" t="s">
        <v>2</v>
      </c>
      <c r="X4" s="155" t="s">
        <v>80</v>
      </c>
      <c r="Y4" s="155" t="s">
        <v>81</v>
      </c>
      <c r="Z4" s="155" t="s">
        <v>80</v>
      </c>
      <c r="AA4" s="155" t="s">
        <v>70</v>
      </c>
      <c r="AB4" s="156" t="s">
        <v>72</v>
      </c>
      <c r="AC4" s="156" t="s">
        <v>82</v>
      </c>
      <c r="AD4" s="157" t="s">
        <v>80</v>
      </c>
      <c r="AE4" s="157" t="s">
        <v>81</v>
      </c>
      <c r="AF4" s="157" t="s">
        <v>80</v>
      </c>
      <c r="AG4" s="157" t="s">
        <v>83</v>
      </c>
      <c r="AH4" s="157" t="s">
        <v>70</v>
      </c>
    </row>
    <row r="5" spans="1:34" ht="15">
      <c r="A5" s="158" t="s">
        <v>112</v>
      </c>
      <c r="B5" s="159">
        <v>200</v>
      </c>
      <c r="C5" s="159">
        <v>18</v>
      </c>
      <c r="D5" s="158" t="s">
        <v>113</v>
      </c>
      <c r="E5" s="160">
        <v>43535</v>
      </c>
      <c r="F5" s="161" t="s">
        <v>91</v>
      </c>
      <c r="G5" s="21">
        <v>8431</v>
      </c>
      <c r="H5" s="20">
        <v>91133</v>
      </c>
      <c r="I5" s="20">
        <v>3492938</v>
      </c>
      <c r="J5" s="162">
        <v>364</v>
      </c>
      <c r="K5" s="20">
        <v>52</v>
      </c>
      <c r="L5" s="120">
        <v>4.16</v>
      </c>
      <c r="M5" s="21">
        <v>5</v>
      </c>
      <c r="N5" s="163">
        <v>94.5</v>
      </c>
      <c r="O5" s="22">
        <v>109.5</v>
      </c>
      <c r="P5" s="22">
        <v>95.7</v>
      </c>
      <c r="Q5" s="22">
        <v>110.4</v>
      </c>
      <c r="R5" s="22">
        <v>96.6</v>
      </c>
      <c r="S5" s="22">
        <v>110.4</v>
      </c>
      <c r="T5" s="22">
        <v>96.6</v>
      </c>
      <c r="U5" s="22">
        <v>110.5</v>
      </c>
      <c r="V5" s="21">
        <v>97.9</v>
      </c>
      <c r="W5" s="164">
        <v>111.9</v>
      </c>
      <c r="X5" s="20">
        <v>880</v>
      </c>
      <c r="Y5" s="20">
        <v>800</v>
      </c>
      <c r="Z5" s="20">
        <v>930</v>
      </c>
      <c r="AA5" s="20">
        <v>170</v>
      </c>
      <c r="AB5" s="165">
        <v>0.1</v>
      </c>
      <c r="AC5" s="20">
        <v>1600</v>
      </c>
      <c r="AD5" s="20">
        <v>685</v>
      </c>
      <c r="AE5" s="20">
        <v>585</v>
      </c>
      <c r="AF5" s="20">
        <v>685</v>
      </c>
      <c r="AG5" s="20">
        <v>685</v>
      </c>
      <c r="AH5" s="20">
        <v>170</v>
      </c>
    </row>
    <row r="6" spans="1:34" ht="15">
      <c r="A6" s="158" t="s">
        <v>112</v>
      </c>
      <c r="B6" s="159">
        <v>200</v>
      </c>
      <c r="C6" s="159">
        <v>18</v>
      </c>
      <c r="D6" s="158" t="s">
        <v>113</v>
      </c>
      <c r="E6" s="160">
        <v>43535</v>
      </c>
      <c r="F6" s="161" t="s">
        <v>91</v>
      </c>
      <c r="G6" s="21">
        <v>8431</v>
      </c>
      <c r="H6" s="20">
        <v>91133</v>
      </c>
      <c r="I6" s="20">
        <v>3492938</v>
      </c>
      <c r="J6" s="162">
        <v>364</v>
      </c>
      <c r="K6" s="20">
        <v>52</v>
      </c>
      <c r="L6" s="120">
        <v>4.16</v>
      </c>
      <c r="M6" s="21">
        <v>34</v>
      </c>
      <c r="N6" s="163">
        <v>92.8</v>
      </c>
      <c r="O6" s="22">
        <v>109.2</v>
      </c>
      <c r="P6" s="22"/>
      <c r="Q6" s="22"/>
      <c r="R6" s="22"/>
      <c r="S6" s="22"/>
      <c r="T6" s="22"/>
      <c r="U6" s="22"/>
      <c r="V6" s="21">
        <v>97.1</v>
      </c>
      <c r="W6" s="164">
        <v>111.7</v>
      </c>
      <c r="X6" s="20">
        <v>880</v>
      </c>
      <c r="Y6" s="20">
        <v>800</v>
      </c>
      <c r="Z6" s="20">
        <v>930</v>
      </c>
      <c r="AA6" s="20">
        <v>170</v>
      </c>
      <c r="AB6" s="165">
        <v>0.1</v>
      </c>
      <c r="AC6" s="20">
        <v>1600</v>
      </c>
      <c r="AD6" s="20">
        <v>685</v>
      </c>
      <c r="AE6" s="20">
        <v>585</v>
      </c>
      <c r="AF6" s="20">
        <v>685</v>
      </c>
      <c r="AG6" s="20">
        <v>685</v>
      </c>
      <c r="AH6" s="20">
        <v>170</v>
      </c>
    </row>
    <row r="7" spans="1:34" ht="15">
      <c r="A7" s="158" t="s">
        <v>112</v>
      </c>
      <c r="B7" s="159">
        <v>200</v>
      </c>
      <c r="C7" s="159">
        <v>18</v>
      </c>
      <c r="D7" s="158" t="s">
        <v>113</v>
      </c>
      <c r="E7" s="160">
        <v>43545</v>
      </c>
      <c r="F7" s="161" t="s">
        <v>91</v>
      </c>
      <c r="G7" s="21">
        <v>8581</v>
      </c>
      <c r="H7" s="20">
        <v>91132</v>
      </c>
      <c r="I7" s="20">
        <v>3492938</v>
      </c>
      <c r="J7" s="162">
        <v>364</v>
      </c>
      <c r="K7" s="20">
        <v>54</v>
      </c>
      <c r="L7" s="120">
        <v>3.28</v>
      </c>
      <c r="M7" s="21">
        <v>9</v>
      </c>
      <c r="N7" s="163">
        <v>91.2</v>
      </c>
      <c r="O7" s="22">
        <v>107.2</v>
      </c>
      <c r="P7" s="22"/>
      <c r="Q7" s="22"/>
      <c r="R7" s="22"/>
      <c r="S7" s="22"/>
      <c r="T7" s="22"/>
      <c r="U7" s="22"/>
      <c r="V7" s="21"/>
      <c r="W7" s="164"/>
      <c r="X7" s="20">
        <v>880</v>
      </c>
      <c r="Y7" s="20">
        <v>800</v>
      </c>
      <c r="Z7" s="20">
        <v>930</v>
      </c>
      <c r="AA7" s="20">
        <v>170</v>
      </c>
      <c r="AB7" s="165">
        <v>0.1</v>
      </c>
      <c r="AC7" s="20">
        <v>1600</v>
      </c>
      <c r="AD7" s="20">
        <v>685</v>
      </c>
      <c r="AE7" s="20">
        <v>585</v>
      </c>
      <c r="AF7" s="20">
        <v>685</v>
      </c>
      <c r="AG7" s="20">
        <v>685</v>
      </c>
      <c r="AH7" s="20">
        <v>170</v>
      </c>
    </row>
    <row r="8" spans="1:34" ht="15">
      <c r="A8" s="158" t="s">
        <v>112</v>
      </c>
      <c r="B8" s="159">
        <v>200</v>
      </c>
      <c r="C8" s="159">
        <v>18</v>
      </c>
      <c r="D8" s="158" t="s">
        <v>113</v>
      </c>
      <c r="E8" s="160">
        <v>43673</v>
      </c>
      <c r="F8" s="161" t="s">
        <v>91</v>
      </c>
      <c r="G8" s="21">
        <v>9588</v>
      </c>
      <c r="H8" s="20">
        <v>91149</v>
      </c>
      <c r="I8" s="20">
        <v>3671475</v>
      </c>
      <c r="J8" s="162">
        <v>364</v>
      </c>
      <c r="K8" s="20">
        <v>54</v>
      </c>
      <c r="L8" s="120">
        <v>3.02</v>
      </c>
      <c r="M8" s="21">
        <v>1</v>
      </c>
      <c r="N8" s="163">
        <v>92.1</v>
      </c>
      <c r="O8" s="22">
        <v>107</v>
      </c>
      <c r="P8" s="22"/>
      <c r="Q8" s="22"/>
      <c r="R8" s="22"/>
      <c r="S8" s="22"/>
      <c r="T8" s="22"/>
      <c r="U8" s="22"/>
      <c r="V8" s="21"/>
      <c r="W8" s="164"/>
      <c r="X8" s="20">
        <v>880</v>
      </c>
      <c r="Y8" s="20">
        <v>800</v>
      </c>
      <c r="Z8" s="20">
        <v>930</v>
      </c>
      <c r="AA8" s="20">
        <v>170</v>
      </c>
      <c r="AB8" s="165">
        <v>0.1</v>
      </c>
      <c r="AC8" s="20">
        <v>1600</v>
      </c>
      <c r="AD8" s="20">
        <v>680</v>
      </c>
      <c r="AE8" s="20">
        <v>585</v>
      </c>
      <c r="AF8" s="20">
        <v>680</v>
      </c>
      <c r="AG8" s="20">
        <v>680</v>
      </c>
      <c r="AH8" s="20">
        <v>170</v>
      </c>
    </row>
    <row r="9" spans="1:34" ht="15">
      <c r="A9" s="158" t="s">
        <v>112</v>
      </c>
      <c r="B9" s="159">
        <v>200</v>
      </c>
      <c r="C9" s="159">
        <v>18</v>
      </c>
      <c r="D9" s="158" t="s">
        <v>113</v>
      </c>
      <c r="E9" s="160">
        <v>43673</v>
      </c>
      <c r="F9" s="161" t="s">
        <v>91</v>
      </c>
      <c r="G9" s="21">
        <v>9589</v>
      </c>
      <c r="H9" s="20">
        <v>91132</v>
      </c>
      <c r="I9" s="20">
        <v>3492938</v>
      </c>
      <c r="J9" s="162">
        <v>364</v>
      </c>
      <c r="K9" s="20">
        <v>54</v>
      </c>
      <c r="L9" s="120">
        <v>3.28</v>
      </c>
      <c r="M9" s="21">
        <v>20</v>
      </c>
      <c r="N9" s="163">
        <v>92.2</v>
      </c>
      <c r="O9" s="22">
        <v>108.2</v>
      </c>
      <c r="P9" s="22"/>
      <c r="Q9" s="22"/>
      <c r="R9" s="22"/>
      <c r="S9" s="22"/>
      <c r="T9" s="22"/>
      <c r="U9" s="22"/>
      <c r="V9" s="21"/>
      <c r="W9" s="164"/>
      <c r="X9" s="20">
        <v>880</v>
      </c>
      <c r="Y9" s="20">
        <v>800</v>
      </c>
      <c r="Z9" s="20">
        <v>930</v>
      </c>
      <c r="AA9" s="20">
        <v>170</v>
      </c>
      <c r="AB9" s="165">
        <v>0.1</v>
      </c>
      <c r="AC9" s="20">
        <v>1600</v>
      </c>
      <c r="AD9" s="20">
        <v>680</v>
      </c>
      <c r="AE9" s="20">
        <v>585</v>
      </c>
      <c r="AF9" s="20">
        <v>680</v>
      </c>
      <c r="AG9" s="20">
        <v>680</v>
      </c>
      <c r="AH9" s="20">
        <v>170</v>
      </c>
    </row>
    <row r="10" spans="1:34" ht="15">
      <c r="A10" s="158" t="s">
        <v>112</v>
      </c>
      <c r="B10" s="159">
        <v>200</v>
      </c>
      <c r="C10" s="159">
        <v>18</v>
      </c>
      <c r="D10" s="158" t="s">
        <v>113</v>
      </c>
      <c r="E10" s="160">
        <v>43781</v>
      </c>
      <c r="F10" s="161" t="s">
        <v>91</v>
      </c>
      <c r="G10" s="21">
        <v>10652</v>
      </c>
      <c r="H10" s="20">
        <v>91132</v>
      </c>
      <c r="I10" s="20">
        <v>3789591</v>
      </c>
      <c r="J10" s="162">
        <v>364</v>
      </c>
      <c r="K10" s="20">
        <v>54</v>
      </c>
      <c r="L10" s="120">
        <v>3.28</v>
      </c>
      <c r="M10" s="21">
        <v>1</v>
      </c>
      <c r="N10" s="163">
        <v>94.9</v>
      </c>
      <c r="O10" s="22">
        <v>108.2</v>
      </c>
      <c r="P10" s="22"/>
      <c r="Q10" s="22"/>
      <c r="R10" s="22"/>
      <c r="S10" s="22"/>
      <c r="T10" s="22"/>
      <c r="U10" s="22"/>
      <c r="V10" s="21"/>
      <c r="W10" s="164"/>
      <c r="X10" s="20">
        <v>880</v>
      </c>
      <c r="Y10" s="20">
        <v>800</v>
      </c>
      <c r="Z10" s="20">
        <v>930</v>
      </c>
      <c r="AA10" s="20">
        <v>170</v>
      </c>
      <c r="AB10" s="165">
        <v>0.1</v>
      </c>
      <c r="AC10" s="20">
        <v>1600</v>
      </c>
      <c r="AD10" s="20">
        <v>675</v>
      </c>
      <c r="AE10" s="20">
        <v>585</v>
      </c>
      <c r="AF10" s="20">
        <v>675</v>
      </c>
      <c r="AG10" s="20">
        <v>675</v>
      </c>
      <c r="AH10" s="20">
        <v>170</v>
      </c>
    </row>
  </sheetData>
  <protectedRanges>
    <protectedRange sqref="H5:I41 K5:K41" name="Rango1_1"/>
  </protectedRanges>
  <autoFilter ref="A4:DH4" xr:uid="{00000000-0001-0000-0200-000000000000}"/>
  <mergeCells count="18">
    <mergeCell ref="N3:O3"/>
    <mergeCell ref="P3:Q3"/>
    <mergeCell ref="F1:M1"/>
    <mergeCell ref="F2:M2"/>
    <mergeCell ref="F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</mergeCells>
  <phoneticPr fontId="0" type="noConversion"/>
  <conditionalFormatting sqref="E5:F10">
    <cfRule type="expression" dxfId="27" priority="125" stopIfTrue="1">
      <formula>"SEVERSTAL"</formula>
    </cfRule>
  </conditionalFormatting>
  <conditionalFormatting sqref="H5:I8 H9:H10 H10:I10 X5:AH10 K5:K8">
    <cfRule type="cellIs" dxfId="26" priority="126" stopIfTrue="1" operator="equal">
      <formula>"APROBADO"</formula>
    </cfRule>
    <cfRule type="cellIs" dxfId="25" priority="127" stopIfTrue="1" operator="equal">
      <formula>"ESPERA"</formula>
    </cfRule>
    <cfRule type="cellIs" dxfId="24" priority="128" stopIfTrue="1" operator="equal">
      <formula>"RECHAZADO"</formula>
    </cfRule>
  </conditionalFormatting>
  <conditionalFormatting sqref="I9 K9:K10">
    <cfRule type="cellIs" dxfId="23" priority="1" stopIfTrue="1" operator="equal">
      <formula>"APROBADO"</formula>
    </cfRule>
    <cfRule type="cellIs" dxfId="22" priority="2" stopIfTrue="1" operator="equal">
      <formula>"ESPERA"</formula>
    </cfRule>
    <cfRule type="cellIs" dxfId="21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81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E2" sqref="E2"/>
    </sheetView>
  </sheetViews>
  <sheetFormatPr baseColWidth="10" defaultColWidth="11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11.75" customWidth="1"/>
    <col min="8" max="8" width="12.75" customWidth="1"/>
    <col min="9" max="22" width="6.625" customWidth="1"/>
    <col min="23" max="23" width="10.25" customWidth="1"/>
    <col min="24" max="24" width="11.75" hidden="1" customWidth="1"/>
    <col min="25" max="33" width="8.625" customWidth="1"/>
  </cols>
  <sheetData>
    <row r="1" spans="1:33" ht="27" customHeight="1">
      <c r="A1" s="23"/>
      <c r="B1" s="23"/>
      <c r="C1" s="23"/>
      <c r="D1" s="23"/>
      <c r="E1" s="23"/>
      <c r="F1" s="23"/>
      <c r="G1" s="23" t="s">
        <v>53</v>
      </c>
      <c r="H1" s="115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4"/>
      <c r="AG1" s="23"/>
    </row>
    <row r="2" spans="1:33" ht="30.75">
      <c r="A2" s="24"/>
      <c r="B2" s="25"/>
      <c r="C2" s="25"/>
      <c r="D2" s="25"/>
      <c r="E2" s="23"/>
      <c r="F2" s="26"/>
      <c r="G2" s="26"/>
      <c r="H2" s="116"/>
      <c r="I2" s="27"/>
      <c r="J2" s="28" t="s">
        <v>101</v>
      </c>
      <c r="K2" s="28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3"/>
      <c r="X2" s="23"/>
      <c r="Y2" s="23"/>
      <c r="Z2" s="23"/>
      <c r="AA2" s="138"/>
      <c r="AB2" s="139"/>
      <c r="AC2" s="139"/>
      <c r="AD2" s="140" t="s">
        <v>92</v>
      </c>
      <c r="AE2" s="140" t="s">
        <v>93</v>
      </c>
      <c r="AF2" s="140" t="s">
        <v>94</v>
      </c>
      <c r="AG2" s="141" t="s">
        <v>95</v>
      </c>
    </row>
    <row r="3" spans="1:33" ht="26.25" customHeight="1">
      <c r="A3" s="24"/>
      <c r="B3" s="24"/>
      <c r="C3" s="24"/>
      <c r="D3" s="24"/>
      <c r="E3" s="24"/>
      <c r="F3" s="29"/>
      <c r="G3" s="24"/>
      <c r="H3" s="118"/>
      <c r="I3" s="194" t="s">
        <v>54</v>
      </c>
      <c r="J3" s="194"/>
      <c r="K3" s="194"/>
      <c r="L3" s="194"/>
      <c r="M3" s="194"/>
      <c r="N3" s="194"/>
      <c r="O3" s="194"/>
      <c r="P3" s="193" t="s">
        <v>55</v>
      </c>
      <c r="Q3" s="193"/>
      <c r="R3" s="193"/>
      <c r="S3" s="193"/>
      <c r="T3" s="193"/>
      <c r="U3" s="193"/>
      <c r="V3" s="108"/>
      <c r="W3" s="23"/>
      <c r="X3" s="30"/>
      <c r="Y3" s="23"/>
      <c r="Z3" s="23"/>
      <c r="AA3" s="142"/>
      <c r="AB3" s="142"/>
      <c r="AC3" s="143" t="s">
        <v>96</v>
      </c>
      <c r="AD3" s="144">
        <v>170</v>
      </c>
      <c r="AE3" s="145">
        <f>22*AD3/60</f>
        <v>62.333333333333336</v>
      </c>
      <c r="AF3" s="145">
        <f>3600/AD3</f>
        <v>21.176470588235293</v>
      </c>
      <c r="AG3" s="146">
        <f>AF3*8</f>
        <v>169.41176470588235</v>
      </c>
    </row>
    <row r="4" spans="1:33" ht="21" customHeight="1">
      <c r="A4" s="128"/>
      <c r="B4" s="24"/>
      <c r="C4" s="24"/>
      <c r="D4" s="24"/>
      <c r="E4" s="24"/>
      <c r="F4" s="129"/>
      <c r="G4" s="130"/>
      <c r="H4" s="117"/>
      <c r="I4" s="196" t="s">
        <v>8</v>
      </c>
      <c r="J4" s="197"/>
      <c r="K4" s="195" t="s">
        <v>9</v>
      </c>
      <c r="L4" s="196"/>
      <c r="M4" s="196"/>
      <c r="N4" s="196"/>
      <c r="O4" s="197"/>
      <c r="P4" s="195" t="s">
        <v>13</v>
      </c>
      <c r="Q4" s="197"/>
      <c r="R4" s="195" t="s">
        <v>9</v>
      </c>
      <c r="S4" s="196"/>
      <c r="T4" s="196"/>
      <c r="U4" s="196"/>
      <c r="V4" s="133"/>
      <c r="W4" s="31"/>
      <c r="X4" s="30"/>
      <c r="Y4" s="23"/>
      <c r="Z4" s="23"/>
      <c r="AA4" s="142"/>
      <c r="AB4" s="142"/>
      <c r="AC4" s="143" t="s">
        <v>97</v>
      </c>
      <c r="AD4" s="144">
        <f>AD3</f>
        <v>170</v>
      </c>
      <c r="AE4" s="145">
        <f>34*AD4/60</f>
        <v>96.333333333333329</v>
      </c>
      <c r="AF4" s="145">
        <f>3600/AD4</f>
        <v>21.176470588235293</v>
      </c>
      <c r="AG4" s="146">
        <f>AF4*8</f>
        <v>169.41176470588235</v>
      </c>
    </row>
    <row r="5" spans="1:33" ht="56.25" customHeight="1">
      <c r="A5" s="131" t="s">
        <v>1</v>
      </c>
      <c r="B5" s="131" t="s">
        <v>4</v>
      </c>
      <c r="C5" s="131" t="s">
        <v>56</v>
      </c>
      <c r="D5" s="131" t="s">
        <v>114</v>
      </c>
      <c r="E5" s="131" t="s">
        <v>3</v>
      </c>
      <c r="F5" s="131" t="s">
        <v>5</v>
      </c>
      <c r="G5" s="131" t="s">
        <v>12</v>
      </c>
      <c r="H5" s="132" t="s">
        <v>67</v>
      </c>
      <c r="I5" s="131" t="s">
        <v>7</v>
      </c>
      <c r="J5" s="131" t="s">
        <v>60</v>
      </c>
      <c r="K5" s="131" t="s">
        <v>59</v>
      </c>
      <c r="L5" s="131" t="s">
        <v>10</v>
      </c>
      <c r="M5" s="131" t="s">
        <v>11</v>
      </c>
      <c r="N5" s="131" t="s">
        <v>15</v>
      </c>
      <c r="O5" s="131" t="s">
        <v>61</v>
      </c>
      <c r="P5" s="131" t="s">
        <v>62</v>
      </c>
      <c r="Q5" s="131" t="s">
        <v>7</v>
      </c>
      <c r="R5" s="131" t="s">
        <v>10</v>
      </c>
      <c r="S5" s="131" t="s">
        <v>11</v>
      </c>
      <c r="T5" s="131" t="s">
        <v>15</v>
      </c>
      <c r="U5" s="135" t="s">
        <v>63</v>
      </c>
      <c r="V5" s="131" t="s">
        <v>59</v>
      </c>
      <c r="W5" s="131" t="s">
        <v>0</v>
      </c>
      <c r="X5" s="131" t="s">
        <v>6</v>
      </c>
      <c r="Y5" s="131" t="s">
        <v>89</v>
      </c>
      <c r="Z5" s="131" t="s">
        <v>58</v>
      </c>
      <c r="AA5" s="131" t="s">
        <v>84</v>
      </c>
      <c r="AB5" s="131" t="s">
        <v>66</v>
      </c>
      <c r="AC5" s="131" t="s">
        <v>57</v>
      </c>
      <c r="AD5" s="131" t="s">
        <v>90</v>
      </c>
      <c r="AE5" s="131" t="s">
        <v>51</v>
      </c>
      <c r="AF5" s="137" t="s">
        <v>68</v>
      </c>
      <c r="AG5" s="131" t="s">
        <v>52</v>
      </c>
    </row>
    <row r="6" spans="1:33" ht="15.75">
      <c r="A6" s="147">
        <v>43535</v>
      </c>
      <c r="B6" s="33">
        <v>2</v>
      </c>
      <c r="C6" s="121">
        <v>3492938</v>
      </c>
      <c r="D6" s="161" t="s">
        <v>91</v>
      </c>
      <c r="E6" s="110">
        <v>91133</v>
      </c>
      <c r="F6" s="21">
        <v>8431</v>
      </c>
      <c r="G6" s="111">
        <v>35</v>
      </c>
      <c r="H6" s="119" t="s">
        <v>98</v>
      </c>
      <c r="I6" s="123">
        <v>0</v>
      </c>
      <c r="J6" s="124">
        <v>0</v>
      </c>
      <c r="K6" s="125">
        <v>0</v>
      </c>
      <c r="L6" s="126">
        <v>0</v>
      </c>
      <c r="M6" s="123">
        <v>0</v>
      </c>
      <c r="N6" s="127">
        <v>0</v>
      </c>
      <c r="O6" s="122">
        <v>0</v>
      </c>
      <c r="P6" s="126">
        <v>1</v>
      </c>
      <c r="Q6" s="122">
        <v>0</v>
      </c>
      <c r="R6" s="126">
        <v>0</v>
      </c>
      <c r="S6" s="123">
        <v>0</v>
      </c>
      <c r="T6" s="127">
        <v>0</v>
      </c>
      <c r="U6" s="123">
        <v>0</v>
      </c>
      <c r="V6" s="134">
        <v>0</v>
      </c>
      <c r="W6" s="32">
        <f t="shared" ref="W6" si="0">+G6-(SUM(I6:N6,P6,Q6,R6,S6,T6,V6))</f>
        <v>34</v>
      </c>
      <c r="X6" s="112"/>
      <c r="Y6" s="112"/>
      <c r="Z6" s="112"/>
      <c r="AA6" s="112"/>
      <c r="AB6" s="112"/>
      <c r="AC6" s="112"/>
      <c r="AD6" s="136">
        <f t="shared" ref="AD6" si="1">W6-SUM(Y6:Z6)</f>
        <v>34</v>
      </c>
      <c r="AE6" s="113"/>
      <c r="AF6" s="114"/>
      <c r="AG6" s="110"/>
    </row>
    <row r="7" spans="1:33" ht="15.75">
      <c r="A7" s="147">
        <v>43545</v>
      </c>
      <c r="B7" s="33">
        <v>3</v>
      </c>
      <c r="C7" s="121">
        <v>3492938</v>
      </c>
      <c r="D7" s="161" t="s">
        <v>91</v>
      </c>
      <c r="E7" s="110">
        <v>91132</v>
      </c>
      <c r="F7" s="33">
        <v>8582</v>
      </c>
      <c r="G7" s="111">
        <v>19</v>
      </c>
      <c r="H7" s="119" t="s">
        <v>99</v>
      </c>
      <c r="I7" s="123">
        <v>0</v>
      </c>
      <c r="J7" s="124">
        <v>0</v>
      </c>
      <c r="K7" s="125">
        <v>0</v>
      </c>
      <c r="L7" s="126">
        <v>0</v>
      </c>
      <c r="M7" s="123">
        <v>0</v>
      </c>
      <c r="N7" s="127">
        <v>0</v>
      </c>
      <c r="O7" s="122">
        <v>0</v>
      </c>
      <c r="P7" s="126">
        <v>0</v>
      </c>
      <c r="Q7" s="122">
        <v>0</v>
      </c>
      <c r="R7" s="126">
        <v>0</v>
      </c>
      <c r="S7" s="123">
        <v>0</v>
      </c>
      <c r="T7" s="127">
        <v>0</v>
      </c>
      <c r="U7" s="123">
        <v>0</v>
      </c>
      <c r="V7" s="134">
        <v>0</v>
      </c>
      <c r="W7" s="32">
        <f t="shared" ref="W7:W57" si="2">+G7-(SUM(I7:N7,P7,Q7,R7,S7,T7,V7))</f>
        <v>19</v>
      </c>
      <c r="X7" s="112"/>
      <c r="Y7" s="112"/>
      <c r="Z7" s="112">
        <v>1</v>
      </c>
      <c r="AA7" s="112"/>
      <c r="AB7" s="112"/>
      <c r="AC7" s="112"/>
      <c r="AD7" s="136">
        <f t="shared" ref="AD7:AD49" si="3">W7-SUM(Y7:Z7)</f>
        <v>18</v>
      </c>
      <c r="AE7" s="113"/>
      <c r="AF7" s="114"/>
      <c r="AG7" s="110"/>
    </row>
    <row r="8" spans="1:33" ht="15.75">
      <c r="A8" s="147">
        <v>43673</v>
      </c>
      <c r="B8" s="33">
        <v>1</v>
      </c>
      <c r="C8" s="20">
        <v>3671475</v>
      </c>
      <c r="D8" s="161" t="s">
        <v>91</v>
      </c>
      <c r="E8" s="20">
        <v>91149</v>
      </c>
      <c r="F8" s="21">
        <v>9588</v>
      </c>
      <c r="G8" s="111">
        <v>10</v>
      </c>
      <c r="H8" s="119" t="s">
        <v>100</v>
      </c>
      <c r="I8" s="123">
        <v>0</v>
      </c>
      <c r="J8" s="124">
        <v>0</v>
      </c>
      <c r="K8" s="125">
        <v>0</v>
      </c>
      <c r="L8" s="126">
        <v>0</v>
      </c>
      <c r="M8" s="123">
        <v>0</v>
      </c>
      <c r="N8" s="127">
        <v>0</v>
      </c>
      <c r="O8" s="122">
        <v>0</v>
      </c>
      <c r="P8" s="126">
        <v>0</v>
      </c>
      <c r="Q8" s="122">
        <v>0</v>
      </c>
      <c r="R8" s="126">
        <v>0</v>
      </c>
      <c r="S8" s="123">
        <v>0</v>
      </c>
      <c r="T8" s="127">
        <v>0</v>
      </c>
      <c r="U8" s="123">
        <v>0</v>
      </c>
      <c r="V8" s="134">
        <v>0</v>
      </c>
      <c r="W8" s="32">
        <f t="shared" si="2"/>
        <v>10</v>
      </c>
      <c r="X8" s="112"/>
      <c r="Y8" s="112"/>
      <c r="Z8" s="112"/>
      <c r="AA8" s="112"/>
      <c r="AB8" s="112"/>
      <c r="AC8" s="112"/>
      <c r="AD8" s="136">
        <f t="shared" si="3"/>
        <v>10</v>
      </c>
      <c r="AE8" s="113"/>
      <c r="AF8" s="114"/>
      <c r="AG8" s="110"/>
    </row>
    <row r="9" spans="1:33" ht="15.75">
      <c r="A9" s="147">
        <v>43673</v>
      </c>
      <c r="B9" s="33">
        <v>1</v>
      </c>
      <c r="C9" s="20">
        <v>3492938</v>
      </c>
      <c r="D9" s="161" t="s">
        <v>91</v>
      </c>
      <c r="E9" s="20">
        <v>91132</v>
      </c>
      <c r="F9" s="21">
        <v>9589</v>
      </c>
      <c r="G9" s="111">
        <v>1</v>
      </c>
      <c r="H9" s="119">
        <v>20</v>
      </c>
      <c r="I9" s="123">
        <v>0</v>
      </c>
      <c r="J9" s="124">
        <v>0</v>
      </c>
      <c r="K9" s="125">
        <v>0</v>
      </c>
      <c r="L9" s="126">
        <v>0</v>
      </c>
      <c r="M9" s="123">
        <v>0</v>
      </c>
      <c r="N9" s="127">
        <v>0</v>
      </c>
      <c r="O9" s="122">
        <v>0</v>
      </c>
      <c r="P9" s="126">
        <v>0</v>
      </c>
      <c r="Q9" s="122">
        <v>0</v>
      </c>
      <c r="R9" s="126">
        <v>0</v>
      </c>
      <c r="S9" s="123">
        <v>0</v>
      </c>
      <c r="T9" s="127">
        <v>0</v>
      </c>
      <c r="U9" s="123">
        <v>0</v>
      </c>
      <c r="V9" s="134">
        <v>0</v>
      </c>
      <c r="W9" s="32">
        <f t="shared" si="2"/>
        <v>1</v>
      </c>
      <c r="X9" s="112"/>
      <c r="Y9" s="112"/>
      <c r="Z9" s="112"/>
      <c r="AA9" s="112"/>
      <c r="AB9" s="112"/>
      <c r="AC9" s="112"/>
      <c r="AD9" s="136">
        <f t="shared" si="3"/>
        <v>1</v>
      </c>
      <c r="AE9" s="113"/>
      <c r="AF9" s="114"/>
      <c r="AG9" s="110"/>
    </row>
    <row r="10" spans="1:33" ht="15.75">
      <c r="A10" s="147">
        <v>43781</v>
      </c>
      <c r="B10" s="33">
        <v>3</v>
      </c>
      <c r="C10" s="20">
        <v>3789591</v>
      </c>
      <c r="D10" s="161" t="s">
        <v>91</v>
      </c>
      <c r="E10" s="20">
        <v>91132</v>
      </c>
      <c r="F10" s="33">
        <v>10652</v>
      </c>
      <c r="G10" s="111">
        <v>4</v>
      </c>
      <c r="H10" s="119" t="s">
        <v>102</v>
      </c>
      <c r="I10" s="123">
        <v>0</v>
      </c>
      <c r="J10" s="124">
        <v>0</v>
      </c>
      <c r="K10" s="125">
        <v>0</v>
      </c>
      <c r="L10" s="126">
        <v>0</v>
      </c>
      <c r="M10" s="123">
        <v>0</v>
      </c>
      <c r="N10" s="127">
        <v>0</v>
      </c>
      <c r="O10" s="122">
        <v>0</v>
      </c>
      <c r="P10" s="126">
        <v>0</v>
      </c>
      <c r="Q10" s="122">
        <v>0</v>
      </c>
      <c r="R10" s="126">
        <v>0</v>
      </c>
      <c r="S10" s="123">
        <v>0</v>
      </c>
      <c r="T10" s="127">
        <v>0</v>
      </c>
      <c r="U10" s="123">
        <v>0</v>
      </c>
      <c r="V10" s="134">
        <v>0</v>
      </c>
      <c r="W10" s="32">
        <f t="shared" si="2"/>
        <v>4</v>
      </c>
      <c r="X10" s="112"/>
      <c r="Y10" s="112"/>
      <c r="Z10" s="112"/>
      <c r="AA10" s="112"/>
      <c r="AB10" s="112"/>
      <c r="AC10" s="112"/>
      <c r="AD10" s="136">
        <f t="shared" si="3"/>
        <v>4</v>
      </c>
      <c r="AE10" s="113"/>
      <c r="AF10" s="114"/>
      <c r="AG10" s="110"/>
    </row>
    <row r="11" spans="1:33" ht="15.75">
      <c r="A11" s="109"/>
      <c r="B11" s="33"/>
      <c r="C11" s="33"/>
      <c r="D11" s="33"/>
      <c r="E11" s="110"/>
      <c r="F11" s="33"/>
      <c r="G11" s="111"/>
      <c r="H11" s="119"/>
      <c r="I11" s="123">
        <v>0</v>
      </c>
      <c r="J11" s="124">
        <v>0</v>
      </c>
      <c r="K11" s="125">
        <v>0</v>
      </c>
      <c r="L11" s="126">
        <v>0</v>
      </c>
      <c r="M11" s="123">
        <v>0</v>
      </c>
      <c r="N11" s="127">
        <v>0</v>
      </c>
      <c r="O11" s="122">
        <v>0</v>
      </c>
      <c r="P11" s="126">
        <v>0</v>
      </c>
      <c r="Q11" s="122">
        <v>0</v>
      </c>
      <c r="R11" s="126">
        <v>0</v>
      </c>
      <c r="S11" s="123">
        <v>0</v>
      </c>
      <c r="T11" s="127">
        <v>0</v>
      </c>
      <c r="U11" s="123">
        <v>0</v>
      </c>
      <c r="V11" s="134">
        <v>0</v>
      </c>
      <c r="W11" s="32">
        <f t="shared" si="2"/>
        <v>0</v>
      </c>
      <c r="X11" s="112"/>
      <c r="Y11" s="112"/>
      <c r="Z11" s="112"/>
      <c r="AA11" s="112"/>
      <c r="AB11" s="112"/>
      <c r="AC11" s="112"/>
      <c r="AD11" s="136">
        <f t="shared" si="3"/>
        <v>0</v>
      </c>
      <c r="AE11" s="113"/>
      <c r="AF11" s="114"/>
      <c r="AG11" s="110"/>
    </row>
    <row r="12" spans="1:33" ht="15.75">
      <c r="A12" s="109"/>
      <c r="B12" s="33"/>
      <c r="C12" s="33"/>
      <c r="D12" s="33"/>
      <c r="E12" s="110"/>
      <c r="F12" s="33"/>
      <c r="G12" s="111"/>
      <c r="H12" s="119"/>
      <c r="I12" s="123">
        <v>0</v>
      </c>
      <c r="J12" s="124">
        <v>0</v>
      </c>
      <c r="K12" s="125">
        <v>0</v>
      </c>
      <c r="L12" s="126">
        <v>0</v>
      </c>
      <c r="M12" s="123">
        <v>0</v>
      </c>
      <c r="N12" s="127">
        <v>0</v>
      </c>
      <c r="O12" s="122">
        <v>0</v>
      </c>
      <c r="P12" s="126">
        <v>0</v>
      </c>
      <c r="Q12" s="122">
        <v>0</v>
      </c>
      <c r="R12" s="126">
        <v>0</v>
      </c>
      <c r="S12" s="123">
        <v>0</v>
      </c>
      <c r="T12" s="127">
        <v>0</v>
      </c>
      <c r="U12" s="123">
        <v>0</v>
      </c>
      <c r="V12" s="134">
        <v>0</v>
      </c>
      <c r="W12" s="32">
        <f t="shared" si="2"/>
        <v>0</v>
      </c>
      <c r="X12" s="112"/>
      <c r="Y12" s="112"/>
      <c r="Z12" s="112"/>
      <c r="AA12" s="112"/>
      <c r="AB12" s="112"/>
      <c r="AC12" s="112"/>
      <c r="AD12" s="136">
        <f t="shared" si="3"/>
        <v>0</v>
      </c>
      <c r="AE12" s="113"/>
      <c r="AF12" s="114"/>
      <c r="AG12" s="110"/>
    </row>
    <row r="13" spans="1:33" ht="15.75">
      <c r="A13" s="109"/>
      <c r="B13" s="33"/>
      <c r="C13" s="33"/>
      <c r="D13" s="33"/>
      <c r="E13" s="110"/>
      <c r="F13" s="33"/>
      <c r="G13" s="111"/>
      <c r="H13" s="119"/>
      <c r="I13" s="123">
        <v>0</v>
      </c>
      <c r="J13" s="124">
        <v>0</v>
      </c>
      <c r="K13" s="125">
        <v>0</v>
      </c>
      <c r="L13" s="126">
        <v>0</v>
      </c>
      <c r="M13" s="123">
        <v>0</v>
      </c>
      <c r="N13" s="127">
        <v>0</v>
      </c>
      <c r="O13" s="122">
        <v>0</v>
      </c>
      <c r="P13" s="126">
        <v>0</v>
      </c>
      <c r="Q13" s="122">
        <v>0</v>
      </c>
      <c r="R13" s="126">
        <v>0</v>
      </c>
      <c r="S13" s="123">
        <v>0</v>
      </c>
      <c r="T13" s="127">
        <v>0</v>
      </c>
      <c r="U13" s="123">
        <v>0</v>
      </c>
      <c r="V13" s="134">
        <v>0</v>
      </c>
      <c r="W13" s="32">
        <f t="shared" si="2"/>
        <v>0</v>
      </c>
      <c r="X13" s="112"/>
      <c r="Y13" s="112"/>
      <c r="Z13" s="112"/>
      <c r="AA13" s="112"/>
      <c r="AB13" s="112"/>
      <c r="AC13" s="112"/>
      <c r="AD13" s="136">
        <f t="shared" si="3"/>
        <v>0</v>
      </c>
      <c r="AE13" s="113"/>
      <c r="AF13" s="114"/>
      <c r="AG13" s="110"/>
    </row>
    <row r="14" spans="1:33" ht="15.75">
      <c r="A14" s="109"/>
      <c r="B14" s="33"/>
      <c r="C14" s="33"/>
      <c r="D14" s="33"/>
      <c r="E14" s="110"/>
      <c r="F14" s="33"/>
      <c r="G14" s="111"/>
      <c r="H14" s="119"/>
      <c r="I14" s="123">
        <v>0</v>
      </c>
      <c r="J14" s="124">
        <v>0</v>
      </c>
      <c r="K14" s="125">
        <v>0</v>
      </c>
      <c r="L14" s="126">
        <v>0</v>
      </c>
      <c r="M14" s="123">
        <v>0</v>
      </c>
      <c r="N14" s="127">
        <v>0</v>
      </c>
      <c r="O14" s="122">
        <v>0</v>
      </c>
      <c r="P14" s="126">
        <v>0</v>
      </c>
      <c r="Q14" s="122">
        <v>0</v>
      </c>
      <c r="R14" s="126">
        <v>0</v>
      </c>
      <c r="S14" s="123">
        <v>0</v>
      </c>
      <c r="T14" s="127">
        <v>0</v>
      </c>
      <c r="U14" s="123">
        <v>0</v>
      </c>
      <c r="V14" s="134">
        <v>0</v>
      </c>
      <c r="W14" s="32">
        <f t="shared" si="2"/>
        <v>0</v>
      </c>
      <c r="X14" s="112"/>
      <c r="Y14" s="112"/>
      <c r="Z14" s="112"/>
      <c r="AA14" s="112"/>
      <c r="AB14" s="112"/>
      <c r="AC14" s="112"/>
      <c r="AD14" s="136">
        <f t="shared" si="3"/>
        <v>0</v>
      </c>
      <c r="AE14" s="113"/>
      <c r="AF14" s="114"/>
      <c r="AG14" s="110"/>
    </row>
    <row r="15" spans="1:33" ht="15.75">
      <c r="A15" s="109"/>
      <c r="B15" s="33"/>
      <c r="C15" s="33"/>
      <c r="D15" s="33"/>
      <c r="E15" s="110"/>
      <c r="F15" s="33"/>
      <c r="G15" s="111"/>
      <c r="H15" s="119"/>
      <c r="I15" s="123">
        <v>0</v>
      </c>
      <c r="J15" s="124">
        <v>0</v>
      </c>
      <c r="K15" s="125">
        <v>0</v>
      </c>
      <c r="L15" s="126">
        <v>0</v>
      </c>
      <c r="M15" s="123">
        <v>0</v>
      </c>
      <c r="N15" s="127">
        <v>0</v>
      </c>
      <c r="O15" s="122">
        <v>0</v>
      </c>
      <c r="P15" s="126">
        <v>0</v>
      </c>
      <c r="Q15" s="122">
        <v>0</v>
      </c>
      <c r="R15" s="126">
        <v>0</v>
      </c>
      <c r="S15" s="123">
        <v>0</v>
      </c>
      <c r="T15" s="127">
        <v>0</v>
      </c>
      <c r="U15" s="123">
        <v>0</v>
      </c>
      <c r="V15" s="134">
        <v>0</v>
      </c>
      <c r="W15" s="32">
        <f t="shared" si="2"/>
        <v>0</v>
      </c>
      <c r="X15" s="112"/>
      <c r="Y15" s="112"/>
      <c r="Z15" s="112"/>
      <c r="AA15" s="112"/>
      <c r="AB15" s="112"/>
      <c r="AC15" s="112"/>
      <c r="AD15" s="136">
        <f t="shared" si="3"/>
        <v>0</v>
      </c>
      <c r="AE15" s="113"/>
      <c r="AF15" s="114"/>
      <c r="AG15" s="110"/>
    </row>
    <row r="16" spans="1:33" ht="15.75">
      <c r="A16" s="109"/>
      <c r="B16" s="33"/>
      <c r="C16" s="33"/>
      <c r="D16" s="33"/>
      <c r="E16" s="110"/>
      <c r="F16" s="33"/>
      <c r="G16" s="111"/>
      <c r="H16" s="119"/>
      <c r="I16" s="123">
        <v>0</v>
      </c>
      <c r="J16" s="124">
        <v>0</v>
      </c>
      <c r="K16" s="125">
        <v>0</v>
      </c>
      <c r="L16" s="126">
        <v>0</v>
      </c>
      <c r="M16" s="123">
        <v>0</v>
      </c>
      <c r="N16" s="127">
        <v>0</v>
      </c>
      <c r="O16" s="122">
        <v>0</v>
      </c>
      <c r="P16" s="126">
        <v>0</v>
      </c>
      <c r="Q16" s="122">
        <v>0</v>
      </c>
      <c r="R16" s="126">
        <v>0</v>
      </c>
      <c r="S16" s="123">
        <v>0</v>
      </c>
      <c r="T16" s="127">
        <v>0</v>
      </c>
      <c r="U16" s="123">
        <v>0</v>
      </c>
      <c r="V16" s="134">
        <v>0</v>
      </c>
      <c r="W16" s="32">
        <f t="shared" si="2"/>
        <v>0</v>
      </c>
      <c r="X16" s="112"/>
      <c r="Y16" s="112"/>
      <c r="Z16" s="112"/>
      <c r="AA16" s="112"/>
      <c r="AB16" s="112"/>
      <c r="AC16" s="112"/>
      <c r="AD16" s="136">
        <f t="shared" si="3"/>
        <v>0</v>
      </c>
      <c r="AE16" s="113"/>
      <c r="AF16" s="114"/>
      <c r="AG16" s="110"/>
    </row>
    <row r="17" spans="1:33" ht="15.75">
      <c r="A17" s="109"/>
      <c r="B17" s="33"/>
      <c r="C17" s="33"/>
      <c r="D17" s="33"/>
      <c r="E17" s="110"/>
      <c r="F17" s="33"/>
      <c r="G17" s="111"/>
      <c r="H17" s="119"/>
      <c r="I17" s="123">
        <v>0</v>
      </c>
      <c r="J17" s="124">
        <v>0</v>
      </c>
      <c r="K17" s="125">
        <v>0</v>
      </c>
      <c r="L17" s="126">
        <v>0</v>
      </c>
      <c r="M17" s="123">
        <v>0</v>
      </c>
      <c r="N17" s="127">
        <v>0</v>
      </c>
      <c r="O17" s="122">
        <v>0</v>
      </c>
      <c r="P17" s="126">
        <v>0</v>
      </c>
      <c r="Q17" s="122">
        <v>0</v>
      </c>
      <c r="R17" s="126">
        <v>0</v>
      </c>
      <c r="S17" s="123">
        <v>0</v>
      </c>
      <c r="T17" s="127">
        <v>0</v>
      </c>
      <c r="U17" s="123">
        <v>0</v>
      </c>
      <c r="V17" s="134">
        <v>0</v>
      </c>
      <c r="W17" s="32">
        <f t="shared" si="2"/>
        <v>0</v>
      </c>
      <c r="X17" s="112"/>
      <c r="Y17" s="112"/>
      <c r="Z17" s="112"/>
      <c r="AA17" s="112"/>
      <c r="AB17" s="112"/>
      <c r="AC17" s="112"/>
      <c r="AD17" s="136">
        <f t="shared" si="3"/>
        <v>0</v>
      </c>
      <c r="AE17" s="113"/>
      <c r="AF17" s="114"/>
      <c r="AG17" s="110"/>
    </row>
    <row r="18" spans="1:33" ht="15.75">
      <c r="A18" s="109"/>
      <c r="B18" s="33"/>
      <c r="C18" s="33"/>
      <c r="D18" s="33"/>
      <c r="E18" s="110"/>
      <c r="F18" s="33"/>
      <c r="G18" s="111"/>
      <c r="H18" s="119"/>
      <c r="I18" s="123">
        <v>0</v>
      </c>
      <c r="J18" s="124">
        <v>0</v>
      </c>
      <c r="K18" s="125">
        <v>0</v>
      </c>
      <c r="L18" s="126">
        <v>0</v>
      </c>
      <c r="M18" s="123">
        <v>0</v>
      </c>
      <c r="N18" s="127">
        <v>0</v>
      </c>
      <c r="O18" s="122">
        <v>0</v>
      </c>
      <c r="P18" s="126">
        <v>0</v>
      </c>
      <c r="Q18" s="122">
        <v>0</v>
      </c>
      <c r="R18" s="126">
        <v>0</v>
      </c>
      <c r="S18" s="123">
        <v>0</v>
      </c>
      <c r="T18" s="127">
        <v>0</v>
      </c>
      <c r="U18" s="123">
        <v>0</v>
      </c>
      <c r="V18" s="134">
        <v>0</v>
      </c>
      <c r="W18" s="32">
        <f t="shared" si="2"/>
        <v>0</v>
      </c>
      <c r="X18" s="112"/>
      <c r="Y18" s="112"/>
      <c r="Z18" s="112"/>
      <c r="AA18" s="112"/>
      <c r="AB18" s="112"/>
      <c r="AC18" s="112"/>
      <c r="AD18" s="136">
        <f t="shared" si="3"/>
        <v>0</v>
      </c>
      <c r="AE18" s="113"/>
      <c r="AF18" s="114"/>
      <c r="AG18" s="110"/>
    </row>
    <row r="19" spans="1:33" ht="15.75">
      <c r="A19" s="109"/>
      <c r="B19" s="33"/>
      <c r="C19" s="33"/>
      <c r="D19" s="33"/>
      <c r="E19" s="110"/>
      <c r="F19" s="33"/>
      <c r="G19" s="111"/>
      <c r="H19" s="119"/>
      <c r="I19" s="123">
        <v>0</v>
      </c>
      <c r="J19" s="124">
        <v>0</v>
      </c>
      <c r="K19" s="125">
        <v>0</v>
      </c>
      <c r="L19" s="126">
        <v>0</v>
      </c>
      <c r="M19" s="123">
        <v>0</v>
      </c>
      <c r="N19" s="127">
        <v>0</v>
      </c>
      <c r="O19" s="122">
        <v>0</v>
      </c>
      <c r="P19" s="126">
        <v>0</v>
      </c>
      <c r="Q19" s="122">
        <v>0</v>
      </c>
      <c r="R19" s="126">
        <v>0</v>
      </c>
      <c r="S19" s="123">
        <v>0</v>
      </c>
      <c r="T19" s="127">
        <v>0</v>
      </c>
      <c r="U19" s="123">
        <v>0</v>
      </c>
      <c r="V19" s="134">
        <v>0</v>
      </c>
      <c r="W19" s="32">
        <f t="shared" si="2"/>
        <v>0</v>
      </c>
      <c r="X19" s="112"/>
      <c r="Y19" s="112"/>
      <c r="Z19" s="112"/>
      <c r="AA19" s="112"/>
      <c r="AB19" s="112"/>
      <c r="AC19" s="112"/>
      <c r="AD19" s="136">
        <f t="shared" si="3"/>
        <v>0</v>
      </c>
      <c r="AE19" s="113"/>
      <c r="AF19" s="114"/>
      <c r="AG19" s="110"/>
    </row>
    <row r="20" spans="1:33" ht="15.75">
      <c r="A20" s="109"/>
      <c r="B20" s="33"/>
      <c r="C20" s="33"/>
      <c r="D20" s="33"/>
      <c r="E20" s="110"/>
      <c r="F20" s="33"/>
      <c r="G20" s="111"/>
      <c r="H20" s="119"/>
      <c r="I20" s="123">
        <v>0</v>
      </c>
      <c r="J20" s="124">
        <v>0</v>
      </c>
      <c r="K20" s="125">
        <v>0</v>
      </c>
      <c r="L20" s="126">
        <v>0</v>
      </c>
      <c r="M20" s="123">
        <v>0</v>
      </c>
      <c r="N20" s="127">
        <v>0</v>
      </c>
      <c r="O20" s="122">
        <v>0</v>
      </c>
      <c r="P20" s="126">
        <v>0</v>
      </c>
      <c r="Q20" s="122">
        <v>0</v>
      </c>
      <c r="R20" s="126">
        <v>0</v>
      </c>
      <c r="S20" s="123">
        <v>0</v>
      </c>
      <c r="T20" s="127">
        <v>0</v>
      </c>
      <c r="U20" s="123">
        <v>0</v>
      </c>
      <c r="V20" s="134">
        <v>0</v>
      </c>
      <c r="W20" s="32">
        <f t="shared" si="2"/>
        <v>0</v>
      </c>
      <c r="X20" s="112"/>
      <c r="Y20" s="112"/>
      <c r="Z20" s="112"/>
      <c r="AA20" s="112"/>
      <c r="AB20" s="112"/>
      <c r="AC20" s="112"/>
      <c r="AD20" s="136">
        <f t="shared" si="3"/>
        <v>0</v>
      </c>
      <c r="AE20" s="113"/>
      <c r="AF20" s="114"/>
      <c r="AG20" s="110"/>
    </row>
    <row r="21" spans="1:33" ht="15.75">
      <c r="A21" s="109"/>
      <c r="B21" s="33"/>
      <c r="C21" s="33"/>
      <c r="D21" s="33"/>
      <c r="E21" s="110"/>
      <c r="F21" s="33"/>
      <c r="G21" s="111"/>
      <c r="H21" s="119"/>
      <c r="I21" s="123">
        <v>0</v>
      </c>
      <c r="J21" s="124">
        <v>0</v>
      </c>
      <c r="K21" s="125">
        <v>0</v>
      </c>
      <c r="L21" s="126">
        <v>0</v>
      </c>
      <c r="M21" s="123">
        <v>0</v>
      </c>
      <c r="N21" s="127">
        <v>0</v>
      </c>
      <c r="O21" s="122">
        <v>0</v>
      </c>
      <c r="P21" s="126">
        <v>0</v>
      </c>
      <c r="Q21" s="122">
        <v>0</v>
      </c>
      <c r="R21" s="126">
        <v>0</v>
      </c>
      <c r="S21" s="123">
        <v>0</v>
      </c>
      <c r="T21" s="127">
        <v>0</v>
      </c>
      <c r="U21" s="123">
        <v>0</v>
      </c>
      <c r="V21" s="134">
        <v>0</v>
      </c>
      <c r="W21" s="32">
        <f t="shared" si="2"/>
        <v>0</v>
      </c>
      <c r="X21" s="112"/>
      <c r="Y21" s="112"/>
      <c r="Z21" s="112"/>
      <c r="AA21" s="112"/>
      <c r="AB21" s="112"/>
      <c r="AC21" s="112"/>
      <c r="AD21" s="136">
        <f t="shared" si="3"/>
        <v>0</v>
      </c>
      <c r="AE21" s="113"/>
      <c r="AF21" s="114"/>
      <c r="AG21" s="110"/>
    </row>
    <row r="22" spans="1:33" ht="15.75">
      <c r="A22" s="109"/>
      <c r="B22" s="33"/>
      <c r="C22" s="33"/>
      <c r="D22" s="33"/>
      <c r="E22" s="110"/>
      <c r="F22" s="33"/>
      <c r="G22" s="111"/>
      <c r="H22" s="119"/>
      <c r="I22" s="123">
        <v>0</v>
      </c>
      <c r="J22" s="124">
        <v>0</v>
      </c>
      <c r="K22" s="125">
        <v>0</v>
      </c>
      <c r="L22" s="126">
        <v>0</v>
      </c>
      <c r="M22" s="123">
        <v>0</v>
      </c>
      <c r="N22" s="127">
        <v>0</v>
      </c>
      <c r="O22" s="122">
        <v>0</v>
      </c>
      <c r="P22" s="126">
        <v>0</v>
      </c>
      <c r="Q22" s="122">
        <v>0</v>
      </c>
      <c r="R22" s="126">
        <v>0</v>
      </c>
      <c r="S22" s="123">
        <v>0</v>
      </c>
      <c r="T22" s="127">
        <v>0</v>
      </c>
      <c r="U22" s="123">
        <v>0</v>
      </c>
      <c r="V22" s="134">
        <v>0</v>
      </c>
      <c r="W22" s="32">
        <f t="shared" si="2"/>
        <v>0</v>
      </c>
      <c r="X22" s="112"/>
      <c r="Y22" s="112"/>
      <c r="Z22" s="112"/>
      <c r="AA22" s="112"/>
      <c r="AB22" s="112"/>
      <c r="AC22" s="112"/>
      <c r="AD22" s="136">
        <f t="shared" si="3"/>
        <v>0</v>
      </c>
      <c r="AE22" s="113"/>
      <c r="AF22" s="114"/>
      <c r="AG22" s="110"/>
    </row>
    <row r="23" spans="1:33" ht="15.75">
      <c r="A23" s="109"/>
      <c r="B23" s="33"/>
      <c r="C23" s="33"/>
      <c r="D23" s="33"/>
      <c r="E23" s="110"/>
      <c r="F23" s="33"/>
      <c r="G23" s="111"/>
      <c r="H23" s="119"/>
      <c r="I23" s="123">
        <v>0</v>
      </c>
      <c r="J23" s="124">
        <v>0</v>
      </c>
      <c r="K23" s="125">
        <v>0</v>
      </c>
      <c r="L23" s="126">
        <v>0</v>
      </c>
      <c r="M23" s="123">
        <v>0</v>
      </c>
      <c r="N23" s="127">
        <v>0</v>
      </c>
      <c r="O23" s="122">
        <v>0</v>
      </c>
      <c r="P23" s="126">
        <v>0</v>
      </c>
      <c r="Q23" s="122">
        <v>0</v>
      </c>
      <c r="R23" s="126">
        <v>0</v>
      </c>
      <c r="S23" s="123">
        <v>0</v>
      </c>
      <c r="T23" s="127">
        <v>0</v>
      </c>
      <c r="U23" s="123">
        <v>0</v>
      </c>
      <c r="V23" s="134">
        <v>0</v>
      </c>
      <c r="W23" s="32">
        <f t="shared" si="2"/>
        <v>0</v>
      </c>
      <c r="X23" s="112"/>
      <c r="Y23" s="112"/>
      <c r="Z23" s="112"/>
      <c r="AA23" s="112"/>
      <c r="AB23" s="112"/>
      <c r="AC23" s="112"/>
      <c r="AD23" s="136">
        <f t="shared" si="3"/>
        <v>0</v>
      </c>
      <c r="AE23" s="113"/>
      <c r="AF23" s="114"/>
      <c r="AG23" s="110"/>
    </row>
    <row r="24" spans="1:33" ht="15.75">
      <c r="A24" s="109"/>
      <c r="B24" s="33"/>
      <c r="C24" s="33"/>
      <c r="D24" s="33"/>
      <c r="E24" s="110"/>
      <c r="F24" s="33"/>
      <c r="G24" s="111"/>
      <c r="H24" s="119"/>
      <c r="I24" s="123">
        <v>0</v>
      </c>
      <c r="J24" s="124">
        <v>0</v>
      </c>
      <c r="K24" s="125">
        <v>0</v>
      </c>
      <c r="L24" s="126">
        <v>0</v>
      </c>
      <c r="M24" s="123">
        <v>0</v>
      </c>
      <c r="N24" s="127">
        <v>0</v>
      </c>
      <c r="O24" s="122">
        <v>0</v>
      </c>
      <c r="P24" s="126">
        <v>0</v>
      </c>
      <c r="Q24" s="122">
        <v>0</v>
      </c>
      <c r="R24" s="126">
        <v>0</v>
      </c>
      <c r="S24" s="123">
        <v>0</v>
      </c>
      <c r="T24" s="127">
        <v>0</v>
      </c>
      <c r="U24" s="123">
        <v>0</v>
      </c>
      <c r="V24" s="134">
        <v>0</v>
      </c>
      <c r="W24" s="32">
        <f t="shared" si="2"/>
        <v>0</v>
      </c>
      <c r="X24" s="112"/>
      <c r="Y24" s="112"/>
      <c r="Z24" s="112"/>
      <c r="AA24" s="112"/>
      <c r="AB24" s="112"/>
      <c r="AC24" s="112"/>
      <c r="AD24" s="136">
        <f t="shared" si="3"/>
        <v>0</v>
      </c>
      <c r="AE24" s="113"/>
      <c r="AF24" s="114"/>
      <c r="AG24" s="110"/>
    </row>
    <row r="25" spans="1:33" ht="15.75">
      <c r="A25" s="109"/>
      <c r="B25" s="33"/>
      <c r="C25" s="33"/>
      <c r="D25" s="33"/>
      <c r="E25" s="110"/>
      <c r="F25" s="33"/>
      <c r="G25" s="111"/>
      <c r="H25" s="119"/>
      <c r="I25" s="123">
        <v>0</v>
      </c>
      <c r="J25" s="124">
        <v>0</v>
      </c>
      <c r="K25" s="125">
        <v>0</v>
      </c>
      <c r="L25" s="126">
        <v>0</v>
      </c>
      <c r="M25" s="123">
        <v>0</v>
      </c>
      <c r="N25" s="127">
        <v>0</v>
      </c>
      <c r="O25" s="122">
        <v>0</v>
      </c>
      <c r="P25" s="126">
        <v>0</v>
      </c>
      <c r="Q25" s="122">
        <v>0</v>
      </c>
      <c r="R25" s="126">
        <v>0</v>
      </c>
      <c r="S25" s="123">
        <v>0</v>
      </c>
      <c r="T25" s="127">
        <v>0</v>
      </c>
      <c r="U25" s="123">
        <v>0</v>
      </c>
      <c r="V25" s="134">
        <v>0</v>
      </c>
      <c r="W25" s="32">
        <f t="shared" si="2"/>
        <v>0</v>
      </c>
      <c r="X25" s="112"/>
      <c r="Y25" s="112"/>
      <c r="Z25" s="112"/>
      <c r="AA25" s="112"/>
      <c r="AB25" s="112"/>
      <c r="AC25" s="112"/>
      <c r="AD25" s="136">
        <f t="shared" si="3"/>
        <v>0</v>
      </c>
      <c r="AE25" s="113"/>
      <c r="AF25" s="114"/>
      <c r="AG25" s="110"/>
    </row>
    <row r="26" spans="1:33" ht="15.75">
      <c r="A26" s="109"/>
      <c r="B26" s="33"/>
      <c r="C26" s="33"/>
      <c r="D26" s="33"/>
      <c r="E26" s="110"/>
      <c r="F26" s="33"/>
      <c r="G26" s="111"/>
      <c r="H26" s="119"/>
      <c r="I26" s="123">
        <v>0</v>
      </c>
      <c r="J26" s="124">
        <v>0</v>
      </c>
      <c r="K26" s="125">
        <v>0</v>
      </c>
      <c r="L26" s="126">
        <v>0</v>
      </c>
      <c r="M26" s="123">
        <v>0</v>
      </c>
      <c r="N26" s="127">
        <v>0</v>
      </c>
      <c r="O26" s="122">
        <v>0</v>
      </c>
      <c r="P26" s="126">
        <v>0</v>
      </c>
      <c r="Q26" s="122">
        <v>0</v>
      </c>
      <c r="R26" s="126">
        <v>0</v>
      </c>
      <c r="S26" s="123">
        <v>0</v>
      </c>
      <c r="T26" s="127">
        <v>0</v>
      </c>
      <c r="U26" s="123">
        <v>0</v>
      </c>
      <c r="V26" s="134">
        <v>0</v>
      </c>
      <c r="W26" s="32">
        <f t="shared" si="2"/>
        <v>0</v>
      </c>
      <c r="X26" s="112"/>
      <c r="Y26" s="112"/>
      <c r="Z26" s="112"/>
      <c r="AA26" s="112"/>
      <c r="AB26" s="112"/>
      <c r="AC26" s="112"/>
      <c r="AD26" s="136">
        <f t="shared" si="3"/>
        <v>0</v>
      </c>
      <c r="AE26" s="113"/>
      <c r="AF26" s="114"/>
      <c r="AG26" s="110"/>
    </row>
    <row r="27" spans="1:33" ht="15.75">
      <c r="A27" s="109"/>
      <c r="B27" s="33"/>
      <c r="C27" s="33"/>
      <c r="D27" s="33"/>
      <c r="E27" s="110"/>
      <c r="F27" s="33"/>
      <c r="G27" s="111"/>
      <c r="H27" s="119"/>
      <c r="I27" s="123">
        <v>0</v>
      </c>
      <c r="J27" s="124">
        <v>0</v>
      </c>
      <c r="K27" s="125">
        <v>0</v>
      </c>
      <c r="L27" s="126">
        <v>0</v>
      </c>
      <c r="M27" s="123">
        <v>0</v>
      </c>
      <c r="N27" s="127">
        <v>0</v>
      </c>
      <c r="O27" s="122">
        <v>0</v>
      </c>
      <c r="P27" s="126">
        <v>0</v>
      </c>
      <c r="Q27" s="122">
        <v>0</v>
      </c>
      <c r="R27" s="126">
        <v>0</v>
      </c>
      <c r="S27" s="123">
        <v>0</v>
      </c>
      <c r="T27" s="127">
        <v>0</v>
      </c>
      <c r="U27" s="123">
        <v>0</v>
      </c>
      <c r="V27" s="134">
        <v>0</v>
      </c>
      <c r="W27" s="32">
        <f t="shared" si="2"/>
        <v>0</v>
      </c>
      <c r="X27" s="112"/>
      <c r="Y27" s="112"/>
      <c r="Z27" s="112"/>
      <c r="AA27" s="112"/>
      <c r="AB27" s="112"/>
      <c r="AC27" s="112"/>
      <c r="AD27" s="136">
        <f t="shared" si="3"/>
        <v>0</v>
      </c>
      <c r="AE27" s="113"/>
      <c r="AF27" s="114"/>
      <c r="AG27" s="110"/>
    </row>
    <row r="28" spans="1:33" ht="15.75">
      <c r="A28" s="109"/>
      <c r="B28" s="33"/>
      <c r="C28" s="33"/>
      <c r="D28" s="33"/>
      <c r="E28" s="110"/>
      <c r="F28" s="33"/>
      <c r="G28" s="111"/>
      <c r="H28" s="119"/>
      <c r="I28" s="123">
        <v>0</v>
      </c>
      <c r="J28" s="124">
        <v>0</v>
      </c>
      <c r="K28" s="125">
        <v>0</v>
      </c>
      <c r="L28" s="126">
        <v>0</v>
      </c>
      <c r="M28" s="123">
        <v>0</v>
      </c>
      <c r="N28" s="127">
        <v>0</v>
      </c>
      <c r="O28" s="122">
        <v>0</v>
      </c>
      <c r="P28" s="126">
        <v>0</v>
      </c>
      <c r="Q28" s="122">
        <v>0</v>
      </c>
      <c r="R28" s="126">
        <v>0</v>
      </c>
      <c r="S28" s="123">
        <v>0</v>
      </c>
      <c r="T28" s="127">
        <v>0</v>
      </c>
      <c r="U28" s="123">
        <v>0</v>
      </c>
      <c r="V28" s="134">
        <v>0</v>
      </c>
      <c r="W28" s="32">
        <f t="shared" si="2"/>
        <v>0</v>
      </c>
      <c r="X28" s="112"/>
      <c r="Y28" s="112"/>
      <c r="Z28" s="112"/>
      <c r="AA28" s="112"/>
      <c r="AB28" s="112"/>
      <c r="AC28" s="112"/>
      <c r="AD28" s="136">
        <f t="shared" si="3"/>
        <v>0</v>
      </c>
      <c r="AE28" s="113"/>
      <c r="AF28" s="114"/>
      <c r="AG28" s="110"/>
    </row>
    <row r="29" spans="1:33" ht="15.75">
      <c r="A29" s="109"/>
      <c r="B29" s="33"/>
      <c r="C29" s="33"/>
      <c r="D29" s="33"/>
      <c r="E29" s="110"/>
      <c r="F29" s="33"/>
      <c r="G29" s="111"/>
      <c r="H29" s="119"/>
      <c r="I29" s="123">
        <v>0</v>
      </c>
      <c r="J29" s="124">
        <v>0</v>
      </c>
      <c r="K29" s="125">
        <v>0</v>
      </c>
      <c r="L29" s="126">
        <v>0</v>
      </c>
      <c r="M29" s="123">
        <v>0</v>
      </c>
      <c r="N29" s="127">
        <v>0</v>
      </c>
      <c r="O29" s="122">
        <v>0</v>
      </c>
      <c r="P29" s="126">
        <v>0</v>
      </c>
      <c r="Q29" s="122">
        <v>0</v>
      </c>
      <c r="R29" s="126">
        <v>0</v>
      </c>
      <c r="S29" s="123">
        <v>0</v>
      </c>
      <c r="T29" s="127">
        <v>0</v>
      </c>
      <c r="U29" s="123">
        <v>0</v>
      </c>
      <c r="V29" s="134">
        <v>0</v>
      </c>
      <c r="W29" s="32">
        <f t="shared" si="2"/>
        <v>0</v>
      </c>
      <c r="X29" s="112"/>
      <c r="Y29" s="112"/>
      <c r="Z29" s="112"/>
      <c r="AA29" s="112"/>
      <c r="AB29" s="112"/>
      <c r="AC29" s="112"/>
      <c r="AD29" s="136">
        <f t="shared" si="3"/>
        <v>0</v>
      </c>
      <c r="AE29" s="113"/>
      <c r="AF29" s="114"/>
      <c r="AG29" s="110"/>
    </row>
    <row r="30" spans="1:33" ht="15.75">
      <c r="A30" s="109"/>
      <c r="B30" s="33"/>
      <c r="C30" s="33"/>
      <c r="D30" s="33"/>
      <c r="E30" s="110"/>
      <c r="F30" s="33"/>
      <c r="G30" s="111"/>
      <c r="H30" s="119"/>
      <c r="I30" s="123">
        <v>0</v>
      </c>
      <c r="J30" s="124">
        <v>0</v>
      </c>
      <c r="K30" s="125">
        <v>0</v>
      </c>
      <c r="L30" s="126">
        <v>0</v>
      </c>
      <c r="M30" s="123">
        <v>0</v>
      </c>
      <c r="N30" s="127">
        <v>0</v>
      </c>
      <c r="O30" s="122">
        <v>0</v>
      </c>
      <c r="P30" s="126">
        <v>0</v>
      </c>
      <c r="Q30" s="122">
        <v>0</v>
      </c>
      <c r="R30" s="126">
        <v>0</v>
      </c>
      <c r="S30" s="123">
        <v>0</v>
      </c>
      <c r="T30" s="127">
        <v>0</v>
      </c>
      <c r="U30" s="123">
        <v>0</v>
      </c>
      <c r="V30" s="134">
        <v>0</v>
      </c>
      <c r="W30" s="32">
        <f t="shared" si="2"/>
        <v>0</v>
      </c>
      <c r="X30" s="112"/>
      <c r="Y30" s="112"/>
      <c r="Z30" s="112"/>
      <c r="AA30" s="112"/>
      <c r="AB30" s="112"/>
      <c r="AC30" s="112"/>
      <c r="AD30" s="136">
        <f t="shared" si="3"/>
        <v>0</v>
      </c>
      <c r="AE30" s="113"/>
      <c r="AF30" s="114"/>
      <c r="AG30" s="110"/>
    </row>
    <row r="31" spans="1:33" ht="15.75">
      <c r="A31" s="109"/>
      <c r="B31" s="33"/>
      <c r="C31" s="33"/>
      <c r="D31" s="33"/>
      <c r="E31" s="110"/>
      <c r="F31" s="33"/>
      <c r="G31" s="111"/>
      <c r="H31" s="119"/>
      <c r="I31" s="123">
        <v>0</v>
      </c>
      <c r="J31" s="124">
        <v>0</v>
      </c>
      <c r="K31" s="125">
        <v>0</v>
      </c>
      <c r="L31" s="126">
        <v>0</v>
      </c>
      <c r="M31" s="123">
        <v>0</v>
      </c>
      <c r="N31" s="127">
        <v>0</v>
      </c>
      <c r="O31" s="122">
        <v>0</v>
      </c>
      <c r="P31" s="126">
        <v>0</v>
      </c>
      <c r="Q31" s="122">
        <v>0</v>
      </c>
      <c r="R31" s="126">
        <v>0</v>
      </c>
      <c r="S31" s="123">
        <v>0</v>
      </c>
      <c r="T31" s="127">
        <v>0</v>
      </c>
      <c r="U31" s="123">
        <v>0</v>
      </c>
      <c r="V31" s="134">
        <v>0</v>
      </c>
      <c r="W31" s="32">
        <f t="shared" si="2"/>
        <v>0</v>
      </c>
      <c r="X31" s="112"/>
      <c r="Y31" s="112"/>
      <c r="Z31" s="112"/>
      <c r="AA31" s="112"/>
      <c r="AB31" s="112"/>
      <c r="AC31" s="112"/>
      <c r="AD31" s="136">
        <f t="shared" si="3"/>
        <v>0</v>
      </c>
      <c r="AE31" s="113"/>
      <c r="AF31" s="114"/>
      <c r="AG31" s="110"/>
    </row>
    <row r="32" spans="1:33" ht="15.75">
      <c r="A32" s="109"/>
      <c r="B32" s="33"/>
      <c r="C32" s="33"/>
      <c r="D32" s="33"/>
      <c r="E32" s="110"/>
      <c r="F32" s="33"/>
      <c r="G32" s="111"/>
      <c r="H32" s="119"/>
      <c r="I32" s="123">
        <v>0</v>
      </c>
      <c r="J32" s="124">
        <v>0</v>
      </c>
      <c r="K32" s="125">
        <v>0</v>
      </c>
      <c r="L32" s="126">
        <v>0</v>
      </c>
      <c r="M32" s="123">
        <v>0</v>
      </c>
      <c r="N32" s="127">
        <v>0</v>
      </c>
      <c r="O32" s="122">
        <v>0</v>
      </c>
      <c r="P32" s="126">
        <v>0</v>
      </c>
      <c r="Q32" s="122">
        <v>0</v>
      </c>
      <c r="R32" s="126">
        <v>0</v>
      </c>
      <c r="S32" s="123">
        <v>0</v>
      </c>
      <c r="T32" s="127">
        <v>0</v>
      </c>
      <c r="U32" s="123">
        <v>0</v>
      </c>
      <c r="V32" s="134">
        <v>0</v>
      </c>
      <c r="W32" s="32">
        <f t="shared" si="2"/>
        <v>0</v>
      </c>
      <c r="X32" s="112"/>
      <c r="Y32" s="112"/>
      <c r="Z32" s="112"/>
      <c r="AA32" s="112"/>
      <c r="AB32" s="112"/>
      <c r="AC32" s="112"/>
      <c r="AD32" s="136">
        <f t="shared" si="3"/>
        <v>0</v>
      </c>
      <c r="AE32" s="113"/>
      <c r="AF32" s="114"/>
      <c r="AG32" s="110"/>
    </row>
    <row r="33" spans="1:33" ht="15.75">
      <c r="A33" s="109"/>
      <c r="B33" s="33"/>
      <c r="C33" s="33"/>
      <c r="D33" s="33"/>
      <c r="E33" s="110"/>
      <c r="F33" s="33"/>
      <c r="G33" s="111"/>
      <c r="H33" s="119"/>
      <c r="I33" s="123">
        <v>0</v>
      </c>
      <c r="J33" s="124">
        <v>0</v>
      </c>
      <c r="K33" s="125">
        <v>0</v>
      </c>
      <c r="L33" s="126">
        <v>0</v>
      </c>
      <c r="M33" s="123">
        <v>0</v>
      </c>
      <c r="N33" s="127">
        <v>0</v>
      </c>
      <c r="O33" s="122">
        <v>0</v>
      </c>
      <c r="P33" s="126">
        <v>0</v>
      </c>
      <c r="Q33" s="122">
        <v>0</v>
      </c>
      <c r="R33" s="126">
        <v>0</v>
      </c>
      <c r="S33" s="123">
        <v>0</v>
      </c>
      <c r="T33" s="127">
        <v>0</v>
      </c>
      <c r="U33" s="123">
        <v>0</v>
      </c>
      <c r="V33" s="134">
        <v>0</v>
      </c>
      <c r="W33" s="32">
        <f t="shared" si="2"/>
        <v>0</v>
      </c>
      <c r="X33" s="112"/>
      <c r="Y33" s="112"/>
      <c r="Z33" s="112"/>
      <c r="AA33" s="112"/>
      <c r="AB33" s="112"/>
      <c r="AC33" s="112"/>
      <c r="AD33" s="136">
        <f t="shared" si="3"/>
        <v>0</v>
      </c>
      <c r="AE33" s="113"/>
      <c r="AF33" s="114"/>
      <c r="AG33" s="110"/>
    </row>
    <row r="34" spans="1:33" ht="15.75">
      <c r="A34" s="109"/>
      <c r="B34" s="33"/>
      <c r="C34" s="33"/>
      <c r="D34" s="33"/>
      <c r="E34" s="110"/>
      <c r="F34" s="33"/>
      <c r="G34" s="111"/>
      <c r="H34" s="119"/>
      <c r="I34" s="123">
        <v>0</v>
      </c>
      <c r="J34" s="124">
        <v>0</v>
      </c>
      <c r="K34" s="125">
        <v>0</v>
      </c>
      <c r="L34" s="126">
        <v>0</v>
      </c>
      <c r="M34" s="123">
        <v>0</v>
      </c>
      <c r="N34" s="127">
        <v>0</v>
      </c>
      <c r="O34" s="122">
        <v>0</v>
      </c>
      <c r="P34" s="126">
        <v>0</v>
      </c>
      <c r="Q34" s="122">
        <v>0</v>
      </c>
      <c r="R34" s="126">
        <v>0</v>
      </c>
      <c r="S34" s="123">
        <v>0</v>
      </c>
      <c r="T34" s="127">
        <v>0</v>
      </c>
      <c r="U34" s="123">
        <v>0</v>
      </c>
      <c r="V34" s="134">
        <v>0</v>
      </c>
      <c r="W34" s="32">
        <f t="shared" si="2"/>
        <v>0</v>
      </c>
      <c r="X34" s="112"/>
      <c r="Y34" s="112"/>
      <c r="Z34" s="112"/>
      <c r="AA34" s="112"/>
      <c r="AB34" s="112"/>
      <c r="AC34" s="112"/>
      <c r="AD34" s="136">
        <f t="shared" si="3"/>
        <v>0</v>
      </c>
      <c r="AE34" s="113"/>
      <c r="AF34" s="114"/>
      <c r="AG34" s="110"/>
    </row>
    <row r="35" spans="1:33" ht="15.75">
      <c r="A35" s="109"/>
      <c r="B35" s="33"/>
      <c r="C35" s="33"/>
      <c r="D35" s="33"/>
      <c r="E35" s="110"/>
      <c r="F35" s="33"/>
      <c r="G35" s="111"/>
      <c r="H35" s="119"/>
      <c r="I35" s="123">
        <v>0</v>
      </c>
      <c r="J35" s="124">
        <v>0</v>
      </c>
      <c r="K35" s="125">
        <v>0</v>
      </c>
      <c r="L35" s="126">
        <v>0</v>
      </c>
      <c r="M35" s="123">
        <v>0</v>
      </c>
      <c r="N35" s="127">
        <v>0</v>
      </c>
      <c r="O35" s="122">
        <v>0</v>
      </c>
      <c r="P35" s="126">
        <v>0</v>
      </c>
      <c r="Q35" s="122">
        <v>0</v>
      </c>
      <c r="R35" s="126">
        <v>0</v>
      </c>
      <c r="S35" s="123">
        <v>0</v>
      </c>
      <c r="T35" s="127">
        <v>0</v>
      </c>
      <c r="U35" s="123">
        <v>0</v>
      </c>
      <c r="V35" s="134">
        <v>0</v>
      </c>
      <c r="W35" s="32">
        <f t="shared" si="2"/>
        <v>0</v>
      </c>
      <c r="X35" s="112"/>
      <c r="Y35" s="112"/>
      <c r="Z35" s="112"/>
      <c r="AA35" s="112"/>
      <c r="AB35" s="112"/>
      <c r="AC35" s="112"/>
      <c r="AD35" s="136">
        <f t="shared" si="3"/>
        <v>0</v>
      </c>
      <c r="AE35" s="113"/>
      <c r="AF35" s="114"/>
      <c r="AG35" s="110"/>
    </row>
    <row r="36" spans="1:33" ht="15.75">
      <c r="A36" s="109"/>
      <c r="B36" s="33"/>
      <c r="C36" s="33"/>
      <c r="D36" s="33"/>
      <c r="E36" s="110"/>
      <c r="F36" s="33"/>
      <c r="G36" s="111"/>
      <c r="H36" s="119"/>
      <c r="I36" s="123">
        <v>0</v>
      </c>
      <c r="J36" s="124">
        <v>0</v>
      </c>
      <c r="K36" s="125">
        <v>0</v>
      </c>
      <c r="L36" s="126">
        <v>0</v>
      </c>
      <c r="M36" s="123">
        <v>0</v>
      </c>
      <c r="N36" s="127">
        <v>0</v>
      </c>
      <c r="O36" s="122">
        <v>0</v>
      </c>
      <c r="P36" s="126">
        <v>0</v>
      </c>
      <c r="Q36" s="122">
        <v>0</v>
      </c>
      <c r="R36" s="126">
        <v>0</v>
      </c>
      <c r="S36" s="123">
        <v>0</v>
      </c>
      <c r="T36" s="127">
        <v>0</v>
      </c>
      <c r="U36" s="123">
        <v>0</v>
      </c>
      <c r="V36" s="134">
        <v>0</v>
      </c>
      <c r="W36" s="32">
        <f t="shared" si="2"/>
        <v>0</v>
      </c>
      <c r="X36" s="112"/>
      <c r="Y36" s="112"/>
      <c r="Z36" s="112"/>
      <c r="AA36" s="112"/>
      <c r="AB36" s="112"/>
      <c r="AC36" s="112"/>
      <c r="AD36" s="136">
        <f t="shared" si="3"/>
        <v>0</v>
      </c>
      <c r="AE36" s="113"/>
      <c r="AF36" s="114"/>
      <c r="AG36" s="110"/>
    </row>
    <row r="37" spans="1:33" ht="15.75">
      <c r="A37" s="109"/>
      <c r="B37" s="33"/>
      <c r="C37" s="33"/>
      <c r="D37" s="33"/>
      <c r="E37" s="110"/>
      <c r="F37" s="33"/>
      <c r="G37" s="111"/>
      <c r="H37" s="119"/>
      <c r="I37" s="123">
        <v>0</v>
      </c>
      <c r="J37" s="124">
        <v>0</v>
      </c>
      <c r="K37" s="125">
        <v>0</v>
      </c>
      <c r="L37" s="126">
        <v>0</v>
      </c>
      <c r="M37" s="123">
        <v>0</v>
      </c>
      <c r="N37" s="127">
        <v>0</v>
      </c>
      <c r="O37" s="122">
        <v>0</v>
      </c>
      <c r="P37" s="126">
        <v>0</v>
      </c>
      <c r="Q37" s="122">
        <v>0</v>
      </c>
      <c r="R37" s="126">
        <v>0</v>
      </c>
      <c r="S37" s="123">
        <v>0</v>
      </c>
      <c r="T37" s="127">
        <v>0</v>
      </c>
      <c r="U37" s="123">
        <v>0</v>
      </c>
      <c r="V37" s="134">
        <v>0</v>
      </c>
      <c r="W37" s="32">
        <f t="shared" si="2"/>
        <v>0</v>
      </c>
      <c r="X37" s="112"/>
      <c r="Y37" s="112"/>
      <c r="Z37" s="112"/>
      <c r="AA37" s="112"/>
      <c r="AB37" s="112"/>
      <c r="AC37" s="112"/>
      <c r="AD37" s="136">
        <f t="shared" si="3"/>
        <v>0</v>
      </c>
      <c r="AE37" s="113"/>
      <c r="AF37" s="114"/>
      <c r="AG37" s="110"/>
    </row>
    <row r="38" spans="1:33" ht="15.75">
      <c r="A38" s="109"/>
      <c r="B38" s="33"/>
      <c r="C38" s="33"/>
      <c r="D38" s="33"/>
      <c r="E38" s="110"/>
      <c r="F38" s="33"/>
      <c r="G38" s="111"/>
      <c r="H38" s="119"/>
      <c r="I38" s="123">
        <v>0</v>
      </c>
      <c r="J38" s="124">
        <v>0</v>
      </c>
      <c r="K38" s="125">
        <v>0</v>
      </c>
      <c r="L38" s="126">
        <v>0</v>
      </c>
      <c r="M38" s="123">
        <v>0</v>
      </c>
      <c r="N38" s="127">
        <v>0</v>
      </c>
      <c r="O38" s="122">
        <v>0</v>
      </c>
      <c r="P38" s="126">
        <v>0</v>
      </c>
      <c r="Q38" s="122">
        <v>0</v>
      </c>
      <c r="R38" s="126">
        <v>0</v>
      </c>
      <c r="S38" s="123">
        <v>0</v>
      </c>
      <c r="T38" s="127">
        <v>0</v>
      </c>
      <c r="U38" s="123">
        <v>0</v>
      </c>
      <c r="V38" s="134">
        <v>0</v>
      </c>
      <c r="W38" s="32">
        <f t="shared" si="2"/>
        <v>0</v>
      </c>
      <c r="X38" s="112"/>
      <c r="Y38" s="112"/>
      <c r="Z38" s="112"/>
      <c r="AA38" s="112"/>
      <c r="AB38" s="112"/>
      <c r="AC38" s="112"/>
      <c r="AD38" s="136">
        <f t="shared" si="3"/>
        <v>0</v>
      </c>
      <c r="AE38" s="113"/>
      <c r="AF38" s="114"/>
      <c r="AG38" s="110"/>
    </row>
    <row r="39" spans="1:33" ht="15.75">
      <c r="A39" s="109"/>
      <c r="B39" s="33"/>
      <c r="C39" s="33"/>
      <c r="D39" s="33"/>
      <c r="E39" s="110"/>
      <c r="F39" s="33"/>
      <c r="G39" s="111"/>
      <c r="H39" s="119"/>
      <c r="I39" s="123">
        <v>0</v>
      </c>
      <c r="J39" s="124">
        <v>0</v>
      </c>
      <c r="K39" s="125">
        <v>0</v>
      </c>
      <c r="L39" s="126">
        <v>0</v>
      </c>
      <c r="M39" s="123">
        <v>0</v>
      </c>
      <c r="N39" s="127">
        <v>0</v>
      </c>
      <c r="O39" s="122">
        <v>0</v>
      </c>
      <c r="P39" s="126">
        <v>0</v>
      </c>
      <c r="Q39" s="122">
        <v>0</v>
      </c>
      <c r="R39" s="126">
        <v>0</v>
      </c>
      <c r="S39" s="123">
        <v>0</v>
      </c>
      <c r="T39" s="127">
        <v>0</v>
      </c>
      <c r="U39" s="123">
        <v>0</v>
      </c>
      <c r="V39" s="134">
        <v>0</v>
      </c>
      <c r="W39" s="32">
        <f t="shared" si="2"/>
        <v>0</v>
      </c>
      <c r="X39" s="112"/>
      <c r="Y39" s="112"/>
      <c r="Z39" s="112"/>
      <c r="AA39" s="112"/>
      <c r="AB39" s="112"/>
      <c r="AC39" s="112"/>
      <c r="AD39" s="136">
        <f t="shared" si="3"/>
        <v>0</v>
      </c>
      <c r="AE39" s="113"/>
      <c r="AF39" s="114"/>
      <c r="AG39" s="110"/>
    </row>
    <row r="40" spans="1:33" ht="15.75">
      <c r="A40" s="109"/>
      <c r="B40" s="33"/>
      <c r="C40" s="33"/>
      <c r="D40" s="33"/>
      <c r="E40" s="110"/>
      <c r="F40" s="33"/>
      <c r="G40" s="111"/>
      <c r="H40" s="119"/>
      <c r="I40" s="123">
        <v>0</v>
      </c>
      <c r="J40" s="124">
        <v>0</v>
      </c>
      <c r="K40" s="125">
        <v>0</v>
      </c>
      <c r="L40" s="126">
        <v>0</v>
      </c>
      <c r="M40" s="123">
        <v>0</v>
      </c>
      <c r="N40" s="127">
        <v>0</v>
      </c>
      <c r="O40" s="122">
        <v>0</v>
      </c>
      <c r="P40" s="126">
        <v>0</v>
      </c>
      <c r="Q40" s="122">
        <v>0</v>
      </c>
      <c r="R40" s="126">
        <v>0</v>
      </c>
      <c r="S40" s="123">
        <v>0</v>
      </c>
      <c r="T40" s="127">
        <v>0</v>
      </c>
      <c r="U40" s="123">
        <v>0</v>
      </c>
      <c r="V40" s="134">
        <v>0</v>
      </c>
      <c r="W40" s="32">
        <f t="shared" si="2"/>
        <v>0</v>
      </c>
      <c r="X40" s="112"/>
      <c r="Y40" s="112"/>
      <c r="Z40" s="112"/>
      <c r="AA40" s="112"/>
      <c r="AB40" s="112"/>
      <c r="AC40" s="112"/>
      <c r="AD40" s="136">
        <f t="shared" si="3"/>
        <v>0</v>
      </c>
      <c r="AE40" s="113"/>
      <c r="AF40" s="114"/>
      <c r="AG40" s="110"/>
    </row>
    <row r="41" spans="1:33" ht="15.75">
      <c r="A41" s="109"/>
      <c r="B41" s="33"/>
      <c r="C41" s="33"/>
      <c r="D41" s="33"/>
      <c r="E41" s="110"/>
      <c r="F41" s="33"/>
      <c r="G41" s="111"/>
      <c r="H41" s="119"/>
      <c r="I41" s="123">
        <v>0</v>
      </c>
      <c r="J41" s="124">
        <v>0</v>
      </c>
      <c r="K41" s="125">
        <v>0</v>
      </c>
      <c r="L41" s="126">
        <v>0</v>
      </c>
      <c r="M41" s="123">
        <v>0</v>
      </c>
      <c r="N41" s="127">
        <v>0</v>
      </c>
      <c r="O41" s="122">
        <v>0</v>
      </c>
      <c r="P41" s="126">
        <v>0</v>
      </c>
      <c r="Q41" s="122">
        <v>0</v>
      </c>
      <c r="R41" s="126">
        <v>0</v>
      </c>
      <c r="S41" s="123">
        <v>0</v>
      </c>
      <c r="T41" s="127">
        <v>0</v>
      </c>
      <c r="U41" s="123">
        <v>0</v>
      </c>
      <c r="V41" s="134">
        <v>0</v>
      </c>
      <c r="W41" s="32">
        <f t="shared" si="2"/>
        <v>0</v>
      </c>
      <c r="X41" s="112"/>
      <c r="Y41" s="112"/>
      <c r="Z41" s="112"/>
      <c r="AA41" s="112"/>
      <c r="AB41" s="112"/>
      <c r="AC41" s="112"/>
      <c r="AD41" s="136">
        <f t="shared" si="3"/>
        <v>0</v>
      </c>
      <c r="AE41" s="113"/>
      <c r="AF41" s="114"/>
      <c r="AG41" s="110"/>
    </row>
    <row r="42" spans="1:33" ht="15.75">
      <c r="A42" s="109"/>
      <c r="B42" s="33"/>
      <c r="C42" s="33"/>
      <c r="D42" s="33"/>
      <c r="E42" s="110"/>
      <c r="F42" s="33"/>
      <c r="G42" s="111"/>
      <c r="H42" s="119"/>
      <c r="I42" s="123">
        <v>0</v>
      </c>
      <c r="J42" s="124">
        <v>0</v>
      </c>
      <c r="K42" s="125">
        <v>0</v>
      </c>
      <c r="L42" s="126">
        <v>0</v>
      </c>
      <c r="M42" s="123">
        <v>0</v>
      </c>
      <c r="N42" s="127">
        <v>0</v>
      </c>
      <c r="O42" s="122">
        <v>0</v>
      </c>
      <c r="P42" s="126">
        <v>0</v>
      </c>
      <c r="Q42" s="122">
        <v>0</v>
      </c>
      <c r="R42" s="126">
        <v>0</v>
      </c>
      <c r="S42" s="123">
        <v>0</v>
      </c>
      <c r="T42" s="127">
        <v>0</v>
      </c>
      <c r="U42" s="123">
        <v>0</v>
      </c>
      <c r="V42" s="134">
        <v>0</v>
      </c>
      <c r="W42" s="32">
        <f t="shared" si="2"/>
        <v>0</v>
      </c>
      <c r="X42" s="112"/>
      <c r="Y42" s="112"/>
      <c r="Z42" s="112"/>
      <c r="AA42" s="112"/>
      <c r="AB42" s="112"/>
      <c r="AC42" s="112"/>
      <c r="AD42" s="136">
        <f t="shared" si="3"/>
        <v>0</v>
      </c>
      <c r="AE42" s="113"/>
      <c r="AF42" s="114"/>
      <c r="AG42" s="110"/>
    </row>
    <row r="43" spans="1:33" ht="15.75">
      <c r="A43" s="109"/>
      <c r="B43" s="33"/>
      <c r="C43" s="33"/>
      <c r="D43" s="33"/>
      <c r="E43" s="110"/>
      <c r="F43" s="33"/>
      <c r="G43" s="111"/>
      <c r="H43" s="119"/>
      <c r="I43" s="123">
        <v>0</v>
      </c>
      <c r="J43" s="124">
        <v>0</v>
      </c>
      <c r="K43" s="125">
        <v>0</v>
      </c>
      <c r="L43" s="126">
        <v>0</v>
      </c>
      <c r="M43" s="123">
        <v>0</v>
      </c>
      <c r="N43" s="127">
        <v>0</v>
      </c>
      <c r="O43" s="122">
        <v>0</v>
      </c>
      <c r="P43" s="126">
        <v>0</v>
      </c>
      <c r="Q43" s="122">
        <v>0</v>
      </c>
      <c r="R43" s="126">
        <v>0</v>
      </c>
      <c r="S43" s="123">
        <v>0</v>
      </c>
      <c r="T43" s="127">
        <v>0</v>
      </c>
      <c r="U43" s="123">
        <v>0</v>
      </c>
      <c r="V43" s="134">
        <v>0</v>
      </c>
      <c r="W43" s="32">
        <f t="shared" si="2"/>
        <v>0</v>
      </c>
      <c r="X43" s="112"/>
      <c r="Y43" s="112"/>
      <c r="Z43" s="112"/>
      <c r="AA43" s="112"/>
      <c r="AB43" s="112"/>
      <c r="AC43" s="112"/>
      <c r="AD43" s="136">
        <f t="shared" si="3"/>
        <v>0</v>
      </c>
      <c r="AE43" s="113"/>
      <c r="AF43" s="114"/>
      <c r="AG43" s="110"/>
    </row>
    <row r="44" spans="1:33" ht="15.75">
      <c r="A44" s="109"/>
      <c r="B44" s="33"/>
      <c r="C44" s="33"/>
      <c r="D44" s="33"/>
      <c r="E44" s="110"/>
      <c r="F44" s="33"/>
      <c r="G44" s="111"/>
      <c r="H44" s="119"/>
      <c r="I44" s="123">
        <v>0</v>
      </c>
      <c r="J44" s="124">
        <v>0</v>
      </c>
      <c r="K44" s="125">
        <v>0</v>
      </c>
      <c r="L44" s="126">
        <v>0</v>
      </c>
      <c r="M44" s="123">
        <v>0</v>
      </c>
      <c r="N44" s="127">
        <v>0</v>
      </c>
      <c r="O44" s="122">
        <v>0</v>
      </c>
      <c r="P44" s="126">
        <v>0</v>
      </c>
      <c r="Q44" s="122">
        <v>0</v>
      </c>
      <c r="R44" s="126">
        <v>0</v>
      </c>
      <c r="S44" s="123">
        <v>0</v>
      </c>
      <c r="T44" s="127">
        <v>0</v>
      </c>
      <c r="U44" s="123">
        <v>0</v>
      </c>
      <c r="V44" s="134">
        <v>0</v>
      </c>
      <c r="W44" s="32">
        <f t="shared" si="2"/>
        <v>0</v>
      </c>
      <c r="X44" s="112"/>
      <c r="Y44" s="112"/>
      <c r="Z44" s="112"/>
      <c r="AA44" s="112"/>
      <c r="AB44" s="112"/>
      <c r="AC44" s="112"/>
      <c r="AD44" s="136">
        <f t="shared" si="3"/>
        <v>0</v>
      </c>
      <c r="AE44" s="113"/>
      <c r="AF44" s="114"/>
      <c r="AG44" s="110"/>
    </row>
    <row r="45" spans="1:33" ht="15.75">
      <c r="A45" s="109"/>
      <c r="B45" s="33"/>
      <c r="C45" s="33"/>
      <c r="D45" s="33"/>
      <c r="E45" s="110"/>
      <c r="F45" s="33"/>
      <c r="G45" s="111"/>
      <c r="H45" s="119"/>
      <c r="I45" s="123">
        <v>0</v>
      </c>
      <c r="J45" s="124">
        <v>0</v>
      </c>
      <c r="K45" s="125">
        <v>0</v>
      </c>
      <c r="L45" s="126">
        <v>0</v>
      </c>
      <c r="M45" s="123">
        <v>0</v>
      </c>
      <c r="N45" s="127">
        <v>0</v>
      </c>
      <c r="O45" s="122">
        <v>0</v>
      </c>
      <c r="P45" s="126">
        <v>0</v>
      </c>
      <c r="Q45" s="122">
        <v>0</v>
      </c>
      <c r="R45" s="126">
        <v>0</v>
      </c>
      <c r="S45" s="123">
        <v>0</v>
      </c>
      <c r="T45" s="127">
        <v>0</v>
      </c>
      <c r="U45" s="123">
        <v>0</v>
      </c>
      <c r="V45" s="134">
        <v>0</v>
      </c>
      <c r="W45" s="32">
        <f t="shared" si="2"/>
        <v>0</v>
      </c>
      <c r="X45" s="112"/>
      <c r="Y45" s="112"/>
      <c r="Z45" s="112"/>
      <c r="AA45" s="112"/>
      <c r="AB45" s="112"/>
      <c r="AC45" s="112"/>
      <c r="AD45" s="136">
        <f t="shared" si="3"/>
        <v>0</v>
      </c>
      <c r="AE45" s="113"/>
      <c r="AF45" s="114"/>
      <c r="AG45" s="110"/>
    </row>
    <row r="46" spans="1:33" ht="15.75">
      <c r="A46" s="109"/>
      <c r="B46" s="33"/>
      <c r="C46" s="33"/>
      <c r="D46" s="33"/>
      <c r="E46" s="110"/>
      <c r="F46" s="33"/>
      <c r="G46" s="111"/>
      <c r="H46" s="119"/>
      <c r="I46" s="123">
        <v>0</v>
      </c>
      <c r="J46" s="124">
        <v>0</v>
      </c>
      <c r="K46" s="125">
        <v>0</v>
      </c>
      <c r="L46" s="126">
        <v>0</v>
      </c>
      <c r="M46" s="123">
        <v>0</v>
      </c>
      <c r="N46" s="127">
        <v>0</v>
      </c>
      <c r="O46" s="122">
        <v>0</v>
      </c>
      <c r="P46" s="126">
        <v>0</v>
      </c>
      <c r="Q46" s="122">
        <v>0</v>
      </c>
      <c r="R46" s="126">
        <v>0</v>
      </c>
      <c r="S46" s="123">
        <v>0</v>
      </c>
      <c r="T46" s="127">
        <v>0</v>
      </c>
      <c r="U46" s="123">
        <v>0</v>
      </c>
      <c r="V46" s="134">
        <v>0</v>
      </c>
      <c r="W46" s="32">
        <f t="shared" si="2"/>
        <v>0</v>
      </c>
      <c r="X46" s="112"/>
      <c r="Y46" s="112"/>
      <c r="Z46" s="112"/>
      <c r="AA46" s="112"/>
      <c r="AB46" s="112"/>
      <c r="AC46" s="112"/>
      <c r="AD46" s="136">
        <f t="shared" si="3"/>
        <v>0</v>
      </c>
      <c r="AE46" s="113"/>
      <c r="AF46" s="114"/>
      <c r="AG46" s="110"/>
    </row>
    <row r="47" spans="1:33" ht="15.75">
      <c r="A47" s="109"/>
      <c r="B47" s="33"/>
      <c r="C47" s="33"/>
      <c r="D47" s="33"/>
      <c r="E47" s="110"/>
      <c r="F47" s="33"/>
      <c r="G47" s="111"/>
      <c r="H47" s="119"/>
      <c r="I47" s="123">
        <v>0</v>
      </c>
      <c r="J47" s="124">
        <v>0</v>
      </c>
      <c r="K47" s="125">
        <v>0</v>
      </c>
      <c r="L47" s="126">
        <v>0</v>
      </c>
      <c r="M47" s="123">
        <v>0</v>
      </c>
      <c r="N47" s="127">
        <v>0</v>
      </c>
      <c r="O47" s="122">
        <v>0</v>
      </c>
      <c r="P47" s="126">
        <v>0</v>
      </c>
      <c r="Q47" s="122">
        <v>0</v>
      </c>
      <c r="R47" s="126">
        <v>0</v>
      </c>
      <c r="S47" s="123">
        <v>0</v>
      </c>
      <c r="T47" s="127">
        <v>0</v>
      </c>
      <c r="U47" s="123">
        <v>0</v>
      </c>
      <c r="V47" s="134">
        <v>0</v>
      </c>
      <c r="W47" s="32">
        <f t="shared" si="2"/>
        <v>0</v>
      </c>
      <c r="X47" s="112"/>
      <c r="Y47" s="112"/>
      <c r="Z47" s="112"/>
      <c r="AA47" s="112"/>
      <c r="AB47" s="112"/>
      <c r="AC47" s="112"/>
      <c r="AD47" s="136">
        <f t="shared" si="3"/>
        <v>0</v>
      </c>
      <c r="AE47" s="113"/>
      <c r="AF47" s="114"/>
      <c r="AG47" s="110"/>
    </row>
    <row r="48" spans="1:33" ht="15.75">
      <c r="A48" s="109"/>
      <c r="B48" s="33"/>
      <c r="C48" s="33"/>
      <c r="D48" s="33"/>
      <c r="E48" s="110"/>
      <c r="F48" s="33"/>
      <c r="G48" s="111"/>
      <c r="H48" s="119"/>
      <c r="I48" s="123">
        <v>0</v>
      </c>
      <c r="J48" s="124">
        <v>0</v>
      </c>
      <c r="K48" s="125">
        <v>0</v>
      </c>
      <c r="L48" s="126">
        <v>0</v>
      </c>
      <c r="M48" s="123">
        <v>0</v>
      </c>
      <c r="N48" s="127">
        <v>0</v>
      </c>
      <c r="O48" s="122">
        <v>0</v>
      </c>
      <c r="P48" s="126">
        <v>0</v>
      </c>
      <c r="Q48" s="122">
        <v>0</v>
      </c>
      <c r="R48" s="126">
        <v>0</v>
      </c>
      <c r="S48" s="123">
        <v>0</v>
      </c>
      <c r="T48" s="127">
        <v>0</v>
      </c>
      <c r="U48" s="123">
        <v>0</v>
      </c>
      <c r="V48" s="134">
        <v>0</v>
      </c>
      <c r="W48" s="32">
        <f t="shared" si="2"/>
        <v>0</v>
      </c>
      <c r="X48" s="112"/>
      <c r="Y48" s="112"/>
      <c r="Z48" s="112"/>
      <c r="AA48" s="112"/>
      <c r="AB48" s="112"/>
      <c r="AC48" s="112"/>
      <c r="AD48" s="136">
        <f t="shared" si="3"/>
        <v>0</v>
      </c>
      <c r="AE48" s="113"/>
      <c r="AF48" s="114"/>
      <c r="AG48" s="110"/>
    </row>
    <row r="49" spans="1:33" ht="15.75">
      <c r="A49" s="109"/>
      <c r="B49" s="33"/>
      <c r="C49" s="33"/>
      <c r="D49" s="33"/>
      <c r="E49" s="110"/>
      <c r="F49" s="33"/>
      <c r="G49" s="111"/>
      <c r="H49" s="119"/>
      <c r="I49" s="123">
        <v>0</v>
      </c>
      <c r="J49" s="124">
        <v>0</v>
      </c>
      <c r="K49" s="125">
        <v>0</v>
      </c>
      <c r="L49" s="126">
        <v>0</v>
      </c>
      <c r="M49" s="123">
        <v>0</v>
      </c>
      <c r="N49" s="127">
        <v>0</v>
      </c>
      <c r="O49" s="122">
        <v>0</v>
      </c>
      <c r="P49" s="126">
        <v>0</v>
      </c>
      <c r="Q49" s="122">
        <v>0</v>
      </c>
      <c r="R49" s="126">
        <v>0</v>
      </c>
      <c r="S49" s="123">
        <v>0</v>
      </c>
      <c r="T49" s="127">
        <v>0</v>
      </c>
      <c r="U49" s="123">
        <v>0</v>
      </c>
      <c r="V49" s="134">
        <v>0</v>
      </c>
      <c r="W49" s="32">
        <f t="shared" si="2"/>
        <v>0</v>
      </c>
      <c r="X49" s="112"/>
      <c r="Y49" s="112"/>
      <c r="Z49" s="112"/>
      <c r="AA49" s="112"/>
      <c r="AB49" s="112"/>
      <c r="AC49" s="112"/>
      <c r="AD49" s="136">
        <f t="shared" si="3"/>
        <v>0</v>
      </c>
      <c r="AE49" s="113"/>
      <c r="AF49" s="114"/>
      <c r="AG49" s="110"/>
    </row>
    <row r="50" spans="1:33" ht="15.75">
      <c r="A50" s="109"/>
      <c r="B50" s="33"/>
      <c r="C50" s="33"/>
      <c r="D50" s="33"/>
      <c r="E50" s="110"/>
      <c r="F50" s="33"/>
      <c r="G50" s="111"/>
      <c r="H50" s="119"/>
      <c r="I50" s="123">
        <v>0</v>
      </c>
      <c r="J50" s="124">
        <v>0</v>
      </c>
      <c r="K50" s="125">
        <v>0</v>
      </c>
      <c r="L50" s="126">
        <v>0</v>
      </c>
      <c r="M50" s="123">
        <v>0</v>
      </c>
      <c r="N50" s="127">
        <v>0</v>
      </c>
      <c r="O50" s="122">
        <v>0</v>
      </c>
      <c r="P50" s="126">
        <v>0</v>
      </c>
      <c r="Q50" s="122">
        <v>0</v>
      </c>
      <c r="R50" s="126">
        <v>0</v>
      </c>
      <c r="S50" s="123">
        <v>0</v>
      </c>
      <c r="T50" s="127">
        <v>0</v>
      </c>
      <c r="U50" s="123">
        <v>0</v>
      </c>
      <c r="V50" s="134">
        <v>0</v>
      </c>
      <c r="W50" s="32">
        <f t="shared" si="2"/>
        <v>0</v>
      </c>
      <c r="X50" s="112"/>
      <c r="Y50" s="112"/>
      <c r="Z50" s="112"/>
      <c r="AA50" s="112"/>
      <c r="AB50" s="112"/>
      <c r="AC50" s="112"/>
      <c r="AD50" s="136">
        <f t="shared" ref="AD50:AD81" si="4">W50-SUM(Y50:Z50)</f>
        <v>0</v>
      </c>
      <c r="AE50" s="113"/>
      <c r="AF50" s="114"/>
      <c r="AG50" s="110"/>
    </row>
    <row r="51" spans="1:33" ht="15.75">
      <c r="A51" s="109"/>
      <c r="B51" s="33"/>
      <c r="C51" s="33"/>
      <c r="D51" s="33"/>
      <c r="E51" s="110"/>
      <c r="F51" s="33"/>
      <c r="G51" s="111"/>
      <c r="H51" s="119"/>
      <c r="I51" s="123">
        <v>0</v>
      </c>
      <c r="J51" s="124">
        <v>0</v>
      </c>
      <c r="K51" s="125">
        <v>0</v>
      </c>
      <c r="L51" s="126">
        <v>0</v>
      </c>
      <c r="M51" s="123">
        <v>0</v>
      </c>
      <c r="N51" s="127">
        <v>0</v>
      </c>
      <c r="O51" s="122">
        <v>0</v>
      </c>
      <c r="P51" s="126">
        <v>0</v>
      </c>
      <c r="Q51" s="122">
        <v>0</v>
      </c>
      <c r="R51" s="126">
        <v>0</v>
      </c>
      <c r="S51" s="123">
        <v>0</v>
      </c>
      <c r="T51" s="127">
        <v>0</v>
      </c>
      <c r="U51" s="123">
        <v>0</v>
      </c>
      <c r="V51" s="134">
        <v>0</v>
      </c>
      <c r="W51" s="32">
        <f t="shared" si="2"/>
        <v>0</v>
      </c>
      <c r="X51" s="112"/>
      <c r="Y51" s="112"/>
      <c r="Z51" s="112"/>
      <c r="AA51" s="112"/>
      <c r="AB51" s="112"/>
      <c r="AC51" s="112"/>
      <c r="AD51" s="136">
        <f t="shared" si="4"/>
        <v>0</v>
      </c>
      <c r="AE51" s="113"/>
      <c r="AF51" s="114"/>
      <c r="AG51" s="110"/>
    </row>
    <row r="52" spans="1:33" ht="15.75">
      <c r="A52" s="109"/>
      <c r="B52" s="33"/>
      <c r="C52" s="33"/>
      <c r="D52" s="33"/>
      <c r="E52" s="110"/>
      <c r="F52" s="33"/>
      <c r="G52" s="111"/>
      <c r="H52" s="119"/>
      <c r="I52" s="123">
        <v>0</v>
      </c>
      <c r="J52" s="124">
        <v>0</v>
      </c>
      <c r="K52" s="125">
        <v>0</v>
      </c>
      <c r="L52" s="126">
        <v>0</v>
      </c>
      <c r="M52" s="123">
        <v>0</v>
      </c>
      <c r="N52" s="127">
        <v>0</v>
      </c>
      <c r="O52" s="122">
        <v>0</v>
      </c>
      <c r="P52" s="126">
        <v>0</v>
      </c>
      <c r="Q52" s="122">
        <v>0</v>
      </c>
      <c r="R52" s="126">
        <v>0</v>
      </c>
      <c r="S52" s="123">
        <v>0</v>
      </c>
      <c r="T52" s="127">
        <v>0</v>
      </c>
      <c r="U52" s="123">
        <v>0</v>
      </c>
      <c r="V52" s="134">
        <v>0</v>
      </c>
      <c r="W52" s="32">
        <f t="shared" si="2"/>
        <v>0</v>
      </c>
      <c r="X52" s="112"/>
      <c r="Y52" s="112"/>
      <c r="Z52" s="112"/>
      <c r="AA52" s="112"/>
      <c r="AB52" s="112"/>
      <c r="AC52" s="112"/>
      <c r="AD52" s="136">
        <f t="shared" si="4"/>
        <v>0</v>
      </c>
      <c r="AE52" s="113"/>
      <c r="AF52" s="114"/>
      <c r="AG52" s="110"/>
    </row>
    <row r="53" spans="1:33" ht="15.75">
      <c r="A53" s="109"/>
      <c r="B53" s="33"/>
      <c r="C53" s="33"/>
      <c r="D53" s="33"/>
      <c r="E53" s="110"/>
      <c r="F53" s="33"/>
      <c r="G53" s="111"/>
      <c r="H53" s="119"/>
      <c r="I53" s="123">
        <v>0</v>
      </c>
      <c r="J53" s="124">
        <v>0</v>
      </c>
      <c r="K53" s="125">
        <v>0</v>
      </c>
      <c r="L53" s="126">
        <v>0</v>
      </c>
      <c r="M53" s="123">
        <v>0</v>
      </c>
      <c r="N53" s="127">
        <v>0</v>
      </c>
      <c r="O53" s="122">
        <v>0</v>
      </c>
      <c r="P53" s="126">
        <v>0</v>
      </c>
      <c r="Q53" s="122">
        <v>0</v>
      </c>
      <c r="R53" s="126">
        <v>0</v>
      </c>
      <c r="S53" s="123">
        <v>0</v>
      </c>
      <c r="T53" s="127">
        <v>0</v>
      </c>
      <c r="U53" s="123">
        <v>0</v>
      </c>
      <c r="V53" s="134">
        <v>0</v>
      </c>
      <c r="W53" s="32">
        <f t="shared" si="2"/>
        <v>0</v>
      </c>
      <c r="X53" s="112"/>
      <c r="Y53" s="112"/>
      <c r="Z53" s="112"/>
      <c r="AA53" s="112"/>
      <c r="AB53" s="112"/>
      <c r="AC53" s="112"/>
      <c r="AD53" s="136">
        <f t="shared" si="4"/>
        <v>0</v>
      </c>
      <c r="AE53" s="113"/>
      <c r="AF53" s="114"/>
      <c r="AG53" s="110"/>
    </row>
    <row r="54" spans="1:33" ht="15.75">
      <c r="A54" s="109"/>
      <c r="B54" s="33"/>
      <c r="C54" s="33"/>
      <c r="D54" s="33"/>
      <c r="E54" s="110"/>
      <c r="F54" s="33"/>
      <c r="G54" s="111"/>
      <c r="H54" s="119"/>
      <c r="I54" s="123">
        <v>0</v>
      </c>
      <c r="J54" s="124">
        <v>0</v>
      </c>
      <c r="K54" s="125">
        <v>0</v>
      </c>
      <c r="L54" s="126">
        <v>0</v>
      </c>
      <c r="M54" s="123">
        <v>0</v>
      </c>
      <c r="N54" s="127">
        <v>0</v>
      </c>
      <c r="O54" s="122">
        <v>0</v>
      </c>
      <c r="P54" s="126">
        <v>0</v>
      </c>
      <c r="Q54" s="122">
        <v>0</v>
      </c>
      <c r="R54" s="126">
        <v>0</v>
      </c>
      <c r="S54" s="123">
        <v>0</v>
      </c>
      <c r="T54" s="127">
        <v>0</v>
      </c>
      <c r="U54" s="123">
        <v>0</v>
      </c>
      <c r="V54" s="134">
        <v>0</v>
      </c>
      <c r="W54" s="32">
        <f t="shared" si="2"/>
        <v>0</v>
      </c>
      <c r="X54" s="112"/>
      <c r="Y54" s="112"/>
      <c r="Z54" s="112"/>
      <c r="AA54" s="112"/>
      <c r="AB54" s="112"/>
      <c r="AC54" s="112"/>
      <c r="AD54" s="136">
        <f t="shared" si="4"/>
        <v>0</v>
      </c>
      <c r="AE54" s="113"/>
      <c r="AF54" s="114"/>
      <c r="AG54" s="110"/>
    </row>
    <row r="55" spans="1:33" ht="15.75">
      <c r="A55" s="109"/>
      <c r="B55" s="33"/>
      <c r="C55" s="33"/>
      <c r="D55" s="33"/>
      <c r="E55" s="110"/>
      <c r="F55" s="33"/>
      <c r="G55" s="111"/>
      <c r="H55" s="119"/>
      <c r="I55" s="123">
        <v>0</v>
      </c>
      <c r="J55" s="124">
        <v>0</v>
      </c>
      <c r="K55" s="125">
        <v>0</v>
      </c>
      <c r="L55" s="126">
        <v>0</v>
      </c>
      <c r="M55" s="123">
        <v>0</v>
      </c>
      <c r="N55" s="127">
        <v>0</v>
      </c>
      <c r="O55" s="122">
        <v>0</v>
      </c>
      <c r="P55" s="126">
        <v>0</v>
      </c>
      <c r="Q55" s="122">
        <v>0</v>
      </c>
      <c r="R55" s="126">
        <v>0</v>
      </c>
      <c r="S55" s="123">
        <v>0</v>
      </c>
      <c r="T55" s="127">
        <v>0</v>
      </c>
      <c r="U55" s="123">
        <v>0</v>
      </c>
      <c r="V55" s="134">
        <v>0</v>
      </c>
      <c r="W55" s="32">
        <f t="shared" si="2"/>
        <v>0</v>
      </c>
      <c r="X55" s="112"/>
      <c r="Y55" s="112"/>
      <c r="Z55" s="112"/>
      <c r="AA55" s="112"/>
      <c r="AB55" s="112"/>
      <c r="AC55" s="112"/>
      <c r="AD55" s="136">
        <f t="shared" si="4"/>
        <v>0</v>
      </c>
      <c r="AE55" s="113"/>
      <c r="AF55" s="114"/>
      <c r="AG55" s="110"/>
    </row>
    <row r="56" spans="1:33" ht="15.75">
      <c r="A56" s="109"/>
      <c r="B56" s="33"/>
      <c r="C56" s="33"/>
      <c r="D56" s="33"/>
      <c r="E56" s="110"/>
      <c r="F56" s="33"/>
      <c r="G56" s="111"/>
      <c r="H56" s="119"/>
      <c r="I56" s="123">
        <v>0</v>
      </c>
      <c r="J56" s="124">
        <v>0</v>
      </c>
      <c r="K56" s="125">
        <v>0</v>
      </c>
      <c r="L56" s="126">
        <v>0</v>
      </c>
      <c r="M56" s="123">
        <v>0</v>
      </c>
      <c r="N56" s="127">
        <v>0</v>
      </c>
      <c r="O56" s="122">
        <v>0</v>
      </c>
      <c r="P56" s="126">
        <v>0</v>
      </c>
      <c r="Q56" s="122">
        <v>0</v>
      </c>
      <c r="R56" s="126">
        <v>0</v>
      </c>
      <c r="S56" s="123">
        <v>0</v>
      </c>
      <c r="T56" s="127">
        <v>0</v>
      </c>
      <c r="U56" s="123">
        <v>0</v>
      </c>
      <c r="V56" s="134">
        <v>0</v>
      </c>
      <c r="W56" s="32">
        <f t="shared" si="2"/>
        <v>0</v>
      </c>
      <c r="X56" s="112"/>
      <c r="Y56" s="112"/>
      <c r="Z56" s="112"/>
      <c r="AA56" s="112"/>
      <c r="AB56" s="112"/>
      <c r="AC56" s="112"/>
      <c r="AD56" s="136">
        <f t="shared" si="4"/>
        <v>0</v>
      </c>
      <c r="AE56" s="113"/>
      <c r="AF56" s="114"/>
      <c r="AG56" s="110"/>
    </row>
    <row r="57" spans="1:33" ht="15.75">
      <c r="A57" s="109"/>
      <c r="B57" s="33"/>
      <c r="C57" s="33"/>
      <c r="D57" s="33"/>
      <c r="E57" s="110"/>
      <c r="F57" s="33"/>
      <c r="G57" s="111"/>
      <c r="H57" s="119"/>
      <c r="I57" s="123">
        <v>0</v>
      </c>
      <c r="J57" s="124">
        <v>0</v>
      </c>
      <c r="K57" s="125">
        <v>0</v>
      </c>
      <c r="L57" s="126">
        <v>0</v>
      </c>
      <c r="M57" s="123">
        <v>0</v>
      </c>
      <c r="N57" s="127">
        <v>0</v>
      </c>
      <c r="O57" s="122">
        <v>0</v>
      </c>
      <c r="P57" s="126">
        <v>0</v>
      </c>
      <c r="Q57" s="122">
        <v>0</v>
      </c>
      <c r="R57" s="126">
        <v>0</v>
      </c>
      <c r="S57" s="123">
        <v>0</v>
      </c>
      <c r="T57" s="127">
        <v>0</v>
      </c>
      <c r="U57" s="123">
        <v>0</v>
      </c>
      <c r="V57" s="134">
        <v>0</v>
      </c>
      <c r="W57" s="32">
        <f t="shared" si="2"/>
        <v>0</v>
      </c>
      <c r="X57" s="112"/>
      <c r="Y57" s="112"/>
      <c r="Z57" s="112"/>
      <c r="AA57" s="112"/>
      <c r="AB57" s="112"/>
      <c r="AC57" s="112"/>
      <c r="AD57" s="136">
        <f t="shared" si="4"/>
        <v>0</v>
      </c>
      <c r="AE57" s="113"/>
      <c r="AF57" s="114"/>
      <c r="AG57" s="110"/>
    </row>
    <row r="58" spans="1:33" ht="15.75">
      <c r="A58" s="109"/>
      <c r="B58" s="33"/>
      <c r="C58" s="33"/>
      <c r="D58" s="33"/>
      <c r="E58" s="110"/>
      <c r="F58" s="33"/>
      <c r="G58" s="111"/>
      <c r="H58" s="119"/>
      <c r="I58" s="123">
        <v>0</v>
      </c>
      <c r="J58" s="124">
        <v>0</v>
      </c>
      <c r="K58" s="125">
        <v>0</v>
      </c>
      <c r="L58" s="126">
        <v>0</v>
      </c>
      <c r="M58" s="123">
        <v>0</v>
      </c>
      <c r="N58" s="127">
        <v>0</v>
      </c>
      <c r="O58" s="122">
        <v>0</v>
      </c>
      <c r="P58" s="126">
        <v>0</v>
      </c>
      <c r="Q58" s="122">
        <v>0</v>
      </c>
      <c r="R58" s="126">
        <v>0</v>
      </c>
      <c r="S58" s="123">
        <v>0</v>
      </c>
      <c r="T58" s="127">
        <v>0</v>
      </c>
      <c r="U58" s="123">
        <v>0</v>
      </c>
      <c r="V58" s="134">
        <v>0</v>
      </c>
      <c r="W58" s="32">
        <f t="shared" ref="W58:W81" si="5">+G58-(SUM(I58:N58,P58,Q58,R58,S58,T58,V58))</f>
        <v>0</v>
      </c>
      <c r="X58" s="112"/>
      <c r="Y58" s="112"/>
      <c r="Z58" s="112"/>
      <c r="AA58" s="112"/>
      <c r="AB58" s="112"/>
      <c r="AC58" s="112"/>
      <c r="AD58" s="136">
        <f t="shared" si="4"/>
        <v>0</v>
      </c>
      <c r="AE58" s="113"/>
      <c r="AF58" s="114"/>
      <c r="AG58" s="110"/>
    </row>
    <row r="59" spans="1:33" ht="15.75">
      <c r="A59" s="109"/>
      <c r="B59" s="33"/>
      <c r="C59" s="33"/>
      <c r="D59" s="33"/>
      <c r="E59" s="110"/>
      <c r="F59" s="33"/>
      <c r="G59" s="111"/>
      <c r="H59" s="119"/>
      <c r="I59" s="123">
        <v>0</v>
      </c>
      <c r="J59" s="124">
        <v>0</v>
      </c>
      <c r="K59" s="125">
        <v>0</v>
      </c>
      <c r="L59" s="126">
        <v>0</v>
      </c>
      <c r="M59" s="123">
        <v>0</v>
      </c>
      <c r="N59" s="127">
        <v>0</v>
      </c>
      <c r="O59" s="122">
        <v>0</v>
      </c>
      <c r="P59" s="126">
        <v>0</v>
      </c>
      <c r="Q59" s="122">
        <v>0</v>
      </c>
      <c r="R59" s="126">
        <v>0</v>
      </c>
      <c r="S59" s="123">
        <v>0</v>
      </c>
      <c r="T59" s="127">
        <v>0</v>
      </c>
      <c r="U59" s="123">
        <v>0</v>
      </c>
      <c r="V59" s="134">
        <v>0</v>
      </c>
      <c r="W59" s="32">
        <f t="shared" si="5"/>
        <v>0</v>
      </c>
      <c r="X59" s="112"/>
      <c r="Y59" s="112"/>
      <c r="Z59" s="112"/>
      <c r="AA59" s="112"/>
      <c r="AB59" s="112"/>
      <c r="AC59" s="112"/>
      <c r="AD59" s="136">
        <f t="shared" si="4"/>
        <v>0</v>
      </c>
      <c r="AE59" s="113"/>
      <c r="AF59" s="114"/>
      <c r="AG59" s="110"/>
    </row>
    <row r="60" spans="1:33" ht="15.75">
      <c r="A60" s="109"/>
      <c r="B60" s="33"/>
      <c r="C60" s="33"/>
      <c r="D60" s="33"/>
      <c r="E60" s="110"/>
      <c r="F60" s="33"/>
      <c r="G60" s="111"/>
      <c r="H60" s="119"/>
      <c r="I60" s="123">
        <v>0</v>
      </c>
      <c r="J60" s="124">
        <v>0</v>
      </c>
      <c r="K60" s="125">
        <v>0</v>
      </c>
      <c r="L60" s="126">
        <v>0</v>
      </c>
      <c r="M60" s="123">
        <v>0</v>
      </c>
      <c r="N60" s="127">
        <v>0</v>
      </c>
      <c r="O60" s="122">
        <v>0</v>
      </c>
      <c r="P60" s="126">
        <v>0</v>
      </c>
      <c r="Q60" s="122">
        <v>0</v>
      </c>
      <c r="R60" s="126">
        <v>0</v>
      </c>
      <c r="S60" s="123">
        <v>0</v>
      </c>
      <c r="T60" s="127">
        <v>0</v>
      </c>
      <c r="U60" s="123">
        <v>0</v>
      </c>
      <c r="V60" s="134">
        <v>0</v>
      </c>
      <c r="W60" s="32">
        <f t="shared" si="5"/>
        <v>0</v>
      </c>
      <c r="X60" s="112"/>
      <c r="Y60" s="112"/>
      <c r="Z60" s="112"/>
      <c r="AA60" s="112"/>
      <c r="AB60" s="112"/>
      <c r="AC60" s="112"/>
      <c r="AD60" s="136">
        <f t="shared" si="4"/>
        <v>0</v>
      </c>
      <c r="AE60" s="113"/>
      <c r="AF60" s="114"/>
      <c r="AG60" s="110"/>
    </row>
    <row r="61" spans="1:33" ht="15.75">
      <c r="A61" s="109"/>
      <c r="B61" s="33"/>
      <c r="C61" s="33"/>
      <c r="D61" s="33"/>
      <c r="E61" s="110"/>
      <c r="F61" s="33"/>
      <c r="G61" s="111"/>
      <c r="H61" s="119"/>
      <c r="I61" s="123">
        <v>0</v>
      </c>
      <c r="J61" s="124">
        <v>0</v>
      </c>
      <c r="K61" s="125">
        <v>0</v>
      </c>
      <c r="L61" s="126">
        <v>0</v>
      </c>
      <c r="M61" s="123">
        <v>0</v>
      </c>
      <c r="N61" s="127">
        <v>0</v>
      </c>
      <c r="O61" s="122">
        <v>0</v>
      </c>
      <c r="P61" s="126">
        <v>0</v>
      </c>
      <c r="Q61" s="122">
        <v>0</v>
      </c>
      <c r="R61" s="126">
        <v>0</v>
      </c>
      <c r="S61" s="123">
        <v>0</v>
      </c>
      <c r="T61" s="127">
        <v>0</v>
      </c>
      <c r="U61" s="123">
        <v>0</v>
      </c>
      <c r="V61" s="134">
        <v>0</v>
      </c>
      <c r="W61" s="32">
        <f t="shared" si="5"/>
        <v>0</v>
      </c>
      <c r="X61" s="112"/>
      <c r="Y61" s="112"/>
      <c r="Z61" s="112"/>
      <c r="AA61" s="112"/>
      <c r="AB61" s="112"/>
      <c r="AC61" s="112"/>
      <c r="AD61" s="136">
        <f t="shared" si="4"/>
        <v>0</v>
      </c>
      <c r="AE61" s="113"/>
      <c r="AF61" s="114"/>
      <c r="AG61" s="110"/>
    </row>
    <row r="62" spans="1:33" ht="15.75">
      <c r="A62" s="109"/>
      <c r="B62" s="33"/>
      <c r="C62" s="33"/>
      <c r="D62" s="33"/>
      <c r="E62" s="110"/>
      <c r="F62" s="33"/>
      <c r="G62" s="111"/>
      <c r="H62" s="119"/>
      <c r="I62" s="123">
        <v>0</v>
      </c>
      <c r="J62" s="124">
        <v>0</v>
      </c>
      <c r="K62" s="125">
        <v>0</v>
      </c>
      <c r="L62" s="126">
        <v>0</v>
      </c>
      <c r="M62" s="123">
        <v>0</v>
      </c>
      <c r="N62" s="127">
        <v>0</v>
      </c>
      <c r="O62" s="122">
        <v>0</v>
      </c>
      <c r="P62" s="126">
        <v>0</v>
      </c>
      <c r="Q62" s="122">
        <v>0</v>
      </c>
      <c r="R62" s="126">
        <v>0</v>
      </c>
      <c r="S62" s="123">
        <v>0</v>
      </c>
      <c r="T62" s="127">
        <v>0</v>
      </c>
      <c r="U62" s="123">
        <v>0</v>
      </c>
      <c r="V62" s="134">
        <v>0</v>
      </c>
      <c r="W62" s="32">
        <f t="shared" si="5"/>
        <v>0</v>
      </c>
      <c r="X62" s="112"/>
      <c r="Y62" s="112"/>
      <c r="Z62" s="112"/>
      <c r="AA62" s="112"/>
      <c r="AB62" s="112"/>
      <c r="AC62" s="112"/>
      <c r="AD62" s="136">
        <f t="shared" si="4"/>
        <v>0</v>
      </c>
      <c r="AE62" s="113"/>
      <c r="AF62" s="114"/>
      <c r="AG62" s="110"/>
    </row>
    <row r="63" spans="1:33" ht="15.75">
      <c r="A63" s="109"/>
      <c r="B63" s="33"/>
      <c r="C63" s="33"/>
      <c r="D63" s="33"/>
      <c r="E63" s="110"/>
      <c r="F63" s="33"/>
      <c r="G63" s="111"/>
      <c r="H63" s="119"/>
      <c r="I63" s="123">
        <v>0</v>
      </c>
      <c r="J63" s="124">
        <v>0</v>
      </c>
      <c r="K63" s="125">
        <v>0</v>
      </c>
      <c r="L63" s="126">
        <v>0</v>
      </c>
      <c r="M63" s="123">
        <v>0</v>
      </c>
      <c r="N63" s="127">
        <v>0</v>
      </c>
      <c r="O63" s="122">
        <v>0</v>
      </c>
      <c r="P63" s="126">
        <v>0</v>
      </c>
      <c r="Q63" s="122">
        <v>0</v>
      </c>
      <c r="R63" s="126">
        <v>0</v>
      </c>
      <c r="S63" s="123">
        <v>0</v>
      </c>
      <c r="T63" s="127">
        <v>0</v>
      </c>
      <c r="U63" s="123">
        <v>0</v>
      </c>
      <c r="V63" s="134">
        <v>0</v>
      </c>
      <c r="W63" s="32">
        <f t="shared" si="5"/>
        <v>0</v>
      </c>
      <c r="X63" s="112"/>
      <c r="Y63" s="112"/>
      <c r="Z63" s="112"/>
      <c r="AA63" s="112"/>
      <c r="AB63" s="112"/>
      <c r="AC63" s="112"/>
      <c r="AD63" s="136">
        <f t="shared" si="4"/>
        <v>0</v>
      </c>
      <c r="AE63" s="113"/>
      <c r="AF63" s="114"/>
      <c r="AG63" s="110"/>
    </row>
    <row r="64" spans="1:33" ht="15.75">
      <c r="A64" s="109"/>
      <c r="B64" s="33"/>
      <c r="C64" s="33"/>
      <c r="D64" s="33"/>
      <c r="E64" s="110"/>
      <c r="F64" s="33"/>
      <c r="G64" s="111"/>
      <c r="H64" s="119"/>
      <c r="I64" s="123">
        <v>0</v>
      </c>
      <c r="J64" s="124">
        <v>0</v>
      </c>
      <c r="K64" s="125">
        <v>0</v>
      </c>
      <c r="L64" s="126">
        <v>0</v>
      </c>
      <c r="M64" s="123">
        <v>0</v>
      </c>
      <c r="N64" s="127">
        <v>0</v>
      </c>
      <c r="O64" s="122">
        <v>0</v>
      </c>
      <c r="P64" s="126">
        <v>0</v>
      </c>
      <c r="Q64" s="122">
        <v>0</v>
      </c>
      <c r="R64" s="126">
        <v>0</v>
      </c>
      <c r="S64" s="123">
        <v>0</v>
      </c>
      <c r="T64" s="127">
        <v>0</v>
      </c>
      <c r="U64" s="123">
        <v>0</v>
      </c>
      <c r="V64" s="134">
        <v>0</v>
      </c>
      <c r="W64" s="32">
        <f t="shared" si="5"/>
        <v>0</v>
      </c>
      <c r="X64" s="112"/>
      <c r="Y64" s="112"/>
      <c r="Z64" s="112"/>
      <c r="AA64" s="112"/>
      <c r="AB64" s="112"/>
      <c r="AC64" s="112"/>
      <c r="AD64" s="136">
        <f t="shared" si="4"/>
        <v>0</v>
      </c>
      <c r="AE64" s="113"/>
      <c r="AF64" s="114"/>
      <c r="AG64" s="110"/>
    </row>
    <row r="65" spans="1:33" ht="15.75">
      <c r="A65" s="109"/>
      <c r="B65" s="33"/>
      <c r="C65" s="33"/>
      <c r="D65" s="33"/>
      <c r="E65" s="110"/>
      <c r="F65" s="33"/>
      <c r="G65" s="111"/>
      <c r="H65" s="119"/>
      <c r="I65" s="123">
        <v>0</v>
      </c>
      <c r="J65" s="124">
        <v>0</v>
      </c>
      <c r="K65" s="125">
        <v>0</v>
      </c>
      <c r="L65" s="126">
        <v>0</v>
      </c>
      <c r="M65" s="123">
        <v>0</v>
      </c>
      <c r="N65" s="127">
        <v>0</v>
      </c>
      <c r="O65" s="122">
        <v>0</v>
      </c>
      <c r="P65" s="126">
        <v>0</v>
      </c>
      <c r="Q65" s="122">
        <v>0</v>
      </c>
      <c r="R65" s="126">
        <v>0</v>
      </c>
      <c r="S65" s="123">
        <v>0</v>
      </c>
      <c r="T65" s="127">
        <v>0</v>
      </c>
      <c r="U65" s="123">
        <v>0</v>
      </c>
      <c r="V65" s="134">
        <v>0</v>
      </c>
      <c r="W65" s="32">
        <f t="shared" si="5"/>
        <v>0</v>
      </c>
      <c r="X65" s="112"/>
      <c r="Y65" s="112"/>
      <c r="Z65" s="112"/>
      <c r="AA65" s="112"/>
      <c r="AB65" s="112"/>
      <c r="AC65" s="112"/>
      <c r="AD65" s="136">
        <f t="shared" si="4"/>
        <v>0</v>
      </c>
      <c r="AE65" s="113"/>
      <c r="AF65" s="114"/>
      <c r="AG65" s="110"/>
    </row>
    <row r="66" spans="1:33" ht="15.75">
      <c r="A66" s="109"/>
      <c r="B66" s="33"/>
      <c r="C66" s="33"/>
      <c r="D66" s="33"/>
      <c r="E66" s="110"/>
      <c r="F66" s="33"/>
      <c r="G66" s="111"/>
      <c r="H66" s="119"/>
      <c r="I66" s="123">
        <v>0</v>
      </c>
      <c r="J66" s="124">
        <v>0</v>
      </c>
      <c r="K66" s="125">
        <v>0</v>
      </c>
      <c r="L66" s="126">
        <v>0</v>
      </c>
      <c r="M66" s="123">
        <v>0</v>
      </c>
      <c r="N66" s="127">
        <v>0</v>
      </c>
      <c r="O66" s="122">
        <v>0</v>
      </c>
      <c r="P66" s="126">
        <v>0</v>
      </c>
      <c r="Q66" s="122">
        <v>0</v>
      </c>
      <c r="R66" s="126">
        <v>0</v>
      </c>
      <c r="S66" s="123">
        <v>0</v>
      </c>
      <c r="T66" s="127">
        <v>0</v>
      </c>
      <c r="U66" s="123">
        <v>0</v>
      </c>
      <c r="V66" s="134">
        <v>0</v>
      </c>
      <c r="W66" s="32">
        <f t="shared" si="5"/>
        <v>0</v>
      </c>
      <c r="X66" s="112"/>
      <c r="Y66" s="112"/>
      <c r="Z66" s="112"/>
      <c r="AA66" s="112"/>
      <c r="AB66" s="112"/>
      <c r="AC66" s="112"/>
      <c r="AD66" s="136">
        <f t="shared" si="4"/>
        <v>0</v>
      </c>
      <c r="AE66" s="113"/>
      <c r="AF66" s="114"/>
      <c r="AG66" s="110"/>
    </row>
    <row r="67" spans="1:33" ht="15.75">
      <c r="A67" s="109"/>
      <c r="B67" s="33"/>
      <c r="C67" s="33"/>
      <c r="D67" s="33"/>
      <c r="E67" s="110"/>
      <c r="F67" s="33"/>
      <c r="G67" s="111"/>
      <c r="H67" s="119"/>
      <c r="I67" s="123">
        <v>0</v>
      </c>
      <c r="J67" s="124">
        <v>0</v>
      </c>
      <c r="K67" s="125">
        <v>0</v>
      </c>
      <c r="L67" s="126">
        <v>0</v>
      </c>
      <c r="M67" s="123">
        <v>0</v>
      </c>
      <c r="N67" s="127">
        <v>0</v>
      </c>
      <c r="O67" s="122">
        <v>0</v>
      </c>
      <c r="P67" s="126">
        <v>0</v>
      </c>
      <c r="Q67" s="122">
        <v>0</v>
      </c>
      <c r="R67" s="126">
        <v>0</v>
      </c>
      <c r="S67" s="123">
        <v>0</v>
      </c>
      <c r="T67" s="127">
        <v>0</v>
      </c>
      <c r="U67" s="123">
        <v>0</v>
      </c>
      <c r="V67" s="134">
        <v>0</v>
      </c>
      <c r="W67" s="32">
        <f t="shared" si="5"/>
        <v>0</v>
      </c>
      <c r="X67" s="112"/>
      <c r="Y67" s="112"/>
      <c r="Z67" s="112"/>
      <c r="AA67" s="112"/>
      <c r="AB67" s="112"/>
      <c r="AC67" s="112"/>
      <c r="AD67" s="136">
        <f t="shared" si="4"/>
        <v>0</v>
      </c>
      <c r="AE67" s="113"/>
      <c r="AF67" s="114"/>
      <c r="AG67" s="110"/>
    </row>
    <row r="68" spans="1:33" ht="15.75">
      <c r="A68" s="109"/>
      <c r="B68" s="33"/>
      <c r="C68" s="33"/>
      <c r="D68" s="33"/>
      <c r="E68" s="110"/>
      <c r="F68" s="33"/>
      <c r="G68" s="111"/>
      <c r="H68" s="119"/>
      <c r="I68" s="123">
        <v>0</v>
      </c>
      <c r="J68" s="124">
        <v>0</v>
      </c>
      <c r="K68" s="125">
        <v>0</v>
      </c>
      <c r="L68" s="126">
        <v>0</v>
      </c>
      <c r="M68" s="123">
        <v>0</v>
      </c>
      <c r="N68" s="127">
        <v>0</v>
      </c>
      <c r="O68" s="122">
        <v>0</v>
      </c>
      <c r="P68" s="126">
        <v>0</v>
      </c>
      <c r="Q68" s="122">
        <v>0</v>
      </c>
      <c r="R68" s="126">
        <v>0</v>
      </c>
      <c r="S68" s="123">
        <v>0</v>
      </c>
      <c r="T68" s="127">
        <v>0</v>
      </c>
      <c r="U68" s="123">
        <v>0</v>
      </c>
      <c r="V68" s="134">
        <v>0</v>
      </c>
      <c r="W68" s="32">
        <f t="shared" si="5"/>
        <v>0</v>
      </c>
      <c r="X68" s="112"/>
      <c r="Y68" s="112"/>
      <c r="Z68" s="112"/>
      <c r="AA68" s="112"/>
      <c r="AB68" s="112"/>
      <c r="AC68" s="112"/>
      <c r="AD68" s="136">
        <f t="shared" si="4"/>
        <v>0</v>
      </c>
      <c r="AE68" s="113"/>
      <c r="AF68" s="114"/>
      <c r="AG68" s="110"/>
    </row>
    <row r="69" spans="1:33" ht="15.75">
      <c r="A69" s="109"/>
      <c r="B69" s="33"/>
      <c r="C69" s="33"/>
      <c r="D69" s="33"/>
      <c r="E69" s="110"/>
      <c r="F69" s="33"/>
      <c r="G69" s="111"/>
      <c r="H69" s="119"/>
      <c r="I69" s="123">
        <v>0</v>
      </c>
      <c r="J69" s="124">
        <v>0</v>
      </c>
      <c r="K69" s="125">
        <v>0</v>
      </c>
      <c r="L69" s="126">
        <v>0</v>
      </c>
      <c r="M69" s="123">
        <v>0</v>
      </c>
      <c r="N69" s="127">
        <v>0</v>
      </c>
      <c r="O69" s="122">
        <v>0</v>
      </c>
      <c r="P69" s="126">
        <v>0</v>
      </c>
      <c r="Q69" s="122">
        <v>0</v>
      </c>
      <c r="R69" s="126">
        <v>0</v>
      </c>
      <c r="S69" s="123">
        <v>0</v>
      </c>
      <c r="T69" s="127">
        <v>0</v>
      </c>
      <c r="U69" s="123">
        <v>0</v>
      </c>
      <c r="V69" s="134">
        <v>0</v>
      </c>
      <c r="W69" s="32">
        <f t="shared" si="5"/>
        <v>0</v>
      </c>
      <c r="X69" s="112"/>
      <c r="Y69" s="112"/>
      <c r="Z69" s="112"/>
      <c r="AA69" s="112"/>
      <c r="AB69" s="112"/>
      <c r="AC69" s="112"/>
      <c r="AD69" s="136">
        <f t="shared" si="4"/>
        <v>0</v>
      </c>
      <c r="AE69" s="113"/>
      <c r="AF69" s="114"/>
      <c r="AG69" s="110"/>
    </row>
    <row r="70" spans="1:33" ht="15.75">
      <c r="A70" s="109"/>
      <c r="B70" s="33"/>
      <c r="C70" s="33"/>
      <c r="D70" s="33"/>
      <c r="E70" s="110"/>
      <c r="F70" s="33"/>
      <c r="G70" s="111"/>
      <c r="H70" s="119"/>
      <c r="I70" s="123">
        <v>0</v>
      </c>
      <c r="J70" s="124">
        <v>0</v>
      </c>
      <c r="K70" s="125">
        <v>0</v>
      </c>
      <c r="L70" s="126">
        <v>0</v>
      </c>
      <c r="M70" s="123">
        <v>0</v>
      </c>
      <c r="N70" s="127">
        <v>0</v>
      </c>
      <c r="O70" s="122">
        <v>0</v>
      </c>
      <c r="P70" s="126">
        <v>0</v>
      </c>
      <c r="Q70" s="122">
        <v>0</v>
      </c>
      <c r="R70" s="126">
        <v>0</v>
      </c>
      <c r="S70" s="123">
        <v>0</v>
      </c>
      <c r="T70" s="127">
        <v>0</v>
      </c>
      <c r="U70" s="123">
        <v>0</v>
      </c>
      <c r="V70" s="134">
        <v>0</v>
      </c>
      <c r="W70" s="32">
        <f t="shared" si="5"/>
        <v>0</v>
      </c>
      <c r="X70" s="112"/>
      <c r="Y70" s="112"/>
      <c r="Z70" s="112"/>
      <c r="AA70" s="112"/>
      <c r="AB70" s="112"/>
      <c r="AC70" s="112"/>
      <c r="AD70" s="136">
        <f t="shared" si="4"/>
        <v>0</v>
      </c>
      <c r="AE70" s="113"/>
      <c r="AF70" s="114"/>
      <c r="AG70" s="110"/>
    </row>
    <row r="71" spans="1:33" ht="15.75">
      <c r="A71" s="109"/>
      <c r="B71" s="33"/>
      <c r="C71" s="33"/>
      <c r="D71" s="33"/>
      <c r="E71" s="110"/>
      <c r="F71" s="33"/>
      <c r="G71" s="111"/>
      <c r="H71" s="119"/>
      <c r="I71" s="123">
        <v>0</v>
      </c>
      <c r="J71" s="124">
        <v>0</v>
      </c>
      <c r="K71" s="125">
        <v>0</v>
      </c>
      <c r="L71" s="126">
        <v>0</v>
      </c>
      <c r="M71" s="123">
        <v>0</v>
      </c>
      <c r="N71" s="127">
        <v>0</v>
      </c>
      <c r="O71" s="122">
        <v>0</v>
      </c>
      <c r="P71" s="126">
        <v>0</v>
      </c>
      <c r="Q71" s="122">
        <v>0</v>
      </c>
      <c r="R71" s="126">
        <v>0</v>
      </c>
      <c r="S71" s="123">
        <v>0</v>
      </c>
      <c r="T71" s="127">
        <v>0</v>
      </c>
      <c r="U71" s="123">
        <v>0</v>
      </c>
      <c r="V71" s="134">
        <v>0</v>
      </c>
      <c r="W71" s="32">
        <f t="shared" si="5"/>
        <v>0</v>
      </c>
      <c r="X71" s="112"/>
      <c r="Y71" s="112"/>
      <c r="Z71" s="112"/>
      <c r="AA71" s="112"/>
      <c r="AB71" s="112"/>
      <c r="AC71" s="112"/>
      <c r="AD71" s="136">
        <f t="shared" si="4"/>
        <v>0</v>
      </c>
      <c r="AE71" s="113"/>
      <c r="AF71" s="114"/>
      <c r="AG71" s="110"/>
    </row>
    <row r="72" spans="1:33" ht="15.75">
      <c r="A72" s="109"/>
      <c r="B72" s="33"/>
      <c r="C72" s="33"/>
      <c r="D72" s="33"/>
      <c r="E72" s="110"/>
      <c r="F72" s="33"/>
      <c r="G72" s="111"/>
      <c r="H72" s="119"/>
      <c r="I72" s="123">
        <v>0</v>
      </c>
      <c r="J72" s="124">
        <v>0</v>
      </c>
      <c r="K72" s="125">
        <v>0</v>
      </c>
      <c r="L72" s="126">
        <v>0</v>
      </c>
      <c r="M72" s="123">
        <v>0</v>
      </c>
      <c r="N72" s="127">
        <v>0</v>
      </c>
      <c r="O72" s="122">
        <v>0</v>
      </c>
      <c r="P72" s="126">
        <v>0</v>
      </c>
      <c r="Q72" s="122">
        <v>0</v>
      </c>
      <c r="R72" s="126">
        <v>0</v>
      </c>
      <c r="S72" s="123">
        <v>0</v>
      </c>
      <c r="T72" s="127">
        <v>0</v>
      </c>
      <c r="U72" s="123">
        <v>0</v>
      </c>
      <c r="V72" s="134">
        <v>0</v>
      </c>
      <c r="W72" s="32">
        <f t="shared" si="5"/>
        <v>0</v>
      </c>
      <c r="X72" s="112"/>
      <c r="Y72" s="112"/>
      <c r="Z72" s="112"/>
      <c r="AA72" s="112"/>
      <c r="AB72" s="112"/>
      <c r="AC72" s="112"/>
      <c r="AD72" s="136">
        <f t="shared" si="4"/>
        <v>0</v>
      </c>
      <c r="AE72" s="113"/>
      <c r="AF72" s="114"/>
      <c r="AG72" s="110"/>
    </row>
    <row r="73" spans="1:33" ht="15.75">
      <c r="A73" s="109"/>
      <c r="B73" s="33"/>
      <c r="C73" s="33"/>
      <c r="D73" s="33"/>
      <c r="E73" s="110"/>
      <c r="F73" s="33"/>
      <c r="G73" s="111"/>
      <c r="H73" s="119"/>
      <c r="I73" s="123">
        <v>0</v>
      </c>
      <c r="J73" s="124">
        <v>0</v>
      </c>
      <c r="K73" s="125">
        <v>0</v>
      </c>
      <c r="L73" s="126">
        <v>0</v>
      </c>
      <c r="M73" s="123">
        <v>0</v>
      </c>
      <c r="N73" s="127">
        <v>0</v>
      </c>
      <c r="O73" s="122">
        <v>0</v>
      </c>
      <c r="P73" s="126">
        <v>0</v>
      </c>
      <c r="Q73" s="122">
        <v>0</v>
      </c>
      <c r="R73" s="126">
        <v>0</v>
      </c>
      <c r="S73" s="123">
        <v>0</v>
      </c>
      <c r="T73" s="127">
        <v>0</v>
      </c>
      <c r="U73" s="123">
        <v>0</v>
      </c>
      <c r="V73" s="134">
        <v>0</v>
      </c>
      <c r="W73" s="32">
        <f t="shared" si="5"/>
        <v>0</v>
      </c>
      <c r="X73" s="112"/>
      <c r="Y73" s="112"/>
      <c r="Z73" s="112"/>
      <c r="AA73" s="112"/>
      <c r="AB73" s="112"/>
      <c r="AC73" s="112"/>
      <c r="AD73" s="136">
        <f t="shared" si="4"/>
        <v>0</v>
      </c>
      <c r="AE73" s="113"/>
      <c r="AF73" s="114"/>
      <c r="AG73" s="110"/>
    </row>
    <row r="74" spans="1:33" ht="15.75">
      <c r="A74" s="109"/>
      <c r="B74" s="33"/>
      <c r="C74" s="33"/>
      <c r="D74" s="33"/>
      <c r="E74" s="110"/>
      <c r="F74" s="33"/>
      <c r="G74" s="111"/>
      <c r="H74" s="119"/>
      <c r="I74" s="123">
        <v>0</v>
      </c>
      <c r="J74" s="124">
        <v>0</v>
      </c>
      <c r="K74" s="125">
        <v>0</v>
      </c>
      <c r="L74" s="126">
        <v>0</v>
      </c>
      <c r="M74" s="123">
        <v>0</v>
      </c>
      <c r="N74" s="127">
        <v>0</v>
      </c>
      <c r="O74" s="122">
        <v>0</v>
      </c>
      <c r="P74" s="126">
        <v>0</v>
      </c>
      <c r="Q74" s="122">
        <v>0</v>
      </c>
      <c r="R74" s="126">
        <v>0</v>
      </c>
      <c r="S74" s="123">
        <v>0</v>
      </c>
      <c r="T74" s="127">
        <v>0</v>
      </c>
      <c r="U74" s="123">
        <v>0</v>
      </c>
      <c r="V74" s="134">
        <v>0</v>
      </c>
      <c r="W74" s="32">
        <f t="shared" si="5"/>
        <v>0</v>
      </c>
      <c r="X74" s="112"/>
      <c r="Y74" s="112"/>
      <c r="Z74" s="112"/>
      <c r="AA74" s="112"/>
      <c r="AB74" s="112"/>
      <c r="AC74" s="112"/>
      <c r="AD74" s="136">
        <f t="shared" si="4"/>
        <v>0</v>
      </c>
      <c r="AE74" s="113"/>
      <c r="AF74" s="114"/>
      <c r="AG74" s="110"/>
    </row>
    <row r="75" spans="1:33" ht="15.75">
      <c r="A75" s="109"/>
      <c r="B75" s="33"/>
      <c r="C75" s="33"/>
      <c r="D75" s="33"/>
      <c r="E75" s="110"/>
      <c r="F75" s="33"/>
      <c r="G75" s="111"/>
      <c r="H75" s="119"/>
      <c r="I75" s="123">
        <v>0</v>
      </c>
      <c r="J75" s="124">
        <v>0</v>
      </c>
      <c r="K75" s="125">
        <v>0</v>
      </c>
      <c r="L75" s="126">
        <v>0</v>
      </c>
      <c r="M75" s="123">
        <v>0</v>
      </c>
      <c r="N75" s="127">
        <v>0</v>
      </c>
      <c r="O75" s="122">
        <v>0</v>
      </c>
      <c r="P75" s="126">
        <v>0</v>
      </c>
      <c r="Q75" s="122">
        <v>0</v>
      </c>
      <c r="R75" s="126">
        <v>0</v>
      </c>
      <c r="S75" s="123">
        <v>0</v>
      </c>
      <c r="T75" s="127">
        <v>0</v>
      </c>
      <c r="U75" s="123">
        <v>0</v>
      </c>
      <c r="V75" s="134">
        <v>0</v>
      </c>
      <c r="W75" s="32">
        <f t="shared" si="5"/>
        <v>0</v>
      </c>
      <c r="X75" s="112"/>
      <c r="Y75" s="112"/>
      <c r="Z75" s="112"/>
      <c r="AA75" s="112"/>
      <c r="AB75" s="112"/>
      <c r="AC75" s="112"/>
      <c r="AD75" s="136">
        <f t="shared" si="4"/>
        <v>0</v>
      </c>
      <c r="AE75" s="113"/>
      <c r="AF75" s="114"/>
      <c r="AG75" s="110"/>
    </row>
    <row r="76" spans="1:33" ht="15.75">
      <c r="A76" s="109"/>
      <c r="B76" s="33"/>
      <c r="C76" s="33"/>
      <c r="D76" s="33"/>
      <c r="E76" s="110"/>
      <c r="F76" s="33"/>
      <c r="G76" s="111"/>
      <c r="H76" s="119"/>
      <c r="I76" s="123">
        <v>0</v>
      </c>
      <c r="J76" s="124">
        <v>0</v>
      </c>
      <c r="K76" s="125">
        <v>0</v>
      </c>
      <c r="L76" s="126">
        <v>0</v>
      </c>
      <c r="M76" s="123">
        <v>0</v>
      </c>
      <c r="N76" s="127">
        <v>0</v>
      </c>
      <c r="O76" s="122">
        <v>0</v>
      </c>
      <c r="P76" s="126">
        <v>0</v>
      </c>
      <c r="Q76" s="122">
        <v>0</v>
      </c>
      <c r="R76" s="126">
        <v>0</v>
      </c>
      <c r="S76" s="123">
        <v>0</v>
      </c>
      <c r="T76" s="127">
        <v>0</v>
      </c>
      <c r="U76" s="123">
        <v>0</v>
      </c>
      <c r="V76" s="134">
        <v>0</v>
      </c>
      <c r="W76" s="32">
        <f t="shared" si="5"/>
        <v>0</v>
      </c>
      <c r="X76" s="112"/>
      <c r="Y76" s="112"/>
      <c r="Z76" s="112"/>
      <c r="AA76" s="112"/>
      <c r="AB76" s="112"/>
      <c r="AC76" s="112"/>
      <c r="AD76" s="136">
        <f t="shared" si="4"/>
        <v>0</v>
      </c>
      <c r="AE76" s="113"/>
      <c r="AF76" s="114"/>
      <c r="AG76" s="110"/>
    </row>
    <row r="77" spans="1:33" ht="15.75">
      <c r="A77" s="109"/>
      <c r="B77" s="33"/>
      <c r="C77" s="33"/>
      <c r="D77" s="33"/>
      <c r="E77" s="110"/>
      <c r="F77" s="33"/>
      <c r="G77" s="111"/>
      <c r="H77" s="119"/>
      <c r="I77" s="123">
        <v>0</v>
      </c>
      <c r="J77" s="124">
        <v>0</v>
      </c>
      <c r="K77" s="125">
        <v>0</v>
      </c>
      <c r="L77" s="126">
        <v>0</v>
      </c>
      <c r="M77" s="123">
        <v>0</v>
      </c>
      <c r="N77" s="127">
        <v>0</v>
      </c>
      <c r="O77" s="122">
        <v>0</v>
      </c>
      <c r="P77" s="126">
        <v>0</v>
      </c>
      <c r="Q77" s="122">
        <v>0</v>
      </c>
      <c r="R77" s="126">
        <v>0</v>
      </c>
      <c r="S77" s="123">
        <v>0</v>
      </c>
      <c r="T77" s="127">
        <v>0</v>
      </c>
      <c r="U77" s="123">
        <v>0</v>
      </c>
      <c r="V77" s="134">
        <v>0</v>
      </c>
      <c r="W77" s="32">
        <f t="shared" si="5"/>
        <v>0</v>
      </c>
      <c r="X77" s="112"/>
      <c r="Y77" s="112"/>
      <c r="Z77" s="112"/>
      <c r="AA77" s="112"/>
      <c r="AB77" s="112"/>
      <c r="AC77" s="112"/>
      <c r="AD77" s="136">
        <f t="shared" si="4"/>
        <v>0</v>
      </c>
      <c r="AE77" s="113"/>
      <c r="AF77" s="114"/>
      <c r="AG77" s="110"/>
    </row>
    <row r="78" spans="1:33" ht="15.75">
      <c r="A78" s="109"/>
      <c r="B78" s="33"/>
      <c r="C78" s="33"/>
      <c r="D78" s="33"/>
      <c r="E78" s="110"/>
      <c r="F78" s="33"/>
      <c r="G78" s="111"/>
      <c r="H78" s="119"/>
      <c r="I78" s="123">
        <v>0</v>
      </c>
      <c r="J78" s="124">
        <v>0</v>
      </c>
      <c r="K78" s="125">
        <v>0</v>
      </c>
      <c r="L78" s="126">
        <v>0</v>
      </c>
      <c r="M78" s="123">
        <v>0</v>
      </c>
      <c r="N78" s="127">
        <v>0</v>
      </c>
      <c r="O78" s="122">
        <v>0</v>
      </c>
      <c r="P78" s="126">
        <v>0</v>
      </c>
      <c r="Q78" s="122">
        <v>0</v>
      </c>
      <c r="R78" s="126">
        <v>0</v>
      </c>
      <c r="S78" s="123">
        <v>0</v>
      </c>
      <c r="T78" s="127">
        <v>0</v>
      </c>
      <c r="U78" s="123">
        <v>0</v>
      </c>
      <c r="V78" s="134">
        <v>0</v>
      </c>
      <c r="W78" s="32">
        <f t="shared" si="5"/>
        <v>0</v>
      </c>
      <c r="X78" s="112"/>
      <c r="Y78" s="112"/>
      <c r="Z78" s="112"/>
      <c r="AA78" s="112"/>
      <c r="AB78" s="112"/>
      <c r="AC78" s="112"/>
      <c r="AD78" s="136">
        <f t="shared" si="4"/>
        <v>0</v>
      </c>
      <c r="AE78" s="113"/>
      <c r="AF78" s="114"/>
      <c r="AG78" s="110"/>
    </row>
    <row r="79" spans="1:33" ht="15.75">
      <c r="A79" s="109"/>
      <c r="B79" s="33"/>
      <c r="C79" s="33"/>
      <c r="D79" s="33"/>
      <c r="E79" s="110"/>
      <c r="F79" s="33"/>
      <c r="G79" s="111"/>
      <c r="H79" s="119"/>
      <c r="I79" s="123">
        <v>0</v>
      </c>
      <c r="J79" s="124">
        <v>0</v>
      </c>
      <c r="K79" s="125">
        <v>0</v>
      </c>
      <c r="L79" s="126">
        <v>0</v>
      </c>
      <c r="M79" s="123">
        <v>0</v>
      </c>
      <c r="N79" s="127">
        <v>0</v>
      </c>
      <c r="O79" s="122">
        <v>0</v>
      </c>
      <c r="P79" s="126">
        <v>0</v>
      </c>
      <c r="Q79" s="122">
        <v>0</v>
      </c>
      <c r="R79" s="126">
        <v>0</v>
      </c>
      <c r="S79" s="123">
        <v>0</v>
      </c>
      <c r="T79" s="127">
        <v>0</v>
      </c>
      <c r="U79" s="123">
        <v>0</v>
      </c>
      <c r="V79" s="134">
        <v>0</v>
      </c>
      <c r="W79" s="32">
        <f t="shared" si="5"/>
        <v>0</v>
      </c>
      <c r="X79" s="112"/>
      <c r="Y79" s="112"/>
      <c r="Z79" s="112"/>
      <c r="AA79" s="112"/>
      <c r="AB79" s="112"/>
      <c r="AC79" s="112"/>
      <c r="AD79" s="136">
        <f t="shared" si="4"/>
        <v>0</v>
      </c>
      <c r="AE79" s="113"/>
      <c r="AF79" s="114"/>
      <c r="AG79" s="110"/>
    </row>
    <row r="80" spans="1:33" ht="15.75">
      <c r="A80" s="109"/>
      <c r="B80" s="33"/>
      <c r="C80" s="33"/>
      <c r="D80" s="33"/>
      <c r="E80" s="110"/>
      <c r="F80" s="33"/>
      <c r="G80" s="111"/>
      <c r="H80" s="119"/>
      <c r="I80" s="123">
        <v>0</v>
      </c>
      <c r="J80" s="124">
        <v>0</v>
      </c>
      <c r="K80" s="125">
        <v>0</v>
      </c>
      <c r="L80" s="126">
        <v>0</v>
      </c>
      <c r="M80" s="123">
        <v>0</v>
      </c>
      <c r="N80" s="127">
        <v>0</v>
      </c>
      <c r="O80" s="122">
        <v>0</v>
      </c>
      <c r="P80" s="126">
        <v>0</v>
      </c>
      <c r="Q80" s="122">
        <v>0</v>
      </c>
      <c r="R80" s="126">
        <v>0</v>
      </c>
      <c r="S80" s="123">
        <v>0</v>
      </c>
      <c r="T80" s="127">
        <v>0</v>
      </c>
      <c r="U80" s="123">
        <v>0</v>
      </c>
      <c r="V80" s="134">
        <v>0</v>
      </c>
      <c r="W80" s="32">
        <f t="shared" si="5"/>
        <v>0</v>
      </c>
      <c r="X80" s="112"/>
      <c r="Y80" s="112"/>
      <c r="Z80" s="112"/>
      <c r="AA80" s="112"/>
      <c r="AB80" s="112"/>
      <c r="AC80" s="112"/>
      <c r="AD80" s="136">
        <f t="shared" si="4"/>
        <v>0</v>
      </c>
      <c r="AE80" s="113"/>
      <c r="AF80" s="114"/>
      <c r="AG80" s="110"/>
    </row>
    <row r="81" spans="1:33" ht="15.75">
      <c r="A81" s="109"/>
      <c r="B81" s="33"/>
      <c r="C81" s="33"/>
      <c r="D81" s="33"/>
      <c r="E81" s="110"/>
      <c r="F81" s="33"/>
      <c r="G81" s="111"/>
      <c r="H81" s="119"/>
      <c r="I81" s="123">
        <v>0</v>
      </c>
      <c r="J81" s="124">
        <v>0</v>
      </c>
      <c r="K81" s="125">
        <v>0</v>
      </c>
      <c r="L81" s="126">
        <v>0</v>
      </c>
      <c r="M81" s="123">
        <v>0</v>
      </c>
      <c r="N81" s="127">
        <v>0</v>
      </c>
      <c r="O81" s="122">
        <v>0</v>
      </c>
      <c r="P81" s="126">
        <v>0</v>
      </c>
      <c r="Q81" s="122">
        <v>0</v>
      </c>
      <c r="R81" s="126">
        <v>0</v>
      </c>
      <c r="S81" s="123">
        <v>0</v>
      </c>
      <c r="T81" s="127">
        <v>0</v>
      </c>
      <c r="U81" s="123">
        <v>0</v>
      </c>
      <c r="V81" s="134">
        <v>0</v>
      </c>
      <c r="W81" s="32">
        <f t="shared" si="5"/>
        <v>0</v>
      </c>
      <c r="X81" s="112"/>
      <c r="Y81" s="112"/>
      <c r="Z81" s="112"/>
      <c r="AA81" s="112"/>
      <c r="AB81" s="24"/>
      <c r="AC81" s="112"/>
      <c r="AD81" s="136">
        <f t="shared" si="4"/>
        <v>0</v>
      </c>
      <c r="AE81" s="113"/>
      <c r="AF81" s="114"/>
      <c r="AG81" s="110"/>
    </row>
  </sheetData>
  <sheetProtection selectLockedCells="1"/>
  <protectedRanges>
    <protectedRange sqref="AG6:AG81 G6:V81 B11:E81 B8:B10 B6:C7 E6:E7" name="Rango1"/>
    <protectedRange sqref="AD6:AE81" name="Rango1_2"/>
    <protectedRange sqref="F7 F10:F81 A6:A81" name="Rango1_1"/>
    <protectedRange sqref="E8:E10" name="Rango1_1_1"/>
    <protectedRange sqref="C8:C9" name="Rango1_1_2"/>
    <protectedRange sqref="C10" name="Rango1_1_3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A11:D81 X7:AA81 AC7:AC81 AB7:AB80 L6:V81 F10:I81 F7:G7 I7 H6:H7 G8:I9 B7:B10">
    <cfRule type="expression" dxfId="20" priority="259" stopIfTrue="1">
      <formula>"SEVERSTAL"</formula>
    </cfRule>
  </conditionalFormatting>
  <conditionalFormatting sqref="E7 AD7:AE81 AG7:AG81 E11:E81">
    <cfRule type="cellIs" dxfId="19" priority="260" stopIfTrue="1" operator="equal">
      <formula>"APROBADO"</formula>
    </cfRule>
    <cfRule type="cellIs" dxfId="18" priority="261" stopIfTrue="1" operator="equal">
      <formula>"ESPERA"</formula>
    </cfRule>
    <cfRule type="cellIs" dxfId="17" priority="262" stopIfTrue="1" operator="equal">
      <formula>"RECHAZADO"</formula>
    </cfRule>
  </conditionalFormatting>
  <conditionalFormatting sqref="X6:AC6 A6:C6 G6 I6 C7 A7:A10">
    <cfRule type="expression" dxfId="16" priority="15" stopIfTrue="1">
      <formula>"SEVERSTAL"</formula>
    </cfRule>
  </conditionalFormatting>
  <conditionalFormatting sqref="AG6 AD6:AE6 E6">
    <cfRule type="cellIs" dxfId="15" priority="16" stopIfTrue="1" operator="equal">
      <formula>"APROBADO"</formula>
    </cfRule>
    <cfRule type="cellIs" dxfId="14" priority="17" stopIfTrue="1" operator="equal">
      <formula>"ESPERA"</formula>
    </cfRule>
    <cfRule type="cellIs" dxfId="13" priority="18" stopIfTrue="1" operator="equal">
      <formula>"RECHAZADO"</formula>
    </cfRule>
  </conditionalFormatting>
  <conditionalFormatting sqref="E8:E10">
    <cfRule type="cellIs" dxfId="12" priority="11" stopIfTrue="1" operator="equal">
      <formula>"APROBADO"</formula>
    </cfRule>
    <cfRule type="cellIs" dxfId="11" priority="12" stopIfTrue="1" operator="equal">
      <formula>"ESPERA"</formula>
    </cfRule>
    <cfRule type="cellIs" dxfId="10" priority="13" stopIfTrue="1" operator="equal">
      <formula>"RECHAZADO"</formula>
    </cfRule>
  </conditionalFormatting>
  <conditionalFormatting sqref="C8">
    <cfRule type="cellIs" dxfId="9" priority="8" stopIfTrue="1" operator="equal">
      <formula>"APROBADO"</formula>
    </cfRule>
    <cfRule type="cellIs" dxfId="8" priority="9" stopIfTrue="1" operator="equal">
      <formula>"ESPERA"</formula>
    </cfRule>
    <cfRule type="cellIs" dxfId="7" priority="10" stopIfTrue="1" operator="equal">
      <formula>"RECHAZADO"</formula>
    </cfRule>
  </conditionalFormatting>
  <conditionalFormatting sqref="C9">
    <cfRule type="cellIs" dxfId="6" priority="5" stopIfTrue="1" operator="equal">
      <formula>"APROBADO"</formula>
    </cfRule>
    <cfRule type="cellIs" dxfId="5" priority="6" stopIfTrue="1" operator="equal">
      <formula>"ESPERA"</formula>
    </cfRule>
    <cfRule type="cellIs" dxfId="4" priority="7" stopIfTrue="1" operator="equal">
      <formula>"RECHAZADO"</formula>
    </cfRule>
  </conditionalFormatting>
  <conditionalFormatting sqref="C10">
    <cfRule type="cellIs" dxfId="3" priority="2" stopIfTrue="1" operator="equal">
      <formula>"APROBADO"</formula>
    </cfRule>
    <cfRule type="cellIs" dxfId="2" priority="3" stopIfTrue="1" operator="equal">
      <formula>"ESPERA"</formula>
    </cfRule>
    <cfRule type="cellIs" dxfId="1" priority="4" stopIfTrue="1" operator="equal">
      <formula>"RECHAZADO"</formula>
    </cfRule>
  </conditionalFormatting>
  <conditionalFormatting sqref="D6:D10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2022-05-17T21:35:17Z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