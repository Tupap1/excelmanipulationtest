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N80Q\"/>
    </mc:Choice>
  </mc:AlternateContent>
  <xr:revisionPtr revIDLastSave="0" documentId="13_ncr:1_{C7C6E7B8-C0CC-4C80-9447-A53CFDE616C2}" xr6:coauthVersionLast="47" xr6:coauthVersionMax="47" xr10:uidLastSave="{00000000-0000-0000-0000-000000000000}"/>
  <bookViews>
    <workbookView showSheetTabs="0" xWindow="20370" yWindow="-120" windowWidth="29040" windowHeight="1584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Produccion!$A$4:$AG$1275</definedName>
    <definedName name="_xlnm._FilterDatabase" localSheetId="1" hidden="1">Resultados!$A$4:$DH$4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Produccion!$2:$4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6" i="5" l="1"/>
  <c r="AE6" i="5" s="1"/>
  <c r="AD3" i="5" l="1"/>
  <c r="AF3" i="5" s="1"/>
  <c r="AG3" i="5" s="1"/>
  <c r="AF2" i="5"/>
  <c r="AG2" i="5" s="1"/>
  <c r="AE2" i="5"/>
  <c r="AE3" i="5" l="1"/>
  <c r="V5" i="5"/>
  <c r="AE5" i="5" s="1"/>
  <c r="V7" i="5"/>
  <c r="AE7" i="5" s="1"/>
  <c r="V8" i="5"/>
  <c r="AE8" i="5" s="1"/>
  <c r="V9" i="5"/>
  <c r="AE9" i="5" s="1"/>
  <c r="V10" i="5"/>
  <c r="AE10" i="5" s="1"/>
  <c r="V11" i="5"/>
  <c r="AE11" i="5" s="1"/>
  <c r="V12" i="5"/>
  <c r="AE12" i="5" s="1"/>
  <c r="V13" i="5"/>
  <c r="AE13" i="5" s="1"/>
  <c r="V14" i="5"/>
  <c r="AE14" i="5" s="1"/>
  <c r="V15" i="5"/>
  <c r="AE15" i="5" s="1"/>
  <c r="V16" i="5"/>
  <c r="AE16" i="5" s="1"/>
  <c r="V17" i="5"/>
  <c r="AE17" i="5" s="1"/>
  <c r="V18" i="5"/>
  <c r="AE18" i="5" s="1"/>
  <c r="V19" i="5"/>
  <c r="AE19" i="5" s="1"/>
  <c r="V20" i="5"/>
  <c r="AE20" i="5" s="1"/>
  <c r="V21" i="5"/>
  <c r="AE21" i="5" s="1"/>
  <c r="V22" i="5"/>
  <c r="AE22" i="5" s="1"/>
  <c r="V23" i="5"/>
  <c r="AE23" i="5" s="1"/>
  <c r="V24" i="5"/>
  <c r="AE24" i="5" s="1"/>
  <c r="V25" i="5"/>
  <c r="AE25" i="5" s="1"/>
  <c r="V26" i="5"/>
  <c r="AE26" i="5" s="1"/>
  <c r="V27" i="5"/>
  <c r="AE27" i="5" s="1"/>
  <c r="V28" i="5"/>
  <c r="AE28" i="5" s="1"/>
  <c r="V29" i="5"/>
  <c r="AE29" i="5" s="1"/>
  <c r="V30" i="5"/>
  <c r="AE30" i="5" s="1"/>
  <c r="V31" i="5"/>
  <c r="AE31" i="5" s="1"/>
  <c r="V32" i="5"/>
  <c r="AE32" i="5" s="1"/>
  <c r="V33" i="5"/>
  <c r="AE33" i="5" s="1"/>
  <c r="V34" i="5"/>
  <c r="AE34" i="5" s="1"/>
  <c r="V35" i="5"/>
  <c r="AE35" i="5"/>
  <c r="V36" i="5"/>
  <c r="AE36" i="5" s="1"/>
  <c r="V37" i="5"/>
  <c r="AE37" i="5" s="1"/>
  <c r="V38" i="5"/>
  <c r="AE38" i="5" s="1"/>
  <c r="V39" i="5"/>
  <c r="AE39" i="5" s="1"/>
  <c r="V40" i="5"/>
  <c r="AE40" i="5" s="1"/>
  <c r="V41" i="5"/>
  <c r="AE41" i="5" s="1"/>
  <c r="V42" i="5"/>
  <c r="AE42" i="5" s="1"/>
  <c r="V43" i="5"/>
  <c r="AE43" i="5" s="1"/>
  <c r="V44" i="5"/>
  <c r="AE44" i="5" s="1"/>
  <c r="V45" i="5"/>
  <c r="AE45" i="5" s="1"/>
  <c r="V46" i="5"/>
  <c r="AE46" i="5" s="1"/>
  <c r="V47" i="5"/>
  <c r="AE47" i="5" s="1"/>
  <c r="V48" i="5"/>
  <c r="AE48" i="5" s="1"/>
  <c r="V49" i="5"/>
  <c r="AE49" i="5" s="1"/>
  <c r="V50" i="5"/>
  <c r="AE50" i="5" s="1"/>
  <c r="V51" i="5"/>
  <c r="AE51" i="5" s="1"/>
  <c r="V52" i="5"/>
  <c r="AE52" i="5" s="1"/>
  <c r="V53" i="5"/>
  <c r="AE53" i="5" s="1"/>
  <c r="V54" i="5"/>
  <c r="AE54" i="5" s="1"/>
  <c r="V55" i="5"/>
  <c r="AE55" i="5" s="1"/>
  <c r="V56" i="5"/>
  <c r="AE56" i="5" s="1"/>
  <c r="V57" i="5"/>
  <c r="AE57" i="5" s="1"/>
  <c r="V58" i="5"/>
  <c r="AE58" i="5" s="1"/>
  <c r="V59" i="5"/>
  <c r="AE59" i="5" s="1"/>
  <c r="V60" i="5"/>
  <c r="AE60" i="5" s="1"/>
  <c r="V61" i="5"/>
  <c r="AE61" i="5" s="1"/>
  <c r="V62" i="5"/>
  <c r="AE62" i="5" s="1"/>
  <c r="V63" i="5"/>
  <c r="AE63" i="5" s="1"/>
  <c r="V64" i="5"/>
  <c r="AE64" i="5" s="1"/>
  <c r="V65" i="5"/>
  <c r="AE65" i="5" s="1"/>
  <c r="V66" i="5"/>
  <c r="AE66" i="5" s="1"/>
  <c r="V67" i="5"/>
  <c r="AE67" i="5" s="1"/>
  <c r="V68" i="5"/>
  <c r="AE68" i="5" s="1"/>
  <c r="V69" i="5"/>
  <c r="AE69" i="5" s="1"/>
  <c r="V70" i="5"/>
  <c r="AE70" i="5" s="1"/>
  <c r="V71" i="5" l="1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389" i="5"/>
  <c r="V390" i="5"/>
  <c r="V391" i="5"/>
  <c r="V392" i="5"/>
  <c r="V393" i="5"/>
  <c r="V394" i="5"/>
  <c r="V395" i="5"/>
  <c r="V396" i="5"/>
  <c r="V397" i="5"/>
  <c r="V398" i="5"/>
  <c r="V399" i="5"/>
  <c r="V400" i="5"/>
  <c r="V401" i="5"/>
  <c r="V402" i="5"/>
  <c r="V403" i="5"/>
  <c r="V404" i="5"/>
  <c r="V405" i="5"/>
  <c r="V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6" i="5"/>
  <c r="V467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2" i="5"/>
  <c r="V493" i="5"/>
  <c r="V494" i="5"/>
  <c r="V495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8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882" i="5"/>
  <c r="V883" i="5"/>
  <c r="V884" i="5"/>
  <c r="V885" i="5"/>
  <c r="V886" i="5"/>
  <c r="V887" i="5"/>
  <c r="V888" i="5"/>
  <c r="V889" i="5"/>
  <c r="V890" i="5"/>
  <c r="V891" i="5"/>
  <c r="V892" i="5"/>
  <c r="V893" i="5"/>
  <c r="V894" i="5"/>
  <c r="V895" i="5"/>
  <c r="V896" i="5"/>
  <c r="V897" i="5"/>
  <c r="V898" i="5"/>
  <c r="V899" i="5"/>
  <c r="V900" i="5"/>
  <c r="V901" i="5"/>
  <c r="V902" i="5"/>
  <c r="V903" i="5"/>
  <c r="V904" i="5"/>
  <c r="V905" i="5"/>
  <c r="V906" i="5"/>
  <c r="V907" i="5"/>
  <c r="V908" i="5"/>
  <c r="V909" i="5"/>
  <c r="V910" i="5"/>
  <c r="V911" i="5"/>
  <c r="V912" i="5"/>
  <c r="V913" i="5"/>
  <c r="V914" i="5"/>
  <c r="V915" i="5"/>
  <c r="V916" i="5"/>
  <c r="V917" i="5"/>
  <c r="V918" i="5"/>
  <c r="V919" i="5"/>
  <c r="V920" i="5"/>
  <c r="V921" i="5"/>
  <c r="V922" i="5"/>
  <c r="V923" i="5"/>
  <c r="V924" i="5"/>
  <c r="V925" i="5"/>
  <c r="V926" i="5"/>
  <c r="V927" i="5"/>
  <c r="V928" i="5"/>
  <c r="V929" i="5"/>
  <c r="V930" i="5"/>
  <c r="V931" i="5"/>
  <c r="V932" i="5"/>
  <c r="V933" i="5"/>
  <c r="V934" i="5"/>
  <c r="V935" i="5"/>
  <c r="V936" i="5"/>
  <c r="V937" i="5"/>
  <c r="V938" i="5"/>
  <c r="V939" i="5"/>
  <c r="V940" i="5"/>
  <c r="V941" i="5"/>
  <c r="V942" i="5"/>
  <c r="V943" i="5"/>
  <c r="V944" i="5"/>
  <c r="V945" i="5"/>
  <c r="V946" i="5"/>
  <c r="V947" i="5"/>
  <c r="V948" i="5"/>
  <c r="V949" i="5"/>
  <c r="V950" i="5"/>
  <c r="V951" i="5"/>
  <c r="V952" i="5"/>
  <c r="V953" i="5"/>
  <c r="V954" i="5"/>
  <c r="V955" i="5"/>
  <c r="V956" i="5"/>
  <c r="V957" i="5"/>
  <c r="V958" i="5"/>
  <c r="V959" i="5"/>
  <c r="V960" i="5"/>
  <c r="V961" i="5"/>
  <c r="V962" i="5"/>
  <c r="V963" i="5"/>
  <c r="V964" i="5"/>
  <c r="V965" i="5"/>
  <c r="V966" i="5"/>
  <c r="V967" i="5"/>
  <c r="V968" i="5"/>
  <c r="V969" i="5"/>
  <c r="V970" i="5"/>
  <c r="V971" i="5"/>
  <c r="V972" i="5"/>
  <c r="V973" i="5"/>
  <c r="V974" i="5"/>
  <c r="V975" i="5"/>
  <c r="V976" i="5"/>
  <c r="V977" i="5"/>
  <c r="V978" i="5"/>
  <c r="V979" i="5"/>
  <c r="V980" i="5"/>
  <c r="V981" i="5"/>
  <c r="V982" i="5"/>
  <c r="V983" i="5"/>
  <c r="V984" i="5"/>
  <c r="V985" i="5"/>
  <c r="V986" i="5"/>
  <c r="V987" i="5"/>
  <c r="V988" i="5"/>
  <c r="V989" i="5"/>
  <c r="V990" i="5"/>
  <c r="V991" i="5"/>
  <c r="V992" i="5"/>
  <c r="V993" i="5"/>
  <c r="V994" i="5"/>
  <c r="V995" i="5"/>
  <c r="V996" i="5"/>
  <c r="V997" i="5"/>
  <c r="V998" i="5"/>
  <c r="V999" i="5"/>
  <c r="V1000" i="5"/>
  <c r="V1001" i="5"/>
  <c r="V1002" i="5"/>
  <c r="V1003" i="5"/>
  <c r="V1004" i="5"/>
  <c r="V1005" i="5"/>
  <c r="V1006" i="5"/>
  <c r="V1007" i="5"/>
  <c r="V1008" i="5"/>
  <c r="V1009" i="5"/>
  <c r="V1010" i="5"/>
  <c r="V1011" i="5"/>
  <c r="V1012" i="5"/>
  <c r="V1013" i="5"/>
  <c r="V1014" i="5"/>
  <c r="V1015" i="5"/>
  <c r="V1016" i="5"/>
  <c r="V1017" i="5"/>
  <c r="V1018" i="5"/>
  <c r="V1019" i="5"/>
  <c r="V1020" i="5"/>
  <c r="V1021" i="5"/>
  <c r="V1022" i="5"/>
  <c r="V1023" i="5"/>
  <c r="V1024" i="5"/>
  <c r="V1025" i="5"/>
  <c r="V1026" i="5"/>
  <c r="V1027" i="5"/>
  <c r="V1028" i="5"/>
  <c r="V1029" i="5"/>
  <c r="V1030" i="5"/>
  <c r="V1031" i="5"/>
  <c r="V1032" i="5"/>
  <c r="V1033" i="5"/>
  <c r="V1034" i="5"/>
  <c r="V1035" i="5"/>
  <c r="V1036" i="5"/>
  <c r="V1037" i="5"/>
  <c r="V1038" i="5"/>
  <c r="V1039" i="5"/>
  <c r="V1040" i="5"/>
  <c r="V1041" i="5"/>
  <c r="V1042" i="5"/>
  <c r="V1043" i="5"/>
  <c r="V1044" i="5"/>
  <c r="V1045" i="5"/>
  <c r="V1046" i="5"/>
  <c r="V1047" i="5"/>
  <c r="V1048" i="5"/>
  <c r="V1049" i="5"/>
  <c r="V1050" i="5"/>
  <c r="V1051" i="5"/>
  <c r="V1052" i="5"/>
  <c r="V1053" i="5"/>
  <c r="V1054" i="5"/>
  <c r="V1055" i="5"/>
  <c r="V1056" i="5"/>
  <c r="V1057" i="5"/>
  <c r="V1058" i="5"/>
  <c r="V1059" i="5"/>
  <c r="V1060" i="5"/>
  <c r="V1061" i="5"/>
  <c r="V1062" i="5"/>
  <c r="V1063" i="5"/>
  <c r="V1064" i="5"/>
  <c r="V1065" i="5"/>
  <c r="V1066" i="5"/>
  <c r="V1067" i="5"/>
  <c r="V1068" i="5"/>
  <c r="V1069" i="5"/>
  <c r="V1070" i="5"/>
  <c r="V1071" i="5"/>
  <c r="V1072" i="5"/>
  <c r="V1073" i="5"/>
  <c r="V1074" i="5"/>
  <c r="V1075" i="5"/>
  <c r="V1076" i="5"/>
  <c r="V1077" i="5"/>
  <c r="V1078" i="5"/>
  <c r="V1079" i="5"/>
  <c r="V1080" i="5"/>
  <c r="V1081" i="5"/>
  <c r="V1082" i="5"/>
  <c r="V1083" i="5"/>
  <c r="V1084" i="5"/>
  <c r="V1085" i="5"/>
  <c r="V1086" i="5"/>
  <c r="V1087" i="5"/>
  <c r="V1088" i="5"/>
  <c r="V1089" i="5"/>
  <c r="V1090" i="5"/>
  <c r="V1091" i="5"/>
  <c r="V1092" i="5"/>
  <c r="V1093" i="5"/>
  <c r="V1094" i="5"/>
  <c r="V1095" i="5"/>
  <c r="V1096" i="5"/>
  <c r="V1097" i="5"/>
  <c r="V1098" i="5"/>
  <c r="V1099" i="5"/>
  <c r="V1100" i="5"/>
  <c r="V1101" i="5"/>
  <c r="V1102" i="5"/>
  <c r="V1103" i="5"/>
  <c r="V1104" i="5"/>
  <c r="V1105" i="5"/>
  <c r="V1106" i="5"/>
  <c r="V1107" i="5"/>
  <c r="V1108" i="5"/>
  <c r="V1109" i="5"/>
  <c r="V1110" i="5"/>
  <c r="V1111" i="5"/>
  <c r="V1112" i="5"/>
  <c r="V1113" i="5"/>
  <c r="V1114" i="5"/>
  <c r="V1115" i="5"/>
  <c r="V1116" i="5"/>
  <c r="V1117" i="5"/>
  <c r="V1118" i="5"/>
  <c r="V1119" i="5"/>
  <c r="V1120" i="5"/>
  <c r="V1121" i="5"/>
  <c r="V1122" i="5"/>
  <c r="V1123" i="5"/>
  <c r="V1124" i="5"/>
  <c r="V1125" i="5"/>
  <c r="V1126" i="5"/>
  <c r="V1127" i="5"/>
  <c r="V1128" i="5"/>
  <c r="V1129" i="5"/>
  <c r="V1130" i="5"/>
  <c r="V1131" i="5"/>
  <c r="V1132" i="5"/>
  <c r="V1133" i="5"/>
  <c r="V1134" i="5"/>
  <c r="V1135" i="5"/>
  <c r="V1136" i="5"/>
  <c r="V1137" i="5"/>
  <c r="V1138" i="5"/>
  <c r="V1139" i="5"/>
  <c r="V1140" i="5"/>
  <c r="V1141" i="5"/>
  <c r="V1142" i="5"/>
  <c r="V1143" i="5"/>
  <c r="V1144" i="5"/>
  <c r="V1145" i="5"/>
  <c r="V1146" i="5"/>
  <c r="V1147" i="5"/>
  <c r="V1148" i="5"/>
  <c r="V1149" i="5"/>
  <c r="V1150" i="5"/>
  <c r="V1151" i="5"/>
  <c r="V1152" i="5"/>
  <c r="V1153" i="5"/>
  <c r="V1154" i="5"/>
  <c r="V1155" i="5"/>
  <c r="V1156" i="5"/>
  <c r="V1157" i="5"/>
  <c r="V1158" i="5"/>
  <c r="V1159" i="5"/>
  <c r="V1160" i="5"/>
  <c r="V1161" i="5"/>
  <c r="V1162" i="5"/>
  <c r="V1163" i="5"/>
  <c r="V1164" i="5"/>
  <c r="V1165" i="5"/>
  <c r="V1166" i="5"/>
  <c r="V1167" i="5"/>
  <c r="V1168" i="5"/>
  <c r="V1169" i="5"/>
  <c r="V1170" i="5"/>
  <c r="V1171" i="5"/>
  <c r="V1172" i="5"/>
  <c r="V1173" i="5"/>
  <c r="V1174" i="5"/>
  <c r="V1175" i="5"/>
  <c r="V1176" i="5"/>
  <c r="V1177" i="5"/>
  <c r="V1178" i="5"/>
  <c r="V1179" i="5"/>
  <c r="V1180" i="5"/>
  <c r="V1181" i="5"/>
  <c r="V1182" i="5"/>
  <c r="V1183" i="5"/>
  <c r="V1184" i="5"/>
  <c r="V1185" i="5"/>
  <c r="V1186" i="5"/>
  <c r="V1187" i="5"/>
  <c r="V1188" i="5"/>
  <c r="V1189" i="5"/>
  <c r="V1190" i="5"/>
  <c r="V1191" i="5"/>
  <c r="V1192" i="5"/>
  <c r="V1193" i="5"/>
  <c r="V1194" i="5"/>
  <c r="V1195" i="5"/>
  <c r="V1196" i="5"/>
  <c r="V1197" i="5"/>
  <c r="V1198" i="5"/>
  <c r="V1199" i="5"/>
  <c r="V1200" i="5"/>
  <c r="V1201" i="5"/>
  <c r="V1202" i="5"/>
  <c r="V1203" i="5"/>
  <c r="V1204" i="5"/>
  <c r="V1205" i="5"/>
  <c r="V1206" i="5"/>
  <c r="V1207" i="5"/>
  <c r="V1208" i="5"/>
  <c r="V1209" i="5"/>
  <c r="V1210" i="5"/>
  <c r="V1211" i="5"/>
  <c r="V1212" i="5"/>
  <c r="V1213" i="5"/>
  <c r="V1214" i="5"/>
  <c r="V1215" i="5"/>
  <c r="V1216" i="5"/>
  <c r="V1217" i="5"/>
  <c r="V1218" i="5"/>
  <c r="V1219" i="5"/>
  <c r="V1220" i="5"/>
  <c r="V1221" i="5"/>
  <c r="V1222" i="5"/>
  <c r="V1223" i="5"/>
  <c r="V1224" i="5"/>
  <c r="V1225" i="5"/>
  <c r="V1226" i="5"/>
  <c r="V1227" i="5"/>
  <c r="V1228" i="5"/>
  <c r="V1229" i="5"/>
  <c r="V1230" i="5"/>
  <c r="V1231" i="5"/>
  <c r="V1232" i="5"/>
  <c r="V1233" i="5"/>
  <c r="V1234" i="5"/>
  <c r="V1235" i="5"/>
  <c r="V1236" i="5"/>
  <c r="V1237" i="5"/>
  <c r="V1238" i="5"/>
  <c r="V1239" i="5"/>
  <c r="V1240" i="5"/>
  <c r="V1241" i="5"/>
  <c r="V1242" i="5"/>
  <c r="V1243" i="5"/>
  <c r="V1244" i="5"/>
  <c r="V1245" i="5"/>
  <c r="V1246" i="5"/>
  <c r="V1247" i="5"/>
  <c r="V1248" i="5"/>
  <c r="V1249" i="5"/>
  <c r="V1250" i="5"/>
  <c r="V1251" i="5"/>
  <c r="V1252" i="5"/>
  <c r="V1253" i="5"/>
  <c r="V1254" i="5"/>
  <c r="V1255" i="5"/>
  <c r="V1256" i="5"/>
  <c r="V1257" i="5"/>
  <c r="V1258" i="5"/>
  <c r="V1259" i="5"/>
  <c r="V1260" i="5"/>
  <c r="V1261" i="5"/>
  <c r="V1262" i="5"/>
  <c r="V1263" i="5"/>
  <c r="V1264" i="5"/>
  <c r="V1265" i="5"/>
  <c r="V1266" i="5"/>
  <c r="V1267" i="5"/>
  <c r="V1268" i="5"/>
  <c r="V1269" i="5"/>
  <c r="V1270" i="5"/>
  <c r="V1271" i="5"/>
  <c r="V1272" i="5"/>
  <c r="V1273" i="5"/>
  <c r="V1274" i="5"/>
  <c r="V1275" i="5"/>
  <c r="AE71" i="5" l="1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491" i="5"/>
  <c r="AE492" i="5"/>
  <c r="AE493" i="5"/>
  <c r="AE494" i="5"/>
  <c r="AE495" i="5"/>
  <c r="AE496" i="5"/>
  <c r="AE497" i="5"/>
  <c r="AE498" i="5"/>
  <c r="AE499" i="5"/>
  <c r="AE500" i="5"/>
  <c r="AE501" i="5"/>
  <c r="AE502" i="5"/>
  <c r="AE503" i="5"/>
  <c r="AE504" i="5"/>
  <c r="AE505" i="5"/>
  <c r="AE506" i="5"/>
  <c r="AE507" i="5"/>
  <c r="AE508" i="5"/>
  <c r="AE509" i="5"/>
  <c r="AE510" i="5"/>
  <c r="AE511" i="5"/>
  <c r="AE512" i="5"/>
  <c r="AE513" i="5"/>
  <c r="AE514" i="5"/>
  <c r="AE515" i="5"/>
  <c r="AE516" i="5"/>
  <c r="AE517" i="5"/>
  <c r="AE518" i="5"/>
  <c r="AE519" i="5"/>
  <c r="AE520" i="5"/>
  <c r="AE521" i="5"/>
  <c r="AE522" i="5"/>
  <c r="AE523" i="5"/>
  <c r="AE524" i="5"/>
  <c r="AE525" i="5"/>
  <c r="AE526" i="5"/>
  <c r="AE527" i="5"/>
  <c r="AE528" i="5"/>
  <c r="AE529" i="5"/>
  <c r="AE530" i="5"/>
  <c r="AE531" i="5"/>
  <c r="AE532" i="5"/>
  <c r="AE533" i="5"/>
  <c r="AE534" i="5"/>
  <c r="AE535" i="5"/>
  <c r="AE536" i="5"/>
  <c r="AE537" i="5"/>
  <c r="AE538" i="5"/>
  <c r="AE539" i="5"/>
  <c r="AE540" i="5"/>
  <c r="AE541" i="5"/>
  <c r="AE542" i="5"/>
  <c r="AE543" i="5"/>
  <c r="AE544" i="5"/>
  <c r="AE545" i="5"/>
  <c r="AE546" i="5"/>
  <c r="AE547" i="5"/>
  <c r="AE548" i="5"/>
  <c r="AE549" i="5"/>
  <c r="AE550" i="5"/>
  <c r="AE551" i="5"/>
  <c r="AE552" i="5"/>
  <c r="AE553" i="5"/>
  <c r="AE554" i="5"/>
  <c r="AE555" i="5"/>
  <c r="AE556" i="5"/>
  <c r="AE557" i="5"/>
  <c r="AE558" i="5"/>
  <c r="AE559" i="5"/>
  <c r="AE560" i="5"/>
  <c r="AE561" i="5"/>
  <c r="AE562" i="5"/>
  <c r="AE563" i="5"/>
  <c r="AE564" i="5"/>
  <c r="AE565" i="5"/>
  <c r="AE566" i="5"/>
  <c r="AE567" i="5"/>
  <c r="AE568" i="5"/>
  <c r="AE569" i="5"/>
  <c r="AE570" i="5"/>
  <c r="AE571" i="5"/>
  <c r="AE572" i="5"/>
  <c r="AE573" i="5"/>
  <c r="AE574" i="5"/>
  <c r="AE575" i="5"/>
  <c r="AE576" i="5"/>
  <c r="AE577" i="5"/>
  <c r="AE578" i="5"/>
  <c r="AE579" i="5"/>
  <c r="AE580" i="5"/>
  <c r="AE581" i="5"/>
  <c r="AE582" i="5"/>
  <c r="AE583" i="5"/>
  <c r="AE584" i="5"/>
  <c r="AE585" i="5"/>
  <c r="AE586" i="5"/>
  <c r="AE587" i="5"/>
  <c r="AE588" i="5"/>
  <c r="AE589" i="5"/>
  <c r="AE590" i="5"/>
  <c r="AE591" i="5"/>
  <c r="AE592" i="5"/>
  <c r="AE593" i="5"/>
  <c r="AE594" i="5"/>
  <c r="AE595" i="5"/>
  <c r="AE596" i="5"/>
  <c r="AE597" i="5"/>
  <c r="AE598" i="5"/>
  <c r="AE599" i="5"/>
  <c r="AE600" i="5"/>
  <c r="AE601" i="5"/>
  <c r="AE602" i="5"/>
  <c r="AE603" i="5"/>
  <c r="AE604" i="5"/>
  <c r="AE605" i="5"/>
  <c r="AE606" i="5"/>
  <c r="AE607" i="5"/>
  <c r="AE608" i="5"/>
  <c r="AE609" i="5"/>
  <c r="AE610" i="5"/>
  <c r="AE611" i="5"/>
  <c r="AE612" i="5"/>
  <c r="AE613" i="5"/>
  <c r="AE614" i="5"/>
  <c r="AE615" i="5"/>
  <c r="AE616" i="5"/>
  <c r="AE617" i="5"/>
  <c r="AE618" i="5"/>
  <c r="AE619" i="5"/>
  <c r="AE620" i="5"/>
  <c r="AE621" i="5"/>
  <c r="AE622" i="5"/>
  <c r="AE623" i="5"/>
  <c r="AE624" i="5"/>
  <c r="AE625" i="5"/>
  <c r="AE626" i="5"/>
  <c r="AE627" i="5"/>
  <c r="AE628" i="5"/>
  <c r="AE629" i="5"/>
  <c r="AE630" i="5"/>
  <c r="AE631" i="5"/>
  <c r="AE632" i="5"/>
  <c r="AE633" i="5"/>
  <c r="AE634" i="5"/>
  <c r="AE635" i="5"/>
  <c r="AE636" i="5"/>
  <c r="AE637" i="5"/>
  <c r="AE638" i="5"/>
  <c r="AE639" i="5"/>
  <c r="AE640" i="5"/>
  <c r="AE641" i="5"/>
  <c r="AE642" i="5"/>
  <c r="AE643" i="5"/>
  <c r="AE644" i="5"/>
  <c r="AE645" i="5"/>
  <c r="AE646" i="5"/>
  <c r="AE647" i="5"/>
  <c r="AE648" i="5"/>
  <c r="AE649" i="5"/>
  <c r="AE650" i="5"/>
  <c r="AE651" i="5"/>
  <c r="AE652" i="5"/>
  <c r="AE653" i="5"/>
  <c r="AE654" i="5"/>
  <c r="AE655" i="5"/>
  <c r="AE656" i="5"/>
  <c r="AE657" i="5"/>
  <c r="AE658" i="5"/>
  <c r="AE659" i="5"/>
  <c r="AE660" i="5"/>
  <c r="AE661" i="5"/>
  <c r="AE662" i="5"/>
  <c r="AE663" i="5"/>
  <c r="AE664" i="5"/>
  <c r="AE665" i="5"/>
  <c r="AE666" i="5"/>
  <c r="AE667" i="5"/>
  <c r="AE668" i="5"/>
  <c r="AE669" i="5"/>
  <c r="AE670" i="5"/>
  <c r="AE671" i="5"/>
  <c r="AE672" i="5"/>
  <c r="AE673" i="5"/>
  <c r="AE674" i="5"/>
  <c r="AE675" i="5"/>
  <c r="AE676" i="5"/>
  <c r="AE677" i="5"/>
  <c r="AE678" i="5"/>
  <c r="AE679" i="5"/>
  <c r="AE680" i="5"/>
  <c r="AE681" i="5"/>
  <c r="AE682" i="5"/>
  <c r="AE683" i="5"/>
  <c r="AE684" i="5"/>
  <c r="AE685" i="5"/>
  <c r="AE686" i="5"/>
  <c r="AE687" i="5"/>
  <c r="AE688" i="5"/>
  <c r="AE689" i="5"/>
  <c r="AE690" i="5"/>
  <c r="AE691" i="5"/>
  <c r="AE692" i="5"/>
  <c r="AE693" i="5"/>
  <c r="AE694" i="5"/>
  <c r="AE695" i="5"/>
  <c r="AE696" i="5"/>
  <c r="AE697" i="5"/>
  <c r="AE698" i="5"/>
  <c r="AE699" i="5"/>
  <c r="AE700" i="5"/>
  <c r="AE701" i="5"/>
  <c r="AE702" i="5"/>
  <c r="AE703" i="5"/>
  <c r="AE704" i="5"/>
  <c r="AE705" i="5"/>
  <c r="AE706" i="5"/>
  <c r="AE707" i="5"/>
  <c r="AE708" i="5"/>
  <c r="AE709" i="5"/>
  <c r="AE710" i="5"/>
  <c r="AE711" i="5"/>
  <c r="AE712" i="5"/>
  <c r="AE713" i="5"/>
  <c r="AE714" i="5"/>
  <c r="AE715" i="5"/>
  <c r="AE716" i="5"/>
  <c r="AE717" i="5"/>
  <c r="AE718" i="5"/>
  <c r="AE719" i="5"/>
  <c r="AE720" i="5"/>
  <c r="AE721" i="5"/>
  <c r="AE722" i="5"/>
  <c r="AE723" i="5"/>
  <c r="AE724" i="5"/>
  <c r="AE725" i="5"/>
  <c r="AE726" i="5"/>
  <c r="AE727" i="5"/>
  <c r="AE728" i="5"/>
  <c r="AE729" i="5"/>
  <c r="AE730" i="5"/>
  <c r="AE731" i="5"/>
  <c r="AE732" i="5"/>
  <c r="AE733" i="5"/>
  <c r="AE734" i="5"/>
  <c r="AE735" i="5"/>
  <c r="AE736" i="5"/>
  <c r="AE737" i="5"/>
  <c r="AE738" i="5"/>
  <c r="AE739" i="5"/>
  <c r="AE740" i="5"/>
  <c r="AE741" i="5"/>
  <c r="AE742" i="5"/>
  <c r="AE743" i="5"/>
  <c r="AE744" i="5"/>
  <c r="AE745" i="5"/>
  <c r="AE746" i="5"/>
  <c r="AE747" i="5"/>
  <c r="AE748" i="5"/>
  <c r="AE749" i="5"/>
  <c r="AE750" i="5"/>
  <c r="AE751" i="5"/>
  <c r="AE752" i="5"/>
  <c r="AE753" i="5"/>
  <c r="AE754" i="5"/>
  <c r="AE755" i="5"/>
  <c r="AE756" i="5"/>
  <c r="AE757" i="5"/>
  <c r="AE758" i="5"/>
  <c r="AE759" i="5"/>
  <c r="AE760" i="5"/>
  <c r="AE761" i="5"/>
  <c r="AE762" i="5"/>
  <c r="AE763" i="5"/>
  <c r="AE764" i="5"/>
  <c r="AE765" i="5"/>
  <c r="AE766" i="5"/>
  <c r="AE767" i="5"/>
  <c r="AE768" i="5"/>
  <c r="AE769" i="5"/>
  <c r="AE770" i="5"/>
  <c r="AE771" i="5"/>
  <c r="AE772" i="5"/>
  <c r="AE773" i="5"/>
  <c r="AE774" i="5"/>
  <c r="AE775" i="5"/>
  <c r="AE776" i="5"/>
  <c r="AE777" i="5"/>
  <c r="AE778" i="5"/>
  <c r="AE779" i="5"/>
  <c r="AE780" i="5"/>
  <c r="AE781" i="5"/>
  <c r="AE782" i="5"/>
  <c r="AE783" i="5"/>
  <c r="AE784" i="5"/>
  <c r="AE785" i="5"/>
  <c r="AE786" i="5"/>
  <c r="AE787" i="5"/>
  <c r="AE788" i="5"/>
  <c r="AE789" i="5"/>
  <c r="AE790" i="5"/>
  <c r="AE791" i="5"/>
  <c r="AE792" i="5"/>
  <c r="AE793" i="5"/>
  <c r="AE794" i="5"/>
  <c r="AE795" i="5"/>
  <c r="AE796" i="5"/>
  <c r="AE797" i="5"/>
  <c r="AE798" i="5"/>
  <c r="AE799" i="5"/>
  <c r="AE800" i="5"/>
  <c r="AE801" i="5"/>
  <c r="AE802" i="5"/>
  <c r="AE803" i="5"/>
  <c r="AE804" i="5"/>
  <c r="AE805" i="5"/>
  <c r="AE806" i="5"/>
  <c r="AE807" i="5"/>
  <c r="AE808" i="5"/>
  <c r="AE809" i="5"/>
  <c r="AE810" i="5"/>
  <c r="AE811" i="5"/>
  <c r="AE812" i="5"/>
  <c r="AE813" i="5"/>
  <c r="AE814" i="5"/>
  <c r="AE815" i="5"/>
  <c r="AE816" i="5"/>
  <c r="AE817" i="5"/>
  <c r="AE818" i="5"/>
  <c r="AE819" i="5"/>
  <c r="AE820" i="5"/>
  <c r="AE821" i="5"/>
  <c r="AE822" i="5"/>
  <c r="AE823" i="5"/>
  <c r="AE824" i="5"/>
  <c r="AE825" i="5"/>
  <c r="AE826" i="5"/>
  <c r="AE827" i="5"/>
  <c r="AE828" i="5"/>
  <c r="AE829" i="5"/>
  <c r="AE830" i="5"/>
  <c r="AE831" i="5"/>
  <c r="AE832" i="5"/>
  <c r="AE833" i="5"/>
  <c r="AE834" i="5"/>
  <c r="AE835" i="5"/>
  <c r="AE836" i="5"/>
  <c r="AE837" i="5"/>
  <c r="AE838" i="5"/>
  <c r="AE839" i="5"/>
  <c r="AE840" i="5"/>
  <c r="AE841" i="5"/>
  <c r="AE842" i="5"/>
  <c r="AE843" i="5"/>
  <c r="AE844" i="5"/>
  <c r="AE845" i="5"/>
  <c r="AE846" i="5"/>
  <c r="AE847" i="5"/>
  <c r="AE848" i="5"/>
  <c r="AE849" i="5"/>
  <c r="AE850" i="5"/>
  <c r="AE851" i="5"/>
  <c r="AE852" i="5"/>
  <c r="AE853" i="5"/>
  <c r="AE854" i="5"/>
  <c r="AE855" i="5"/>
  <c r="AE856" i="5"/>
  <c r="AE857" i="5"/>
  <c r="AE858" i="5"/>
  <c r="AE859" i="5"/>
  <c r="AE860" i="5"/>
  <c r="AE861" i="5"/>
  <c r="AE862" i="5"/>
  <c r="AE863" i="5"/>
  <c r="AE864" i="5"/>
  <c r="AE865" i="5"/>
  <c r="AE866" i="5"/>
  <c r="AE867" i="5"/>
  <c r="AE868" i="5"/>
  <c r="AE869" i="5"/>
  <c r="AE870" i="5"/>
  <c r="AE871" i="5"/>
  <c r="AE872" i="5"/>
  <c r="AE873" i="5"/>
  <c r="AE874" i="5"/>
  <c r="AE875" i="5"/>
  <c r="AE876" i="5"/>
  <c r="AE877" i="5"/>
  <c r="AE878" i="5"/>
  <c r="AE879" i="5"/>
  <c r="AE880" i="5"/>
  <c r="AE881" i="5"/>
  <c r="AE882" i="5"/>
  <c r="AE883" i="5"/>
  <c r="AE884" i="5"/>
  <c r="AE885" i="5"/>
  <c r="AE886" i="5"/>
  <c r="AE887" i="5"/>
  <c r="AE888" i="5"/>
  <c r="AE889" i="5"/>
  <c r="AE890" i="5"/>
  <c r="AE891" i="5"/>
  <c r="AE892" i="5"/>
  <c r="AE893" i="5"/>
  <c r="AE894" i="5"/>
  <c r="AE895" i="5"/>
  <c r="AE896" i="5"/>
  <c r="AE897" i="5"/>
  <c r="AE898" i="5"/>
  <c r="AE899" i="5"/>
  <c r="AE900" i="5"/>
  <c r="AE901" i="5"/>
  <c r="AE902" i="5"/>
  <c r="AE903" i="5"/>
  <c r="AE904" i="5"/>
  <c r="AE905" i="5"/>
  <c r="AE906" i="5"/>
  <c r="AE907" i="5"/>
  <c r="AE908" i="5"/>
  <c r="AE909" i="5"/>
  <c r="AE910" i="5"/>
  <c r="AE911" i="5"/>
  <c r="AE912" i="5"/>
  <c r="AE913" i="5"/>
  <c r="AE914" i="5"/>
  <c r="AE915" i="5"/>
  <c r="AE916" i="5"/>
  <c r="AE917" i="5"/>
  <c r="AE918" i="5"/>
  <c r="AE919" i="5"/>
  <c r="AE920" i="5"/>
  <c r="AE921" i="5"/>
  <c r="AE922" i="5"/>
  <c r="AE923" i="5"/>
  <c r="AE924" i="5"/>
  <c r="AE925" i="5"/>
  <c r="AE926" i="5"/>
  <c r="AE927" i="5"/>
  <c r="AE928" i="5"/>
  <c r="AE929" i="5"/>
  <c r="AE930" i="5"/>
  <c r="AE931" i="5"/>
  <c r="AE932" i="5"/>
  <c r="AE933" i="5"/>
  <c r="AE934" i="5"/>
  <c r="AE935" i="5"/>
  <c r="AE936" i="5"/>
  <c r="AE937" i="5"/>
  <c r="AE938" i="5"/>
  <c r="AE939" i="5"/>
  <c r="AE940" i="5"/>
  <c r="AE941" i="5"/>
  <c r="AE942" i="5"/>
  <c r="AE943" i="5"/>
  <c r="AE944" i="5"/>
  <c r="AE945" i="5"/>
  <c r="AE946" i="5"/>
  <c r="AE947" i="5"/>
  <c r="AE948" i="5"/>
  <c r="AE949" i="5"/>
  <c r="AE950" i="5"/>
  <c r="AE951" i="5"/>
  <c r="AE952" i="5"/>
  <c r="AE953" i="5"/>
  <c r="AE954" i="5"/>
  <c r="AE955" i="5"/>
  <c r="AE956" i="5"/>
  <c r="AE957" i="5"/>
  <c r="AE958" i="5"/>
  <c r="AE959" i="5"/>
  <c r="AE960" i="5"/>
  <c r="AE961" i="5"/>
  <c r="AE962" i="5"/>
  <c r="AE963" i="5"/>
  <c r="AE964" i="5"/>
  <c r="AE965" i="5"/>
  <c r="AE966" i="5"/>
  <c r="AE967" i="5"/>
  <c r="AE968" i="5"/>
  <c r="AE969" i="5"/>
  <c r="AE970" i="5"/>
  <c r="AE971" i="5"/>
  <c r="AE972" i="5"/>
  <c r="AE973" i="5"/>
  <c r="AE974" i="5"/>
  <c r="AE975" i="5"/>
  <c r="AE976" i="5"/>
  <c r="AE977" i="5"/>
  <c r="AE978" i="5"/>
  <c r="AE979" i="5"/>
  <c r="AE980" i="5"/>
  <c r="AE981" i="5"/>
  <c r="AE982" i="5"/>
  <c r="AE983" i="5"/>
  <c r="AE984" i="5"/>
  <c r="AE985" i="5"/>
  <c r="AE986" i="5"/>
  <c r="AE987" i="5"/>
  <c r="AE988" i="5"/>
  <c r="AE989" i="5"/>
  <c r="AE990" i="5"/>
  <c r="AE991" i="5"/>
  <c r="AE992" i="5"/>
  <c r="AE993" i="5"/>
  <c r="AE994" i="5"/>
  <c r="AE995" i="5"/>
  <c r="AE996" i="5"/>
  <c r="AE997" i="5"/>
  <c r="AE998" i="5"/>
  <c r="AE999" i="5"/>
  <c r="AE1000" i="5"/>
  <c r="AE1001" i="5"/>
  <c r="AE1002" i="5"/>
  <c r="AE1003" i="5"/>
  <c r="AE1004" i="5"/>
  <c r="AE1005" i="5"/>
  <c r="AE1006" i="5"/>
  <c r="AE1007" i="5"/>
  <c r="AE1008" i="5"/>
  <c r="AE1009" i="5"/>
  <c r="AE1010" i="5"/>
  <c r="AE1011" i="5"/>
  <c r="AE1012" i="5"/>
  <c r="AE1013" i="5"/>
  <c r="AE1014" i="5"/>
  <c r="AE1015" i="5"/>
  <c r="AE1016" i="5"/>
  <c r="AE1017" i="5"/>
  <c r="AE1018" i="5"/>
  <c r="AE1019" i="5"/>
  <c r="AE1020" i="5"/>
  <c r="AE1021" i="5"/>
  <c r="AE1022" i="5"/>
  <c r="AE1023" i="5"/>
  <c r="AE1024" i="5"/>
  <c r="AE1025" i="5"/>
  <c r="AE1026" i="5"/>
  <c r="AE1027" i="5"/>
  <c r="AE1028" i="5"/>
  <c r="AE1029" i="5"/>
  <c r="AE1030" i="5"/>
  <c r="AE1031" i="5"/>
  <c r="AE1032" i="5"/>
  <c r="AE1033" i="5"/>
  <c r="AE1034" i="5"/>
  <c r="AE1035" i="5"/>
  <c r="AE1036" i="5"/>
  <c r="AE1037" i="5"/>
  <c r="AE1038" i="5"/>
  <c r="AE1039" i="5"/>
  <c r="AE1040" i="5"/>
  <c r="AE1041" i="5"/>
  <c r="AE1042" i="5"/>
  <c r="AE1043" i="5"/>
  <c r="AE1044" i="5"/>
  <c r="AE1045" i="5"/>
  <c r="AE1046" i="5"/>
  <c r="AE1047" i="5"/>
  <c r="AE1048" i="5"/>
  <c r="AE1049" i="5"/>
  <c r="AE1050" i="5"/>
  <c r="AE1051" i="5"/>
  <c r="AE1052" i="5"/>
  <c r="AE1053" i="5"/>
  <c r="AE1054" i="5"/>
  <c r="AE1055" i="5"/>
  <c r="AE1056" i="5"/>
  <c r="AE1057" i="5"/>
  <c r="AE1058" i="5"/>
  <c r="AE1059" i="5"/>
  <c r="AE1060" i="5"/>
  <c r="AE1061" i="5"/>
  <c r="AE1062" i="5"/>
  <c r="AE1063" i="5"/>
  <c r="AE1064" i="5"/>
  <c r="AE1065" i="5"/>
  <c r="AE1066" i="5"/>
  <c r="AE1067" i="5"/>
  <c r="AE1068" i="5"/>
  <c r="AE1069" i="5"/>
  <c r="AE1070" i="5"/>
  <c r="AE1071" i="5"/>
  <c r="AE1072" i="5"/>
  <c r="AE1073" i="5"/>
  <c r="AE1074" i="5"/>
  <c r="AE1075" i="5"/>
  <c r="AE1076" i="5"/>
  <c r="AE1077" i="5"/>
  <c r="AE1078" i="5"/>
  <c r="AE1079" i="5"/>
  <c r="AE1080" i="5"/>
  <c r="AE1081" i="5"/>
  <c r="AE1082" i="5"/>
  <c r="AE1083" i="5"/>
  <c r="AE1084" i="5"/>
  <c r="AE1085" i="5"/>
  <c r="AE1086" i="5"/>
  <c r="AE1087" i="5"/>
  <c r="AE1088" i="5"/>
  <c r="AE1089" i="5"/>
  <c r="AE1090" i="5"/>
  <c r="AE1091" i="5"/>
  <c r="AE1092" i="5"/>
  <c r="AE1093" i="5"/>
  <c r="AE1094" i="5"/>
  <c r="AE1095" i="5"/>
  <c r="AE1096" i="5"/>
  <c r="AE1097" i="5"/>
  <c r="AE1098" i="5"/>
  <c r="AE1099" i="5"/>
  <c r="AE1100" i="5"/>
  <c r="AE1101" i="5"/>
  <c r="AE1102" i="5"/>
  <c r="AE1103" i="5"/>
  <c r="AE1104" i="5"/>
  <c r="AE1105" i="5"/>
  <c r="AE1106" i="5"/>
  <c r="AE1107" i="5"/>
  <c r="AE1108" i="5"/>
  <c r="AE1109" i="5"/>
  <c r="AE1110" i="5"/>
  <c r="AE1111" i="5"/>
  <c r="AE1112" i="5"/>
  <c r="AE1113" i="5"/>
  <c r="AE1114" i="5"/>
  <c r="AE1115" i="5"/>
  <c r="AE1116" i="5"/>
  <c r="AE1117" i="5"/>
  <c r="AE1118" i="5"/>
  <c r="AE1119" i="5"/>
  <c r="AE1120" i="5"/>
  <c r="AE1121" i="5"/>
  <c r="AE1122" i="5"/>
  <c r="AE1123" i="5"/>
  <c r="AE1124" i="5"/>
  <c r="AE1125" i="5"/>
  <c r="AE1126" i="5"/>
  <c r="AE1127" i="5"/>
  <c r="AE1128" i="5"/>
  <c r="AE1129" i="5"/>
  <c r="AE1130" i="5"/>
  <c r="AE1131" i="5"/>
  <c r="AE1132" i="5"/>
  <c r="AE1133" i="5"/>
  <c r="AE1134" i="5"/>
  <c r="AE1135" i="5"/>
  <c r="AE1136" i="5"/>
  <c r="AE1137" i="5"/>
  <c r="AE1138" i="5"/>
  <c r="AE1139" i="5"/>
  <c r="AE1140" i="5"/>
  <c r="AE1141" i="5"/>
  <c r="AE1142" i="5"/>
  <c r="AE1143" i="5"/>
  <c r="AE1144" i="5"/>
  <c r="AE1145" i="5"/>
  <c r="AE1146" i="5"/>
  <c r="AE1147" i="5"/>
  <c r="AE1148" i="5"/>
  <c r="AE1149" i="5"/>
  <c r="AE1150" i="5"/>
  <c r="AE1151" i="5"/>
  <c r="AE1152" i="5"/>
  <c r="AE1153" i="5"/>
  <c r="AE1154" i="5"/>
  <c r="AE1155" i="5"/>
  <c r="AE1156" i="5"/>
  <c r="AE1157" i="5"/>
  <c r="AE1158" i="5"/>
  <c r="AE1159" i="5"/>
  <c r="AE1160" i="5"/>
  <c r="AE1161" i="5"/>
  <c r="AE1162" i="5"/>
  <c r="AE1163" i="5"/>
  <c r="AE1164" i="5"/>
  <c r="AE1165" i="5"/>
  <c r="AE1166" i="5"/>
  <c r="AE1167" i="5"/>
  <c r="AE1168" i="5"/>
  <c r="AE1169" i="5"/>
  <c r="AE1170" i="5"/>
  <c r="AE1171" i="5"/>
  <c r="AE1172" i="5"/>
  <c r="AE1173" i="5"/>
  <c r="AE1174" i="5"/>
  <c r="AE1175" i="5"/>
  <c r="AE1176" i="5"/>
  <c r="AE1177" i="5"/>
  <c r="AE1178" i="5"/>
  <c r="AE1179" i="5"/>
  <c r="AE1180" i="5"/>
  <c r="AE1181" i="5"/>
  <c r="AE1182" i="5"/>
  <c r="AE1183" i="5"/>
  <c r="AE1184" i="5"/>
  <c r="AE1185" i="5"/>
  <c r="AE1186" i="5"/>
  <c r="AE1187" i="5"/>
  <c r="AE1188" i="5"/>
  <c r="AE1189" i="5"/>
  <c r="AE1190" i="5"/>
  <c r="AE1191" i="5"/>
  <c r="AE1192" i="5"/>
  <c r="AE1193" i="5"/>
  <c r="AE1194" i="5"/>
  <c r="AE1195" i="5"/>
  <c r="AE1196" i="5"/>
  <c r="AE1197" i="5"/>
  <c r="AE1198" i="5"/>
  <c r="AE1199" i="5"/>
  <c r="AE1200" i="5"/>
  <c r="AE1201" i="5"/>
  <c r="AE1202" i="5"/>
  <c r="AE1203" i="5"/>
  <c r="AE1204" i="5"/>
  <c r="AE1205" i="5"/>
  <c r="AE1206" i="5"/>
  <c r="AE1207" i="5"/>
  <c r="AE1208" i="5"/>
  <c r="AE1209" i="5"/>
  <c r="AE1210" i="5"/>
  <c r="AE1211" i="5"/>
  <c r="AE1212" i="5"/>
  <c r="AE1213" i="5"/>
  <c r="AE1214" i="5"/>
  <c r="AE1215" i="5"/>
  <c r="AE1216" i="5"/>
  <c r="AE1217" i="5"/>
  <c r="AE1218" i="5"/>
  <c r="AE1219" i="5"/>
  <c r="AE1220" i="5"/>
  <c r="AE1221" i="5"/>
  <c r="AE1222" i="5"/>
  <c r="AE1223" i="5"/>
  <c r="AE1224" i="5"/>
  <c r="AE1225" i="5"/>
  <c r="AE1226" i="5"/>
  <c r="AE1227" i="5"/>
  <c r="AE1228" i="5"/>
  <c r="AE1229" i="5"/>
  <c r="AE1230" i="5"/>
  <c r="AE1231" i="5"/>
  <c r="AE1232" i="5"/>
  <c r="AE1233" i="5"/>
  <c r="AE1234" i="5"/>
  <c r="AE1235" i="5"/>
  <c r="AE1236" i="5"/>
  <c r="AE1237" i="5"/>
  <c r="AE1238" i="5"/>
  <c r="AE1239" i="5"/>
  <c r="AE1240" i="5"/>
  <c r="AE1241" i="5"/>
  <c r="AE1242" i="5"/>
  <c r="AE1243" i="5"/>
  <c r="AE1244" i="5"/>
  <c r="AE1245" i="5"/>
  <c r="AE1246" i="5"/>
  <c r="AE1247" i="5"/>
  <c r="AE1248" i="5"/>
  <c r="AE1249" i="5"/>
  <c r="AE1250" i="5"/>
  <c r="AE1251" i="5"/>
  <c r="AE1252" i="5"/>
  <c r="AE1253" i="5"/>
  <c r="AE1254" i="5"/>
  <c r="AE1255" i="5"/>
  <c r="AE1256" i="5"/>
  <c r="AE1257" i="5"/>
  <c r="AE1258" i="5"/>
  <c r="AE1259" i="5"/>
  <c r="AE1260" i="5"/>
  <c r="AE1261" i="5"/>
  <c r="AE1262" i="5"/>
  <c r="AE1263" i="5"/>
  <c r="AE1264" i="5"/>
  <c r="AE1265" i="5"/>
  <c r="AE1266" i="5"/>
  <c r="AE1267" i="5"/>
  <c r="AE1268" i="5"/>
  <c r="AE1269" i="5"/>
  <c r="AE1270" i="5"/>
  <c r="AE1271" i="5"/>
  <c r="AE1272" i="5"/>
  <c r="AE1273" i="5"/>
  <c r="AE1274" i="5"/>
  <c r="AE1275" i="5"/>
</calcChain>
</file>

<file path=xl/sharedStrings.xml><?xml version="1.0" encoding="utf-8"?>
<sst xmlns="http://schemas.openxmlformats.org/spreadsheetml/2006/main" count="152" uniqueCount="116">
  <si>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</si>
  <si>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</si>
  <si>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</si>
  <si>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</si>
  <si>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</si>
  <si>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</si>
  <si>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</si>
  <si>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</si>
  <si>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</si>
  <si>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</si>
  <si>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</si>
  <si>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</si>
  <si>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</si>
  <si>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</si>
  <si>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</si>
  <si>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</si>
  <si>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</si>
  <si>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</si>
  <si>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</si>
  <si>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</si>
  <si>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</si>
  <si>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</si>
  <si>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</si>
  <si>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</si>
  <si>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</si>
  <si>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</si>
  <si>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</si>
  <si>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</si>
  <si>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</si>
  <si>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</si>
  <si>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</si>
  <si>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</si>
  <si>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</si>
  <si>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</si>
  <si>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</si>
  <si>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</si>
  <si>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</si>
  <si>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</si>
  <si>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</si>
  <si>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</si>
  <si>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</si>
  <si>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</si>
  <si>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</si>
  <si>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</si>
  <si>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</si>
  <si>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</si>
  <si>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</si>
  <si>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</si>
  <si>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</si>
  <si>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</si>
  <si>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</si>
  <si>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</si>
  <si>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</si>
  <si>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</si>
  <si>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</si>
  <si>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</si>
  <si>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</si>
  <si>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</si>
  <si>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</si>
  <si>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</si>
  <si>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</si>
  <si>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</si>
  <si>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</si>
  <si>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</si>
  <si>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</si>
  <si>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</si>
  <si>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</si>
  <si>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</si>
  <si>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Horno de austenizado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</si>
  <si>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</si>
  <si>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</si>
  <si>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</si>
  <si>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</si>
  <si>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</si>
  <si>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</si>
  <si>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</si>
  <si>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</si>
  <si>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</si>
  <si>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</si>
  <si>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</si>
  <si>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</si>
  <si>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</si>
  <si>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</si>
  <si>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rango lote</t>
  </si>
  <si>
    <t>Estado BM</t>
  </si>
  <si>
    <t>Estado DO</t>
  </si>
  <si>
    <t>P1</t>
  </si>
  <si>
    <t xml:space="preserve">SUR </t>
  </si>
  <si>
    <t>Centro</t>
  </si>
  <si>
    <t xml:space="preserve">NORTE </t>
  </si>
  <si>
    <t>Cuerpo</t>
  </si>
  <si>
    <t>Cuerpo Centro</t>
  </si>
  <si>
    <t>Estado 99</t>
  </si>
  <si>
    <t>Estado 35</t>
  </si>
  <si>
    <t>Tubos x Turno</t>
  </si>
  <si>
    <t>Ciclo</t>
  </si>
  <si>
    <t>Res.</t>
  </si>
  <si>
    <t>T/Hr</t>
  </si>
  <si>
    <t xml:space="preserve"> H. Temple</t>
  </si>
  <si>
    <t xml:space="preserve"> H. Revenido</t>
  </si>
  <si>
    <t>TAMSA</t>
  </si>
  <si>
    <t>Estado 27</t>
  </si>
  <si>
    <r>
      <t xml:space="preserve">TPC 141.3 x 19  N80Q </t>
    </r>
    <r>
      <rPr>
        <b/>
        <sz val="12"/>
        <color indexed="8"/>
        <rFont val="Frutiger 45 Light"/>
        <family val="2"/>
      </rPr>
      <t>( OD 4 1/2" )</t>
    </r>
  </si>
  <si>
    <t>1 al 3</t>
  </si>
  <si>
    <t>1 al 9</t>
  </si>
  <si>
    <t>TPC 141.3 x 19   N80Q ( OD 4 1/2" )</t>
  </si>
  <si>
    <t>OD (mm)</t>
  </si>
  <si>
    <t>WT (mm)</t>
  </si>
  <si>
    <t>Proveedor</t>
  </si>
  <si>
    <t>Clave</t>
  </si>
  <si>
    <t>No. Tubo</t>
  </si>
  <si>
    <t>TPC</t>
  </si>
  <si>
    <t>N80Q</t>
  </si>
  <si>
    <t xml:space="preserve">   </t>
  </si>
  <si>
    <t>Resultados de Calidad</t>
  </si>
  <si>
    <t>PROVEEDOR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</si>
</sst>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8" formatCode="_-[$€-2]* #,##0.00_-;\-[$€-2]* #,##0.00_-;_-[$€-2]* &quot;-&quot;??_-"/>
  </numFmts>
  <fonts count="79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16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name val="Frutiger 45 Light"/>
      <family val="2"/>
    </font>
    <font>
      <sz val="10"/>
      <color indexed="8"/>
      <name val="Frutiger 45 Light"/>
      <family val="2"/>
    </font>
    <font>
      <b/>
      <sz val="10"/>
      <color theme="0"/>
      <name val="Frutiger 45 Light"/>
      <family val="2"/>
    </font>
    <font>
      <b/>
      <sz val="26"/>
      <color indexed="8"/>
      <name val="Frutiger 45 Light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indexed="63"/>
      <name val="Frutiger 45 Light"/>
      <family val="2"/>
    </font>
    <font>
      <b/>
      <sz val="8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6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</borders>
  <cellStyleXfs count="6">
    <xf numFmtId="0" fontId="0" fillId="0" borderId="0"/>
    <xf numFmtId="168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8" fillId="0" borderId="0"/>
    <xf numFmtId="0" fontId="1" fillId="0" borderId="0"/>
    <xf numFmtId="0" fontId="2" fillId="0" borderId="0"/>
  </cellStyleXfs>
  <cellXfs count="228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15" fillId="0" borderId="0" xfId="0" applyFont="1"/>
    <xf numFmtId="166" fontId="15" fillId="0" borderId="0" xfId="2" applyNumberFormat="1" applyFont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40" fillId="0" borderId="0" xfId="0" applyFont="1" applyBorder="1" applyAlignment="1">
      <alignment horizontal="center" vertical="top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3" fillId="0" borderId="3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165" fontId="41" fillId="0" borderId="3" xfId="0" applyNumberFormat="1" applyFont="1" applyFill="1" applyBorder="1" applyAlignment="1">
      <alignment horizontal="center"/>
    </xf>
    <xf numFmtId="0" fontId="41" fillId="0" borderId="3" xfId="0" applyFont="1" applyFill="1" applyBorder="1" applyAlignment="1">
      <alignment horizontal="center"/>
    </xf>
    <xf numFmtId="165" fontId="41" fillId="0" borderId="3" xfId="2" applyNumberFormat="1" applyFont="1" applyFill="1" applyBorder="1" applyAlignment="1">
      <alignment horizontal="center"/>
    </xf>
    <xf numFmtId="15" fontId="23" fillId="2" borderId="6" xfId="0" applyNumberFormat="1" applyFont="1" applyFill="1" applyBorder="1" applyAlignment="1">
      <alignment horizontal="center"/>
    </xf>
    <xf numFmtId="15" fontId="23" fillId="2" borderId="3" xfId="0" applyNumberFormat="1" applyFont="1" applyFill="1" applyBorder="1" applyAlignment="1">
      <alignment horizontal="center"/>
    </xf>
    <xf numFmtId="0" fontId="49" fillId="0" borderId="0" xfId="0" applyFont="1" applyAlignment="1">
      <alignment horizontal="center"/>
    </xf>
    <xf numFmtId="0" fontId="59" fillId="0" borderId="0" xfId="0" applyFont="1" applyAlignment="1">
      <alignment horizontal="center"/>
    </xf>
    <xf numFmtId="0" fontId="2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2" fillId="6" borderId="0" xfId="0" applyFont="1" applyFill="1" applyBorder="1" applyAlignment="1" applyProtection="1">
      <alignment vertical="center"/>
      <protection hidden="1"/>
    </xf>
    <xf numFmtId="0" fontId="2" fillId="6" borderId="0" xfId="0" applyFont="1" applyFill="1" applyBorder="1" applyAlignment="1">
      <alignment vertical="center"/>
    </xf>
    <xf numFmtId="0" fontId="3" fillId="6" borderId="0" xfId="0" applyFont="1" applyFill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28" fillId="6" borderId="0" xfId="0" applyFont="1" applyFill="1" applyBorder="1" applyAlignment="1" applyProtection="1">
      <alignment vertical="center"/>
      <protection hidden="1"/>
    </xf>
    <xf numFmtId="0" fontId="45" fillId="6" borderId="0" xfId="0" applyFont="1" applyFill="1" applyBorder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0" fontId="46" fillId="6" borderId="0" xfId="0" applyFont="1" applyFill="1" applyBorder="1" applyAlignment="1" applyProtection="1">
      <alignment vertical="center"/>
      <protection hidden="1"/>
    </xf>
    <xf numFmtId="21" fontId="33" fillId="6" borderId="0" xfId="0" applyNumberFormat="1" applyFont="1" applyFill="1" applyBorder="1" applyAlignment="1" applyProtection="1">
      <alignment horizontal="center" vertical="center"/>
      <protection hidden="1"/>
    </xf>
    <xf numFmtId="21" fontId="31" fillId="6" borderId="0" xfId="0" applyNumberFormat="1" applyFont="1" applyFill="1" applyBorder="1" applyAlignment="1" applyProtection="1">
      <alignment horizontal="center" vertical="center"/>
      <protection hidden="1"/>
    </xf>
    <xf numFmtId="21" fontId="45" fillId="6" borderId="0" xfId="0" applyNumberFormat="1" applyFont="1" applyFill="1" applyBorder="1" applyAlignment="1" applyProtection="1">
      <alignment horizontal="center" vertical="center"/>
      <protection hidden="1"/>
    </xf>
    <xf numFmtId="0" fontId="19" fillId="6" borderId="0" xfId="0" applyFont="1" applyFill="1" applyBorder="1" applyAlignment="1" applyProtection="1">
      <alignment horizontal="center" vertical="center"/>
      <protection hidden="1"/>
    </xf>
    <xf numFmtId="0" fontId="20" fillId="6" borderId="0" xfId="0" applyFont="1" applyFill="1" applyBorder="1" applyAlignment="1" applyProtection="1">
      <alignment horizontal="center" vertical="center"/>
      <protection hidden="1"/>
    </xf>
    <xf numFmtId="0" fontId="37" fillId="6" borderId="0" xfId="0" applyFont="1" applyFill="1" applyBorder="1" applyAlignment="1" applyProtection="1">
      <alignment horizontal="center" vertical="center"/>
      <protection hidden="1"/>
    </xf>
    <xf numFmtId="0" fontId="12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0" xfId="0" applyFill="1"/>
    <xf numFmtId="0" fontId="2" fillId="5" borderId="0" xfId="0" applyFont="1" applyFill="1" applyBorder="1" applyAlignment="1" applyProtection="1">
      <alignment vertical="center"/>
      <protection hidden="1"/>
    </xf>
    <xf numFmtId="0" fontId="0" fillId="5" borderId="0" xfId="0" applyFill="1" applyBorder="1" applyAlignment="1" applyProtection="1">
      <alignment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21" fillId="5" borderId="0" xfId="0" applyFont="1" applyFill="1" applyBorder="1" applyAlignment="1" applyProtection="1">
      <alignment horizontal="left" vertical="center"/>
      <protection hidden="1"/>
    </xf>
    <xf numFmtId="0" fontId="24" fillId="5" borderId="0" xfId="0" applyFont="1" applyFill="1" applyBorder="1" applyAlignment="1" applyProtection="1">
      <alignment horizontal="left" vertical="center"/>
      <protection hidden="1"/>
    </xf>
    <xf numFmtId="15" fontId="5" fillId="5" borderId="0" xfId="0" applyNumberFormat="1" applyFont="1" applyFill="1" applyBorder="1" applyAlignment="1" applyProtection="1">
      <alignment horizontal="center" vertical="center"/>
      <protection hidden="1"/>
    </xf>
    <xf numFmtId="0" fontId="6" fillId="5" borderId="0" xfId="0" applyFont="1" applyFill="1" applyBorder="1" applyAlignment="1" applyProtection="1">
      <alignment horizontal="center" vertical="center"/>
      <protection hidden="1"/>
    </xf>
    <xf numFmtId="21" fontId="7" fillId="5" borderId="0" xfId="0" applyNumberFormat="1" applyFont="1" applyFill="1" applyBorder="1" applyAlignment="1" applyProtection="1">
      <alignment horizontal="center" vertical="center"/>
      <protection hidden="1"/>
    </xf>
    <xf numFmtId="0" fontId="8" fillId="5" borderId="0" xfId="0" applyFont="1" applyFill="1" applyBorder="1" applyAlignment="1" applyProtection="1">
      <alignment horizontal="center" vertical="center"/>
      <protection hidden="1"/>
    </xf>
    <xf numFmtId="0" fontId="25" fillId="5" borderId="0" xfId="0" applyFont="1" applyFill="1" applyBorder="1" applyAlignment="1" applyProtection="1">
      <alignment horizontal="right" vertical="center"/>
      <protection hidden="1"/>
    </xf>
    <xf numFmtId="0" fontId="25" fillId="5" borderId="0" xfId="0" applyFont="1" applyFill="1" applyBorder="1" applyAlignment="1" applyProtection="1">
      <alignment horizontal="center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21" fontId="26" fillId="5" borderId="0" xfId="0" applyNumberFormat="1" applyFont="1" applyFill="1" applyBorder="1" applyAlignment="1" applyProtection="1">
      <alignment horizontal="center" vertical="center"/>
      <protection hidden="1"/>
    </xf>
    <xf numFmtId="0" fontId="9" fillId="5" borderId="0" xfId="0" applyFont="1" applyFill="1" applyBorder="1" applyAlignment="1" applyProtection="1">
      <alignment horizontal="center" vertical="center"/>
      <protection hidden="1"/>
    </xf>
    <xf numFmtId="0" fontId="27" fillId="5" borderId="0" xfId="0" applyFont="1" applyFill="1" applyBorder="1" applyAlignment="1" applyProtection="1">
      <alignment horizontal="center" vertical="center"/>
      <protection hidden="1"/>
    </xf>
    <xf numFmtId="0" fontId="10" fillId="5" borderId="0" xfId="0" applyFont="1" applyFill="1" applyBorder="1" applyAlignment="1" applyProtection="1">
      <alignment vertical="center"/>
      <protection hidden="1"/>
    </xf>
    <xf numFmtId="0" fontId="18" fillId="5" borderId="0" xfId="0" applyFont="1" applyFill="1" applyBorder="1" applyAlignment="1" applyProtection="1">
      <alignment vertical="center"/>
      <protection hidden="1"/>
    </xf>
    <xf numFmtId="0" fontId="44" fillId="5" borderId="0" xfId="0" applyFont="1" applyFill="1" applyBorder="1" applyAlignment="1" applyProtection="1">
      <alignment vertical="center"/>
      <protection hidden="1"/>
    </xf>
    <xf numFmtId="0" fontId="28" fillId="5" borderId="0" xfId="0" applyFont="1" applyFill="1" applyBorder="1" applyAlignment="1" applyProtection="1">
      <alignment vertical="center"/>
      <protection hidden="1"/>
    </xf>
    <xf numFmtId="0" fontId="29" fillId="5" borderId="0" xfId="0" applyFont="1" applyFill="1" applyBorder="1" applyAlignment="1" applyProtection="1">
      <alignment vertical="center"/>
      <protection hidden="1"/>
    </xf>
    <xf numFmtId="0" fontId="11" fillId="5" borderId="0" xfId="0" applyFont="1" applyFill="1" applyBorder="1" applyAlignment="1" applyProtection="1">
      <alignment vertical="center"/>
      <protection hidden="1"/>
    </xf>
    <xf numFmtId="0" fontId="22" fillId="5" borderId="0" xfId="0" applyFont="1" applyFill="1" applyBorder="1" applyAlignment="1" applyProtection="1">
      <alignment vertical="center"/>
      <protection hidden="1"/>
    </xf>
    <xf numFmtId="0" fontId="30" fillId="5" borderId="0" xfId="0" applyFont="1" applyFill="1" applyBorder="1" applyAlignment="1" applyProtection="1">
      <alignment horizontal="center" vertical="center"/>
      <protection hidden="1"/>
    </xf>
    <xf numFmtId="0" fontId="10" fillId="5" borderId="0" xfId="0" quotePrefix="1" applyFont="1" applyFill="1" applyBorder="1" applyAlignment="1" applyProtection="1">
      <alignment vertical="center"/>
      <protection hidden="1"/>
    </xf>
    <xf numFmtId="0" fontId="14" fillId="5" borderId="0" xfId="0" applyFont="1" applyFill="1" applyBorder="1" applyAlignment="1" applyProtection="1">
      <alignment vertical="center"/>
      <protection hidden="1"/>
    </xf>
    <xf numFmtId="21" fontId="32" fillId="5" borderId="0" xfId="0" applyNumberFormat="1" applyFont="1" applyFill="1" applyBorder="1" applyAlignment="1" applyProtection="1">
      <alignment horizontal="center" vertical="center"/>
      <protection hidden="1"/>
    </xf>
    <xf numFmtId="0" fontId="45" fillId="5" borderId="0" xfId="0" applyFont="1" applyFill="1" applyBorder="1" applyAlignment="1" applyProtection="1">
      <alignment vertical="center"/>
      <protection hidden="1"/>
    </xf>
    <xf numFmtId="0" fontId="33" fillId="5" borderId="0" xfId="0" applyFont="1" applyFill="1" applyBorder="1" applyAlignment="1" applyProtection="1">
      <alignment vertical="center"/>
      <protection hidden="1"/>
    </xf>
    <xf numFmtId="0" fontId="35" fillId="5" borderId="0" xfId="0" applyFont="1" applyFill="1" applyBorder="1" applyAlignment="1" applyProtection="1">
      <alignment vertical="center"/>
      <protection hidden="1"/>
    </xf>
    <xf numFmtId="0" fontId="17" fillId="5" borderId="0" xfId="0" applyFont="1" applyFill="1" applyBorder="1" applyAlignment="1" applyProtection="1">
      <alignment vertical="center"/>
      <protection hidden="1"/>
    </xf>
    <xf numFmtId="0" fontId="34" fillId="5" borderId="0" xfId="0" applyFont="1" applyFill="1" applyBorder="1" applyAlignment="1" applyProtection="1">
      <alignment vertical="center"/>
      <protection hidden="1"/>
    </xf>
    <xf numFmtId="0" fontId="36" fillId="5" borderId="0" xfId="0" applyFont="1" applyFill="1" applyBorder="1" applyAlignment="1" applyProtection="1">
      <alignment vertical="center"/>
      <protection hidden="1"/>
    </xf>
    <xf numFmtId="0" fontId="46" fillId="5" borderId="0" xfId="0" applyFont="1" applyFill="1" applyBorder="1" applyAlignment="1" applyProtection="1">
      <alignment vertical="center"/>
      <protection hidden="1"/>
    </xf>
    <xf numFmtId="21" fontId="33" fillId="5" borderId="0" xfId="0" applyNumberFormat="1" applyFont="1" applyFill="1" applyBorder="1" applyAlignment="1" applyProtection="1">
      <alignment horizontal="center" vertical="center"/>
      <protection hidden="1"/>
    </xf>
    <xf numFmtId="0" fontId="0" fillId="5" borderId="9" xfId="0" applyFill="1" applyBorder="1" applyAlignment="1" applyProtection="1">
      <alignment vertical="center"/>
      <protection hidden="1"/>
    </xf>
    <xf numFmtId="0" fontId="0" fillId="5" borderId="18" xfId="0" applyFill="1" applyBorder="1" applyAlignment="1" applyProtection="1">
      <alignment vertical="center"/>
      <protection hidden="1"/>
    </xf>
    <xf numFmtId="0" fontId="2" fillId="5" borderId="18" xfId="0" applyFont="1" applyFill="1" applyBorder="1" applyAlignment="1" applyProtection="1">
      <alignment vertical="center"/>
      <protection hidden="1"/>
    </xf>
    <xf numFmtId="0" fontId="2" fillId="5" borderId="21" xfId="0" applyFont="1" applyFill="1" applyBorder="1" applyAlignment="1" applyProtection="1">
      <alignment vertical="center"/>
      <protection hidden="1"/>
    </xf>
    <xf numFmtId="0" fontId="0" fillId="5" borderId="23" xfId="0" applyFill="1" applyBorder="1" applyAlignment="1" applyProtection="1">
      <alignment vertical="center"/>
      <protection hidden="1"/>
    </xf>
    <xf numFmtId="0" fontId="2" fillId="5" borderId="25" xfId="0" applyFont="1" applyFill="1" applyBorder="1" applyAlignment="1" applyProtection="1">
      <alignment vertical="center"/>
      <protection hidden="1"/>
    </xf>
    <xf numFmtId="21" fontId="26" fillId="5" borderId="25" xfId="0" applyNumberFormat="1" applyFont="1" applyFill="1" applyBorder="1" applyAlignment="1" applyProtection="1">
      <alignment horizontal="center" vertical="center"/>
      <protection hidden="1"/>
    </xf>
    <xf numFmtId="0" fontId="9" fillId="5" borderId="23" xfId="0" applyFont="1" applyFill="1" applyBorder="1" applyAlignment="1" applyProtection="1">
      <alignment horizontal="center" vertical="center"/>
      <protection hidden="1"/>
    </xf>
    <xf numFmtId="0" fontId="10" fillId="5" borderId="23" xfId="0" applyFont="1" applyFill="1" applyBorder="1" applyAlignment="1" applyProtection="1">
      <alignment vertical="center"/>
      <protection hidden="1"/>
    </xf>
    <xf numFmtId="0" fontId="11" fillId="5" borderId="23" xfId="0" applyFont="1" applyFill="1" applyBorder="1" applyAlignment="1" applyProtection="1">
      <alignment vertical="center"/>
      <protection hidden="1"/>
    </xf>
    <xf numFmtId="0" fontId="28" fillId="5" borderId="25" xfId="0" applyFont="1" applyFill="1" applyBorder="1" applyAlignment="1" applyProtection="1">
      <alignment vertical="center"/>
      <protection hidden="1"/>
    </xf>
    <xf numFmtId="21" fontId="31" fillId="5" borderId="25" xfId="0" applyNumberFormat="1" applyFont="1" applyFill="1" applyBorder="1" applyAlignment="1" applyProtection="1">
      <alignment horizontal="center" vertical="center"/>
      <protection hidden="1"/>
    </xf>
    <xf numFmtId="0" fontId="10" fillId="5" borderId="26" xfId="0" applyFont="1" applyFill="1" applyBorder="1" applyAlignment="1" applyProtection="1">
      <alignment vertical="center"/>
      <protection hidden="1"/>
    </xf>
    <xf numFmtId="0" fontId="10" fillId="5" borderId="24" xfId="0" applyFont="1" applyFill="1" applyBorder="1" applyAlignment="1" applyProtection="1">
      <alignment vertical="center"/>
      <protection hidden="1"/>
    </xf>
    <xf numFmtId="0" fontId="28" fillId="5" borderId="24" xfId="0" applyFont="1" applyFill="1" applyBorder="1" applyAlignment="1" applyProtection="1">
      <alignment vertical="center"/>
      <protection hidden="1"/>
    </xf>
    <xf numFmtId="0" fontId="46" fillId="5" borderId="24" xfId="0" applyFont="1" applyFill="1" applyBorder="1" applyAlignment="1" applyProtection="1">
      <alignment vertical="center"/>
      <protection hidden="1"/>
    </xf>
    <xf numFmtId="0" fontId="45" fillId="5" borderId="24" xfId="0" applyFont="1" applyFill="1" applyBorder="1" applyAlignment="1" applyProtection="1">
      <alignment vertical="center"/>
      <protection hidden="1"/>
    </xf>
    <xf numFmtId="21" fontId="45" fillId="5" borderId="24" xfId="0" applyNumberFormat="1" applyFont="1" applyFill="1" applyBorder="1" applyAlignment="1" applyProtection="1">
      <alignment horizontal="center" vertical="center"/>
      <protection hidden="1"/>
    </xf>
    <xf numFmtId="21" fontId="33" fillId="5" borderId="24" xfId="0" applyNumberFormat="1" applyFont="1" applyFill="1" applyBorder="1" applyAlignment="1" applyProtection="1">
      <alignment horizontal="center" vertical="center"/>
      <protection hidden="1"/>
    </xf>
    <xf numFmtId="21" fontId="31" fillId="5" borderId="22" xfId="0" applyNumberFormat="1" applyFont="1" applyFill="1" applyBorder="1" applyAlignment="1" applyProtection="1">
      <alignment horizontal="center" vertical="center"/>
      <protection hidden="1"/>
    </xf>
    <xf numFmtId="0" fontId="59" fillId="0" borderId="3" xfId="3" applyFont="1" applyBorder="1" applyAlignment="1">
      <alignment horizontal="center"/>
    </xf>
    <xf numFmtId="3" fontId="59" fillId="0" borderId="4" xfId="2" applyNumberFormat="1" applyFont="1" applyFill="1" applyBorder="1" applyAlignment="1" applyProtection="1">
      <alignment horizontal="center"/>
      <protection locked="0"/>
    </xf>
    <xf numFmtId="3" fontId="60" fillId="0" borderId="3" xfId="0" applyNumberFormat="1" applyFont="1" applyFill="1" applyBorder="1" applyAlignment="1" applyProtection="1">
      <alignment horizontal="center"/>
    </xf>
    <xf numFmtId="0" fontId="59" fillId="0" borderId="1" xfId="0" applyFont="1" applyFill="1" applyBorder="1" applyAlignment="1" applyProtection="1">
      <alignment horizontal="center"/>
      <protection locked="0"/>
    </xf>
    <xf numFmtId="3" fontId="59" fillId="0" borderId="2" xfId="2" applyNumberFormat="1" applyFont="1" applyFill="1" applyBorder="1" applyAlignment="1" applyProtection="1">
      <alignment horizontal="center"/>
      <protection locked="0"/>
    </xf>
    <xf numFmtId="3" fontId="59" fillId="0" borderId="1" xfId="2" applyNumberFormat="1" applyFont="1" applyFill="1" applyBorder="1" applyAlignment="1" applyProtection="1">
      <alignment horizontal="center"/>
      <protection locked="0"/>
    </xf>
    <xf numFmtId="0" fontId="59" fillId="0" borderId="2" xfId="0" applyFont="1" applyFill="1" applyBorder="1" applyAlignment="1">
      <alignment horizontal="center"/>
    </xf>
    <xf numFmtId="3" fontId="59" fillId="0" borderId="5" xfId="2" applyNumberFormat="1" applyFont="1" applyFill="1" applyBorder="1" applyAlignment="1" applyProtection="1">
      <alignment horizontal="center"/>
      <protection locked="0"/>
    </xf>
    <xf numFmtId="15" fontId="58" fillId="0" borderId="19" xfId="0" applyNumberFormat="1" applyFont="1" applyFill="1" applyBorder="1" applyAlignment="1">
      <alignment horizontal="center"/>
    </xf>
    <xf numFmtId="0" fontId="59" fillId="6" borderId="3" xfId="0" applyFont="1" applyFill="1" applyBorder="1" applyAlignment="1" applyProtection="1">
      <alignment horizontal="center"/>
      <protection locked="0"/>
    </xf>
    <xf numFmtId="0" fontId="59" fillId="6" borderId="3" xfId="3" applyFont="1" applyFill="1" applyBorder="1" applyAlignment="1">
      <alignment horizontal="center"/>
    </xf>
    <xf numFmtId="3" fontId="59" fillId="6" borderId="4" xfId="2" applyNumberFormat="1" applyFont="1" applyFill="1" applyBorder="1" applyAlignment="1" applyProtection="1">
      <alignment horizontal="center"/>
      <protection locked="0"/>
    </xf>
    <xf numFmtId="3" fontId="59" fillId="6" borderId="6" xfId="0" applyNumberFormat="1" applyFont="1" applyFill="1" applyBorder="1" applyAlignment="1">
      <alignment horizontal="center"/>
    </xf>
    <xf numFmtId="3" fontId="60" fillId="6" borderId="3" xfId="0" applyNumberFormat="1" applyFont="1" applyFill="1" applyBorder="1" applyAlignment="1" applyProtection="1">
      <alignment horizontal="center"/>
    </xf>
    <xf numFmtId="0" fontId="47" fillId="6" borderId="0" xfId="0" applyFont="1" applyFill="1" applyAlignment="1">
      <alignment horizontal="center"/>
    </xf>
    <xf numFmtId="0" fontId="47" fillId="4" borderId="0" xfId="0" applyFont="1" applyFill="1" applyAlignment="1">
      <alignment horizontal="center" vertical="center" wrapText="1"/>
    </xf>
    <xf numFmtId="165" fontId="41" fillId="0" borderId="28" xfId="0" applyNumberFormat="1" applyFont="1" applyFill="1" applyBorder="1" applyAlignment="1">
      <alignment horizontal="center"/>
    </xf>
    <xf numFmtId="3" fontId="64" fillId="0" borderId="28" xfId="2" applyNumberFormat="1" applyFont="1" applyFill="1" applyBorder="1" applyAlignment="1" applyProtection="1">
      <alignment horizontal="center"/>
      <protection locked="0"/>
    </xf>
    <xf numFmtId="0" fontId="64" fillId="0" borderId="0" xfId="0" applyFont="1" applyAlignment="1">
      <alignment horizontal="center"/>
    </xf>
    <xf numFmtId="0" fontId="66" fillId="4" borderId="0" xfId="0" applyFont="1" applyFill="1" applyAlignment="1">
      <alignment horizontal="center" vertical="center" wrapText="1"/>
    </xf>
    <xf numFmtId="0" fontId="49" fillId="6" borderId="0" xfId="0" applyFont="1" applyFill="1" applyAlignment="1">
      <alignment horizontal="center"/>
    </xf>
    <xf numFmtId="0" fontId="48" fillId="6" borderId="0" xfId="0" applyFont="1" applyFill="1" applyBorder="1" applyAlignment="1"/>
    <xf numFmtId="0" fontId="53" fillId="6" borderId="0" xfId="0" applyFont="1" applyFill="1" applyBorder="1" applyAlignment="1">
      <alignment horizontal="center"/>
    </xf>
    <xf numFmtId="0" fontId="54" fillId="6" borderId="0" xfId="0" applyFont="1" applyFill="1" applyBorder="1" applyAlignment="1">
      <alignment horizontal="center"/>
    </xf>
    <xf numFmtId="0" fontId="65" fillId="6" borderId="0" xfId="0" applyFont="1" applyFill="1" applyBorder="1" applyAlignment="1">
      <alignment horizontal="center"/>
    </xf>
    <xf numFmtId="0" fontId="52" fillId="6" borderId="0" xfId="0" applyFont="1" applyFill="1" applyAlignment="1">
      <alignment horizontal="center"/>
    </xf>
    <xf numFmtId="0" fontId="55" fillId="6" borderId="0" xfId="0" applyFont="1" applyFill="1" applyAlignment="1">
      <alignment horizontal="center"/>
    </xf>
    <xf numFmtId="0" fontId="53" fillId="6" borderId="24" xfId="0" applyFont="1" applyFill="1" applyBorder="1" applyAlignment="1"/>
    <xf numFmtId="0" fontId="57" fillId="6" borderId="0" xfId="0" applyFont="1" applyFill="1" applyBorder="1" applyAlignment="1">
      <alignment horizontal="center"/>
    </xf>
    <xf numFmtId="0" fontId="61" fillId="9" borderId="0" xfId="0" applyFont="1" applyFill="1" applyBorder="1" applyAlignment="1">
      <alignment horizontal="center"/>
    </xf>
    <xf numFmtId="3" fontId="62" fillId="0" borderId="1" xfId="0" applyNumberFormat="1" applyFont="1" applyFill="1" applyBorder="1" applyAlignment="1" applyProtection="1">
      <alignment horizontal="center"/>
      <protection locked="0"/>
    </xf>
    <xf numFmtId="15" fontId="58" fillId="6" borderId="27" xfId="0" applyNumberFormat="1" applyFont="1" applyFill="1" applyBorder="1" applyAlignment="1">
      <alignment horizontal="center"/>
    </xf>
    <xf numFmtId="0" fontId="59" fillId="6" borderId="1" xfId="0" applyFont="1" applyFill="1" applyBorder="1" applyAlignment="1" applyProtection="1">
      <alignment horizontal="center"/>
      <protection locked="0"/>
    </xf>
    <xf numFmtId="3" fontId="59" fillId="6" borderId="2" xfId="2" applyNumberFormat="1" applyFont="1" applyFill="1" applyBorder="1" applyAlignment="1" applyProtection="1">
      <alignment horizontal="center"/>
      <protection locked="0"/>
    </xf>
    <xf numFmtId="3" fontId="64" fillId="6" borderId="28" xfId="2" applyNumberFormat="1" applyFont="1" applyFill="1" applyBorder="1" applyAlignment="1" applyProtection="1">
      <alignment horizontal="center"/>
      <protection locked="0"/>
    </xf>
    <xf numFmtId="3" fontId="59" fillId="6" borderId="1" xfId="2" applyNumberFormat="1" applyFont="1" applyFill="1" applyBorder="1" applyAlignment="1" applyProtection="1">
      <alignment horizontal="center"/>
      <protection locked="0"/>
    </xf>
    <xf numFmtId="0" fontId="59" fillId="6" borderId="2" xfId="0" applyFont="1" applyFill="1" applyBorder="1" applyAlignment="1">
      <alignment horizontal="center"/>
    </xf>
    <xf numFmtId="3" fontId="59" fillId="6" borderId="5" xfId="2" applyNumberFormat="1" applyFont="1" applyFill="1" applyBorder="1" applyAlignment="1" applyProtection="1">
      <alignment horizontal="center"/>
      <protection locked="0"/>
    </xf>
    <xf numFmtId="3" fontId="62" fillId="6" borderId="1" xfId="0" applyNumberFormat="1" applyFont="1" applyFill="1" applyBorder="1" applyAlignment="1" applyProtection="1">
      <alignment horizontal="center"/>
      <protection locked="0"/>
    </xf>
    <xf numFmtId="0" fontId="59" fillId="6" borderId="0" xfId="0" applyFont="1" applyFill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2" fontId="0" fillId="0" borderId="3" xfId="0" applyNumberFormat="1" applyFill="1" applyBorder="1" applyAlignment="1">
      <alignment horizontal="center"/>
    </xf>
    <xf numFmtId="0" fontId="39" fillId="0" borderId="0" xfId="0" applyFont="1" applyAlignment="1"/>
    <xf numFmtId="0" fontId="50" fillId="6" borderId="0" xfId="0" applyFont="1" applyFill="1" applyBorder="1" applyAlignment="1">
      <alignment horizontal="center"/>
    </xf>
    <xf numFmtId="1" fontId="54" fillId="6" borderId="0" xfId="0" applyNumberFormat="1" applyFont="1" applyFill="1" applyBorder="1" applyAlignment="1">
      <alignment horizontal="center"/>
    </xf>
    <xf numFmtId="0" fontId="23" fillId="6" borderId="3" xfId="3" applyFont="1" applyFill="1" applyBorder="1" applyAlignment="1">
      <alignment horizontal="center"/>
    </xf>
    <xf numFmtId="0" fontId="41" fillId="6" borderId="3" xfId="0" applyFont="1" applyFill="1" applyBorder="1" applyAlignment="1">
      <alignment horizontal="center"/>
    </xf>
    <xf numFmtId="0" fontId="47" fillId="9" borderId="18" xfId="0" applyFont="1" applyFill="1" applyBorder="1" applyAlignment="1">
      <alignment horizontal="center" vertical="center" wrapText="1"/>
    </xf>
    <xf numFmtId="15" fontId="69" fillId="6" borderId="3" xfId="0" applyNumberFormat="1" applyFont="1" applyFill="1" applyBorder="1" applyAlignment="1">
      <alignment horizontal="center"/>
    </xf>
    <xf numFmtId="0" fontId="69" fillId="6" borderId="3" xfId="0" applyFont="1" applyFill="1" applyBorder="1" applyAlignment="1">
      <alignment horizontal="center"/>
    </xf>
    <xf numFmtId="0" fontId="69" fillId="6" borderId="3" xfId="3" applyFont="1" applyFill="1" applyBorder="1" applyAlignment="1">
      <alignment horizontal="center"/>
    </xf>
    <xf numFmtId="2" fontId="69" fillId="6" borderId="3" xfId="0" applyNumberFormat="1" applyFont="1" applyFill="1" applyBorder="1" applyAlignment="1">
      <alignment horizontal="center"/>
    </xf>
    <xf numFmtId="0" fontId="68" fillId="6" borderId="3" xfId="0" applyFont="1" applyFill="1" applyBorder="1" applyAlignment="1">
      <alignment horizontal="center"/>
    </xf>
    <xf numFmtId="2" fontId="68" fillId="6" borderId="3" xfId="0" applyNumberFormat="1" applyFont="1" applyFill="1" applyBorder="1" applyAlignment="1">
      <alignment horizontal="center"/>
    </xf>
    <xf numFmtId="165" fontId="69" fillId="6" borderId="3" xfId="2" applyNumberFormat="1" applyFont="1" applyFill="1" applyBorder="1" applyAlignment="1">
      <alignment horizontal="center"/>
    </xf>
    <xf numFmtId="165" fontId="69" fillId="6" borderId="3" xfId="0" applyNumberFormat="1" applyFont="1" applyFill="1" applyBorder="1" applyAlignment="1">
      <alignment horizontal="center"/>
    </xf>
    <xf numFmtId="0" fontId="48" fillId="7" borderId="0" xfId="0" applyFont="1" applyFill="1" applyBorder="1" applyAlignment="1"/>
    <xf numFmtId="0" fontId="70" fillId="7" borderId="0" xfId="0" applyFont="1" applyFill="1" applyBorder="1" applyAlignment="1">
      <alignment horizontal="center"/>
    </xf>
    <xf numFmtId="0" fontId="71" fillId="7" borderId="0" xfId="0" applyFont="1" applyFill="1" applyAlignment="1">
      <alignment horizontal="center" wrapText="1"/>
    </xf>
    <xf numFmtId="0" fontId="55" fillId="7" borderId="0" xfId="0" applyFont="1" applyFill="1" applyAlignment="1">
      <alignment horizontal="center"/>
    </xf>
    <xf numFmtId="0" fontId="56" fillId="7" borderId="0" xfId="0" applyFont="1" applyFill="1" applyBorder="1" applyAlignment="1">
      <alignment horizontal="right"/>
    </xf>
    <xf numFmtId="165" fontId="54" fillId="7" borderId="0" xfId="0" applyNumberFormat="1" applyFont="1" applyFill="1" applyBorder="1" applyAlignment="1">
      <alignment horizontal="center"/>
    </xf>
    <xf numFmtId="1" fontId="49" fillId="7" borderId="0" xfId="0" applyNumberFormat="1" applyFont="1" applyFill="1" applyAlignment="1">
      <alignment horizontal="center"/>
    </xf>
    <xf numFmtId="0" fontId="43" fillId="0" borderId="0" xfId="5" applyFont="1"/>
    <xf numFmtId="0" fontId="43" fillId="0" borderId="0" xfId="5" applyFont="1" applyBorder="1" applyAlignment="1">
      <alignment horizontal="center" vertical="center"/>
    </xf>
    <xf numFmtId="0" fontId="76" fillId="8" borderId="33" xfId="5" applyFont="1" applyFill="1" applyBorder="1" applyAlignment="1">
      <alignment horizontal="center"/>
    </xf>
    <xf numFmtId="0" fontId="76" fillId="11" borderId="33" xfId="5" applyFont="1" applyFill="1" applyBorder="1" applyAlignment="1">
      <alignment horizontal="center"/>
    </xf>
    <xf numFmtId="0" fontId="76" fillId="12" borderId="34" xfId="5" applyFont="1" applyFill="1" applyBorder="1" applyAlignment="1">
      <alignment horizontal="center"/>
    </xf>
    <xf numFmtId="15" fontId="23" fillId="2" borderId="5" xfId="0" applyNumberFormat="1" applyFont="1" applyFill="1" applyBorder="1" applyAlignment="1">
      <alignment horizontal="center"/>
    </xf>
    <xf numFmtId="15" fontId="23" fillId="2" borderId="1" xfId="0" applyNumberFormat="1" applyFont="1" applyFill="1" applyBorder="1" applyAlignment="1">
      <alignment horizontal="center"/>
    </xf>
    <xf numFmtId="0" fontId="41" fillId="0" borderId="1" xfId="0" applyFont="1" applyFill="1" applyBorder="1" applyAlignment="1">
      <alignment horizontal="center"/>
    </xf>
    <xf numFmtId="0" fontId="23" fillId="0" borderId="1" xfId="3" applyFont="1" applyBorder="1" applyAlignment="1">
      <alignment horizontal="center"/>
    </xf>
    <xf numFmtId="165" fontId="41" fillId="0" borderId="1" xfId="0" applyNumberFormat="1" applyFont="1" applyFill="1" applyBorder="1" applyAlignment="1">
      <alignment horizontal="center"/>
    </xf>
    <xf numFmtId="165" fontId="41" fillId="0" borderId="1" xfId="2" applyNumberFormat="1" applyFont="1" applyFill="1" applyBorder="1" applyAlignment="1">
      <alignment horizontal="center"/>
    </xf>
    <xf numFmtId="165" fontId="41" fillId="0" borderId="35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2" fontId="0" fillId="0" borderId="1" xfId="0" applyNumberFormat="1" applyFill="1" applyBorder="1" applyAlignment="1">
      <alignment horizontal="center"/>
    </xf>
    <xf numFmtId="0" fontId="77" fillId="14" borderId="3" xfId="5" applyFont="1" applyFill="1" applyBorder="1" applyAlignment="1">
      <alignment horizontal="center" vertical="center" wrapText="1"/>
    </xf>
    <xf numFmtId="0" fontId="77" fillId="10" borderId="3" xfId="5" applyFont="1" applyFill="1" applyBorder="1" applyAlignment="1">
      <alignment horizontal="center" vertical="center" wrapText="1"/>
    </xf>
    <xf numFmtId="0" fontId="76" fillId="8" borderId="3" xfId="5" applyFont="1" applyFill="1" applyBorder="1" applyAlignment="1">
      <alignment horizontal="center" vertical="center" wrapText="1"/>
    </xf>
    <xf numFmtId="0" fontId="76" fillId="11" borderId="3" xfId="5" applyFont="1" applyFill="1" applyBorder="1" applyAlignment="1">
      <alignment horizontal="center" vertical="center" wrapText="1"/>
    </xf>
    <xf numFmtId="0" fontId="76" fillId="12" borderId="3" xfId="5" applyFont="1" applyFill="1" applyBorder="1" applyAlignment="1">
      <alignment horizontal="center" vertical="center" wrapText="1"/>
    </xf>
    <xf numFmtId="0" fontId="0" fillId="0" borderId="3" xfId="0" applyBorder="1"/>
    <xf numFmtId="0" fontId="68" fillId="6" borderId="3" xfId="0" applyFont="1" applyFill="1" applyBorder="1"/>
    <xf numFmtId="0" fontId="0" fillId="2" borderId="3" xfId="0" applyFill="1" applyBorder="1"/>
    <xf numFmtId="0" fontId="63" fillId="5" borderId="0" xfId="0" applyFont="1" applyFill="1" applyBorder="1" applyAlignment="1" applyProtection="1">
      <alignment horizontal="center" vertical="center"/>
      <protection hidden="1"/>
    </xf>
    <xf numFmtId="0" fontId="73" fillId="8" borderId="29" xfId="5" applyFont="1" applyFill="1" applyBorder="1" applyAlignment="1">
      <alignment horizontal="center"/>
    </xf>
    <xf numFmtId="0" fontId="73" fillId="8" borderId="30" xfId="5" applyFont="1" applyFill="1" applyBorder="1" applyAlignment="1">
      <alignment horizontal="center"/>
    </xf>
    <xf numFmtId="0" fontId="74" fillId="11" borderId="30" xfId="5" applyFont="1" applyFill="1" applyBorder="1" applyAlignment="1">
      <alignment horizontal="center"/>
    </xf>
    <xf numFmtId="0" fontId="74" fillId="12" borderId="30" xfId="5" applyFont="1" applyFill="1" applyBorder="1" applyAlignment="1">
      <alignment horizontal="center"/>
    </xf>
    <xf numFmtId="0" fontId="74" fillId="12" borderId="31" xfId="5" applyFont="1" applyFill="1" applyBorder="1" applyAlignment="1">
      <alignment horizontal="center"/>
    </xf>
    <xf numFmtId="0" fontId="76" fillId="8" borderId="32" xfId="5" applyFont="1" applyFill="1" applyBorder="1" applyAlignment="1">
      <alignment horizontal="center"/>
    </xf>
    <xf numFmtId="0" fontId="76" fillId="8" borderId="33" xfId="5" applyFont="1" applyFill="1" applyBorder="1" applyAlignment="1">
      <alignment horizontal="center"/>
    </xf>
    <xf numFmtId="0" fontId="76" fillId="12" borderId="33" xfId="5" applyFont="1" applyFill="1" applyBorder="1" applyAlignment="1">
      <alignment horizontal="center"/>
    </xf>
    <xf numFmtId="0" fontId="78" fillId="0" borderId="24" xfId="0" applyFont="1" applyFill="1" applyBorder="1" applyAlignment="1">
      <alignment horizontal="center" vertical="center"/>
    </xf>
    <xf numFmtId="0" fontId="16" fillId="0" borderId="18" xfId="0" applyFont="1" applyBorder="1" applyAlignment="1">
      <alignment horizontal="center" vertical="top"/>
    </xf>
    <xf numFmtId="0" fontId="16" fillId="0" borderId="21" xfId="0" applyFont="1" applyBorder="1" applyAlignment="1">
      <alignment horizontal="center" vertical="top"/>
    </xf>
    <xf numFmtId="0" fontId="72" fillId="10" borderId="9" xfId="5" applyFont="1" applyFill="1" applyBorder="1" applyAlignment="1">
      <alignment horizontal="center" vertical="center"/>
    </xf>
    <xf numFmtId="0" fontId="72" fillId="10" borderId="18" xfId="5" applyFont="1" applyFill="1" applyBorder="1" applyAlignment="1">
      <alignment horizontal="center" vertical="center"/>
    </xf>
    <xf numFmtId="0" fontId="72" fillId="10" borderId="7" xfId="5" applyFont="1" applyFill="1" applyBorder="1" applyAlignment="1">
      <alignment horizontal="center" vertical="center"/>
    </xf>
    <xf numFmtId="0" fontId="72" fillId="10" borderId="20" xfId="5" applyFont="1" applyFill="1" applyBorder="1" applyAlignment="1">
      <alignment horizontal="center" vertical="center"/>
    </xf>
    <xf numFmtId="0" fontId="75" fillId="10" borderId="9" xfId="5" applyFont="1" applyFill="1" applyBorder="1" applyAlignment="1">
      <alignment horizontal="center" vertical="center" shrinkToFit="1"/>
    </xf>
    <xf numFmtId="0" fontId="75" fillId="10" borderId="18" xfId="5" applyFont="1" applyFill="1" applyBorder="1" applyAlignment="1">
      <alignment horizontal="center" vertical="center" shrinkToFit="1"/>
    </xf>
    <xf numFmtId="0" fontId="75" fillId="13" borderId="12" xfId="5" applyFont="1" applyFill="1" applyBorder="1" applyAlignment="1">
      <alignment horizontal="center" vertical="center" shrinkToFit="1"/>
    </xf>
    <xf numFmtId="0" fontId="75" fillId="13" borderId="11" xfId="5" applyFont="1" applyFill="1" applyBorder="1" applyAlignment="1">
      <alignment horizontal="center" vertical="center" shrinkToFit="1"/>
    </xf>
    <xf numFmtId="0" fontId="75" fillId="13" borderId="13" xfId="5" applyFont="1" applyFill="1" applyBorder="1" applyAlignment="1">
      <alignment horizontal="center" vertical="center" shrinkToFit="1"/>
    </xf>
    <xf numFmtId="0" fontId="75" fillId="13" borderId="14" xfId="5" applyFont="1" applyFill="1" applyBorder="1" applyAlignment="1">
      <alignment horizontal="center" vertical="center" shrinkToFit="1"/>
    </xf>
    <xf numFmtId="0" fontId="75" fillId="13" borderId="18" xfId="5" applyFont="1" applyFill="1" applyBorder="1" applyAlignment="1">
      <alignment horizontal="center" vertical="center" shrinkToFit="1"/>
    </xf>
    <xf numFmtId="0" fontId="75" fillId="13" borderId="21" xfId="5" applyFont="1" applyFill="1" applyBorder="1" applyAlignment="1">
      <alignment horizontal="center" vertical="center" shrinkToFit="1"/>
    </xf>
    <xf numFmtId="0" fontId="72" fillId="10" borderId="10" xfId="5" applyFont="1" applyFill="1" applyBorder="1" applyAlignment="1">
      <alignment horizontal="center" vertical="center"/>
    </xf>
    <xf numFmtId="14" fontId="67" fillId="6" borderId="0" xfId="0" applyNumberFormat="1" applyFont="1" applyFill="1" applyBorder="1" applyAlignment="1">
      <alignment horizontal="center"/>
    </xf>
    <xf numFmtId="14" fontId="51" fillId="6" borderId="0" xfId="0" applyNumberFormat="1" applyFont="1" applyFill="1" applyBorder="1" applyAlignment="1">
      <alignment horizontal="center"/>
    </xf>
    <xf numFmtId="0" fontId="61" fillId="9" borderId="24" xfId="0" applyFont="1" applyFill="1" applyBorder="1" applyAlignment="1">
      <alignment horizontal="center"/>
    </xf>
    <xf numFmtId="0" fontId="61" fillId="9" borderId="0" xfId="0" applyFont="1" applyFill="1" applyAlignment="1">
      <alignment horizontal="center"/>
    </xf>
    <xf numFmtId="0" fontId="47" fillId="9" borderId="9" xfId="0" applyFont="1" applyFill="1" applyBorder="1" applyAlignment="1">
      <alignment horizontal="center" vertical="center" wrapText="1"/>
    </xf>
    <xf numFmtId="0" fontId="47" fillId="9" borderId="18" xfId="0" applyFont="1" applyFill="1" applyBorder="1" applyAlignment="1">
      <alignment horizontal="center" vertical="center" wrapText="1"/>
    </xf>
    <xf numFmtId="0" fontId="47" fillId="9" borderId="21" xfId="0" applyFont="1" applyFill="1" applyBorder="1" applyAlignment="1">
      <alignment horizontal="center" vertical="center" wrapText="1"/>
    </xf>
  </cellXfs>
  <cellStyles count="6">
    <cellStyle name="Euro" xfId="1" xr:uid="{00000000-0005-0000-0000-000000000000}"/>
    <cellStyle name="Millares" xfId="2" builtinId="3"/>
    <cellStyle name="Normal" xfId="0" builtinId="0"/>
    <cellStyle name="Normal 2" xfId="4" xr:uid="{00000000-0005-0000-0000-000004000000}"/>
    <cellStyle name="Normal 3" xfId="5" xr:uid="{00000000-0005-0000-0000-000005000000}"/>
    <cellStyle name="Normal_CONDICIONES TEMPLE Y REVENIDO NAVE 9 POR LOTE" xfId="3" xr:uid="{00000000-0005-0000-0000-000007000000}"/>
  </cellStyles>
  <dxfs count="178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3D3-4295-8A0A-6E604F9E7D1C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B3D3-4295-8A0A-6E604F9E7D1C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B3D3-4295-8A0A-6E604F9E7D1C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B3D3-4295-8A0A-6E604F9E7D1C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B3D3-4295-8A0A-6E604F9E7D1C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B3D3-4295-8A0A-6E604F9E7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0356808"/>
        <c:axId val="330356416"/>
      </c:barChart>
      <c:catAx>
        <c:axId val="330356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035641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303564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035680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73D-467F-90A7-188A82ED2BB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73D-467F-90A7-188A82ED2BB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73D-467F-90A7-188A82ED2BB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573D-467F-90A7-188A82ED2BB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573D-467F-90A7-188A82ED2BB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573D-467F-90A7-188A82ED2BB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73D-467F-90A7-188A82ED2BB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73D-467F-90A7-188A82ED2BB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73D-467F-90A7-188A82ED2BB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73D-467F-90A7-188A82ED2BB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73D-467F-90A7-188A82ED2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355632"/>
        <c:axId val="330354848"/>
      </c:lineChart>
      <c:catAx>
        <c:axId val="330355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0354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0354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035563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A7-40F6-824D-0E6D7A05F0B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A7-40F6-824D-0E6D7A05F0B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A7-40F6-824D-0E6D7A05F0B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A7-40F6-824D-0E6D7A05F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512704"/>
        <c:axId val="369801208"/>
      </c:barChart>
      <c:catAx>
        <c:axId val="331512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69801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98012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1512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36-4277-8C9C-CDB6E9C43F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36-4277-8C9C-CDB6E9C43F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36-4277-8C9C-CDB6E9C43F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36-4277-8C9C-CDB6E9C43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0185232"/>
        <c:axId val="360185624"/>
      </c:barChart>
      <c:catAx>
        <c:axId val="36018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60185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01856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601852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738-44EE-A983-3F5188485B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738-44EE-A983-3F5188485B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738-44EE-A983-3F5188485B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738-44EE-A983-3F5188485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0186408"/>
        <c:axId val="360186800"/>
      </c:barChart>
      <c:catAx>
        <c:axId val="360186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60186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0186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60186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C40-4FB5-BB5E-0567F4C9E0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C40-4FB5-BB5E-0567F4C9E0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40-4FB5-BB5E-0567F4C9E0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C40-4FB5-BB5E-0567F4C9E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0726256"/>
        <c:axId val="330726648"/>
      </c:barChart>
      <c:catAx>
        <c:axId val="330726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0726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0726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0726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CB-41DA-A5B8-9C9211614B2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CB-41DA-A5B8-9C9211614B2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CB-41DA-A5B8-9C9211614B2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CB-41DA-A5B8-9C9211614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0727432"/>
        <c:axId val="371481648"/>
      </c:barChart>
      <c:catAx>
        <c:axId val="330727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1481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1481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0727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ED4-40F8-87EC-8829F8853BC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ED4-40F8-87EC-8829F8853BC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ED4-40F8-87EC-8829F8853BC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ED4-40F8-87EC-8829F8853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1482432"/>
        <c:axId val="371482824"/>
      </c:barChart>
      <c:catAx>
        <c:axId val="371482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1482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1482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1482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CFB-4495-9215-9C26E60077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CFB-4495-9215-9C26E60077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CFB-4495-9215-9C26E60077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CFB-4495-9215-9C26E6007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217424"/>
        <c:axId val="334217816"/>
      </c:barChart>
      <c:catAx>
        <c:axId val="334217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4217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217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4217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A20-4B4A-9946-56E1142629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A20-4B4A-9946-56E1142629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A20-4B4A-9946-56E1142629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A20-4B4A-9946-56E114262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218600"/>
        <c:axId val="334218992"/>
      </c:barChart>
      <c:catAx>
        <c:axId val="334218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4218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218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4218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85-4B4E-994D-B04B353BA9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85-4B4E-994D-B04B353BA9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85-4B4E-994D-B04B353BA9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85-4B4E-994D-B04B353BA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0164120"/>
        <c:axId val="360164512"/>
      </c:barChart>
      <c:catAx>
        <c:axId val="360164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60164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01645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601641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D7-4456-8F6A-68709F02C4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D7-4456-8F6A-68709F02C4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D7-4456-8F6A-68709F02C4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D7-4456-8F6A-68709F02C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0165296"/>
        <c:axId val="370887112"/>
      </c:barChart>
      <c:catAx>
        <c:axId val="360165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0887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0887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601652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24-44A8-9395-1DA190295C0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24-44A8-9395-1DA190295C0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24-44A8-9395-1DA190295C0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24-44A8-9395-1DA190295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0887896"/>
        <c:axId val="370888288"/>
      </c:barChart>
      <c:catAx>
        <c:axId val="370887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0888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0888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08878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33F-4784-B84F-022E38A343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33F-4784-B84F-022E38A343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33F-4784-B84F-022E38A343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33F-4784-B84F-022E38A34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0174944"/>
        <c:axId val="330175336"/>
      </c:barChart>
      <c:catAx>
        <c:axId val="330174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0175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01753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01749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42-4368-9C74-8787220C7E2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42-4368-9C74-8787220C7E2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42-4368-9C74-8787220C7E2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42-4368-9C74-8787220C7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0176120"/>
        <c:axId val="330176512"/>
      </c:barChart>
      <c:catAx>
        <c:axId val="330176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0176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01765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01761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61-40E6-B1A1-521807523D8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61-40E6-B1A1-521807523D8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61-40E6-B1A1-521807523D8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61-40E6-B1A1-521807523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8206368"/>
        <c:axId val="328206760"/>
      </c:barChart>
      <c:catAx>
        <c:axId val="328206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28206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8206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28206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E10-428E-AFCE-2FFAA523F6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E10-428E-AFCE-2FFAA523F6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E10-428E-AFCE-2FFAA523F6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E10-428E-AFCE-2FFAA523F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8207544"/>
        <c:axId val="319970664"/>
      </c:barChart>
      <c:catAx>
        <c:axId val="328207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19970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99706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282075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A10-4E98-9798-D059E592E4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A10-4E98-9798-D059E592E4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A10-4E98-9798-D059E592E4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A10-4E98-9798-D059E592E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9971448"/>
        <c:axId val="319971840"/>
      </c:barChart>
      <c:catAx>
        <c:axId val="319971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19971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99718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199714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88-45E4-B1F2-784E1FDC43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88-45E4-B1F2-784E1FDC43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88-45E4-B1F2-784E1FDC43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88-45E4-B1F2-784E1FDC4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361760"/>
        <c:axId val="332362152"/>
      </c:barChart>
      <c:catAx>
        <c:axId val="332361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2362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362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2361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AC-47B0-A5EB-0B0CDBA15D0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AC-47B0-A5EB-0B0CDBA15D0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AC-47B0-A5EB-0B0CDBA15D0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AC-47B0-A5EB-0B0CDBA15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362936"/>
        <c:axId val="332363328"/>
      </c:barChart>
      <c:catAx>
        <c:axId val="332362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2363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363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2362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857-4D53-94B9-6FEBFFDF10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857-4D53-94B9-6FEBFFDF10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857-4D53-94B9-6FEBFFDF10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857-4D53-94B9-6FEBFFDF1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9752560"/>
        <c:axId val="409752952"/>
      </c:barChart>
      <c:catAx>
        <c:axId val="409752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09752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9752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09752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FDA-4F75-B849-2C0AE24DB6F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FDA-4F75-B849-2C0AE24DB6F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FDA-4F75-B849-2C0AE24DB6F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FDA-4F75-B849-2C0AE24D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9753736"/>
        <c:axId val="370574208"/>
      </c:barChart>
      <c:catAx>
        <c:axId val="409753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0574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05742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09753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81E-41F9-BEDB-833EBB9EA0C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81E-41F9-BEDB-833EBB9EA0C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1E-41F9-BEDB-833EBB9EA0C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81E-41F9-BEDB-833EBB9E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0574992"/>
        <c:axId val="370575384"/>
      </c:barChart>
      <c:catAx>
        <c:axId val="37057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0575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05753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05749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C2-43C9-8293-4C8A19C8665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C2-43C9-8293-4C8A19C8665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C2-43C9-8293-4C8A19C8665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C2-43C9-8293-4C8A19C86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4776544"/>
        <c:axId val="364776936"/>
      </c:barChart>
      <c:catAx>
        <c:axId val="364776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64776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4776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647765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A8C-4398-B8CC-98FCB8B68D9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A8C-4398-B8CC-98FCB8B68D9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A8C-4398-B8CC-98FCB8B68D9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A8C-4398-B8CC-98FCB8B68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4777720"/>
        <c:axId val="364778112"/>
      </c:barChart>
      <c:catAx>
        <c:axId val="364777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64778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4778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64777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3E-4D86-816E-6523C5CE001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03E-4D86-816E-6523C5CE001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3E-4D86-816E-6523C5CE001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03E-4D86-816E-6523C5CE0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583344"/>
        <c:axId val="332583736"/>
      </c:barChart>
      <c:catAx>
        <c:axId val="33258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2583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583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2583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0</xdr:row>
      <xdr:rowOff>123825</xdr:rowOff>
    </xdr:from>
    <xdr:to>
      <xdr:col>2</xdr:col>
      <xdr:colOff>105200</xdr:colOff>
      <xdr:row>2</xdr:row>
      <xdr:rowOff>171450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23825"/>
          <a:ext cx="914825" cy="781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1000125</xdr:colOff>
      <xdr:row>10</xdr:row>
      <xdr:rowOff>66675</xdr:rowOff>
    </xdr:from>
    <xdr:to>
      <xdr:col>18</xdr:col>
      <xdr:colOff>436864</xdr:colOff>
      <xdr:row>30</xdr:row>
      <xdr:rowOff>37631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00350" y="2847975"/>
          <a:ext cx="10285714" cy="3752381"/>
        </a:xfrm>
        <a:prstGeom prst="rect">
          <a:avLst/>
        </a:prstGeom>
      </xdr:spPr>
    </xdr:pic>
    <xdr:clientData/>
  </xdr:twoCellAnchor>
  <xdr:twoCellAnchor>
    <xdr:from>
      <xdr:col>2</xdr:col>
      <xdr:colOff>200026</xdr:colOff>
      <xdr:row>0</xdr:row>
      <xdr:rowOff>171450</xdr:rowOff>
    </xdr:from>
    <xdr:to>
      <xdr:col>4</xdr:col>
      <xdr:colOff>85726</xdr:colOff>
      <xdr:row>2</xdr:row>
      <xdr:rowOff>149860</xdr:rowOff>
    </xdr:to>
    <xdr:sp macro="[0]!MayraGomez" textlink="">
      <xdr:nvSpPr>
        <xdr:cNvPr id="5" name="Rectángulo 4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181101" y="171450"/>
          <a:ext cx="704850" cy="71183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27516</xdr:colOff>
      <xdr:row>0</xdr:row>
      <xdr:rowOff>42334</xdr:rowOff>
    </xdr:from>
    <xdr:to>
      <xdr:col>0</xdr:col>
      <xdr:colOff>924983</xdr:colOff>
      <xdr:row>2</xdr:row>
      <xdr:rowOff>157693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16" y="42334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8" name="Gráfico 3314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9" name="Gráfico 3315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0" name="Gráfico 3316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1" name="Gráfico 3317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2" name="Gráfico 3318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3" name="Gráfico 3319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4" name="Gráfico 332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5" name="Gráfico 3321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6" name="Gráfico 354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7" name="Gráfico 3541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8" name="Gráfico 3542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9" name="Gráfico 3543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0" name="Gráfico 3544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1" name="Gráfico 3545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2" name="Gráfico 3546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3" name="Gráfico 3547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35"/>
      <c r="B1" s="36" t="s">
        <v>14</v>
      </c>
      <c r="C1" s="36"/>
      <c r="D1" s="36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8"/>
    </row>
    <row r="2" spans="1:21" s="8" customFormat="1" ht="17.45" customHeight="1">
      <c r="A2" s="39"/>
      <c r="B2" s="89"/>
      <c r="C2" s="90"/>
      <c r="D2" s="90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2"/>
      <c r="R2" s="37"/>
      <c r="S2" s="37"/>
      <c r="T2" s="37"/>
      <c r="U2" s="38"/>
    </row>
    <row r="3" spans="1:21" s="8" customFormat="1" ht="17.45" customHeight="1">
      <c r="A3" s="39"/>
      <c r="B3" s="93"/>
      <c r="C3" s="56"/>
      <c r="D3" s="56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94"/>
      <c r="R3" s="37"/>
      <c r="S3" s="37"/>
      <c r="T3" s="37"/>
      <c r="U3" s="38"/>
    </row>
    <row r="4" spans="1:21" s="8" customFormat="1" ht="10.5" customHeight="1">
      <c r="A4" s="39"/>
      <c r="B4" s="93"/>
      <c r="C4" s="57"/>
      <c r="D4" s="58"/>
      <c r="E4" s="59"/>
      <c r="F4" s="59"/>
      <c r="G4" s="59"/>
      <c r="H4" s="59"/>
      <c r="I4" s="59"/>
      <c r="J4" s="59"/>
      <c r="K4" s="59"/>
      <c r="L4" s="59"/>
      <c r="M4" s="59"/>
      <c r="N4" s="60"/>
      <c r="O4" s="55"/>
      <c r="P4" s="55"/>
      <c r="Q4" s="94"/>
      <c r="R4" s="37"/>
      <c r="S4" s="37"/>
      <c r="T4" s="37"/>
      <c r="U4" s="38"/>
    </row>
    <row r="5" spans="1:21" s="8" customFormat="1" ht="32.25" customHeight="1">
      <c r="A5" s="40"/>
      <c r="B5" s="93"/>
      <c r="C5" s="61"/>
      <c r="D5" s="61"/>
      <c r="E5" s="196" t="s">
        <v>66</v>
      </c>
      <c r="F5" s="196"/>
      <c r="G5" s="196"/>
      <c r="H5" s="196"/>
      <c r="I5" s="196"/>
      <c r="J5" s="196"/>
      <c r="K5" s="196"/>
      <c r="L5" s="196"/>
      <c r="M5" s="196"/>
      <c r="N5" s="62"/>
      <c r="O5" s="55"/>
      <c r="P5" s="55"/>
      <c r="Q5" s="94"/>
      <c r="R5" s="37"/>
      <c r="S5" s="37"/>
      <c r="T5" s="37"/>
      <c r="U5" s="38"/>
    </row>
    <row r="6" spans="1:21" s="8" customFormat="1" ht="17.45" customHeight="1">
      <c r="A6" s="39"/>
      <c r="B6" s="93"/>
      <c r="C6" s="63"/>
      <c r="D6" s="63"/>
      <c r="E6" s="64"/>
      <c r="F6" s="65"/>
      <c r="G6" s="65"/>
      <c r="H6" s="65"/>
      <c r="I6" s="65"/>
      <c r="J6" s="65"/>
      <c r="K6" s="65"/>
      <c r="L6" s="65"/>
      <c r="M6" s="65"/>
      <c r="N6" s="66"/>
      <c r="O6" s="67"/>
      <c r="P6" s="67"/>
      <c r="Q6" s="95"/>
      <c r="R6" s="37"/>
      <c r="S6" s="37"/>
      <c r="T6" s="37"/>
      <c r="U6" s="38"/>
    </row>
    <row r="7" spans="1:21" s="8" customFormat="1" ht="17.45" customHeight="1">
      <c r="A7" s="39"/>
      <c r="B7" s="96"/>
      <c r="C7" s="68"/>
      <c r="D7" s="68"/>
      <c r="E7" s="69"/>
      <c r="F7" s="69"/>
      <c r="G7" s="69"/>
      <c r="H7" s="69"/>
      <c r="I7" s="69"/>
      <c r="J7" s="69"/>
      <c r="K7" s="69"/>
      <c r="L7" s="69"/>
      <c r="M7" s="55"/>
      <c r="N7" s="67"/>
      <c r="O7" s="67"/>
      <c r="P7" s="67"/>
      <c r="Q7" s="95"/>
      <c r="R7" s="37"/>
      <c r="S7" s="37"/>
      <c r="T7" s="37"/>
      <c r="U7" s="38"/>
    </row>
    <row r="8" spans="1:21" s="8" customFormat="1" ht="17.45" customHeight="1">
      <c r="A8" s="39"/>
      <c r="B8" s="97"/>
      <c r="C8" s="70"/>
      <c r="D8" s="70"/>
      <c r="E8" s="71"/>
      <c r="F8" s="72"/>
      <c r="G8" s="72"/>
      <c r="H8" s="72"/>
      <c r="I8" s="73"/>
      <c r="J8" s="73"/>
      <c r="K8" s="73"/>
      <c r="L8" s="74"/>
      <c r="M8" s="55"/>
      <c r="N8" s="55"/>
      <c r="O8" s="67"/>
      <c r="P8" s="67"/>
      <c r="Q8" s="95"/>
      <c r="R8" s="37"/>
      <c r="S8" s="37"/>
      <c r="T8" s="37"/>
      <c r="U8" s="38"/>
    </row>
    <row r="9" spans="1:21" s="8" customFormat="1" ht="17.45" customHeight="1">
      <c r="A9" s="39"/>
      <c r="B9" s="97"/>
      <c r="C9" s="70"/>
      <c r="D9" s="75"/>
      <c r="E9" s="73"/>
      <c r="F9" s="73"/>
      <c r="G9" s="73"/>
      <c r="H9" s="73"/>
      <c r="I9" s="73"/>
      <c r="J9" s="73"/>
      <c r="K9" s="73"/>
      <c r="L9" s="74"/>
      <c r="M9" s="55"/>
      <c r="N9" s="55"/>
      <c r="O9" s="67"/>
      <c r="P9" s="55"/>
      <c r="Q9" s="94"/>
      <c r="R9" s="37"/>
      <c r="S9" s="37"/>
      <c r="T9" s="37"/>
      <c r="U9" s="38"/>
    </row>
    <row r="10" spans="1:21" s="8" customFormat="1" ht="17.45" customHeight="1">
      <c r="A10" s="39"/>
      <c r="B10" s="97"/>
      <c r="C10" s="70"/>
      <c r="D10" s="76"/>
      <c r="E10" s="77"/>
      <c r="F10" s="73"/>
      <c r="G10" s="73"/>
      <c r="H10" s="73"/>
      <c r="I10" s="73"/>
      <c r="J10" s="73"/>
      <c r="K10" s="73"/>
      <c r="L10" s="74"/>
      <c r="M10" s="55"/>
      <c r="N10" s="55"/>
      <c r="O10" s="67"/>
      <c r="P10" s="55"/>
      <c r="Q10" s="94"/>
      <c r="R10" s="37"/>
      <c r="S10" s="37"/>
      <c r="T10" s="37"/>
      <c r="U10" s="38"/>
    </row>
    <row r="11" spans="1:21" s="8" customFormat="1" ht="12" customHeight="1">
      <c r="A11" s="39"/>
      <c r="B11" s="97"/>
      <c r="C11" s="70"/>
      <c r="D11" s="78"/>
      <c r="E11" s="73"/>
      <c r="F11" s="73"/>
      <c r="G11" s="73"/>
      <c r="H11" s="73"/>
      <c r="I11" s="73"/>
      <c r="J11" s="73"/>
      <c r="K11" s="73"/>
      <c r="L11" s="79"/>
      <c r="M11" s="79"/>
      <c r="N11" s="79"/>
      <c r="O11" s="80"/>
      <c r="P11" s="55"/>
      <c r="Q11" s="94"/>
      <c r="R11" s="37"/>
      <c r="S11" s="37"/>
      <c r="T11" s="37"/>
      <c r="U11" s="38"/>
    </row>
    <row r="12" spans="1:21" s="8" customFormat="1" ht="17.45" customHeight="1">
      <c r="A12" s="39"/>
      <c r="B12" s="97"/>
      <c r="C12" s="70"/>
      <c r="D12" s="70"/>
      <c r="E12" s="73"/>
      <c r="F12" s="73"/>
      <c r="G12" s="73"/>
      <c r="H12" s="73"/>
      <c r="I12" s="73"/>
      <c r="J12" s="73"/>
      <c r="K12" s="73"/>
      <c r="L12" s="81"/>
      <c r="M12" s="79"/>
      <c r="N12" s="79"/>
      <c r="O12" s="80"/>
      <c r="P12" s="82"/>
      <c r="Q12" s="94"/>
      <c r="R12" s="37"/>
      <c r="S12" s="37"/>
      <c r="T12" s="37"/>
      <c r="U12" s="38"/>
    </row>
    <row r="13" spans="1:21" s="8" customFormat="1" ht="17.25" customHeight="1">
      <c r="A13" s="39"/>
      <c r="B13" s="98"/>
      <c r="C13" s="70"/>
      <c r="D13" s="70"/>
      <c r="E13" s="83"/>
      <c r="F13" s="73"/>
      <c r="G13" s="73"/>
      <c r="H13" s="73"/>
      <c r="I13" s="73"/>
      <c r="J13" s="73"/>
      <c r="K13" s="73"/>
      <c r="L13" s="81"/>
      <c r="M13" s="79"/>
      <c r="N13" s="79"/>
      <c r="O13" s="80"/>
      <c r="P13" s="82"/>
      <c r="Q13" s="94"/>
      <c r="R13" s="37"/>
      <c r="S13" s="37"/>
      <c r="T13" s="37"/>
      <c r="U13" s="38"/>
    </row>
    <row r="14" spans="1:21" s="8" customFormat="1" ht="17.25" customHeight="1">
      <c r="A14" s="39"/>
      <c r="B14" s="98"/>
      <c r="C14" s="84"/>
      <c r="D14" s="70"/>
      <c r="E14" s="73"/>
      <c r="F14" s="73"/>
      <c r="G14" s="73"/>
      <c r="H14" s="73"/>
      <c r="I14" s="73"/>
      <c r="J14" s="73"/>
      <c r="K14" s="73"/>
      <c r="L14" s="81"/>
      <c r="M14" s="79"/>
      <c r="N14" s="79"/>
      <c r="O14" s="80"/>
      <c r="P14" s="82"/>
      <c r="Q14" s="94"/>
      <c r="R14" s="37"/>
      <c r="S14" s="37"/>
      <c r="T14" s="37"/>
      <c r="U14" s="38"/>
    </row>
    <row r="15" spans="1:21" s="8" customFormat="1" ht="17.45" customHeight="1">
      <c r="A15" s="43"/>
      <c r="B15" s="98"/>
      <c r="C15" s="70"/>
      <c r="D15" s="70"/>
      <c r="E15" s="73"/>
      <c r="F15" s="73"/>
      <c r="G15" s="73"/>
      <c r="H15" s="73"/>
      <c r="I15" s="73"/>
      <c r="J15" s="73"/>
      <c r="K15" s="73"/>
      <c r="L15" s="81"/>
      <c r="M15" s="79"/>
      <c r="N15" s="79"/>
      <c r="O15" s="80"/>
      <c r="P15" s="85"/>
      <c r="Q15" s="99"/>
      <c r="R15" s="37"/>
      <c r="S15" s="37"/>
      <c r="T15" s="37"/>
      <c r="U15" s="38"/>
    </row>
    <row r="16" spans="1:21" s="8" customFormat="1" ht="17.45" customHeight="1">
      <c r="A16" s="43"/>
      <c r="B16" s="97"/>
      <c r="C16" s="70"/>
      <c r="D16" s="70"/>
      <c r="E16" s="86"/>
      <c r="F16" s="73"/>
      <c r="G16" s="73"/>
      <c r="H16" s="73"/>
      <c r="I16" s="73"/>
      <c r="J16" s="73"/>
      <c r="K16" s="73"/>
      <c r="L16" s="81"/>
      <c r="M16" s="79"/>
      <c r="N16" s="79"/>
      <c r="O16" s="80"/>
      <c r="P16" s="85"/>
      <c r="Q16" s="99"/>
      <c r="R16" s="37"/>
      <c r="S16" s="37"/>
      <c r="T16" s="37"/>
      <c r="U16" s="38"/>
    </row>
    <row r="17" spans="1:21" s="8" customFormat="1" ht="17.45" customHeight="1">
      <c r="A17" s="43"/>
      <c r="B17" s="98"/>
      <c r="C17" s="70"/>
      <c r="D17" s="70"/>
      <c r="E17" s="73"/>
      <c r="F17" s="73"/>
      <c r="G17" s="73"/>
      <c r="H17" s="73"/>
      <c r="I17" s="73"/>
      <c r="J17" s="73"/>
      <c r="K17" s="73"/>
      <c r="L17" s="81"/>
      <c r="M17" s="79"/>
      <c r="N17" s="79"/>
      <c r="O17" s="80"/>
      <c r="P17" s="85"/>
      <c r="Q17" s="94"/>
      <c r="R17" s="37"/>
      <c r="S17" s="37"/>
      <c r="T17" s="37"/>
      <c r="U17" s="38"/>
    </row>
    <row r="18" spans="1:21" s="8" customFormat="1" ht="17.25" customHeight="1">
      <c r="A18" s="43"/>
      <c r="B18" s="98"/>
      <c r="C18" s="70"/>
      <c r="D18" s="70"/>
      <c r="E18" s="73"/>
      <c r="F18" s="73"/>
      <c r="G18" s="73"/>
      <c r="H18" s="73"/>
      <c r="I18" s="73"/>
      <c r="J18" s="73"/>
      <c r="K18" s="73"/>
      <c r="L18" s="81"/>
      <c r="M18" s="79"/>
      <c r="N18" s="79"/>
      <c r="O18" s="80"/>
      <c r="P18" s="85"/>
      <c r="Q18" s="94"/>
      <c r="R18" s="37"/>
      <c r="S18" s="37"/>
      <c r="T18" s="37"/>
      <c r="U18" s="38"/>
    </row>
    <row r="19" spans="1:21" s="8" customFormat="1" ht="17.45" customHeight="1">
      <c r="A19" s="43"/>
      <c r="B19" s="97"/>
      <c r="C19" s="70"/>
      <c r="D19" s="70"/>
      <c r="E19" s="73"/>
      <c r="F19" s="73"/>
      <c r="G19" s="73"/>
      <c r="H19" s="73"/>
      <c r="I19" s="73"/>
      <c r="J19" s="73"/>
      <c r="K19" s="73"/>
      <c r="L19" s="87"/>
      <c r="M19" s="79"/>
      <c r="N19" s="79"/>
      <c r="O19" s="80"/>
      <c r="P19" s="85"/>
      <c r="Q19" s="99"/>
      <c r="R19" s="37"/>
      <c r="S19" s="37"/>
      <c r="T19" s="37"/>
      <c r="U19" s="38"/>
    </row>
    <row r="20" spans="1:21" s="8" customFormat="1" ht="17.45" customHeight="1">
      <c r="A20" s="43"/>
      <c r="B20" s="97"/>
      <c r="C20" s="70"/>
      <c r="D20" s="70"/>
      <c r="E20" s="73"/>
      <c r="F20" s="73"/>
      <c r="G20" s="73"/>
      <c r="H20" s="73"/>
      <c r="I20" s="73"/>
      <c r="J20" s="73"/>
      <c r="K20" s="73"/>
      <c r="L20" s="87"/>
      <c r="M20" s="79"/>
      <c r="N20" s="79"/>
      <c r="O20" s="80"/>
      <c r="P20" s="88"/>
      <c r="Q20" s="100"/>
      <c r="R20" s="37"/>
      <c r="S20" s="37"/>
      <c r="T20" s="37"/>
      <c r="U20" s="38"/>
    </row>
    <row r="21" spans="1:21" s="8" customFormat="1" ht="17.45" customHeight="1">
      <c r="A21" s="43"/>
      <c r="B21" s="101"/>
      <c r="C21" s="102"/>
      <c r="D21" s="102"/>
      <c r="E21" s="103"/>
      <c r="F21" s="103"/>
      <c r="G21" s="103"/>
      <c r="H21" s="103"/>
      <c r="I21" s="103"/>
      <c r="J21" s="103"/>
      <c r="K21" s="103"/>
      <c r="L21" s="104"/>
      <c r="M21" s="105"/>
      <c r="N21" s="105"/>
      <c r="O21" s="106"/>
      <c r="P21" s="107"/>
      <c r="Q21" s="108"/>
      <c r="R21" s="37"/>
      <c r="S21" s="37"/>
      <c r="T21" s="37"/>
      <c r="U21" s="38"/>
    </row>
    <row r="22" spans="1:21" s="8" customFormat="1" ht="17.45" customHeight="1">
      <c r="A22" s="43"/>
      <c r="B22" s="48"/>
      <c r="C22" s="49"/>
      <c r="D22" s="49"/>
      <c r="E22" s="50"/>
      <c r="F22" s="41"/>
      <c r="G22" s="41"/>
      <c r="H22" s="41"/>
      <c r="I22" s="41"/>
      <c r="J22" s="41"/>
      <c r="K22" s="41"/>
      <c r="L22" s="44"/>
      <c r="M22" s="42"/>
      <c r="N22" s="42"/>
      <c r="O22" s="47"/>
      <c r="P22" s="45"/>
      <c r="Q22" s="46"/>
      <c r="R22" s="37"/>
      <c r="S22" s="37"/>
      <c r="T22" s="37"/>
      <c r="U22" s="38"/>
    </row>
    <row r="23" spans="1:21" s="8" customFormat="1" ht="15" customHeight="1">
      <c r="A23" s="51"/>
      <c r="B23" s="52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2"/>
      <c r="R23" s="51"/>
      <c r="S23" s="52"/>
      <c r="T23" s="53"/>
      <c r="U23" s="52"/>
    </row>
    <row r="24" spans="1:21" s="8" customFormat="1" ht="15" customHeight="1">
      <c r="A24" s="51"/>
      <c r="B24" s="52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2"/>
      <c r="R24" s="51"/>
      <c r="S24" s="52"/>
      <c r="T24" s="53"/>
      <c r="U24" s="52"/>
    </row>
    <row r="25" spans="1:21" s="8" customFormat="1" ht="15" customHeight="1">
      <c r="A25" s="51"/>
      <c r="B25" s="52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2"/>
      <c r="R25" s="51"/>
      <c r="S25" s="52"/>
      <c r="T25" s="53"/>
      <c r="U25" s="52"/>
    </row>
    <row r="26" spans="1:21">
      <c r="A26" s="51"/>
      <c r="B26" s="52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2"/>
      <c r="R26" s="51"/>
      <c r="S26" s="52"/>
      <c r="T26" s="53"/>
      <c r="U26" s="54"/>
    </row>
    <row r="27" spans="1:21">
      <c r="A27" s="51"/>
      <c r="B27" s="52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2"/>
      <c r="R27" s="51"/>
      <c r="S27" s="52"/>
      <c r="T27" s="53"/>
      <c r="U27" s="54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4" t="s">
        <v>23</v>
      </c>
    </row>
    <row r="72" spans="2:2">
      <c r="B72" s="15" t="s">
        <v>25</v>
      </c>
    </row>
    <row r="73" spans="2:2">
      <c r="B73" s="16" t="s">
        <v>29</v>
      </c>
    </row>
    <row r="74" spans="2:2">
      <c r="B74" s="17"/>
    </row>
    <row r="76" spans="2:2">
      <c r="B76" s="14" t="s">
        <v>23</v>
      </c>
    </row>
    <row r="77" spans="2:2">
      <c r="B77" s="15" t="s">
        <v>26</v>
      </c>
    </row>
    <row r="78" spans="2:2">
      <c r="B78" s="16" t="s">
        <v>30</v>
      </c>
    </row>
    <row r="79" spans="2:2">
      <c r="B79" s="17"/>
    </row>
    <row r="81" spans="2:2">
      <c r="B81" s="14" t="s">
        <v>31</v>
      </c>
    </row>
    <row r="82" spans="2:2">
      <c r="B82" s="15" t="s">
        <v>20</v>
      </c>
    </row>
    <row r="83" spans="2:2">
      <c r="B83" s="16" t="s">
        <v>27</v>
      </c>
    </row>
    <row r="84" spans="2:2">
      <c r="B84" s="16" t="s">
        <v>32</v>
      </c>
    </row>
    <row r="85" spans="2:2">
      <c r="B85" s="16" t="s">
        <v>33</v>
      </c>
    </row>
    <row r="86" spans="2:2">
      <c r="B86" s="16" t="s">
        <v>34</v>
      </c>
    </row>
    <row r="87" spans="2:2">
      <c r="B87" s="17" t="s">
        <v>35</v>
      </c>
    </row>
    <row r="88" spans="2:2">
      <c r="B88" s="5"/>
    </row>
    <row r="89" spans="2:2">
      <c r="B89" s="14" t="s">
        <v>36</v>
      </c>
    </row>
    <row r="90" spans="2:2">
      <c r="B90" s="18">
        <v>23</v>
      </c>
    </row>
    <row r="91" spans="2:2">
      <c r="B91" s="19">
        <v>27</v>
      </c>
    </row>
    <row r="92" spans="2:2">
      <c r="B92" s="19">
        <v>31</v>
      </c>
    </row>
    <row r="93" spans="2:2">
      <c r="B93" s="19">
        <v>41</v>
      </c>
    </row>
    <row r="94" spans="2:2">
      <c r="B94" s="20" t="s">
        <v>37</v>
      </c>
    </row>
    <row r="95" spans="2:2">
      <c r="B95" s="20" t="s">
        <v>38</v>
      </c>
    </row>
    <row r="96" spans="2:2">
      <c r="B96" s="20" t="s">
        <v>28</v>
      </c>
    </row>
    <row r="97" spans="2:2">
      <c r="B97" s="21" t="s">
        <v>39</v>
      </c>
    </row>
    <row r="98" spans="2:2">
      <c r="B98" s="5"/>
    </row>
    <row r="99" spans="2:2">
      <c r="B99" s="14" t="s">
        <v>24</v>
      </c>
    </row>
    <row r="100" spans="2:2">
      <c r="B100" s="22">
        <v>190</v>
      </c>
    </row>
    <row r="101" spans="2:2">
      <c r="B101" s="23">
        <v>217</v>
      </c>
    </row>
    <row r="102" spans="2:2">
      <c r="B102" s="23">
        <v>250</v>
      </c>
    </row>
    <row r="103" spans="2:2">
      <c r="B103" s="23">
        <v>254</v>
      </c>
    </row>
    <row r="104" spans="2:2">
      <c r="B104" s="23">
        <v>271</v>
      </c>
    </row>
    <row r="105" spans="2:2">
      <c r="B105" s="23">
        <v>304</v>
      </c>
    </row>
    <row r="106" spans="2:2">
      <c r="B106" s="23">
        <v>317</v>
      </c>
    </row>
    <row r="107" spans="2:2">
      <c r="B107" s="23">
        <v>362</v>
      </c>
    </row>
    <row r="108" spans="2:2">
      <c r="B108" s="24"/>
    </row>
    <row r="109" spans="2:2">
      <c r="B109" s="5"/>
    </row>
    <row r="110" spans="2:2">
      <c r="B110" s="14" t="s">
        <v>40</v>
      </c>
    </row>
    <row r="111" spans="2:2">
      <c r="B111" s="15" t="s">
        <v>41</v>
      </c>
    </row>
    <row r="112" spans="2:2">
      <c r="B112" s="16" t="s">
        <v>42</v>
      </c>
    </row>
    <row r="113" spans="2:2">
      <c r="B113" s="16" t="s">
        <v>43</v>
      </c>
    </row>
    <row r="114" spans="2:2">
      <c r="B114" s="17" t="s">
        <v>15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H1803"/>
  <sheetViews>
    <sheetView showGridLines="0" tabSelected="1" zoomScaleNormal="100" workbookViewId="0">
      <pane xSplit="13" ySplit="4" topLeftCell="O5" activePane="bottomRight" state="frozen"/>
      <selection pane="topRight" activeCell="J1" sqref="J1"/>
      <selection pane="bottomLeft" activeCell="A5" sqref="A5"/>
      <selection pane="bottomRight" activeCell="E8" sqref="E8"/>
    </sheetView>
  </sheetViews>
  <sheetFormatPr baseColWidth="10" defaultRowHeight="15"/>
  <cols>
    <col min="1" max="1" width="5.375" customWidth="1"/>
    <col min="2" max="2" width="7.5" customWidth="1"/>
    <col min="3" max="3" width="4.875" customWidth="1"/>
    <col min="4" max="4" width="5.875" customWidth="1"/>
    <col min="5" max="5" width="16.625" style="3" customWidth="1"/>
    <col min="6" max="6" width="12" style="3" customWidth="1"/>
    <col min="7" max="7" width="13.875" style="3" customWidth="1"/>
    <col min="8" max="8" width="9.75" style="27" customWidth="1"/>
    <col min="9" max="9" width="9.5" style="27" customWidth="1"/>
    <col min="10" max="10" width="9.75" style="27" customWidth="1"/>
    <col min="11" max="11" width="8.5" style="27" customWidth="1"/>
    <col min="12" max="12" width="8.875" style="7" customWidth="1"/>
    <col min="13" max="13" width="10.375" style="7" customWidth="1"/>
    <col min="14" max="14" width="8.625" style="3" customWidth="1"/>
    <col min="15" max="21" width="8.625" style="4" customWidth="1"/>
    <col min="22" max="23" width="8.625" style="3" customWidth="1"/>
    <col min="24" max="27" width="11" style="9"/>
    <col min="28" max="29" width="15.625" style="9" customWidth="1"/>
    <col min="30" max="112" width="11" style="9"/>
  </cols>
  <sheetData>
    <row r="1" spans="1:112" ht="30" customHeight="1" thickBot="1">
      <c r="F1" s="205" t="s">
        <v>18</v>
      </c>
      <c r="G1" s="205"/>
      <c r="H1" s="205"/>
      <c r="I1" s="205"/>
      <c r="J1" s="205"/>
      <c r="K1" s="205"/>
      <c r="L1" s="205"/>
      <c r="M1" s="205"/>
      <c r="N1" s="4"/>
      <c r="O1" s="152" t="s">
        <v>113</v>
      </c>
      <c r="P1" s="152"/>
      <c r="Q1" s="152"/>
      <c r="R1" s="152"/>
      <c r="S1" s="152"/>
      <c r="T1" s="152"/>
      <c r="U1" s="152"/>
      <c r="V1" s="152"/>
      <c r="W1" s="152"/>
    </row>
    <row r="2" spans="1:112" ht="27.75" thickBot="1">
      <c r="E2" s="173"/>
      <c r="F2" s="205" t="s">
        <v>114</v>
      </c>
      <c r="G2" s="205"/>
      <c r="H2" s="205"/>
      <c r="I2" s="205"/>
      <c r="J2" s="205"/>
      <c r="K2" s="205"/>
      <c r="L2" s="205"/>
      <c r="M2" s="205"/>
      <c r="N2" s="208" t="s">
        <v>90</v>
      </c>
      <c r="O2" s="209"/>
      <c r="P2" s="211" t="s">
        <v>91</v>
      </c>
      <c r="Q2" s="211"/>
      <c r="R2" s="211"/>
      <c r="S2" s="211"/>
      <c r="T2" s="211"/>
      <c r="U2" s="220"/>
      <c r="V2" s="210" t="s">
        <v>90</v>
      </c>
      <c r="W2" s="211"/>
      <c r="X2" s="197" t="s">
        <v>68</v>
      </c>
      <c r="Y2" s="198"/>
      <c r="Z2" s="198"/>
      <c r="AA2" s="198"/>
      <c r="AB2" s="199" t="s">
        <v>69</v>
      </c>
      <c r="AC2" s="199"/>
      <c r="AD2" s="200" t="s">
        <v>70</v>
      </c>
      <c r="AE2" s="200"/>
      <c r="AF2" s="200"/>
      <c r="AG2" s="200"/>
      <c r="AH2" s="201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6.25">
      <c r="E3" s="174"/>
      <c r="F3" s="206" t="s">
        <v>105</v>
      </c>
      <c r="G3" s="206"/>
      <c r="H3" s="206"/>
      <c r="I3" s="206"/>
      <c r="J3" s="206"/>
      <c r="K3" s="206"/>
      <c r="L3" s="206"/>
      <c r="M3" s="207"/>
      <c r="N3" s="214" t="s">
        <v>89</v>
      </c>
      <c r="O3" s="215"/>
      <c r="P3" s="216" t="s">
        <v>65</v>
      </c>
      <c r="Q3" s="217"/>
      <c r="R3" s="216" t="s">
        <v>88</v>
      </c>
      <c r="S3" s="217"/>
      <c r="T3" s="218" t="s">
        <v>86</v>
      </c>
      <c r="U3" s="219"/>
      <c r="V3" s="212" t="s">
        <v>87</v>
      </c>
      <c r="W3" s="213"/>
      <c r="X3" s="202" t="s">
        <v>71</v>
      </c>
      <c r="Y3" s="203"/>
      <c r="Z3" s="175" t="s">
        <v>72</v>
      </c>
      <c r="AA3" s="175" t="s">
        <v>73</v>
      </c>
      <c r="AB3" s="176" t="s">
        <v>74</v>
      </c>
      <c r="AC3" s="176" t="s">
        <v>75</v>
      </c>
      <c r="AD3" s="204" t="s">
        <v>76</v>
      </c>
      <c r="AE3" s="204"/>
      <c r="AF3" s="204" t="s">
        <v>72</v>
      </c>
      <c r="AG3" s="204"/>
      <c r="AH3" s="177" t="s">
        <v>73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s="193" customFormat="1" ht="45">
      <c r="A4" s="188" t="s">
        <v>23</v>
      </c>
      <c r="B4" s="188" t="s">
        <v>106</v>
      </c>
      <c r="C4" s="188" t="s">
        <v>107</v>
      </c>
      <c r="D4" s="188" t="s">
        <v>19</v>
      </c>
      <c r="E4" s="188" t="s">
        <v>1</v>
      </c>
      <c r="F4" s="188" t="s">
        <v>108</v>
      </c>
      <c r="G4" s="188" t="s">
        <v>5</v>
      </c>
      <c r="H4" s="188" t="s">
        <v>52</v>
      </c>
      <c r="I4" s="188" t="s">
        <v>57</v>
      </c>
      <c r="J4" s="188" t="s">
        <v>109</v>
      </c>
      <c r="K4" s="188" t="s">
        <v>21</v>
      </c>
      <c r="L4" s="188" t="s">
        <v>22</v>
      </c>
      <c r="M4" s="188" t="s">
        <v>110</v>
      </c>
      <c r="N4" s="189" t="s">
        <v>17</v>
      </c>
      <c r="O4" s="189" t="s">
        <v>2</v>
      </c>
      <c r="P4" s="189" t="s">
        <v>17</v>
      </c>
      <c r="Q4" s="189" t="s">
        <v>2</v>
      </c>
      <c r="R4" s="189" t="s">
        <v>17</v>
      </c>
      <c r="S4" s="189" t="s">
        <v>2</v>
      </c>
      <c r="T4" s="189" t="s">
        <v>17</v>
      </c>
      <c r="U4" s="189" t="s">
        <v>2</v>
      </c>
      <c r="V4" s="189" t="s">
        <v>17</v>
      </c>
      <c r="W4" s="189" t="s">
        <v>2</v>
      </c>
      <c r="X4" s="190" t="s">
        <v>77</v>
      </c>
      <c r="Y4" s="190" t="s">
        <v>78</v>
      </c>
      <c r="Z4" s="190" t="s">
        <v>77</v>
      </c>
      <c r="AA4" s="190" t="s">
        <v>79</v>
      </c>
      <c r="AB4" s="191" t="s">
        <v>80</v>
      </c>
      <c r="AC4" s="191" t="s">
        <v>81</v>
      </c>
      <c r="AD4" s="192" t="s">
        <v>77</v>
      </c>
      <c r="AE4" s="192" t="s">
        <v>78</v>
      </c>
      <c r="AF4" s="192" t="s">
        <v>77</v>
      </c>
      <c r="AG4" s="192" t="s">
        <v>82</v>
      </c>
      <c r="AH4" s="192" t="s">
        <v>79</v>
      </c>
    </row>
    <row r="5" spans="1:112" s="194" customFormat="1">
      <c r="A5" s="162" t="s">
        <v>111</v>
      </c>
      <c r="B5" s="162">
        <v>141.30000000000001</v>
      </c>
      <c r="C5" s="162">
        <v>19</v>
      </c>
      <c r="D5" s="162" t="s">
        <v>112</v>
      </c>
      <c r="E5" s="158">
        <v>44249</v>
      </c>
      <c r="F5" s="158" t="s">
        <v>100</v>
      </c>
      <c r="G5" s="159">
        <v>12407</v>
      </c>
      <c r="H5" s="160">
        <v>91839</v>
      </c>
      <c r="I5" s="160">
        <v>4352995</v>
      </c>
      <c r="J5" s="160">
        <v>776</v>
      </c>
      <c r="K5" s="160">
        <v>61</v>
      </c>
      <c r="L5" s="161">
        <v>2.94</v>
      </c>
      <c r="M5" s="159">
        <v>5</v>
      </c>
      <c r="N5" s="165">
        <v>97.7</v>
      </c>
      <c r="O5" s="164">
        <v>110.4</v>
      </c>
      <c r="P5" s="164"/>
      <c r="Q5" s="164"/>
      <c r="R5" s="164"/>
      <c r="S5" s="164"/>
      <c r="T5" s="164"/>
      <c r="U5" s="164"/>
      <c r="V5" s="159">
        <v>99.4</v>
      </c>
      <c r="W5" s="165">
        <v>112.4</v>
      </c>
      <c r="X5" s="162">
        <v>870</v>
      </c>
      <c r="Y5" s="162">
        <v>800</v>
      </c>
      <c r="Z5" s="162">
        <v>920</v>
      </c>
      <c r="AA5" s="162">
        <v>145</v>
      </c>
      <c r="AB5" s="163">
        <v>0.1</v>
      </c>
      <c r="AC5" s="162">
        <v>1750</v>
      </c>
      <c r="AD5" s="162">
        <v>715</v>
      </c>
      <c r="AE5" s="162">
        <v>650</v>
      </c>
      <c r="AF5" s="162">
        <v>715</v>
      </c>
      <c r="AG5" s="162">
        <v>715</v>
      </c>
      <c r="AH5" s="162">
        <v>145</v>
      </c>
    </row>
    <row r="6" spans="1:112" s="194" customFormat="1">
      <c r="A6" s="162" t="s">
        <v>111</v>
      </c>
      <c r="B6" s="162">
        <v>141.30000000000001</v>
      </c>
      <c r="C6" s="162">
        <v>19</v>
      </c>
      <c r="D6" s="162" t="s">
        <v>112</v>
      </c>
      <c r="E6" s="158">
        <v>44249</v>
      </c>
      <c r="F6" s="158" t="s">
        <v>100</v>
      </c>
      <c r="G6" s="159">
        <v>12407</v>
      </c>
      <c r="H6" s="160">
        <v>91839</v>
      </c>
      <c r="I6" s="160">
        <v>4352995</v>
      </c>
      <c r="J6" s="160">
        <v>776</v>
      </c>
      <c r="K6" s="160">
        <v>61</v>
      </c>
      <c r="L6" s="161">
        <v>2.94</v>
      </c>
      <c r="M6" s="159">
        <v>11</v>
      </c>
      <c r="N6" s="165">
        <v>94.1</v>
      </c>
      <c r="O6" s="164">
        <v>108.5</v>
      </c>
      <c r="P6" s="164"/>
      <c r="Q6" s="164"/>
      <c r="R6" s="164"/>
      <c r="S6" s="164"/>
      <c r="T6" s="164"/>
      <c r="U6" s="164"/>
      <c r="V6" s="159">
        <v>98.9</v>
      </c>
      <c r="W6" s="165">
        <v>112.5</v>
      </c>
      <c r="X6" s="162">
        <v>870</v>
      </c>
      <c r="Y6" s="162">
        <v>800</v>
      </c>
      <c r="Z6" s="162">
        <v>920</v>
      </c>
      <c r="AA6" s="162">
        <v>145</v>
      </c>
      <c r="AB6" s="163">
        <v>0.1</v>
      </c>
      <c r="AC6" s="162">
        <v>1750</v>
      </c>
      <c r="AD6" s="162">
        <v>715</v>
      </c>
      <c r="AE6" s="162">
        <v>650</v>
      </c>
      <c r="AF6" s="162">
        <v>715</v>
      </c>
      <c r="AG6" s="162">
        <v>715</v>
      </c>
      <c r="AH6" s="162">
        <v>145</v>
      </c>
    </row>
    <row r="7" spans="1:112" s="194" customFormat="1">
      <c r="A7" s="162" t="s">
        <v>111</v>
      </c>
      <c r="B7" s="162">
        <v>141.30000000000001</v>
      </c>
      <c r="C7" s="162">
        <v>19</v>
      </c>
      <c r="D7" s="162" t="s">
        <v>112</v>
      </c>
      <c r="E7" s="158">
        <v>44249</v>
      </c>
      <c r="F7" s="158" t="s">
        <v>100</v>
      </c>
      <c r="G7" s="159">
        <v>12408</v>
      </c>
      <c r="H7" s="160">
        <v>91840</v>
      </c>
      <c r="I7" s="160">
        <v>4352995</v>
      </c>
      <c r="J7" s="160">
        <v>776</v>
      </c>
      <c r="K7" s="160">
        <v>62</v>
      </c>
      <c r="L7" s="161">
        <v>2.92</v>
      </c>
      <c r="M7" s="159">
        <v>4</v>
      </c>
      <c r="N7" s="165">
        <v>96.2</v>
      </c>
      <c r="O7" s="164">
        <v>109.9</v>
      </c>
      <c r="P7" s="164"/>
      <c r="Q7" s="164"/>
      <c r="R7" s="164"/>
      <c r="S7" s="164"/>
      <c r="T7" s="164"/>
      <c r="U7" s="164"/>
      <c r="V7" s="159">
        <v>99.3</v>
      </c>
      <c r="W7" s="165">
        <v>113.6</v>
      </c>
      <c r="X7" s="162">
        <v>870</v>
      </c>
      <c r="Y7" s="162">
        <v>800</v>
      </c>
      <c r="Z7" s="162">
        <v>920</v>
      </c>
      <c r="AA7" s="162">
        <v>145</v>
      </c>
      <c r="AB7" s="163">
        <v>0.1</v>
      </c>
      <c r="AC7" s="162">
        <v>1750</v>
      </c>
      <c r="AD7" s="162">
        <v>715</v>
      </c>
      <c r="AE7" s="162">
        <v>650</v>
      </c>
      <c r="AF7" s="162">
        <v>715</v>
      </c>
      <c r="AG7" s="162">
        <v>715</v>
      </c>
      <c r="AH7" s="162">
        <v>145</v>
      </c>
    </row>
    <row r="8" spans="1:112" s="194" customFormat="1">
      <c r="E8" s="158"/>
      <c r="F8" s="158"/>
      <c r="G8" s="159"/>
      <c r="H8" s="160"/>
      <c r="I8" s="160"/>
      <c r="J8" s="160"/>
      <c r="K8" s="160"/>
      <c r="L8" s="159"/>
      <c r="M8" s="159"/>
      <c r="N8" s="165"/>
      <c r="O8" s="164"/>
      <c r="P8" s="164"/>
      <c r="Q8" s="164"/>
      <c r="R8" s="164"/>
      <c r="S8" s="164"/>
      <c r="T8" s="164"/>
      <c r="U8" s="164"/>
      <c r="V8" s="159"/>
      <c r="W8" s="165"/>
      <c r="X8" s="162"/>
      <c r="Y8" s="162"/>
      <c r="Z8" s="162"/>
      <c r="AA8" s="162"/>
      <c r="AB8" s="163"/>
      <c r="AC8" s="162"/>
      <c r="AD8" s="162"/>
      <c r="AE8" s="162"/>
      <c r="AF8" s="162"/>
      <c r="AG8" s="162"/>
      <c r="AH8" s="162"/>
    </row>
    <row r="9" spans="1:112" s="194" customFormat="1">
      <c r="E9" s="158"/>
      <c r="F9" s="158"/>
      <c r="G9" s="159"/>
      <c r="H9" s="160"/>
      <c r="I9" s="160"/>
      <c r="J9" s="160"/>
      <c r="K9" s="160"/>
      <c r="L9" s="159"/>
      <c r="M9" s="159"/>
      <c r="N9" s="165"/>
      <c r="O9" s="164"/>
      <c r="P9" s="164"/>
      <c r="Q9" s="164"/>
      <c r="R9" s="164"/>
      <c r="S9" s="164"/>
      <c r="T9" s="164"/>
      <c r="U9" s="164"/>
      <c r="V9" s="159"/>
      <c r="W9" s="165"/>
      <c r="X9" s="162"/>
      <c r="Y9" s="162"/>
      <c r="Z9" s="162"/>
      <c r="AA9" s="162"/>
      <c r="AB9" s="163"/>
      <c r="AC9" s="162"/>
      <c r="AD9" s="162"/>
      <c r="AE9" s="162"/>
      <c r="AF9" s="162"/>
      <c r="AG9" s="162"/>
      <c r="AH9" s="162"/>
    </row>
    <row r="10" spans="1:112" s="194" customFormat="1">
      <c r="E10" s="158"/>
      <c r="F10" s="158"/>
      <c r="G10" s="159"/>
      <c r="H10" s="160"/>
      <c r="I10" s="160"/>
      <c r="J10" s="160"/>
      <c r="K10" s="160"/>
      <c r="L10" s="159"/>
      <c r="M10" s="159"/>
      <c r="N10" s="165"/>
      <c r="O10" s="164"/>
      <c r="P10" s="164"/>
      <c r="Q10" s="164"/>
      <c r="R10" s="164"/>
      <c r="S10" s="164"/>
      <c r="T10" s="164"/>
      <c r="U10" s="164"/>
      <c r="V10" s="159"/>
      <c r="W10" s="165"/>
      <c r="X10" s="162"/>
      <c r="Y10" s="162"/>
      <c r="Z10" s="162"/>
      <c r="AA10" s="162"/>
      <c r="AB10" s="163"/>
      <c r="AC10" s="162"/>
      <c r="AD10" s="162"/>
      <c r="AE10" s="162"/>
      <c r="AF10" s="162"/>
      <c r="AG10" s="162"/>
      <c r="AH10" s="162"/>
    </row>
    <row r="11" spans="1:112" s="194" customFormat="1">
      <c r="E11" s="158"/>
      <c r="F11" s="158"/>
      <c r="G11" s="159"/>
      <c r="H11" s="160"/>
      <c r="I11" s="160"/>
      <c r="J11" s="160"/>
      <c r="K11" s="160"/>
      <c r="L11" s="159"/>
      <c r="M11" s="159"/>
      <c r="N11" s="165"/>
      <c r="O11" s="164"/>
      <c r="P11" s="164"/>
      <c r="Q11" s="164"/>
      <c r="R11" s="164"/>
      <c r="S11" s="164"/>
      <c r="T11" s="164"/>
      <c r="U11" s="164"/>
      <c r="V11" s="159"/>
      <c r="W11" s="165"/>
      <c r="X11" s="162"/>
      <c r="Y11" s="162"/>
      <c r="Z11" s="162"/>
      <c r="AA11" s="162"/>
      <c r="AB11" s="163"/>
      <c r="AC11" s="162"/>
      <c r="AD11" s="162"/>
      <c r="AE11" s="162"/>
      <c r="AF11" s="162"/>
      <c r="AG11" s="162"/>
      <c r="AH11" s="162"/>
    </row>
    <row r="12" spans="1:112" s="194" customFormat="1">
      <c r="E12" s="158"/>
      <c r="F12" s="158"/>
      <c r="G12" s="159"/>
      <c r="H12" s="160"/>
      <c r="I12" s="160"/>
      <c r="J12" s="160"/>
      <c r="K12" s="160"/>
      <c r="L12" s="159"/>
      <c r="M12" s="159"/>
      <c r="N12" s="165"/>
      <c r="O12" s="164"/>
      <c r="P12" s="164"/>
      <c r="Q12" s="164"/>
      <c r="R12" s="164"/>
      <c r="S12" s="164"/>
      <c r="T12" s="164"/>
      <c r="U12" s="164"/>
      <c r="V12" s="159"/>
      <c r="W12" s="165"/>
      <c r="X12" s="162"/>
      <c r="Y12" s="162"/>
      <c r="Z12" s="162"/>
      <c r="AA12" s="162"/>
      <c r="AB12" s="163"/>
      <c r="AC12" s="162"/>
      <c r="AD12" s="162"/>
      <c r="AE12" s="162"/>
      <c r="AF12" s="162"/>
      <c r="AG12" s="162"/>
      <c r="AH12" s="162"/>
    </row>
    <row r="13" spans="1:112" s="194" customFormat="1">
      <c r="E13" s="158"/>
      <c r="F13" s="158"/>
      <c r="G13" s="159"/>
      <c r="H13" s="160"/>
      <c r="I13" s="160"/>
      <c r="J13" s="160"/>
      <c r="K13" s="160"/>
      <c r="L13" s="159"/>
      <c r="M13" s="159"/>
      <c r="N13" s="165"/>
      <c r="O13" s="164"/>
      <c r="P13" s="164"/>
      <c r="Q13" s="164"/>
      <c r="R13" s="164"/>
      <c r="S13" s="164"/>
      <c r="T13" s="164"/>
      <c r="U13" s="164"/>
      <c r="V13" s="159"/>
      <c r="W13" s="165"/>
      <c r="X13" s="162"/>
      <c r="Y13" s="162"/>
      <c r="Z13" s="162"/>
      <c r="AA13" s="162"/>
      <c r="AB13" s="163"/>
      <c r="AC13" s="162"/>
      <c r="AD13" s="162"/>
      <c r="AE13" s="162"/>
      <c r="AF13" s="162"/>
      <c r="AG13" s="162"/>
      <c r="AH13" s="162"/>
    </row>
    <row r="14" spans="1:112" s="194" customFormat="1">
      <c r="E14" s="158"/>
      <c r="F14" s="158"/>
      <c r="G14" s="159"/>
      <c r="H14" s="160"/>
      <c r="I14" s="160"/>
      <c r="N14" s="13"/>
      <c r="O14" s="164"/>
      <c r="P14" s="164"/>
      <c r="Q14" s="164"/>
      <c r="R14" s="164"/>
      <c r="S14" s="164"/>
      <c r="T14" s="164"/>
      <c r="U14" s="164"/>
      <c r="V14" s="165"/>
      <c r="W14" s="165"/>
      <c r="X14" s="162"/>
      <c r="Y14" s="162"/>
      <c r="Z14" s="162"/>
      <c r="AA14" s="162"/>
      <c r="AB14" s="163"/>
      <c r="AC14" s="162"/>
      <c r="AD14" s="162"/>
      <c r="AE14" s="162"/>
      <c r="AF14" s="162"/>
      <c r="AG14" s="162"/>
      <c r="AH14" s="162"/>
    </row>
    <row r="15" spans="1:112" s="194" customFormat="1">
      <c r="E15" s="158"/>
      <c r="F15" s="158"/>
      <c r="G15" s="159"/>
      <c r="H15" s="160"/>
      <c r="I15" s="160"/>
      <c r="J15" s="160"/>
      <c r="K15" s="160"/>
      <c r="L15" s="159"/>
      <c r="M15" s="159"/>
      <c r="N15" s="165"/>
      <c r="O15" s="164"/>
      <c r="P15" s="164"/>
      <c r="Q15" s="164"/>
      <c r="R15" s="164"/>
      <c r="S15" s="164"/>
      <c r="T15" s="164"/>
      <c r="U15" s="164"/>
      <c r="V15" s="159"/>
      <c r="W15" s="165"/>
      <c r="X15" s="162"/>
      <c r="Y15" s="162"/>
      <c r="Z15" s="162"/>
      <c r="AA15" s="162"/>
      <c r="AB15" s="163"/>
      <c r="AC15" s="162"/>
      <c r="AD15" s="162"/>
      <c r="AE15" s="162"/>
      <c r="AF15" s="162"/>
      <c r="AG15" s="162"/>
      <c r="AH15" s="162"/>
    </row>
    <row r="16" spans="1:112" s="194" customFormat="1" ht="14.25" customHeight="1">
      <c r="E16" s="158"/>
      <c r="F16" s="158"/>
      <c r="G16" s="159"/>
      <c r="H16" s="160"/>
      <c r="I16" s="160"/>
      <c r="J16" s="160"/>
      <c r="K16" s="160"/>
      <c r="L16" s="159"/>
      <c r="M16" s="159"/>
      <c r="N16" s="165"/>
      <c r="O16" s="164"/>
      <c r="P16" s="164"/>
      <c r="Q16" s="164"/>
      <c r="R16" s="164"/>
      <c r="S16" s="164"/>
      <c r="T16" s="164"/>
      <c r="U16" s="164"/>
      <c r="V16" s="159"/>
      <c r="W16" s="165"/>
      <c r="X16" s="162"/>
      <c r="Y16" s="162"/>
      <c r="Z16" s="162"/>
      <c r="AA16" s="162"/>
      <c r="AB16" s="163"/>
      <c r="AC16" s="162"/>
      <c r="AD16" s="162"/>
      <c r="AE16" s="162"/>
      <c r="AF16" s="162"/>
      <c r="AG16" s="162"/>
      <c r="AH16" s="162"/>
    </row>
    <row r="17" spans="5:34" s="194" customFormat="1">
      <c r="E17" s="158"/>
      <c r="F17" s="158"/>
      <c r="G17" s="159"/>
      <c r="H17" s="160"/>
      <c r="I17" s="160"/>
      <c r="J17" s="160"/>
      <c r="K17" s="160"/>
      <c r="L17" s="159"/>
      <c r="M17" s="159"/>
      <c r="N17" s="165"/>
      <c r="O17" s="164"/>
      <c r="P17" s="164"/>
      <c r="Q17" s="164"/>
      <c r="R17" s="164"/>
      <c r="S17" s="164"/>
      <c r="T17" s="164"/>
      <c r="U17" s="164"/>
      <c r="V17" s="159"/>
      <c r="W17" s="165"/>
      <c r="X17" s="162"/>
      <c r="Y17" s="162"/>
      <c r="Z17" s="162"/>
      <c r="AA17" s="162"/>
      <c r="AB17" s="163"/>
      <c r="AC17" s="162"/>
      <c r="AD17" s="162"/>
      <c r="AE17" s="162"/>
      <c r="AF17" s="162"/>
      <c r="AG17" s="162"/>
      <c r="AH17" s="162"/>
    </row>
    <row r="18" spans="5:34" s="194" customFormat="1">
      <c r="E18" s="158"/>
      <c r="F18" s="158"/>
      <c r="G18" s="159"/>
      <c r="H18" s="160"/>
      <c r="I18" s="160"/>
      <c r="J18" s="160"/>
      <c r="K18" s="160"/>
      <c r="L18" s="159"/>
      <c r="M18" s="159"/>
      <c r="N18" s="165"/>
      <c r="O18" s="164"/>
      <c r="P18" s="164"/>
      <c r="Q18" s="164"/>
      <c r="R18" s="164"/>
      <c r="S18" s="164"/>
      <c r="T18" s="164"/>
      <c r="U18" s="164"/>
      <c r="V18" s="159"/>
      <c r="W18" s="165"/>
      <c r="X18" s="162"/>
      <c r="Y18" s="162"/>
      <c r="Z18" s="162"/>
      <c r="AA18" s="162"/>
      <c r="AB18" s="163"/>
      <c r="AC18" s="162"/>
      <c r="AD18" s="162"/>
      <c r="AE18" s="162"/>
      <c r="AF18" s="162"/>
      <c r="AG18" s="162"/>
      <c r="AH18" s="162"/>
    </row>
    <row r="19" spans="5:34" s="194" customFormat="1">
      <c r="E19" s="158"/>
      <c r="F19" s="158"/>
      <c r="G19" s="159"/>
      <c r="H19" s="160"/>
      <c r="I19" s="160"/>
      <c r="J19" s="160"/>
      <c r="K19" s="160"/>
      <c r="L19" s="159"/>
      <c r="M19" s="159"/>
      <c r="N19" s="165"/>
      <c r="O19" s="164"/>
      <c r="P19" s="164"/>
      <c r="Q19" s="164"/>
      <c r="R19" s="164"/>
      <c r="S19" s="164"/>
      <c r="T19" s="164"/>
      <c r="U19" s="164"/>
      <c r="V19" s="159"/>
      <c r="W19" s="165"/>
      <c r="X19" s="162"/>
      <c r="Y19" s="162"/>
      <c r="Z19" s="162"/>
      <c r="AA19" s="162"/>
      <c r="AB19" s="163"/>
      <c r="AC19" s="162"/>
      <c r="AD19" s="162"/>
      <c r="AE19" s="162"/>
      <c r="AF19" s="162"/>
      <c r="AG19" s="162"/>
      <c r="AH19" s="162"/>
    </row>
    <row r="20" spans="5:34" s="194" customFormat="1">
      <c r="E20" s="158"/>
      <c r="F20" s="158"/>
      <c r="G20" s="159"/>
      <c r="H20" s="160"/>
      <c r="I20" s="160"/>
      <c r="J20" s="160"/>
      <c r="K20" s="160"/>
      <c r="L20" s="159"/>
      <c r="M20" s="159"/>
      <c r="N20" s="165"/>
      <c r="O20" s="164"/>
      <c r="P20" s="164"/>
      <c r="Q20" s="164"/>
      <c r="R20" s="164"/>
      <c r="S20" s="164"/>
      <c r="T20" s="164"/>
      <c r="U20" s="164"/>
      <c r="V20" s="159"/>
      <c r="W20" s="165"/>
      <c r="X20" s="162"/>
      <c r="Y20" s="162"/>
      <c r="Z20" s="162"/>
      <c r="AA20" s="162"/>
      <c r="AB20" s="163"/>
      <c r="AC20" s="162"/>
      <c r="AD20" s="162"/>
      <c r="AE20" s="162"/>
      <c r="AF20" s="162"/>
      <c r="AG20" s="162"/>
      <c r="AH20" s="162"/>
    </row>
    <row r="21" spans="5:34" s="194" customFormat="1" ht="14.25" customHeight="1">
      <c r="E21" s="158"/>
      <c r="F21" s="158"/>
      <c r="G21" s="159"/>
      <c r="H21" s="160"/>
      <c r="I21" s="160"/>
      <c r="J21" s="160"/>
      <c r="K21" s="160"/>
      <c r="L21" s="159"/>
      <c r="M21" s="159"/>
      <c r="N21" s="165"/>
      <c r="O21" s="164"/>
      <c r="P21" s="164"/>
      <c r="Q21" s="164"/>
      <c r="R21" s="164"/>
      <c r="S21" s="164"/>
      <c r="T21" s="164"/>
      <c r="U21" s="164"/>
      <c r="V21" s="159"/>
      <c r="W21" s="165"/>
      <c r="X21" s="162"/>
      <c r="Y21" s="162"/>
      <c r="Z21" s="162"/>
      <c r="AA21" s="162"/>
      <c r="AB21" s="163"/>
      <c r="AC21" s="162"/>
      <c r="AD21" s="162"/>
      <c r="AE21" s="162"/>
      <c r="AF21" s="162"/>
      <c r="AG21" s="162"/>
      <c r="AH21" s="162"/>
    </row>
    <row r="22" spans="5:34" s="194" customFormat="1" ht="15" customHeight="1">
      <c r="E22" s="158"/>
      <c r="F22" s="158"/>
      <c r="G22" s="159"/>
      <c r="H22" s="160"/>
      <c r="I22" s="160"/>
      <c r="J22" s="160"/>
      <c r="K22" s="160"/>
      <c r="L22" s="159"/>
      <c r="M22" s="159"/>
      <c r="N22" s="165"/>
      <c r="O22" s="164"/>
      <c r="P22" s="164"/>
      <c r="Q22" s="164"/>
      <c r="R22" s="164"/>
      <c r="S22" s="164"/>
      <c r="T22" s="164"/>
      <c r="U22" s="164"/>
      <c r="V22" s="159"/>
      <c r="W22" s="165"/>
      <c r="X22" s="162"/>
      <c r="Y22" s="162"/>
      <c r="Z22" s="162"/>
      <c r="AA22" s="162"/>
      <c r="AB22" s="163"/>
      <c r="AC22" s="162"/>
      <c r="AD22" s="162"/>
      <c r="AE22" s="162"/>
      <c r="AF22" s="162"/>
      <c r="AG22" s="162"/>
      <c r="AH22" s="162"/>
    </row>
    <row r="23" spans="5:34" s="194" customFormat="1">
      <c r="E23" s="158"/>
      <c r="F23" s="158"/>
      <c r="G23" s="159"/>
      <c r="H23" s="160"/>
      <c r="I23" s="160"/>
      <c r="J23" s="160"/>
      <c r="K23" s="160"/>
      <c r="L23" s="159"/>
      <c r="M23" s="159"/>
      <c r="N23" s="165"/>
      <c r="O23" s="164"/>
      <c r="P23" s="164"/>
      <c r="Q23" s="164"/>
      <c r="R23" s="164"/>
      <c r="S23" s="164"/>
      <c r="T23" s="164"/>
      <c r="U23" s="164"/>
      <c r="V23" s="159"/>
      <c r="W23" s="165"/>
      <c r="X23" s="162"/>
      <c r="Y23" s="162"/>
      <c r="Z23" s="162"/>
      <c r="AA23" s="162"/>
      <c r="AB23" s="163"/>
      <c r="AC23" s="162"/>
      <c r="AD23" s="162"/>
      <c r="AE23" s="162"/>
      <c r="AF23" s="162"/>
      <c r="AG23" s="162"/>
      <c r="AH23" s="162"/>
    </row>
    <row r="24" spans="5:34" s="194" customFormat="1" ht="14.25" customHeight="1">
      <c r="E24" s="158"/>
      <c r="F24" s="158"/>
      <c r="G24" s="159"/>
      <c r="H24" s="160"/>
      <c r="I24" s="160"/>
      <c r="J24" s="160"/>
      <c r="K24" s="160"/>
      <c r="L24" s="159"/>
      <c r="M24" s="159"/>
      <c r="N24" s="165"/>
      <c r="O24" s="164"/>
      <c r="P24" s="164"/>
      <c r="Q24" s="164"/>
      <c r="R24" s="164"/>
      <c r="S24" s="164"/>
      <c r="T24" s="164"/>
      <c r="U24" s="164"/>
      <c r="V24" s="159"/>
      <c r="W24" s="165"/>
      <c r="X24" s="162"/>
      <c r="Y24" s="162"/>
      <c r="Z24" s="162"/>
      <c r="AA24" s="162"/>
      <c r="AB24" s="163"/>
      <c r="AC24" s="162"/>
      <c r="AD24" s="162"/>
      <c r="AE24" s="162"/>
      <c r="AF24" s="162"/>
      <c r="AG24" s="162"/>
      <c r="AH24" s="162"/>
    </row>
    <row r="25" spans="5:34" s="194" customFormat="1">
      <c r="E25" s="158"/>
      <c r="F25" s="158"/>
      <c r="G25" s="159"/>
      <c r="H25" s="160"/>
      <c r="I25" s="160"/>
      <c r="J25" s="160"/>
      <c r="K25" s="160"/>
      <c r="L25" s="161"/>
      <c r="M25" s="159"/>
      <c r="N25" s="165"/>
      <c r="O25" s="164"/>
      <c r="P25" s="164"/>
      <c r="Q25" s="164"/>
      <c r="R25" s="164"/>
      <c r="S25" s="164"/>
      <c r="T25" s="164"/>
      <c r="U25" s="164"/>
      <c r="V25" s="159"/>
      <c r="W25" s="165"/>
      <c r="X25" s="162"/>
      <c r="Y25" s="162"/>
      <c r="Z25" s="162"/>
      <c r="AA25" s="162"/>
      <c r="AB25" s="163"/>
      <c r="AC25" s="162"/>
      <c r="AD25" s="162"/>
      <c r="AE25" s="162"/>
      <c r="AF25" s="162"/>
      <c r="AG25" s="162"/>
      <c r="AH25" s="162"/>
    </row>
    <row r="26" spans="5:34" s="194" customFormat="1">
      <c r="E26" s="158"/>
      <c r="F26" s="158"/>
      <c r="G26" s="159"/>
      <c r="H26" s="160"/>
      <c r="I26" s="160"/>
      <c r="J26" s="160"/>
      <c r="K26" s="160"/>
      <c r="L26" s="161"/>
      <c r="M26" s="159"/>
      <c r="N26" s="165"/>
      <c r="O26" s="164"/>
      <c r="P26" s="164"/>
      <c r="Q26" s="164"/>
      <c r="R26" s="164"/>
      <c r="S26" s="164"/>
      <c r="T26" s="164"/>
      <c r="U26" s="164"/>
      <c r="V26" s="159"/>
      <c r="W26" s="165"/>
      <c r="X26" s="162"/>
      <c r="Y26" s="162"/>
      <c r="Z26" s="162"/>
      <c r="AA26" s="162"/>
      <c r="AB26" s="163"/>
      <c r="AC26" s="162"/>
      <c r="AD26" s="162"/>
      <c r="AE26" s="162"/>
      <c r="AF26" s="162"/>
      <c r="AG26" s="162"/>
      <c r="AH26" s="162"/>
    </row>
    <row r="27" spans="5:34" s="194" customFormat="1">
      <c r="E27" s="158"/>
      <c r="F27" s="158"/>
      <c r="G27" s="159"/>
      <c r="H27" s="160"/>
      <c r="I27" s="160"/>
      <c r="J27" s="160"/>
      <c r="K27" s="160"/>
      <c r="L27" s="161"/>
      <c r="M27" s="159"/>
      <c r="N27" s="165"/>
      <c r="O27" s="164"/>
      <c r="P27" s="164"/>
      <c r="Q27" s="164"/>
      <c r="R27" s="164"/>
      <c r="S27" s="164"/>
      <c r="T27" s="164"/>
      <c r="U27" s="164"/>
      <c r="V27" s="159"/>
      <c r="W27" s="165"/>
      <c r="X27" s="162"/>
      <c r="Y27" s="162"/>
      <c r="Z27" s="162"/>
      <c r="AA27" s="162"/>
      <c r="AB27" s="163"/>
      <c r="AC27" s="162"/>
      <c r="AD27" s="162"/>
      <c r="AE27" s="162"/>
      <c r="AF27" s="162"/>
      <c r="AG27" s="162"/>
      <c r="AH27" s="162"/>
    </row>
    <row r="28" spans="5:34" s="194" customFormat="1">
      <c r="E28" s="158"/>
      <c r="F28" s="158"/>
      <c r="G28" s="159"/>
      <c r="H28" s="160"/>
      <c r="I28" s="160"/>
      <c r="J28" s="160"/>
      <c r="K28" s="160"/>
      <c r="L28" s="161"/>
      <c r="M28" s="159"/>
      <c r="N28" s="165"/>
      <c r="O28" s="164"/>
      <c r="P28" s="164"/>
      <c r="Q28" s="164"/>
      <c r="R28" s="164"/>
      <c r="S28" s="164"/>
      <c r="T28" s="164"/>
      <c r="U28" s="164"/>
      <c r="V28" s="159"/>
      <c r="W28" s="165"/>
      <c r="X28" s="162"/>
      <c r="Y28" s="162"/>
      <c r="Z28" s="162"/>
      <c r="AA28" s="162"/>
      <c r="AB28" s="163"/>
      <c r="AC28" s="162"/>
      <c r="AD28" s="162"/>
      <c r="AE28" s="162"/>
      <c r="AF28" s="162"/>
      <c r="AG28" s="162"/>
      <c r="AH28" s="162"/>
    </row>
    <row r="29" spans="5:34" s="194" customFormat="1">
      <c r="E29" s="158"/>
      <c r="F29" s="158"/>
      <c r="G29" s="159"/>
      <c r="H29" s="160"/>
      <c r="I29" s="160"/>
      <c r="J29" s="160"/>
      <c r="K29" s="160"/>
      <c r="L29" s="161"/>
      <c r="M29" s="159"/>
      <c r="N29" s="165"/>
      <c r="O29" s="164"/>
      <c r="P29" s="164"/>
      <c r="Q29" s="164"/>
      <c r="R29" s="164"/>
      <c r="S29" s="164"/>
      <c r="T29" s="164"/>
      <c r="U29" s="164"/>
      <c r="V29" s="159"/>
      <c r="W29" s="165"/>
      <c r="X29" s="162"/>
      <c r="Y29" s="162"/>
      <c r="Z29" s="162"/>
      <c r="AA29" s="162"/>
      <c r="AB29" s="163"/>
      <c r="AC29" s="162"/>
      <c r="AD29" s="162"/>
      <c r="AE29" s="162"/>
      <c r="AF29" s="162"/>
      <c r="AG29" s="162"/>
      <c r="AH29" s="162"/>
    </row>
    <row r="30" spans="5:34" s="194" customFormat="1">
      <c r="E30" s="158"/>
      <c r="F30" s="158"/>
      <c r="G30" s="159"/>
      <c r="H30" s="160"/>
      <c r="I30" s="160"/>
      <c r="J30" s="160"/>
      <c r="K30" s="160"/>
      <c r="L30" s="161"/>
      <c r="M30" s="159"/>
      <c r="N30" s="165"/>
      <c r="O30" s="164"/>
      <c r="P30" s="164"/>
      <c r="Q30" s="164"/>
      <c r="R30" s="164"/>
      <c r="S30" s="164"/>
      <c r="T30" s="164"/>
      <c r="U30" s="164"/>
      <c r="V30" s="159"/>
      <c r="W30" s="165"/>
      <c r="X30" s="162"/>
      <c r="Y30" s="162"/>
      <c r="Z30" s="162"/>
      <c r="AA30" s="162"/>
      <c r="AB30" s="163"/>
      <c r="AC30" s="162"/>
      <c r="AD30" s="162"/>
      <c r="AE30" s="162"/>
      <c r="AF30" s="162"/>
      <c r="AG30" s="162"/>
      <c r="AH30" s="162"/>
    </row>
    <row r="31" spans="5:34" s="194" customFormat="1">
      <c r="E31" s="158"/>
      <c r="F31" s="158"/>
      <c r="G31" s="159"/>
      <c r="H31" s="160"/>
      <c r="I31" s="160"/>
      <c r="J31" s="160"/>
      <c r="K31" s="160"/>
      <c r="L31" s="161"/>
      <c r="M31" s="159"/>
      <c r="N31" s="165"/>
      <c r="O31" s="164"/>
      <c r="P31" s="164"/>
      <c r="Q31" s="164"/>
      <c r="R31" s="164"/>
      <c r="S31" s="164"/>
      <c r="T31" s="164"/>
      <c r="U31" s="164"/>
      <c r="V31" s="159"/>
      <c r="W31" s="165"/>
      <c r="X31" s="162"/>
      <c r="Y31" s="162"/>
      <c r="Z31" s="162"/>
      <c r="AA31" s="162"/>
      <c r="AB31" s="163"/>
      <c r="AC31" s="162"/>
      <c r="AD31" s="162"/>
      <c r="AE31" s="162"/>
      <c r="AF31" s="162"/>
      <c r="AG31" s="162"/>
      <c r="AH31" s="162"/>
    </row>
    <row r="32" spans="5:34" s="194" customFormat="1">
      <c r="E32" s="158"/>
      <c r="F32" s="158"/>
      <c r="G32" s="159"/>
      <c r="H32" s="160"/>
      <c r="I32" s="160"/>
      <c r="J32" s="160"/>
      <c r="K32" s="160"/>
      <c r="L32" s="161"/>
      <c r="M32" s="159"/>
      <c r="N32" s="165"/>
      <c r="O32" s="164"/>
      <c r="P32" s="164"/>
      <c r="Q32" s="164"/>
      <c r="R32" s="164"/>
      <c r="S32" s="164"/>
      <c r="T32" s="164"/>
      <c r="U32" s="164"/>
      <c r="V32" s="165"/>
      <c r="W32" s="165"/>
      <c r="X32" s="162"/>
      <c r="Y32" s="162"/>
      <c r="Z32" s="162"/>
      <c r="AA32" s="162"/>
      <c r="AB32" s="163"/>
      <c r="AC32" s="162"/>
      <c r="AD32" s="162"/>
      <c r="AE32" s="162"/>
      <c r="AF32" s="162"/>
      <c r="AG32" s="162"/>
      <c r="AH32" s="162"/>
    </row>
    <row r="33" spans="5:34" s="194" customFormat="1">
      <c r="E33" s="158"/>
      <c r="F33" s="158"/>
      <c r="G33" s="159"/>
      <c r="H33" s="160"/>
      <c r="I33" s="160"/>
      <c r="J33" s="160"/>
      <c r="K33" s="160"/>
      <c r="L33" s="161"/>
      <c r="M33" s="159"/>
      <c r="N33" s="165"/>
      <c r="O33" s="164"/>
      <c r="P33" s="164"/>
      <c r="Q33" s="164"/>
      <c r="R33" s="164"/>
      <c r="S33" s="164"/>
      <c r="T33" s="164"/>
      <c r="U33" s="164"/>
      <c r="V33" s="159"/>
      <c r="W33" s="165"/>
      <c r="X33" s="162"/>
      <c r="Y33" s="162"/>
      <c r="Z33" s="162"/>
      <c r="AA33" s="162"/>
      <c r="AB33" s="163"/>
      <c r="AC33" s="162"/>
      <c r="AD33" s="162"/>
      <c r="AE33" s="162"/>
      <c r="AF33" s="162"/>
      <c r="AG33" s="162"/>
      <c r="AH33" s="162"/>
    </row>
    <row r="34" spans="5:34" s="194" customFormat="1">
      <c r="E34" s="158"/>
      <c r="F34" s="158"/>
      <c r="G34" s="159"/>
      <c r="H34" s="160"/>
      <c r="I34" s="160"/>
      <c r="J34" s="160"/>
      <c r="K34" s="160"/>
      <c r="L34" s="159"/>
      <c r="M34" s="159"/>
      <c r="N34" s="165"/>
      <c r="O34" s="164"/>
      <c r="P34" s="164"/>
      <c r="Q34" s="164"/>
      <c r="R34" s="164"/>
      <c r="S34" s="164"/>
      <c r="T34" s="164"/>
      <c r="U34" s="164"/>
      <c r="V34" s="159"/>
      <c r="W34" s="165"/>
      <c r="X34" s="162"/>
      <c r="Y34" s="162"/>
      <c r="Z34" s="162"/>
      <c r="AA34" s="162"/>
      <c r="AB34" s="163"/>
      <c r="AC34" s="162"/>
      <c r="AD34" s="162"/>
      <c r="AE34" s="162"/>
      <c r="AF34" s="162"/>
      <c r="AG34" s="162"/>
      <c r="AH34" s="162"/>
    </row>
    <row r="35" spans="5:34" s="194" customFormat="1">
      <c r="E35" s="158"/>
      <c r="F35" s="158"/>
      <c r="G35" s="159"/>
      <c r="H35" s="160"/>
      <c r="I35" s="160"/>
      <c r="J35" s="160"/>
      <c r="K35" s="160"/>
      <c r="L35" s="159"/>
      <c r="M35" s="159"/>
      <c r="N35" s="165"/>
      <c r="O35" s="164"/>
      <c r="P35" s="164"/>
      <c r="Q35" s="164"/>
      <c r="R35" s="164"/>
      <c r="S35" s="164"/>
      <c r="T35" s="164"/>
      <c r="U35" s="164"/>
      <c r="V35" s="159"/>
      <c r="W35" s="165"/>
      <c r="X35" s="162"/>
      <c r="Y35" s="162"/>
      <c r="Z35" s="162"/>
      <c r="AA35" s="162"/>
      <c r="AB35" s="163"/>
      <c r="AC35" s="162"/>
      <c r="AD35" s="162"/>
      <c r="AE35" s="162"/>
      <c r="AF35" s="162"/>
      <c r="AG35" s="162"/>
      <c r="AH35" s="162"/>
    </row>
    <row r="36" spans="5:34" s="194" customFormat="1">
      <c r="E36" s="158"/>
      <c r="F36" s="158"/>
      <c r="G36" s="159"/>
      <c r="H36" s="160"/>
      <c r="I36" s="160"/>
      <c r="J36" s="160"/>
      <c r="K36" s="160"/>
      <c r="L36" s="159"/>
      <c r="M36" s="159"/>
      <c r="N36" s="165"/>
      <c r="O36" s="164"/>
      <c r="P36" s="164"/>
      <c r="Q36" s="164"/>
      <c r="R36" s="164"/>
      <c r="S36" s="164"/>
      <c r="T36" s="164"/>
      <c r="U36" s="164"/>
      <c r="V36" s="159"/>
      <c r="W36" s="165"/>
      <c r="X36" s="162"/>
      <c r="Y36" s="162"/>
      <c r="Z36" s="162"/>
      <c r="AA36" s="162"/>
      <c r="AB36" s="163"/>
      <c r="AC36" s="162"/>
      <c r="AD36" s="162"/>
      <c r="AE36" s="162"/>
      <c r="AF36" s="162"/>
      <c r="AG36" s="162"/>
      <c r="AH36" s="162"/>
    </row>
    <row r="37" spans="5:34" s="194" customFormat="1">
      <c r="E37" s="158"/>
      <c r="F37" s="158"/>
      <c r="G37" s="159"/>
      <c r="H37" s="160"/>
      <c r="I37" s="160"/>
      <c r="J37" s="160"/>
      <c r="K37" s="160"/>
      <c r="L37" s="159"/>
      <c r="M37" s="159"/>
      <c r="N37" s="165"/>
      <c r="O37" s="164"/>
      <c r="P37" s="164"/>
      <c r="Q37" s="164"/>
      <c r="R37" s="164"/>
      <c r="S37" s="164"/>
      <c r="T37" s="164"/>
      <c r="U37" s="164"/>
      <c r="V37" s="159"/>
      <c r="W37" s="165"/>
      <c r="X37" s="162"/>
      <c r="Y37" s="162"/>
      <c r="Z37" s="162"/>
      <c r="AA37" s="162"/>
      <c r="AB37" s="163"/>
      <c r="AC37" s="162"/>
      <c r="AD37" s="162"/>
      <c r="AE37" s="162"/>
      <c r="AF37" s="162"/>
      <c r="AG37" s="162"/>
      <c r="AH37" s="162"/>
    </row>
    <row r="38" spans="5:34" s="194" customFormat="1">
      <c r="E38" s="158"/>
      <c r="F38" s="158"/>
      <c r="G38" s="159"/>
      <c r="H38" s="160"/>
      <c r="I38" s="160"/>
      <c r="J38" s="160"/>
      <c r="K38" s="160"/>
      <c r="L38" s="159"/>
      <c r="M38" s="159"/>
      <c r="N38" s="165"/>
      <c r="O38" s="164"/>
      <c r="P38" s="164"/>
      <c r="Q38" s="164"/>
      <c r="R38" s="164"/>
      <c r="S38" s="164"/>
      <c r="T38" s="164"/>
      <c r="U38" s="164"/>
      <c r="V38" s="159"/>
      <c r="W38" s="165"/>
      <c r="X38" s="162"/>
      <c r="Y38" s="162"/>
      <c r="Z38" s="162"/>
      <c r="AA38" s="162"/>
      <c r="AB38" s="163"/>
      <c r="AC38" s="162"/>
      <c r="AD38" s="162"/>
      <c r="AE38" s="162"/>
      <c r="AF38" s="162"/>
      <c r="AG38" s="162"/>
      <c r="AH38" s="162"/>
    </row>
    <row r="39" spans="5:34" s="194" customFormat="1">
      <c r="E39" s="158"/>
      <c r="F39" s="158"/>
      <c r="G39" s="159"/>
      <c r="H39" s="160"/>
      <c r="I39" s="160"/>
      <c r="J39" s="160"/>
      <c r="K39" s="160"/>
      <c r="L39" s="159"/>
      <c r="M39" s="159"/>
      <c r="N39" s="165"/>
      <c r="O39" s="164"/>
      <c r="P39" s="164"/>
      <c r="Q39" s="164"/>
      <c r="R39" s="164"/>
      <c r="S39" s="164"/>
      <c r="T39" s="164"/>
      <c r="U39" s="164"/>
      <c r="V39" s="159"/>
      <c r="W39" s="165"/>
      <c r="X39" s="162"/>
      <c r="Y39" s="162"/>
      <c r="Z39" s="162"/>
      <c r="AA39" s="162"/>
      <c r="AB39" s="163"/>
      <c r="AC39" s="162"/>
      <c r="AD39" s="162"/>
      <c r="AE39" s="162"/>
      <c r="AF39" s="162"/>
      <c r="AG39" s="162"/>
      <c r="AH39" s="162"/>
    </row>
    <row r="40" spans="5:34" s="194" customFormat="1">
      <c r="E40" s="158"/>
      <c r="F40" s="158"/>
      <c r="G40" s="159"/>
      <c r="H40" s="160"/>
      <c r="I40" s="160"/>
      <c r="J40" s="160"/>
      <c r="K40" s="160"/>
      <c r="L40" s="159"/>
      <c r="M40" s="159"/>
      <c r="N40" s="165"/>
      <c r="O40" s="164"/>
      <c r="P40" s="164"/>
      <c r="Q40" s="164"/>
      <c r="R40" s="164"/>
      <c r="S40" s="164"/>
      <c r="T40" s="164"/>
      <c r="U40" s="164"/>
      <c r="V40" s="159"/>
      <c r="W40" s="165"/>
      <c r="X40" s="162"/>
      <c r="Y40" s="162"/>
      <c r="Z40" s="162"/>
      <c r="AA40" s="162"/>
      <c r="AB40" s="163"/>
      <c r="AC40" s="162"/>
      <c r="AD40" s="162"/>
      <c r="AE40" s="162"/>
      <c r="AF40" s="162"/>
      <c r="AG40" s="162"/>
      <c r="AH40" s="162"/>
    </row>
    <row r="41" spans="5:34" s="194" customFormat="1">
      <c r="E41" s="158"/>
      <c r="F41" s="158"/>
      <c r="G41" s="159"/>
      <c r="H41" s="160"/>
      <c r="I41" s="160"/>
      <c r="J41" s="160"/>
      <c r="K41" s="160"/>
      <c r="L41" s="159"/>
      <c r="M41" s="159"/>
      <c r="N41" s="165"/>
      <c r="O41" s="164"/>
      <c r="P41" s="164"/>
      <c r="Q41" s="164"/>
      <c r="R41" s="164"/>
      <c r="S41" s="164"/>
      <c r="T41" s="164"/>
      <c r="U41" s="164"/>
      <c r="V41" s="159"/>
      <c r="W41" s="165"/>
      <c r="X41" s="162"/>
      <c r="Y41" s="162"/>
      <c r="Z41" s="162"/>
      <c r="AA41" s="162"/>
      <c r="AB41" s="163"/>
      <c r="AC41" s="162"/>
      <c r="AD41" s="162"/>
      <c r="AE41" s="162"/>
      <c r="AF41" s="162"/>
      <c r="AG41" s="162"/>
      <c r="AH41" s="162"/>
    </row>
    <row r="42" spans="5:34" s="194" customFormat="1">
      <c r="E42" s="158"/>
      <c r="F42" s="158"/>
      <c r="G42" s="159"/>
      <c r="H42" s="160"/>
      <c r="I42" s="160"/>
      <c r="J42" s="160"/>
      <c r="K42" s="160"/>
      <c r="L42" s="159"/>
      <c r="M42" s="159"/>
      <c r="N42" s="165"/>
      <c r="O42" s="164"/>
      <c r="P42" s="164"/>
      <c r="Q42" s="164"/>
      <c r="R42" s="164"/>
      <c r="S42" s="164"/>
      <c r="T42" s="164"/>
      <c r="U42" s="164"/>
      <c r="V42" s="159"/>
      <c r="W42" s="165"/>
      <c r="X42" s="162"/>
      <c r="Y42" s="162"/>
      <c r="Z42" s="162"/>
      <c r="AA42" s="162"/>
      <c r="AB42" s="163"/>
      <c r="AC42" s="162"/>
      <c r="AD42" s="162"/>
      <c r="AE42" s="162"/>
      <c r="AF42" s="162"/>
      <c r="AG42" s="162"/>
      <c r="AH42" s="162"/>
    </row>
    <row r="43" spans="5:34" s="194" customFormat="1">
      <c r="E43" s="158"/>
      <c r="F43" s="158"/>
      <c r="G43" s="159"/>
      <c r="H43" s="160"/>
      <c r="I43" s="160"/>
      <c r="J43" s="160"/>
      <c r="K43" s="160"/>
      <c r="L43" s="159"/>
      <c r="M43" s="159"/>
      <c r="N43" s="165"/>
      <c r="O43" s="164"/>
      <c r="P43" s="164"/>
      <c r="Q43" s="164"/>
      <c r="R43" s="164"/>
      <c r="S43" s="164"/>
      <c r="T43" s="164"/>
      <c r="U43" s="164"/>
      <c r="V43" s="159"/>
      <c r="W43" s="165"/>
      <c r="X43" s="162"/>
      <c r="Y43" s="162"/>
      <c r="Z43" s="162"/>
      <c r="AA43" s="162"/>
      <c r="AB43" s="163"/>
      <c r="AC43" s="162"/>
      <c r="AD43" s="162"/>
      <c r="AE43" s="162"/>
      <c r="AF43" s="162"/>
      <c r="AG43" s="162"/>
      <c r="AH43" s="162"/>
    </row>
    <row r="44" spans="5:34" s="194" customFormat="1">
      <c r="E44" s="158"/>
      <c r="F44" s="158"/>
      <c r="G44" s="159"/>
      <c r="H44" s="160"/>
      <c r="I44" s="160"/>
      <c r="J44" s="160"/>
      <c r="K44" s="160"/>
      <c r="L44" s="159"/>
      <c r="M44" s="159"/>
      <c r="N44" s="165"/>
      <c r="O44" s="164"/>
      <c r="P44" s="164"/>
      <c r="Q44" s="164"/>
      <c r="R44" s="164"/>
      <c r="S44" s="164"/>
      <c r="T44" s="164"/>
      <c r="U44" s="164"/>
      <c r="V44" s="159"/>
      <c r="W44" s="165"/>
      <c r="X44" s="162"/>
      <c r="Y44" s="162"/>
      <c r="Z44" s="162"/>
      <c r="AA44" s="162"/>
      <c r="AB44" s="163"/>
      <c r="AC44" s="162"/>
      <c r="AD44" s="162"/>
      <c r="AE44" s="162"/>
      <c r="AF44" s="162"/>
      <c r="AG44" s="162"/>
      <c r="AH44" s="162"/>
    </row>
    <row r="45" spans="5:34" s="194" customFormat="1">
      <c r="E45" s="158"/>
      <c r="F45" s="158"/>
      <c r="G45" s="159"/>
      <c r="H45" s="160"/>
      <c r="I45" s="160"/>
      <c r="J45" s="160"/>
      <c r="K45" s="160"/>
      <c r="L45" s="159"/>
      <c r="M45" s="159"/>
      <c r="N45" s="159"/>
      <c r="O45" s="165"/>
      <c r="P45" s="164"/>
      <c r="Q45" s="164"/>
      <c r="R45" s="164"/>
      <c r="S45" s="164"/>
      <c r="T45" s="164"/>
      <c r="U45" s="164"/>
      <c r="V45" s="159"/>
      <c r="W45" s="165"/>
      <c r="X45" s="162"/>
      <c r="Y45" s="162"/>
      <c r="Z45" s="162"/>
      <c r="AA45" s="162"/>
      <c r="AB45" s="163"/>
      <c r="AC45" s="162"/>
      <c r="AD45" s="162"/>
      <c r="AE45" s="162"/>
      <c r="AF45" s="162"/>
      <c r="AG45" s="162"/>
      <c r="AH45" s="162"/>
    </row>
    <row r="46" spans="5:34" s="194" customFormat="1">
      <c r="E46" s="158"/>
      <c r="F46" s="158"/>
      <c r="G46" s="159"/>
      <c r="H46" s="160"/>
      <c r="I46" s="160"/>
      <c r="J46" s="160"/>
      <c r="K46" s="160"/>
      <c r="L46" s="159"/>
      <c r="M46" s="159"/>
      <c r="N46" s="159"/>
      <c r="O46" s="165"/>
      <c r="P46" s="164"/>
      <c r="Q46" s="164"/>
      <c r="R46" s="164"/>
      <c r="S46" s="164"/>
      <c r="T46" s="164"/>
      <c r="U46" s="164"/>
      <c r="V46" s="159"/>
      <c r="W46" s="165"/>
      <c r="X46" s="162"/>
      <c r="Y46" s="162"/>
      <c r="Z46" s="162"/>
      <c r="AA46" s="162"/>
      <c r="AB46" s="163"/>
      <c r="AC46" s="162"/>
      <c r="AD46" s="162"/>
      <c r="AE46" s="162"/>
      <c r="AF46" s="162"/>
      <c r="AG46" s="162"/>
      <c r="AH46" s="162"/>
    </row>
    <row r="47" spans="5:34" s="194" customFormat="1">
      <c r="E47" s="158"/>
      <c r="F47" s="158"/>
      <c r="G47" s="159"/>
      <c r="H47" s="160"/>
      <c r="I47" s="160"/>
      <c r="J47" s="160"/>
      <c r="K47" s="160"/>
      <c r="L47" s="159"/>
      <c r="M47" s="159"/>
      <c r="N47" s="165"/>
      <c r="O47" s="164"/>
      <c r="P47" s="164"/>
      <c r="Q47" s="164"/>
      <c r="R47" s="164"/>
      <c r="S47" s="164"/>
      <c r="T47" s="164"/>
      <c r="U47" s="164"/>
      <c r="V47" s="159"/>
      <c r="W47" s="165"/>
      <c r="X47" s="162"/>
      <c r="Y47" s="162"/>
      <c r="Z47" s="162"/>
      <c r="AA47" s="162"/>
      <c r="AB47" s="163"/>
      <c r="AC47" s="162"/>
      <c r="AD47" s="162"/>
      <c r="AE47" s="162"/>
      <c r="AF47" s="162"/>
      <c r="AG47" s="162"/>
      <c r="AH47" s="162"/>
    </row>
    <row r="48" spans="5:34" s="194" customFormat="1">
      <c r="E48" s="158"/>
      <c r="F48" s="158"/>
      <c r="G48" s="159"/>
      <c r="H48" s="160"/>
      <c r="I48" s="160"/>
      <c r="J48" s="160"/>
      <c r="K48" s="160"/>
      <c r="L48" s="159"/>
      <c r="M48" s="159"/>
      <c r="N48" s="165"/>
      <c r="O48" s="164"/>
      <c r="P48" s="164"/>
      <c r="Q48" s="164"/>
      <c r="R48" s="164"/>
      <c r="S48" s="164"/>
      <c r="T48" s="164"/>
      <c r="U48" s="164"/>
      <c r="V48" s="159"/>
      <c r="W48" s="165"/>
      <c r="X48" s="162"/>
      <c r="Y48" s="162"/>
      <c r="Z48" s="162"/>
      <c r="AA48" s="162"/>
      <c r="AB48" s="163"/>
      <c r="AC48" s="162"/>
      <c r="AD48" s="162"/>
      <c r="AE48" s="162"/>
      <c r="AF48" s="162"/>
      <c r="AG48" s="162"/>
      <c r="AH48" s="162"/>
    </row>
    <row r="49" spans="5:34" s="194" customFormat="1">
      <c r="E49" s="158"/>
      <c r="F49" s="158"/>
      <c r="G49" s="159"/>
      <c r="H49" s="160"/>
      <c r="I49" s="160"/>
      <c r="J49" s="160"/>
      <c r="K49" s="160"/>
      <c r="L49" s="159"/>
      <c r="M49" s="159"/>
      <c r="N49" s="165"/>
      <c r="O49" s="164"/>
      <c r="P49" s="164"/>
      <c r="Q49" s="164"/>
      <c r="R49" s="164"/>
      <c r="S49" s="164"/>
      <c r="T49" s="164"/>
      <c r="U49" s="164"/>
      <c r="V49" s="159"/>
      <c r="W49" s="165"/>
      <c r="X49" s="162"/>
      <c r="Y49" s="162"/>
      <c r="Z49" s="162"/>
      <c r="AA49" s="162"/>
      <c r="AB49" s="163"/>
      <c r="AC49" s="162"/>
      <c r="AD49" s="162"/>
      <c r="AE49" s="162"/>
      <c r="AF49" s="162"/>
      <c r="AG49" s="162"/>
      <c r="AH49" s="162"/>
    </row>
    <row r="50" spans="5:34" s="194" customFormat="1">
      <c r="E50" s="158"/>
      <c r="F50" s="158"/>
      <c r="G50" s="159"/>
      <c r="H50" s="160"/>
      <c r="I50" s="160"/>
      <c r="J50" s="160"/>
      <c r="K50" s="160"/>
      <c r="L50" s="159"/>
      <c r="M50" s="159"/>
      <c r="N50" s="165"/>
      <c r="O50" s="164"/>
      <c r="P50" s="164"/>
      <c r="Q50" s="164"/>
      <c r="R50" s="164"/>
      <c r="S50" s="164"/>
      <c r="T50" s="164"/>
      <c r="U50" s="164"/>
      <c r="V50" s="159"/>
      <c r="W50" s="165"/>
      <c r="X50" s="162"/>
      <c r="Y50" s="162"/>
      <c r="Z50" s="162"/>
      <c r="AA50" s="162"/>
      <c r="AB50" s="163"/>
      <c r="AC50" s="162"/>
      <c r="AD50" s="162"/>
      <c r="AE50" s="162"/>
      <c r="AF50" s="162"/>
      <c r="AG50" s="162"/>
      <c r="AH50" s="162"/>
    </row>
    <row r="51" spans="5:34" s="194" customFormat="1">
      <c r="E51" s="158"/>
      <c r="F51" s="158"/>
      <c r="G51" s="159"/>
      <c r="H51" s="160"/>
      <c r="I51" s="160"/>
      <c r="J51" s="160"/>
      <c r="K51" s="160"/>
      <c r="L51" s="159"/>
      <c r="M51" s="159"/>
      <c r="N51" s="165"/>
      <c r="O51" s="164"/>
      <c r="P51" s="164"/>
      <c r="Q51" s="164"/>
      <c r="R51" s="164"/>
      <c r="S51" s="164"/>
      <c r="T51" s="164"/>
      <c r="U51" s="164"/>
      <c r="V51" s="159"/>
      <c r="W51" s="165"/>
      <c r="X51" s="162"/>
      <c r="Y51" s="162"/>
      <c r="Z51" s="162"/>
      <c r="AA51" s="162"/>
      <c r="AB51" s="163"/>
      <c r="AC51" s="162"/>
      <c r="AD51" s="162"/>
      <c r="AE51" s="162"/>
      <c r="AF51" s="162"/>
      <c r="AG51" s="162"/>
      <c r="AH51" s="162"/>
    </row>
    <row r="52" spans="5:34" s="194" customFormat="1">
      <c r="E52" s="158"/>
      <c r="F52" s="158"/>
      <c r="G52" s="159"/>
      <c r="H52" s="160"/>
      <c r="I52" s="160"/>
      <c r="J52" s="160"/>
      <c r="K52" s="160"/>
      <c r="L52" s="159"/>
      <c r="M52" s="159"/>
      <c r="N52" s="165"/>
      <c r="O52" s="164"/>
      <c r="P52" s="164"/>
      <c r="Q52" s="164"/>
      <c r="R52" s="164"/>
      <c r="S52" s="164"/>
      <c r="T52" s="164"/>
      <c r="U52" s="164"/>
      <c r="V52" s="159"/>
      <c r="W52" s="165"/>
      <c r="X52" s="162"/>
      <c r="Y52" s="162"/>
      <c r="Z52" s="162"/>
      <c r="AA52" s="162"/>
      <c r="AB52" s="163"/>
      <c r="AC52" s="162"/>
      <c r="AD52" s="162"/>
      <c r="AE52" s="162"/>
      <c r="AF52" s="162"/>
      <c r="AG52" s="162"/>
      <c r="AH52" s="162"/>
    </row>
    <row r="53" spans="5:34" s="194" customFormat="1">
      <c r="E53" s="158"/>
      <c r="F53" s="158"/>
      <c r="G53" s="159"/>
      <c r="H53" s="160"/>
      <c r="I53" s="160"/>
      <c r="J53" s="160"/>
      <c r="K53" s="160"/>
      <c r="L53" s="159"/>
      <c r="M53" s="159"/>
      <c r="N53" s="165"/>
      <c r="O53" s="164"/>
      <c r="P53" s="164"/>
      <c r="Q53" s="164"/>
      <c r="R53" s="164"/>
      <c r="S53" s="164"/>
      <c r="T53" s="164"/>
      <c r="U53" s="164"/>
      <c r="V53" s="159"/>
      <c r="W53" s="165"/>
      <c r="X53" s="162"/>
      <c r="Y53" s="162"/>
      <c r="Z53" s="162"/>
      <c r="AA53" s="162"/>
      <c r="AB53" s="163"/>
      <c r="AC53" s="162"/>
      <c r="AD53" s="162"/>
      <c r="AE53" s="162"/>
      <c r="AF53" s="162"/>
      <c r="AG53" s="162"/>
      <c r="AH53" s="162"/>
    </row>
    <row r="54" spans="5:34" s="194" customFormat="1">
      <c r="E54" s="158"/>
      <c r="F54" s="158"/>
      <c r="G54" s="159"/>
      <c r="H54" s="160"/>
      <c r="I54" s="160"/>
      <c r="J54" s="160"/>
      <c r="K54" s="160"/>
      <c r="L54" s="159"/>
      <c r="M54" s="159"/>
      <c r="N54" s="165"/>
      <c r="O54" s="164"/>
      <c r="P54" s="164"/>
      <c r="Q54" s="164"/>
      <c r="R54" s="164"/>
      <c r="S54" s="164"/>
      <c r="T54" s="164"/>
      <c r="U54" s="164"/>
      <c r="V54" s="159"/>
      <c r="W54" s="165"/>
      <c r="X54" s="162"/>
      <c r="Y54" s="162"/>
      <c r="Z54" s="162"/>
      <c r="AA54" s="162"/>
      <c r="AB54" s="163"/>
      <c r="AC54" s="162"/>
      <c r="AD54" s="162"/>
      <c r="AE54" s="162"/>
      <c r="AF54" s="162"/>
      <c r="AG54" s="162"/>
      <c r="AH54" s="162"/>
    </row>
    <row r="55" spans="5:34" s="194" customFormat="1">
      <c r="E55" s="158"/>
      <c r="F55" s="158"/>
      <c r="G55" s="159"/>
      <c r="H55" s="160"/>
      <c r="I55" s="160"/>
      <c r="J55" s="160"/>
      <c r="K55" s="160"/>
      <c r="L55" s="159"/>
      <c r="M55" s="159"/>
      <c r="N55" s="165"/>
      <c r="O55" s="164"/>
      <c r="P55" s="164"/>
      <c r="Q55" s="164"/>
      <c r="R55" s="164"/>
      <c r="S55" s="164"/>
      <c r="T55" s="164"/>
      <c r="U55" s="164"/>
      <c r="V55" s="159"/>
      <c r="W55" s="165"/>
      <c r="X55" s="162"/>
      <c r="Y55" s="162"/>
      <c r="Z55" s="162"/>
      <c r="AA55" s="162"/>
      <c r="AB55" s="163"/>
      <c r="AC55" s="162"/>
      <c r="AD55" s="162"/>
      <c r="AE55" s="162"/>
      <c r="AF55" s="162"/>
      <c r="AG55" s="162"/>
      <c r="AH55" s="162"/>
    </row>
    <row r="56" spans="5:34" s="194" customFormat="1">
      <c r="E56" s="158"/>
      <c r="F56" s="158"/>
      <c r="G56" s="159"/>
      <c r="H56" s="160"/>
      <c r="I56" s="160"/>
      <c r="J56" s="160"/>
      <c r="K56" s="160"/>
      <c r="L56" s="159"/>
      <c r="M56" s="159"/>
      <c r="N56" s="165"/>
      <c r="O56" s="164"/>
      <c r="P56" s="164"/>
      <c r="Q56" s="164"/>
      <c r="R56" s="164"/>
      <c r="S56" s="164"/>
      <c r="T56" s="164"/>
      <c r="U56" s="164"/>
      <c r="V56" s="159"/>
      <c r="W56" s="165"/>
      <c r="X56" s="162"/>
      <c r="Y56" s="162"/>
      <c r="Z56" s="162"/>
      <c r="AA56" s="162"/>
      <c r="AB56" s="163"/>
      <c r="AC56" s="162"/>
      <c r="AD56" s="162"/>
      <c r="AE56" s="162"/>
      <c r="AF56" s="162"/>
      <c r="AG56" s="162"/>
      <c r="AH56" s="162"/>
    </row>
    <row r="57" spans="5:34" s="194" customFormat="1">
      <c r="E57" s="158"/>
      <c r="F57" s="158"/>
      <c r="G57" s="159"/>
      <c r="H57" s="160"/>
      <c r="I57" s="160"/>
      <c r="J57" s="160"/>
      <c r="K57" s="160"/>
      <c r="L57" s="159"/>
      <c r="M57" s="159"/>
      <c r="N57" s="165"/>
      <c r="O57" s="164"/>
      <c r="P57" s="164"/>
      <c r="Q57" s="164"/>
      <c r="R57" s="164"/>
      <c r="S57" s="164"/>
      <c r="T57" s="164"/>
      <c r="U57" s="164"/>
      <c r="V57" s="159"/>
      <c r="W57" s="165"/>
      <c r="X57" s="162"/>
      <c r="Y57" s="162"/>
      <c r="Z57" s="162"/>
      <c r="AA57" s="162"/>
      <c r="AB57" s="163"/>
      <c r="AC57" s="162"/>
      <c r="AD57" s="162"/>
      <c r="AE57" s="162"/>
      <c r="AF57" s="162"/>
      <c r="AG57" s="162"/>
      <c r="AH57" s="162"/>
    </row>
    <row r="58" spans="5:34" s="194" customFormat="1">
      <c r="E58" s="158"/>
      <c r="F58" s="158"/>
      <c r="G58" s="159"/>
      <c r="H58" s="160"/>
      <c r="I58" s="160"/>
      <c r="J58" s="160"/>
      <c r="K58" s="160"/>
      <c r="L58" s="159"/>
      <c r="M58" s="159"/>
      <c r="N58" s="165"/>
      <c r="O58" s="164"/>
      <c r="P58" s="164"/>
      <c r="Q58" s="164"/>
      <c r="R58" s="164"/>
      <c r="S58" s="164"/>
      <c r="T58" s="164"/>
      <c r="U58" s="164"/>
      <c r="V58" s="159"/>
      <c r="W58" s="165"/>
      <c r="X58" s="162"/>
      <c r="Y58" s="162"/>
      <c r="Z58" s="162"/>
      <c r="AA58" s="162"/>
      <c r="AB58" s="163"/>
      <c r="AC58" s="162"/>
      <c r="AD58" s="162"/>
      <c r="AE58" s="162"/>
      <c r="AF58" s="162"/>
      <c r="AG58" s="162"/>
      <c r="AH58" s="162"/>
    </row>
    <row r="59" spans="5:34" s="194" customFormat="1">
      <c r="E59" s="158"/>
      <c r="F59" s="158"/>
      <c r="G59" s="159"/>
      <c r="H59" s="160"/>
      <c r="I59" s="160"/>
      <c r="J59" s="160"/>
      <c r="K59" s="160"/>
      <c r="L59" s="159"/>
      <c r="M59" s="159"/>
      <c r="N59" s="165"/>
      <c r="O59" s="164"/>
      <c r="P59" s="164"/>
      <c r="Q59" s="164"/>
      <c r="R59" s="164"/>
      <c r="S59" s="164"/>
      <c r="T59" s="164"/>
      <c r="U59" s="164"/>
      <c r="V59" s="159"/>
      <c r="W59" s="165"/>
      <c r="X59" s="162"/>
      <c r="Y59" s="162"/>
      <c r="Z59" s="162"/>
      <c r="AA59" s="162"/>
      <c r="AB59" s="163"/>
      <c r="AC59" s="162"/>
      <c r="AD59" s="162"/>
      <c r="AE59" s="162"/>
      <c r="AF59" s="162"/>
      <c r="AG59" s="162"/>
      <c r="AH59" s="162"/>
    </row>
    <row r="60" spans="5:34" s="194" customFormat="1">
      <c r="E60" s="158"/>
      <c r="F60" s="158"/>
      <c r="G60" s="159"/>
      <c r="H60" s="160"/>
      <c r="I60" s="160"/>
      <c r="J60" s="160"/>
      <c r="K60" s="160"/>
      <c r="L60" s="159"/>
      <c r="M60" s="159"/>
      <c r="N60" s="165"/>
      <c r="O60" s="164"/>
      <c r="P60" s="164"/>
      <c r="Q60" s="164"/>
      <c r="R60" s="164"/>
      <c r="S60" s="164"/>
      <c r="T60" s="164"/>
      <c r="U60" s="164"/>
      <c r="V60" s="159"/>
      <c r="W60" s="165"/>
      <c r="X60" s="162"/>
      <c r="Y60" s="162"/>
      <c r="Z60" s="162"/>
      <c r="AA60" s="162"/>
      <c r="AB60" s="163"/>
      <c r="AC60" s="162"/>
      <c r="AD60" s="162"/>
      <c r="AE60" s="162"/>
      <c r="AF60" s="162"/>
      <c r="AG60" s="162"/>
      <c r="AH60" s="162"/>
    </row>
    <row r="61" spans="5:34" s="194" customFormat="1">
      <c r="E61" s="158"/>
      <c r="F61" s="158"/>
      <c r="G61" s="159"/>
      <c r="H61" s="160"/>
      <c r="I61" s="160"/>
      <c r="J61" s="160"/>
      <c r="K61" s="160"/>
      <c r="L61" s="159"/>
      <c r="M61" s="159"/>
      <c r="N61" s="165"/>
      <c r="O61" s="164"/>
      <c r="P61" s="164"/>
      <c r="Q61" s="164"/>
      <c r="R61" s="164"/>
      <c r="S61" s="164"/>
      <c r="T61" s="164"/>
      <c r="U61" s="164"/>
      <c r="V61" s="159"/>
      <c r="W61" s="165"/>
      <c r="X61" s="162"/>
      <c r="Y61" s="162"/>
      <c r="Z61" s="162"/>
      <c r="AA61" s="162"/>
      <c r="AB61" s="163"/>
      <c r="AC61" s="162"/>
      <c r="AD61" s="162"/>
      <c r="AE61" s="162"/>
      <c r="AF61" s="162"/>
      <c r="AG61" s="162"/>
      <c r="AH61" s="162"/>
    </row>
    <row r="62" spans="5:34" s="194" customFormat="1">
      <c r="E62" s="158"/>
      <c r="F62" s="158"/>
      <c r="G62" s="159"/>
      <c r="H62" s="160"/>
      <c r="I62" s="160"/>
      <c r="J62" s="160"/>
      <c r="K62" s="160"/>
      <c r="L62" s="159"/>
      <c r="M62" s="159"/>
      <c r="N62" s="165"/>
      <c r="O62" s="164"/>
      <c r="P62" s="164"/>
      <c r="Q62" s="164"/>
      <c r="R62" s="164"/>
      <c r="S62" s="164"/>
      <c r="T62" s="164"/>
      <c r="U62" s="164"/>
      <c r="V62" s="159"/>
      <c r="W62" s="165"/>
      <c r="X62" s="162"/>
      <c r="Y62" s="162"/>
      <c r="Z62" s="162"/>
      <c r="AA62" s="162"/>
      <c r="AB62" s="163"/>
      <c r="AC62" s="162"/>
      <c r="AD62" s="162"/>
      <c r="AE62" s="162"/>
      <c r="AF62" s="162"/>
      <c r="AG62" s="162"/>
      <c r="AH62" s="162"/>
    </row>
    <row r="63" spans="5:34" s="194" customFormat="1">
      <c r="E63" s="158"/>
      <c r="F63" s="158"/>
      <c r="G63" s="159"/>
      <c r="H63" s="160"/>
      <c r="I63" s="160"/>
      <c r="J63" s="160"/>
      <c r="K63" s="160"/>
      <c r="L63" s="159"/>
      <c r="M63" s="159"/>
      <c r="N63" s="165"/>
      <c r="O63" s="164"/>
      <c r="P63" s="164"/>
      <c r="Q63" s="164"/>
      <c r="R63" s="164"/>
      <c r="S63" s="164"/>
      <c r="T63" s="164"/>
      <c r="U63" s="164"/>
      <c r="V63" s="159"/>
      <c r="W63" s="165"/>
      <c r="X63" s="162"/>
      <c r="Y63" s="162"/>
      <c r="Z63" s="162"/>
      <c r="AA63" s="162"/>
      <c r="AB63" s="163"/>
      <c r="AC63" s="162"/>
      <c r="AD63" s="162"/>
      <c r="AE63" s="162"/>
      <c r="AF63" s="162"/>
      <c r="AG63" s="162"/>
      <c r="AH63" s="162"/>
    </row>
    <row r="64" spans="5:34" s="194" customFormat="1">
      <c r="E64" s="158"/>
      <c r="F64" s="158"/>
      <c r="G64" s="159"/>
      <c r="H64" s="160"/>
      <c r="I64" s="160"/>
      <c r="J64" s="160"/>
      <c r="K64" s="160"/>
      <c r="L64" s="159"/>
      <c r="M64" s="159"/>
      <c r="N64" s="165"/>
      <c r="O64" s="164"/>
      <c r="P64" s="164"/>
      <c r="Q64" s="164"/>
      <c r="R64" s="164"/>
      <c r="S64" s="164"/>
      <c r="T64" s="164"/>
      <c r="U64" s="164"/>
      <c r="V64" s="159"/>
      <c r="W64" s="165"/>
      <c r="X64" s="162"/>
      <c r="Y64" s="162"/>
      <c r="Z64" s="162"/>
      <c r="AA64" s="162"/>
      <c r="AB64" s="163"/>
      <c r="AC64" s="162"/>
      <c r="AD64" s="162"/>
      <c r="AE64" s="162"/>
      <c r="AF64" s="162"/>
      <c r="AG64" s="162"/>
      <c r="AH64" s="162"/>
    </row>
    <row r="65" spans="5:34" s="194" customFormat="1">
      <c r="E65" s="158"/>
      <c r="F65" s="158"/>
      <c r="G65" s="159"/>
      <c r="H65" s="160"/>
      <c r="I65" s="160"/>
      <c r="J65" s="160"/>
      <c r="K65" s="160"/>
      <c r="L65" s="159"/>
      <c r="M65" s="159"/>
      <c r="N65" s="165"/>
      <c r="O65" s="164"/>
      <c r="P65" s="164"/>
      <c r="Q65" s="164"/>
      <c r="R65" s="164"/>
      <c r="S65" s="164"/>
      <c r="T65" s="164"/>
      <c r="U65" s="164"/>
      <c r="V65" s="159"/>
      <c r="W65" s="165"/>
      <c r="X65" s="162"/>
      <c r="Y65" s="162"/>
      <c r="Z65" s="162"/>
      <c r="AA65" s="162"/>
      <c r="AB65" s="163"/>
      <c r="AC65" s="162"/>
      <c r="AD65" s="162"/>
      <c r="AE65" s="162"/>
      <c r="AF65" s="162"/>
      <c r="AG65" s="162"/>
      <c r="AH65" s="162"/>
    </row>
    <row r="66" spans="5:34" s="194" customFormat="1">
      <c r="E66" s="158"/>
      <c r="F66" s="158"/>
      <c r="G66" s="159"/>
      <c r="H66" s="160"/>
      <c r="I66" s="160"/>
      <c r="J66" s="160"/>
      <c r="K66" s="160"/>
      <c r="L66" s="159"/>
      <c r="M66" s="159"/>
      <c r="N66" s="165"/>
      <c r="O66" s="164"/>
      <c r="P66" s="164"/>
      <c r="Q66" s="164"/>
      <c r="R66" s="164"/>
      <c r="S66" s="164"/>
      <c r="T66" s="164"/>
      <c r="U66" s="164"/>
      <c r="V66" s="159"/>
      <c r="W66" s="165"/>
      <c r="X66" s="162"/>
      <c r="Y66" s="162"/>
      <c r="Z66" s="162"/>
      <c r="AA66" s="162"/>
      <c r="AB66" s="163"/>
      <c r="AC66" s="162"/>
      <c r="AD66" s="162"/>
      <c r="AE66" s="162"/>
      <c r="AF66" s="162"/>
      <c r="AG66" s="162"/>
      <c r="AH66" s="162"/>
    </row>
    <row r="67" spans="5:34" s="194" customFormat="1">
      <c r="E67" s="158"/>
      <c r="F67" s="158"/>
      <c r="G67" s="159"/>
      <c r="H67" s="160"/>
      <c r="I67" s="160"/>
      <c r="J67" s="160"/>
      <c r="K67" s="160"/>
      <c r="L67" s="159"/>
      <c r="M67" s="159"/>
      <c r="N67" s="165"/>
      <c r="O67" s="164"/>
      <c r="P67" s="164"/>
      <c r="Q67" s="164"/>
      <c r="R67" s="164"/>
      <c r="S67" s="164"/>
      <c r="T67" s="164"/>
      <c r="U67" s="164"/>
      <c r="V67" s="159"/>
      <c r="W67" s="165"/>
      <c r="X67" s="162"/>
      <c r="Y67" s="162"/>
      <c r="Z67" s="162"/>
      <c r="AA67" s="162"/>
      <c r="AB67" s="163"/>
      <c r="AC67" s="162"/>
      <c r="AD67" s="162"/>
      <c r="AE67" s="162"/>
      <c r="AF67" s="162"/>
      <c r="AG67" s="162"/>
      <c r="AH67" s="162"/>
    </row>
    <row r="68" spans="5:34" s="194" customFormat="1">
      <c r="E68" s="158"/>
      <c r="F68" s="158"/>
      <c r="G68" s="159"/>
      <c r="H68" s="160"/>
      <c r="I68" s="160"/>
      <c r="J68" s="160"/>
      <c r="K68" s="160"/>
      <c r="L68" s="159"/>
      <c r="M68" s="159"/>
      <c r="N68" s="165"/>
      <c r="O68" s="164"/>
      <c r="P68" s="164"/>
      <c r="Q68" s="164"/>
      <c r="R68" s="164"/>
      <c r="S68" s="164"/>
      <c r="T68" s="164"/>
      <c r="U68" s="164"/>
      <c r="V68" s="159"/>
      <c r="W68" s="165"/>
      <c r="X68" s="162"/>
      <c r="Y68" s="162"/>
      <c r="Z68" s="162"/>
      <c r="AA68" s="162"/>
      <c r="AB68" s="163"/>
      <c r="AC68" s="162"/>
      <c r="AD68" s="162"/>
      <c r="AE68" s="162"/>
      <c r="AF68" s="162"/>
      <c r="AG68" s="162"/>
      <c r="AH68" s="162"/>
    </row>
    <row r="69" spans="5:34" s="194" customFormat="1">
      <c r="E69" s="158"/>
      <c r="F69" s="158"/>
      <c r="G69" s="159"/>
      <c r="H69" s="160"/>
      <c r="I69" s="160"/>
      <c r="J69" s="160"/>
      <c r="K69" s="160"/>
      <c r="L69" s="159"/>
      <c r="M69" s="159"/>
      <c r="N69" s="165"/>
      <c r="O69" s="164"/>
      <c r="P69" s="164"/>
      <c r="Q69" s="164"/>
      <c r="R69" s="164"/>
      <c r="S69" s="164"/>
      <c r="T69" s="164"/>
      <c r="U69" s="164"/>
      <c r="V69" s="159"/>
      <c r="W69" s="165"/>
      <c r="X69" s="162"/>
      <c r="Y69" s="162"/>
      <c r="Z69" s="162"/>
      <c r="AA69" s="162"/>
      <c r="AB69" s="163"/>
      <c r="AC69" s="162"/>
      <c r="AD69" s="162"/>
      <c r="AE69" s="162"/>
      <c r="AF69" s="162"/>
      <c r="AG69" s="162"/>
      <c r="AH69" s="162"/>
    </row>
    <row r="70" spans="5:34" s="194" customFormat="1">
      <c r="E70" s="158"/>
      <c r="F70" s="158"/>
      <c r="G70" s="159"/>
      <c r="H70" s="160"/>
      <c r="I70" s="160"/>
      <c r="J70" s="160"/>
      <c r="K70" s="160"/>
      <c r="L70" s="159"/>
      <c r="M70" s="159"/>
      <c r="N70" s="165"/>
      <c r="O70" s="164"/>
      <c r="P70" s="164"/>
      <c r="Q70" s="164"/>
      <c r="R70" s="164"/>
      <c r="S70" s="164"/>
      <c r="T70" s="164"/>
      <c r="U70" s="164"/>
      <c r="V70" s="159"/>
      <c r="W70" s="165"/>
      <c r="X70" s="162"/>
      <c r="Y70" s="162"/>
      <c r="Z70" s="162"/>
      <c r="AA70" s="162"/>
      <c r="AB70" s="163"/>
      <c r="AC70" s="162"/>
      <c r="AD70" s="162"/>
      <c r="AE70" s="162"/>
      <c r="AF70" s="162"/>
      <c r="AG70" s="162"/>
      <c r="AH70" s="162"/>
    </row>
    <row r="71" spans="5:34" s="194" customFormat="1">
      <c r="E71" s="158"/>
      <c r="F71" s="158"/>
      <c r="G71" s="159"/>
      <c r="H71" s="160"/>
      <c r="I71" s="160"/>
      <c r="J71" s="160"/>
      <c r="K71" s="160"/>
      <c r="L71" s="159"/>
      <c r="M71" s="159"/>
      <c r="N71" s="165"/>
      <c r="O71" s="164"/>
      <c r="P71" s="164"/>
      <c r="Q71" s="164"/>
      <c r="R71" s="164"/>
      <c r="S71" s="164"/>
      <c r="T71" s="164"/>
      <c r="U71" s="164"/>
      <c r="V71" s="159"/>
      <c r="W71" s="165"/>
      <c r="X71" s="162"/>
      <c r="Y71" s="162"/>
      <c r="Z71" s="162"/>
      <c r="AA71" s="162"/>
      <c r="AB71" s="163"/>
      <c r="AC71" s="162"/>
      <c r="AD71" s="162"/>
      <c r="AE71" s="162"/>
      <c r="AF71" s="162"/>
      <c r="AG71" s="162"/>
      <c r="AH71" s="162"/>
    </row>
    <row r="72" spans="5:34" s="194" customFormat="1">
      <c r="E72" s="158"/>
      <c r="F72" s="158"/>
      <c r="G72" s="159"/>
      <c r="H72" s="160"/>
      <c r="I72" s="160"/>
      <c r="J72" s="160"/>
      <c r="K72" s="160"/>
      <c r="L72" s="159"/>
      <c r="M72" s="159"/>
      <c r="N72" s="165"/>
      <c r="O72" s="164"/>
      <c r="P72" s="164"/>
      <c r="Q72" s="164"/>
      <c r="R72" s="164"/>
      <c r="S72" s="164"/>
      <c r="T72" s="164"/>
      <c r="U72" s="164"/>
      <c r="V72" s="159"/>
      <c r="W72" s="165"/>
      <c r="X72" s="162"/>
      <c r="Y72" s="162"/>
      <c r="Z72" s="162"/>
      <c r="AA72" s="162"/>
      <c r="AB72" s="163"/>
      <c r="AC72" s="162"/>
      <c r="AD72" s="162"/>
      <c r="AE72" s="162"/>
      <c r="AF72" s="162"/>
      <c r="AG72" s="162"/>
      <c r="AH72" s="162"/>
    </row>
    <row r="73" spans="5:34" s="194" customFormat="1">
      <c r="E73" s="158"/>
      <c r="F73" s="158"/>
      <c r="G73" s="159"/>
      <c r="H73" s="160"/>
      <c r="I73" s="160"/>
      <c r="J73" s="160"/>
      <c r="K73" s="160"/>
      <c r="L73" s="159"/>
      <c r="M73" s="159"/>
      <c r="N73" s="165"/>
      <c r="O73" s="164"/>
      <c r="P73" s="164"/>
      <c r="Q73" s="164"/>
      <c r="R73" s="164"/>
      <c r="S73" s="164"/>
      <c r="T73" s="164"/>
      <c r="U73" s="164"/>
      <c r="V73" s="165"/>
      <c r="W73" s="165"/>
      <c r="X73" s="162"/>
      <c r="Y73" s="162"/>
      <c r="Z73" s="162"/>
      <c r="AA73" s="162"/>
      <c r="AB73" s="163"/>
      <c r="AC73" s="162"/>
      <c r="AD73" s="162"/>
      <c r="AE73" s="162"/>
      <c r="AF73" s="162"/>
      <c r="AG73" s="162"/>
      <c r="AH73" s="162"/>
    </row>
    <row r="74" spans="5:34" s="194" customFormat="1">
      <c r="E74" s="158"/>
      <c r="F74" s="158"/>
      <c r="G74" s="159"/>
      <c r="H74" s="160"/>
      <c r="I74" s="160"/>
      <c r="J74" s="160"/>
      <c r="K74" s="160"/>
      <c r="L74" s="159"/>
      <c r="M74" s="159"/>
      <c r="N74" s="165"/>
      <c r="O74" s="164"/>
      <c r="P74" s="164"/>
      <c r="Q74" s="164"/>
      <c r="R74" s="164"/>
      <c r="S74" s="164"/>
      <c r="T74" s="164"/>
      <c r="U74" s="164"/>
      <c r="V74" s="159"/>
      <c r="W74" s="165"/>
      <c r="X74" s="162"/>
      <c r="Y74" s="162"/>
      <c r="Z74" s="162"/>
      <c r="AA74" s="162"/>
      <c r="AB74" s="163"/>
      <c r="AC74" s="162"/>
      <c r="AD74" s="162"/>
      <c r="AE74" s="162"/>
      <c r="AF74" s="162"/>
      <c r="AG74" s="162"/>
      <c r="AH74" s="162"/>
    </row>
    <row r="75" spans="5:34" s="194" customFormat="1">
      <c r="E75" s="158"/>
      <c r="F75" s="158"/>
      <c r="G75" s="159"/>
      <c r="H75" s="160"/>
      <c r="I75" s="160"/>
      <c r="J75" s="160"/>
      <c r="K75" s="160"/>
      <c r="L75" s="159"/>
      <c r="M75" s="159"/>
      <c r="N75" s="165"/>
      <c r="O75" s="164"/>
      <c r="P75" s="164"/>
      <c r="Q75" s="164"/>
      <c r="R75" s="164"/>
      <c r="S75" s="164"/>
      <c r="T75" s="164"/>
      <c r="U75" s="164"/>
      <c r="V75" s="159"/>
      <c r="W75" s="165"/>
      <c r="X75" s="162"/>
      <c r="Y75" s="162"/>
      <c r="Z75" s="162"/>
      <c r="AA75" s="162"/>
      <c r="AB75" s="163"/>
      <c r="AC75" s="162"/>
      <c r="AD75" s="162"/>
      <c r="AE75" s="162"/>
      <c r="AF75" s="162"/>
      <c r="AG75" s="162"/>
      <c r="AH75" s="162"/>
    </row>
    <row r="76" spans="5:34" s="194" customFormat="1">
      <c r="E76" s="158"/>
      <c r="F76" s="158"/>
      <c r="G76" s="159"/>
      <c r="H76" s="160"/>
      <c r="I76" s="160"/>
      <c r="J76" s="160"/>
      <c r="K76" s="160"/>
      <c r="L76" s="159"/>
      <c r="M76" s="159"/>
      <c r="N76" s="165"/>
      <c r="O76" s="164"/>
      <c r="P76" s="164"/>
      <c r="Q76" s="164"/>
      <c r="R76" s="164"/>
      <c r="S76" s="164"/>
      <c r="T76" s="164"/>
      <c r="U76" s="164"/>
      <c r="V76" s="159"/>
      <c r="W76" s="165"/>
      <c r="X76" s="162"/>
      <c r="Y76" s="162"/>
      <c r="Z76" s="162"/>
      <c r="AA76" s="162"/>
      <c r="AB76" s="163"/>
      <c r="AC76" s="162"/>
      <c r="AD76" s="162"/>
      <c r="AE76" s="162"/>
      <c r="AF76" s="162"/>
      <c r="AG76" s="162"/>
      <c r="AH76" s="162"/>
    </row>
    <row r="77" spans="5:34" s="194" customFormat="1">
      <c r="E77" s="158"/>
      <c r="F77" s="158"/>
      <c r="G77" s="159"/>
      <c r="H77" s="160"/>
      <c r="I77" s="160"/>
      <c r="J77" s="160"/>
      <c r="K77" s="160"/>
      <c r="L77" s="159"/>
      <c r="M77" s="159"/>
      <c r="N77" s="165"/>
      <c r="O77" s="164"/>
      <c r="P77" s="164"/>
      <c r="Q77" s="164"/>
      <c r="R77" s="164"/>
      <c r="S77" s="164"/>
      <c r="T77" s="164"/>
      <c r="U77" s="164"/>
      <c r="V77" s="159"/>
      <c r="W77" s="165"/>
      <c r="X77" s="162"/>
      <c r="Y77" s="162"/>
      <c r="Z77" s="162"/>
      <c r="AA77" s="162"/>
      <c r="AB77" s="163"/>
      <c r="AC77" s="162"/>
      <c r="AD77" s="162"/>
      <c r="AE77" s="162"/>
      <c r="AF77" s="162"/>
      <c r="AG77" s="162"/>
      <c r="AH77" s="162"/>
    </row>
    <row r="78" spans="5:34" s="194" customFormat="1">
      <c r="E78" s="158"/>
      <c r="F78" s="158"/>
      <c r="G78" s="159"/>
      <c r="H78" s="160"/>
      <c r="I78" s="160"/>
      <c r="J78" s="160"/>
      <c r="K78" s="160"/>
      <c r="L78" s="159"/>
      <c r="M78" s="159"/>
      <c r="N78" s="165"/>
      <c r="O78" s="164"/>
      <c r="P78" s="164"/>
      <c r="Q78" s="164"/>
      <c r="R78" s="164"/>
      <c r="S78" s="164"/>
      <c r="T78" s="164"/>
      <c r="U78" s="164"/>
      <c r="V78" s="159"/>
      <c r="W78" s="165"/>
      <c r="X78" s="162"/>
      <c r="Y78" s="162"/>
      <c r="Z78" s="162"/>
      <c r="AA78" s="162"/>
      <c r="AB78" s="163"/>
      <c r="AC78" s="162"/>
      <c r="AD78" s="162"/>
      <c r="AE78" s="162"/>
      <c r="AF78" s="162"/>
      <c r="AG78" s="162"/>
      <c r="AH78" s="162"/>
    </row>
    <row r="79" spans="5:34" s="194" customFormat="1">
      <c r="E79" s="158"/>
      <c r="F79" s="158"/>
      <c r="G79" s="159"/>
      <c r="H79" s="160"/>
      <c r="I79" s="160"/>
      <c r="J79" s="160"/>
      <c r="K79" s="160"/>
      <c r="L79" s="159"/>
      <c r="M79" s="159"/>
      <c r="N79" s="165"/>
      <c r="O79" s="164"/>
      <c r="P79" s="164"/>
      <c r="Q79" s="164"/>
      <c r="R79" s="164"/>
      <c r="S79" s="164"/>
      <c r="T79" s="164"/>
      <c r="U79" s="164"/>
      <c r="V79" s="159"/>
      <c r="W79" s="165"/>
      <c r="X79" s="162"/>
      <c r="Y79" s="162"/>
      <c r="Z79" s="162"/>
      <c r="AA79" s="162"/>
      <c r="AB79" s="163"/>
      <c r="AC79" s="162"/>
      <c r="AD79" s="162"/>
      <c r="AE79" s="162"/>
      <c r="AF79" s="162"/>
      <c r="AG79" s="162"/>
      <c r="AH79" s="162"/>
    </row>
    <row r="80" spans="5:34" s="194" customFormat="1">
      <c r="E80" s="158"/>
      <c r="F80" s="158"/>
      <c r="G80" s="159"/>
      <c r="H80" s="160"/>
      <c r="I80" s="160"/>
      <c r="J80" s="160"/>
      <c r="K80" s="160"/>
      <c r="L80" s="159"/>
      <c r="M80" s="159"/>
      <c r="N80" s="165"/>
      <c r="O80" s="164"/>
      <c r="P80" s="164"/>
      <c r="Q80" s="164"/>
      <c r="R80" s="164"/>
      <c r="S80" s="164"/>
      <c r="T80" s="164"/>
      <c r="U80" s="164"/>
      <c r="V80" s="159"/>
      <c r="W80" s="165"/>
      <c r="X80" s="162"/>
      <c r="Y80" s="162"/>
      <c r="Z80" s="162"/>
      <c r="AA80" s="162"/>
      <c r="AB80" s="163"/>
      <c r="AC80" s="162"/>
      <c r="AD80" s="162"/>
      <c r="AE80" s="162"/>
      <c r="AF80" s="162"/>
      <c r="AG80" s="162"/>
      <c r="AH80" s="162"/>
    </row>
    <row r="81" spans="5:34" s="194" customFormat="1">
      <c r="E81" s="158"/>
      <c r="F81" s="158"/>
      <c r="G81" s="159"/>
      <c r="H81" s="160"/>
      <c r="I81" s="160"/>
      <c r="J81" s="160"/>
      <c r="K81" s="160"/>
      <c r="L81" s="159"/>
      <c r="M81" s="159"/>
      <c r="N81" s="165"/>
      <c r="O81" s="164"/>
      <c r="P81" s="164"/>
      <c r="Q81" s="164"/>
      <c r="R81" s="164"/>
      <c r="S81" s="164"/>
      <c r="T81" s="164"/>
      <c r="U81" s="164"/>
      <c r="V81" s="159"/>
      <c r="W81" s="165"/>
      <c r="X81" s="162"/>
      <c r="Y81" s="162"/>
      <c r="Z81" s="162"/>
      <c r="AA81" s="162"/>
      <c r="AB81" s="163"/>
      <c r="AC81" s="162"/>
      <c r="AD81" s="162"/>
      <c r="AE81" s="162"/>
      <c r="AF81" s="162"/>
      <c r="AG81" s="162"/>
      <c r="AH81" s="162"/>
    </row>
    <row r="82" spans="5:34" s="194" customFormat="1">
      <c r="E82" s="158"/>
      <c r="F82" s="158"/>
      <c r="G82" s="159"/>
      <c r="H82" s="160"/>
      <c r="I82" s="160"/>
      <c r="J82" s="160"/>
      <c r="K82" s="160"/>
      <c r="L82" s="159"/>
      <c r="M82" s="159"/>
      <c r="N82" s="165"/>
      <c r="O82" s="164"/>
      <c r="P82" s="164"/>
      <c r="Q82" s="164"/>
      <c r="R82" s="164"/>
      <c r="S82" s="164"/>
      <c r="T82" s="164"/>
      <c r="U82" s="164"/>
      <c r="V82" s="159"/>
      <c r="W82" s="165"/>
      <c r="X82" s="162"/>
      <c r="Y82" s="162"/>
      <c r="Z82" s="162"/>
      <c r="AA82" s="162"/>
      <c r="AB82" s="163"/>
      <c r="AC82" s="162"/>
      <c r="AD82" s="162"/>
      <c r="AE82" s="162"/>
      <c r="AF82" s="162"/>
      <c r="AG82" s="162"/>
      <c r="AH82" s="162"/>
    </row>
    <row r="83" spans="5:34" s="194" customFormat="1">
      <c r="E83" s="158"/>
      <c r="F83" s="158"/>
      <c r="G83" s="159"/>
      <c r="H83" s="160"/>
      <c r="I83" s="160"/>
      <c r="J83" s="160"/>
      <c r="K83" s="160"/>
      <c r="L83" s="159"/>
      <c r="M83" s="159"/>
      <c r="N83" s="165"/>
      <c r="O83" s="164"/>
      <c r="P83" s="164"/>
      <c r="Q83" s="164"/>
      <c r="R83" s="164"/>
      <c r="S83" s="164"/>
      <c r="T83" s="164"/>
      <c r="U83" s="164"/>
      <c r="V83" s="159"/>
      <c r="W83" s="165"/>
      <c r="X83" s="162"/>
      <c r="Y83" s="162"/>
      <c r="Z83" s="162"/>
      <c r="AA83" s="162"/>
      <c r="AB83" s="163"/>
      <c r="AC83" s="162"/>
      <c r="AD83" s="162"/>
      <c r="AE83" s="162"/>
      <c r="AF83" s="162"/>
      <c r="AG83" s="162"/>
      <c r="AH83" s="162"/>
    </row>
    <row r="84" spans="5:34" s="194" customFormat="1">
      <c r="E84" s="158"/>
      <c r="F84" s="158"/>
      <c r="G84" s="159"/>
      <c r="H84" s="160"/>
      <c r="I84" s="160"/>
      <c r="J84" s="160"/>
      <c r="K84" s="160"/>
      <c r="L84" s="159"/>
      <c r="M84" s="159"/>
      <c r="N84" s="165"/>
      <c r="O84" s="164"/>
      <c r="P84" s="164"/>
      <c r="Q84" s="164"/>
      <c r="R84" s="164"/>
      <c r="S84" s="164"/>
      <c r="T84" s="164"/>
      <c r="U84" s="164"/>
      <c r="V84" s="159"/>
      <c r="W84" s="165"/>
      <c r="X84" s="162"/>
      <c r="Y84" s="162"/>
      <c r="Z84" s="162"/>
      <c r="AA84" s="162"/>
      <c r="AB84" s="163"/>
      <c r="AC84" s="162"/>
      <c r="AD84" s="162"/>
      <c r="AE84" s="162"/>
      <c r="AF84" s="162"/>
      <c r="AG84" s="162"/>
      <c r="AH84" s="162"/>
    </row>
    <row r="85" spans="5:34" s="194" customFormat="1">
      <c r="E85" s="158"/>
      <c r="F85" s="158"/>
      <c r="G85" s="159"/>
      <c r="H85" s="160"/>
      <c r="I85" s="160"/>
      <c r="J85" s="160"/>
      <c r="K85" s="160"/>
      <c r="L85" s="159"/>
      <c r="M85" s="159"/>
      <c r="N85" s="165"/>
      <c r="O85" s="164"/>
      <c r="P85" s="164"/>
      <c r="Q85" s="164"/>
      <c r="R85" s="164"/>
      <c r="S85" s="164"/>
      <c r="T85" s="164"/>
      <c r="U85" s="164"/>
      <c r="V85" s="159"/>
      <c r="W85" s="165"/>
      <c r="X85" s="162"/>
      <c r="Y85" s="162"/>
      <c r="Z85" s="162"/>
      <c r="AA85" s="162"/>
      <c r="AB85" s="163"/>
      <c r="AC85" s="162"/>
      <c r="AD85" s="162"/>
      <c r="AE85" s="162"/>
      <c r="AF85" s="162"/>
      <c r="AG85" s="162"/>
      <c r="AH85" s="162"/>
    </row>
    <row r="86" spans="5:34" s="194" customFormat="1">
      <c r="E86" s="158"/>
      <c r="F86" s="158"/>
      <c r="G86" s="159"/>
      <c r="H86" s="160"/>
      <c r="I86" s="160"/>
      <c r="J86" s="160"/>
      <c r="K86" s="160"/>
      <c r="L86" s="159"/>
      <c r="M86" s="159"/>
      <c r="N86" s="165"/>
      <c r="O86" s="164"/>
      <c r="P86" s="164"/>
      <c r="Q86" s="164"/>
      <c r="R86" s="164"/>
      <c r="S86" s="164"/>
      <c r="T86" s="164"/>
      <c r="U86" s="164"/>
      <c r="V86" s="159"/>
      <c r="W86" s="165"/>
      <c r="X86" s="162"/>
      <c r="Y86" s="162"/>
      <c r="Z86" s="162"/>
      <c r="AA86" s="162"/>
      <c r="AB86" s="163"/>
      <c r="AC86" s="162"/>
      <c r="AD86" s="162"/>
      <c r="AE86" s="162"/>
      <c r="AF86" s="162"/>
      <c r="AG86" s="162"/>
      <c r="AH86" s="162"/>
    </row>
    <row r="87" spans="5:34" s="194" customFormat="1">
      <c r="E87" s="158"/>
      <c r="F87" s="158"/>
      <c r="G87" s="159"/>
      <c r="H87" s="160"/>
      <c r="I87" s="160"/>
      <c r="J87" s="160"/>
      <c r="K87" s="160"/>
      <c r="L87" s="159"/>
      <c r="M87" s="159"/>
      <c r="N87" s="165"/>
      <c r="O87" s="164"/>
      <c r="P87" s="164"/>
      <c r="Q87" s="164"/>
      <c r="R87" s="164"/>
      <c r="S87" s="164"/>
      <c r="T87" s="164"/>
      <c r="U87" s="164"/>
      <c r="V87" s="159"/>
      <c r="W87" s="165"/>
      <c r="X87" s="162"/>
      <c r="Y87" s="162"/>
      <c r="Z87" s="162"/>
      <c r="AA87" s="162"/>
      <c r="AB87" s="163"/>
      <c r="AC87" s="162"/>
      <c r="AD87" s="162"/>
      <c r="AE87" s="162"/>
      <c r="AF87" s="162"/>
      <c r="AG87" s="162"/>
      <c r="AH87" s="162"/>
    </row>
    <row r="88" spans="5:34" s="194" customFormat="1">
      <c r="E88" s="158"/>
      <c r="F88" s="158"/>
      <c r="G88" s="159"/>
      <c r="H88" s="160"/>
      <c r="I88" s="160"/>
      <c r="J88" s="160"/>
      <c r="K88" s="160"/>
      <c r="L88" s="159"/>
      <c r="M88" s="159"/>
      <c r="N88" s="165"/>
      <c r="O88" s="164"/>
      <c r="P88" s="164"/>
      <c r="Q88" s="164"/>
      <c r="R88" s="164"/>
      <c r="S88" s="164"/>
      <c r="T88" s="164"/>
      <c r="U88" s="164"/>
      <c r="V88" s="159"/>
      <c r="W88" s="165"/>
      <c r="X88" s="162"/>
      <c r="Y88" s="162"/>
      <c r="Z88" s="162"/>
      <c r="AA88" s="162"/>
      <c r="AB88" s="163"/>
      <c r="AC88" s="162"/>
      <c r="AD88" s="162"/>
      <c r="AE88" s="162"/>
      <c r="AF88" s="162"/>
      <c r="AG88" s="162"/>
      <c r="AH88" s="162"/>
    </row>
    <row r="89" spans="5:34" s="194" customFormat="1">
      <c r="E89" s="158"/>
      <c r="F89" s="158"/>
      <c r="G89" s="159"/>
      <c r="H89" s="160"/>
      <c r="I89" s="160"/>
      <c r="J89" s="160"/>
      <c r="K89" s="160"/>
      <c r="L89" s="159"/>
      <c r="M89" s="159"/>
      <c r="N89" s="165"/>
      <c r="O89" s="164"/>
      <c r="P89" s="164"/>
      <c r="Q89" s="164"/>
      <c r="R89" s="164"/>
      <c r="S89" s="164"/>
      <c r="T89" s="164"/>
      <c r="U89" s="164"/>
      <c r="V89" s="159"/>
      <c r="W89" s="165"/>
      <c r="X89" s="162"/>
      <c r="Y89" s="162"/>
      <c r="Z89" s="162"/>
      <c r="AA89" s="162"/>
      <c r="AB89" s="163"/>
      <c r="AC89" s="162"/>
      <c r="AD89" s="162"/>
      <c r="AE89" s="162"/>
      <c r="AF89" s="162"/>
      <c r="AG89" s="162"/>
      <c r="AH89" s="162"/>
    </row>
    <row r="90" spans="5:34" s="194" customFormat="1">
      <c r="E90" s="158"/>
      <c r="F90" s="158"/>
      <c r="G90" s="159"/>
      <c r="H90" s="160"/>
      <c r="I90" s="160"/>
      <c r="J90" s="160"/>
      <c r="K90" s="160"/>
      <c r="L90" s="159"/>
      <c r="M90" s="159"/>
      <c r="N90" s="165"/>
      <c r="O90" s="164"/>
      <c r="P90" s="164"/>
      <c r="Q90" s="164"/>
      <c r="R90" s="164"/>
      <c r="S90" s="164"/>
      <c r="T90" s="164"/>
      <c r="U90" s="164"/>
      <c r="V90" s="159"/>
      <c r="W90" s="165"/>
      <c r="X90" s="162"/>
      <c r="Y90" s="162"/>
      <c r="Z90" s="162"/>
      <c r="AA90" s="162"/>
      <c r="AB90" s="163"/>
      <c r="AC90" s="162"/>
      <c r="AD90" s="162"/>
      <c r="AE90" s="162"/>
      <c r="AF90" s="162"/>
      <c r="AG90" s="162"/>
      <c r="AH90" s="162"/>
    </row>
    <row r="91" spans="5:34" s="194" customFormat="1">
      <c r="E91" s="158"/>
      <c r="F91" s="158"/>
      <c r="G91" s="159"/>
      <c r="H91" s="160"/>
      <c r="I91" s="160"/>
      <c r="J91" s="160"/>
      <c r="K91" s="160"/>
      <c r="L91" s="159"/>
      <c r="M91" s="159"/>
      <c r="N91" s="165"/>
      <c r="O91" s="164"/>
      <c r="P91" s="164"/>
      <c r="Q91" s="164"/>
      <c r="R91" s="164"/>
      <c r="S91" s="164"/>
      <c r="T91" s="164"/>
      <c r="U91" s="164"/>
      <c r="V91" s="159"/>
      <c r="W91" s="165"/>
      <c r="X91" s="162"/>
      <c r="Y91" s="162"/>
      <c r="Z91" s="162"/>
      <c r="AA91" s="162"/>
      <c r="AB91" s="163"/>
      <c r="AC91" s="162"/>
      <c r="AD91" s="162"/>
      <c r="AE91" s="162"/>
      <c r="AF91" s="162"/>
      <c r="AG91" s="162"/>
      <c r="AH91" s="162"/>
    </row>
    <row r="92" spans="5:34" s="194" customFormat="1">
      <c r="E92" s="158"/>
      <c r="F92" s="158"/>
      <c r="G92" s="159"/>
      <c r="H92" s="160"/>
      <c r="I92" s="160"/>
      <c r="J92" s="160"/>
      <c r="K92" s="160"/>
      <c r="L92" s="159"/>
      <c r="M92" s="159"/>
      <c r="N92" s="165"/>
      <c r="O92" s="164"/>
      <c r="P92" s="164"/>
      <c r="Q92" s="164"/>
      <c r="R92" s="164"/>
      <c r="S92" s="164"/>
      <c r="T92" s="164"/>
      <c r="U92" s="164"/>
      <c r="V92" s="159"/>
      <c r="W92" s="165"/>
      <c r="X92" s="162"/>
      <c r="Y92" s="162"/>
      <c r="Z92" s="162"/>
      <c r="AA92" s="162"/>
      <c r="AB92" s="163"/>
      <c r="AC92" s="162"/>
      <c r="AD92" s="162"/>
      <c r="AE92" s="162"/>
      <c r="AF92" s="162"/>
      <c r="AG92" s="162"/>
      <c r="AH92" s="162"/>
    </row>
    <row r="93" spans="5:34" s="194" customFormat="1">
      <c r="E93" s="158"/>
      <c r="F93" s="158"/>
      <c r="G93" s="159"/>
      <c r="H93" s="160"/>
      <c r="I93" s="160"/>
      <c r="J93" s="160"/>
      <c r="K93" s="160"/>
      <c r="L93" s="159"/>
      <c r="M93" s="159"/>
      <c r="N93" s="165"/>
      <c r="O93" s="164"/>
      <c r="P93" s="164"/>
      <c r="Q93" s="164"/>
      <c r="R93" s="164"/>
      <c r="S93" s="164"/>
      <c r="T93" s="164"/>
      <c r="U93" s="164"/>
      <c r="V93" s="159"/>
      <c r="W93" s="165"/>
      <c r="X93" s="162"/>
      <c r="Y93" s="162"/>
      <c r="Z93" s="162"/>
      <c r="AA93" s="162"/>
      <c r="AB93" s="163"/>
      <c r="AC93" s="162"/>
      <c r="AD93" s="162"/>
      <c r="AE93" s="162"/>
      <c r="AF93" s="162"/>
      <c r="AG93" s="162"/>
      <c r="AH93" s="162"/>
    </row>
    <row r="94" spans="5:34" s="194" customFormat="1">
      <c r="E94" s="158"/>
      <c r="F94" s="158"/>
      <c r="G94" s="159"/>
      <c r="H94" s="160"/>
      <c r="I94" s="160"/>
      <c r="J94" s="160"/>
      <c r="K94" s="160"/>
      <c r="L94" s="159"/>
      <c r="M94" s="159"/>
      <c r="N94" s="165"/>
      <c r="O94" s="164"/>
      <c r="P94" s="164"/>
      <c r="Q94" s="164"/>
      <c r="R94" s="164"/>
      <c r="S94" s="164"/>
      <c r="T94" s="164"/>
      <c r="U94" s="164"/>
      <c r="V94" s="159"/>
      <c r="W94" s="165"/>
      <c r="X94" s="162"/>
      <c r="Y94" s="162"/>
      <c r="Z94" s="162"/>
      <c r="AA94" s="162"/>
      <c r="AB94" s="163"/>
      <c r="AC94" s="162"/>
      <c r="AD94" s="162"/>
      <c r="AE94" s="162"/>
      <c r="AF94" s="162"/>
      <c r="AG94" s="162"/>
      <c r="AH94" s="162"/>
    </row>
    <row r="95" spans="5:34" s="194" customFormat="1">
      <c r="E95" s="158"/>
      <c r="F95" s="158"/>
      <c r="G95" s="159"/>
      <c r="H95" s="160"/>
      <c r="I95" s="160"/>
      <c r="J95" s="160"/>
      <c r="K95" s="160"/>
      <c r="L95" s="159"/>
      <c r="M95" s="159"/>
      <c r="N95" s="165"/>
      <c r="O95" s="164"/>
      <c r="P95" s="164"/>
      <c r="Q95" s="164"/>
      <c r="R95" s="164"/>
      <c r="S95" s="164"/>
      <c r="T95" s="164"/>
      <c r="U95" s="164"/>
      <c r="V95" s="159"/>
      <c r="W95" s="165"/>
      <c r="X95" s="162"/>
      <c r="Y95" s="162"/>
      <c r="Z95" s="162"/>
      <c r="AA95" s="162"/>
      <c r="AB95" s="163"/>
      <c r="AC95" s="162"/>
      <c r="AD95" s="162"/>
      <c r="AE95" s="162"/>
      <c r="AF95" s="162"/>
      <c r="AG95" s="162"/>
      <c r="AH95" s="162"/>
    </row>
    <row r="96" spans="5:34" s="194" customFormat="1">
      <c r="E96" s="158"/>
      <c r="F96" s="158"/>
      <c r="G96" s="159"/>
      <c r="H96" s="160"/>
      <c r="I96" s="160"/>
      <c r="J96" s="160"/>
      <c r="K96" s="160"/>
      <c r="L96" s="159"/>
      <c r="M96" s="159"/>
      <c r="N96" s="165"/>
      <c r="O96" s="164"/>
      <c r="P96" s="164"/>
      <c r="Q96" s="164"/>
      <c r="R96" s="164"/>
      <c r="S96" s="164"/>
      <c r="T96" s="164"/>
      <c r="U96" s="164"/>
      <c r="V96" s="159"/>
      <c r="W96" s="165"/>
      <c r="X96" s="162"/>
      <c r="Y96" s="162"/>
      <c r="Z96" s="162"/>
      <c r="AA96" s="162"/>
      <c r="AB96" s="163"/>
      <c r="AC96" s="162"/>
      <c r="AD96" s="162"/>
      <c r="AE96" s="162"/>
      <c r="AF96" s="162"/>
      <c r="AG96" s="162"/>
      <c r="AH96" s="162"/>
    </row>
    <row r="97" spans="5:112" s="194" customFormat="1">
      <c r="E97" s="158"/>
      <c r="F97" s="158"/>
      <c r="G97" s="159"/>
      <c r="H97" s="160"/>
      <c r="I97" s="160"/>
      <c r="J97" s="160"/>
      <c r="K97" s="160"/>
      <c r="L97" s="159"/>
      <c r="M97" s="159"/>
      <c r="N97" s="165"/>
      <c r="O97" s="164"/>
      <c r="P97" s="164"/>
      <c r="Q97" s="164"/>
      <c r="R97" s="164"/>
      <c r="S97" s="164"/>
      <c r="T97" s="164"/>
      <c r="U97" s="164"/>
      <c r="V97" s="159"/>
      <c r="W97" s="165"/>
      <c r="X97" s="162"/>
      <c r="Y97" s="162"/>
      <c r="Z97" s="162"/>
      <c r="AA97" s="162"/>
      <c r="AB97" s="163"/>
      <c r="AC97" s="162"/>
      <c r="AD97" s="162"/>
      <c r="AE97" s="162"/>
      <c r="AF97" s="162"/>
      <c r="AG97" s="162"/>
      <c r="AH97" s="162"/>
    </row>
    <row r="98" spans="5:112" s="194" customFormat="1">
      <c r="E98" s="158"/>
      <c r="F98" s="158"/>
      <c r="G98" s="159"/>
      <c r="H98" s="160"/>
      <c r="I98" s="160"/>
      <c r="J98" s="160"/>
      <c r="K98" s="160"/>
      <c r="L98" s="159"/>
      <c r="M98" s="159"/>
      <c r="N98" s="165"/>
      <c r="O98" s="164"/>
      <c r="P98" s="164"/>
      <c r="Q98" s="164"/>
      <c r="R98" s="164"/>
      <c r="S98" s="164"/>
      <c r="T98" s="164"/>
      <c r="U98" s="164"/>
      <c r="V98" s="159"/>
      <c r="W98" s="165"/>
      <c r="X98" s="162"/>
      <c r="Y98" s="162"/>
      <c r="Z98" s="162"/>
      <c r="AA98" s="162"/>
      <c r="AB98" s="163"/>
      <c r="AC98" s="162"/>
      <c r="AD98" s="162"/>
      <c r="AE98" s="162"/>
      <c r="AF98" s="162"/>
      <c r="AG98" s="162"/>
      <c r="AH98" s="162"/>
    </row>
    <row r="99" spans="5:112" s="194" customFormat="1">
      <c r="E99" s="158"/>
      <c r="F99" s="158"/>
      <c r="G99" s="159"/>
      <c r="H99" s="160"/>
      <c r="I99" s="160"/>
      <c r="J99" s="160"/>
      <c r="K99" s="160"/>
      <c r="L99" s="159"/>
      <c r="M99" s="159"/>
      <c r="N99" s="165"/>
      <c r="O99" s="164"/>
      <c r="P99" s="164"/>
      <c r="Q99" s="164"/>
      <c r="R99" s="164"/>
      <c r="S99" s="164"/>
      <c r="T99" s="164"/>
      <c r="U99" s="164"/>
      <c r="V99" s="159"/>
      <c r="W99" s="165"/>
      <c r="X99" s="162"/>
      <c r="Y99" s="162"/>
      <c r="Z99" s="162"/>
      <c r="AA99" s="162"/>
      <c r="AB99" s="163"/>
      <c r="AC99" s="162"/>
      <c r="AD99" s="162"/>
      <c r="AE99" s="162"/>
      <c r="AF99" s="162"/>
      <c r="AG99" s="162"/>
      <c r="AH99" s="162"/>
    </row>
    <row r="100" spans="5:112" s="194" customFormat="1">
      <c r="E100" s="158"/>
      <c r="F100" s="158"/>
      <c r="G100" s="159"/>
      <c r="H100" s="160"/>
      <c r="I100" s="160"/>
      <c r="J100" s="160"/>
      <c r="K100" s="160"/>
      <c r="L100" s="159"/>
      <c r="M100" s="159"/>
      <c r="N100" s="165"/>
      <c r="O100" s="164"/>
      <c r="P100" s="164"/>
      <c r="Q100" s="164"/>
      <c r="R100" s="164"/>
      <c r="S100" s="164"/>
      <c r="T100" s="164"/>
      <c r="U100" s="164"/>
      <c r="V100" s="159"/>
      <c r="W100" s="165"/>
      <c r="X100" s="162"/>
      <c r="Y100" s="162"/>
      <c r="Z100" s="162"/>
      <c r="AA100" s="162"/>
      <c r="AB100" s="163"/>
      <c r="AC100" s="162"/>
      <c r="AD100" s="162"/>
      <c r="AE100" s="162"/>
      <c r="AF100" s="162"/>
      <c r="AG100" s="162"/>
      <c r="AH100" s="162"/>
    </row>
    <row r="101" spans="5:112" s="194" customFormat="1">
      <c r="E101" s="158"/>
      <c r="F101" s="158"/>
      <c r="G101" s="159"/>
      <c r="H101" s="160"/>
      <c r="I101" s="160"/>
      <c r="J101" s="160"/>
      <c r="K101" s="160"/>
      <c r="L101" s="159"/>
      <c r="M101" s="159"/>
      <c r="N101" s="165"/>
      <c r="O101" s="164"/>
      <c r="P101" s="164"/>
      <c r="Q101" s="164"/>
      <c r="R101" s="164"/>
      <c r="S101" s="164"/>
      <c r="T101" s="164"/>
      <c r="U101" s="164"/>
      <c r="V101" s="159"/>
      <c r="W101" s="165"/>
      <c r="X101" s="162"/>
      <c r="Y101" s="162"/>
      <c r="Z101" s="162"/>
      <c r="AA101" s="162"/>
      <c r="AB101" s="163"/>
      <c r="AC101" s="162"/>
      <c r="AD101" s="162"/>
      <c r="AE101" s="162"/>
      <c r="AF101" s="162"/>
      <c r="AG101" s="162"/>
      <c r="AH101" s="162"/>
    </row>
    <row r="102" spans="5:112" s="194" customFormat="1">
      <c r="E102" s="158"/>
      <c r="F102" s="158"/>
      <c r="G102" s="159"/>
      <c r="H102" s="160"/>
      <c r="I102" s="160"/>
      <c r="J102" s="160"/>
      <c r="K102" s="160"/>
      <c r="L102" s="159"/>
      <c r="M102" s="159"/>
      <c r="N102" s="165"/>
      <c r="O102" s="164"/>
      <c r="P102" s="164"/>
      <c r="Q102" s="164"/>
      <c r="R102" s="164"/>
      <c r="S102" s="164"/>
      <c r="T102" s="164"/>
      <c r="U102" s="164"/>
      <c r="V102" s="159"/>
      <c r="W102" s="165"/>
      <c r="X102" s="162"/>
      <c r="Y102" s="162"/>
      <c r="Z102" s="162"/>
      <c r="AA102" s="162"/>
      <c r="AB102" s="163"/>
      <c r="AC102" s="162"/>
      <c r="AD102" s="162"/>
      <c r="AE102" s="162"/>
      <c r="AF102" s="162"/>
      <c r="AG102" s="162"/>
      <c r="AH102" s="162"/>
    </row>
    <row r="103" spans="5:112" s="194" customFormat="1">
      <c r="E103" s="158"/>
      <c r="F103" s="158"/>
      <c r="G103" s="159"/>
      <c r="H103" s="160"/>
      <c r="I103" s="160"/>
      <c r="J103" s="160"/>
      <c r="K103" s="160"/>
      <c r="L103" s="159"/>
      <c r="M103" s="159"/>
      <c r="N103" s="165"/>
      <c r="O103" s="164"/>
      <c r="P103" s="164"/>
      <c r="Q103" s="164"/>
      <c r="R103" s="164"/>
      <c r="S103" s="164"/>
      <c r="T103" s="164"/>
      <c r="U103" s="164"/>
      <c r="V103" s="159"/>
      <c r="W103" s="165"/>
      <c r="X103" s="162"/>
      <c r="Y103" s="162"/>
      <c r="Z103" s="162"/>
      <c r="AA103" s="162"/>
      <c r="AB103" s="163"/>
      <c r="AC103" s="162"/>
      <c r="AD103" s="162"/>
      <c r="AE103" s="162"/>
      <c r="AF103" s="162"/>
      <c r="AG103" s="162"/>
      <c r="AH103" s="162"/>
    </row>
    <row r="104" spans="5:112" s="193" customFormat="1">
      <c r="E104" s="32"/>
      <c r="F104" s="32"/>
      <c r="G104" s="29"/>
      <c r="H104" s="25"/>
      <c r="I104" s="25"/>
      <c r="J104" s="25"/>
      <c r="K104" s="25"/>
      <c r="L104" s="29"/>
      <c r="M104" s="29"/>
      <c r="N104" s="28"/>
      <c r="O104" s="30"/>
      <c r="P104" s="30"/>
      <c r="Q104" s="30"/>
      <c r="R104" s="30"/>
      <c r="S104" s="30"/>
      <c r="T104" s="30"/>
      <c r="U104" s="30"/>
      <c r="V104" s="29"/>
      <c r="W104" s="28"/>
      <c r="X104" s="149"/>
      <c r="Y104" s="149"/>
      <c r="Z104" s="150"/>
      <c r="AA104" s="150"/>
      <c r="AB104" s="151"/>
      <c r="AC104" s="150"/>
      <c r="AD104" s="150"/>
      <c r="AE104" s="150"/>
      <c r="AF104" s="150"/>
      <c r="AG104" s="150"/>
      <c r="AH104" s="150"/>
      <c r="AI104" s="195"/>
      <c r="AJ104" s="195"/>
      <c r="AK104" s="195"/>
      <c r="AL104" s="195"/>
      <c r="AM104" s="195"/>
      <c r="AN104" s="195"/>
      <c r="AO104" s="195"/>
      <c r="AP104" s="195"/>
      <c r="AQ104" s="195"/>
      <c r="AR104" s="195"/>
      <c r="AS104" s="195"/>
      <c r="AT104" s="195"/>
      <c r="AU104" s="195"/>
      <c r="AV104" s="195"/>
      <c r="AW104" s="195"/>
      <c r="AX104" s="195"/>
      <c r="AY104" s="195"/>
      <c r="AZ104" s="195"/>
      <c r="BA104" s="195"/>
      <c r="BB104" s="195"/>
      <c r="BC104" s="195"/>
      <c r="BD104" s="195"/>
      <c r="BE104" s="195"/>
      <c r="BF104" s="195"/>
      <c r="BG104" s="195"/>
      <c r="BH104" s="195"/>
      <c r="BI104" s="195"/>
      <c r="BJ104" s="195"/>
      <c r="BK104" s="195"/>
      <c r="BL104" s="195"/>
      <c r="BM104" s="195"/>
      <c r="BN104" s="195"/>
      <c r="BO104" s="195"/>
      <c r="BP104" s="195"/>
      <c r="BQ104" s="195"/>
      <c r="BR104" s="195"/>
      <c r="BS104" s="195"/>
      <c r="BT104" s="195"/>
      <c r="BU104" s="195"/>
      <c r="BV104" s="195"/>
      <c r="BW104" s="195"/>
      <c r="BX104" s="195"/>
      <c r="BY104" s="195"/>
      <c r="BZ104" s="195"/>
      <c r="CA104" s="195"/>
      <c r="CB104" s="195"/>
      <c r="CC104" s="195"/>
      <c r="CD104" s="195"/>
      <c r="CE104" s="195"/>
      <c r="CF104" s="195"/>
      <c r="CG104" s="195"/>
      <c r="CH104" s="195"/>
      <c r="CI104" s="195"/>
      <c r="CJ104" s="195"/>
      <c r="CK104" s="195"/>
      <c r="CL104" s="195"/>
      <c r="CM104" s="195"/>
      <c r="CN104" s="195"/>
      <c r="CO104" s="195"/>
      <c r="CP104" s="195"/>
      <c r="CQ104" s="195"/>
      <c r="CR104" s="195"/>
      <c r="CS104" s="195"/>
      <c r="CT104" s="195"/>
      <c r="CU104" s="195"/>
      <c r="CV104" s="195"/>
      <c r="CW104" s="195"/>
      <c r="CX104" s="195"/>
      <c r="CY104" s="195"/>
      <c r="CZ104" s="195"/>
      <c r="DA104" s="195"/>
      <c r="DB104" s="195"/>
      <c r="DC104" s="195"/>
      <c r="DD104" s="195"/>
      <c r="DE104" s="195"/>
      <c r="DF104" s="195"/>
      <c r="DG104" s="195"/>
      <c r="DH104" s="195"/>
    </row>
    <row r="105" spans="5:112" s="193" customFormat="1">
      <c r="E105" s="32"/>
      <c r="F105" s="32"/>
      <c r="G105" s="29"/>
      <c r="H105" s="25"/>
      <c r="I105" s="25"/>
      <c r="J105" s="25"/>
      <c r="K105" s="25"/>
      <c r="L105" s="29"/>
      <c r="M105" s="29"/>
      <c r="N105" s="28"/>
      <c r="O105" s="30"/>
      <c r="P105" s="30"/>
      <c r="Q105" s="30"/>
      <c r="R105" s="30"/>
      <c r="S105" s="30"/>
      <c r="T105" s="30"/>
      <c r="U105" s="30"/>
      <c r="V105" s="29"/>
      <c r="W105" s="28"/>
      <c r="X105" s="149"/>
      <c r="Y105" s="149"/>
      <c r="Z105" s="150"/>
      <c r="AA105" s="150"/>
      <c r="AB105" s="151"/>
      <c r="AC105" s="150"/>
      <c r="AD105" s="150"/>
      <c r="AE105" s="150"/>
      <c r="AF105" s="150"/>
      <c r="AG105" s="150"/>
      <c r="AH105" s="150"/>
      <c r="AI105" s="195"/>
      <c r="AJ105" s="195"/>
      <c r="AK105" s="195"/>
      <c r="AL105" s="195"/>
      <c r="AM105" s="195"/>
      <c r="AN105" s="195"/>
      <c r="AO105" s="195"/>
      <c r="AP105" s="195"/>
      <c r="AQ105" s="195"/>
      <c r="AR105" s="195"/>
      <c r="AS105" s="195"/>
      <c r="AT105" s="195"/>
      <c r="AU105" s="195"/>
      <c r="AV105" s="195"/>
      <c r="AW105" s="195"/>
      <c r="AX105" s="195"/>
      <c r="AY105" s="195"/>
      <c r="AZ105" s="195"/>
      <c r="BA105" s="195"/>
      <c r="BB105" s="195"/>
      <c r="BC105" s="195"/>
      <c r="BD105" s="195"/>
      <c r="BE105" s="195"/>
      <c r="BF105" s="195"/>
      <c r="BG105" s="195"/>
      <c r="BH105" s="195"/>
      <c r="BI105" s="195"/>
      <c r="BJ105" s="195"/>
      <c r="BK105" s="195"/>
      <c r="BL105" s="195"/>
      <c r="BM105" s="195"/>
      <c r="BN105" s="195"/>
      <c r="BO105" s="195"/>
      <c r="BP105" s="195"/>
      <c r="BQ105" s="195"/>
      <c r="BR105" s="195"/>
      <c r="BS105" s="195"/>
      <c r="BT105" s="195"/>
      <c r="BU105" s="195"/>
      <c r="BV105" s="195"/>
      <c r="BW105" s="195"/>
      <c r="BX105" s="195"/>
      <c r="BY105" s="195"/>
      <c r="BZ105" s="195"/>
      <c r="CA105" s="195"/>
      <c r="CB105" s="195"/>
      <c r="CC105" s="195"/>
      <c r="CD105" s="195"/>
      <c r="CE105" s="195"/>
      <c r="CF105" s="195"/>
      <c r="CG105" s="195"/>
      <c r="CH105" s="195"/>
      <c r="CI105" s="195"/>
      <c r="CJ105" s="195"/>
      <c r="CK105" s="195"/>
      <c r="CL105" s="195"/>
      <c r="CM105" s="195"/>
      <c r="CN105" s="195"/>
      <c r="CO105" s="195"/>
      <c r="CP105" s="195"/>
      <c r="CQ105" s="195"/>
      <c r="CR105" s="195"/>
      <c r="CS105" s="195"/>
      <c r="CT105" s="195"/>
      <c r="CU105" s="195"/>
      <c r="CV105" s="195"/>
      <c r="CW105" s="195"/>
      <c r="CX105" s="195"/>
      <c r="CY105" s="195"/>
      <c r="CZ105" s="195"/>
      <c r="DA105" s="195"/>
      <c r="DB105" s="195"/>
      <c r="DC105" s="195"/>
      <c r="DD105" s="195"/>
      <c r="DE105" s="195"/>
      <c r="DF105" s="195"/>
      <c r="DG105" s="195"/>
      <c r="DH105" s="195"/>
    </row>
    <row r="106" spans="5:112" s="193" customFormat="1">
      <c r="E106" s="32"/>
      <c r="F106" s="32"/>
      <c r="G106" s="29"/>
      <c r="H106" s="25"/>
      <c r="I106" s="25"/>
      <c r="J106" s="25"/>
      <c r="K106" s="25"/>
      <c r="L106" s="29"/>
      <c r="M106" s="29"/>
      <c r="N106" s="28"/>
      <c r="O106" s="30"/>
      <c r="P106" s="30"/>
      <c r="Q106" s="30"/>
      <c r="R106" s="30"/>
      <c r="S106" s="30"/>
      <c r="T106" s="30"/>
      <c r="U106" s="30"/>
      <c r="V106" s="29"/>
      <c r="W106" s="28"/>
      <c r="X106" s="149"/>
      <c r="Y106" s="149"/>
      <c r="Z106" s="150"/>
      <c r="AA106" s="150"/>
      <c r="AB106" s="151"/>
      <c r="AC106" s="150"/>
      <c r="AD106" s="150"/>
      <c r="AE106" s="150"/>
      <c r="AF106" s="150"/>
      <c r="AG106" s="150"/>
      <c r="AH106" s="150"/>
      <c r="AI106" s="195"/>
      <c r="AJ106" s="195"/>
      <c r="AK106" s="195"/>
      <c r="AL106" s="195"/>
      <c r="AM106" s="195"/>
      <c r="AN106" s="195"/>
      <c r="AO106" s="195"/>
      <c r="AP106" s="195"/>
      <c r="AQ106" s="195"/>
      <c r="AR106" s="195"/>
      <c r="AS106" s="195"/>
      <c r="AT106" s="195"/>
      <c r="AU106" s="195"/>
      <c r="AV106" s="195"/>
      <c r="AW106" s="195"/>
      <c r="AX106" s="195"/>
      <c r="AY106" s="195"/>
      <c r="AZ106" s="195"/>
      <c r="BA106" s="195"/>
      <c r="BB106" s="195"/>
      <c r="BC106" s="195"/>
      <c r="BD106" s="195"/>
      <c r="BE106" s="195"/>
      <c r="BF106" s="195"/>
      <c r="BG106" s="195"/>
      <c r="BH106" s="195"/>
      <c r="BI106" s="195"/>
      <c r="BJ106" s="195"/>
      <c r="BK106" s="195"/>
      <c r="BL106" s="195"/>
      <c r="BM106" s="195"/>
      <c r="BN106" s="195"/>
      <c r="BO106" s="195"/>
      <c r="BP106" s="195"/>
      <c r="BQ106" s="195"/>
      <c r="BR106" s="195"/>
      <c r="BS106" s="195"/>
      <c r="BT106" s="195"/>
      <c r="BU106" s="195"/>
      <c r="BV106" s="195"/>
      <c r="BW106" s="195"/>
      <c r="BX106" s="195"/>
      <c r="BY106" s="195"/>
      <c r="BZ106" s="195"/>
      <c r="CA106" s="195"/>
      <c r="CB106" s="195"/>
      <c r="CC106" s="195"/>
      <c r="CD106" s="195"/>
      <c r="CE106" s="195"/>
      <c r="CF106" s="195"/>
      <c r="CG106" s="195"/>
      <c r="CH106" s="195"/>
      <c r="CI106" s="195"/>
      <c r="CJ106" s="195"/>
      <c r="CK106" s="195"/>
      <c r="CL106" s="195"/>
      <c r="CM106" s="195"/>
      <c r="CN106" s="195"/>
      <c r="CO106" s="195"/>
      <c r="CP106" s="195"/>
      <c r="CQ106" s="195"/>
      <c r="CR106" s="195"/>
      <c r="CS106" s="195"/>
      <c r="CT106" s="195"/>
      <c r="CU106" s="195"/>
      <c r="CV106" s="195"/>
      <c r="CW106" s="195"/>
      <c r="CX106" s="195"/>
      <c r="CY106" s="195"/>
      <c r="CZ106" s="195"/>
      <c r="DA106" s="195"/>
      <c r="DB106" s="195"/>
      <c r="DC106" s="195"/>
      <c r="DD106" s="195"/>
      <c r="DE106" s="195"/>
      <c r="DF106" s="195"/>
      <c r="DG106" s="195"/>
      <c r="DH106" s="195"/>
    </row>
    <row r="107" spans="5:112" s="193" customFormat="1">
      <c r="E107" s="32"/>
      <c r="F107" s="32"/>
      <c r="G107" s="29"/>
      <c r="H107" s="25"/>
      <c r="I107" s="25"/>
      <c r="J107" s="25"/>
      <c r="K107" s="25"/>
      <c r="L107" s="29"/>
      <c r="M107" s="29"/>
      <c r="N107" s="28"/>
      <c r="O107" s="30"/>
      <c r="P107" s="30"/>
      <c r="Q107" s="30"/>
      <c r="R107" s="30"/>
      <c r="S107" s="30"/>
      <c r="T107" s="30"/>
      <c r="U107" s="30"/>
      <c r="V107" s="29"/>
      <c r="W107" s="28"/>
      <c r="X107" s="149"/>
      <c r="Y107" s="149"/>
      <c r="Z107" s="150"/>
      <c r="AA107" s="150"/>
      <c r="AB107" s="151"/>
      <c r="AC107" s="150"/>
      <c r="AD107" s="150"/>
      <c r="AE107" s="150"/>
      <c r="AF107" s="150"/>
      <c r="AG107" s="150"/>
      <c r="AH107" s="150"/>
      <c r="AI107" s="195"/>
      <c r="AJ107" s="195"/>
      <c r="AK107" s="195"/>
      <c r="AL107" s="195"/>
      <c r="AM107" s="195"/>
      <c r="AN107" s="195"/>
      <c r="AO107" s="195"/>
      <c r="AP107" s="195"/>
      <c r="AQ107" s="195"/>
      <c r="AR107" s="195"/>
      <c r="AS107" s="195"/>
      <c r="AT107" s="195"/>
      <c r="AU107" s="195"/>
      <c r="AV107" s="195"/>
      <c r="AW107" s="195"/>
      <c r="AX107" s="195"/>
      <c r="AY107" s="195"/>
      <c r="AZ107" s="195"/>
      <c r="BA107" s="195"/>
      <c r="BB107" s="195"/>
      <c r="BC107" s="195"/>
      <c r="BD107" s="195"/>
      <c r="BE107" s="195"/>
      <c r="BF107" s="195"/>
      <c r="BG107" s="195"/>
      <c r="BH107" s="195"/>
      <c r="BI107" s="195"/>
      <c r="BJ107" s="195"/>
      <c r="BK107" s="195"/>
      <c r="BL107" s="195"/>
      <c r="BM107" s="195"/>
      <c r="BN107" s="195"/>
      <c r="BO107" s="195"/>
      <c r="BP107" s="195"/>
      <c r="BQ107" s="195"/>
      <c r="BR107" s="195"/>
      <c r="BS107" s="195"/>
      <c r="BT107" s="195"/>
      <c r="BU107" s="195"/>
      <c r="BV107" s="195"/>
      <c r="BW107" s="195"/>
      <c r="BX107" s="195"/>
      <c r="BY107" s="195"/>
      <c r="BZ107" s="195"/>
      <c r="CA107" s="195"/>
      <c r="CB107" s="195"/>
      <c r="CC107" s="195"/>
      <c r="CD107" s="195"/>
      <c r="CE107" s="195"/>
      <c r="CF107" s="195"/>
      <c r="CG107" s="195"/>
      <c r="CH107" s="195"/>
      <c r="CI107" s="195"/>
      <c r="CJ107" s="195"/>
      <c r="CK107" s="195"/>
      <c r="CL107" s="195"/>
      <c r="CM107" s="195"/>
      <c r="CN107" s="195"/>
      <c r="CO107" s="195"/>
      <c r="CP107" s="195"/>
      <c r="CQ107" s="195"/>
      <c r="CR107" s="195"/>
      <c r="CS107" s="195"/>
      <c r="CT107" s="195"/>
      <c r="CU107" s="195"/>
      <c r="CV107" s="195"/>
      <c r="CW107" s="195"/>
      <c r="CX107" s="195"/>
      <c r="CY107" s="195"/>
      <c r="CZ107" s="195"/>
      <c r="DA107" s="195"/>
      <c r="DB107" s="195"/>
      <c r="DC107" s="195"/>
      <c r="DD107" s="195"/>
      <c r="DE107" s="195"/>
      <c r="DF107" s="195"/>
      <c r="DG107" s="195"/>
      <c r="DH107" s="195"/>
    </row>
    <row r="108" spans="5:112" s="193" customFormat="1">
      <c r="E108" s="32"/>
      <c r="F108" s="32"/>
      <c r="G108" s="29"/>
      <c r="H108" s="25"/>
      <c r="I108" s="25"/>
      <c r="J108" s="25"/>
      <c r="K108" s="25"/>
      <c r="L108" s="29"/>
      <c r="M108" s="29"/>
      <c r="N108" s="28"/>
      <c r="O108" s="30"/>
      <c r="P108" s="30"/>
      <c r="Q108" s="30"/>
      <c r="R108" s="30"/>
      <c r="S108" s="30"/>
      <c r="T108" s="30"/>
      <c r="U108" s="30"/>
      <c r="V108" s="29"/>
      <c r="W108" s="28"/>
      <c r="X108" s="149"/>
      <c r="Y108" s="149"/>
      <c r="Z108" s="150"/>
      <c r="AA108" s="150"/>
      <c r="AB108" s="151"/>
      <c r="AC108" s="150"/>
      <c r="AD108" s="150"/>
      <c r="AE108" s="150"/>
      <c r="AF108" s="150"/>
      <c r="AG108" s="150"/>
      <c r="AH108" s="150"/>
      <c r="AI108" s="195"/>
      <c r="AJ108" s="195"/>
      <c r="AK108" s="195"/>
      <c r="AL108" s="195"/>
      <c r="AM108" s="195"/>
      <c r="AN108" s="195"/>
      <c r="AO108" s="195"/>
      <c r="AP108" s="195"/>
      <c r="AQ108" s="195"/>
      <c r="AR108" s="195"/>
      <c r="AS108" s="195"/>
      <c r="AT108" s="195"/>
      <c r="AU108" s="195"/>
      <c r="AV108" s="195"/>
      <c r="AW108" s="195"/>
      <c r="AX108" s="195"/>
      <c r="AY108" s="195"/>
      <c r="AZ108" s="195"/>
      <c r="BA108" s="195"/>
      <c r="BB108" s="195"/>
      <c r="BC108" s="195"/>
      <c r="BD108" s="195"/>
      <c r="BE108" s="195"/>
      <c r="BF108" s="195"/>
      <c r="BG108" s="195"/>
      <c r="BH108" s="195"/>
      <c r="BI108" s="195"/>
      <c r="BJ108" s="195"/>
      <c r="BK108" s="195"/>
      <c r="BL108" s="195"/>
      <c r="BM108" s="195"/>
      <c r="BN108" s="195"/>
      <c r="BO108" s="195"/>
      <c r="BP108" s="195"/>
      <c r="BQ108" s="195"/>
      <c r="BR108" s="195"/>
      <c r="BS108" s="195"/>
      <c r="BT108" s="195"/>
      <c r="BU108" s="195"/>
      <c r="BV108" s="195"/>
      <c r="BW108" s="195"/>
      <c r="BX108" s="195"/>
      <c r="BY108" s="195"/>
      <c r="BZ108" s="195"/>
      <c r="CA108" s="195"/>
      <c r="CB108" s="195"/>
      <c r="CC108" s="195"/>
      <c r="CD108" s="195"/>
      <c r="CE108" s="195"/>
      <c r="CF108" s="195"/>
      <c r="CG108" s="195"/>
      <c r="CH108" s="195"/>
      <c r="CI108" s="195"/>
      <c r="CJ108" s="195"/>
      <c r="CK108" s="195"/>
      <c r="CL108" s="195"/>
      <c r="CM108" s="195"/>
      <c r="CN108" s="195"/>
      <c r="CO108" s="195"/>
      <c r="CP108" s="195"/>
      <c r="CQ108" s="195"/>
      <c r="CR108" s="195"/>
      <c r="CS108" s="195"/>
      <c r="CT108" s="195"/>
      <c r="CU108" s="195"/>
      <c r="CV108" s="195"/>
      <c r="CW108" s="195"/>
      <c r="CX108" s="195"/>
      <c r="CY108" s="195"/>
      <c r="CZ108" s="195"/>
      <c r="DA108" s="195"/>
      <c r="DB108" s="195"/>
      <c r="DC108" s="195"/>
      <c r="DD108" s="195"/>
      <c r="DE108" s="195"/>
      <c r="DF108" s="195"/>
      <c r="DG108" s="195"/>
      <c r="DH108" s="195"/>
    </row>
    <row r="109" spans="5:112" s="193" customFormat="1">
      <c r="E109" s="32"/>
      <c r="F109" s="32"/>
      <c r="G109" s="29"/>
      <c r="H109" s="25"/>
      <c r="I109" s="25"/>
      <c r="J109" s="25"/>
      <c r="K109" s="25"/>
      <c r="L109" s="29"/>
      <c r="M109" s="29"/>
      <c r="N109" s="28"/>
      <c r="O109" s="30"/>
      <c r="P109" s="30"/>
      <c r="Q109" s="30"/>
      <c r="R109" s="30"/>
      <c r="S109" s="30"/>
      <c r="T109" s="30"/>
      <c r="U109" s="30"/>
      <c r="V109" s="29"/>
      <c r="W109" s="28"/>
      <c r="X109" s="149"/>
      <c r="Y109" s="149"/>
      <c r="Z109" s="150"/>
      <c r="AA109" s="150"/>
      <c r="AB109" s="151"/>
      <c r="AC109" s="150"/>
      <c r="AD109" s="150"/>
      <c r="AE109" s="150"/>
      <c r="AF109" s="150"/>
      <c r="AG109" s="150"/>
      <c r="AH109" s="150"/>
      <c r="AI109" s="195"/>
      <c r="AJ109" s="195"/>
      <c r="AK109" s="195"/>
      <c r="AL109" s="195"/>
      <c r="AM109" s="195"/>
      <c r="AN109" s="195"/>
      <c r="AO109" s="195"/>
      <c r="AP109" s="195"/>
      <c r="AQ109" s="195"/>
      <c r="AR109" s="195"/>
      <c r="AS109" s="195"/>
      <c r="AT109" s="195"/>
      <c r="AU109" s="195"/>
      <c r="AV109" s="195"/>
      <c r="AW109" s="195"/>
      <c r="AX109" s="195"/>
      <c r="AY109" s="195"/>
      <c r="AZ109" s="195"/>
      <c r="BA109" s="195"/>
      <c r="BB109" s="195"/>
      <c r="BC109" s="195"/>
      <c r="BD109" s="195"/>
      <c r="BE109" s="195"/>
      <c r="BF109" s="195"/>
      <c r="BG109" s="195"/>
      <c r="BH109" s="195"/>
      <c r="BI109" s="195"/>
      <c r="BJ109" s="195"/>
      <c r="BK109" s="195"/>
      <c r="BL109" s="195"/>
      <c r="BM109" s="195"/>
      <c r="BN109" s="195"/>
      <c r="BO109" s="195"/>
      <c r="BP109" s="195"/>
      <c r="BQ109" s="195"/>
      <c r="BR109" s="195"/>
      <c r="BS109" s="195"/>
      <c r="BT109" s="195"/>
      <c r="BU109" s="195"/>
      <c r="BV109" s="195"/>
      <c r="BW109" s="195"/>
      <c r="BX109" s="195"/>
      <c r="BY109" s="195"/>
      <c r="BZ109" s="195"/>
      <c r="CA109" s="195"/>
      <c r="CB109" s="195"/>
      <c r="CC109" s="195"/>
      <c r="CD109" s="195"/>
      <c r="CE109" s="195"/>
      <c r="CF109" s="195"/>
      <c r="CG109" s="195"/>
      <c r="CH109" s="195"/>
      <c r="CI109" s="195"/>
      <c r="CJ109" s="195"/>
      <c r="CK109" s="195"/>
      <c r="CL109" s="195"/>
      <c r="CM109" s="195"/>
      <c r="CN109" s="195"/>
      <c r="CO109" s="195"/>
      <c r="CP109" s="195"/>
      <c r="CQ109" s="195"/>
      <c r="CR109" s="195"/>
      <c r="CS109" s="195"/>
      <c r="CT109" s="195"/>
      <c r="CU109" s="195"/>
      <c r="CV109" s="195"/>
      <c r="CW109" s="195"/>
      <c r="CX109" s="195"/>
      <c r="CY109" s="195"/>
      <c r="CZ109" s="195"/>
      <c r="DA109" s="195"/>
      <c r="DB109" s="195"/>
      <c r="DC109" s="195"/>
      <c r="DD109" s="195"/>
      <c r="DE109" s="195"/>
      <c r="DF109" s="195"/>
      <c r="DG109" s="195"/>
      <c r="DH109" s="195"/>
    </row>
    <row r="110" spans="5:112" s="193" customFormat="1">
      <c r="E110" s="32"/>
      <c r="F110" s="32"/>
      <c r="G110" s="29"/>
      <c r="H110" s="25"/>
      <c r="I110" s="25"/>
      <c r="J110" s="25"/>
      <c r="K110" s="25"/>
      <c r="L110" s="29"/>
      <c r="M110" s="29"/>
      <c r="N110" s="28"/>
      <c r="O110" s="30"/>
      <c r="P110" s="30"/>
      <c r="Q110" s="30"/>
      <c r="R110" s="30"/>
      <c r="S110" s="30"/>
      <c r="T110" s="30"/>
      <c r="U110" s="30"/>
      <c r="V110" s="29"/>
      <c r="W110" s="28"/>
      <c r="X110" s="149"/>
      <c r="Y110" s="149"/>
      <c r="Z110" s="150"/>
      <c r="AA110" s="150"/>
      <c r="AB110" s="151"/>
      <c r="AC110" s="150"/>
      <c r="AD110" s="150"/>
      <c r="AE110" s="150"/>
      <c r="AF110" s="150"/>
      <c r="AG110" s="150"/>
      <c r="AH110" s="150"/>
      <c r="AI110" s="195"/>
      <c r="AJ110" s="195"/>
      <c r="AK110" s="195"/>
      <c r="AL110" s="195"/>
      <c r="AM110" s="195"/>
      <c r="AN110" s="195"/>
      <c r="AO110" s="195"/>
      <c r="AP110" s="195"/>
      <c r="AQ110" s="195"/>
      <c r="AR110" s="195"/>
      <c r="AS110" s="195"/>
      <c r="AT110" s="195"/>
      <c r="AU110" s="195"/>
      <c r="AV110" s="195"/>
      <c r="AW110" s="195"/>
      <c r="AX110" s="195"/>
      <c r="AY110" s="195"/>
      <c r="AZ110" s="195"/>
      <c r="BA110" s="195"/>
      <c r="BB110" s="195"/>
      <c r="BC110" s="195"/>
      <c r="BD110" s="195"/>
      <c r="BE110" s="195"/>
      <c r="BF110" s="195"/>
      <c r="BG110" s="195"/>
      <c r="BH110" s="195"/>
      <c r="BI110" s="195"/>
      <c r="BJ110" s="195"/>
      <c r="BK110" s="195"/>
      <c r="BL110" s="195"/>
      <c r="BM110" s="195"/>
      <c r="BN110" s="195"/>
      <c r="BO110" s="195"/>
      <c r="BP110" s="195"/>
      <c r="BQ110" s="195"/>
      <c r="BR110" s="195"/>
      <c r="BS110" s="195"/>
      <c r="BT110" s="195"/>
      <c r="BU110" s="195"/>
      <c r="BV110" s="195"/>
      <c r="BW110" s="195"/>
      <c r="BX110" s="195"/>
      <c r="BY110" s="195"/>
      <c r="BZ110" s="195"/>
      <c r="CA110" s="195"/>
      <c r="CB110" s="195"/>
      <c r="CC110" s="195"/>
      <c r="CD110" s="195"/>
      <c r="CE110" s="195"/>
      <c r="CF110" s="195"/>
      <c r="CG110" s="195"/>
      <c r="CH110" s="195"/>
      <c r="CI110" s="195"/>
      <c r="CJ110" s="195"/>
      <c r="CK110" s="195"/>
      <c r="CL110" s="195"/>
      <c r="CM110" s="195"/>
      <c r="CN110" s="195"/>
      <c r="CO110" s="195"/>
      <c r="CP110" s="195"/>
      <c r="CQ110" s="195"/>
      <c r="CR110" s="195"/>
      <c r="CS110" s="195"/>
      <c r="CT110" s="195"/>
      <c r="CU110" s="195"/>
      <c r="CV110" s="195"/>
      <c r="CW110" s="195"/>
      <c r="CX110" s="195"/>
      <c r="CY110" s="195"/>
      <c r="CZ110" s="195"/>
      <c r="DA110" s="195"/>
      <c r="DB110" s="195"/>
      <c r="DC110" s="195"/>
      <c r="DD110" s="195"/>
      <c r="DE110" s="195"/>
      <c r="DF110" s="195"/>
      <c r="DG110" s="195"/>
      <c r="DH110" s="195"/>
    </row>
    <row r="111" spans="5:112" s="193" customFormat="1">
      <c r="E111" s="32"/>
      <c r="F111" s="32"/>
      <c r="G111" s="29"/>
      <c r="H111" s="25"/>
      <c r="I111" s="25"/>
      <c r="J111" s="25"/>
      <c r="K111" s="25"/>
      <c r="L111" s="29"/>
      <c r="M111" s="29"/>
      <c r="N111" s="28"/>
      <c r="O111" s="30"/>
      <c r="P111" s="30"/>
      <c r="Q111" s="30"/>
      <c r="R111" s="30"/>
      <c r="S111" s="30"/>
      <c r="T111" s="30"/>
      <c r="U111" s="30"/>
      <c r="V111" s="29"/>
      <c r="W111" s="28"/>
      <c r="X111" s="149"/>
      <c r="Y111" s="149"/>
      <c r="Z111" s="150"/>
      <c r="AA111" s="150"/>
      <c r="AB111" s="151"/>
      <c r="AC111" s="150"/>
      <c r="AD111" s="150"/>
      <c r="AE111" s="150"/>
      <c r="AF111" s="150"/>
      <c r="AG111" s="150"/>
      <c r="AH111" s="150"/>
      <c r="AI111" s="195"/>
      <c r="AJ111" s="195"/>
      <c r="AK111" s="195"/>
      <c r="AL111" s="195"/>
      <c r="AM111" s="195"/>
      <c r="AN111" s="195"/>
      <c r="AO111" s="195"/>
      <c r="AP111" s="195"/>
      <c r="AQ111" s="195"/>
      <c r="AR111" s="195"/>
      <c r="AS111" s="195"/>
      <c r="AT111" s="195"/>
      <c r="AU111" s="195"/>
      <c r="AV111" s="195"/>
      <c r="AW111" s="195"/>
      <c r="AX111" s="195"/>
      <c r="AY111" s="195"/>
      <c r="AZ111" s="195"/>
      <c r="BA111" s="195"/>
      <c r="BB111" s="195"/>
      <c r="BC111" s="195"/>
      <c r="BD111" s="195"/>
      <c r="BE111" s="195"/>
      <c r="BF111" s="195"/>
      <c r="BG111" s="195"/>
      <c r="BH111" s="195"/>
      <c r="BI111" s="195"/>
      <c r="BJ111" s="195"/>
      <c r="BK111" s="195"/>
      <c r="BL111" s="195"/>
      <c r="BM111" s="195"/>
      <c r="BN111" s="195"/>
      <c r="BO111" s="195"/>
      <c r="BP111" s="195"/>
      <c r="BQ111" s="195"/>
      <c r="BR111" s="195"/>
      <c r="BS111" s="195"/>
      <c r="BT111" s="195"/>
      <c r="BU111" s="195"/>
      <c r="BV111" s="195"/>
      <c r="BW111" s="195"/>
      <c r="BX111" s="195"/>
      <c r="BY111" s="195"/>
      <c r="BZ111" s="195"/>
      <c r="CA111" s="195"/>
      <c r="CB111" s="195"/>
      <c r="CC111" s="195"/>
      <c r="CD111" s="195"/>
      <c r="CE111" s="195"/>
      <c r="CF111" s="195"/>
      <c r="CG111" s="195"/>
      <c r="CH111" s="195"/>
      <c r="CI111" s="195"/>
      <c r="CJ111" s="195"/>
      <c r="CK111" s="195"/>
      <c r="CL111" s="195"/>
      <c r="CM111" s="195"/>
      <c r="CN111" s="195"/>
      <c r="CO111" s="195"/>
      <c r="CP111" s="195"/>
      <c r="CQ111" s="195"/>
      <c r="CR111" s="195"/>
      <c r="CS111" s="195"/>
      <c r="CT111" s="195"/>
      <c r="CU111" s="195"/>
      <c r="CV111" s="195"/>
      <c r="CW111" s="195"/>
      <c r="CX111" s="195"/>
      <c r="CY111" s="195"/>
      <c r="CZ111" s="195"/>
      <c r="DA111" s="195"/>
      <c r="DB111" s="195"/>
      <c r="DC111" s="195"/>
      <c r="DD111" s="195"/>
      <c r="DE111" s="195"/>
      <c r="DF111" s="195"/>
      <c r="DG111" s="195"/>
      <c r="DH111" s="195"/>
    </row>
    <row r="112" spans="5:112" s="193" customFormat="1">
      <c r="E112" s="32"/>
      <c r="F112" s="32"/>
      <c r="G112" s="29"/>
      <c r="H112" s="25"/>
      <c r="I112" s="25"/>
      <c r="J112" s="25"/>
      <c r="K112" s="25"/>
      <c r="L112" s="29"/>
      <c r="M112" s="29"/>
      <c r="N112" s="28"/>
      <c r="O112" s="30"/>
      <c r="P112" s="30"/>
      <c r="Q112" s="30"/>
      <c r="R112" s="30"/>
      <c r="S112" s="30"/>
      <c r="T112" s="30"/>
      <c r="U112" s="30"/>
      <c r="V112" s="29"/>
      <c r="W112" s="28"/>
      <c r="X112" s="149"/>
      <c r="Y112" s="149"/>
      <c r="Z112" s="150"/>
      <c r="AA112" s="150"/>
      <c r="AB112" s="151"/>
      <c r="AC112" s="150"/>
      <c r="AD112" s="150"/>
      <c r="AE112" s="150"/>
      <c r="AF112" s="150"/>
      <c r="AG112" s="150"/>
      <c r="AH112" s="150"/>
      <c r="AI112" s="195"/>
      <c r="AJ112" s="195"/>
      <c r="AK112" s="195"/>
      <c r="AL112" s="195"/>
      <c r="AM112" s="195"/>
      <c r="AN112" s="195"/>
      <c r="AO112" s="195"/>
      <c r="AP112" s="195"/>
      <c r="AQ112" s="195"/>
      <c r="AR112" s="195"/>
      <c r="AS112" s="195"/>
      <c r="AT112" s="195"/>
      <c r="AU112" s="195"/>
      <c r="AV112" s="195"/>
      <c r="AW112" s="195"/>
      <c r="AX112" s="195"/>
      <c r="AY112" s="195"/>
      <c r="AZ112" s="195"/>
      <c r="BA112" s="195"/>
      <c r="BB112" s="195"/>
      <c r="BC112" s="195"/>
      <c r="BD112" s="195"/>
      <c r="BE112" s="195"/>
      <c r="BF112" s="195"/>
      <c r="BG112" s="195"/>
      <c r="BH112" s="195"/>
      <c r="BI112" s="195"/>
      <c r="BJ112" s="195"/>
      <c r="BK112" s="195"/>
      <c r="BL112" s="195"/>
      <c r="BM112" s="195"/>
      <c r="BN112" s="195"/>
      <c r="BO112" s="195"/>
      <c r="BP112" s="195"/>
      <c r="BQ112" s="195"/>
      <c r="BR112" s="195"/>
      <c r="BS112" s="195"/>
      <c r="BT112" s="195"/>
      <c r="BU112" s="195"/>
      <c r="BV112" s="195"/>
      <c r="BW112" s="195"/>
      <c r="BX112" s="195"/>
      <c r="BY112" s="195"/>
      <c r="BZ112" s="195"/>
      <c r="CA112" s="195"/>
      <c r="CB112" s="195"/>
      <c r="CC112" s="195"/>
      <c r="CD112" s="195"/>
      <c r="CE112" s="195"/>
      <c r="CF112" s="195"/>
      <c r="CG112" s="195"/>
      <c r="CH112" s="195"/>
      <c r="CI112" s="195"/>
      <c r="CJ112" s="195"/>
      <c r="CK112" s="195"/>
      <c r="CL112" s="195"/>
      <c r="CM112" s="195"/>
      <c r="CN112" s="195"/>
      <c r="CO112" s="195"/>
      <c r="CP112" s="195"/>
      <c r="CQ112" s="195"/>
      <c r="CR112" s="195"/>
      <c r="CS112" s="195"/>
      <c r="CT112" s="195"/>
      <c r="CU112" s="195"/>
      <c r="CV112" s="195"/>
      <c r="CW112" s="195"/>
      <c r="CX112" s="195"/>
      <c r="CY112" s="195"/>
      <c r="CZ112" s="195"/>
      <c r="DA112" s="195"/>
      <c r="DB112" s="195"/>
      <c r="DC112" s="195"/>
      <c r="DD112" s="195"/>
      <c r="DE112" s="195"/>
      <c r="DF112" s="195"/>
      <c r="DG112" s="195"/>
      <c r="DH112" s="195"/>
    </row>
    <row r="113" spans="5:112" s="193" customFormat="1">
      <c r="E113" s="32"/>
      <c r="F113" s="32"/>
      <c r="G113" s="29"/>
      <c r="H113" s="25"/>
      <c r="I113" s="25"/>
      <c r="J113" s="25"/>
      <c r="K113" s="25"/>
      <c r="L113" s="29"/>
      <c r="M113" s="29"/>
      <c r="N113" s="28"/>
      <c r="O113" s="30"/>
      <c r="P113" s="30"/>
      <c r="Q113" s="30"/>
      <c r="R113" s="30"/>
      <c r="S113" s="30"/>
      <c r="T113" s="30"/>
      <c r="U113" s="30"/>
      <c r="V113" s="29"/>
      <c r="W113" s="28"/>
      <c r="X113" s="149"/>
      <c r="Y113" s="149"/>
      <c r="Z113" s="150"/>
      <c r="AA113" s="150"/>
      <c r="AB113" s="151"/>
      <c r="AC113" s="150"/>
      <c r="AD113" s="150"/>
      <c r="AE113" s="150"/>
      <c r="AF113" s="150"/>
      <c r="AG113" s="150"/>
      <c r="AH113" s="150"/>
      <c r="AI113" s="195"/>
      <c r="AJ113" s="195"/>
      <c r="AK113" s="195"/>
      <c r="AL113" s="195"/>
      <c r="AM113" s="195"/>
      <c r="AN113" s="195"/>
      <c r="AO113" s="195"/>
      <c r="AP113" s="195"/>
      <c r="AQ113" s="195"/>
      <c r="AR113" s="195"/>
      <c r="AS113" s="195"/>
      <c r="AT113" s="195"/>
      <c r="AU113" s="195"/>
      <c r="AV113" s="195"/>
      <c r="AW113" s="195"/>
      <c r="AX113" s="195"/>
      <c r="AY113" s="195"/>
      <c r="AZ113" s="195"/>
      <c r="BA113" s="195"/>
      <c r="BB113" s="195"/>
      <c r="BC113" s="195"/>
      <c r="BD113" s="195"/>
      <c r="BE113" s="195"/>
      <c r="BF113" s="195"/>
      <c r="BG113" s="195"/>
      <c r="BH113" s="195"/>
      <c r="BI113" s="195"/>
      <c r="BJ113" s="195"/>
      <c r="BK113" s="195"/>
      <c r="BL113" s="195"/>
      <c r="BM113" s="195"/>
      <c r="BN113" s="195"/>
      <c r="BO113" s="195"/>
      <c r="BP113" s="195"/>
      <c r="BQ113" s="195"/>
      <c r="BR113" s="195"/>
      <c r="BS113" s="195"/>
      <c r="BT113" s="195"/>
      <c r="BU113" s="195"/>
      <c r="BV113" s="195"/>
      <c r="BW113" s="195"/>
      <c r="BX113" s="195"/>
      <c r="BY113" s="195"/>
      <c r="BZ113" s="195"/>
      <c r="CA113" s="195"/>
      <c r="CB113" s="195"/>
      <c r="CC113" s="195"/>
      <c r="CD113" s="195"/>
      <c r="CE113" s="195"/>
      <c r="CF113" s="195"/>
      <c r="CG113" s="195"/>
      <c r="CH113" s="195"/>
      <c r="CI113" s="195"/>
      <c r="CJ113" s="195"/>
      <c r="CK113" s="195"/>
      <c r="CL113" s="195"/>
      <c r="CM113" s="195"/>
      <c r="CN113" s="195"/>
      <c r="CO113" s="195"/>
      <c r="CP113" s="195"/>
      <c r="CQ113" s="195"/>
      <c r="CR113" s="195"/>
      <c r="CS113" s="195"/>
      <c r="CT113" s="195"/>
      <c r="CU113" s="195"/>
      <c r="CV113" s="195"/>
      <c r="CW113" s="195"/>
      <c r="CX113" s="195"/>
      <c r="CY113" s="195"/>
      <c r="CZ113" s="195"/>
      <c r="DA113" s="195"/>
      <c r="DB113" s="195"/>
      <c r="DC113" s="195"/>
      <c r="DD113" s="195"/>
      <c r="DE113" s="195"/>
      <c r="DF113" s="195"/>
      <c r="DG113" s="195"/>
      <c r="DH113" s="195"/>
    </row>
    <row r="114" spans="5:112" s="193" customFormat="1">
      <c r="E114" s="32"/>
      <c r="F114" s="32"/>
      <c r="G114" s="29"/>
      <c r="H114" s="25"/>
      <c r="I114" s="25"/>
      <c r="J114" s="25"/>
      <c r="K114" s="25"/>
      <c r="L114" s="29"/>
      <c r="M114" s="29"/>
      <c r="N114" s="28"/>
      <c r="O114" s="30"/>
      <c r="P114" s="30"/>
      <c r="Q114" s="30"/>
      <c r="R114" s="30"/>
      <c r="S114" s="30"/>
      <c r="T114" s="30"/>
      <c r="U114" s="30"/>
      <c r="V114" s="29"/>
      <c r="W114" s="28"/>
      <c r="X114" s="149"/>
      <c r="Y114" s="149"/>
      <c r="Z114" s="150"/>
      <c r="AA114" s="150"/>
      <c r="AB114" s="151"/>
      <c r="AC114" s="150"/>
      <c r="AD114" s="150"/>
      <c r="AE114" s="150"/>
      <c r="AF114" s="150"/>
      <c r="AG114" s="150"/>
      <c r="AH114" s="150"/>
      <c r="AI114" s="195"/>
      <c r="AJ114" s="195"/>
      <c r="AK114" s="195"/>
      <c r="AL114" s="195"/>
      <c r="AM114" s="195"/>
      <c r="AN114" s="195"/>
      <c r="AO114" s="195"/>
      <c r="AP114" s="195"/>
      <c r="AQ114" s="195"/>
      <c r="AR114" s="195"/>
      <c r="AS114" s="195"/>
      <c r="AT114" s="195"/>
      <c r="AU114" s="195"/>
      <c r="AV114" s="195"/>
      <c r="AW114" s="195"/>
      <c r="AX114" s="195"/>
      <c r="AY114" s="195"/>
      <c r="AZ114" s="195"/>
      <c r="BA114" s="195"/>
      <c r="BB114" s="195"/>
      <c r="BC114" s="195"/>
      <c r="BD114" s="195"/>
      <c r="BE114" s="195"/>
      <c r="BF114" s="195"/>
      <c r="BG114" s="195"/>
      <c r="BH114" s="195"/>
      <c r="BI114" s="195"/>
      <c r="BJ114" s="195"/>
      <c r="BK114" s="195"/>
      <c r="BL114" s="195"/>
      <c r="BM114" s="195"/>
      <c r="BN114" s="195"/>
      <c r="BO114" s="195"/>
      <c r="BP114" s="195"/>
      <c r="BQ114" s="195"/>
      <c r="BR114" s="195"/>
      <c r="BS114" s="195"/>
      <c r="BT114" s="195"/>
      <c r="BU114" s="195"/>
      <c r="BV114" s="195"/>
      <c r="BW114" s="195"/>
      <c r="BX114" s="195"/>
      <c r="BY114" s="195"/>
      <c r="BZ114" s="195"/>
      <c r="CA114" s="195"/>
      <c r="CB114" s="195"/>
      <c r="CC114" s="195"/>
      <c r="CD114" s="195"/>
      <c r="CE114" s="195"/>
      <c r="CF114" s="195"/>
      <c r="CG114" s="195"/>
      <c r="CH114" s="195"/>
      <c r="CI114" s="195"/>
      <c r="CJ114" s="195"/>
      <c r="CK114" s="195"/>
      <c r="CL114" s="195"/>
      <c r="CM114" s="195"/>
      <c r="CN114" s="195"/>
      <c r="CO114" s="195"/>
      <c r="CP114" s="195"/>
      <c r="CQ114" s="195"/>
      <c r="CR114" s="195"/>
      <c r="CS114" s="195"/>
      <c r="CT114" s="195"/>
      <c r="CU114" s="195"/>
      <c r="CV114" s="195"/>
      <c r="CW114" s="195"/>
      <c r="CX114" s="195"/>
      <c r="CY114" s="195"/>
      <c r="CZ114" s="195"/>
      <c r="DA114" s="195"/>
      <c r="DB114" s="195"/>
      <c r="DC114" s="195"/>
      <c r="DD114" s="195"/>
      <c r="DE114" s="195"/>
      <c r="DF114" s="195"/>
      <c r="DG114" s="195"/>
      <c r="DH114" s="195"/>
    </row>
    <row r="115" spans="5:112" s="193" customFormat="1">
      <c r="E115" s="32"/>
      <c r="F115" s="32"/>
      <c r="G115" s="29"/>
      <c r="H115" s="25"/>
      <c r="I115" s="25"/>
      <c r="J115" s="25"/>
      <c r="K115" s="25"/>
      <c r="L115" s="29"/>
      <c r="M115" s="29"/>
      <c r="N115" s="28"/>
      <c r="O115" s="30"/>
      <c r="P115" s="30"/>
      <c r="Q115" s="30"/>
      <c r="R115" s="30"/>
      <c r="S115" s="30"/>
      <c r="T115" s="30"/>
      <c r="U115" s="30"/>
      <c r="V115" s="29"/>
      <c r="W115" s="28"/>
      <c r="X115" s="149"/>
      <c r="Y115" s="149"/>
      <c r="Z115" s="150"/>
      <c r="AA115" s="150"/>
      <c r="AB115" s="151"/>
      <c r="AC115" s="150"/>
      <c r="AD115" s="150"/>
      <c r="AE115" s="150"/>
      <c r="AF115" s="150"/>
      <c r="AG115" s="150"/>
      <c r="AH115" s="150"/>
      <c r="AI115" s="195"/>
      <c r="AJ115" s="195"/>
      <c r="AK115" s="195"/>
      <c r="AL115" s="195"/>
      <c r="AM115" s="195"/>
      <c r="AN115" s="195"/>
      <c r="AO115" s="195"/>
      <c r="AP115" s="195"/>
      <c r="AQ115" s="195"/>
      <c r="AR115" s="195"/>
      <c r="AS115" s="195"/>
      <c r="AT115" s="195"/>
      <c r="AU115" s="195"/>
      <c r="AV115" s="195"/>
      <c r="AW115" s="195"/>
      <c r="AX115" s="195"/>
      <c r="AY115" s="195"/>
      <c r="AZ115" s="195"/>
      <c r="BA115" s="195"/>
      <c r="BB115" s="195"/>
      <c r="BC115" s="195"/>
      <c r="BD115" s="195"/>
      <c r="BE115" s="195"/>
      <c r="BF115" s="195"/>
      <c r="BG115" s="195"/>
      <c r="BH115" s="195"/>
      <c r="BI115" s="195"/>
      <c r="BJ115" s="195"/>
      <c r="BK115" s="195"/>
      <c r="BL115" s="195"/>
      <c r="BM115" s="195"/>
      <c r="BN115" s="195"/>
      <c r="BO115" s="195"/>
      <c r="BP115" s="195"/>
      <c r="BQ115" s="195"/>
      <c r="BR115" s="195"/>
      <c r="BS115" s="195"/>
      <c r="BT115" s="195"/>
      <c r="BU115" s="195"/>
      <c r="BV115" s="195"/>
      <c r="BW115" s="195"/>
      <c r="BX115" s="195"/>
      <c r="BY115" s="195"/>
      <c r="BZ115" s="195"/>
      <c r="CA115" s="195"/>
      <c r="CB115" s="195"/>
      <c r="CC115" s="195"/>
      <c r="CD115" s="195"/>
      <c r="CE115" s="195"/>
      <c r="CF115" s="195"/>
      <c r="CG115" s="195"/>
      <c r="CH115" s="195"/>
      <c r="CI115" s="195"/>
      <c r="CJ115" s="195"/>
      <c r="CK115" s="195"/>
      <c r="CL115" s="195"/>
      <c r="CM115" s="195"/>
      <c r="CN115" s="195"/>
      <c r="CO115" s="195"/>
      <c r="CP115" s="195"/>
      <c r="CQ115" s="195"/>
      <c r="CR115" s="195"/>
      <c r="CS115" s="195"/>
      <c r="CT115" s="195"/>
      <c r="CU115" s="195"/>
      <c r="CV115" s="195"/>
      <c r="CW115" s="195"/>
      <c r="CX115" s="195"/>
      <c r="CY115" s="195"/>
      <c r="CZ115" s="195"/>
      <c r="DA115" s="195"/>
      <c r="DB115" s="195"/>
      <c r="DC115" s="195"/>
      <c r="DD115" s="195"/>
      <c r="DE115" s="195"/>
      <c r="DF115" s="195"/>
      <c r="DG115" s="195"/>
      <c r="DH115" s="195"/>
    </row>
    <row r="116" spans="5:112" s="193" customFormat="1">
      <c r="E116" s="32"/>
      <c r="F116" s="32"/>
      <c r="G116" s="29"/>
      <c r="H116" s="25"/>
      <c r="I116" s="25"/>
      <c r="J116" s="25"/>
      <c r="K116" s="25"/>
      <c r="L116" s="29"/>
      <c r="M116" s="29"/>
      <c r="N116" s="28"/>
      <c r="O116" s="30"/>
      <c r="P116" s="30"/>
      <c r="Q116" s="30"/>
      <c r="R116" s="30"/>
      <c r="S116" s="30"/>
      <c r="T116" s="30"/>
      <c r="U116" s="30"/>
      <c r="V116" s="29"/>
      <c r="W116" s="28"/>
      <c r="X116" s="149"/>
      <c r="Y116" s="149"/>
      <c r="Z116" s="150"/>
      <c r="AA116" s="150"/>
      <c r="AB116" s="151"/>
      <c r="AC116" s="150"/>
      <c r="AD116" s="150"/>
      <c r="AE116" s="150"/>
      <c r="AF116" s="150"/>
      <c r="AG116" s="150"/>
      <c r="AH116" s="150"/>
      <c r="AI116" s="195"/>
      <c r="AJ116" s="195"/>
      <c r="AK116" s="195"/>
      <c r="AL116" s="195"/>
      <c r="AM116" s="195"/>
      <c r="AN116" s="195"/>
      <c r="AO116" s="195"/>
      <c r="AP116" s="195"/>
      <c r="AQ116" s="195"/>
      <c r="AR116" s="195"/>
      <c r="AS116" s="195"/>
      <c r="AT116" s="195"/>
      <c r="AU116" s="195"/>
      <c r="AV116" s="195"/>
      <c r="AW116" s="195"/>
      <c r="AX116" s="195"/>
      <c r="AY116" s="195"/>
      <c r="AZ116" s="195"/>
      <c r="BA116" s="195"/>
      <c r="BB116" s="195"/>
      <c r="BC116" s="195"/>
      <c r="BD116" s="195"/>
      <c r="BE116" s="195"/>
      <c r="BF116" s="195"/>
      <c r="BG116" s="195"/>
      <c r="BH116" s="195"/>
      <c r="BI116" s="195"/>
      <c r="BJ116" s="195"/>
      <c r="BK116" s="195"/>
      <c r="BL116" s="195"/>
      <c r="BM116" s="195"/>
      <c r="BN116" s="195"/>
      <c r="BO116" s="195"/>
      <c r="BP116" s="195"/>
      <c r="BQ116" s="195"/>
      <c r="BR116" s="195"/>
      <c r="BS116" s="195"/>
      <c r="BT116" s="195"/>
      <c r="BU116" s="195"/>
      <c r="BV116" s="195"/>
      <c r="BW116" s="195"/>
      <c r="BX116" s="195"/>
      <c r="BY116" s="195"/>
      <c r="BZ116" s="195"/>
      <c r="CA116" s="195"/>
      <c r="CB116" s="195"/>
      <c r="CC116" s="195"/>
      <c r="CD116" s="195"/>
      <c r="CE116" s="195"/>
      <c r="CF116" s="195"/>
      <c r="CG116" s="195"/>
      <c r="CH116" s="195"/>
      <c r="CI116" s="195"/>
      <c r="CJ116" s="195"/>
      <c r="CK116" s="195"/>
      <c r="CL116" s="195"/>
      <c r="CM116" s="195"/>
      <c r="CN116" s="195"/>
      <c r="CO116" s="195"/>
      <c r="CP116" s="195"/>
      <c r="CQ116" s="195"/>
      <c r="CR116" s="195"/>
      <c r="CS116" s="195"/>
      <c r="CT116" s="195"/>
      <c r="CU116" s="195"/>
      <c r="CV116" s="195"/>
      <c r="CW116" s="195"/>
      <c r="CX116" s="195"/>
      <c r="CY116" s="195"/>
      <c r="CZ116" s="195"/>
      <c r="DA116" s="195"/>
      <c r="DB116" s="195"/>
      <c r="DC116" s="195"/>
      <c r="DD116" s="195"/>
      <c r="DE116" s="195"/>
      <c r="DF116" s="195"/>
      <c r="DG116" s="195"/>
      <c r="DH116" s="195"/>
    </row>
    <row r="117" spans="5:112" s="193" customFormat="1">
      <c r="E117" s="32"/>
      <c r="F117" s="32"/>
      <c r="G117" s="29"/>
      <c r="H117" s="25"/>
      <c r="I117" s="25"/>
      <c r="J117" s="25"/>
      <c r="K117" s="25"/>
      <c r="L117" s="29"/>
      <c r="M117" s="29"/>
      <c r="N117" s="28"/>
      <c r="O117" s="30"/>
      <c r="P117" s="30"/>
      <c r="Q117" s="30"/>
      <c r="R117" s="30"/>
      <c r="S117" s="30"/>
      <c r="T117" s="30"/>
      <c r="U117" s="30"/>
      <c r="V117" s="29"/>
      <c r="W117" s="28"/>
      <c r="X117" s="149"/>
      <c r="Y117" s="149"/>
      <c r="Z117" s="150"/>
      <c r="AA117" s="150"/>
      <c r="AB117" s="151"/>
      <c r="AC117" s="150"/>
      <c r="AD117" s="150"/>
      <c r="AE117" s="150"/>
      <c r="AF117" s="150"/>
      <c r="AG117" s="150"/>
      <c r="AH117" s="150"/>
      <c r="AI117" s="195"/>
      <c r="AJ117" s="195"/>
      <c r="AK117" s="195"/>
      <c r="AL117" s="195"/>
      <c r="AM117" s="195"/>
      <c r="AN117" s="195"/>
      <c r="AO117" s="195"/>
      <c r="AP117" s="195"/>
      <c r="AQ117" s="195"/>
      <c r="AR117" s="195"/>
      <c r="AS117" s="195"/>
      <c r="AT117" s="195"/>
      <c r="AU117" s="195"/>
      <c r="AV117" s="195"/>
      <c r="AW117" s="195"/>
      <c r="AX117" s="195"/>
      <c r="AY117" s="195"/>
      <c r="AZ117" s="195"/>
      <c r="BA117" s="195"/>
      <c r="BB117" s="195"/>
      <c r="BC117" s="195"/>
      <c r="BD117" s="195"/>
      <c r="BE117" s="195"/>
      <c r="BF117" s="195"/>
      <c r="BG117" s="195"/>
      <c r="BH117" s="195"/>
      <c r="BI117" s="195"/>
      <c r="BJ117" s="195"/>
      <c r="BK117" s="195"/>
      <c r="BL117" s="195"/>
      <c r="BM117" s="195"/>
      <c r="BN117" s="195"/>
      <c r="BO117" s="195"/>
      <c r="BP117" s="195"/>
      <c r="BQ117" s="195"/>
      <c r="BR117" s="195"/>
      <c r="BS117" s="195"/>
      <c r="BT117" s="195"/>
      <c r="BU117" s="195"/>
      <c r="BV117" s="195"/>
      <c r="BW117" s="195"/>
      <c r="BX117" s="195"/>
      <c r="BY117" s="195"/>
      <c r="BZ117" s="195"/>
      <c r="CA117" s="195"/>
      <c r="CB117" s="195"/>
      <c r="CC117" s="195"/>
      <c r="CD117" s="195"/>
      <c r="CE117" s="195"/>
      <c r="CF117" s="195"/>
      <c r="CG117" s="195"/>
      <c r="CH117" s="195"/>
      <c r="CI117" s="195"/>
      <c r="CJ117" s="195"/>
      <c r="CK117" s="195"/>
      <c r="CL117" s="195"/>
      <c r="CM117" s="195"/>
      <c r="CN117" s="195"/>
      <c r="CO117" s="195"/>
      <c r="CP117" s="195"/>
      <c r="CQ117" s="195"/>
      <c r="CR117" s="195"/>
      <c r="CS117" s="195"/>
      <c r="CT117" s="195"/>
      <c r="CU117" s="195"/>
      <c r="CV117" s="195"/>
      <c r="CW117" s="195"/>
      <c r="CX117" s="195"/>
      <c r="CY117" s="195"/>
      <c r="CZ117" s="195"/>
      <c r="DA117" s="195"/>
      <c r="DB117" s="195"/>
      <c r="DC117" s="195"/>
      <c r="DD117" s="195"/>
      <c r="DE117" s="195"/>
      <c r="DF117" s="195"/>
      <c r="DG117" s="195"/>
      <c r="DH117" s="195"/>
    </row>
    <row r="118" spans="5:112" s="193" customFormat="1">
      <c r="E118" s="32"/>
      <c r="F118" s="32"/>
      <c r="G118" s="29"/>
      <c r="H118" s="25"/>
      <c r="I118" s="25"/>
      <c r="J118" s="25"/>
      <c r="K118" s="25"/>
      <c r="L118" s="29"/>
      <c r="M118" s="29"/>
      <c r="N118" s="28"/>
      <c r="O118" s="30"/>
      <c r="P118" s="30"/>
      <c r="Q118" s="30"/>
      <c r="R118" s="30"/>
      <c r="S118" s="30"/>
      <c r="T118" s="30"/>
      <c r="U118" s="30"/>
      <c r="V118" s="29"/>
      <c r="W118" s="28"/>
      <c r="X118" s="149"/>
      <c r="Y118" s="149"/>
      <c r="Z118" s="150"/>
      <c r="AA118" s="150"/>
      <c r="AB118" s="151"/>
      <c r="AC118" s="150"/>
      <c r="AD118" s="150"/>
      <c r="AE118" s="150"/>
      <c r="AF118" s="150"/>
      <c r="AG118" s="150"/>
      <c r="AH118" s="150"/>
      <c r="AI118" s="195"/>
      <c r="AJ118" s="195"/>
      <c r="AK118" s="195"/>
      <c r="AL118" s="195"/>
      <c r="AM118" s="195"/>
      <c r="AN118" s="195"/>
      <c r="AO118" s="195"/>
      <c r="AP118" s="195"/>
      <c r="AQ118" s="195"/>
      <c r="AR118" s="195"/>
      <c r="AS118" s="195"/>
      <c r="AT118" s="195"/>
      <c r="AU118" s="195"/>
      <c r="AV118" s="195"/>
      <c r="AW118" s="195"/>
      <c r="AX118" s="195"/>
      <c r="AY118" s="195"/>
      <c r="AZ118" s="195"/>
      <c r="BA118" s="195"/>
      <c r="BB118" s="195"/>
      <c r="BC118" s="195"/>
      <c r="BD118" s="195"/>
      <c r="BE118" s="195"/>
      <c r="BF118" s="195"/>
      <c r="BG118" s="195"/>
      <c r="BH118" s="195"/>
      <c r="BI118" s="195"/>
      <c r="BJ118" s="195"/>
      <c r="BK118" s="195"/>
      <c r="BL118" s="195"/>
      <c r="BM118" s="195"/>
      <c r="BN118" s="195"/>
      <c r="BO118" s="195"/>
      <c r="BP118" s="195"/>
      <c r="BQ118" s="195"/>
      <c r="BR118" s="195"/>
      <c r="BS118" s="195"/>
      <c r="BT118" s="195"/>
      <c r="BU118" s="195"/>
      <c r="BV118" s="195"/>
      <c r="BW118" s="195"/>
      <c r="BX118" s="195"/>
      <c r="BY118" s="195"/>
      <c r="BZ118" s="195"/>
      <c r="CA118" s="195"/>
      <c r="CB118" s="195"/>
      <c r="CC118" s="195"/>
      <c r="CD118" s="195"/>
      <c r="CE118" s="195"/>
      <c r="CF118" s="195"/>
      <c r="CG118" s="195"/>
      <c r="CH118" s="195"/>
      <c r="CI118" s="195"/>
      <c r="CJ118" s="195"/>
      <c r="CK118" s="195"/>
      <c r="CL118" s="195"/>
      <c r="CM118" s="195"/>
      <c r="CN118" s="195"/>
      <c r="CO118" s="195"/>
      <c r="CP118" s="195"/>
      <c r="CQ118" s="195"/>
      <c r="CR118" s="195"/>
      <c r="CS118" s="195"/>
      <c r="CT118" s="195"/>
      <c r="CU118" s="195"/>
      <c r="CV118" s="195"/>
      <c r="CW118" s="195"/>
      <c r="CX118" s="195"/>
      <c r="CY118" s="195"/>
      <c r="CZ118" s="195"/>
      <c r="DA118" s="195"/>
      <c r="DB118" s="195"/>
      <c r="DC118" s="195"/>
      <c r="DD118" s="195"/>
      <c r="DE118" s="195"/>
      <c r="DF118" s="195"/>
      <c r="DG118" s="195"/>
      <c r="DH118" s="195"/>
    </row>
    <row r="119" spans="5:112" s="193" customFormat="1">
      <c r="E119" s="32"/>
      <c r="F119" s="32"/>
      <c r="G119" s="29"/>
      <c r="H119" s="25"/>
      <c r="I119" s="25"/>
      <c r="J119" s="25"/>
      <c r="K119" s="25"/>
      <c r="L119" s="29"/>
      <c r="M119" s="29"/>
      <c r="N119" s="28"/>
      <c r="O119" s="30"/>
      <c r="P119" s="30"/>
      <c r="Q119" s="30"/>
      <c r="R119" s="30"/>
      <c r="S119" s="30"/>
      <c r="T119" s="30"/>
      <c r="U119" s="30"/>
      <c r="V119" s="29"/>
      <c r="W119" s="28"/>
      <c r="X119" s="149"/>
      <c r="Y119" s="149"/>
      <c r="Z119" s="150"/>
      <c r="AA119" s="150"/>
      <c r="AB119" s="151"/>
      <c r="AC119" s="150"/>
      <c r="AD119" s="150"/>
      <c r="AE119" s="150"/>
      <c r="AF119" s="150"/>
      <c r="AG119" s="150"/>
      <c r="AH119" s="150"/>
      <c r="AI119" s="195"/>
      <c r="AJ119" s="195"/>
      <c r="AK119" s="195"/>
      <c r="AL119" s="195"/>
      <c r="AM119" s="195"/>
      <c r="AN119" s="195"/>
      <c r="AO119" s="195"/>
      <c r="AP119" s="195"/>
      <c r="AQ119" s="195"/>
      <c r="AR119" s="195"/>
      <c r="AS119" s="195"/>
      <c r="AT119" s="195"/>
      <c r="AU119" s="195"/>
      <c r="AV119" s="195"/>
      <c r="AW119" s="195"/>
      <c r="AX119" s="195"/>
      <c r="AY119" s="195"/>
      <c r="AZ119" s="195"/>
      <c r="BA119" s="195"/>
      <c r="BB119" s="195"/>
      <c r="BC119" s="195"/>
      <c r="BD119" s="195"/>
      <c r="BE119" s="195"/>
      <c r="BF119" s="195"/>
      <c r="BG119" s="195"/>
      <c r="BH119" s="195"/>
      <c r="BI119" s="195"/>
      <c r="BJ119" s="195"/>
      <c r="BK119" s="195"/>
      <c r="BL119" s="195"/>
      <c r="BM119" s="195"/>
      <c r="BN119" s="195"/>
      <c r="BO119" s="195"/>
      <c r="BP119" s="195"/>
      <c r="BQ119" s="195"/>
      <c r="BR119" s="195"/>
      <c r="BS119" s="195"/>
      <c r="BT119" s="195"/>
      <c r="BU119" s="195"/>
      <c r="BV119" s="195"/>
      <c r="BW119" s="195"/>
      <c r="BX119" s="195"/>
      <c r="BY119" s="195"/>
      <c r="BZ119" s="195"/>
      <c r="CA119" s="195"/>
      <c r="CB119" s="195"/>
      <c r="CC119" s="195"/>
      <c r="CD119" s="195"/>
      <c r="CE119" s="195"/>
      <c r="CF119" s="195"/>
      <c r="CG119" s="195"/>
      <c r="CH119" s="195"/>
      <c r="CI119" s="195"/>
      <c r="CJ119" s="195"/>
      <c r="CK119" s="195"/>
      <c r="CL119" s="195"/>
      <c r="CM119" s="195"/>
      <c r="CN119" s="195"/>
      <c r="CO119" s="195"/>
      <c r="CP119" s="195"/>
      <c r="CQ119" s="195"/>
      <c r="CR119" s="195"/>
      <c r="CS119" s="195"/>
      <c r="CT119" s="195"/>
      <c r="CU119" s="195"/>
      <c r="CV119" s="195"/>
      <c r="CW119" s="195"/>
      <c r="CX119" s="195"/>
      <c r="CY119" s="195"/>
      <c r="CZ119" s="195"/>
      <c r="DA119" s="195"/>
      <c r="DB119" s="195"/>
      <c r="DC119" s="195"/>
      <c r="DD119" s="195"/>
      <c r="DE119" s="195"/>
      <c r="DF119" s="195"/>
      <c r="DG119" s="195"/>
      <c r="DH119" s="195"/>
    </row>
    <row r="120" spans="5:112" s="193" customFormat="1">
      <c r="E120" s="32"/>
      <c r="F120" s="32"/>
      <c r="G120" s="29"/>
      <c r="H120" s="25"/>
      <c r="I120" s="25"/>
      <c r="J120" s="25"/>
      <c r="K120" s="25"/>
      <c r="L120" s="29"/>
      <c r="M120" s="29"/>
      <c r="N120" s="28"/>
      <c r="O120" s="30"/>
      <c r="P120" s="30"/>
      <c r="Q120" s="30"/>
      <c r="R120" s="30"/>
      <c r="S120" s="30"/>
      <c r="T120" s="30"/>
      <c r="U120" s="30"/>
      <c r="V120" s="29"/>
      <c r="W120" s="28"/>
      <c r="X120" s="149"/>
      <c r="Y120" s="149"/>
      <c r="Z120" s="150"/>
      <c r="AA120" s="150"/>
      <c r="AB120" s="151"/>
      <c r="AC120" s="150"/>
      <c r="AD120" s="150"/>
      <c r="AE120" s="150"/>
      <c r="AF120" s="150"/>
      <c r="AG120" s="150"/>
      <c r="AH120" s="150"/>
      <c r="AI120" s="195"/>
      <c r="AJ120" s="195"/>
      <c r="AK120" s="195"/>
      <c r="AL120" s="195"/>
      <c r="AM120" s="195"/>
      <c r="AN120" s="195"/>
      <c r="AO120" s="195"/>
      <c r="AP120" s="195"/>
      <c r="AQ120" s="195"/>
      <c r="AR120" s="195"/>
      <c r="AS120" s="195"/>
      <c r="AT120" s="195"/>
      <c r="AU120" s="195"/>
      <c r="AV120" s="195"/>
      <c r="AW120" s="195"/>
      <c r="AX120" s="195"/>
      <c r="AY120" s="195"/>
      <c r="AZ120" s="195"/>
      <c r="BA120" s="195"/>
      <c r="BB120" s="195"/>
      <c r="BC120" s="195"/>
      <c r="BD120" s="195"/>
      <c r="BE120" s="195"/>
      <c r="BF120" s="195"/>
      <c r="BG120" s="195"/>
      <c r="BH120" s="195"/>
      <c r="BI120" s="195"/>
      <c r="BJ120" s="195"/>
      <c r="BK120" s="195"/>
      <c r="BL120" s="195"/>
      <c r="BM120" s="195"/>
      <c r="BN120" s="195"/>
      <c r="BO120" s="195"/>
      <c r="BP120" s="195"/>
      <c r="BQ120" s="195"/>
      <c r="BR120" s="195"/>
      <c r="BS120" s="195"/>
      <c r="BT120" s="195"/>
      <c r="BU120" s="195"/>
      <c r="BV120" s="195"/>
      <c r="BW120" s="195"/>
      <c r="BX120" s="195"/>
      <c r="BY120" s="195"/>
      <c r="BZ120" s="195"/>
      <c r="CA120" s="195"/>
      <c r="CB120" s="195"/>
      <c r="CC120" s="195"/>
      <c r="CD120" s="195"/>
      <c r="CE120" s="195"/>
      <c r="CF120" s="195"/>
      <c r="CG120" s="195"/>
      <c r="CH120" s="195"/>
      <c r="CI120" s="195"/>
      <c r="CJ120" s="195"/>
      <c r="CK120" s="195"/>
      <c r="CL120" s="195"/>
      <c r="CM120" s="195"/>
      <c r="CN120" s="195"/>
      <c r="CO120" s="195"/>
      <c r="CP120" s="195"/>
      <c r="CQ120" s="195"/>
      <c r="CR120" s="195"/>
      <c r="CS120" s="195"/>
      <c r="CT120" s="195"/>
      <c r="CU120" s="195"/>
      <c r="CV120" s="195"/>
      <c r="CW120" s="195"/>
      <c r="CX120" s="195"/>
      <c r="CY120" s="195"/>
      <c r="CZ120" s="195"/>
      <c r="DA120" s="195"/>
      <c r="DB120" s="195"/>
      <c r="DC120" s="195"/>
      <c r="DD120" s="195"/>
      <c r="DE120" s="195"/>
      <c r="DF120" s="195"/>
      <c r="DG120" s="195"/>
      <c r="DH120" s="195"/>
    </row>
    <row r="121" spans="5:112" s="193" customFormat="1">
      <c r="E121" s="32"/>
      <c r="F121" s="32"/>
      <c r="G121" s="29"/>
      <c r="H121" s="25"/>
      <c r="I121" s="25"/>
      <c r="J121" s="25"/>
      <c r="K121" s="25"/>
      <c r="L121" s="29"/>
      <c r="M121" s="29"/>
      <c r="N121" s="28"/>
      <c r="O121" s="30"/>
      <c r="P121" s="30"/>
      <c r="Q121" s="30"/>
      <c r="R121" s="30"/>
      <c r="S121" s="30"/>
      <c r="T121" s="30"/>
      <c r="U121" s="30"/>
      <c r="V121" s="29"/>
      <c r="W121" s="28"/>
      <c r="X121" s="149"/>
      <c r="Y121" s="149"/>
      <c r="Z121" s="150"/>
      <c r="AA121" s="150"/>
      <c r="AB121" s="151"/>
      <c r="AC121" s="150"/>
      <c r="AD121" s="150"/>
      <c r="AE121" s="150"/>
      <c r="AF121" s="150"/>
      <c r="AG121" s="150"/>
      <c r="AH121" s="150"/>
      <c r="AI121" s="195"/>
      <c r="AJ121" s="195"/>
      <c r="AK121" s="195"/>
      <c r="AL121" s="195"/>
      <c r="AM121" s="195"/>
      <c r="AN121" s="195"/>
      <c r="AO121" s="195"/>
      <c r="AP121" s="195"/>
      <c r="AQ121" s="195"/>
      <c r="AR121" s="195"/>
      <c r="AS121" s="195"/>
      <c r="AT121" s="195"/>
      <c r="AU121" s="195"/>
      <c r="AV121" s="195"/>
      <c r="AW121" s="195"/>
      <c r="AX121" s="195"/>
      <c r="AY121" s="195"/>
      <c r="AZ121" s="195"/>
      <c r="BA121" s="195"/>
      <c r="BB121" s="195"/>
      <c r="BC121" s="195"/>
      <c r="BD121" s="195"/>
      <c r="BE121" s="195"/>
      <c r="BF121" s="195"/>
      <c r="BG121" s="195"/>
      <c r="BH121" s="195"/>
      <c r="BI121" s="195"/>
      <c r="BJ121" s="195"/>
      <c r="BK121" s="195"/>
      <c r="BL121" s="195"/>
      <c r="BM121" s="195"/>
      <c r="BN121" s="195"/>
      <c r="BO121" s="195"/>
      <c r="BP121" s="195"/>
      <c r="BQ121" s="195"/>
      <c r="BR121" s="195"/>
      <c r="BS121" s="195"/>
      <c r="BT121" s="195"/>
      <c r="BU121" s="195"/>
      <c r="BV121" s="195"/>
      <c r="BW121" s="195"/>
      <c r="BX121" s="195"/>
      <c r="BY121" s="195"/>
      <c r="BZ121" s="195"/>
      <c r="CA121" s="195"/>
      <c r="CB121" s="195"/>
      <c r="CC121" s="195"/>
      <c r="CD121" s="195"/>
      <c r="CE121" s="195"/>
      <c r="CF121" s="195"/>
      <c r="CG121" s="195"/>
      <c r="CH121" s="195"/>
      <c r="CI121" s="195"/>
      <c r="CJ121" s="195"/>
      <c r="CK121" s="195"/>
      <c r="CL121" s="195"/>
      <c r="CM121" s="195"/>
      <c r="CN121" s="195"/>
      <c r="CO121" s="195"/>
      <c r="CP121" s="195"/>
      <c r="CQ121" s="195"/>
      <c r="CR121" s="195"/>
      <c r="CS121" s="195"/>
      <c r="CT121" s="195"/>
      <c r="CU121" s="195"/>
      <c r="CV121" s="195"/>
      <c r="CW121" s="195"/>
      <c r="CX121" s="195"/>
      <c r="CY121" s="195"/>
      <c r="CZ121" s="195"/>
      <c r="DA121" s="195"/>
      <c r="DB121" s="195"/>
      <c r="DC121" s="195"/>
      <c r="DD121" s="195"/>
      <c r="DE121" s="195"/>
      <c r="DF121" s="195"/>
      <c r="DG121" s="195"/>
      <c r="DH121" s="195"/>
    </row>
    <row r="122" spans="5:112" s="193" customFormat="1">
      <c r="E122" s="32"/>
      <c r="F122" s="32"/>
      <c r="G122" s="29"/>
      <c r="H122" s="25"/>
      <c r="I122" s="25"/>
      <c r="J122" s="25"/>
      <c r="K122" s="25"/>
      <c r="L122" s="29"/>
      <c r="M122" s="29"/>
      <c r="N122" s="28"/>
      <c r="O122" s="30"/>
      <c r="P122" s="30"/>
      <c r="Q122" s="30"/>
      <c r="R122" s="30"/>
      <c r="S122" s="30"/>
      <c r="T122" s="30"/>
      <c r="U122" s="30"/>
      <c r="V122" s="29"/>
      <c r="W122" s="28"/>
      <c r="X122" s="149"/>
      <c r="Y122" s="149"/>
      <c r="Z122" s="150"/>
      <c r="AA122" s="150"/>
      <c r="AB122" s="151"/>
      <c r="AC122" s="150"/>
      <c r="AD122" s="150"/>
      <c r="AE122" s="150"/>
      <c r="AF122" s="150"/>
      <c r="AG122" s="150"/>
      <c r="AH122" s="150"/>
      <c r="AI122" s="195"/>
      <c r="AJ122" s="195"/>
      <c r="AK122" s="195"/>
      <c r="AL122" s="195"/>
      <c r="AM122" s="195"/>
      <c r="AN122" s="195"/>
      <c r="AO122" s="195"/>
      <c r="AP122" s="195"/>
      <c r="AQ122" s="195"/>
      <c r="AR122" s="195"/>
      <c r="AS122" s="195"/>
      <c r="AT122" s="195"/>
      <c r="AU122" s="195"/>
      <c r="AV122" s="195"/>
      <c r="AW122" s="195"/>
      <c r="AX122" s="195"/>
      <c r="AY122" s="195"/>
      <c r="AZ122" s="195"/>
      <c r="BA122" s="195"/>
      <c r="BB122" s="195"/>
      <c r="BC122" s="195"/>
      <c r="BD122" s="195"/>
      <c r="BE122" s="195"/>
      <c r="BF122" s="195"/>
      <c r="BG122" s="195"/>
      <c r="BH122" s="195"/>
      <c r="BI122" s="195"/>
      <c r="BJ122" s="195"/>
      <c r="BK122" s="195"/>
      <c r="BL122" s="195"/>
      <c r="BM122" s="195"/>
      <c r="BN122" s="195"/>
      <c r="BO122" s="195"/>
      <c r="BP122" s="195"/>
      <c r="BQ122" s="195"/>
      <c r="BR122" s="195"/>
      <c r="BS122" s="195"/>
      <c r="BT122" s="195"/>
      <c r="BU122" s="195"/>
      <c r="BV122" s="195"/>
      <c r="BW122" s="195"/>
      <c r="BX122" s="195"/>
      <c r="BY122" s="195"/>
      <c r="BZ122" s="195"/>
      <c r="CA122" s="195"/>
      <c r="CB122" s="195"/>
      <c r="CC122" s="195"/>
      <c r="CD122" s="195"/>
      <c r="CE122" s="195"/>
      <c r="CF122" s="195"/>
      <c r="CG122" s="195"/>
      <c r="CH122" s="195"/>
      <c r="CI122" s="195"/>
      <c r="CJ122" s="195"/>
      <c r="CK122" s="195"/>
      <c r="CL122" s="195"/>
      <c r="CM122" s="195"/>
      <c r="CN122" s="195"/>
      <c r="CO122" s="195"/>
      <c r="CP122" s="195"/>
      <c r="CQ122" s="195"/>
      <c r="CR122" s="195"/>
      <c r="CS122" s="195"/>
      <c r="CT122" s="195"/>
      <c r="CU122" s="195"/>
      <c r="CV122" s="195"/>
      <c r="CW122" s="195"/>
      <c r="CX122" s="195"/>
      <c r="CY122" s="195"/>
      <c r="CZ122" s="195"/>
      <c r="DA122" s="195"/>
      <c r="DB122" s="195"/>
      <c r="DC122" s="195"/>
      <c r="DD122" s="195"/>
      <c r="DE122" s="195"/>
      <c r="DF122" s="195"/>
      <c r="DG122" s="195"/>
      <c r="DH122" s="195"/>
    </row>
    <row r="123" spans="5:112" s="193" customFormat="1">
      <c r="E123" s="32"/>
      <c r="F123" s="32"/>
      <c r="G123" s="29"/>
      <c r="H123" s="25"/>
      <c r="I123" s="25"/>
      <c r="J123" s="25"/>
      <c r="K123" s="25"/>
      <c r="L123" s="29"/>
      <c r="M123" s="29"/>
      <c r="N123" s="28"/>
      <c r="O123" s="30"/>
      <c r="P123" s="30"/>
      <c r="Q123" s="30"/>
      <c r="R123" s="30"/>
      <c r="S123" s="30"/>
      <c r="T123" s="30"/>
      <c r="U123" s="30"/>
      <c r="V123" s="29"/>
      <c r="W123" s="28"/>
      <c r="X123" s="149"/>
      <c r="Y123" s="149"/>
      <c r="Z123" s="150"/>
      <c r="AA123" s="150"/>
      <c r="AB123" s="151"/>
      <c r="AC123" s="150"/>
      <c r="AD123" s="150"/>
      <c r="AE123" s="150"/>
      <c r="AF123" s="150"/>
      <c r="AG123" s="150"/>
      <c r="AH123" s="150"/>
      <c r="AI123" s="195"/>
      <c r="AJ123" s="195"/>
      <c r="AK123" s="195"/>
      <c r="AL123" s="195"/>
      <c r="AM123" s="195"/>
      <c r="AN123" s="195"/>
      <c r="AO123" s="195"/>
      <c r="AP123" s="195"/>
      <c r="AQ123" s="195"/>
      <c r="AR123" s="195"/>
      <c r="AS123" s="195"/>
      <c r="AT123" s="195"/>
      <c r="AU123" s="195"/>
      <c r="AV123" s="195"/>
      <c r="AW123" s="195"/>
      <c r="AX123" s="195"/>
      <c r="AY123" s="195"/>
      <c r="AZ123" s="195"/>
      <c r="BA123" s="195"/>
      <c r="BB123" s="195"/>
      <c r="BC123" s="195"/>
      <c r="BD123" s="195"/>
      <c r="BE123" s="195"/>
      <c r="BF123" s="195"/>
      <c r="BG123" s="195"/>
      <c r="BH123" s="195"/>
      <c r="BI123" s="195"/>
      <c r="BJ123" s="195"/>
      <c r="BK123" s="195"/>
      <c r="BL123" s="195"/>
      <c r="BM123" s="195"/>
      <c r="BN123" s="195"/>
      <c r="BO123" s="195"/>
      <c r="BP123" s="195"/>
      <c r="BQ123" s="195"/>
      <c r="BR123" s="195"/>
      <c r="BS123" s="195"/>
      <c r="BT123" s="195"/>
      <c r="BU123" s="195"/>
      <c r="BV123" s="195"/>
      <c r="BW123" s="195"/>
      <c r="BX123" s="195"/>
      <c r="BY123" s="195"/>
      <c r="BZ123" s="195"/>
      <c r="CA123" s="195"/>
      <c r="CB123" s="195"/>
      <c r="CC123" s="195"/>
      <c r="CD123" s="195"/>
      <c r="CE123" s="195"/>
      <c r="CF123" s="195"/>
      <c r="CG123" s="195"/>
      <c r="CH123" s="195"/>
      <c r="CI123" s="195"/>
      <c r="CJ123" s="195"/>
      <c r="CK123" s="195"/>
      <c r="CL123" s="195"/>
      <c r="CM123" s="195"/>
      <c r="CN123" s="195"/>
      <c r="CO123" s="195"/>
      <c r="CP123" s="195"/>
      <c r="CQ123" s="195"/>
      <c r="CR123" s="195"/>
      <c r="CS123" s="195"/>
      <c r="CT123" s="195"/>
      <c r="CU123" s="195"/>
      <c r="CV123" s="195"/>
      <c r="CW123" s="195"/>
      <c r="CX123" s="195"/>
      <c r="CY123" s="195"/>
      <c r="CZ123" s="195"/>
      <c r="DA123" s="195"/>
      <c r="DB123" s="195"/>
      <c r="DC123" s="195"/>
      <c r="DD123" s="195"/>
      <c r="DE123" s="195"/>
      <c r="DF123" s="195"/>
      <c r="DG123" s="195"/>
      <c r="DH123" s="195"/>
    </row>
    <row r="124" spans="5:112" s="193" customFormat="1">
      <c r="E124" s="32"/>
      <c r="F124" s="32"/>
      <c r="G124" s="29"/>
      <c r="H124" s="25"/>
      <c r="I124" s="25"/>
      <c r="J124" s="25"/>
      <c r="K124" s="25"/>
      <c r="L124" s="29"/>
      <c r="M124" s="29"/>
      <c r="N124" s="28"/>
      <c r="O124" s="30"/>
      <c r="P124" s="30"/>
      <c r="Q124" s="30"/>
      <c r="R124" s="30"/>
      <c r="S124" s="30"/>
      <c r="T124" s="30"/>
      <c r="U124" s="30"/>
      <c r="V124" s="29"/>
      <c r="W124" s="28"/>
      <c r="X124" s="149"/>
      <c r="Y124" s="149"/>
      <c r="Z124" s="150"/>
      <c r="AA124" s="150"/>
      <c r="AB124" s="151"/>
      <c r="AC124" s="150"/>
      <c r="AD124" s="150"/>
      <c r="AE124" s="150"/>
      <c r="AF124" s="150"/>
      <c r="AG124" s="150"/>
      <c r="AH124" s="150"/>
      <c r="AI124" s="195"/>
      <c r="AJ124" s="195"/>
      <c r="AK124" s="195"/>
      <c r="AL124" s="195"/>
      <c r="AM124" s="195"/>
      <c r="AN124" s="195"/>
      <c r="AO124" s="195"/>
      <c r="AP124" s="195"/>
      <c r="AQ124" s="195"/>
      <c r="AR124" s="195"/>
      <c r="AS124" s="195"/>
      <c r="AT124" s="195"/>
      <c r="AU124" s="195"/>
      <c r="AV124" s="195"/>
      <c r="AW124" s="195"/>
      <c r="AX124" s="195"/>
      <c r="AY124" s="195"/>
      <c r="AZ124" s="195"/>
      <c r="BA124" s="195"/>
      <c r="BB124" s="195"/>
      <c r="BC124" s="195"/>
      <c r="BD124" s="195"/>
      <c r="BE124" s="195"/>
      <c r="BF124" s="195"/>
      <c r="BG124" s="195"/>
      <c r="BH124" s="195"/>
      <c r="BI124" s="195"/>
      <c r="BJ124" s="195"/>
      <c r="BK124" s="195"/>
      <c r="BL124" s="195"/>
      <c r="BM124" s="195"/>
      <c r="BN124" s="195"/>
      <c r="BO124" s="195"/>
      <c r="BP124" s="195"/>
      <c r="BQ124" s="195"/>
      <c r="BR124" s="195"/>
      <c r="BS124" s="195"/>
      <c r="BT124" s="195"/>
      <c r="BU124" s="195"/>
      <c r="BV124" s="195"/>
      <c r="BW124" s="195"/>
      <c r="BX124" s="195"/>
      <c r="BY124" s="195"/>
      <c r="BZ124" s="195"/>
      <c r="CA124" s="195"/>
      <c r="CB124" s="195"/>
      <c r="CC124" s="195"/>
      <c r="CD124" s="195"/>
      <c r="CE124" s="195"/>
      <c r="CF124" s="195"/>
      <c r="CG124" s="195"/>
      <c r="CH124" s="195"/>
      <c r="CI124" s="195"/>
      <c r="CJ124" s="195"/>
      <c r="CK124" s="195"/>
      <c r="CL124" s="195"/>
      <c r="CM124" s="195"/>
      <c r="CN124" s="195"/>
      <c r="CO124" s="195"/>
      <c r="CP124" s="195"/>
      <c r="CQ124" s="195"/>
      <c r="CR124" s="195"/>
      <c r="CS124" s="195"/>
      <c r="CT124" s="195"/>
      <c r="CU124" s="195"/>
      <c r="CV124" s="195"/>
      <c r="CW124" s="195"/>
      <c r="CX124" s="195"/>
      <c r="CY124" s="195"/>
      <c r="CZ124" s="195"/>
      <c r="DA124" s="195"/>
      <c r="DB124" s="195"/>
      <c r="DC124" s="195"/>
      <c r="DD124" s="195"/>
      <c r="DE124" s="195"/>
      <c r="DF124" s="195"/>
      <c r="DG124" s="195"/>
      <c r="DH124" s="195"/>
    </row>
    <row r="125" spans="5:112" s="193" customFormat="1">
      <c r="E125" s="32"/>
      <c r="F125" s="32"/>
      <c r="G125" s="29"/>
      <c r="H125" s="25"/>
      <c r="I125" s="25"/>
      <c r="J125" s="25"/>
      <c r="K125" s="25"/>
      <c r="L125" s="29"/>
      <c r="M125" s="29"/>
      <c r="N125" s="28"/>
      <c r="O125" s="30"/>
      <c r="P125" s="30"/>
      <c r="Q125" s="30"/>
      <c r="R125" s="30"/>
      <c r="S125" s="30"/>
      <c r="T125" s="30"/>
      <c r="U125" s="30"/>
      <c r="V125" s="29"/>
      <c r="W125" s="28"/>
      <c r="X125" s="149"/>
      <c r="Y125" s="149"/>
      <c r="Z125" s="150"/>
      <c r="AA125" s="150"/>
      <c r="AB125" s="151"/>
      <c r="AC125" s="150"/>
      <c r="AD125" s="150"/>
      <c r="AE125" s="150"/>
      <c r="AF125" s="150"/>
      <c r="AG125" s="150"/>
      <c r="AH125" s="150"/>
      <c r="AI125" s="195"/>
      <c r="AJ125" s="195"/>
      <c r="AK125" s="195"/>
      <c r="AL125" s="195"/>
      <c r="AM125" s="195"/>
      <c r="AN125" s="195"/>
      <c r="AO125" s="195"/>
      <c r="AP125" s="195"/>
      <c r="AQ125" s="195"/>
      <c r="AR125" s="195"/>
      <c r="AS125" s="195"/>
      <c r="AT125" s="195"/>
      <c r="AU125" s="195"/>
      <c r="AV125" s="195"/>
      <c r="AW125" s="195"/>
      <c r="AX125" s="195"/>
      <c r="AY125" s="195"/>
      <c r="AZ125" s="195"/>
      <c r="BA125" s="195"/>
      <c r="BB125" s="195"/>
      <c r="BC125" s="195"/>
      <c r="BD125" s="195"/>
      <c r="BE125" s="195"/>
      <c r="BF125" s="195"/>
      <c r="BG125" s="195"/>
      <c r="BH125" s="195"/>
      <c r="BI125" s="195"/>
      <c r="BJ125" s="195"/>
      <c r="BK125" s="195"/>
      <c r="BL125" s="195"/>
      <c r="BM125" s="195"/>
      <c r="BN125" s="195"/>
      <c r="BO125" s="195"/>
      <c r="BP125" s="195"/>
      <c r="BQ125" s="195"/>
      <c r="BR125" s="195"/>
      <c r="BS125" s="195"/>
      <c r="BT125" s="195"/>
      <c r="BU125" s="195"/>
      <c r="BV125" s="195"/>
      <c r="BW125" s="195"/>
      <c r="BX125" s="195"/>
      <c r="BY125" s="195"/>
      <c r="BZ125" s="195"/>
      <c r="CA125" s="195"/>
      <c r="CB125" s="195"/>
      <c r="CC125" s="195"/>
      <c r="CD125" s="195"/>
      <c r="CE125" s="195"/>
      <c r="CF125" s="195"/>
      <c r="CG125" s="195"/>
      <c r="CH125" s="195"/>
      <c r="CI125" s="195"/>
      <c r="CJ125" s="195"/>
      <c r="CK125" s="195"/>
      <c r="CL125" s="195"/>
      <c r="CM125" s="195"/>
      <c r="CN125" s="195"/>
      <c r="CO125" s="195"/>
      <c r="CP125" s="195"/>
      <c r="CQ125" s="195"/>
      <c r="CR125" s="195"/>
      <c r="CS125" s="195"/>
      <c r="CT125" s="195"/>
      <c r="CU125" s="195"/>
      <c r="CV125" s="195"/>
      <c r="CW125" s="195"/>
      <c r="CX125" s="195"/>
      <c r="CY125" s="195"/>
      <c r="CZ125" s="195"/>
      <c r="DA125" s="195"/>
      <c r="DB125" s="195"/>
      <c r="DC125" s="195"/>
      <c r="DD125" s="195"/>
      <c r="DE125" s="195"/>
      <c r="DF125" s="195"/>
      <c r="DG125" s="195"/>
      <c r="DH125" s="195"/>
    </row>
    <row r="126" spans="5:112" s="193" customFormat="1">
      <c r="E126" s="32"/>
      <c r="F126" s="32"/>
      <c r="G126" s="29"/>
      <c r="H126" s="25"/>
      <c r="I126" s="25"/>
      <c r="J126" s="25"/>
      <c r="K126" s="25"/>
      <c r="L126" s="29"/>
      <c r="M126" s="29"/>
      <c r="N126" s="28"/>
      <c r="O126" s="30"/>
      <c r="P126" s="30"/>
      <c r="Q126" s="30"/>
      <c r="R126" s="30"/>
      <c r="S126" s="30"/>
      <c r="T126" s="30"/>
      <c r="U126" s="30"/>
      <c r="V126" s="29"/>
      <c r="W126" s="28"/>
      <c r="X126" s="149"/>
      <c r="Y126" s="149"/>
      <c r="Z126" s="150"/>
      <c r="AA126" s="150"/>
      <c r="AB126" s="151"/>
      <c r="AC126" s="150"/>
      <c r="AD126" s="150"/>
      <c r="AE126" s="150"/>
      <c r="AF126" s="150"/>
      <c r="AG126" s="150"/>
      <c r="AH126" s="150"/>
      <c r="AI126" s="195"/>
      <c r="AJ126" s="195"/>
      <c r="AK126" s="195"/>
      <c r="AL126" s="195"/>
      <c r="AM126" s="195"/>
      <c r="AN126" s="195"/>
      <c r="AO126" s="195"/>
      <c r="AP126" s="195"/>
      <c r="AQ126" s="195"/>
      <c r="AR126" s="195"/>
      <c r="AS126" s="195"/>
      <c r="AT126" s="195"/>
      <c r="AU126" s="195"/>
      <c r="AV126" s="195"/>
      <c r="AW126" s="195"/>
      <c r="AX126" s="195"/>
      <c r="AY126" s="195"/>
      <c r="AZ126" s="195"/>
      <c r="BA126" s="195"/>
      <c r="BB126" s="195"/>
      <c r="BC126" s="195"/>
      <c r="BD126" s="195"/>
      <c r="BE126" s="195"/>
      <c r="BF126" s="195"/>
      <c r="BG126" s="195"/>
      <c r="BH126" s="195"/>
      <c r="BI126" s="195"/>
      <c r="BJ126" s="195"/>
      <c r="BK126" s="195"/>
      <c r="BL126" s="195"/>
      <c r="BM126" s="195"/>
      <c r="BN126" s="195"/>
      <c r="BO126" s="195"/>
      <c r="BP126" s="195"/>
      <c r="BQ126" s="195"/>
      <c r="BR126" s="195"/>
      <c r="BS126" s="195"/>
      <c r="BT126" s="195"/>
      <c r="BU126" s="195"/>
      <c r="BV126" s="195"/>
      <c r="BW126" s="195"/>
      <c r="BX126" s="195"/>
      <c r="BY126" s="195"/>
      <c r="BZ126" s="195"/>
      <c r="CA126" s="195"/>
      <c r="CB126" s="195"/>
      <c r="CC126" s="195"/>
      <c r="CD126" s="195"/>
      <c r="CE126" s="195"/>
      <c r="CF126" s="195"/>
      <c r="CG126" s="195"/>
      <c r="CH126" s="195"/>
      <c r="CI126" s="195"/>
      <c r="CJ126" s="195"/>
      <c r="CK126" s="195"/>
      <c r="CL126" s="195"/>
      <c r="CM126" s="195"/>
      <c r="CN126" s="195"/>
      <c r="CO126" s="195"/>
      <c r="CP126" s="195"/>
      <c r="CQ126" s="195"/>
      <c r="CR126" s="195"/>
      <c r="CS126" s="195"/>
      <c r="CT126" s="195"/>
      <c r="CU126" s="195"/>
      <c r="CV126" s="195"/>
      <c r="CW126" s="195"/>
      <c r="CX126" s="195"/>
      <c r="CY126" s="195"/>
      <c r="CZ126" s="195"/>
      <c r="DA126" s="195"/>
      <c r="DB126" s="195"/>
      <c r="DC126" s="195"/>
      <c r="DD126" s="195"/>
      <c r="DE126" s="195"/>
      <c r="DF126" s="195"/>
      <c r="DG126" s="195"/>
      <c r="DH126" s="195"/>
    </row>
    <row r="127" spans="5:112" s="193" customFormat="1">
      <c r="E127" s="32"/>
      <c r="F127" s="32"/>
      <c r="G127" s="29"/>
      <c r="H127" s="25"/>
      <c r="I127" s="25"/>
      <c r="J127" s="25"/>
      <c r="K127" s="25"/>
      <c r="L127" s="29"/>
      <c r="M127" s="29"/>
      <c r="N127" s="28"/>
      <c r="O127" s="30"/>
      <c r="P127" s="30"/>
      <c r="Q127" s="30"/>
      <c r="R127" s="30"/>
      <c r="S127" s="30"/>
      <c r="T127" s="30"/>
      <c r="U127" s="30"/>
      <c r="V127" s="29"/>
      <c r="W127" s="28"/>
      <c r="X127" s="149"/>
      <c r="Y127" s="149"/>
      <c r="Z127" s="150"/>
      <c r="AA127" s="150"/>
      <c r="AB127" s="151"/>
      <c r="AC127" s="150"/>
      <c r="AD127" s="150"/>
      <c r="AE127" s="150"/>
      <c r="AF127" s="150"/>
      <c r="AG127" s="150"/>
      <c r="AH127" s="150"/>
      <c r="AI127" s="195"/>
      <c r="AJ127" s="195"/>
      <c r="AK127" s="195"/>
      <c r="AL127" s="195"/>
      <c r="AM127" s="195"/>
      <c r="AN127" s="195"/>
      <c r="AO127" s="195"/>
      <c r="AP127" s="195"/>
      <c r="AQ127" s="195"/>
      <c r="AR127" s="195"/>
      <c r="AS127" s="195"/>
      <c r="AT127" s="195"/>
      <c r="AU127" s="195"/>
      <c r="AV127" s="195"/>
      <c r="AW127" s="195"/>
      <c r="AX127" s="195"/>
      <c r="AY127" s="195"/>
      <c r="AZ127" s="195"/>
      <c r="BA127" s="195"/>
      <c r="BB127" s="195"/>
      <c r="BC127" s="195"/>
      <c r="BD127" s="195"/>
      <c r="BE127" s="195"/>
      <c r="BF127" s="195"/>
      <c r="BG127" s="195"/>
      <c r="BH127" s="195"/>
      <c r="BI127" s="195"/>
      <c r="BJ127" s="195"/>
      <c r="BK127" s="195"/>
      <c r="BL127" s="195"/>
      <c r="BM127" s="195"/>
      <c r="BN127" s="195"/>
      <c r="BO127" s="195"/>
      <c r="BP127" s="195"/>
      <c r="BQ127" s="195"/>
      <c r="BR127" s="195"/>
      <c r="BS127" s="195"/>
      <c r="BT127" s="195"/>
      <c r="BU127" s="195"/>
      <c r="BV127" s="195"/>
      <c r="BW127" s="195"/>
      <c r="BX127" s="195"/>
      <c r="BY127" s="195"/>
      <c r="BZ127" s="195"/>
      <c r="CA127" s="195"/>
      <c r="CB127" s="195"/>
      <c r="CC127" s="195"/>
      <c r="CD127" s="195"/>
      <c r="CE127" s="195"/>
      <c r="CF127" s="195"/>
      <c r="CG127" s="195"/>
      <c r="CH127" s="195"/>
      <c r="CI127" s="195"/>
      <c r="CJ127" s="195"/>
      <c r="CK127" s="195"/>
      <c r="CL127" s="195"/>
      <c r="CM127" s="195"/>
      <c r="CN127" s="195"/>
      <c r="CO127" s="195"/>
      <c r="CP127" s="195"/>
      <c r="CQ127" s="195"/>
      <c r="CR127" s="195"/>
      <c r="CS127" s="195"/>
      <c r="CT127" s="195"/>
      <c r="CU127" s="195"/>
      <c r="CV127" s="195"/>
      <c r="CW127" s="195"/>
      <c r="CX127" s="195"/>
      <c r="CY127" s="195"/>
      <c r="CZ127" s="195"/>
      <c r="DA127" s="195"/>
      <c r="DB127" s="195"/>
      <c r="DC127" s="195"/>
      <c r="DD127" s="195"/>
      <c r="DE127" s="195"/>
      <c r="DF127" s="195"/>
      <c r="DG127" s="195"/>
      <c r="DH127" s="195"/>
    </row>
    <row r="128" spans="5:112" s="193" customFormat="1">
      <c r="E128" s="32"/>
      <c r="F128" s="32"/>
      <c r="G128" s="29"/>
      <c r="H128" s="25"/>
      <c r="I128" s="25"/>
      <c r="J128" s="25"/>
      <c r="K128" s="25"/>
      <c r="L128" s="29"/>
      <c r="M128" s="29"/>
      <c r="N128" s="28"/>
      <c r="O128" s="30"/>
      <c r="P128" s="30"/>
      <c r="Q128" s="30"/>
      <c r="R128" s="30"/>
      <c r="S128" s="30"/>
      <c r="T128" s="30"/>
      <c r="U128" s="30"/>
      <c r="V128" s="29"/>
      <c r="W128" s="28"/>
      <c r="X128" s="149"/>
      <c r="Y128" s="149"/>
      <c r="Z128" s="150"/>
      <c r="AA128" s="150"/>
      <c r="AB128" s="151"/>
      <c r="AC128" s="150"/>
      <c r="AD128" s="150"/>
      <c r="AE128" s="150"/>
      <c r="AF128" s="150"/>
      <c r="AG128" s="150"/>
      <c r="AH128" s="150"/>
      <c r="AI128" s="195"/>
      <c r="AJ128" s="195"/>
      <c r="AK128" s="195"/>
      <c r="AL128" s="195"/>
      <c r="AM128" s="195"/>
      <c r="AN128" s="195"/>
      <c r="AO128" s="195"/>
      <c r="AP128" s="195"/>
      <c r="AQ128" s="195"/>
      <c r="AR128" s="195"/>
      <c r="AS128" s="195"/>
      <c r="AT128" s="195"/>
      <c r="AU128" s="195"/>
      <c r="AV128" s="195"/>
      <c r="AW128" s="195"/>
      <c r="AX128" s="195"/>
      <c r="AY128" s="195"/>
      <c r="AZ128" s="195"/>
      <c r="BA128" s="195"/>
      <c r="BB128" s="195"/>
      <c r="BC128" s="195"/>
      <c r="BD128" s="195"/>
      <c r="BE128" s="195"/>
      <c r="BF128" s="195"/>
      <c r="BG128" s="195"/>
      <c r="BH128" s="195"/>
      <c r="BI128" s="195"/>
      <c r="BJ128" s="195"/>
      <c r="BK128" s="195"/>
      <c r="BL128" s="195"/>
      <c r="BM128" s="195"/>
      <c r="BN128" s="195"/>
      <c r="BO128" s="195"/>
      <c r="BP128" s="195"/>
      <c r="BQ128" s="195"/>
      <c r="BR128" s="195"/>
      <c r="BS128" s="195"/>
      <c r="BT128" s="195"/>
      <c r="BU128" s="195"/>
      <c r="BV128" s="195"/>
      <c r="BW128" s="195"/>
      <c r="BX128" s="195"/>
      <c r="BY128" s="195"/>
      <c r="BZ128" s="195"/>
      <c r="CA128" s="195"/>
      <c r="CB128" s="195"/>
      <c r="CC128" s="195"/>
      <c r="CD128" s="195"/>
      <c r="CE128" s="195"/>
      <c r="CF128" s="195"/>
      <c r="CG128" s="195"/>
      <c r="CH128" s="195"/>
      <c r="CI128" s="195"/>
      <c r="CJ128" s="195"/>
      <c r="CK128" s="195"/>
      <c r="CL128" s="195"/>
      <c r="CM128" s="195"/>
      <c r="CN128" s="195"/>
      <c r="CO128" s="195"/>
      <c r="CP128" s="195"/>
      <c r="CQ128" s="195"/>
      <c r="CR128" s="195"/>
      <c r="CS128" s="195"/>
      <c r="CT128" s="195"/>
      <c r="CU128" s="195"/>
      <c r="CV128" s="195"/>
      <c r="CW128" s="195"/>
      <c r="CX128" s="195"/>
      <c r="CY128" s="195"/>
      <c r="CZ128" s="195"/>
      <c r="DA128" s="195"/>
      <c r="DB128" s="195"/>
      <c r="DC128" s="195"/>
      <c r="DD128" s="195"/>
      <c r="DE128" s="195"/>
      <c r="DF128" s="195"/>
      <c r="DG128" s="195"/>
      <c r="DH128" s="195"/>
    </row>
    <row r="129" spans="5:112" s="193" customFormat="1">
      <c r="E129" s="32"/>
      <c r="F129" s="32"/>
      <c r="G129" s="29"/>
      <c r="H129" s="25"/>
      <c r="I129" s="25"/>
      <c r="J129" s="25"/>
      <c r="K129" s="25"/>
      <c r="L129" s="29"/>
      <c r="M129" s="29"/>
      <c r="N129" s="28"/>
      <c r="O129" s="30"/>
      <c r="P129" s="30"/>
      <c r="Q129" s="30"/>
      <c r="R129" s="30"/>
      <c r="S129" s="30"/>
      <c r="T129" s="30"/>
      <c r="U129" s="30"/>
      <c r="V129" s="29"/>
      <c r="W129" s="28"/>
      <c r="X129" s="149"/>
      <c r="Y129" s="149"/>
      <c r="Z129" s="150"/>
      <c r="AA129" s="150"/>
      <c r="AB129" s="151"/>
      <c r="AC129" s="150"/>
      <c r="AD129" s="150"/>
      <c r="AE129" s="150"/>
      <c r="AF129" s="150"/>
      <c r="AG129" s="150"/>
      <c r="AH129" s="150"/>
      <c r="AI129" s="195"/>
      <c r="AJ129" s="195"/>
      <c r="AK129" s="195"/>
      <c r="AL129" s="195"/>
      <c r="AM129" s="195"/>
      <c r="AN129" s="195"/>
      <c r="AO129" s="195"/>
      <c r="AP129" s="195"/>
      <c r="AQ129" s="195"/>
      <c r="AR129" s="195"/>
      <c r="AS129" s="195"/>
      <c r="AT129" s="195"/>
      <c r="AU129" s="195"/>
      <c r="AV129" s="195"/>
      <c r="AW129" s="195"/>
      <c r="AX129" s="195"/>
      <c r="AY129" s="195"/>
      <c r="AZ129" s="195"/>
      <c r="BA129" s="195"/>
      <c r="BB129" s="195"/>
      <c r="BC129" s="195"/>
      <c r="BD129" s="195"/>
      <c r="BE129" s="195"/>
      <c r="BF129" s="195"/>
      <c r="BG129" s="195"/>
      <c r="BH129" s="195"/>
      <c r="BI129" s="195"/>
      <c r="BJ129" s="195"/>
      <c r="BK129" s="195"/>
      <c r="BL129" s="195"/>
      <c r="BM129" s="195"/>
      <c r="BN129" s="195"/>
      <c r="BO129" s="195"/>
      <c r="BP129" s="195"/>
      <c r="BQ129" s="195"/>
      <c r="BR129" s="195"/>
      <c r="BS129" s="195"/>
      <c r="BT129" s="195"/>
      <c r="BU129" s="195"/>
      <c r="BV129" s="195"/>
      <c r="BW129" s="195"/>
      <c r="BX129" s="195"/>
      <c r="BY129" s="195"/>
      <c r="BZ129" s="195"/>
      <c r="CA129" s="195"/>
      <c r="CB129" s="195"/>
      <c r="CC129" s="195"/>
      <c r="CD129" s="195"/>
      <c r="CE129" s="195"/>
      <c r="CF129" s="195"/>
      <c r="CG129" s="195"/>
      <c r="CH129" s="195"/>
      <c r="CI129" s="195"/>
      <c r="CJ129" s="195"/>
      <c r="CK129" s="195"/>
      <c r="CL129" s="195"/>
      <c r="CM129" s="195"/>
      <c r="CN129" s="195"/>
      <c r="CO129" s="195"/>
      <c r="CP129" s="195"/>
      <c r="CQ129" s="195"/>
      <c r="CR129" s="195"/>
      <c r="CS129" s="195"/>
      <c r="CT129" s="195"/>
      <c r="CU129" s="195"/>
      <c r="CV129" s="195"/>
      <c r="CW129" s="195"/>
      <c r="CX129" s="195"/>
      <c r="CY129" s="195"/>
      <c r="CZ129" s="195"/>
      <c r="DA129" s="195"/>
      <c r="DB129" s="195"/>
      <c r="DC129" s="195"/>
      <c r="DD129" s="195"/>
      <c r="DE129" s="195"/>
      <c r="DF129" s="195"/>
      <c r="DG129" s="195"/>
      <c r="DH129" s="195"/>
    </row>
    <row r="130" spans="5:112" s="193" customFormat="1">
      <c r="E130" s="32"/>
      <c r="F130" s="32"/>
      <c r="G130" s="29"/>
      <c r="H130" s="25"/>
      <c r="I130" s="25"/>
      <c r="J130" s="25"/>
      <c r="K130" s="25"/>
      <c r="L130" s="29"/>
      <c r="M130" s="29"/>
      <c r="N130" s="28"/>
      <c r="O130" s="30"/>
      <c r="P130" s="30"/>
      <c r="Q130" s="30"/>
      <c r="R130" s="30"/>
      <c r="S130" s="30"/>
      <c r="T130" s="30"/>
      <c r="U130" s="30"/>
      <c r="V130" s="29"/>
      <c r="W130" s="28"/>
      <c r="X130" s="149"/>
      <c r="Y130" s="149"/>
      <c r="Z130" s="150"/>
      <c r="AA130" s="150"/>
      <c r="AB130" s="151"/>
      <c r="AC130" s="150"/>
      <c r="AD130" s="150"/>
      <c r="AE130" s="150"/>
      <c r="AF130" s="150"/>
      <c r="AG130" s="150"/>
      <c r="AH130" s="150"/>
      <c r="AI130" s="195"/>
      <c r="AJ130" s="195"/>
      <c r="AK130" s="195"/>
      <c r="AL130" s="195"/>
      <c r="AM130" s="195"/>
      <c r="AN130" s="195"/>
      <c r="AO130" s="195"/>
      <c r="AP130" s="195"/>
      <c r="AQ130" s="195"/>
      <c r="AR130" s="195"/>
      <c r="AS130" s="195"/>
      <c r="AT130" s="195"/>
      <c r="AU130" s="195"/>
      <c r="AV130" s="195"/>
      <c r="AW130" s="195"/>
      <c r="AX130" s="195"/>
      <c r="AY130" s="195"/>
      <c r="AZ130" s="195"/>
      <c r="BA130" s="195"/>
      <c r="BB130" s="195"/>
      <c r="BC130" s="195"/>
      <c r="BD130" s="195"/>
      <c r="BE130" s="195"/>
      <c r="BF130" s="195"/>
      <c r="BG130" s="195"/>
      <c r="BH130" s="195"/>
      <c r="BI130" s="195"/>
      <c r="BJ130" s="195"/>
      <c r="BK130" s="195"/>
      <c r="BL130" s="195"/>
      <c r="BM130" s="195"/>
      <c r="BN130" s="195"/>
      <c r="BO130" s="195"/>
      <c r="BP130" s="195"/>
      <c r="BQ130" s="195"/>
      <c r="BR130" s="195"/>
      <c r="BS130" s="195"/>
      <c r="BT130" s="195"/>
      <c r="BU130" s="195"/>
      <c r="BV130" s="195"/>
      <c r="BW130" s="195"/>
      <c r="BX130" s="195"/>
      <c r="BY130" s="195"/>
      <c r="BZ130" s="195"/>
      <c r="CA130" s="195"/>
      <c r="CB130" s="195"/>
      <c r="CC130" s="195"/>
      <c r="CD130" s="195"/>
      <c r="CE130" s="195"/>
      <c r="CF130" s="195"/>
      <c r="CG130" s="195"/>
      <c r="CH130" s="195"/>
      <c r="CI130" s="195"/>
      <c r="CJ130" s="195"/>
      <c r="CK130" s="195"/>
      <c r="CL130" s="195"/>
      <c r="CM130" s="195"/>
      <c r="CN130" s="195"/>
      <c r="CO130" s="195"/>
      <c r="CP130" s="195"/>
      <c r="CQ130" s="195"/>
      <c r="CR130" s="195"/>
      <c r="CS130" s="195"/>
      <c r="CT130" s="195"/>
      <c r="CU130" s="195"/>
      <c r="CV130" s="195"/>
      <c r="CW130" s="195"/>
      <c r="CX130" s="195"/>
      <c r="CY130" s="195"/>
      <c r="CZ130" s="195"/>
      <c r="DA130" s="195"/>
      <c r="DB130" s="195"/>
      <c r="DC130" s="195"/>
      <c r="DD130" s="195"/>
      <c r="DE130" s="195"/>
      <c r="DF130" s="195"/>
      <c r="DG130" s="195"/>
      <c r="DH130" s="195"/>
    </row>
    <row r="131" spans="5:112" s="193" customFormat="1">
      <c r="E131" s="32"/>
      <c r="F131" s="32"/>
      <c r="G131" s="29"/>
      <c r="H131" s="25"/>
      <c r="I131" s="25"/>
      <c r="J131" s="25"/>
      <c r="K131" s="25"/>
      <c r="L131" s="29"/>
      <c r="M131" s="29"/>
      <c r="N131" s="28"/>
      <c r="O131" s="30"/>
      <c r="P131" s="30"/>
      <c r="Q131" s="30"/>
      <c r="R131" s="30"/>
      <c r="S131" s="30"/>
      <c r="T131" s="30"/>
      <c r="U131" s="30"/>
      <c r="V131" s="29"/>
      <c r="W131" s="28"/>
      <c r="X131" s="149"/>
      <c r="Y131" s="149"/>
      <c r="Z131" s="150"/>
      <c r="AA131" s="150"/>
      <c r="AB131" s="151"/>
      <c r="AC131" s="150"/>
      <c r="AD131" s="150"/>
      <c r="AE131" s="150"/>
      <c r="AF131" s="150"/>
      <c r="AG131" s="150"/>
      <c r="AH131" s="150"/>
      <c r="AI131" s="195"/>
      <c r="AJ131" s="195"/>
      <c r="AK131" s="195"/>
      <c r="AL131" s="195"/>
      <c r="AM131" s="195"/>
      <c r="AN131" s="195"/>
      <c r="AO131" s="195"/>
      <c r="AP131" s="195"/>
      <c r="AQ131" s="195"/>
      <c r="AR131" s="195"/>
      <c r="AS131" s="195"/>
      <c r="AT131" s="195"/>
      <c r="AU131" s="195"/>
      <c r="AV131" s="195"/>
      <c r="AW131" s="195"/>
      <c r="AX131" s="195"/>
      <c r="AY131" s="195"/>
      <c r="AZ131" s="195"/>
      <c r="BA131" s="195"/>
      <c r="BB131" s="195"/>
      <c r="BC131" s="195"/>
      <c r="BD131" s="195"/>
      <c r="BE131" s="195"/>
      <c r="BF131" s="195"/>
      <c r="BG131" s="195"/>
      <c r="BH131" s="195"/>
      <c r="BI131" s="195"/>
      <c r="BJ131" s="195"/>
      <c r="BK131" s="195"/>
      <c r="BL131" s="195"/>
      <c r="BM131" s="195"/>
      <c r="BN131" s="195"/>
      <c r="BO131" s="195"/>
      <c r="BP131" s="195"/>
      <c r="BQ131" s="195"/>
      <c r="BR131" s="195"/>
      <c r="BS131" s="195"/>
      <c r="BT131" s="195"/>
      <c r="BU131" s="195"/>
      <c r="BV131" s="195"/>
      <c r="BW131" s="195"/>
      <c r="BX131" s="195"/>
      <c r="BY131" s="195"/>
      <c r="BZ131" s="195"/>
      <c r="CA131" s="195"/>
      <c r="CB131" s="195"/>
      <c r="CC131" s="195"/>
      <c r="CD131" s="195"/>
      <c r="CE131" s="195"/>
      <c r="CF131" s="195"/>
      <c r="CG131" s="195"/>
      <c r="CH131" s="195"/>
      <c r="CI131" s="195"/>
      <c r="CJ131" s="195"/>
      <c r="CK131" s="195"/>
      <c r="CL131" s="195"/>
      <c r="CM131" s="195"/>
      <c r="CN131" s="195"/>
      <c r="CO131" s="195"/>
      <c r="CP131" s="195"/>
      <c r="CQ131" s="195"/>
      <c r="CR131" s="195"/>
      <c r="CS131" s="195"/>
      <c r="CT131" s="195"/>
      <c r="CU131" s="195"/>
      <c r="CV131" s="195"/>
      <c r="CW131" s="195"/>
      <c r="CX131" s="195"/>
      <c r="CY131" s="195"/>
      <c r="CZ131" s="195"/>
      <c r="DA131" s="195"/>
      <c r="DB131" s="195"/>
      <c r="DC131" s="195"/>
      <c r="DD131" s="195"/>
      <c r="DE131" s="195"/>
      <c r="DF131" s="195"/>
      <c r="DG131" s="195"/>
      <c r="DH131" s="195"/>
    </row>
    <row r="132" spans="5:112" s="193" customFormat="1">
      <c r="E132" s="32"/>
      <c r="F132" s="32"/>
      <c r="G132" s="29"/>
      <c r="H132" s="25"/>
      <c r="I132" s="25"/>
      <c r="J132" s="25"/>
      <c r="K132" s="25"/>
      <c r="L132" s="29"/>
      <c r="M132" s="29"/>
      <c r="N132" s="28"/>
      <c r="O132" s="30"/>
      <c r="P132" s="30"/>
      <c r="Q132" s="30"/>
      <c r="R132" s="30"/>
      <c r="S132" s="30"/>
      <c r="T132" s="30"/>
      <c r="U132" s="30"/>
      <c r="V132" s="29"/>
      <c r="W132" s="28"/>
      <c r="X132" s="149"/>
      <c r="Y132" s="149"/>
      <c r="Z132" s="150"/>
      <c r="AA132" s="150"/>
      <c r="AB132" s="151"/>
      <c r="AC132" s="150"/>
      <c r="AD132" s="150"/>
      <c r="AE132" s="150"/>
      <c r="AF132" s="150"/>
      <c r="AG132" s="150"/>
      <c r="AH132" s="150"/>
      <c r="AI132" s="195"/>
      <c r="AJ132" s="195"/>
      <c r="AK132" s="195"/>
      <c r="AL132" s="195"/>
      <c r="AM132" s="195"/>
      <c r="AN132" s="195"/>
      <c r="AO132" s="195"/>
      <c r="AP132" s="195"/>
      <c r="AQ132" s="195"/>
      <c r="AR132" s="195"/>
      <c r="AS132" s="195"/>
      <c r="AT132" s="195"/>
      <c r="AU132" s="195"/>
      <c r="AV132" s="195"/>
      <c r="AW132" s="195"/>
      <c r="AX132" s="195"/>
      <c r="AY132" s="195"/>
      <c r="AZ132" s="195"/>
      <c r="BA132" s="195"/>
      <c r="BB132" s="195"/>
      <c r="BC132" s="195"/>
      <c r="BD132" s="195"/>
      <c r="BE132" s="195"/>
      <c r="BF132" s="195"/>
      <c r="BG132" s="195"/>
      <c r="BH132" s="195"/>
      <c r="BI132" s="195"/>
      <c r="BJ132" s="195"/>
      <c r="BK132" s="195"/>
      <c r="BL132" s="195"/>
      <c r="BM132" s="195"/>
      <c r="BN132" s="195"/>
      <c r="BO132" s="195"/>
      <c r="BP132" s="195"/>
      <c r="BQ132" s="195"/>
      <c r="BR132" s="195"/>
      <c r="BS132" s="195"/>
      <c r="BT132" s="195"/>
      <c r="BU132" s="195"/>
      <c r="BV132" s="195"/>
      <c r="BW132" s="195"/>
      <c r="BX132" s="195"/>
      <c r="BY132" s="195"/>
      <c r="BZ132" s="195"/>
      <c r="CA132" s="195"/>
      <c r="CB132" s="195"/>
      <c r="CC132" s="195"/>
      <c r="CD132" s="195"/>
      <c r="CE132" s="195"/>
      <c r="CF132" s="195"/>
      <c r="CG132" s="195"/>
      <c r="CH132" s="195"/>
      <c r="CI132" s="195"/>
      <c r="CJ132" s="195"/>
      <c r="CK132" s="195"/>
      <c r="CL132" s="195"/>
      <c r="CM132" s="195"/>
      <c r="CN132" s="195"/>
      <c r="CO132" s="195"/>
      <c r="CP132" s="195"/>
      <c r="CQ132" s="195"/>
      <c r="CR132" s="195"/>
      <c r="CS132" s="195"/>
      <c r="CT132" s="195"/>
      <c r="CU132" s="195"/>
      <c r="CV132" s="195"/>
      <c r="CW132" s="195"/>
      <c r="CX132" s="195"/>
      <c r="CY132" s="195"/>
      <c r="CZ132" s="195"/>
      <c r="DA132" s="195"/>
      <c r="DB132" s="195"/>
      <c r="DC132" s="195"/>
      <c r="DD132" s="195"/>
      <c r="DE132" s="195"/>
      <c r="DF132" s="195"/>
      <c r="DG132" s="195"/>
      <c r="DH132" s="195"/>
    </row>
    <row r="133" spans="5:112" s="193" customFormat="1">
      <c r="E133" s="32"/>
      <c r="F133" s="32"/>
      <c r="G133" s="29"/>
      <c r="H133" s="25"/>
      <c r="I133" s="25"/>
      <c r="J133" s="25"/>
      <c r="K133" s="25"/>
      <c r="L133" s="29"/>
      <c r="M133" s="29"/>
      <c r="N133" s="28"/>
      <c r="O133" s="30"/>
      <c r="P133" s="30"/>
      <c r="Q133" s="30"/>
      <c r="R133" s="30"/>
      <c r="S133" s="30"/>
      <c r="T133" s="30"/>
      <c r="U133" s="30"/>
      <c r="V133" s="29"/>
      <c r="W133" s="28"/>
      <c r="X133" s="149"/>
      <c r="Y133" s="149"/>
      <c r="Z133" s="150"/>
      <c r="AA133" s="150"/>
      <c r="AB133" s="151"/>
      <c r="AC133" s="150"/>
      <c r="AD133" s="150"/>
      <c r="AE133" s="150"/>
      <c r="AF133" s="150"/>
      <c r="AG133" s="150"/>
      <c r="AH133" s="150"/>
      <c r="AI133" s="195"/>
      <c r="AJ133" s="195"/>
      <c r="AK133" s="195"/>
      <c r="AL133" s="195"/>
      <c r="AM133" s="195"/>
      <c r="AN133" s="195"/>
      <c r="AO133" s="195"/>
      <c r="AP133" s="195"/>
      <c r="AQ133" s="195"/>
      <c r="AR133" s="195"/>
      <c r="AS133" s="195"/>
      <c r="AT133" s="195"/>
      <c r="AU133" s="195"/>
      <c r="AV133" s="195"/>
      <c r="AW133" s="195"/>
      <c r="AX133" s="195"/>
      <c r="AY133" s="195"/>
      <c r="AZ133" s="195"/>
      <c r="BA133" s="195"/>
      <c r="BB133" s="195"/>
      <c r="BC133" s="195"/>
      <c r="BD133" s="195"/>
      <c r="BE133" s="195"/>
      <c r="BF133" s="195"/>
      <c r="BG133" s="195"/>
      <c r="BH133" s="195"/>
      <c r="BI133" s="195"/>
      <c r="BJ133" s="195"/>
      <c r="BK133" s="195"/>
      <c r="BL133" s="195"/>
      <c r="BM133" s="195"/>
      <c r="BN133" s="195"/>
      <c r="BO133" s="195"/>
      <c r="BP133" s="195"/>
      <c r="BQ133" s="195"/>
      <c r="BR133" s="195"/>
      <c r="BS133" s="195"/>
      <c r="BT133" s="195"/>
      <c r="BU133" s="195"/>
      <c r="BV133" s="195"/>
      <c r="BW133" s="195"/>
      <c r="BX133" s="195"/>
      <c r="BY133" s="195"/>
      <c r="BZ133" s="195"/>
      <c r="CA133" s="195"/>
      <c r="CB133" s="195"/>
      <c r="CC133" s="195"/>
      <c r="CD133" s="195"/>
      <c r="CE133" s="195"/>
      <c r="CF133" s="195"/>
      <c r="CG133" s="195"/>
      <c r="CH133" s="195"/>
      <c r="CI133" s="195"/>
      <c r="CJ133" s="195"/>
      <c r="CK133" s="195"/>
      <c r="CL133" s="195"/>
      <c r="CM133" s="195"/>
      <c r="CN133" s="195"/>
      <c r="CO133" s="195"/>
      <c r="CP133" s="195"/>
      <c r="CQ133" s="195"/>
      <c r="CR133" s="195"/>
      <c r="CS133" s="195"/>
      <c r="CT133" s="195"/>
      <c r="CU133" s="195"/>
      <c r="CV133" s="195"/>
      <c r="CW133" s="195"/>
      <c r="CX133" s="195"/>
      <c r="CY133" s="195"/>
      <c r="CZ133" s="195"/>
      <c r="DA133" s="195"/>
      <c r="DB133" s="195"/>
      <c r="DC133" s="195"/>
      <c r="DD133" s="195"/>
      <c r="DE133" s="195"/>
      <c r="DF133" s="195"/>
      <c r="DG133" s="195"/>
      <c r="DH133" s="195"/>
    </row>
    <row r="134" spans="5:112" s="193" customFormat="1">
      <c r="E134" s="32"/>
      <c r="F134" s="32"/>
      <c r="G134" s="29"/>
      <c r="H134" s="25"/>
      <c r="I134" s="25"/>
      <c r="J134" s="25"/>
      <c r="K134" s="25"/>
      <c r="L134" s="29"/>
      <c r="M134" s="29"/>
      <c r="N134" s="28"/>
      <c r="O134" s="30"/>
      <c r="P134" s="30"/>
      <c r="Q134" s="30"/>
      <c r="R134" s="30"/>
      <c r="S134" s="30"/>
      <c r="T134" s="30"/>
      <c r="U134" s="30"/>
      <c r="V134" s="29"/>
      <c r="W134" s="28"/>
      <c r="X134" s="149"/>
      <c r="Y134" s="149"/>
      <c r="Z134" s="150"/>
      <c r="AA134" s="150"/>
      <c r="AB134" s="151"/>
      <c r="AC134" s="150"/>
      <c r="AD134" s="150"/>
      <c r="AE134" s="150"/>
      <c r="AF134" s="150"/>
      <c r="AG134" s="150"/>
      <c r="AH134" s="150"/>
      <c r="AI134" s="195"/>
      <c r="AJ134" s="195"/>
      <c r="AK134" s="195"/>
      <c r="AL134" s="195"/>
      <c r="AM134" s="195"/>
      <c r="AN134" s="195"/>
      <c r="AO134" s="195"/>
      <c r="AP134" s="195"/>
      <c r="AQ134" s="195"/>
      <c r="AR134" s="195"/>
      <c r="AS134" s="195"/>
      <c r="AT134" s="195"/>
      <c r="AU134" s="195"/>
      <c r="AV134" s="195"/>
      <c r="AW134" s="195"/>
      <c r="AX134" s="195"/>
      <c r="AY134" s="195"/>
      <c r="AZ134" s="195"/>
      <c r="BA134" s="195"/>
      <c r="BB134" s="195"/>
      <c r="BC134" s="195"/>
      <c r="BD134" s="195"/>
      <c r="BE134" s="195"/>
      <c r="BF134" s="195"/>
      <c r="BG134" s="195"/>
      <c r="BH134" s="195"/>
      <c r="BI134" s="195"/>
      <c r="BJ134" s="195"/>
      <c r="BK134" s="195"/>
      <c r="BL134" s="195"/>
      <c r="BM134" s="195"/>
      <c r="BN134" s="195"/>
      <c r="BO134" s="195"/>
      <c r="BP134" s="195"/>
      <c r="BQ134" s="195"/>
      <c r="BR134" s="195"/>
      <c r="BS134" s="195"/>
      <c r="BT134" s="195"/>
      <c r="BU134" s="195"/>
      <c r="BV134" s="195"/>
      <c r="BW134" s="195"/>
      <c r="BX134" s="195"/>
      <c r="BY134" s="195"/>
      <c r="BZ134" s="195"/>
      <c r="CA134" s="195"/>
      <c r="CB134" s="195"/>
      <c r="CC134" s="195"/>
      <c r="CD134" s="195"/>
      <c r="CE134" s="195"/>
      <c r="CF134" s="195"/>
      <c r="CG134" s="195"/>
      <c r="CH134" s="195"/>
      <c r="CI134" s="195"/>
      <c r="CJ134" s="195"/>
      <c r="CK134" s="195"/>
      <c r="CL134" s="195"/>
      <c r="CM134" s="195"/>
      <c r="CN134" s="195"/>
      <c r="CO134" s="195"/>
      <c r="CP134" s="195"/>
      <c r="CQ134" s="195"/>
      <c r="CR134" s="195"/>
      <c r="CS134" s="195"/>
      <c r="CT134" s="195"/>
      <c r="CU134" s="195"/>
      <c r="CV134" s="195"/>
      <c r="CW134" s="195"/>
      <c r="CX134" s="195"/>
      <c r="CY134" s="195"/>
      <c r="CZ134" s="195"/>
      <c r="DA134" s="195"/>
      <c r="DB134" s="195"/>
      <c r="DC134" s="195"/>
      <c r="DD134" s="195"/>
      <c r="DE134" s="195"/>
      <c r="DF134" s="195"/>
      <c r="DG134" s="195"/>
      <c r="DH134" s="195"/>
    </row>
    <row r="135" spans="5:112" s="193" customFormat="1">
      <c r="E135" s="32"/>
      <c r="F135" s="32"/>
      <c r="G135" s="29"/>
      <c r="H135" s="25"/>
      <c r="I135" s="25"/>
      <c r="J135" s="25"/>
      <c r="K135" s="25"/>
      <c r="L135" s="29"/>
      <c r="M135" s="29"/>
      <c r="N135" s="28"/>
      <c r="O135" s="30"/>
      <c r="P135" s="30"/>
      <c r="Q135" s="30"/>
      <c r="R135" s="30"/>
      <c r="S135" s="30"/>
      <c r="T135" s="30"/>
      <c r="U135" s="30"/>
      <c r="V135" s="29"/>
      <c r="W135" s="28"/>
      <c r="X135" s="149"/>
      <c r="Y135" s="149"/>
      <c r="Z135" s="150"/>
      <c r="AA135" s="150"/>
      <c r="AB135" s="151"/>
      <c r="AC135" s="150"/>
      <c r="AD135" s="150"/>
      <c r="AE135" s="150"/>
      <c r="AF135" s="150"/>
      <c r="AG135" s="150"/>
      <c r="AH135" s="150"/>
      <c r="AI135" s="195"/>
      <c r="AJ135" s="195"/>
      <c r="AK135" s="195"/>
      <c r="AL135" s="195"/>
      <c r="AM135" s="195"/>
      <c r="AN135" s="195"/>
      <c r="AO135" s="195"/>
      <c r="AP135" s="195"/>
      <c r="AQ135" s="195"/>
      <c r="AR135" s="195"/>
      <c r="AS135" s="195"/>
      <c r="AT135" s="195"/>
      <c r="AU135" s="195"/>
      <c r="AV135" s="195"/>
      <c r="AW135" s="195"/>
      <c r="AX135" s="195"/>
      <c r="AY135" s="195"/>
      <c r="AZ135" s="195"/>
      <c r="BA135" s="195"/>
      <c r="BB135" s="195"/>
      <c r="BC135" s="195"/>
      <c r="BD135" s="195"/>
      <c r="BE135" s="195"/>
      <c r="BF135" s="195"/>
      <c r="BG135" s="195"/>
      <c r="BH135" s="195"/>
      <c r="BI135" s="195"/>
      <c r="BJ135" s="195"/>
      <c r="BK135" s="195"/>
      <c r="BL135" s="195"/>
      <c r="BM135" s="195"/>
      <c r="BN135" s="195"/>
      <c r="BO135" s="195"/>
      <c r="BP135" s="195"/>
      <c r="BQ135" s="195"/>
      <c r="BR135" s="195"/>
      <c r="BS135" s="195"/>
      <c r="BT135" s="195"/>
      <c r="BU135" s="195"/>
      <c r="BV135" s="195"/>
      <c r="BW135" s="195"/>
      <c r="BX135" s="195"/>
      <c r="BY135" s="195"/>
      <c r="BZ135" s="195"/>
      <c r="CA135" s="195"/>
      <c r="CB135" s="195"/>
      <c r="CC135" s="195"/>
      <c r="CD135" s="195"/>
      <c r="CE135" s="195"/>
      <c r="CF135" s="195"/>
      <c r="CG135" s="195"/>
      <c r="CH135" s="195"/>
      <c r="CI135" s="195"/>
      <c r="CJ135" s="195"/>
      <c r="CK135" s="195"/>
      <c r="CL135" s="195"/>
      <c r="CM135" s="195"/>
      <c r="CN135" s="195"/>
      <c r="CO135" s="195"/>
      <c r="CP135" s="195"/>
      <c r="CQ135" s="195"/>
      <c r="CR135" s="195"/>
      <c r="CS135" s="195"/>
      <c r="CT135" s="195"/>
      <c r="CU135" s="195"/>
      <c r="CV135" s="195"/>
      <c r="CW135" s="195"/>
      <c r="CX135" s="195"/>
      <c r="CY135" s="195"/>
      <c r="CZ135" s="195"/>
      <c r="DA135" s="195"/>
      <c r="DB135" s="195"/>
      <c r="DC135" s="195"/>
      <c r="DD135" s="195"/>
      <c r="DE135" s="195"/>
      <c r="DF135" s="195"/>
      <c r="DG135" s="195"/>
      <c r="DH135" s="195"/>
    </row>
    <row r="136" spans="5:112" s="193" customFormat="1">
      <c r="E136" s="32"/>
      <c r="F136" s="32"/>
      <c r="G136" s="29"/>
      <c r="H136" s="25"/>
      <c r="I136" s="25"/>
      <c r="J136" s="25"/>
      <c r="K136" s="25"/>
      <c r="L136" s="29"/>
      <c r="M136" s="29"/>
      <c r="N136" s="28"/>
      <c r="O136" s="30"/>
      <c r="P136" s="30"/>
      <c r="Q136" s="30"/>
      <c r="R136" s="30"/>
      <c r="S136" s="30"/>
      <c r="T136" s="30"/>
      <c r="U136" s="30"/>
      <c r="V136" s="29"/>
      <c r="W136" s="28"/>
      <c r="X136" s="149"/>
      <c r="Y136" s="149"/>
      <c r="Z136" s="150"/>
      <c r="AA136" s="150"/>
      <c r="AB136" s="151"/>
      <c r="AC136" s="150"/>
      <c r="AD136" s="150"/>
      <c r="AE136" s="150"/>
      <c r="AF136" s="150"/>
      <c r="AG136" s="150"/>
      <c r="AH136" s="150"/>
      <c r="AI136" s="195"/>
      <c r="AJ136" s="195"/>
      <c r="AK136" s="195"/>
      <c r="AL136" s="195"/>
      <c r="AM136" s="195"/>
      <c r="AN136" s="195"/>
      <c r="AO136" s="195"/>
      <c r="AP136" s="195"/>
      <c r="AQ136" s="195"/>
      <c r="AR136" s="195"/>
      <c r="AS136" s="195"/>
      <c r="AT136" s="195"/>
      <c r="AU136" s="195"/>
      <c r="AV136" s="195"/>
      <c r="AW136" s="195"/>
      <c r="AX136" s="195"/>
      <c r="AY136" s="195"/>
      <c r="AZ136" s="195"/>
      <c r="BA136" s="195"/>
      <c r="BB136" s="195"/>
      <c r="BC136" s="195"/>
      <c r="BD136" s="195"/>
      <c r="BE136" s="195"/>
      <c r="BF136" s="195"/>
      <c r="BG136" s="195"/>
      <c r="BH136" s="195"/>
      <c r="BI136" s="195"/>
      <c r="BJ136" s="195"/>
      <c r="BK136" s="195"/>
      <c r="BL136" s="195"/>
      <c r="BM136" s="195"/>
      <c r="BN136" s="195"/>
      <c r="BO136" s="195"/>
      <c r="BP136" s="195"/>
      <c r="BQ136" s="195"/>
      <c r="BR136" s="195"/>
      <c r="BS136" s="195"/>
      <c r="BT136" s="195"/>
      <c r="BU136" s="195"/>
      <c r="BV136" s="195"/>
      <c r="BW136" s="195"/>
      <c r="BX136" s="195"/>
      <c r="BY136" s="195"/>
      <c r="BZ136" s="195"/>
      <c r="CA136" s="195"/>
      <c r="CB136" s="195"/>
      <c r="CC136" s="195"/>
      <c r="CD136" s="195"/>
      <c r="CE136" s="195"/>
      <c r="CF136" s="195"/>
      <c r="CG136" s="195"/>
      <c r="CH136" s="195"/>
      <c r="CI136" s="195"/>
      <c r="CJ136" s="195"/>
      <c r="CK136" s="195"/>
      <c r="CL136" s="195"/>
      <c r="CM136" s="195"/>
      <c r="CN136" s="195"/>
      <c r="CO136" s="195"/>
      <c r="CP136" s="195"/>
      <c r="CQ136" s="195"/>
      <c r="CR136" s="195"/>
      <c r="CS136" s="195"/>
      <c r="CT136" s="195"/>
      <c r="CU136" s="195"/>
      <c r="CV136" s="195"/>
      <c r="CW136" s="195"/>
      <c r="CX136" s="195"/>
      <c r="CY136" s="195"/>
      <c r="CZ136" s="195"/>
      <c r="DA136" s="195"/>
      <c r="DB136" s="195"/>
      <c r="DC136" s="195"/>
      <c r="DD136" s="195"/>
      <c r="DE136" s="195"/>
      <c r="DF136" s="195"/>
      <c r="DG136" s="195"/>
      <c r="DH136" s="195"/>
    </row>
    <row r="137" spans="5:112" s="193" customFormat="1">
      <c r="E137" s="32"/>
      <c r="F137" s="32"/>
      <c r="G137" s="29"/>
      <c r="H137" s="25"/>
      <c r="I137" s="25"/>
      <c r="J137" s="25"/>
      <c r="K137" s="25"/>
      <c r="L137" s="29"/>
      <c r="M137" s="29"/>
      <c r="N137" s="28"/>
      <c r="O137" s="30"/>
      <c r="P137" s="30"/>
      <c r="Q137" s="30"/>
      <c r="R137" s="30"/>
      <c r="S137" s="30"/>
      <c r="T137" s="30"/>
      <c r="U137" s="30"/>
      <c r="V137" s="29"/>
      <c r="W137" s="28"/>
      <c r="X137" s="149"/>
      <c r="Y137" s="149"/>
      <c r="Z137" s="150"/>
      <c r="AA137" s="150"/>
      <c r="AB137" s="151"/>
      <c r="AC137" s="150"/>
      <c r="AD137" s="150"/>
      <c r="AE137" s="150"/>
      <c r="AF137" s="150"/>
      <c r="AG137" s="150"/>
      <c r="AH137" s="150"/>
      <c r="AI137" s="195"/>
      <c r="AJ137" s="195"/>
      <c r="AK137" s="195"/>
      <c r="AL137" s="195"/>
      <c r="AM137" s="195"/>
      <c r="AN137" s="195"/>
      <c r="AO137" s="195"/>
      <c r="AP137" s="195"/>
      <c r="AQ137" s="195"/>
      <c r="AR137" s="195"/>
      <c r="AS137" s="195"/>
      <c r="AT137" s="195"/>
      <c r="AU137" s="195"/>
      <c r="AV137" s="195"/>
      <c r="AW137" s="195"/>
      <c r="AX137" s="195"/>
      <c r="AY137" s="195"/>
      <c r="AZ137" s="195"/>
      <c r="BA137" s="195"/>
      <c r="BB137" s="195"/>
      <c r="BC137" s="195"/>
      <c r="BD137" s="195"/>
      <c r="BE137" s="195"/>
      <c r="BF137" s="195"/>
      <c r="BG137" s="195"/>
      <c r="BH137" s="195"/>
      <c r="BI137" s="195"/>
      <c r="BJ137" s="195"/>
      <c r="BK137" s="195"/>
      <c r="BL137" s="195"/>
      <c r="BM137" s="195"/>
      <c r="BN137" s="195"/>
      <c r="BO137" s="195"/>
      <c r="BP137" s="195"/>
      <c r="BQ137" s="195"/>
      <c r="BR137" s="195"/>
      <c r="BS137" s="195"/>
      <c r="BT137" s="195"/>
      <c r="BU137" s="195"/>
      <c r="BV137" s="195"/>
      <c r="BW137" s="195"/>
      <c r="BX137" s="195"/>
      <c r="BY137" s="195"/>
      <c r="BZ137" s="195"/>
      <c r="CA137" s="195"/>
      <c r="CB137" s="195"/>
      <c r="CC137" s="195"/>
      <c r="CD137" s="195"/>
      <c r="CE137" s="195"/>
      <c r="CF137" s="195"/>
      <c r="CG137" s="195"/>
      <c r="CH137" s="195"/>
      <c r="CI137" s="195"/>
      <c r="CJ137" s="195"/>
      <c r="CK137" s="195"/>
      <c r="CL137" s="195"/>
      <c r="CM137" s="195"/>
      <c r="CN137" s="195"/>
      <c r="CO137" s="195"/>
      <c r="CP137" s="195"/>
      <c r="CQ137" s="195"/>
      <c r="CR137" s="195"/>
      <c r="CS137" s="195"/>
      <c r="CT137" s="195"/>
      <c r="CU137" s="195"/>
      <c r="CV137" s="195"/>
      <c r="CW137" s="195"/>
      <c r="CX137" s="195"/>
      <c r="CY137" s="195"/>
      <c r="CZ137" s="195"/>
      <c r="DA137" s="195"/>
      <c r="DB137" s="195"/>
      <c r="DC137" s="195"/>
      <c r="DD137" s="195"/>
      <c r="DE137" s="195"/>
      <c r="DF137" s="195"/>
      <c r="DG137" s="195"/>
      <c r="DH137" s="195"/>
    </row>
    <row r="138" spans="5:112" s="193" customFormat="1">
      <c r="E138" s="32"/>
      <c r="F138" s="32"/>
      <c r="G138" s="29"/>
      <c r="H138" s="25"/>
      <c r="I138" s="25"/>
      <c r="J138" s="25"/>
      <c r="K138" s="25"/>
      <c r="L138" s="29"/>
      <c r="M138" s="29"/>
      <c r="N138" s="28"/>
      <c r="O138" s="30"/>
      <c r="P138" s="30"/>
      <c r="Q138" s="30"/>
      <c r="R138" s="30"/>
      <c r="S138" s="30"/>
      <c r="T138" s="30"/>
      <c r="U138" s="30"/>
      <c r="V138" s="29"/>
      <c r="W138" s="28"/>
      <c r="X138" s="149"/>
      <c r="Y138" s="149"/>
      <c r="Z138" s="150"/>
      <c r="AA138" s="150"/>
      <c r="AB138" s="151"/>
      <c r="AC138" s="150"/>
      <c r="AD138" s="150"/>
      <c r="AE138" s="150"/>
      <c r="AF138" s="150"/>
      <c r="AG138" s="150"/>
      <c r="AH138" s="150"/>
      <c r="AI138" s="195"/>
      <c r="AJ138" s="195"/>
      <c r="AK138" s="195"/>
      <c r="AL138" s="195"/>
      <c r="AM138" s="195"/>
      <c r="AN138" s="195"/>
      <c r="AO138" s="195"/>
      <c r="AP138" s="195"/>
      <c r="AQ138" s="195"/>
      <c r="AR138" s="195"/>
      <c r="AS138" s="195"/>
      <c r="AT138" s="195"/>
      <c r="AU138" s="195"/>
      <c r="AV138" s="195"/>
      <c r="AW138" s="195"/>
      <c r="AX138" s="195"/>
      <c r="AY138" s="195"/>
      <c r="AZ138" s="195"/>
      <c r="BA138" s="195"/>
      <c r="BB138" s="195"/>
      <c r="BC138" s="195"/>
      <c r="BD138" s="195"/>
      <c r="BE138" s="195"/>
      <c r="BF138" s="195"/>
      <c r="BG138" s="195"/>
      <c r="BH138" s="195"/>
      <c r="BI138" s="195"/>
      <c r="BJ138" s="195"/>
      <c r="BK138" s="195"/>
      <c r="BL138" s="195"/>
      <c r="BM138" s="195"/>
      <c r="BN138" s="195"/>
      <c r="BO138" s="195"/>
      <c r="BP138" s="195"/>
      <c r="BQ138" s="195"/>
      <c r="BR138" s="195"/>
      <c r="BS138" s="195"/>
      <c r="BT138" s="195"/>
      <c r="BU138" s="195"/>
      <c r="BV138" s="195"/>
      <c r="BW138" s="195"/>
      <c r="BX138" s="195"/>
      <c r="BY138" s="195"/>
      <c r="BZ138" s="195"/>
      <c r="CA138" s="195"/>
      <c r="CB138" s="195"/>
      <c r="CC138" s="195"/>
      <c r="CD138" s="195"/>
      <c r="CE138" s="195"/>
      <c r="CF138" s="195"/>
      <c r="CG138" s="195"/>
      <c r="CH138" s="195"/>
      <c r="CI138" s="195"/>
      <c r="CJ138" s="195"/>
      <c r="CK138" s="195"/>
      <c r="CL138" s="195"/>
      <c r="CM138" s="195"/>
      <c r="CN138" s="195"/>
      <c r="CO138" s="195"/>
      <c r="CP138" s="195"/>
      <c r="CQ138" s="195"/>
      <c r="CR138" s="195"/>
      <c r="CS138" s="195"/>
      <c r="CT138" s="195"/>
      <c r="CU138" s="195"/>
      <c r="CV138" s="195"/>
      <c r="CW138" s="195"/>
      <c r="CX138" s="195"/>
      <c r="CY138" s="195"/>
      <c r="CZ138" s="195"/>
      <c r="DA138" s="195"/>
      <c r="DB138" s="195"/>
      <c r="DC138" s="195"/>
      <c r="DD138" s="195"/>
      <c r="DE138" s="195"/>
      <c r="DF138" s="195"/>
      <c r="DG138" s="195"/>
      <c r="DH138" s="195"/>
    </row>
    <row r="139" spans="5:112" s="193" customFormat="1">
      <c r="E139" s="32"/>
      <c r="F139" s="32"/>
      <c r="G139" s="29"/>
      <c r="H139" s="25"/>
      <c r="I139" s="25"/>
      <c r="J139" s="25"/>
      <c r="K139" s="25"/>
      <c r="L139" s="29"/>
      <c r="M139" s="29"/>
      <c r="N139" s="28"/>
      <c r="O139" s="30"/>
      <c r="P139" s="30"/>
      <c r="Q139" s="30"/>
      <c r="R139" s="30"/>
      <c r="S139" s="30"/>
      <c r="T139" s="30"/>
      <c r="U139" s="30"/>
      <c r="V139" s="29"/>
      <c r="W139" s="28"/>
      <c r="X139" s="149"/>
      <c r="Y139" s="149"/>
      <c r="Z139" s="150"/>
      <c r="AA139" s="150"/>
      <c r="AB139" s="151"/>
      <c r="AC139" s="150"/>
      <c r="AD139" s="150"/>
      <c r="AE139" s="150"/>
      <c r="AF139" s="150"/>
      <c r="AG139" s="150"/>
      <c r="AH139" s="150"/>
      <c r="AI139" s="195"/>
      <c r="AJ139" s="195"/>
      <c r="AK139" s="195"/>
      <c r="AL139" s="195"/>
      <c r="AM139" s="195"/>
      <c r="AN139" s="195"/>
      <c r="AO139" s="195"/>
      <c r="AP139" s="195"/>
      <c r="AQ139" s="195"/>
      <c r="AR139" s="195"/>
      <c r="AS139" s="195"/>
      <c r="AT139" s="195"/>
      <c r="AU139" s="195"/>
      <c r="AV139" s="195"/>
      <c r="AW139" s="195"/>
      <c r="AX139" s="195"/>
      <c r="AY139" s="195"/>
      <c r="AZ139" s="195"/>
      <c r="BA139" s="195"/>
      <c r="BB139" s="195"/>
      <c r="BC139" s="195"/>
      <c r="BD139" s="195"/>
      <c r="BE139" s="195"/>
      <c r="BF139" s="195"/>
      <c r="BG139" s="195"/>
      <c r="BH139" s="195"/>
      <c r="BI139" s="195"/>
      <c r="BJ139" s="195"/>
      <c r="BK139" s="195"/>
      <c r="BL139" s="195"/>
      <c r="BM139" s="195"/>
      <c r="BN139" s="195"/>
      <c r="BO139" s="195"/>
      <c r="BP139" s="195"/>
      <c r="BQ139" s="195"/>
      <c r="BR139" s="195"/>
      <c r="BS139" s="195"/>
      <c r="BT139" s="195"/>
      <c r="BU139" s="195"/>
      <c r="BV139" s="195"/>
      <c r="BW139" s="195"/>
      <c r="BX139" s="195"/>
      <c r="BY139" s="195"/>
      <c r="BZ139" s="195"/>
      <c r="CA139" s="195"/>
      <c r="CB139" s="195"/>
      <c r="CC139" s="195"/>
      <c r="CD139" s="195"/>
      <c r="CE139" s="195"/>
      <c r="CF139" s="195"/>
      <c r="CG139" s="195"/>
      <c r="CH139" s="195"/>
      <c r="CI139" s="195"/>
      <c r="CJ139" s="195"/>
      <c r="CK139" s="195"/>
      <c r="CL139" s="195"/>
      <c r="CM139" s="195"/>
      <c r="CN139" s="195"/>
      <c r="CO139" s="195"/>
      <c r="CP139" s="195"/>
      <c r="CQ139" s="195"/>
      <c r="CR139" s="195"/>
      <c r="CS139" s="195"/>
      <c r="CT139" s="195"/>
      <c r="CU139" s="195"/>
      <c r="CV139" s="195"/>
      <c r="CW139" s="195"/>
      <c r="CX139" s="195"/>
      <c r="CY139" s="195"/>
      <c r="CZ139" s="195"/>
      <c r="DA139" s="195"/>
      <c r="DB139" s="195"/>
      <c r="DC139" s="195"/>
      <c r="DD139" s="195"/>
      <c r="DE139" s="195"/>
      <c r="DF139" s="195"/>
      <c r="DG139" s="195"/>
      <c r="DH139" s="195"/>
    </row>
    <row r="140" spans="5:112" s="193" customFormat="1">
      <c r="E140" s="32"/>
      <c r="F140" s="32"/>
      <c r="G140" s="29"/>
      <c r="H140" s="25"/>
      <c r="I140" s="25"/>
      <c r="J140" s="25"/>
      <c r="K140" s="25"/>
      <c r="L140" s="29"/>
      <c r="M140" s="29"/>
      <c r="N140" s="28"/>
      <c r="O140" s="30"/>
      <c r="P140" s="30"/>
      <c r="Q140" s="30"/>
      <c r="R140" s="30"/>
      <c r="S140" s="30"/>
      <c r="T140" s="30"/>
      <c r="U140" s="30"/>
      <c r="V140" s="29"/>
      <c r="W140" s="28"/>
      <c r="X140" s="149"/>
      <c r="Y140" s="149"/>
      <c r="Z140" s="150"/>
      <c r="AA140" s="150"/>
      <c r="AB140" s="151"/>
      <c r="AC140" s="150"/>
      <c r="AD140" s="150"/>
      <c r="AE140" s="150"/>
      <c r="AF140" s="150"/>
      <c r="AG140" s="150"/>
      <c r="AH140" s="150"/>
      <c r="AI140" s="195"/>
      <c r="AJ140" s="195"/>
      <c r="AK140" s="195"/>
      <c r="AL140" s="195"/>
      <c r="AM140" s="195"/>
      <c r="AN140" s="195"/>
      <c r="AO140" s="195"/>
      <c r="AP140" s="195"/>
      <c r="AQ140" s="195"/>
      <c r="AR140" s="195"/>
      <c r="AS140" s="195"/>
      <c r="AT140" s="195"/>
      <c r="AU140" s="195"/>
      <c r="AV140" s="195"/>
      <c r="AW140" s="195"/>
      <c r="AX140" s="195"/>
      <c r="AY140" s="195"/>
      <c r="AZ140" s="195"/>
      <c r="BA140" s="195"/>
      <c r="BB140" s="195"/>
      <c r="BC140" s="195"/>
      <c r="BD140" s="195"/>
      <c r="BE140" s="195"/>
      <c r="BF140" s="195"/>
      <c r="BG140" s="195"/>
      <c r="BH140" s="195"/>
      <c r="BI140" s="195"/>
      <c r="BJ140" s="195"/>
      <c r="BK140" s="195"/>
      <c r="BL140" s="195"/>
      <c r="BM140" s="195"/>
      <c r="BN140" s="195"/>
      <c r="BO140" s="195"/>
      <c r="BP140" s="195"/>
      <c r="BQ140" s="195"/>
      <c r="BR140" s="195"/>
      <c r="BS140" s="195"/>
      <c r="BT140" s="195"/>
      <c r="BU140" s="195"/>
      <c r="BV140" s="195"/>
      <c r="BW140" s="195"/>
      <c r="BX140" s="195"/>
      <c r="BY140" s="195"/>
      <c r="BZ140" s="195"/>
      <c r="CA140" s="195"/>
      <c r="CB140" s="195"/>
      <c r="CC140" s="195"/>
      <c r="CD140" s="195"/>
      <c r="CE140" s="195"/>
      <c r="CF140" s="195"/>
      <c r="CG140" s="195"/>
      <c r="CH140" s="195"/>
      <c r="CI140" s="195"/>
      <c r="CJ140" s="195"/>
      <c r="CK140" s="195"/>
      <c r="CL140" s="195"/>
      <c r="CM140" s="195"/>
      <c r="CN140" s="195"/>
      <c r="CO140" s="195"/>
      <c r="CP140" s="195"/>
      <c r="CQ140" s="195"/>
      <c r="CR140" s="195"/>
      <c r="CS140" s="195"/>
      <c r="CT140" s="195"/>
      <c r="CU140" s="195"/>
      <c r="CV140" s="195"/>
      <c r="CW140" s="195"/>
      <c r="CX140" s="195"/>
      <c r="CY140" s="195"/>
      <c r="CZ140" s="195"/>
      <c r="DA140" s="195"/>
      <c r="DB140" s="195"/>
      <c r="DC140" s="195"/>
      <c r="DD140" s="195"/>
      <c r="DE140" s="195"/>
      <c r="DF140" s="195"/>
      <c r="DG140" s="195"/>
      <c r="DH140" s="195"/>
    </row>
    <row r="141" spans="5:112" s="193" customFormat="1">
      <c r="E141" s="32"/>
      <c r="F141" s="32"/>
      <c r="G141" s="29"/>
      <c r="H141" s="25"/>
      <c r="I141" s="25"/>
      <c r="J141" s="25"/>
      <c r="K141" s="25"/>
      <c r="L141" s="29"/>
      <c r="M141" s="29"/>
      <c r="N141" s="28"/>
      <c r="O141" s="30"/>
      <c r="P141" s="30"/>
      <c r="Q141" s="30"/>
      <c r="R141" s="30"/>
      <c r="S141" s="30"/>
      <c r="T141" s="30"/>
      <c r="U141" s="30"/>
      <c r="V141" s="29"/>
      <c r="W141" s="28"/>
      <c r="X141" s="149"/>
      <c r="Y141" s="149"/>
      <c r="Z141" s="150"/>
      <c r="AA141" s="150"/>
      <c r="AB141" s="151"/>
      <c r="AC141" s="150"/>
      <c r="AD141" s="150"/>
      <c r="AE141" s="150"/>
      <c r="AF141" s="150"/>
      <c r="AG141" s="150"/>
      <c r="AH141" s="150"/>
      <c r="AI141" s="195"/>
      <c r="AJ141" s="195"/>
      <c r="AK141" s="195"/>
      <c r="AL141" s="195"/>
      <c r="AM141" s="195"/>
      <c r="AN141" s="195"/>
      <c r="AO141" s="195"/>
      <c r="AP141" s="195"/>
      <c r="AQ141" s="195"/>
      <c r="AR141" s="195"/>
      <c r="AS141" s="195"/>
      <c r="AT141" s="195"/>
      <c r="AU141" s="195"/>
      <c r="AV141" s="195"/>
      <c r="AW141" s="195"/>
      <c r="AX141" s="195"/>
      <c r="AY141" s="195"/>
      <c r="AZ141" s="195"/>
      <c r="BA141" s="195"/>
      <c r="BB141" s="195"/>
      <c r="BC141" s="195"/>
      <c r="BD141" s="195"/>
      <c r="BE141" s="195"/>
      <c r="BF141" s="195"/>
      <c r="BG141" s="195"/>
      <c r="BH141" s="195"/>
      <c r="BI141" s="195"/>
      <c r="BJ141" s="195"/>
      <c r="BK141" s="195"/>
      <c r="BL141" s="195"/>
      <c r="BM141" s="195"/>
      <c r="BN141" s="195"/>
      <c r="BO141" s="195"/>
      <c r="BP141" s="195"/>
      <c r="BQ141" s="195"/>
      <c r="BR141" s="195"/>
      <c r="BS141" s="195"/>
      <c r="BT141" s="195"/>
      <c r="BU141" s="195"/>
      <c r="BV141" s="195"/>
      <c r="BW141" s="195"/>
      <c r="BX141" s="195"/>
      <c r="BY141" s="195"/>
      <c r="BZ141" s="195"/>
      <c r="CA141" s="195"/>
      <c r="CB141" s="195"/>
      <c r="CC141" s="195"/>
      <c r="CD141" s="195"/>
      <c r="CE141" s="195"/>
      <c r="CF141" s="195"/>
      <c r="CG141" s="195"/>
      <c r="CH141" s="195"/>
      <c r="CI141" s="195"/>
      <c r="CJ141" s="195"/>
      <c r="CK141" s="195"/>
      <c r="CL141" s="195"/>
      <c r="CM141" s="195"/>
      <c r="CN141" s="195"/>
      <c r="CO141" s="195"/>
      <c r="CP141" s="195"/>
      <c r="CQ141" s="195"/>
      <c r="CR141" s="195"/>
      <c r="CS141" s="195"/>
      <c r="CT141" s="195"/>
      <c r="CU141" s="195"/>
      <c r="CV141" s="195"/>
      <c r="CW141" s="195"/>
      <c r="CX141" s="195"/>
      <c r="CY141" s="195"/>
      <c r="CZ141" s="195"/>
      <c r="DA141" s="195"/>
      <c r="DB141" s="195"/>
      <c r="DC141" s="195"/>
      <c r="DD141" s="195"/>
      <c r="DE141" s="195"/>
      <c r="DF141" s="195"/>
      <c r="DG141" s="195"/>
      <c r="DH141" s="195"/>
    </row>
    <row r="142" spans="5:112" s="193" customFormat="1">
      <c r="E142" s="32"/>
      <c r="F142" s="32"/>
      <c r="G142" s="29"/>
      <c r="H142" s="25"/>
      <c r="I142" s="25"/>
      <c r="J142" s="25"/>
      <c r="K142" s="25"/>
      <c r="L142" s="29"/>
      <c r="M142" s="29"/>
      <c r="N142" s="28"/>
      <c r="O142" s="30"/>
      <c r="P142" s="30"/>
      <c r="Q142" s="30"/>
      <c r="R142" s="30"/>
      <c r="S142" s="30"/>
      <c r="T142" s="30"/>
      <c r="U142" s="30"/>
      <c r="V142" s="29"/>
      <c r="W142" s="28"/>
      <c r="X142" s="149"/>
      <c r="Y142" s="149"/>
      <c r="Z142" s="150"/>
      <c r="AA142" s="150"/>
      <c r="AB142" s="151"/>
      <c r="AC142" s="150"/>
      <c r="AD142" s="150"/>
      <c r="AE142" s="150"/>
      <c r="AF142" s="150"/>
      <c r="AG142" s="150"/>
      <c r="AH142" s="150"/>
      <c r="AI142" s="195"/>
      <c r="AJ142" s="195"/>
      <c r="AK142" s="195"/>
      <c r="AL142" s="195"/>
      <c r="AM142" s="195"/>
      <c r="AN142" s="195"/>
      <c r="AO142" s="195"/>
      <c r="AP142" s="195"/>
      <c r="AQ142" s="195"/>
      <c r="AR142" s="195"/>
      <c r="AS142" s="195"/>
      <c r="AT142" s="195"/>
      <c r="AU142" s="195"/>
      <c r="AV142" s="195"/>
      <c r="AW142" s="195"/>
      <c r="AX142" s="195"/>
      <c r="AY142" s="195"/>
      <c r="AZ142" s="195"/>
      <c r="BA142" s="195"/>
      <c r="BB142" s="195"/>
      <c r="BC142" s="195"/>
      <c r="BD142" s="195"/>
      <c r="BE142" s="195"/>
      <c r="BF142" s="195"/>
      <c r="BG142" s="195"/>
      <c r="BH142" s="195"/>
      <c r="BI142" s="195"/>
      <c r="BJ142" s="195"/>
      <c r="BK142" s="195"/>
      <c r="BL142" s="195"/>
      <c r="BM142" s="195"/>
      <c r="BN142" s="195"/>
      <c r="BO142" s="195"/>
      <c r="BP142" s="195"/>
      <c r="BQ142" s="195"/>
      <c r="BR142" s="195"/>
      <c r="BS142" s="195"/>
      <c r="BT142" s="195"/>
      <c r="BU142" s="195"/>
      <c r="BV142" s="195"/>
      <c r="BW142" s="195"/>
      <c r="BX142" s="195"/>
      <c r="BY142" s="195"/>
      <c r="BZ142" s="195"/>
      <c r="CA142" s="195"/>
      <c r="CB142" s="195"/>
      <c r="CC142" s="195"/>
      <c r="CD142" s="195"/>
      <c r="CE142" s="195"/>
      <c r="CF142" s="195"/>
      <c r="CG142" s="195"/>
      <c r="CH142" s="195"/>
      <c r="CI142" s="195"/>
      <c r="CJ142" s="195"/>
      <c r="CK142" s="195"/>
      <c r="CL142" s="195"/>
      <c r="CM142" s="195"/>
      <c r="CN142" s="195"/>
      <c r="CO142" s="195"/>
      <c r="CP142" s="195"/>
      <c r="CQ142" s="195"/>
      <c r="CR142" s="195"/>
      <c r="CS142" s="195"/>
      <c r="CT142" s="195"/>
      <c r="CU142" s="195"/>
      <c r="CV142" s="195"/>
      <c r="CW142" s="195"/>
      <c r="CX142" s="195"/>
      <c r="CY142" s="195"/>
      <c r="CZ142" s="195"/>
      <c r="DA142" s="195"/>
      <c r="DB142" s="195"/>
      <c r="DC142" s="195"/>
      <c r="DD142" s="195"/>
      <c r="DE142" s="195"/>
      <c r="DF142" s="195"/>
      <c r="DG142" s="195"/>
      <c r="DH142" s="195"/>
    </row>
    <row r="143" spans="5:112" s="193" customFormat="1">
      <c r="E143" s="32"/>
      <c r="F143" s="32"/>
      <c r="G143" s="29"/>
      <c r="H143" s="25"/>
      <c r="I143" s="25"/>
      <c r="J143" s="25"/>
      <c r="K143" s="25"/>
      <c r="L143" s="29"/>
      <c r="M143" s="29"/>
      <c r="N143" s="28"/>
      <c r="O143" s="30"/>
      <c r="P143" s="30"/>
      <c r="Q143" s="30"/>
      <c r="R143" s="30"/>
      <c r="S143" s="30"/>
      <c r="T143" s="30"/>
      <c r="U143" s="30"/>
      <c r="V143" s="29"/>
      <c r="W143" s="28"/>
      <c r="X143" s="149"/>
      <c r="Y143" s="149"/>
      <c r="Z143" s="150"/>
      <c r="AA143" s="150"/>
      <c r="AB143" s="151"/>
      <c r="AC143" s="150"/>
      <c r="AD143" s="150"/>
      <c r="AE143" s="150"/>
      <c r="AF143" s="150"/>
      <c r="AG143" s="150"/>
      <c r="AH143" s="150"/>
      <c r="AI143" s="195"/>
      <c r="AJ143" s="195"/>
      <c r="AK143" s="195"/>
      <c r="AL143" s="195"/>
      <c r="AM143" s="195"/>
      <c r="AN143" s="195"/>
      <c r="AO143" s="195"/>
      <c r="AP143" s="195"/>
      <c r="AQ143" s="195"/>
      <c r="AR143" s="195"/>
      <c r="AS143" s="195"/>
      <c r="AT143" s="195"/>
      <c r="AU143" s="195"/>
      <c r="AV143" s="195"/>
      <c r="AW143" s="195"/>
      <c r="AX143" s="195"/>
      <c r="AY143" s="195"/>
      <c r="AZ143" s="195"/>
      <c r="BA143" s="195"/>
      <c r="BB143" s="195"/>
      <c r="BC143" s="195"/>
      <c r="BD143" s="195"/>
      <c r="BE143" s="195"/>
      <c r="BF143" s="195"/>
      <c r="BG143" s="195"/>
      <c r="BH143" s="195"/>
      <c r="BI143" s="195"/>
      <c r="BJ143" s="195"/>
      <c r="BK143" s="195"/>
      <c r="BL143" s="195"/>
      <c r="BM143" s="195"/>
      <c r="BN143" s="195"/>
      <c r="BO143" s="195"/>
      <c r="BP143" s="195"/>
      <c r="BQ143" s="195"/>
      <c r="BR143" s="195"/>
      <c r="BS143" s="195"/>
      <c r="BT143" s="195"/>
      <c r="BU143" s="195"/>
      <c r="BV143" s="195"/>
      <c r="BW143" s="195"/>
      <c r="BX143" s="195"/>
      <c r="BY143" s="195"/>
      <c r="BZ143" s="195"/>
      <c r="CA143" s="195"/>
      <c r="CB143" s="195"/>
      <c r="CC143" s="195"/>
      <c r="CD143" s="195"/>
      <c r="CE143" s="195"/>
      <c r="CF143" s="195"/>
      <c r="CG143" s="195"/>
      <c r="CH143" s="195"/>
      <c r="CI143" s="195"/>
      <c r="CJ143" s="195"/>
      <c r="CK143" s="195"/>
      <c r="CL143" s="195"/>
      <c r="CM143" s="195"/>
      <c r="CN143" s="195"/>
      <c r="CO143" s="195"/>
      <c r="CP143" s="195"/>
      <c r="CQ143" s="195"/>
      <c r="CR143" s="195"/>
      <c r="CS143" s="195"/>
      <c r="CT143" s="195"/>
      <c r="CU143" s="195"/>
      <c r="CV143" s="195"/>
      <c r="CW143" s="195"/>
      <c r="CX143" s="195"/>
      <c r="CY143" s="195"/>
      <c r="CZ143" s="195"/>
      <c r="DA143" s="195"/>
      <c r="DB143" s="195"/>
      <c r="DC143" s="195"/>
      <c r="DD143" s="195"/>
      <c r="DE143" s="195"/>
      <c r="DF143" s="195"/>
      <c r="DG143" s="195"/>
      <c r="DH143" s="195"/>
    </row>
    <row r="144" spans="5:112" s="193" customFormat="1">
      <c r="E144" s="32"/>
      <c r="F144" s="32"/>
      <c r="G144" s="29"/>
      <c r="H144" s="25"/>
      <c r="I144" s="25"/>
      <c r="J144" s="25"/>
      <c r="K144" s="25"/>
      <c r="L144" s="29"/>
      <c r="M144" s="29"/>
      <c r="N144" s="28"/>
      <c r="O144" s="30"/>
      <c r="P144" s="30"/>
      <c r="Q144" s="30"/>
      <c r="R144" s="30"/>
      <c r="S144" s="30"/>
      <c r="T144" s="30"/>
      <c r="U144" s="30"/>
      <c r="V144" s="29"/>
      <c r="W144" s="28"/>
      <c r="X144" s="149"/>
      <c r="Y144" s="149"/>
      <c r="Z144" s="150"/>
      <c r="AA144" s="150"/>
      <c r="AB144" s="151"/>
      <c r="AC144" s="150"/>
      <c r="AD144" s="150"/>
      <c r="AE144" s="150"/>
      <c r="AF144" s="150"/>
      <c r="AG144" s="150"/>
      <c r="AH144" s="150"/>
      <c r="AI144" s="195"/>
      <c r="AJ144" s="195"/>
      <c r="AK144" s="195"/>
      <c r="AL144" s="195"/>
      <c r="AM144" s="195"/>
      <c r="AN144" s="195"/>
      <c r="AO144" s="195"/>
      <c r="AP144" s="195"/>
      <c r="AQ144" s="195"/>
      <c r="AR144" s="195"/>
      <c r="AS144" s="195"/>
      <c r="AT144" s="195"/>
      <c r="AU144" s="195"/>
      <c r="AV144" s="195"/>
      <c r="AW144" s="195"/>
      <c r="AX144" s="195"/>
      <c r="AY144" s="195"/>
      <c r="AZ144" s="195"/>
      <c r="BA144" s="195"/>
      <c r="BB144" s="195"/>
      <c r="BC144" s="195"/>
      <c r="BD144" s="195"/>
      <c r="BE144" s="195"/>
      <c r="BF144" s="195"/>
      <c r="BG144" s="195"/>
      <c r="BH144" s="195"/>
      <c r="BI144" s="195"/>
      <c r="BJ144" s="195"/>
      <c r="BK144" s="195"/>
      <c r="BL144" s="195"/>
      <c r="BM144" s="195"/>
      <c r="BN144" s="195"/>
      <c r="BO144" s="195"/>
      <c r="BP144" s="195"/>
      <c r="BQ144" s="195"/>
      <c r="BR144" s="195"/>
      <c r="BS144" s="195"/>
      <c r="BT144" s="195"/>
      <c r="BU144" s="195"/>
      <c r="BV144" s="195"/>
      <c r="BW144" s="195"/>
      <c r="BX144" s="195"/>
      <c r="BY144" s="195"/>
      <c r="BZ144" s="195"/>
      <c r="CA144" s="195"/>
      <c r="CB144" s="195"/>
      <c r="CC144" s="195"/>
      <c r="CD144" s="195"/>
      <c r="CE144" s="195"/>
      <c r="CF144" s="195"/>
      <c r="CG144" s="195"/>
      <c r="CH144" s="195"/>
      <c r="CI144" s="195"/>
      <c r="CJ144" s="195"/>
      <c r="CK144" s="195"/>
      <c r="CL144" s="195"/>
      <c r="CM144" s="195"/>
      <c r="CN144" s="195"/>
      <c r="CO144" s="195"/>
      <c r="CP144" s="195"/>
      <c r="CQ144" s="195"/>
      <c r="CR144" s="195"/>
      <c r="CS144" s="195"/>
      <c r="CT144" s="195"/>
      <c r="CU144" s="195"/>
      <c r="CV144" s="195"/>
      <c r="CW144" s="195"/>
      <c r="CX144" s="195"/>
      <c r="CY144" s="195"/>
      <c r="CZ144" s="195"/>
      <c r="DA144" s="195"/>
      <c r="DB144" s="195"/>
      <c r="DC144" s="195"/>
      <c r="DD144" s="195"/>
      <c r="DE144" s="195"/>
      <c r="DF144" s="195"/>
      <c r="DG144" s="195"/>
      <c r="DH144" s="195"/>
    </row>
    <row r="145" spans="5:112" s="193" customFormat="1">
      <c r="E145" s="32"/>
      <c r="F145" s="32"/>
      <c r="G145" s="29"/>
      <c r="H145" s="25"/>
      <c r="I145" s="25"/>
      <c r="J145" s="25"/>
      <c r="K145" s="25"/>
      <c r="L145" s="29"/>
      <c r="M145" s="29"/>
      <c r="N145" s="28"/>
      <c r="O145" s="30"/>
      <c r="P145" s="30"/>
      <c r="Q145" s="30"/>
      <c r="R145" s="30"/>
      <c r="S145" s="30"/>
      <c r="T145" s="30"/>
      <c r="U145" s="30"/>
      <c r="V145" s="29"/>
      <c r="W145" s="28"/>
      <c r="X145" s="149"/>
      <c r="Y145" s="149"/>
      <c r="Z145" s="150"/>
      <c r="AA145" s="150"/>
      <c r="AB145" s="151"/>
      <c r="AC145" s="150"/>
      <c r="AD145" s="150"/>
      <c r="AE145" s="150"/>
      <c r="AF145" s="150"/>
      <c r="AG145" s="150"/>
      <c r="AH145" s="150"/>
      <c r="AI145" s="195"/>
      <c r="AJ145" s="195"/>
      <c r="AK145" s="195"/>
      <c r="AL145" s="195"/>
      <c r="AM145" s="195"/>
      <c r="AN145" s="195"/>
      <c r="AO145" s="195"/>
      <c r="AP145" s="195"/>
      <c r="AQ145" s="195"/>
      <c r="AR145" s="195"/>
      <c r="AS145" s="195"/>
      <c r="AT145" s="195"/>
      <c r="AU145" s="195"/>
      <c r="AV145" s="195"/>
      <c r="AW145" s="195"/>
      <c r="AX145" s="195"/>
      <c r="AY145" s="195"/>
      <c r="AZ145" s="195"/>
      <c r="BA145" s="195"/>
      <c r="BB145" s="195"/>
      <c r="BC145" s="195"/>
      <c r="BD145" s="195"/>
      <c r="BE145" s="195"/>
      <c r="BF145" s="195"/>
      <c r="BG145" s="195"/>
      <c r="BH145" s="195"/>
      <c r="BI145" s="195"/>
      <c r="BJ145" s="195"/>
      <c r="BK145" s="195"/>
      <c r="BL145" s="195"/>
      <c r="BM145" s="195"/>
      <c r="BN145" s="195"/>
      <c r="BO145" s="195"/>
      <c r="BP145" s="195"/>
      <c r="BQ145" s="195"/>
      <c r="BR145" s="195"/>
      <c r="BS145" s="195"/>
      <c r="BT145" s="195"/>
      <c r="BU145" s="195"/>
      <c r="BV145" s="195"/>
      <c r="BW145" s="195"/>
      <c r="BX145" s="195"/>
      <c r="BY145" s="195"/>
      <c r="BZ145" s="195"/>
      <c r="CA145" s="195"/>
      <c r="CB145" s="195"/>
      <c r="CC145" s="195"/>
      <c r="CD145" s="195"/>
      <c r="CE145" s="195"/>
      <c r="CF145" s="195"/>
      <c r="CG145" s="195"/>
      <c r="CH145" s="195"/>
      <c r="CI145" s="195"/>
      <c r="CJ145" s="195"/>
      <c r="CK145" s="195"/>
      <c r="CL145" s="195"/>
      <c r="CM145" s="195"/>
      <c r="CN145" s="195"/>
      <c r="CO145" s="195"/>
      <c r="CP145" s="195"/>
      <c r="CQ145" s="195"/>
      <c r="CR145" s="195"/>
      <c r="CS145" s="195"/>
      <c r="CT145" s="195"/>
      <c r="CU145" s="195"/>
      <c r="CV145" s="195"/>
      <c r="CW145" s="195"/>
      <c r="CX145" s="195"/>
      <c r="CY145" s="195"/>
      <c r="CZ145" s="195"/>
      <c r="DA145" s="195"/>
      <c r="DB145" s="195"/>
      <c r="DC145" s="195"/>
      <c r="DD145" s="195"/>
      <c r="DE145" s="195"/>
      <c r="DF145" s="195"/>
      <c r="DG145" s="195"/>
      <c r="DH145" s="195"/>
    </row>
    <row r="146" spans="5:112" s="193" customFormat="1">
      <c r="E146" s="32"/>
      <c r="F146" s="32"/>
      <c r="G146" s="29"/>
      <c r="H146" s="25"/>
      <c r="I146" s="25"/>
      <c r="J146" s="25"/>
      <c r="K146" s="25"/>
      <c r="L146" s="29"/>
      <c r="M146" s="29"/>
      <c r="N146" s="28"/>
      <c r="O146" s="30"/>
      <c r="P146" s="30"/>
      <c r="Q146" s="30"/>
      <c r="R146" s="30"/>
      <c r="S146" s="30"/>
      <c r="T146" s="30"/>
      <c r="U146" s="30"/>
      <c r="V146" s="29"/>
      <c r="W146" s="28"/>
      <c r="X146" s="149"/>
      <c r="Y146" s="149"/>
      <c r="Z146" s="150"/>
      <c r="AA146" s="150"/>
      <c r="AB146" s="151"/>
      <c r="AC146" s="150"/>
      <c r="AD146" s="150"/>
      <c r="AE146" s="150"/>
      <c r="AF146" s="150"/>
      <c r="AG146" s="150"/>
      <c r="AH146" s="150"/>
      <c r="AI146" s="195"/>
      <c r="AJ146" s="195"/>
      <c r="AK146" s="195"/>
      <c r="AL146" s="195"/>
      <c r="AM146" s="195"/>
      <c r="AN146" s="195"/>
      <c r="AO146" s="195"/>
      <c r="AP146" s="195"/>
      <c r="AQ146" s="195"/>
      <c r="AR146" s="195"/>
      <c r="AS146" s="195"/>
      <c r="AT146" s="195"/>
      <c r="AU146" s="195"/>
      <c r="AV146" s="195"/>
      <c r="AW146" s="195"/>
      <c r="AX146" s="195"/>
      <c r="AY146" s="195"/>
      <c r="AZ146" s="195"/>
      <c r="BA146" s="195"/>
      <c r="BB146" s="195"/>
      <c r="BC146" s="195"/>
      <c r="BD146" s="195"/>
      <c r="BE146" s="195"/>
      <c r="BF146" s="195"/>
      <c r="BG146" s="195"/>
      <c r="BH146" s="195"/>
      <c r="BI146" s="195"/>
      <c r="BJ146" s="195"/>
      <c r="BK146" s="195"/>
      <c r="BL146" s="195"/>
      <c r="BM146" s="195"/>
      <c r="BN146" s="195"/>
      <c r="BO146" s="195"/>
      <c r="BP146" s="195"/>
      <c r="BQ146" s="195"/>
      <c r="BR146" s="195"/>
      <c r="BS146" s="195"/>
      <c r="BT146" s="195"/>
      <c r="BU146" s="195"/>
      <c r="BV146" s="195"/>
      <c r="BW146" s="195"/>
      <c r="BX146" s="195"/>
      <c r="BY146" s="195"/>
      <c r="BZ146" s="195"/>
      <c r="CA146" s="195"/>
      <c r="CB146" s="195"/>
      <c r="CC146" s="195"/>
      <c r="CD146" s="195"/>
      <c r="CE146" s="195"/>
      <c r="CF146" s="195"/>
      <c r="CG146" s="195"/>
      <c r="CH146" s="195"/>
      <c r="CI146" s="195"/>
      <c r="CJ146" s="195"/>
      <c r="CK146" s="195"/>
      <c r="CL146" s="195"/>
      <c r="CM146" s="195"/>
      <c r="CN146" s="195"/>
      <c r="CO146" s="195"/>
      <c r="CP146" s="195"/>
      <c r="CQ146" s="195"/>
      <c r="CR146" s="195"/>
      <c r="CS146" s="195"/>
      <c r="CT146" s="195"/>
      <c r="CU146" s="195"/>
      <c r="CV146" s="195"/>
      <c r="CW146" s="195"/>
      <c r="CX146" s="195"/>
      <c r="CY146" s="195"/>
      <c r="CZ146" s="195"/>
      <c r="DA146" s="195"/>
      <c r="DB146" s="195"/>
      <c r="DC146" s="195"/>
      <c r="DD146" s="195"/>
      <c r="DE146" s="195"/>
      <c r="DF146" s="195"/>
      <c r="DG146" s="195"/>
      <c r="DH146" s="195"/>
    </row>
    <row r="147" spans="5:112" s="193" customFormat="1">
      <c r="E147" s="32"/>
      <c r="F147" s="32"/>
      <c r="G147" s="29"/>
      <c r="H147" s="25"/>
      <c r="I147" s="25"/>
      <c r="J147" s="25"/>
      <c r="K147" s="25"/>
      <c r="L147" s="29"/>
      <c r="M147" s="29"/>
      <c r="N147" s="28"/>
      <c r="O147" s="30"/>
      <c r="P147" s="30"/>
      <c r="Q147" s="30"/>
      <c r="R147" s="30"/>
      <c r="S147" s="30"/>
      <c r="T147" s="30"/>
      <c r="U147" s="30"/>
      <c r="V147" s="29"/>
      <c r="W147" s="28"/>
      <c r="X147" s="149"/>
      <c r="Y147" s="149"/>
      <c r="Z147" s="150"/>
      <c r="AA147" s="150"/>
      <c r="AB147" s="151"/>
      <c r="AC147" s="150"/>
      <c r="AD147" s="150"/>
      <c r="AE147" s="150"/>
      <c r="AF147" s="150"/>
      <c r="AG147" s="150"/>
      <c r="AH147" s="150"/>
      <c r="AI147" s="195"/>
      <c r="AJ147" s="195"/>
      <c r="AK147" s="195"/>
      <c r="AL147" s="195"/>
      <c r="AM147" s="195"/>
      <c r="AN147" s="195"/>
      <c r="AO147" s="195"/>
      <c r="AP147" s="195"/>
      <c r="AQ147" s="195"/>
      <c r="AR147" s="195"/>
      <c r="AS147" s="195"/>
      <c r="AT147" s="195"/>
      <c r="AU147" s="195"/>
      <c r="AV147" s="195"/>
      <c r="AW147" s="195"/>
      <c r="AX147" s="195"/>
      <c r="AY147" s="195"/>
      <c r="AZ147" s="195"/>
      <c r="BA147" s="195"/>
      <c r="BB147" s="195"/>
      <c r="BC147" s="195"/>
      <c r="BD147" s="195"/>
      <c r="BE147" s="195"/>
      <c r="BF147" s="195"/>
      <c r="BG147" s="195"/>
      <c r="BH147" s="195"/>
      <c r="BI147" s="195"/>
      <c r="BJ147" s="195"/>
      <c r="BK147" s="195"/>
      <c r="BL147" s="195"/>
      <c r="BM147" s="195"/>
      <c r="BN147" s="195"/>
      <c r="BO147" s="195"/>
      <c r="BP147" s="195"/>
      <c r="BQ147" s="195"/>
      <c r="BR147" s="195"/>
      <c r="BS147" s="195"/>
      <c r="BT147" s="195"/>
      <c r="BU147" s="195"/>
      <c r="BV147" s="195"/>
      <c r="BW147" s="195"/>
      <c r="BX147" s="195"/>
      <c r="BY147" s="195"/>
      <c r="BZ147" s="195"/>
      <c r="CA147" s="195"/>
      <c r="CB147" s="195"/>
      <c r="CC147" s="195"/>
      <c r="CD147" s="195"/>
      <c r="CE147" s="195"/>
      <c r="CF147" s="195"/>
      <c r="CG147" s="195"/>
      <c r="CH147" s="195"/>
      <c r="CI147" s="195"/>
      <c r="CJ147" s="195"/>
      <c r="CK147" s="195"/>
      <c r="CL147" s="195"/>
      <c r="CM147" s="195"/>
      <c r="CN147" s="195"/>
      <c r="CO147" s="195"/>
      <c r="CP147" s="195"/>
      <c r="CQ147" s="195"/>
      <c r="CR147" s="195"/>
      <c r="CS147" s="195"/>
      <c r="CT147" s="195"/>
      <c r="CU147" s="195"/>
      <c r="CV147" s="195"/>
      <c r="CW147" s="195"/>
      <c r="CX147" s="195"/>
      <c r="CY147" s="195"/>
      <c r="CZ147" s="195"/>
      <c r="DA147" s="195"/>
      <c r="DB147" s="195"/>
      <c r="DC147" s="195"/>
      <c r="DD147" s="195"/>
      <c r="DE147" s="195"/>
      <c r="DF147" s="195"/>
      <c r="DG147" s="195"/>
      <c r="DH147" s="195"/>
    </row>
    <row r="148" spans="5:112" s="193" customFormat="1">
      <c r="E148" s="32"/>
      <c r="F148" s="32"/>
      <c r="G148" s="29"/>
      <c r="H148" s="25"/>
      <c r="I148" s="25"/>
      <c r="J148" s="25"/>
      <c r="K148" s="25"/>
      <c r="L148" s="29"/>
      <c r="M148" s="29"/>
      <c r="N148" s="28"/>
      <c r="O148" s="30"/>
      <c r="P148" s="30"/>
      <c r="Q148" s="30"/>
      <c r="R148" s="30"/>
      <c r="S148" s="30"/>
      <c r="T148" s="30"/>
      <c r="U148" s="30"/>
      <c r="V148" s="29"/>
      <c r="W148" s="28"/>
      <c r="X148" s="149"/>
      <c r="Y148" s="149"/>
      <c r="Z148" s="150"/>
      <c r="AA148" s="150"/>
      <c r="AB148" s="151"/>
      <c r="AC148" s="150"/>
      <c r="AD148" s="150"/>
      <c r="AE148" s="150"/>
      <c r="AF148" s="150"/>
      <c r="AG148" s="150"/>
      <c r="AH148" s="150"/>
      <c r="AI148" s="195"/>
      <c r="AJ148" s="195"/>
      <c r="AK148" s="195"/>
      <c r="AL148" s="195"/>
      <c r="AM148" s="195"/>
      <c r="AN148" s="195"/>
      <c r="AO148" s="195"/>
      <c r="AP148" s="195"/>
      <c r="AQ148" s="195"/>
      <c r="AR148" s="195"/>
      <c r="AS148" s="195"/>
      <c r="AT148" s="195"/>
      <c r="AU148" s="195"/>
      <c r="AV148" s="195"/>
      <c r="AW148" s="195"/>
      <c r="AX148" s="195"/>
      <c r="AY148" s="195"/>
      <c r="AZ148" s="195"/>
      <c r="BA148" s="195"/>
      <c r="BB148" s="195"/>
      <c r="BC148" s="195"/>
      <c r="BD148" s="195"/>
      <c r="BE148" s="195"/>
      <c r="BF148" s="195"/>
      <c r="BG148" s="195"/>
      <c r="BH148" s="195"/>
      <c r="BI148" s="195"/>
      <c r="BJ148" s="195"/>
      <c r="BK148" s="195"/>
      <c r="BL148" s="195"/>
      <c r="BM148" s="195"/>
      <c r="BN148" s="195"/>
      <c r="BO148" s="195"/>
      <c r="BP148" s="195"/>
      <c r="BQ148" s="195"/>
      <c r="BR148" s="195"/>
      <c r="BS148" s="195"/>
      <c r="BT148" s="195"/>
      <c r="BU148" s="195"/>
      <c r="BV148" s="195"/>
      <c r="BW148" s="195"/>
      <c r="BX148" s="195"/>
      <c r="BY148" s="195"/>
      <c r="BZ148" s="195"/>
      <c r="CA148" s="195"/>
      <c r="CB148" s="195"/>
      <c r="CC148" s="195"/>
      <c r="CD148" s="195"/>
      <c r="CE148" s="195"/>
      <c r="CF148" s="195"/>
      <c r="CG148" s="195"/>
      <c r="CH148" s="195"/>
      <c r="CI148" s="195"/>
      <c r="CJ148" s="195"/>
      <c r="CK148" s="195"/>
      <c r="CL148" s="195"/>
      <c r="CM148" s="195"/>
      <c r="CN148" s="195"/>
      <c r="CO148" s="195"/>
      <c r="CP148" s="195"/>
      <c r="CQ148" s="195"/>
      <c r="CR148" s="195"/>
      <c r="CS148" s="195"/>
      <c r="CT148" s="195"/>
      <c r="CU148" s="195"/>
      <c r="CV148" s="195"/>
      <c r="CW148" s="195"/>
      <c r="CX148" s="195"/>
      <c r="CY148" s="195"/>
      <c r="CZ148" s="195"/>
      <c r="DA148" s="195"/>
      <c r="DB148" s="195"/>
      <c r="DC148" s="195"/>
      <c r="DD148" s="195"/>
      <c r="DE148" s="195"/>
      <c r="DF148" s="195"/>
      <c r="DG148" s="195"/>
      <c r="DH148" s="195"/>
    </row>
    <row r="149" spans="5:112" s="193" customFormat="1">
      <c r="E149" s="32"/>
      <c r="F149" s="32"/>
      <c r="G149" s="29"/>
      <c r="H149" s="25"/>
      <c r="I149" s="25"/>
      <c r="J149" s="25"/>
      <c r="K149" s="25"/>
      <c r="L149" s="29"/>
      <c r="M149" s="29"/>
      <c r="N149" s="28"/>
      <c r="O149" s="30"/>
      <c r="P149" s="30"/>
      <c r="Q149" s="30"/>
      <c r="R149" s="30"/>
      <c r="S149" s="30"/>
      <c r="T149" s="30"/>
      <c r="U149" s="30"/>
      <c r="V149" s="29"/>
      <c r="W149" s="28"/>
      <c r="X149" s="149"/>
      <c r="Y149" s="149"/>
      <c r="Z149" s="150"/>
      <c r="AA149" s="150"/>
      <c r="AB149" s="151"/>
      <c r="AC149" s="150"/>
      <c r="AD149" s="150"/>
      <c r="AE149" s="150"/>
      <c r="AF149" s="150"/>
      <c r="AG149" s="150"/>
      <c r="AH149" s="150"/>
      <c r="AI149" s="195"/>
      <c r="AJ149" s="195"/>
      <c r="AK149" s="195"/>
      <c r="AL149" s="195"/>
      <c r="AM149" s="195"/>
      <c r="AN149" s="195"/>
      <c r="AO149" s="195"/>
      <c r="AP149" s="195"/>
      <c r="AQ149" s="195"/>
      <c r="AR149" s="195"/>
      <c r="AS149" s="195"/>
      <c r="AT149" s="195"/>
      <c r="AU149" s="195"/>
      <c r="AV149" s="195"/>
      <c r="AW149" s="195"/>
      <c r="AX149" s="195"/>
      <c r="AY149" s="195"/>
      <c r="AZ149" s="195"/>
      <c r="BA149" s="195"/>
      <c r="BB149" s="195"/>
      <c r="BC149" s="195"/>
      <c r="BD149" s="195"/>
      <c r="BE149" s="195"/>
      <c r="BF149" s="195"/>
      <c r="BG149" s="195"/>
      <c r="BH149" s="195"/>
      <c r="BI149" s="195"/>
      <c r="BJ149" s="195"/>
      <c r="BK149" s="195"/>
      <c r="BL149" s="195"/>
      <c r="BM149" s="195"/>
      <c r="BN149" s="195"/>
      <c r="BO149" s="195"/>
      <c r="BP149" s="195"/>
      <c r="BQ149" s="195"/>
      <c r="BR149" s="195"/>
      <c r="BS149" s="195"/>
      <c r="BT149" s="195"/>
      <c r="BU149" s="195"/>
      <c r="BV149" s="195"/>
      <c r="BW149" s="195"/>
      <c r="BX149" s="195"/>
      <c r="BY149" s="195"/>
      <c r="BZ149" s="195"/>
      <c r="CA149" s="195"/>
      <c r="CB149" s="195"/>
      <c r="CC149" s="195"/>
      <c r="CD149" s="195"/>
      <c r="CE149" s="195"/>
      <c r="CF149" s="195"/>
      <c r="CG149" s="195"/>
      <c r="CH149" s="195"/>
      <c r="CI149" s="195"/>
      <c r="CJ149" s="195"/>
      <c r="CK149" s="195"/>
      <c r="CL149" s="195"/>
      <c r="CM149" s="195"/>
      <c r="CN149" s="195"/>
      <c r="CO149" s="195"/>
      <c r="CP149" s="195"/>
      <c r="CQ149" s="195"/>
      <c r="CR149" s="195"/>
      <c r="CS149" s="195"/>
      <c r="CT149" s="195"/>
      <c r="CU149" s="195"/>
      <c r="CV149" s="195"/>
      <c r="CW149" s="195"/>
      <c r="CX149" s="195"/>
      <c r="CY149" s="195"/>
      <c r="CZ149" s="195"/>
      <c r="DA149" s="195"/>
      <c r="DB149" s="195"/>
      <c r="DC149" s="195"/>
      <c r="DD149" s="195"/>
      <c r="DE149" s="195"/>
      <c r="DF149" s="195"/>
      <c r="DG149" s="195"/>
      <c r="DH149" s="195"/>
    </row>
    <row r="150" spans="5:112" s="193" customFormat="1">
      <c r="E150" s="32"/>
      <c r="F150" s="32"/>
      <c r="G150" s="29"/>
      <c r="H150" s="25"/>
      <c r="I150" s="25"/>
      <c r="J150" s="25"/>
      <c r="K150" s="25"/>
      <c r="L150" s="29"/>
      <c r="M150" s="29"/>
      <c r="N150" s="28"/>
      <c r="O150" s="30"/>
      <c r="P150" s="30"/>
      <c r="Q150" s="30"/>
      <c r="R150" s="30"/>
      <c r="S150" s="30"/>
      <c r="T150" s="30"/>
      <c r="U150" s="30"/>
      <c r="V150" s="29"/>
      <c r="W150" s="28"/>
      <c r="X150" s="149"/>
      <c r="Y150" s="149"/>
      <c r="Z150" s="150"/>
      <c r="AA150" s="150"/>
      <c r="AB150" s="151"/>
      <c r="AC150" s="150"/>
      <c r="AD150" s="150"/>
      <c r="AE150" s="150"/>
      <c r="AF150" s="150"/>
      <c r="AG150" s="150"/>
      <c r="AH150" s="150"/>
      <c r="AI150" s="195"/>
      <c r="AJ150" s="195"/>
      <c r="AK150" s="195"/>
      <c r="AL150" s="195"/>
      <c r="AM150" s="195"/>
      <c r="AN150" s="195"/>
      <c r="AO150" s="195"/>
      <c r="AP150" s="195"/>
      <c r="AQ150" s="195"/>
      <c r="AR150" s="195"/>
      <c r="AS150" s="195"/>
      <c r="AT150" s="195"/>
      <c r="AU150" s="195"/>
      <c r="AV150" s="195"/>
      <c r="AW150" s="195"/>
      <c r="AX150" s="195"/>
      <c r="AY150" s="195"/>
      <c r="AZ150" s="195"/>
      <c r="BA150" s="195"/>
      <c r="BB150" s="195"/>
      <c r="BC150" s="195"/>
      <c r="BD150" s="195"/>
      <c r="BE150" s="195"/>
      <c r="BF150" s="195"/>
      <c r="BG150" s="195"/>
      <c r="BH150" s="195"/>
      <c r="BI150" s="195"/>
      <c r="BJ150" s="195"/>
      <c r="BK150" s="195"/>
      <c r="BL150" s="195"/>
      <c r="BM150" s="195"/>
      <c r="BN150" s="195"/>
      <c r="BO150" s="195"/>
      <c r="BP150" s="195"/>
      <c r="BQ150" s="195"/>
      <c r="BR150" s="195"/>
      <c r="BS150" s="195"/>
      <c r="BT150" s="195"/>
      <c r="BU150" s="195"/>
      <c r="BV150" s="195"/>
      <c r="BW150" s="195"/>
      <c r="BX150" s="195"/>
      <c r="BY150" s="195"/>
      <c r="BZ150" s="195"/>
      <c r="CA150" s="195"/>
      <c r="CB150" s="195"/>
      <c r="CC150" s="195"/>
      <c r="CD150" s="195"/>
      <c r="CE150" s="195"/>
      <c r="CF150" s="195"/>
      <c r="CG150" s="195"/>
      <c r="CH150" s="195"/>
      <c r="CI150" s="195"/>
      <c r="CJ150" s="195"/>
      <c r="CK150" s="195"/>
      <c r="CL150" s="195"/>
      <c r="CM150" s="195"/>
      <c r="CN150" s="195"/>
      <c r="CO150" s="195"/>
      <c r="CP150" s="195"/>
      <c r="CQ150" s="195"/>
      <c r="CR150" s="195"/>
      <c r="CS150" s="195"/>
      <c r="CT150" s="195"/>
      <c r="CU150" s="195"/>
      <c r="CV150" s="195"/>
      <c r="CW150" s="195"/>
      <c r="CX150" s="195"/>
      <c r="CY150" s="195"/>
      <c r="CZ150" s="195"/>
      <c r="DA150" s="195"/>
      <c r="DB150" s="195"/>
      <c r="DC150" s="195"/>
      <c r="DD150" s="195"/>
      <c r="DE150" s="195"/>
      <c r="DF150" s="195"/>
      <c r="DG150" s="195"/>
      <c r="DH150" s="195"/>
    </row>
    <row r="151" spans="5:112" s="193" customFormat="1">
      <c r="E151" s="32"/>
      <c r="F151" s="32"/>
      <c r="G151" s="29"/>
      <c r="H151" s="25"/>
      <c r="I151" s="25"/>
      <c r="J151" s="25"/>
      <c r="K151" s="25"/>
      <c r="L151" s="29"/>
      <c r="M151" s="29"/>
      <c r="N151" s="28"/>
      <c r="O151" s="30"/>
      <c r="P151" s="30"/>
      <c r="Q151" s="30"/>
      <c r="R151" s="30"/>
      <c r="S151" s="30"/>
      <c r="T151" s="30"/>
      <c r="U151" s="30"/>
      <c r="V151" s="29"/>
      <c r="W151" s="28"/>
      <c r="X151" s="149"/>
      <c r="Y151" s="149"/>
      <c r="Z151" s="150"/>
      <c r="AA151" s="150"/>
      <c r="AB151" s="151"/>
      <c r="AC151" s="150"/>
      <c r="AD151" s="150"/>
      <c r="AE151" s="150"/>
      <c r="AF151" s="150"/>
      <c r="AG151" s="150"/>
      <c r="AH151" s="150"/>
      <c r="AI151" s="195"/>
      <c r="AJ151" s="195"/>
      <c r="AK151" s="195"/>
      <c r="AL151" s="195"/>
      <c r="AM151" s="195"/>
      <c r="AN151" s="195"/>
      <c r="AO151" s="195"/>
      <c r="AP151" s="195"/>
      <c r="AQ151" s="195"/>
      <c r="AR151" s="195"/>
      <c r="AS151" s="195"/>
      <c r="AT151" s="195"/>
      <c r="AU151" s="195"/>
      <c r="AV151" s="195"/>
      <c r="AW151" s="195"/>
      <c r="AX151" s="195"/>
      <c r="AY151" s="195"/>
      <c r="AZ151" s="195"/>
      <c r="BA151" s="195"/>
      <c r="BB151" s="195"/>
      <c r="BC151" s="195"/>
      <c r="BD151" s="195"/>
      <c r="BE151" s="195"/>
      <c r="BF151" s="195"/>
      <c r="BG151" s="195"/>
      <c r="BH151" s="195"/>
      <c r="BI151" s="195"/>
      <c r="BJ151" s="195"/>
      <c r="BK151" s="195"/>
      <c r="BL151" s="195"/>
      <c r="BM151" s="195"/>
      <c r="BN151" s="195"/>
      <c r="BO151" s="195"/>
      <c r="BP151" s="195"/>
      <c r="BQ151" s="195"/>
      <c r="BR151" s="195"/>
      <c r="BS151" s="195"/>
      <c r="BT151" s="195"/>
      <c r="BU151" s="195"/>
      <c r="BV151" s="195"/>
      <c r="BW151" s="195"/>
      <c r="BX151" s="195"/>
      <c r="BY151" s="195"/>
      <c r="BZ151" s="195"/>
      <c r="CA151" s="195"/>
      <c r="CB151" s="195"/>
      <c r="CC151" s="195"/>
      <c r="CD151" s="195"/>
      <c r="CE151" s="195"/>
      <c r="CF151" s="195"/>
      <c r="CG151" s="195"/>
      <c r="CH151" s="195"/>
      <c r="CI151" s="195"/>
      <c r="CJ151" s="195"/>
      <c r="CK151" s="195"/>
      <c r="CL151" s="195"/>
      <c r="CM151" s="195"/>
      <c r="CN151" s="195"/>
      <c r="CO151" s="195"/>
      <c r="CP151" s="195"/>
      <c r="CQ151" s="195"/>
      <c r="CR151" s="195"/>
      <c r="CS151" s="195"/>
      <c r="CT151" s="195"/>
      <c r="CU151" s="195"/>
      <c r="CV151" s="195"/>
      <c r="CW151" s="195"/>
      <c r="CX151" s="195"/>
      <c r="CY151" s="195"/>
      <c r="CZ151" s="195"/>
      <c r="DA151" s="195"/>
      <c r="DB151" s="195"/>
      <c r="DC151" s="195"/>
      <c r="DD151" s="195"/>
      <c r="DE151" s="195"/>
      <c r="DF151" s="195"/>
      <c r="DG151" s="195"/>
      <c r="DH151" s="195"/>
    </row>
    <row r="152" spans="5:112" s="193" customFormat="1">
      <c r="E152" s="32"/>
      <c r="F152" s="32"/>
      <c r="G152" s="29"/>
      <c r="H152" s="25"/>
      <c r="I152" s="25"/>
      <c r="J152" s="25"/>
      <c r="K152" s="25"/>
      <c r="L152" s="29"/>
      <c r="M152" s="29"/>
      <c r="N152" s="28"/>
      <c r="O152" s="30"/>
      <c r="P152" s="30"/>
      <c r="Q152" s="30"/>
      <c r="R152" s="30"/>
      <c r="S152" s="30"/>
      <c r="T152" s="30"/>
      <c r="U152" s="30"/>
      <c r="V152" s="29"/>
      <c r="W152" s="28"/>
      <c r="X152" s="149"/>
      <c r="Y152" s="149"/>
      <c r="Z152" s="150"/>
      <c r="AA152" s="150"/>
      <c r="AB152" s="151"/>
      <c r="AC152" s="150"/>
      <c r="AD152" s="150"/>
      <c r="AE152" s="150"/>
      <c r="AF152" s="150"/>
      <c r="AG152" s="150"/>
      <c r="AH152" s="150"/>
      <c r="AI152" s="195"/>
      <c r="AJ152" s="195"/>
      <c r="AK152" s="195"/>
      <c r="AL152" s="195"/>
      <c r="AM152" s="195"/>
      <c r="AN152" s="195"/>
      <c r="AO152" s="195"/>
      <c r="AP152" s="195"/>
      <c r="AQ152" s="195"/>
      <c r="AR152" s="195"/>
      <c r="AS152" s="195"/>
      <c r="AT152" s="195"/>
      <c r="AU152" s="195"/>
      <c r="AV152" s="195"/>
      <c r="AW152" s="195"/>
      <c r="AX152" s="195"/>
      <c r="AY152" s="195"/>
      <c r="AZ152" s="195"/>
      <c r="BA152" s="195"/>
      <c r="BB152" s="195"/>
      <c r="BC152" s="195"/>
      <c r="BD152" s="195"/>
      <c r="BE152" s="195"/>
      <c r="BF152" s="195"/>
      <c r="BG152" s="195"/>
      <c r="BH152" s="195"/>
      <c r="BI152" s="195"/>
      <c r="BJ152" s="195"/>
      <c r="BK152" s="195"/>
      <c r="BL152" s="195"/>
      <c r="BM152" s="195"/>
      <c r="BN152" s="195"/>
      <c r="BO152" s="195"/>
      <c r="BP152" s="195"/>
      <c r="BQ152" s="195"/>
      <c r="BR152" s="195"/>
      <c r="BS152" s="195"/>
      <c r="BT152" s="195"/>
      <c r="BU152" s="195"/>
      <c r="BV152" s="195"/>
      <c r="BW152" s="195"/>
      <c r="BX152" s="195"/>
      <c r="BY152" s="195"/>
      <c r="BZ152" s="195"/>
      <c r="CA152" s="195"/>
      <c r="CB152" s="195"/>
      <c r="CC152" s="195"/>
      <c r="CD152" s="195"/>
      <c r="CE152" s="195"/>
      <c r="CF152" s="195"/>
      <c r="CG152" s="195"/>
      <c r="CH152" s="195"/>
      <c r="CI152" s="195"/>
      <c r="CJ152" s="195"/>
      <c r="CK152" s="195"/>
      <c r="CL152" s="195"/>
      <c r="CM152" s="195"/>
      <c r="CN152" s="195"/>
      <c r="CO152" s="195"/>
      <c r="CP152" s="195"/>
      <c r="CQ152" s="195"/>
      <c r="CR152" s="195"/>
      <c r="CS152" s="195"/>
      <c r="CT152" s="195"/>
      <c r="CU152" s="195"/>
      <c r="CV152" s="195"/>
      <c r="CW152" s="195"/>
      <c r="CX152" s="195"/>
      <c r="CY152" s="195"/>
      <c r="CZ152" s="195"/>
      <c r="DA152" s="195"/>
      <c r="DB152" s="195"/>
      <c r="DC152" s="195"/>
      <c r="DD152" s="195"/>
      <c r="DE152" s="195"/>
      <c r="DF152" s="195"/>
      <c r="DG152" s="195"/>
      <c r="DH152" s="195"/>
    </row>
    <row r="153" spans="5:112" s="193" customFormat="1">
      <c r="E153" s="32"/>
      <c r="F153" s="32"/>
      <c r="G153" s="29"/>
      <c r="H153" s="25"/>
      <c r="I153" s="25"/>
      <c r="J153" s="25"/>
      <c r="K153" s="25"/>
      <c r="L153" s="29"/>
      <c r="M153" s="29"/>
      <c r="N153" s="28"/>
      <c r="O153" s="30"/>
      <c r="P153" s="30"/>
      <c r="Q153" s="30"/>
      <c r="R153" s="30"/>
      <c r="S153" s="30"/>
      <c r="T153" s="30"/>
      <c r="U153" s="30"/>
      <c r="V153" s="29"/>
      <c r="W153" s="28"/>
      <c r="X153" s="149"/>
      <c r="Y153" s="149"/>
      <c r="Z153" s="150"/>
      <c r="AA153" s="150"/>
      <c r="AB153" s="151"/>
      <c r="AC153" s="150"/>
      <c r="AD153" s="150"/>
      <c r="AE153" s="150"/>
      <c r="AF153" s="150"/>
      <c r="AG153" s="150"/>
      <c r="AH153" s="150"/>
      <c r="AI153" s="195"/>
      <c r="AJ153" s="195"/>
      <c r="AK153" s="195"/>
      <c r="AL153" s="195"/>
      <c r="AM153" s="195"/>
      <c r="AN153" s="195"/>
      <c r="AO153" s="195"/>
      <c r="AP153" s="195"/>
      <c r="AQ153" s="195"/>
      <c r="AR153" s="195"/>
      <c r="AS153" s="195"/>
      <c r="AT153" s="195"/>
      <c r="AU153" s="195"/>
      <c r="AV153" s="195"/>
      <c r="AW153" s="195"/>
      <c r="AX153" s="195"/>
      <c r="AY153" s="195"/>
      <c r="AZ153" s="195"/>
      <c r="BA153" s="195"/>
      <c r="BB153" s="195"/>
      <c r="BC153" s="195"/>
      <c r="BD153" s="195"/>
      <c r="BE153" s="195"/>
      <c r="BF153" s="195"/>
      <c r="BG153" s="195"/>
      <c r="BH153" s="195"/>
      <c r="BI153" s="195"/>
      <c r="BJ153" s="195"/>
      <c r="BK153" s="195"/>
      <c r="BL153" s="195"/>
      <c r="BM153" s="195"/>
      <c r="BN153" s="195"/>
      <c r="BO153" s="195"/>
      <c r="BP153" s="195"/>
      <c r="BQ153" s="195"/>
      <c r="BR153" s="195"/>
      <c r="BS153" s="195"/>
      <c r="BT153" s="195"/>
      <c r="BU153" s="195"/>
      <c r="BV153" s="195"/>
      <c r="BW153" s="195"/>
      <c r="BX153" s="195"/>
      <c r="BY153" s="195"/>
      <c r="BZ153" s="195"/>
      <c r="CA153" s="195"/>
      <c r="CB153" s="195"/>
      <c r="CC153" s="195"/>
      <c r="CD153" s="195"/>
      <c r="CE153" s="195"/>
      <c r="CF153" s="195"/>
      <c r="CG153" s="195"/>
      <c r="CH153" s="195"/>
      <c r="CI153" s="195"/>
      <c r="CJ153" s="195"/>
      <c r="CK153" s="195"/>
      <c r="CL153" s="195"/>
      <c r="CM153" s="195"/>
      <c r="CN153" s="195"/>
      <c r="CO153" s="195"/>
      <c r="CP153" s="195"/>
      <c r="CQ153" s="195"/>
      <c r="CR153" s="195"/>
      <c r="CS153" s="195"/>
      <c r="CT153" s="195"/>
      <c r="CU153" s="195"/>
      <c r="CV153" s="195"/>
      <c r="CW153" s="195"/>
      <c r="CX153" s="195"/>
      <c r="CY153" s="195"/>
      <c r="CZ153" s="195"/>
      <c r="DA153" s="195"/>
      <c r="DB153" s="195"/>
      <c r="DC153" s="195"/>
      <c r="DD153" s="195"/>
      <c r="DE153" s="195"/>
      <c r="DF153" s="195"/>
      <c r="DG153" s="195"/>
      <c r="DH153" s="195"/>
    </row>
    <row r="154" spans="5:112" s="193" customFormat="1">
      <c r="E154" s="32"/>
      <c r="F154" s="32"/>
      <c r="G154" s="29"/>
      <c r="H154" s="25"/>
      <c r="I154" s="25"/>
      <c r="J154" s="25"/>
      <c r="K154" s="25"/>
      <c r="L154" s="29"/>
      <c r="M154" s="29"/>
      <c r="N154" s="28"/>
      <c r="O154" s="30"/>
      <c r="P154" s="30"/>
      <c r="Q154" s="30"/>
      <c r="R154" s="30"/>
      <c r="S154" s="30"/>
      <c r="T154" s="30"/>
      <c r="U154" s="30"/>
      <c r="V154" s="29"/>
      <c r="W154" s="28"/>
      <c r="X154" s="149"/>
      <c r="Y154" s="149"/>
      <c r="Z154" s="150"/>
      <c r="AA154" s="150"/>
      <c r="AB154" s="151"/>
      <c r="AC154" s="150"/>
      <c r="AD154" s="150"/>
      <c r="AE154" s="150"/>
      <c r="AF154" s="150"/>
      <c r="AG154" s="150"/>
      <c r="AH154" s="150"/>
      <c r="AI154" s="195"/>
      <c r="AJ154" s="195"/>
      <c r="AK154" s="195"/>
      <c r="AL154" s="195"/>
      <c r="AM154" s="195"/>
      <c r="AN154" s="195"/>
      <c r="AO154" s="195"/>
      <c r="AP154" s="195"/>
      <c r="AQ154" s="195"/>
      <c r="AR154" s="195"/>
      <c r="AS154" s="195"/>
      <c r="AT154" s="195"/>
      <c r="AU154" s="195"/>
      <c r="AV154" s="195"/>
      <c r="AW154" s="195"/>
      <c r="AX154" s="195"/>
      <c r="AY154" s="195"/>
      <c r="AZ154" s="195"/>
      <c r="BA154" s="195"/>
      <c r="BB154" s="195"/>
      <c r="BC154" s="195"/>
      <c r="BD154" s="195"/>
      <c r="BE154" s="195"/>
      <c r="BF154" s="195"/>
      <c r="BG154" s="195"/>
      <c r="BH154" s="195"/>
      <c r="BI154" s="195"/>
      <c r="BJ154" s="195"/>
      <c r="BK154" s="195"/>
      <c r="BL154" s="195"/>
      <c r="BM154" s="195"/>
      <c r="BN154" s="195"/>
      <c r="BO154" s="195"/>
      <c r="BP154" s="195"/>
      <c r="BQ154" s="195"/>
      <c r="BR154" s="195"/>
      <c r="BS154" s="195"/>
      <c r="BT154" s="195"/>
      <c r="BU154" s="195"/>
      <c r="BV154" s="195"/>
      <c r="BW154" s="195"/>
      <c r="BX154" s="195"/>
      <c r="BY154" s="195"/>
      <c r="BZ154" s="195"/>
      <c r="CA154" s="195"/>
      <c r="CB154" s="195"/>
      <c r="CC154" s="195"/>
      <c r="CD154" s="195"/>
      <c r="CE154" s="195"/>
      <c r="CF154" s="195"/>
      <c r="CG154" s="195"/>
      <c r="CH154" s="195"/>
      <c r="CI154" s="195"/>
      <c r="CJ154" s="195"/>
      <c r="CK154" s="195"/>
      <c r="CL154" s="195"/>
      <c r="CM154" s="195"/>
      <c r="CN154" s="195"/>
      <c r="CO154" s="195"/>
      <c r="CP154" s="195"/>
      <c r="CQ154" s="195"/>
      <c r="CR154" s="195"/>
      <c r="CS154" s="195"/>
      <c r="CT154" s="195"/>
      <c r="CU154" s="195"/>
      <c r="CV154" s="195"/>
      <c r="CW154" s="195"/>
      <c r="CX154" s="195"/>
      <c r="CY154" s="195"/>
      <c r="CZ154" s="195"/>
      <c r="DA154" s="195"/>
      <c r="DB154" s="195"/>
      <c r="DC154" s="195"/>
      <c r="DD154" s="195"/>
      <c r="DE154" s="195"/>
      <c r="DF154" s="195"/>
      <c r="DG154" s="195"/>
      <c r="DH154" s="195"/>
    </row>
    <row r="155" spans="5:112" s="193" customFormat="1">
      <c r="E155" s="32"/>
      <c r="F155" s="32"/>
      <c r="G155" s="29"/>
      <c r="H155" s="25"/>
      <c r="I155" s="25"/>
      <c r="J155" s="25"/>
      <c r="K155" s="25"/>
      <c r="L155" s="29"/>
      <c r="M155" s="29"/>
      <c r="N155" s="28"/>
      <c r="O155" s="30"/>
      <c r="P155" s="30"/>
      <c r="Q155" s="30"/>
      <c r="R155" s="30"/>
      <c r="S155" s="30"/>
      <c r="T155" s="30"/>
      <c r="U155" s="30"/>
      <c r="V155" s="29"/>
      <c r="W155" s="28"/>
      <c r="X155" s="149"/>
      <c r="Y155" s="149"/>
      <c r="Z155" s="150"/>
      <c r="AA155" s="150"/>
      <c r="AB155" s="151"/>
      <c r="AC155" s="150"/>
      <c r="AD155" s="150"/>
      <c r="AE155" s="150"/>
      <c r="AF155" s="150"/>
      <c r="AG155" s="150"/>
      <c r="AH155" s="150"/>
      <c r="AI155" s="195"/>
      <c r="AJ155" s="195"/>
      <c r="AK155" s="195"/>
      <c r="AL155" s="195"/>
      <c r="AM155" s="195"/>
      <c r="AN155" s="195"/>
      <c r="AO155" s="195"/>
      <c r="AP155" s="195"/>
      <c r="AQ155" s="195"/>
      <c r="AR155" s="195"/>
      <c r="AS155" s="195"/>
      <c r="AT155" s="195"/>
      <c r="AU155" s="195"/>
      <c r="AV155" s="195"/>
      <c r="AW155" s="195"/>
      <c r="AX155" s="195"/>
      <c r="AY155" s="195"/>
      <c r="AZ155" s="195"/>
      <c r="BA155" s="195"/>
      <c r="BB155" s="195"/>
      <c r="BC155" s="195"/>
      <c r="BD155" s="195"/>
      <c r="BE155" s="195"/>
      <c r="BF155" s="195"/>
      <c r="BG155" s="195"/>
      <c r="BH155" s="195"/>
      <c r="BI155" s="195"/>
      <c r="BJ155" s="195"/>
      <c r="BK155" s="195"/>
      <c r="BL155" s="195"/>
      <c r="BM155" s="195"/>
      <c r="BN155" s="195"/>
      <c r="BO155" s="195"/>
      <c r="BP155" s="195"/>
      <c r="BQ155" s="195"/>
      <c r="BR155" s="195"/>
      <c r="BS155" s="195"/>
      <c r="BT155" s="195"/>
      <c r="BU155" s="195"/>
      <c r="BV155" s="195"/>
      <c r="BW155" s="195"/>
      <c r="BX155" s="195"/>
      <c r="BY155" s="195"/>
      <c r="BZ155" s="195"/>
      <c r="CA155" s="195"/>
      <c r="CB155" s="195"/>
      <c r="CC155" s="195"/>
      <c r="CD155" s="195"/>
      <c r="CE155" s="195"/>
      <c r="CF155" s="195"/>
      <c r="CG155" s="195"/>
      <c r="CH155" s="195"/>
      <c r="CI155" s="195"/>
      <c r="CJ155" s="195"/>
      <c r="CK155" s="195"/>
      <c r="CL155" s="195"/>
      <c r="CM155" s="195"/>
      <c r="CN155" s="195"/>
      <c r="CO155" s="195"/>
      <c r="CP155" s="195"/>
      <c r="CQ155" s="195"/>
      <c r="CR155" s="195"/>
      <c r="CS155" s="195"/>
      <c r="CT155" s="195"/>
      <c r="CU155" s="195"/>
      <c r="CV155" s="195"/>
      <c r="CW155" s="195"/>
      <c r="CX155" s="195"/>
      <c r="CY155" s="195"/>
      <c r="CZ155" s="195"/>
      <c r="DA155" s="195"/>
      <c r="DB155" s="195"/>
      <c r="DC155" s="195"/>
      <c r="DD155" s="195"/>
      <c r="DE155" s="195"/>
      <c r="DF155" s="195"/>
      <c r="DG155" s="195"/>
      <c r="DH155" s="195"/>
    </row>
    <row r="156" spans="5:112" s="193" customFormat="1">
      <c r="E156" s="32"/>
      <c r="F156" s="32"/>
      <c r="G156" s="29"/>
      <c r="H156" s="25"/>
      <c r="I156" s="25"/>
      <c r="J156" s="25"/>
      <c r="K156" s="25"/>
      <c r="L156" s="29"/>
      <c r="M156" s="29"/>
      <c r="N156" s="28"/>
      <c r="O156" s="30"/>
      <c r="P156" s="30"/>
      <c r="Q156" s="30"/>
      <c r="R156" s="30"/>
      <c r="S156" s="30"/>
      <c r="T156" s="30"/>
      <c r="U156" s="30"/>
      <c r="V156" s="29"/>
      <c r="W156" s="28"/>
      <c r="X156" s="149"/>
      <c r="Y156" s="149"/>
      <c r="Z156" s="150"/>
      <c r="AA156" s="150"/>
      <c r="AB156" s="151"/>
      <c r="AC156" s="150"/>
      <c r="AD156" s="150"/>
      <c r="AE156" s="150"/>
      <c r="AF156" s="150"/>
      <c r="AG156" s="150"/>
      <c r="AH156" s="150"/>
      <c r="AI156" s="195"/>
      <c r="AJ156" s="195"/>
      <c r="AK156" s="195"/>
      <c r="AL156" s="195"/>
      <c r="AM156" s="195"/>
      <c r="AN156" s="195"/>
      <c r="AO156" s="195"/>
      <c r="AP156" s="195"/>
      <c r="AQ156" s="195"/>
      <c r="AR156" s="195"/>
      <c r="AS156" s="195"/>
      <c r="AT156" s="195"/>
      <c r="AU156" s="195"/>
      <c r="AV156" s="195"/>
      <c r="AW156" s="195"/>
      <c r="AX156" s="195"/>
      <c r="AY156" s="195"/>
      <c r="AZ156" s="195"/>
      <c r="BA156" s="195"/>
      <c r="BB156" s="195"/>
      <c r="BC156" s="195"/>
      <c r="BD156" s="195"/>
      <c r="BE156" s="195"/>
      <c r="BF156" s="195"/>
      <c r="BG156" s="195"/>
      <c r="BH156" s="195"/>
      <c r="BI156" s="195"/>
      <c r="BJ156" s="195"/>
      <c r="BK156" s="195"/>
      <c r="BL156" s="195"/>
      <c r="BM156" s="195"/>
      <c r="BN156" s="195"/>
      <c r="BO156" s="195"/>
      <c r="BP156" s="195"/>
      <c r="BQ156" s="195"/>
      <c r="BR156" s="195"/>
      <c r="BS156" s="195"/>
      <c r="BT156" s="195"/>
      <c r="BU156" s="195"/>
      <c r="BV156" s="195"/>
      <c r="BW156" s="195"/>
      <c r="BX156" s="195"/>
      <c r="BY156" s="195"/>
      <c r="BZ156" s="195"/>
      <c r="CA156" s="195"/>
      <c r="CB156" s="195"/>
      <c r="CC156" s="195"/>
      <c r="CD156" s="195"/>
      <c r="CE156" s="195"/>
      <c r="CF156" s="195"/>
      <c r="CG156" s="195"/>
      <c r="CH156" s="195"/>
      <c r="CI156" s="195"/>
      <c r="CJ156" s="195"/>
      <c r="CK156" s="195"/>
      <c r="CL156" s="195"/>
      <c r="CM156" s="195"/>
      <c r="CN156" s="195"/>
      <c r="CO156" s="195"/>
      <c r="CP156" s="195"/>
      <c r="CQ156" s="195"/>
      <c r="CR156" s="195"/>
      <c r="CS156" s="195"/>
      <c r="CT156" s="195"/>
      <c r="CU156" s="195"/>
      <c r="CV156" s="195"/>
      <c r="CW156" s="195"/>
      <c r="CX156" s="195"/>
      <c r="CY156" s="195"/>
      <c r="CZ156" s="195"/>
      <c r="DA156" s="195"/>
      <c r="DB156" s="195"/>
      <c r="DC156" s="195"/>
      <c r="DD156" s="195"/>
      <c r="DE156" s="195"/>
      <c r="DF156" s="195"/>
      <c r="DG156" s="195"/>
      <c r="DH156" s="195"/>
    </row>
    <row r="157" spans="5:112" s="193" customFormat="1">
      <c r="E157" s="32"/>
      <c r="F157" s="32"/>
      <c r="G157" s="29"/>
      <c r="H157" s="25"/>
      <c r="I157" s="25"/>
      <c r="J157" s="25"/>
      <c r="K157" s="25"/>
      <c r="L157" s="29"/>
      <c r="M157" s="29"/>
      <c r="N157" s="28"/>
      <c r="O157" s="30"/>
      <c r="P157" s="30"/>
      <c r="Q157" s="30"/>
      <c r="R157" s="30"/>
      <c r="S157" s="30"/>
      <c r="T157" s="30"/>
      <c r="U157" s="30"/>
      <c r="V157" s="29"/>
      <c r="W157" s="28"/>
      <c r="X157" s="149"/>
      <c r="Y157" s="149"/>
      <c r="Z157" s="150"/>
      <c r="AA157" s="150"/>
      <c r="AB157" s="151"/>
      <c r="AC157" s="150"/>
      <c r="AD157" s="150"/>
      <c r="AE157" s="150"/>
      <c r="AF157" s="150"/>
      <c r="AG157" s="150"/>
      <c r="AH157" s="150"/>
      <c r="AI157" s="195"/>
      <c r="AJ157" s="195"/>
      <c r="AK157" s="195"/>
      <c r="AL157" s="195"/>
      <c r="AM157" s="195"/>
      <c r="AN157" s="195"/>
      <c r="AO157" s="195"/>
      <c r="AP157" s="195"/>
      <c r="AQ157" s="195"/>
      <c r="AR157" s="195"/>
      <c r="AS157" s="195"/>
      <c r="AT157" s="195"/>
      <c r="AU157" s="195"/>
      <c r="AV157" s="195"/>
      <c r="AW157" s="195"/>
      <c r="AX157" s="195"/>
      <c r="AY157" s="195"/>
      <c r="AZ157" s="195"/>
      <c r="BA157" s="195"/>
      <c r="BB157" s="195"/>
      <c r="BC157" s="195"/>
      <c r="BD157" s="195"/>
      <c r="BE157" s="195"/>
      <c r="BF157" s="195"/>
      <c r="BG157" s="195"/>
      <c r="BH157" s="195"/>
      <c r="BI157" s="195"/>
      <c r="BJ157" s="195"/>
      <c r="BK157" s="195"/>
      <c r="BL157" s="195"/>
      <c r="BM157" s="195"/>
      <c r="BN157" s="195"/>
      <c r="BO157" s="195"/>
      <c r="BP157" s="195"/>
      <c r="BQ157" s="195"/>
      <c r="BR157" s="195"/>
      <c r="BS157" s="195"/>
      <c r="BT157" s="195"/>
      <c r="BU157" s="195"/>
      <c r="BV157" s="195"/>
      <c r="BW157" s="195"/>
      <c r="BX157" s="195"/>
      <c r="BY157" s="195"/>
      <c r="BZ157" s="195"/>
      <c r="CA157" s="195"/>
      <c r="CB157" s="195"/>
      <c r="CC157" s="195"/>
      <c r="CD157" s="195"/>
      <c r="CE157" s="195"/>
      <c r="CF157" s="195"/>
      <c r="CG157" s="195"/>
      <c r="CH157" s="195"/>
      <c r="CI157" s="195"/>
      <c r="CJ157" s="195"/>
      <c r="CK157" s="195"/>
      <c r="CL157" s="195"/>
      <c r="CM157" s="195"/>
      <c r="CN157" s="195"/>
      <c r="CO157" s="195"/>
      <c r="CP157" s="195"/>
      <c r="CQ157" s="195"/>
      <c r="CR157" s="195"/>
      <c r="CS157" s="195"/>
      <c r="CT157" s="195"/>
      <c r="CU157" s="195"/>
      <c r="CV157" s="195"/>
      <c r="CW157" s="195"/>
      <c r="CX157" s="195"/>
      <c r="CY157" s="195"/>
      <c r="CZ157" s="195"/>
      <c r="DA157" s="195"/>
      <c r="DB157" s="195"/>
      <c r="DC157" s="195"/>
      <c r="DD157" s="195"/>
      <c r="DE157" s="195"/>
      <c r="DF157" s="195"/>
      <c r="DG157" s="195"/>
      <c r="DH157" s="195"/>
    </row>
    <row r="158" spans="5:112" s="193" customFormat="1">
      <c r="E158" s="32"/>
      <c r="F158" s="32"/>
      <c r="G158" s="29"/>
      <c r="H158" s="25"/>
      <c r="I158" s="25"/>
      <c r="J158" s="25"/>
      <c r="K158" s="25"/>
      <c r="L158" s="29"/>
      <c r="M158" s="29"/>
      <c r="N158" s="28"/>
      <c r="O158" s="30"/>
      <c r="P158" s="30"/>
      <c r="Q158" s="30"/>
      <c r="R158" s="30"/>
      <c r="S158" s="30"/>
      <c r="T158" s="30"/>
      <c r="U158" s="30"/>
      <c r="V158" s="29"/>
      <c r="W158" s="28"/>
      <c r="X158" s="149"/>
      <c r="Y158" s="149"/>
      <c r="Z158" s="150"/>
      <c r="AA158" s="150"/>
      <c r="AB158" s="151"/>
      <c r="AC158" s="150"/>
      <c r="AD158" s="150"/>
      <c r="AE158" s="150"/>
      <c r="AF158" s="150"/>
      <c r="AG158" s="150"/>
      <c r="AH158" s="150"/>
      <c r="AI158" s="195"/>
      <c r="AJ158" s="195"/>
      <c r="AK158" s="195"/>
      <c r="AL158" s="195"/>
      <c r="AM158" s="195"/>
      <c r="AN158" s="195"/>
      <c r="AO158" s="195"/>
      <c r="AP158" s="195"/>
      <c r="AQ158" s="195"/>
      <c r="AR158" s="195"/>
      <c r="AS158" s="195"/>
      <c r="AT158" s="195"/>
      <c r="AU158" s="195"/>
      <c r="AV158" s="195"/>
      <c r="AW158" s="195"/>
      <c r="AX158" s="195"/>
      <c r="AY158" s="195"/>
      <c r="AZ158" s="195"/>
      <c r="BA158" s="195"/>
      <c r="BB158" s="195"/>
      <c r="BC158" s="195"/>
      <c r="BD158" s="195"/>
      <c r="BE158" s="195"/>
      <c r="BF158" s="195"/>
      <c r="BG158" s="195"/>
      <c r="BH158" s="195"/>
      <c r="BI158" s="195"/>
      <c r="BJ158" s="195"/>
      <c r="BK158" s="195"/>
      <c r="BL158" s="195"/>
      <c r="BM158" s="195"/>
      <c r="BN158" s="195"/>
      <c r="BO158" s="195"/>
      <c r="BP158" s="195"/>
      <c r="BQ158" s="195"/>
      <c r="BR158" s="195"/>
      <c r="BS158" s="195"/>
      <c r="BT158" s="195"/>
      <c r="BU158" s="195"/>
      <c r="BV158" s="195"/>
      <c r="BW158" s="195"/>
      <c r="BX158" s="195"/>
      <c r="BY158" s="195"/>
      <c r="BZ158" s="195"/>
      <c r="CA158" s="195"/>
      <c r="CB158" s="195"/>
      <c r="CC158" s="195"/>
      <c r="CD158" s="195"/>
      <c r="CE158" s="195"/>
      <c r="CF158" s="195"/>
      <c r="CG158" s="195"/>
      <c r="CH158" s="195"/>
      <c r="CI158" s="195"/>
      <c r="CJ158" s="195"/>
      <c r="CK158" s="195"/>
      <c r="CL158" s="195"/>
      <c r="CM158" s="195"/>
      <c r="CN158" s="195"/>
      <c r="CO158" s="195"/>
      <c r="CP158" s="195"/>
      <c r="CQ158" s="195"/>
      <c r="CR158" s="195"/>
      <c r="CS158" s="195"/>
      <c r="CT158" s="195"/>
      <c r="CU158" s="195"/>
      <c r="CV158" s="195"/>
      <c r="CW158" s="195"/>
      <c r="CX158" s="195"/>
      <c r="CY158" s="195"/>
      <c r="CZ158" s="195"/>
      <c r="DA158" s="195"/>
      <c r="DB158" s="195"/>
      <c r="DC158" s="195"/>
      <c r="DD158" s="195"/>
      <c r="DE158" s="195"/>
      <c r="DF158" s="195"/>
      <c r="DG158" s="195"/>
      <c r="DH158" s="195"/>
    </row>
    <row r="159" spans="5:112" s="193" customFormat="1">
      <c r="E159" s="32"/>
      <c r="F159" s="32"/>
      <c r="G159" s="29"/>
      <c r="H159" s="25"/>
      <c r="I159" s="25"/>
      <c r="J159" s="25"/>
      <c r="K159" s="25"/>
      <c r="L159" s="29"/>
      <c r="M159" s="29"/>
      <c r="N159" s="28"/>
      <c r="O159" s="30"/>
      <c r="P159" s="30"/>
      <c r="Q159" s="30"/>
      <c r="R159" s="30"/>
      <c r="S159" s="30"/>
      <c r="T159" s="30"/>
      <c r="U159" s="30"/>
      <c r="V159" s="29"/>
      <c r="W159" s="28"/>
      <c r="X159" s="149"/>
      <c r="Y159" s="149"/>
      <c r="Z159" s="150"/>
      <c r="AA159" s="150"/>
      <c r="AB159" s="151"/>
      <c r="AC159" s="150"/>
      <c r="AD159" s="150"/>
      <c r="AE159" s="150"/>
      <c r="AF159" s="150"/>
      <c r="AG159" s="150"/>
      <c r="AH159" s="150"/>
      <c r="AI159" s="195"/>
      <c r="AJ159" s="195"/>
      <c r="AK159" s="195"/>
      <c r="AL159" s="195"/>
      <c r="AM159" s="195"/>
      <c r="AN159" s="195"/>
      <c r="AO159" s="195"/>
      <c r="AP159" s="195"/>
      <c r="AQ159" s="195"/>
      <c r="AR159" s="195"/>
      <c r="AS159" s="195"/>
      <c r="AT159" s="195"/>
      <c r="AU159" s="195"/>
      <c r="AV159" s="195"/>
      <c r="AW159" s="195"/>
      <c r="AX159" s="195"/>
      <c r="AY159" s="195"/>
      <c r="AZ159" s="195"/>
      <c r="BA159" s="195"/>
      <c r="BB159" s="195"/>
      <c r="BC159" s="195"/>
      <c r="BD159" s="195"/>
      <c r="BE159" s="195"/>
      <c r="BF159" s="195"/>
      <c r="BG159" s="195"/>
      <c r="BH159" s="195"/>
      <c r="BI159" s="195"/>
      <c r="BJ159" s="195"/>
      <c r="BK159" s="195"/>
      <c r="BL159" s="195"/>
      <c r="BM159" s="195"/>
      <c r="BN159" s="195"/>
      <c r="BO159" s="195"/>
      <c r="BP159" s="195"/>
      <c r="BQ159" s="195"/>
      <c r="BR159" s="195"/>
      <c r="BS159" s="195"/>
      <c r="BT159" s="195"/>
      <c r="BU159" s="195"/>
      <c r="BV159" s="195"/>
      <c r="BW159" s="195"/>
      <c r="BX159" s="195"/>
      <c r="BY159" s="195"/>
      <c r="BZ159" s="195"/>
      <c r="CA159" s="195"/>
      <c r="CB159" s="195"/>
      <c r="CC159" s="195"/>
      <c r="CD159" s="195"/>
      <c r="CE159" s="195"/>
      <c r="CF159" s="195"/>
      <c r="CG159" s="195"/>
      <c r="CH159" s="195"/>
      <c r="CI159" s="195"/>
      <c r="CJ159" s="195"/>
      <c r="CK159" s="195"/>
      <c r="CL159" s="195"/>
      <c r="CM159" s="195"/>
      <c r="CN159" s="195"/>
      <c r="CO159" s="195"/>
      <c r="CP159" s="195"/>
      <c r="CQ159" s="195"/>
      <c r="CR159" s="195"/>
      <c r="CS159" s="195"/>
      <c r="CT159" s="195"/>
      <c r="CU159" s="195"/>
      <c r="CV159" s="195"/>
      <c r="CW159" s="195"/>
      <c r="CX159" s="195"/>
      <c r="CY159" s="195"/>
      <c r="CZ159" s="195"/>
      <c r="DA159" s="195"/>
      <c r="DB159" s="195"/>
      <c r="DC159" s="195"/>
      <c r="DD159" s="195"/>
      <c r="DE159" s="195"/>
      <c r="DF159" s="195"/>
      <c r="DG159" s="195"/>
      <c r="DH159" s="195"/>
    </row>
    <row r="160" spans="5:112" s="193" customFormat="1">
      <c r="E160" s="32"/>
      <c r="F160" s="32"/>
      <c r="G160" s="29"/>
      <c r="H160" s="25"/>
      <c r="I160" s="25"/>
      <c r="J160" s="25"/>
      <c r="K160" s="25"/>
      <c r="L160" s="29"/>
      <c r="M160" s="29"/>
      <c r="N160" s="28"/>
      <c r="O160" s="30"/>
      <c r="P160" s="30"/>
      <c r="Q160" s="30"/>
      <c r="R160" s="30"/>
      <c r="S160" s="30"/>
      <c r="T160" s="30"/>
      <c r="U160" s="30"/>
      <c r="V160" s="29"/>
      <c r="W160" s="28"/>
      <c r="X160" s="149"/>
      <c r="Y160" s="149"/>
      <c r="Z160" s="150"/>
      <c r="AA160" s="150"/>
      <c r="AB160" s="151"/>
      <c r="AC160" s="150"/>
      <c r="AD160" s="150"/>
      <c r="AE160" s="150"/>
      <c r="AF160" s="150"/>
      <c r="AG160" s="150"/>
      <c r="AH160" s="150"/>
      <c r="AI160" s="195"/>
      <c r="AJ160" s="195"/>
      <c r="AK160" s="195"/>
      <c r="AL160" s="195"/>
      <c r="AM160" s="195"/>
      <c r="AN160" s="195"/>
      <c r="AO160" s="195"/>
      <c r="AP160" s="195"/>
      <c r="AQ160" s="195"/>
      <c r="AR160" s="195"/>
      <c r="AS160" s="195"/>
      <c r="AT160" s="195"/>
      <c r="AU160" s="195"/>
      <c r="AV160" s="195"/>
      <c r="AW160" s="195"/>
      <c r="AX160" s="195"/>
      <c r="AY160" s="195"/>
      <c r="AZ160" s="195"/>
      <c r="BA160" s="195"/>
      <c r="BB160" s="195"/>
      <c r="BC160" s="195"/>
      <c r="BD160" s="195"/>
      <c r="BE160" s="195"/>
      <c r="BF160" s="195"/>
      <c r="BG160" s="195"/>
      <c r="BH160" s="195"/>
      <c r="BI160" s="195"/>
      <c r="BJ160" s="195"/>
      <c r="BK160" s="195"/>
      <c r="BL160" s="195"/>
      <c r="BM160" s="195"/>
      <c r="BN160" s="195"/>
      <c r="BO160" s="195"/>
      <c r="BP160" s="195"/>
      <c r="BQ160" s="195"/>
      <c r="BR160" s="195"/>
      <c r="BS160" s="195"/>
      <c r="BT160" s="195"/>
      <c r="BU160" s="195"/>
      <c r="BV160" s="195"/>
      <c r="BW160" s="195"/>
      <c r="BX160" s="195"/>
      <c r="BY160" s="195"/>
      <c r="BZ160" s="195"/>
      <c r="CA160" s="195"/>
      <c r="CB160" s="195"/>
      <c r="CC160" s="195"/>
      <c r="CD160" s="195"/>
      <c r="CE160" s="195"/>
      <c r="CF160" s="195"/>
      <c r="CG160" s="195"/>
      <c r="CH160" s="195"/>
      <c r="CI160" s="195"/>
      <c r="CJ160" s="195"/>
      <c r="CK160" s="195"/>
      <c r="CL160" s="195"/>
      <c r="CM160" s="195"/>
      <c r="CN160" s="195"/>
      <c r="CO160" s="195"/>
      <c r="CP160" s="195"/>
      <c r="CQ160" s="195"/>
      <c r="CR160" s="195"/>
      <c r="CS160" s="195"/>
      <c r="CT160" s="195"/>
      <c r="CU160" s="195"/>
      <c r="CV160" s="195"/>
      <c r="CW160" s="195"/>
      <c r="CX160" s="195"/>
      <c r="CY160" s="195"/>
      <c r="CZ160" s="195"/>
      <c r="DA160" s="195"/>
      <c r="DB160" s="195"/>
      <c r="DC160" s="195"/>
      <c r="DD160" s="195"/>
      <c r="DE160" s="195"/>
      <c r="DF160" s="195"/>
      <c r="DG160" s="195"/>
      <c r="DH160" s="195"/>
    </row>
    <row r="161" spans="5:112" s="193" customFormat="1">
      <c r="E161" s="32"/>
      <c r="F161" s="32"/>
      <c r="G161" s="29"/>
      <c r="H161" s="25"/>
      <c r="I161" s="25"/>
      <c r="J161" s="25"/>
      <c r="K161" s="25"/>
      <c r="L161" s="29"/>
      <c r="M161" s="29"/>
      <c r="N161" s="28"/>
      <c r="O161" s="30"/>
      <c r="P161" s="30"/>
      <c r="Q161" s="30"/>
      <c r="R161" s="30"/>
      <c r="S161" s="30"/>
      <c r="T161" s="30"/>
      <c r="U161" s="30"/>
      <c r="V161" s="29"/>
      <c r="W161" s="28"/>
      <c r="X161" s="149"/>
      <c r="Y161" s="149"/>
      <c r="Z161" s="150"/>
      <c r="AA161" s="150"/>
      <c r="AB161" s="151"/>
      <c r="AC161" s="150"/>
      <c r="AD161" s="150"/>
      <c r="AE161" s="150"/>
      <c r="AF161" s="150"/>
      <c r="AG161" s="150"/>
      <c r="AH161" s="150"/>
      <c r="AI161" s="195"/>
      <c r="AJ161" s="195"/>
      <c r="AK161" s="195"/>
      <c r="AL161" s="195"/>
      <c r="AM161" s="195"/>
      <c r="AN161" s="195"/>
      <c r="AO161" s="195"/>
      <c r="AP161" s="195"/>
      <c r="AQ161" s="195"/>
      <c r="AR161" s="195"/>
      <c r="AS161" s="195"/>
      <c r="AT161" s="195"/>
      <c r="AU161" s="195"/>
      <c r="AV161" s="195"/>
      <c r="AW161" s="195"/>
      <c r="AX161" s="195"/>
      <c r="AY161" s="195"/>
      <c r="AZ161" s="195"/>
      <c r="BA161" s="195"/>
      <c r="BB161" s="195"/>
      <c r="BC161" s="195"/>
      <c r="BD161" s="195"/>
      <c r="BE161" s="195"/>
      <c r="BF161" s="195"/>
      <c r="BG161" s="195"/>
      <c r="BH161" s="195"/>
      <c r="BI161" s="195"/>
      <c r="BJ161" s="195"/>
      <c r="BK161" s="195"/>
      <c r="BL161" s="195"/>
      <c r="BM161" s="195"/>
      <c r="BN161" s="195"/>
      <c r="BO161" s="195"/>
      <c r="BP161" s="195"/>
      <c r="BQ161" s="195"/>
      <c r="BR161" s="195"/>
      <c r="BS161" s="195"/>
      <c r="BT161" s="195"/>
      <c r="BU161" s="195"/>
      <c r="BV161" s="195"/>
      <c r="BW161" s="195"/>
      <c r="BX161" s="195"/>
      <c r="BY161" s="195"/>
      <c r="BZ161" s="195"/>
      <c r="CA161" s="195"/>
      <c r="CB161" s="195"/>
      <c r="CC161" s="195"/>
      <c r="CD161" s="195"/>
      <c r="CE161" s="195"/>
      <c r="CF161" s="195"/>
      <c r="CG161" s="195"/>
      <c r="CH161" s="195"/>
      <c r="CI161" s="195"/>
      <c r="CJ161" s="195"/>
      <c r="CK161" s="195"/>
      <c r="CL161" s="195"/>
      <c r="CM161" s="195"/>
      <c r="CN161" s="195"/>
      <c r="CO161" s="195"/>
      <c r="CP161" s="195"/>
      <c r="CQ161" s="195"/>
      <c r="CR161" s="195"/>
      <c r="CS161" s="195"/>
      <c r="CT161" s="195"/>
      <c r="CU161" s="195"/>
      <c r="CV161" s="195"/>
      <c r="CW161" s="195"/>
      <c r="CX161" s="195"/>
      <c r="CY161" s="195"/>
      <c r="CZ161" s="195"/>
      <c r="DA161" s="195"/>
      <c r="DB161" s="195"/>
      <c r="DC161" s="195"/>
      <c r="DD161" s="195"/>
      <c r="DE161" s="195"/>
      <c r="DF161" s="195"/>
      <c r="DG161" s="195"/>
      <c r="DH161" s="195"/>
    </row>
    <row r="162" spans="5:112" s="193" customFormat="1">
      <c r="E162" s="32"/>
      <c r="F162" s="32"/>
      <c r="G162" s="29"/>
      <c r="H162" s="25"/>
      <c r="I162" s="25"/>
      <c r="J162" s="25"/>
      <c r="K162" s="25"/>
      <c r="L162" s="29"/>
      <c r="M162" s="29"/>
      <c r="N162" s="28"/>
      <c r="O162" s="30"/>
      <c r="P162" s="30"/>
      <c r="Q162" s="30"/>
      <c r="R162" s="30"/>
      <c r="S162" s="30"/>
      <c r="T162" s="30"/>
      <c r="U162" s="30"/>
      <c r="V162" s="29"/>
      <c r="W162" s="28"/>
      <c r="X162" s="149"/>
      <c r="Y162" s="149"/>
      <c r="Z162" s="150"/>
      <c r="AA162" s="150"/>
      <c r="AB162" s="151"/>
      <c r="AC162" s="150"/>
      <c r="AD162" s="150"/>
      <c r="AE162" s="150"/>
      <c r="AF162" s="150"/>
      <c r="AG162" s="150"/>
      <c r="AH162" s="150"/>
      <c r="AI162" s="195"/>
      <c r="AJ162" s="195"/>
      <c r="AK162" s="195"/>
      <c r="AL162" s="195"/>
      <c r="AM162" s="195"/>
      <c r="AN162" s="195"/>
      <c r="AO162" s="195"/>
      <c r="AP162" s="195"/>
      <c r="AQ162" s="195"/>
      <c r="AR162" s="195"/>
      <c r="AS162" s="195"/>
      <c r="AT162" s="195"/>
      <c r="AU162" s="195"/>
      <c r="AV162" s="195"/>
      <c r="AW162" s="195"/>
      <c r="AX162" s="195"/>
      <c r="AY162" s="195"/>
      <c r="AZ162" s="195"/>
      <c r="BA162" s="195"/>
      <c r="BB162" s="195"/>
      <c r="BC162" s="195"/>
      <c r="BD162" s="195"/>
      <c r="BE162" s="195"/>
      <c r="BF162" s="195"/>
      <c r="BG162" s="195"/>
      <c r="BH162" s="195"/>
      <c r="BI162" s="195"/>
      <c r="BJ162" s="195"/>
      <c r="BK162" s="195"/>
      <c r="BL162" s="195"/>
      <c r="BM162" s="195"/>
      <c r="BN162" s="195"/>
      <c r="BO162" s="195"/>
      <c r="BP162" s="195"/>
      <c r="BQ162" s="195"/>
      <c r="BR162" s="195"/>
      <c r="BS162" s="195"/>
      <c r="BT162" s="195"/>
      <c r="BU162" s="195"/>
      <c r="BV162" s="195"/>
      <c r="BW162" s="195"/>
      <c r="BX162" s="195"/>
      <c r="BY162" s="195"/>
      <c r="BZ162" s="195"/>
      <c r="CA162" s="195"/>
      <c r="CB162" s="195"/>
      <c r="CC162" s="195"/>
      <c r="CD162" s="195"/>
      <c r="CE162" s="195"/>
      <c r="CF162" s="195"/>
      <c r="CG162" s="195"/>
      <c r="CH162" s="195"/>
      <c r="CI162" s="195"/>
      <c r="CJ162" s="195"/>
      <c r="CK162" s="195"/>
      <c r="CL162" s="195"/>
      <c r="CM162" s="195"/>
      <c r="CN162" s="195"/>
      <c r="CO162" s="195"/>
      <c r="CP162" s="195"/>
      <c r="CQ162" s="195"/>
      <c r="CR162" s="195"/>
      <c r="CS162" s="195"/>
      <c r="CT162" s="195"/>
      <c r="CU162" s="195"/>
      <c r="CV162" s="195"/>
      <c r="CW162" s="195"/>
      <c r="CX162" s="195"/>
      <c r="CY162" s="195"/>
      <c r="CZ162" s="195"/>
      <c r="DA162" s="195"/>
      <c r="DB162" s="195"/>
      <c r="DC162" s="195"/>
      <c r="DD162" s="195"/>
      <c r="DE162" s="195"/>
      <c r="DF162" s="195"/>
      <c r="DG162" s="195"/>
      <c r="DH162" s="195"/>
    </row>
    <row r="163" spans="5:112" s="193" customFormat="1">
      <c r="E163" s="32"/>
      <c r="F163" s="32"/>
      <c r="G163" s="29"/>
      <c r="H163" s="25"/>
      <c r="I163" s="25"/>
      <c r="J163" s="25"/>
      <c r="K163" s="25"/>
      <c r="L163" s="29"/>
      <c r="M163" s="29"/>
      <c r="N163" s="28"/>
      <c r="O163" s="30"/>
      <c r="P163" s="30"/>
      <c r="Q163" s="30"/>
      <c r="R163" s="30"/>
      <c r="S163" s="30"/>
      <c r="T163" s="30"/>
      <c r="U163" s="30"/>
      <c r="V163" s="29"/>
      <c r="W163" s="28"/>
      <c r="X163" s="149"/>
      <c r="Y163" s="149"/>
      <c r="Z163" s="150"/>
      <c r="AA163" s="150"/>
      <c r="AB163" s="151"/>
      <c r="AC163" s="150"/>
      <c r="AD163" s="150"/>
      <c r="AE163" s="150"/>
      <c r="AF163" s="150"/>
      <c r="AG163" s="150"/>
      <c r="AH163" s="150"/>
      <c r="AI163" s="195"/>
      <c r="AJ163" s="195"/>
      <c r="AK163" s="195"/>
      <c r="AL163" s="195"/>
      <c r="AM163" s="195"/>
      <c r="AN163" s="195"/>
      <c r="AO163" s="195"/>
      <c r="AP163" s="195"/>
      <c r="AQ163" s="195"/>
      <c r="AR163" s="195"/>
      <c r="AS163" s="195"/>
      <c r="AT163" s="195"/>
      <c r="AU163" s="195"/>
      <c r="AV163" s="195"/>
      <c r="AW163" s="195"/>
      <c r="AX163" s="195"/>
      <c r="AY163" s="195"/>
      <c r="AZ163" s="195"/>
      <c r="BA163" s="195"/>
      <c r="BB163" s="195"/>
      <c r="BC163" s="195"/>
      <c r="BD163" s="195"/>
      <c r="BE163" s="195"/>
      <c r="BF163" s="195"/>
      <c r="BG163" s="195"/>
      <c r="BH163" s="195"/>
      <c r="BI163" s="195"/>
      <c r="BJ163" s="195"/>
      <c r="BK163" s="195"/>
      <c r="BL163" s="195"/>
      <c r="BM163" s="195"/>
      <c r="BN163" s="195"/>
      <c r="BO163" s="195"/>
      <c r="BP163" s="195"/>
      <c r="BQ163" s="195"/>
      <c r="BR163" s="195"/>
      <c r="BS163" s="195"/>
      <c r="BT163" s="195"/>
      <c r="BU163" s="195"/>
      <c r="BV163" s="195"/>
      <c r="BW163" s="195"/>
      <c r="BX163" s="195"/>
      <c r="BY163" s="195"/>
      <c r="BZ163" s="195"/>
      <c r="CA163" s="195"/>
      <c r="CB163" s="195"/>
      <c r="CC163" s="195"/>
      <c r="CD163" s="195"/>
      <c r="CE163" s="195"/>
      <c r="CF163" s="195"/>
      <c r="CG163" s="195"/>
      <c r="CH163" s="195"/>
      <c r="CI163" s="195"/>
      <c r="CJ163" s="195"/>
      <c r="CK163" s="195"/>
      <c r="CL163" s="195"/>
      <c r="CM163" s="195"/>
      <c r="CN163" s="195"/>
      <c r="CO163" s="195"/>
      <c r="CP163" s="195"/>
      <c r="CQ163" s="195"/>
      <c r="CR163" s="195"/>
      <c r="CS163" s="195"/>
      <c r="CT163" s="195"/>
      <c r="CU163" s="195"/>
      <c r="CV163" s="195"/>
      <c r="CW163" s="195"/>
      <c r="CX163" s="195"/>
      <c r="CY163" s="195"/>
      <c r="CZ163" s="195"/>
      <c r="DA163" s="195"/>
      <c r="DB163" s="195"/>
      <c r="DC163" s="195"/>
      <c r="DD163" s="195"/>
      <c r="DE163" s="195"/>
      <c r="DF163" s="195"/>
      <c r="DG163" s="195"/>
      <c r="DH163" s="195"/>
    </row>
    <row r="164" spans="5:112" s="193" customFormat="1">
      <c r="E164" s="32"/>
      <c r="F164" s="32"/>
      <c r="G164" s="29"/>
      <c r="H164" s="25"/>
      <c r="I164" s="25"/>
      <c r="J164" s="25"/>
      <c r="K164" s="25"/>
      <c r="L164" s="29"/>
      <c r="M164" s="29"/>
      <c r="N164" s="28"/>
      <c r="O164" s="30"/>
      <c r="P164" s="30"/>
      <c r="Q164" s="30"/>
      <c r="R164" s="30"/>
      <c r="S164" s="30"/>
      <c r="T164" s="30"/>
      <c r="U164" s="30"/>
      <c r="V164" s="29"/>
      <c r="W164" s="28"/>
      <c r="X164" s="149"/>
      <c r="Y164" s="149"/>
      <c r="Z164" s="150"/>
      <c r="AA164" s="150"/>
      <c r="AB164" s="151"/>
      <c r="AC164" s="150"/>
      <c r="AD164" s="150"/>
      <c r="AE164" s="150"/>
      <c r="AF164" s="150"/>
      <c r="AG164" s="150"/>
      <c r="AH164" s="150"/>
      <c r="AI164" s="195"/>
      <c r="AJ164" s="195"/>
      <c r="AK164" s="195"/>
      <c r="AL164" s="195"/>
      <c r="AM164" s="195"/>
      <c r="AN164" s="195"/>
      <c r="AO164" s="195"/>
      <c r="AP164" s="195"/>
      <c r="AQ164" s="195"/>
      <c r="AR164" s="195"/>
      <c r="AS164" s="195"/>
      <c r="AT164" s="195"/>
      <c r="AU164" s="195"/>
      <c r="AV164" s="195"/>
      <c r="AW164" s="195"/>
      <c r="AX164" s="195"/>
      <c r="AY164" s="195"/>
      <c r="AZ164" s="195"/>
      <c r="BA164" s="195"/>
      <c r="BB164" s="195"/>
      <c r="BC164" s="195"/>
      <c r="BD164" s="195"/>
      <c r="BE164" s="195"/>
      <c r="BF164" s="195"/>
      <c r="BG164" s="195"/>
      <c r="BH164" s="195"/>
      <c r="BI164" s="195"/>
      <c r="BJ164" s="195"/>
      <c r="BK164" s="195"/>
      <c r="BL164" s="195"/>
      <c r="BM164" s="195"/>
      <c r="BN164" s="195"/>
      <c r="BO164" s="195"/>
      <c r="BP164" s="195"/>
      <c r="BQ164" s="195"/>
      <c r="BR164" s="195"/>
      <c r="BS164" s="195"/>
      <c r="BT164" s="195"/>
      <c r="BU164" s="195"/>
      <c r="BV164" s="195"/>
      <c r="BW164" s="195"/>
      <c r="BX164" s="195"/>
      <c r="BY164" s="195"/>
      <c r="BZ164" s="195"/>
      <c r="CA164" s="195"/>
      <c r="CB164" s="195"/>
      <c r="CC164" s="195"/>
      <c r="CD164" s="195"/>
      <c r="CE164" s="195"/>
      <c r="CF164" s="195"/>
      <c r="CG164" s="195"/>
      <c r="CH164" s="195"/>
      <c r="CI164" s="195"/>
      <c r="CJ164" s="195"/>
      <c r="CK164" s="195"/>
      <c r="CL164" s="195"/>
      <c r="CM164" s="195"/>
      <c r="CN164" s="195"/>
      <c r="CO164" s="195"/>
      <c r="CP164" s="195"/>
      <c r="CQ164" s="195"/>
      <c r="CR164" s="195"/>
      <c r="CS164" s="195"/>
      <c r="CT164" s="195"/>
      <c r="CU164" s="195"/>
      <c r="CV164" s="195"/>
      <c r="CW164" s="195"/>
      <c r="CX164" s="195"/>
      <c r="CY164" s="195"/>
      <c r="CZ164" s="195"/>
      <c r="DA164" s="195"/>
      <c r="DB164" s="195"/>
      <c r="DC164" s="195"/>
      <c r="DD164" s="195"/>
      <c r="DE164" s="195"/>
      <c r="DF164" s="195"/>
      <c r="DG164" s="195"/>
      <c r="DH164" s="195"/>
    </row>
    <row r="165" spans="5:112" s="193" customFormat="1">
      <c r="E165" s="32"/>
      <c r="F165" s="32"/>
      <c r="G165" s="29"/>
      <c r="H165" s="25"/>
      <c r="I165" s="25"/>
      <c r="J165" s="25"/>
      <c r="K165" s="25"/>
      <c r="L165" s="29"/>
      <c r="M165" s="29"/>
      <c r="N165" s="28"/>
      <c r="O165" s="30"/>
      <c r="P165" s="30"/>
      <c r="Q165" s="30"/>
      <c r="R165" s="30"/>
      <c r="S165" s="30"/>
      <c r="T165" s="30"/>
      <c r="U165" s="30"/>
      <c r="V165" s="29"/>
      <c r="W165" s="28"/>
      <c r="X165" s="149"/>
      <c r="Y165" s="149"/>
      <c r="Z165" s="150"/>
      <c r="AA165" s="150"/>
      <c r="AB165" s="151"/>
      <c r="AC165" s="150"/>
      <c r="AD165" s="150"/>
      <c r="AE165" s="150"/>
      <c r="AF165" s="150"/>
      <c r="AG165" s="150"/>
      <c r="AH165" s="150"/>
      <c r="AI165" s="195"/>
      <c r="AJ165" s="195"/>
      <c r="AK165" s="195"/>
      <c r="AL165" s="195"/>
      <c r="AM165" s="195"/>
      <c r="AN165" s="195"/>
      <c r="AO165" s="195"/>
      <c r="AP165" s="195"/>
      <c r="AQ165" s="195"/>
      <c r="AR165" s="195"/>
      <c r="AS165" s="195"/>
      <c r="AT165" s="195"/>
      <c r="AU165" s="195"/>
      <c r="AV165" s="195"/>
      <c r="AW165" s="195"/>
      <c r="AX165" s="195"/>
      <c r="AY165" s="195"/>
      <c r="AZ165" s="195"/>
      <c r="BA165" s="195"/>
      <c r="BB165" s="195"/>
      <c r="BC165" s="195"/>
      <c r="BD165" s="195"/>
      <c r="BE165" s="195"/>
      <c r="BF165" s="195"/>
      <c r="BG165" s="195"/>
      <c r="BH165" s="195"/>
      <c r="BI165" s="195"/>
      <c r="BJ165" s="195"/>
      <c r="BK165" s="195"/>
      <c r="BL165" s="195"/>
      <c r="BM165" s="195"/>
      <c r="BN165" s="195"/>
      <c r="BO165" s="195"/>
      <c r="BP165" s="195"/>
      <c r="BQ165" s="195"/>
      <c r="BR165" s="195"/>
      <c r="BS165" s="195"/>
      <c r="BT165" s="195"/>
      <c r="BU165" s="195"/>
      <c r="BV165" s="195"/>
      <c r="BW165" s="195"/>
      <c r="BX165" s="195"/>
      <c r="BY165" s="195"/>
      <c r="BZ165" s="195"/>
      <c r="CA165" s="195"/>
      <c r="CB165" s="195"/>
      <c r="CC165" s="195"/>
      <c r="CD165" s="195"/>
      <c r="CE165" s="195"/>
      <c r="CF165" s="195"/>
      <c r="CG165" s="195"/>
      <c r="CH165" s="195"/>
      <c r="CI165" s="195"/>
      <c r="CJ165" s="195"/>
      <c r="CK165" s="195"/>
      <c r="CL165" s="195"/>
      <c r="CM165" s="195"/>
      <c r="CN165" s="195"/>
      <c r="CO165" s="195"/>
      <c r="CP165" s="195"/>
      <c r="CQ165" s="195"/>
      <c r="CR165" s="195"/>
      <c r="CS165" s="195"/>
      <c r="CT165" s="195"/>
      <c r="CU165" s="195"/>
      <c r="CV165" s="195"/>
      <c r="CW165" s="195"/>
      <c r="CX165" s="195"/>
      <c r="CY165" s="195"/>
      <c r="CZ165" s="195"/>
      <c r="DA165" s="195"/>
      <c r="DB165" s="195"/>
      <c r="DC165" s="195"/>
      <c r="DD165" s="195"/>
      <c r="DE165" s="195"/>
      <c r="DF165" s="195"/>
      <c r="DG165" s="195"/>
      <c r="DH165" s="195"/>
    </row>
    <row r="166" spans="5:112" s="193" customFormat="1">
      <c r="E166" s="32"/>
      <c r="F166" s="32"/>
      <c r="G166" s="29"/>
      <c r="H166" s="25"/>
      <c r="I166" s="25"/>
      <c r="J166" s="25"/>
      <c r="K166" s="25"/>
      <c r="L166" s="29"/>
      <c r="M166" s="29"/>
      <c r="N166" s="28"/>
      <c r="O166" s="30"/>
      <c r="P166" s="30"/>
      <c r="Q166" s="30"/>
      <c r="R166" s="30"/>
      <c r="S166" s="30"/>
      <c r="T166" s="30"/>
      <c r="U166" s="30"/>
      <c r="V166" s="29"/>
      <c r="W166" s="28"/>
      <c r="X166" s="149"/>
      <c r="Y166" s="149"/>
      <c r="Z166" s="150"/>
      <c r="AA166" s="150"/>
      <c r="AB166" s="151"/>
      <c r="AC166" s="150"/>
      <c r="AD166" s="150"/>
      <c r="AE166" s="150"/>
      <c r="AF166" s="150"/>
      <c r="AG166" s="150"/>
      <c r="AH166" s="150"/>
      <c r="AI166" s="195"/>
      <c r="AJ166" s="195"/>
      <c r="AK166" s="195"/>
      <c r="AL166" s="195"/>
      <c r="AM166" s="195"/>
      <c r="AN166" s="195"/>
      <c r="AO166" s="195"/>
      <c r="AP166" s="195"/>
      <c r="AQ166" s="195"/>
      <c r="AR166" s="195"/>
      <c r="AS166" s="195"/>
      <c r="AT166" s="195"/>
      <c r="AU166" s="195"/>
      <c r="AV166" s="195"/>
      <c r="AW166" s="195"/>
      <c r="AX166" s="195"/>
      <c r="AY166" s="195"/>
      <c r="AZ166" s="195"/>
      <c r="BA166" s="195"/>
      <c r="BB166" s="195"/>
      <c r="BC166" s="195"/>
      <c r="BD166" s="195"/>
      <c r="BE166" s="195"/>
      <c r="BF166" s="195"/>
      <c r="BG166" s="195"/>
      <c r="BH166" s="195"/>
      <c r="BI166" s="195"/>
      <c r="BJ166" s="195"/>
      <c r="BK166" s="195"/>
      <c r="BL166" s="195"/>
      <c r="BM166" s="195"/>
      <c r="BN166" s="195"/>
      <c r="BO166" s="195"/>
      <c r="BP166" s="195"/>
      <c r="BQ166" s="195"/>
      <c r="BR166" s="195"/>
      <c r="BS166" s="195"/>
      <c r="BT166" s="195"/>
      <c r="BU166" s="195"/>
      <c r="BV166" s="195"/>
      <c r="BW166" s="195"/>
      <c r="BX166" s="195"/>
      <c r="BY166" s="195"/>
      <c r="BZ166" s="195"/>
      <c r="CA166" s="195"/>
      <c r="CB166" s="195"/>
      <c r="CC166" s="195"/>
      <c r="CD166" s="195"/>
      <c r="CE166" s="195"/>
      <c r="CF166" s="195"/>
      <c r="CG166" s="195"/>
      <c r="CH166" s="195"/>
      <c r="CI166" s="195"/>
      <c r="CJ166" s="195"/>
      <c r="CK166" s="195"/>
      <c r="CL166" s="195"/>
      <c r="CM166" s="195"/>
      <c r="CN166" s="195"/>
      <c r="CO166" s="195"/>
      <c r="CP166" s="195"/>
      <c r="CQ166" s="195"/>
      <c r="CR166" s="195"/>
      <c r="CS166" s="195"/>
      <c r="CT166" s="195"/>
      <c r="CU166" s="195"/>
      <c r="CV166" s="195"/>
      <c r="CW166" s="195"/>
      <c r="CX166" s="195"/>
      <c r="CY166" s="195"/>
      <c r="CZ166" s="195"/>
      <c r="DA166" s="195"/>
      <c r="DB166" s="195"/>
      <c r="DC166" s="195"/>
      <c r="DD166" s="195"/>
      <c r="DE166" s="195"/>
      <c r="DF166" s="195"/>
      <c r="DG166" s="195"/>
      <c r="DH166" s="195"/>
    </row>
    <row r="167" spans="5:112" s="193" customFormat="1">
      <c r="E167" s="32"/>
      <c r="F167" s="32"/>
      <c r="G167" s="29"/>
      <c r="H167" s="25"/>
      <c r="I167" s="25"/>
      <c r="J167" s="25"/>
      <c r="K167" s="25"/>
      <c r="L167" s="29"/>
      <c r="M167" s="29"/>
      <c r="N167" s="28"/>
      <c r="O167" s="30"/>
      <c r="P167" s="30"/>
      <c r="Q167" s="30"/>
      <c r="R167" s="30"/>
      <c r="S167" s="30"/>
      <c r="T167" s="30"/>
      <c r="U167" s="30"/>
      <c r="V167" s="29"/>
      <c r="W167" s="28"/>
      <c r="X167" s="149"/>
      <c r="Y167" s="149"/>
      <c r="Z167" s="150"/>
      <c r="AA167" s="150"/>
      <c r="AB167" s="151"/>
      <c r="AC167" s="150"/>
      <c r="AD167" s="150"/>
      <c r="AE167" s="150"/>
      <c r="AF167" s="150"/>
      <c r="AG167" s="150"/>
      <c r="AH167" s="150"/>
      <c r="AI167" s="195"/>
      <c r="AJ167" s="195"/>
      <c r="AK167" s="195"/>
      <c r="AL167" s="195"/>
      <c r="AM167" s="195"/>
      <c r="AN167" s="195"/>
      <c r="AO167" s="195"/>
      <c r="AP167" s="195"/>
      <c r="AQ167" s="195"/>
      <c r="AR167" s="195"/>
      <c r="AS167" s="195"/>
      <c r="AT167" s="195"/>
      <c r="AU167" s="195"/>
      <c r="AV167" s="195"/>
      <c r="AW167" s="195"/>
      <c r="AX167" s="195"/>
      <c r="AY167" s="195"/>
      <c r="AZ167" s="195"/>
      <c r="BA167" s="195"/>
      <c r="BB167" s="195"/>
      <c r="BC167" s="195"/>
      <c r="BD167" s="195"/>
      <c r="BE167" s="195"/>
      <c r="BF167" s="195"/>
      <c r="BG167" s="195"/>
      <c r="BH167" s="195"/>
      <c r="BI167" s="195"/>
      <c r="BJ167" s="195"/>
      <c r="BK167" s="195"/>
      <c r="BL167" s="195"/>
      <c r="BM167" s="195"/>
      <c r="BN167" s="195"/>
      <c r="BO167" s="195"/>
      <c r="BP167" s="195"/>
      <c r="BQ167" s="195"/>
      <c r="BR167" s="195"/>
      <c r="BS167" s="195"/>
      <c r="BT167" s="195"/>
      <c r="BU167" s="195"/>
      <c r="BV167" s="195"/>
      <c r="BW167" s="195"/>
      <c r="BX167" s="195"/>
      <c r="BY167" s="195"/>
      <c r="BZ167" s="195"/>
      <c r="CA167" s="195"/>
      <c r="CB167" s="195"/>
      <c r="CC167" s="195"/>
      <c r="CD167" s="195"/>
      <c r="CE167" s="195"/>
      <c r="CF167" s="195"/>
      <c r="CG167" s="195"/>
      <c r="CH167" s="195"/>
      <c r="CI167" s="195"/>
      <c r="CJ167" s="195"/>
      <c r="CK167" s="195"/>
      <c r="CL167" s="195"/>
      <c r="CM167" s="195"/>
      <c r="CN167" s="195"/>
      <c r="CO167" s="195"/>
      <c r="CP167" s="195"/>
      <c r="CQ167" s="195"/>
      <c r="CR167" s="195"/>
      <c r="CS167" s="195"/>
      <c r="CT167" s="195"/>
      <c r="CU167" s="195"/>
      <c r="CV167" s="195"/>
      <c r="CW167" s="195"/>
      <c r="CX167" s="195"/>
      <c r="CY167" s="195"/>
      <c r="CZ167" s="195"/>
      <c r="DA167" s="195"/>
      <c r="DB167" s="195"/>
      <c r="DC167" s="195"/>
      <c r="DD167" s="195"/>
      <c r="DE167" s="195"/>
      <c r="DF167" s="195"/>
      <c r="DG167" s="195"/>
      <c r="DH167" s="195"/>
    </row>
    <row r="168" spans="5:112" s="193" customFormat="1">
      <c r="E168" s="32"/>
      <c r="F168" s="32"/>
      <c r="G168" s="29"/>
      <c r="H168" s="25"/>
      <c r="I168" s="25"/>
      <c r="J168" s="25"/>
      <c r="K168" s="25"/>
      <c r="L168" s="29"/>
      <c r="M168" s="29"/>
      <c r="N168" s="28"/>
      <c r="O168" s="30"/>
      <c r="P168" s="30"/>
      <c r="Q168" s="30"/>
      <c r="R168" s="30"/>
      <c r="S168" s="30"/>
      <c r="T168" s="30"/>
      <c r="U168" s="30"/>
      <c r="V168" s="29"/>
      <c r="W168" s="28"/>
      <c r="X168" s="149"/>
      <c r="Y168" s="149"/>
      <c r="Z168" s="150"/>
      <c r="AA168" s="150"/>
      <c r="AB168" s="151"/>
      <c r="AC168" s="150"/>
      <c r="AD168" s="150"/>
      <c r="AE168" s="150"/>
      <c r="AF168" s="150"/>
      <c r="AG168" s="150"/>
      <c r="AH168" s="150"/>
      <c r="AI168" s="195"/>
      <c r="AJ168" s="195"/>
      <c r="AK168" s="195"/>
      <c r="AL168" s="195"/>
      <c r="AM168" s="195"/>
      <c r="AN168" s="195"/>
      <c r="AO168" s="195"/>
      <c r="AP168" s="195"/>
      <c r="AQ168" s="195"/>
      <c r="AR168" s="195"/>
      <c r="AS168" s="195"/>
      <c r="AT168" s="195"/>
      <c r="AU168" s="195"/>
      <c r="AV168" s="195"/>
      <c r="AW168" s="195"/>
      <c r="AX168" s="195"/>
      <c r="AY168" s="195"/>
      <c r="AZ168" s="195"/>
      <c r="BA168" s="195"/>
      <c r="BB168" s="195"/>
      <c r="BC168" s="195"/>
      <c r="BD168" s="195"/>
      <c r="BE168" s="195"/>
      <c r="BF168" s="195"/>
      <c r="BG168" s="195"/>
      <c r="BH168" s="195"/>
      <c r="BI168" s="195"/>
      <c r="BJ168" s="195"/>
      <c r="BK168" s="195"/>
      <c r="BL168" s="195"/>
      <c r="BM168" s="195"/>
      <c r="BN168" s="195"/>
      <c r="BO168" s="195"/>
      <c r="BP168" s="195"/>
      <c r="BQ168" s="195"/>
      <c r="BR168" s="195"/>
      <c r="BS168" s="195"/>
      <c r="BT168" s="195"/>
      <c r="BU168" s="195"/>
      <c r="BV168" s="195"/>
      <c r="BW168" s="195"/>
      <c r="BX168" s="195"/>
      <c r="BY168" s="195"/>
      <c r="BZ168" s="195"/>
      <c r="CA168" s="195"/>
      <c r="CB168" s="195"/>
      <c r="CC168" s="195"/>
      <c r="CD168" s="195"/>
      <c r="CE168" s="195"/>
      <c r="CF168" s="195"/>
      <c r="CG168" s="195"/>
      <c r="CH168" s="195"/>
      <c r="CI168" s="195"/>
      <c r="CJ168" s="195"/>
      <c r="CK168" s="195"/>
      <c r="CL168" s="195"/>
      <c r="CM168" s="195"/>
      <c r="CN168" s="195"/>
      <c r="CO168" s="195"/>
      <c r="CP168" s="195"/>
      <c r="CQ168" s="195"/>
      <c r="CR168" s="195"/>
      <c r="CS168" s="195"/>
      <c r="CT168" s="195"/>
      <c r="CU168" s="195"/>
      <c r="CV168" s="195"/>
      <c r="CW168" s="195"/>
      <c r="CX168" s="195"/>
      <c r="CY168" s="195"/>
      <c r="CZ168" s="195"/>
      <c r="DA168" s="195"/>
      <c r="DB168" s="195"/>
      <c r="DC168" s="195"/>
      <c r="DD168" s="195"/>
      <c r="DE168" s="195"/>
      <c r="DF168" s="195"/>
      <c r="DG168" s="195"/>
      <c r="DH168" s="195"/>
    </row>
    <row r="169" spans="5:112" s="193" customFormat="1">
      <c r="E169" s="32"/>
      <c r="F169" s="32"/>
      <c r="G169" s="29"/>
      <c r="H169" s="25"/>
      <c r="I169" s="25"/>
      <c r="J169" s="25"/>
      <c r="K169" s="25"/>
      <c r="L169" s="29"/>
      <c r="M169" s="29"/>
      <c r="N169" s="28"/>
      <c r="O169" s="30"/>
      <c r="P169" s="30"/>
      <c r="Q169" s="30"/>
      <c r="R169" s="30"/>
      <c r="S169" s="30"/>
      <c r="T169" s="30"/>
      <c r="U169" s="30"/>
      <c r="V169" s="29"/>
      <c r="W169" s="28"/>
      <c r="X169" s="149"/>
      <c r="Y169" s="149"/>
      <c r="Z169" s="150"/>
      <c r="AA169" s="150"/>
      <c r="AB169" s="151"/>
      <c r="AC169" s="150"/>
      <c r="AD169" s="150"/>
      <c r="AE169" s="150"/>
      <c r="AF169" s="150"/>
      <c r="AG169" s="150"/>
      <c r="AH169" s="150"/>
      <c r="AI169" s="195"/>
      <c r="AJ169" s="195"/>
      <c r="AK169" s="195"/>
      <c r="AL169" s="195"/>
      <c r="AM169" s="195"/>
      <c r="AN169" s="195"/>
      <c r="AO169" s="195"/>
      <c r="AP169" s="195"/>
      <c r="AQ169" s="195"/>
      <c r="AR169" s="195"/>
      <c r="AS169" s="195"/>
      <c r="AT169" s="195"/>
      <c r="AU169" s="195"/>
      <c r="AV169" s="195"/>
      <c r="AW169" s="195"/>
      <c r="AX169" s="195"/>
      <c r="AY169" s="195"/>
      <c r="AZ169" s="195"/>
      <c r="BA169" s="195"/>
      <c r="BB169" s="195"/>
      <c r="BC169" s="195"/>
      <c r="BD169" s="195"/>
      <c r="BE169" s="195"/>
      <c r="BF169" s="195"/>
      <c r="BG169" s="195"/>
      <c r="BH169" s="195"/>
      <c r="BI169" s="195"/>
      <c r="BJ169" s="195"/>
      <c r="BK169" s="195"/>
      <c r="BL169" s="195"/>
      <c r="BM169" s="195"/>
      <c r="BN169" s="195"/>
      <c r="BO169" s="195"/>
      <c r="BP169" s="195"/>
      <c r="BQ169" s="195"/>
      <c r="BR169" s="195"/>
      <c r="BS169" s="195"/>
      <c r="BT169" s="195"/>
      <c r="BU169" s="195"/>
      <c r="BV169" s="195"/>
      <c r="BW169" s="195"/>
      <c r="BX169" s="195"/>
      <c r="BY169" s="195"/>
      <c r="BZ169" s="195"/>
      <c r="CA169" s="195"/>
      <c r="CB169" s="195"/>
      <c r="CC169" s="195"/>
      <c r="CD169" s="195"/>
      <c r="CE169" s="195"/>
      <c r="CF169" s="195"/>
      <c r="CG169" s="195"/>
      <c r="CH169" s="195"/>
      <c r="CI169" s="195"/>
      <c r="CJ169" s="195"/>
      <c r="CK169" s="195"/>
      <c r="CL169" s="195"/>
      <c r="CM169" s="195"/>
      <c r="CN169" s="195"/>
      <c r="CO169" s="195"/>
      <c r="CP169" s="195"/>
      <c r="CQ169" s="195"/>
      <c r="CR169" s="195"/>
      <c r="CS169" s="195"/>
      <c r="CT169" s="195"/>
      <c r="CU169" s="195"/>
      <c r="CV169" s="195"/>
      <c r="CW169" s="195"/>
      <c r="CX169" s="195"/>
      <c r="CY169" s="195"/>
      <c r="CZ169" s="195"/>
      <c r="DA169" s="195"/>
      <c r="DB169" s="195"/>
      <c r="DC169" s="195"/>
      <c r="DD169" s="195"/>
      <c r="DE169" s="195"/>
      <c r="DF169" s="195"/>
      <c r="DG169" s="195"/>
      <c r="DH169" s="195"/>
    </row>
    <row r="170" spans="5:112" s="193" customFormat="1">
      <c r="E170" s="32"/>
      <c r="F170" s="32"/>
      <c r="G170" s="29"/>
      <c r="H170" s="25"/>
      <c r="I170" s="25"/>
      <c r="J170" s="25"/>
      <c r="K170" s="25"/>
      <c r="L170" s="29"/>
      <c r="M170" s="29"/>
      <c r="N170" s="28"/>
      <c r="O170" s="30"/>
      <c r="P170" s="30"/>
      <c r="Q170" s="30"/>
      <c r="R170" s="30"/>
      <c r="S170" s="30"/>
      <c r="T170" s="30"/>
      <c r="U170" s="30"/>
      <c r="V170" s="29"/>
      <c r="W170" s="28"/>
      <c r="X170" s="149"/>
      <c r="Y170" s="149"/>
      <c r="Z170" s="150"/>
      <c r="AA170" s="150"/>
      <c r="AB170" s="151"/>
      <c r="AC170" s="150"/>
      <c r="AD170" s="150"/>
      <c r="AE170" s="150"/>
      <c r="AF170" s="150"/>
      <c r="AG170" s="150"/>
      <c r="AH170" s="150"/>
      <c r="AI170" s="195"/>
      <c r="AJ170" s="195"/>
      <c r="AK170" s="195"/>
      <c r="AL170" s="195"/>
      <c r="AM170" s="195"/>
      <c r="AN170" s="195"/>
      <c r="AO170" s="195"/>
      <c r="AP170" s="195"/>
      <c r="AQ170" s="195"/>
      <c r="AR170" s="195"/>
      <c r="AS170" s="195"/>
      <c r="AT170" s="195"/>
      <c r="AU170" s="195"/>
      <c r="AV170" s="195"/>
      <c r="AW170" s="195"/>
      <c r="AX170" s="195"/>
      <c r="AY170" s="195"/>
      <c r="AZ170" s="195"/>
      <c r="BA170" s="195"/>
      <c r="BB170" s="195"/>
      <c r="BC170" s="195"/>
      <c r="BD170" s="195"/>
      <c r="BE170" s="195"/>
      <c r="BF170" s="195"/>
      <c r="BG170" s="195"/>
      <c r="BH170" s="195"/>
      <c r="BI170" s="195"/>
      <c r="BJ170" s="195"/>
      <c r="BK170" s="195"/>
      <c r="BL170" s="195"/>
      <c r="BM170" s="195"/>
      <c r="BN170" s="195"/>
      <c r="BO170" s="195"/>
      <c r="BP170" s="195"/>
      <c r="BQ170" s="195"/>
      <c r="BR170" s="195"/>
      <c r="BS170" s="195"/>
      <c r="BT170" s="195"/>
      <c r="BU170" s="195"/>
      <c r="BV170" s="195"/>
      <c r="BW170" s="195"/>
      <c r="BX170" s="195"/>
      <c r="BY170" s="195"/>
      <c r="BZ170" s="195"/>
      <c r="CA170" s="195"/>
      <c r="CB170" s="195"/>
      <c r="CC170" s="195"/>
      <c r="CD170" s="195"/>
      <c r="CE170" s="195"/>
      <c r="CF170" s="195"/>
      <c r="CG170" s="195"/>
      <c r="CH170" s="195"/>
      <c r="CI170" s="195"/>
      <c r="CJ170" s="195"/>
      <c r="CK170" s="195"/>
      <c r="CL170" s="195"/>
      <c r="CM170" s="195"/>
      <c r="CN170" s="195"/>
      <c r="CO170" s="195"/>
      <c r="CP170" s="195"/>
      <c r="CQ170" s="195"/>
      <c r="CR170" s="195"/>
      <c r="CS170" s="195"/>
      <c r="CT170" s="195"/>
      <c r="CU170" s="195"/>
      <c r="CV170" s="195"/>
      <c r="CW170" s="195"/>
      <c r="CX170" s="195"/>
      <c r="CY170" s="195"/>
      <c r="CZ170" s="195"/>
      <c r="DA170" s="195"/>
      <c r="DB170" s="195"/>
      <c r="DC170" s="195"/>
      <c r="DD170" s="195"/>
      <c r="DE170" s="195"/>
      <c r="DF170" s="195"/>
      <c r="DG170" s="195"/>
      <c r="DH170" s="195"/>
    </row>
    <row r="171" spans="5:112" s="193" customFormat="1">
      <c r="E171" s="32"/>
      <c r="F171" s="32"/>
      <c r="G171" s="29"/>
      <c r="H171" s="25"/>
      <c r="I171" s="25"/>
      <c r="J171" s="25"/>
      <c r="K171" s="25"/>
      <c r="L171" s="29"/>
      <c r="M171" s="29"/>
      <c r="N171" s="28"/>
      <c r="O171" s="30"/>
      <c r="P171" s="30"/>
      <c r="Q171" s="30"/>
      <c r="R171" s="30"/>
      <c r="S171" s="30"/>
      <c r="T171" s="30"/>
      <c r="U171" s="30"/>
      <c r="V171" s="29"/>
      <c r="W171" s="28"/>
      <c r="X171" s="149"/>
      <c r="Y171" s="149"/>
      <c r="Z171" s="150"/>
      <c r="AA171" s="150"/>
      <c r="AB171" s="151"/>
      <c r="AC171" s="150"/>
      <c r="AD171" s="150"/>
      <c r="AE171" s="150"/>
      <c r="AF171" s="150"/>
      <c r="AG171" s="150"/>
      <c r="AH171" s="150"/>
      <c r="AI171" s="195"/>
      <c r="AJ171" s="195"/>
      <c r="AK171" s="195"/>
      <c r="AL171" s="195"/>
      <c r="AM171" s="195"/>
      <c r="AN171" s="195"/>
      <c r="AO171" s="195"/>
      <c r="AP171" s="195"/>
      <c r="AQ171" s="195"/>
      <c r="AR171" s="195"/>
      <c r="AS171" s="195"/>
      <c r="AT171" s="195"/>
      <c r="AU171" s="195"/>
      <c r="AV171" s="195"/>
      <c r="AW171" s="195"/>
      <c r="AX171" s="195"/>
      <c r="AY171" s="195"/>
      <c r="AZ171" s="195"/>
      <c r="BA171" s="195"/>
      <c r="BB171" s="195"/>
      <c r="BC171" s="195"/>
      <c r="BD171" s="195"/>
      <c r="BE171" s="195"/>
      <c r="BF171" s="195"/>
      <c r="BG171" s="195"/>
      <c r="BH171" s="195"/>
      <c r="BI171" s="195"/>
      <c r="BJ171" s="195"/>
      <c r="BK171" s="195"/>
      <c r="BL171" s="195"/>
      <c r="BM171" s="195"/>
      <c r="BN171" s="195"/>
      <c r="BO171" s="195"/>
      <c r="BP171" s="195"/>
      <c r="BQ171" s="195"/>
      <c r="BR171" s="195"/>
      <c r="BS171" s="195"/>
      <c r="BT171" s="195"/>
      <c r="BU171" s="195"/>
      <c r="BV171" s="195"/>
      <c r="BW171" s="195"/>
      <c r="BX171" s="195"/>
      <c r="BY171" s="195"/>
      <c r="BZ171" s="195"/>
      <c r="CA171" s="195"/>
      <c r="CB171" s="195"/>
      <c r="CC171" s="195"/>
      <c r="CD171" s="195"/>
      <c r="CE171" s="195"/>
      <c r="CF171" s="195"/>
      <c r="CG171" s="195"/>
      <c r="CH171" s="195"/>
      <c r="CI171" s="195"/>
      <c r="CJ171" s="195"/>
      <c r="CK171" s="195"/>
      <c r="CL171" s="195"/>
      <c r="CM171" s="195"/>
      <c r="CN171" s="195"/>
      <c r="CO171" s="195"/>
      <c r="CP171" s="195"/>
      <c r="CQ171" s="195"/>
      <c r="CR171" s="195"/>
      <c r="CS171" s="195"/>
      <c r="CT171" s="195"/>
      <c r="CU171" s="195"/>
      <c r="CV171" s="195"/>
      <c r="CW171" s="195"/>
      <c r="CX171" s="195"/>
      <c r="CY171" s="195"/>
      <c r="CZ171" s="195"/>
      <c r="DA171" s="195"/>
      <c r="DB171" s="195"/>
      <c r="DC171" s="195"/>
      <c r="DD171" s="195"/>
      <c r="DE171" s="195"/>
      <c r="DF171" s="195"/>
      <c r="DG171" s="195"/>
      <c r="DH171" s="195"/>
    </row>
    <row r="172" spans="5:112" s="193" customFormat="1">
      <c r="E172" s="32"/>
      <c r="F172" s="32"/>
      <c r="G172" s="29"/>
      <c r="H172" s="25"/>
      <c r="I172" s="25"/>
      <c r="J172" s="25"/>
      <c r="K172" s="25"/>
      <c r="L172" s="29"/>
      <c r="M172" s="29"/>
      <c r="N172" s="28"/>
      <c r="O172" s="30"/>
      <c r="P172" s="30"/>
      <c r="Q172" s="30"/>
      <c r="R172" s="30"/>
      <c r="S172" s="30"/>
      <c r="T172" s="30"/>
      <c r="U172" s="30"/>
      <c r="V172" s="29"/>
      <c r="W172" s="28"/>
      <c r="X172" s="149"/>
      <c r="Y172" s="149"/>
      <c r="Z172" s="150"/>
      <c r="AA172" s="150"/>
      <c r="AB172" s="151"/>
      <c r="AC172" s="150"/>
      <c r="AD172" s="150"/>
      <c r="AE172" s="150"/>
      <c r="AF172" s="150"/>
      <c r="AG172" s="150"/>
      <c r="AH172" s="150"/>
      <c r="AI172" s="195"/>
      <c r="AJ172" s="195"/>
      <c r="AK172" s="195"/>
      <c r="AL172" s="195"/>
      <c r="AM172" s="195"/>
      <c r="AN172" s="195"/>
      <c r="AO172" s="195"/>
      <c r="AP172" s="195"/>
      <c r="AQ172" s="195"/>
      <c r="AR172" s="195"/>
      <c r="AS172" s="195"/>
      <c r="AT172" s="195"/>
      <c r="AU172" s="195"/>
      <c r="AV172" s="195"/>
      <c r="AW172" s="195"/>
      <c r="AX172" s="195"/>
      <c r="AY172" s="195"/>
      <c r="AZ172" s="195"/>
      <c r="BA172" s="195"/>
      <c r="BB172" s="195"/>
      <c r="BC172" s="195"/>
      <c r="BD172" s="195"/>
      <c r="BE172" s="195"/>
      <c r="BF172" s="195"/>
      <c r="BG172" s="195"/>
      <c r="BH172" s="195"/>
      <c r="BI172" s="195"/>
      <c r="BJ172" s="195"/>
      <c r="BK172" s="195"/>
      <c r="BL172" s="195"/>
      <c r="BM172" s="195"/>
      <c r="BN172" s="195"/>
      <c r="BO172" s="195"/>
      <c r="BP172" s="195"/>
      <c r="BQ172" s="195"/>
      <c r="BR172" s="195"/>
      <c r="BS172" s="195"/>
      <c r="BT172" s="195"/>
      <c r="BU172" s="195"/>
      <c r="BV172" s="195"/>
      <c r="BW172" s="195"/>
      <c r="BX172" s="195"/>
      <c r="BY172" s="195"/>
      <c r="BZ172" s="195"/>
      <c r="CA172" s="195"/>
      <c r="CB172" s="195"/>
      <c r="CC172" s="195"/>
      <c r="CD172" s="195"/>
      <c r="CE172" s="195"/>
      <c r="CF172" s="195"/>
      <c r="CG172" s="195"/>
      <c r="CH172" s="195"/>
      <c r="CI172" s="195"/>
      <c r="CJ172" s="195"/>
      <c r="CK172" s="195"/>
      <c r="CL172" s="195"/>
      <c r="CM172" s="195"/>
      <c r="CN172" s="195"/>
      <c r="CO172" s="195"/>
      <c r="CP172" s="195"/>
      <c r="CQ172" s="195"/>
      <c r="CR172" s="195"/>
      <c r="CS172" s="195"/>
      <c r="CT172" s="195"/>
      <c r="CU172" s="195"/>
      <c r="CV172" s="195"/>
      <c r="CW172" s="195"/>
      <c r="CX172" s="195"/>
      <c r="CY172" s="195"/>
      <c r="CZ172" s="195"/>
      <c r="DA172" s="195"/>
      <c r="DB172" s="195"/>
      <c r="DC172" s="195"/>
      <c r="DD172" s="195"/>
      <c r="DE172" s="195"/>
      <c r="DF172" s="195"/>
      <c r="DG172" s="195"/>
      <c r="DH172" s="195"/>
    </row>
    <row r="173" spans="5:112" s="193" customFormat="1">
      <c r="E173" s="32"/>
      <c r="F173" s="32"/>
      <c r="G173" s="29"/>
      <c r="H173" s="25"/>
      <c r="I173" s="25"/>
      <c r="J173" s="25"/>
      <c r="K173" s="25"/>
      <c r="L173" s="29"/>
      <c r="M173" s="29"/>
      <c r="N173" s="28"/>
      <c r="O173" s="30"/>
      <c r="P173" s="30"/>
      <c r="Q173" s="30"/>
      <c r="R173" s="30"/>
      <c r="S173" s="30"/>
      <c r="T173" s="30"/>
      <c r="U173" s="30"/>
      <c r="V173" s="29"/>
      <c r="W173" s="28"/>
      <c r="X173" s="149"/>
      <c r="Y173" s="149"/>
      <c r="Z173" s="150"/>
      <c r="AA173" s="150"/>
      <c r="AB173" s="151"/>
      <c r="AC173" s="150"/>
      <c r="AD173" s="150"/>
      <c r="AE173" s="150"/>
      <c r="AF173" s="150"/>
      <c r="AG173" s="150"/>
      <c r="AH173" s="150"/>
      <c r="AI173" s="195"/>
      <c r="AJ173" s="195"/>
      <c r="AK173" s="195"/>
      <c r="AL173" s="195"/>
      <c r="AM173" s="195"/>
      <c r="AN173" s="195"/>
      <c r="AO173" s="195"/>
      <c r="AP173" s="195"/>
      <c r="AQ173" s="195"/>
      <c r="AR173" s="195"/>
      <c r="AS173" s="195"/>
      <c r="AT173" s="195"/>
      <c r="AU173" s="195"/>
      <c r="AV173" s="195"/>
      <c r="AW173" s="195"/>
      <c r="AX173" s="195"/>
      <c r="AY173" s="195"/>
      <c r="AZ173" s="195"/>
      <c r="BA173" s="195"/>
      <c r="BB173" s="195"/>
      <c r="BC173" s="195"/>
      <c r="BD173" s="195"/>
      <c r="BE173" s="195"/>
      <c r="BF173" s="195"/>
      <c r="BG173" s="195"/>
      <c r="BH173" s="195"/>
      <c r="BI173" s="195"/>
      <c r="BJ173" s="195"/>
      <c r="BK173" s="195"/>
      <c r="BL173" s="195"/>
      <c r="BM173" s="195"/>
      <c r="BN173" s="195"/>
      <c r="BO173" s="195"/>
      <c r="BP173" s="195"/>
      <c r="BQ173" s="195"/>
      <c r="BR173" s="195"/>
      <c r="BS173" s="195"/>
      <c r="BT173" s="195"/>
      <c r="BU173" s="195"/>
      <c r="BV173" s="195"/>
      <c r="BW173" s="195"/>
      <c r="BX173" s="195"/>
      <c r="BY173" s="195"/>
      <c r="BZ173" s="195"/>
      <c r="CA173" s="195"/>
      <c r="CB173" s="195"/>
      <c r="CC173" s="195"/>
      <c r="CD173" s="195"/>
      <c r="CE173" s="195"/>
      <c r="CF173" s="195"/>
      <c r="CG173" s="195"/>
      <c r="CH173" s="195"/>
      <c r="CI173" s="195"/>
      <c r="CJ173" s="195"/>
      <c r="CK173" s="195"/>
      <c r="CL173" s="195"/>
      <c r="CM173" s="195"/>
      <c r="CN173" s="195"/>
      <c r="CO173" s="195"/>
      <c r="CP173" s="195"/>
      <c r="CQ173" s="195"/>
      <c r="CR173" s="195"/>
      <c r="CS173" s="195"/>
      <c r="CT173" s="195"/>
      <c r="CU173" s="195"/>
      <c r="CV173" s="195"/>
      <c r="CW173" s="195"/>
      <c r="CX173" s="195"/>
      <c r="CY173" s="195"/>
      <c r="CZ173" s="195"/>
      <c r="DA173" s="195"/>
      <c r="DB173" s="195"/>
      <c r="DC173" s="195"/>
      <c r="DD173" s="195"/>
      <c r="DE173" s="195"/>
      <c r="DF173" s="195"/>
      <c r="DG173" s="195"/>
      <c r="DH173" s="195"/>
    </row>
    <row r="174" spans="5:112" s="193" customFormat="1">
      <c r="E174" s="32"/>
      <c r="F174" s="32"/>
      <c r="G174" s="29"/>
      <c r="H174" s="25"/>
      <c r="I174" s="25"/>
      <c r="J174" s="25"/>
      <c r="K174" s="25"/>
      <c r="L174" s="29"/>
      <c r="M174" s="29"/>
      <c r="N174" s="28"/>
      <c r="O174" s="30"/>
      <c r="P174" s="30"/>
      <c r="Q174" s="30"/>
      <c r="R174" s="30"/>
      <c r="S174" s="30"/>
      <c r="T174" s="30"/>
      <c r="U174" s="30"/>
      <c r="V174" s="29"/>
      <c r="W174" s="28"/>
      <c r="X174" s="149"/>
      <c r="Y174" s="149"/>
      <c r="Z174" s="150"/>
      <c r="AA174" s="150"/>
      <c r="AB174" s="151"/>
      <c r="AC174" s="150"/>
      <c r="AD174" s="150"/>
      <c r="AE174" s="150"/>
      <c r="AF174" s="150"/>
      <c r="AG174" s="150"/>
      <c r="AH174" s="150"/>
      <c r="AI174" s="195"/>
      <c r="AJ174" s="195"/>
      <c r="AK174" s="195"/>
      <c r="AL174" s="195"/>
      <c r="AM174" s="195"/>
      <c r="AN174" s="195"/>
      <c r="AO174" s="195"/>
      <c r="AP174" s="195"/>
      <c r="AQ174" s="195"/>
      <c r="AR174" s="195"/>
      <c r="AS174" s="195"/>
      <c r="AT174" s="195"/>
      <c r="AU174" s="195"/>
      <c r="AV174" s="195"/>
      <c r="AW174" s="195"/>
      <c r="AX174" s="195"/>
      <c r="AY174" s="195"/>
      <c r="AZ174" s="195"/>
      <c r="BA174" s="195"/>
      <c r="BB174" s="195"/>
      <c r="BC174" s="195"/>
      <c r="BD174" s="195"/>
      <c r="BE174" s="195"/>
      <c r="BF174" s="195"/>
      <c r="BG174" s="195"/>
      <c r="BH174" s="195"/>
      <c r="BI174" s="195"/>
      <c r="BJ174" s="195"/>
      <c r="BK174" s="195"/>
      <c r="BL174" s="195"/>
      <c r="BM174" s="195"/>
      <c r="BN174" s="195"/>
      <c r="BO174" s="195"/>
      <c r="BP174" s="195"/>
      <c r="BQ174" s="195"/>
      <c r="BR174" s="195"/>
      <c r="BS174" s="195"/>
      <c r="BT174" s="195"/>
      <c r="BU174" s="195"/>
      <c r="BV174" s="195"/>
      <c r="BW174" s="195"/>
      <c r="BX174" s="195"/>
      <c r="BY174" s="195"/>
      <c r="BZ174" s="195"/>
      <c r="CA174" s="195"/>
      <c r="CB174" s="195"/>
      <c r="CC174" s="195"/>
      <c r="CD174" s="195"/>
      <c r="CE174" s="195"/>
      <c r="CF174" s="195"/>
      <c r="CG174" s="195"/>
      <c r="CH174" s="195"/>
      <c r="CI174" s="195"/>
      <c r="CJ174" s="195"/>
      <c r="CK174" s="195"/>
      <c r="CL174" s="195"/>
      <c r="CM174" s="195"/>
      <c r="CN174" s="195"/>
      <c r="CO174" s="195"/>
      <c r="CP174" s="195"/>
      <c r="CQ174" s="195"/>
      <c r="CR174" s="195"/>
      <c r="CS174" s="195"/>
      <c r="CT174" s="195"/>
      <c r="CU174" s="195"/>
      <c r="CV174" s="195"/>
      <c r="CW174" s="195"/>
      <c r="CX174" s="195"/>
      <c r="CY174" s="195"/>
      <c r="CZ174" s="195"/>
      <c r="DA174" s="195"/>
      <c r="DB174" s="195"/>
      <c r="DC174" s="195"/>
      <c r="DD174" s="195"/>
      <c r="DE174" s="195"/>
      <c r="DF174" s="195"/>
      <c r="DG174" s="195"/>
      <c r="DH174" s="195"/>
    </row>
    <row r="175" spans="5:112" s="193" customFormat="1">
      <c r="E175" s="32"/>
      <c r="F175" s="32"/>
      <c r="G175" s="29"/>
      <c r="H175" s="25"/>
      <c r="I175" s="25"/>
      <c r="J175" s="25"/>
      <c r="K175" s="25"/>
      <c r="L175" s="29"/>
      <c r="M175" s="29"/>
      <c r="N175" s="28"/>
      <c r="O175" s="30"/>
      <c r="P175" s="30"/>
      <c r="Q175" s="30"/>
      <c r="R175" s="30"/>
      <c r="S175" s="30"/>
      <c r="T175" s="30"/>
      <c r="U175" s="30"/>
      <c r="V175" s="29"/>
      <c r="W175" s="28"/>
      <c r="X175" s="149"/>
      <c r="Y175" s="149"/>
      <c r="Z175" s="150"/>
      <c r="AA175" s="150"/>
      <c r="AB175" s="151"/>
      <c r="AC175" s="150"/>
      <c r="AD175" s="150"/>
      <c r="AE175" s="150"/>
      <c r="AF175" s="150"/>
      <c r="AG175" s="150"/>
      <c r="AH175" s="150"/>
      <c r="AI175" s="195"/>
      <c r="AJ175" s="195"/>
      <c r="AK175" s="195"/>
      <c r="AL175" s="195"/>
      <c r="AM175" s="195"/>
      <c r="AN175" s="195"/>
      <c r="AO175" s="195"/>
      <c r="AP175" s="195"/>
      <c r="AQ175" s="195"/>
      <c r="AR175" s="195"/>
      <c r="AS175" s="195"/>
      <c r="AT175" s="195"/>
      <c r="AU175" s="195"/>
      <c r="AV175" s="195"/>
      <c r="AW175" s="195"/>
      <c r="AX175" s="195"/>
      <c r="AY175" s="195"/>
      <c r="AZ175" s="195"/>
      <c r="BA175" s="195"/>
      <c r="BB175" s="195"/>
      <c r="BC175" s="195"/>
      <c r="BD175" s="195"/>
      <c r="BE175" s="195"/>
      <c r="BF175" s="195"/>
      <c r="BG175" s="195"/>
      <c r="BH175" s="195"/>
      <c r="BI175" s="195"/>
      <c r="BJ175" s="195"/>
      <c r="BK175" s="195"/>
      <c r="BL175" s="195"/>
      <c r="BM175" s="195"/>
      <c r="BN175" s="195"/>
      <c r="BO175" s="195"/>
      <c r="BP175" s="195"/>
      <c r="BQ175" s="195"/>
      <c r="BR175" s="195"/>
      <c r="BS175" s="195"/>
      <c r="BT175" s="195"/>
      <c r="BU175" s="195"/>
      <c r="BV175" s="195"/>
      <c r="BW175" s="195"/>
      <c r="BX175" s="195"/>
      <c r="BY175" s="195"/>
      <c r="BZ175" s="195"/>
      <c r="CA175" s="195"/>
      <c r="CB175" s="195"/>
      <c r="CC175" s="195"/>
      <c r="CD175" s="195"/>
      <c r="CE175" s="195"/>
      <c r="CF175" s="195"/>
      <c r="CG175" s="195"/>
      <c r="CH175" s="195"/>
      <c r="CI175" s="195"/>
      <c r="CJ175" s="195"/>
      <c r="CK175" s="195"/>
      <c r="CL175" s="195"/>
      <c r="CM175" s="195"/>
      <c r="CN175" s="195"/>
      <c r="CO175" s="195"/>
      <c r="CP175" s="195"/>
      <c r="CQ175" s="195"/>
      <c r="CR175" s="195"/>
      <c r="CS175" s="195"/>
      <c r="CT175" s="195"/>
      <c r="CU175" s="195"/>
      <c r="CV175" s="195"/>
      <c r="CW175" s="195"/>
      <c r="CX175" s="195"/>
      <c r="CY175" s="195"/>
      <c r="CZ175" s="195"/>
      <c r="DA175" s="195"/>
      <c r="DB175" s="195"/>
      <c r="DC175" s="195"/>
      <c r="DD175" s="195"/>
      <c r="DE175" s="195"/>
      <c r="DF175" s="195"/>
      <c r="DG175" s="195"/>
      <c r="DH175" s="195"/>
    </row>
    <row r="176" spans="5:112" s="193" customFormat="1">
      <c r="E176" s="32"/>
      <c r="F176" s="32"/>
      <c r="G176" s="29"/>
      <c r="H176" s="25"/>
      <c r="I176" s="25"/>
      <c r="J176" s="25"/>
      <c r="K176" s="25"/>
      <c r="L176" s="29"/>
      <c r="M176" s="29"/>
      <c r="N176" s="28"/>
      <c r="O176" s="30"/>
      <c r="P176" s="30"/>
      <c r="Q176" s="30"/>
      <c r="R176" s="30"/>
      <c r="S176" s="30"/>
      <c r="T176" s="30"/>
      <c r="U176" s="30"/>
      <c r="V176" s="29"/>
      <c r="W176" s="28"/>
      <c r="X176" s="149"/>
      <c r="Y176" s="149"/>
      <c r="Z176" s="150"/>
      <c r="AA176" s="150"/>
      <c r="AB176" s="151"/>
      <c r="AC176" s="150"/>
      <c r="AD176" s="150"/>
      <c r="AE176" s="150"/>
      <c r="AF176" s="150"/>
      <c r="AG176" s="150"/>
      <c r="AH176" s="150"/>
      <c r="AI176" s="195"/>
      <c r="AJ176" s="195"/>
      <c r="AK176" s="195"/>
      <c r="AL176" s="195"/>
      <c r="AM176" s="195"/>
      <c r="AN176" s="195"/>
      <c r="AO176" s="195"/>
      <c r="AP176" s="195"/>
      <c r="AQ176" s="195"/>
      <c r="AR176" s="195"/>
      <c r="AS176" s="195"/>
      <c r="AT176" s="195"/>
      <c r="AU176" s="195"/>
      <c r="AV176" s="195"/>
      <c r="AW176" s="195"/>
      <c r="AX176" s="195"/>
      <c r="AY176" s="195"/>
      <c r="AZ176" s="195"/>
      <c r="BA176" s="195"/>
      <c r="BB176" s="195"/>
      <c r="BC176" s="195"/>
      <c r="BD176" s="195"/>
      <c r="BE176" s="195"/>
      <c r="BF176" s="195"/>
      <c r="BG176" s="195"/>
      <c r="BH176" s="195"/>
      <c r="BI176" s="195"/>
      <c r="BJ176" s="195"/>
      <c r="BK176" s="195"/>
      <c r="BL176" s="195"/>
      <c r="BM176" s="195"/>
      <c r="BN176" s="195"/>
      <c r="BO176" s="195"/>
      <c r="BP176" s="195"/>
      <c r="BQ176" s="195"/>
      <c r="BR176" s="195"/>
      <c r="BS176" s="195"/>
      <c r="BT176" s="195"/>
      <c r="BU176" s="195"/>
      <c r="BV176" s="195"/>
      <c r="BW176" s="195"/>
      <c r="BX176" s="195"/>
      <c r="BY176" s="195"/>
      <c r="BZ176" s="195"/>
      <c r="CA176" s="195"/>
      <c r="CB176" s="195"/>
      <c r="CC176" s="195"/>
      <c r="CD176" s="195"/>
      <c r="CE176" s="195"/>
      <c r="CF176" s="195"/>
      <c r="CG176" s="195"/>
      <c r="CH176" s="195"/>
      <c r="CI176" s="195"/>
      <c r="CJ176" s="195"/>
      <c r="CK176" s="195"/>
      <c r="CL176" s="195"/>
      <c r="CM176" s="195"/>
      <c r="CN176" s="195"/>
      <c r="CO176" s="195"/>
      <c r="CP176" s="195"/>
      <c r="CQ176" s="195"/>
      <c r="CR176" s="195"/>
      <c r="CS176" s="195"/>
      <c r="CT176" s="195"/>
      <c r="CU176" s="195"/>
      <c r="CV176" s="195"/>
      <c r="CW176" s="195"/>
      <c r="CX176" s="195"/>
      <c r="CY176" s="195"/>
      <c r="CZ176" s="195"/>
      <c r="DA176" s="195"/>
      <c r="DB176" s="195"/>
      <c r="DC176" s="195"/>
      <c r="DD176" s="195"/>
      <c r="DE176" s="195"/>
      <c r="DF176" s="195"/>
      <c r="DG176" s="195"/>
      <c r="DH176" s="195"/>
    </row>
    <row r="177" spans="5:112" s="193" customFormat="1">
      <c r="E177" s="32"/>
      <c r="F177" s="32"/>
      <c r="G177" s="29"/>
      <c r="H177" s="25"/>
      <c r="I177" s="25"/>
      <c r="J177" s="25"/>
      <c r="K177" s="25"/>
      <c r="L177" s="29"/>
      <c r="M177" s="29"/>
      <c r="N177" s="28"/>
      <c r="O177" s="30"/>
      <c r="P177" s="30"/>
      <c r="Q177" s="30"/>
      <c r="R177" s="30"/>
      <c r="S177" s="30"/>
      <c r="T177" s="30"/>
      <c r="U177" s="30"/>
      <c r="V177" s="29"/>
      <c r="W177" s="28"/>
      <c r="X177" s="149"/>
      <c r="Y177" s="149"/>
      <c r="Z177" s="150"/>
      <c r="AA177" s="150"/>
      <c r="AB177" s="151"/>
      <c r="AC177" s="150"/>
      <c r="AD177" s="150"/>
      <c r="AE177" s="150"/>
      <c r="AF177" s="150"/>
      <c r="AG177" s="150"/>
      <c r="AH177" s="150"/>
      <c r="AI177" s="195"/>
      <c r="AJ177" s="195"/>
      <c r="AK177" s="195"/>
      <c r="AL177" s="195"/>
      <c r="AM177" s="195"/>
      <c r="AN177" s="195"/>
      <c r="AO177" s="195"/>
      <c r="AP177" s="195"/>
      <c r="AQ177" s="195"/>
      <c r="AR177" s="195"/>
      <c r="AS177" s="195"/>
      <c r="AT177" s="195"/>
      <c r="AU177" s="195"/>
      <c r="AV177" s="195"/>
      <c r="AW177" s="195"/>
      <c r="AX177" s="195"/>
      <c r="AY177" s="195"/>
      <c r="AZ177" s="195"/>
      <c r="BA177" s="195"/>
      <c r="BB177" s="195"/>
      <c r="BC177" s="195"/>
      <c r="BD177" s="195"/>
      <c r="BE177" s="195"/>
      <c r="BF177" s="195"/>
      <c r="BG177" s="195"/>
      <c r="BH177" s="195"/>
      <c r="BI177" s="195"/>
      <c r="BJ177" s="195"/>
      <c r="BK177" s="195"/>
      <c r="BL177" s="195"/>
      <c r="BM177" s="195"/>
      <c r="BN177" s="195"/>
      <c r="BO177" s="195"/>
      <c r="BP177" s="195"/>
      <c r="BQ177" s="195"/>
      <c r="BR177" s="195"/>
      <c r="BS177" s="195"/>
      <c r="BT177" s="195"/>
      <c r="BU177" s="195"/>
      <c r="BV177" s="195"/>
      <c r="BW177" s="195"/>
      <c r="BX177" s="195"/>
      <c r="BY177" s="195"/>
      <c r="BZ177" s="195"/>
      <c r="CA177" s="195"/>
      <c r="CB177" s="195"/>
      <c r="CC177" s="195"/>
      <c r="CD177" s="195"/>
      <c r="CE177" s="195"/>
      <c r="CF177" s="195"/>
      <c r="CG177" s="195"/>
      <c r="CH177" s="195"/>
      <c r="CI177" s="195"/>
      <c r="CJ177" s="195"/>
      <c r="CK177" s="195"/>
      <c r="CL177" s="195"/>
      <c r="CM177" s="195"/>
      <c r="CN177" s="195"/>
      <c r="CO177" s="195"/>
      <c r="CP177" s="195"/>
      <c r="CQ177" s="195"/>
      <c r="CR177" s="195"/>
      <c r="CS177" s="195"/>
      <c r="CT177" s="195"/>
      <c r="CU177" s="195"/>
      <c r="CV177" s="195"/>
      <c r="CW177" s="195"/>
      <c r="CX177" s="195"/>
      <c r="CY177" s="195"/>
      <c r="CZ177" s="195"/>
      <c r="DA177" s="195"/>
      <c r="DB177" s="195"/>
      <c r="DC177" s="195"/>
      <c r="DD177" s="195"/>
      <c r="DE177" s="195"/>
      <c r="DF177" s="195"/>
      <c r="DG177" s="195"/>
      <c r="DH177" s="195"/>
    </row>
    <row r="178" spans="5:112" s="193" customFormat="1">
      <c r="E178" s="32"/>
      <c r="F178" s="32"/>
      <c r="G178" s="29"/>
      <c r="H178" s="25"/>
      <c r="I178" s="25"/>
      <c r="J178" s="25"/>
      <c r="K178" s="25"/>
      <c r="L178" s="29"/>
      <c r="M178" s="29"/>
      <c r="N178" s="28"/>
      <c r="O178" s="30"/>
      <c r="P178" s="30"/>
      <c r="Q178" s="30"/>
      <c r="R178" s="30"/>
      <c r="S178" s="30"/>
      <c r="T178" s="30"/>
      <c r="U178" s="30"/>
      <c r="V178" s="29"/>
      <c r="W178" s="28"/>
      <c r="X178" s="149"/>
      <c r="Y178" s="149"/>
      <c r="Z178" s="150"/>
      <c r="AA178" s="150"/>
      <c r="AB178" s="151"/>
      <c r="AC178" s="150"/>
      <c r="AD178" s="150"/>
      <c r="AE178" s="150"/>
      <c r="AF178" s="150"/>
      <c r="AG178" s="150"/>
      <c r="AH178" s="150"/>
      <c r="AI178" s="195"/>
      <c r="AJ178" s="195"/>
      <c r="AK178" s="195"/>
      <c r="AL178" s="195"/>
      <c r="AM178" s="195"/>
      <c r="AN178" s="195"/>
      <c r="AO178" s="195"/>
      <c r="AP178" s="195"/>
      <c r="AQ178" s="195"/>
      <c r="AR178" s="195"/>
      <c r="AS178" s="195"/>
      <c r="AT178" s="195"/>
      <c r="AU178" s="195"/>
      <c r="AV178" s="195"/>
      <c r="AW178" s="195"/>
      <c r="AX178" s="195"/>
      <c r="AY178" s="195"/>
      <c r="AZ178" s="195"/>
      <c r="BA178" s="195"/>
      <c r="BB178" s="195"/>
      <c r="BC178" s="195"/>
      <c r="BD178" s="195"/>
      <c r="BE178" s="195"/>
      <c r="BF178" s="195"/>
      <c r="BG178" s="195"/>
      <c r="BH178" s="195"/>
      <c r="BI178" s="195"/>
      <c r="BJ178" s="195"/>
      <c r="BK178" s="195"/>
      <c r="BL178" s="195"/>
      <c r="BM178" s="195"/>
      <c r="BN178" s="195"/>
      <c r="BO178" s="195"/>
      <c r="BP178" s="195"/>
      <c r="BQ178" s="195"/>
      <c r="BR178" s="195"/>
      <c r="BS178" s="195"/>
      <c r="BT178" s="195"/>
      <c r="BU178" s="195"/>
      <c r="BV178" s="195"/>
      <c r="BW178" s="195"/>
      <c r="BX178" s="195"/>
      <c r="BY178" s="195"/>
      <c r="BZ178" s="195"/>
      <c r="CA178" s="195"/>
      <c r="CB178" s="195"/>
      <c r="CC178" s="195"/>
      <c r="CD178" s="195"/>
      <c r="CE178" s="195"/>
      <c r="CF178" s="195"/>
      <c r="CG178" s="195"/>
      <c r="CH178" s="195"/>
      <c r="CI178" s="195"/>
      <c r="CJ178" s="195"/>
      <c r="CK178" s="195"/>
      <c r="CL178" s="195"/>
      <c r="CM178" s="195"/>
      <c r="CN178" s="195"/>
      <c r="CO178" s="195"/>
      <c r="CP178" s="195"/>
      <c r="CQ178" s="195"/>
      <c r="CR178" s="195"/>
      <c r="CS178" s="195"/>
      <c r="CT178" s="195"/>
      <c r="CU178" s="195"/>
      <c r="CV178" s="195"/>
      <c r="CW178" s="195"/>
      <c r="CX178" s="195"/>
      <c r="CY178" s="195"/>
      <c r="CZ178" s="195"/>
      <c r="DA178" s="195"/>
      <c r="DB178" s="195"/>
      <c r="DC178" s="195"/>
      <c r="DD178" s="195"/>
      <c r="DE178" s="195"/>
      <c r="DF178" s="195"/>
      <c r="DG178" s="195"/>
      <c r="DH178" s="195"/>
    </row>
    <row r="179" spans="5:112" s="193" customFormat="1">
      <c r="E179" s="32"/>
      <c r="F179" s="32"/>
      <c r="G179" s="29"/>
      <c r="H179" s="25"/>
      <c r="I179" s="25"/>
      <c r="J179" s="25"/>
      <c r="K179" s="25"/>
      <c r="L179" s="29"/>
      <c r="M179" s="29"/>
      <c r="N179" s="28"/>
      <c r="O179" s="30"/>
      <c r="P179" s="30"/>
      <c r="Q179" s="30"/>
      <c r="R179" s="30"/>
      <c r="S179" s="30"/>
      <c r="T179" s="30"/>
      <c r="U179" s="30"/>
      <c r="V179" s="29"/>
      <c r="W179" s="28"/>
      <c r="X179" s="149"/>
      <c r="Y179" s="149"/>
      <c r="Z179" s="150"/>
      <c r="AA179" s="150"/>
      <c r="AB179" s="151"/>
      <c r="AC179" s="150"/>
      <c r="AD179" s="150"/>
      <c r="AE179" s="150"/>
      <c r="AF179" s="150"/>
      <c r="AG179" s="150"/>
      <c r="AH179" s="150"/>
      <c r="AI179" s="195"/>
      <c r="AJ179" s="195"/>
      <c r="AK179" s="195"/>
      <c r="AL179" s="195"/>
      <c r="AM179" s="195"/>
      <c r="AN179" s="195"/>
      <c r="AO179" s="195"/>
      <c r="AP179" s="195"/>
      <c r="AQ179" s="195"/>
      <c r="AR179" s="195"/>
      <c r="AS179" s="195"/>
      <c r="AT179" s="195"/>
      <c r="AU179" s="195"/>
      <c r="AV179" s="195"/>
      <c r="AW179" s="195"/>
      <c r="AX179" s="195"/>
      <c r="AY179" s="195"/>
      <c r="AZ179" s="195"/>
      <c r="BA179" s="195"/>
      <c r="BB179" s="195"/>
      <c r="BC179" s="195"/>
      <c r="BD179" s="195"/>
      <c r="BE179" s="195"/>
      <c r="BF179" s="195"/>
      <c r="BG179" s="195"/>
      <c r="BH179" s="195"/>
      <c r="BI179" s="195"/>
      <c r="BJ179" s="195"/>
      <c r="BK179" s="195"/>
      <c r="BL179" s="195"/>
      <c r="BM179" s="195"/>
      <c r="BN179" s="195"/>
      <c r="BO179" s="195"/>
      <c r="BP179" s="195"/>
      <c r="BQ179" s="195"/>
      <c r="BR179" s="195"/>
      <c r="BS179" s="195"/>
      <c r="BT179" s="195"/>
      <c r="BU179" s="195"/>
      <c r="BV179" s="195"/>
      <c r="BW179" s="195"/>
      <c r="BX179" s="195"/>
      <c r="BY179" s="195"/>
      <c r="BZ179" s="195"/>
      <c r="CA179" s="195"/>
      <c r="CB179" s="195"/>
      <c r="CC179" s="195"/>
      <c r="CD179" s="195"/>
      <c r="CE179" s="195"/>
      <c r="CF179" s="195"/>
      <c r="CG179" s="195"/>
      <c r="CH179" s="195"/>
      <c r="CI179" s="195"/>
      <c r="CJ179" s="195"/>
      <c r="CK179" s="195"/>
      <c r="CL179" s="195"/>
      <c r="CM179" s="195"/>
      <c r="CN179" s="195"/>
      <c r="CO179" s="195"/>
      <c r="CP179" s="195"/>
      <c r="CQ179" s="195"/>
      <c r="CR179" s="195"/>
      <c r="CS179" s="195"/>
      <c r="CT179" s="195"/>
      <c r="CU179" s="195"/>
      <c r="CV179" s="195"/>
      <c r="CW179" s="195"/>
      <c r="CX179" s="195"/>
      <c r="CY179" s="195"/>
      <c r="CZ179" s="195"/>
      <c r="DA179" s="195"/>
      <c r="DB179" s="195"/>
      <c r="DC179" s="195"/>
      <c r="DD179" s="195"/>
      <c r="DE179" s="195"/>
      <c r="DF179" s="195"/>
      <c r="DG179" s="195"/>
      <c r="DH179" s="195"/>
    </row>
    <row r="180" spans="5:112" s="193" customFormat="1">
      <c r="E180" s="32"/>
      <c r="F180" s="32"/>
      <c r="G180" s="29"/>
      <c r="H180" s="25"/>
      <c r="I180" s="25"/>
      <c r="J180" s="25"/>
      <c r="K180" s="25"/>
      <c r="L180" s="29"/>
      <c r="M180" s="29"/>
      <c r="N180" s="28"/>
      <c r="O180" s="30"/>
      <c r="P180" s="30"/>
      <c r="Q180" s="30"/>
      <c r="R180" s="30"/>
      <c r="S180" s="30"/>
      <c r="T180" s="30"/>
      <c r="U180" s="30"/>
      <c r="V180" s="29"/>
      <c r="W180" s="28"/>
      <c r="X180" s="149"/>
      <c r="Y180" s="149"/>
      <c r="Z180" s="150"/>
      <c r="AA180" s="150"/>
      <c r="AB180" s="151"/>
      <c r="AC180" s="150"/>
      <c r="AD180" s="150"/>
      <c r="AE180" s="150"/>
      <c r="AF180" s="150"/>
      <c r="AG180" s="150"/>
      <c r="AH180" s="150"/>
      <c r="AI180" s="195"/>
      <c r="AJ180" s="195"/>
      <c r="AK180" s="195"/>
      <c r="AL180" s="195"/>
      <c r="AM180" s="195"/>
      <c r="AN180" s="195"/>
      <c r="AO180" s="195"/>
      <c r="AP180" s="195"/>
      <c r="AQ180" s="195"/>
      <c r="AR180" s="195"/>
      <c r="AS180" s="195"/>
      <c r="AT180" s="195"/>
      <c r="AU180" s="195"/>
      <c r="AV180" s="195"/>
      <c r="AW180" s="195"/>
      <c r="AX180" s="195"/>
      <c r="AY180" s="195"/>
      <c r="AZ180" s="195"/>
      <c r="BA180" s="195"/>
      <c r="BB180" s="195"/>
      <c r="BC180" s="195"/>
      <c r="BD180" s="195"/>
      <c r="BE180" s="195"/>
      <c r="BF180" s="195"/>
      <c r="BG180" s="195"/>
      <c r="BH180" s="195"/>
      <c r="BI180" s="195"/>
      <c r="BJ180" s="195"/>
      <c r="BK180" s="195"/>
      <c r="BL180" s="195"/>
      <c r="BM180" s="195"/>
      <c r="BN180" s="195"/>
      <c r="BO180" s="195"/>
      <c r="BP180" s="195"/>
      <c r="BQ180" s="195"/>
      <c r="BR180" s="195"/>
      <c r="BS180" s="195"/>
      <c r="BT180" s="195"/>
      <c r="BU180" s="195"/>
      <c r="BV180" s="195"/>
      <c r="BW180" s="195"/>
      <c r="BX180" s="195"/>
      <c r="BY180" s="195"/>
      <c r="BZ180" s="195"/>
      <c r="CA180" s="195"/>
      <c r="CB180" s="195"/>
      <c r="CC180" s="195"/>
      <c r="CD180" s="195"/>
      <c r="CE180" s="195"/>
      <c r="CF180" s="195"/>
      <c r="CG180" s="195"/>
      <c r="CH180" s="195"/>
      <c r="CI180" s="195"/>
      <c r="CJ180" s="195"/>
      <c r="CK180" s="195"/>
      <c r="CL180" s="195"/>
      <c r="CM180" s="195"/>
      <c r="CN180" s="195"/>
      <c r="CO180" s="195"/>
      <c r="CP180" s="195"/>
      <c r="CQ180" s="195"/>
      <c r="CR180" s="195"/>
      <c r="CS180" s="195"/>
      <c r="CT180" s="195"/>
      <c r="CU180" s="195"/>
      <c r="CV180" s="195"/>
      <c r="CW180" s="195"/>
      <c r="CX180" s="195"/>
      <c r="CY180" s="195"/>
      <c r="CZ180" s="195"/>
      <c r="DA180" s="195"/>
      <c r="DB180" s="195"/>
      <c r="DC180" s="195"/>
      <c r="DD180" s="195"/>
      <c r="DE180" s="195"/>
      <c r="DF180" s="195"/>
      <c r="DG180" s="195"/>
      <c r="DH180" s="195"/>
    </row>
    <row r="181" spans="5:112" s="193" customFormat="1">
      <c r="E181" s="32"/>
      <c r="F181" s="32"/>
      <c r="G181" s="29"/>
      <c r="H181" s="25"/>
      <c r="I181" s="25"/>
      <c r="J181" s="25"/>
      <c r="K181" s="25"/>
      <c r="L181" s="29"/>
      <c r="M181" s="29"/>
      <c r="N181" s="28"/>
      <c r="O181" s="30"/>
      <c r="P181" s="30"/>
      <c r="Q181" s="30"/>
      <c r="R181" s="30"/>
      <c r="S181" s="30"/>
      <c r="T181" s="30"/>
      <c r="U181" s="30"/>
      <c r="V181" s="29"/>
      <c r="W181" s="28"/>
      <c r="X181" s="149"/>
      <c r="Y181" s="149"/>
      <c r="Z181" s="150"/>
      <c r="AA181" s="150"/>
      <c r="AB181" s="151"/>
      <c r="AC181" s="150"/>
      <c r="AD181" s="150"/>
      <c r="AE181" s="150"/>
      <c r="AF181" s="150"/>
      <c r="AG181" s="150"/>
      <c r="AH181" s="150"/>
      <c r="AI181" s="195"/>
      <c r="AJ181" s="195"/>
      <c r="AK181" s="195"/>
      <c r="AL181" s="195"/>
      <c r="AM181" s="195"/>
      <c r="AN181" s="195"/>
      <c r="AO181" s="195"/>
      <c r="AP181" s="195"/>
      <c r="AQ181" s="195"/>
      <c r="AR181" s="195"/>
      <c r="AS181" s="195"/>
      <c r="AT181" s="195"/>
      <c r="AU181" s="195"/>
      <c r="AV181" s="195"/>
      <c r="AW181" s="195"/>
      <c r="AX181" s="195"/>
      <c r="AY181" s="195"/>
      <c r="AZ181" s="195"/>
      <c r="BA181" s="195"/>
      <c r="BB181" s="195"/>
      <c r="BC181" s="195"/>
      <c r="BD181" s="195"/>
      <c r="BE181" s="195"/>
      <c r="BF181" s="195"/>
      <c r="BG181" s="195"/>
      <c r="BH181" s="195"/>
      <c r="BI181" s="195"/>
      <c r="BJ181" s="195"/>
      <c r="BK181" s="195"/>
      <c r="BL181" s="195"/>
      <c r="BM181" s="195"/>
      <c r="BN181" s="195"/>
      <c r="BO181" s="195"/>
      <c r="BP181" s="195"/>
      <c r="BQ181" s="195"/>
      <c r="BR181" s="195"/>
      <c r="BS181" s="195"/>
      <c r="BT181" s="195"/>
      <c r="BU181" s="195"/>
      <c r="BV181" s="195"/>
      <c r="BW181" s="195"/>
      <c r="BX181" s="195"/>
      <c r="BY181" s="195"/>
      <c r="BZ181" s="195"/>
      <c r="CA181" s="195"/>
      <c r="CB181" s="195"/>
      <c r="CC181" s="195"/>
      <c r="CD181" s="195"/>
      <c r="CE181" s="195"/>
      <c r="CF181" s="195"/>
      <c r="CG181" s="195"/>
      <c r="CH181" s="195"/>
      <c r="CI181" s="195"/>
      <c r="CJ181" s="195"/>
      <c r="CK181" s="195"/>
      <c r="CL181" s="195"/>
      <c r="CM181" s="195"/>
      <c r="CN181" s="195"/>
      <c r="CO181" s="195"/>
      <c r="CP181" s="195"/>
      <c r="CQ181" s="195"/>
      <c r="CR181" s="195"/>
      <c r="CS181" s="195"/>
      <c r="CT181" s="195"/>
      <c r="CU181" s="195"/>
      <c r="CV181" s="195"/>
      <c r="CW181" s="195"/>
      <c r="CX181" s="195"/>
      <c r="CY181" s="195"/>
      <c r="CZ181" s="195"/>
      <c r="DA181" s="195"/>
      <c r="DB181" s="195"/>
      <c r="DC181" s="195"/>
      <c r="DD181" s="195"/>
      <c r="DE181" s="195"/>
      <c r="DF181" s="195"/>
      <c r="DG181" s="195"/>
      <c r="DH181" s="195"/>
    </row>
    <row r="182" spans="5:112" s="193" customFormat="1">
      <c r="E182" s="32"/>
      <c r="F182" s="32"/>
      <c r="G182" s="29"/>
      <c r="H182" s="25"/>
      <c r="I182" s="25"/>
      <c r="J182" s="25"/>
      <c r="K182" s="25"/>
      <c r="L182" s="29"/>
      <c r="M182" s="29"/>
      <c r="N182" s="28"/>
      <c r="O182" s="30"/>
      <c r="P182" s="30"/>
      <c r="Q182" s="30"/>
      <c r="R182" s="30"/>
      <c r="S182" s="30"/>
      <c r="T182" s="30"/>
      <c r="U182" s="30"/>
      <c r="V182" s="29"/>
      <c r="W182" s="28"/>
      <c r="X182" s="149"/>
      <c r="Y182" s="149"/>
      <c r="Z182" s="150"/>
      <c r="AA182" s="150"/>
      <c r="AB182" s="151"/>
      <c r="AC182" s="150"/>
      <c r="AD182" s="150"/>
      <c r="AE182" s="150"/>
      <c r="AF182" s="150"/>
      <c r="AG182" s="150"/>
      <c r="AH182" s="150"/>
      <c r="AI182" s="195"/>
      <c r="AJ182" s="195"/>
      <c r="AK182" s="195"/>
      <c r="AL182" s="195"/>
      <c r="AM182" s="195"/>
      <c r="AN182" s="195"/>
      <c r="AO182" s="195"/>
      <c r="AP182" s="195"/>
      <c r="AQ182" s="195"/>
      <c r="AR182" s="195"/>
      <c r="AS182" s="195"/>
      <c r="AT182" s="195"/>
      <c r="AU182" s="195"/>
      <c r="AV182" s="195"/>
      <c r="AW182" s="195"/>
      <c r="AX182" s="195"/>
      <c r="AY182" s="195"/>
      <c r="AZ182" s="195"/>
      <c r="BA182" s="195"/>
      <c r="BB182" s="195"/>
      <c r="BC182" s="195"/>
      <c r="BD182" s="195"/>
      <c r="BE182" s="195"/>
      <c r="BF182" s="195"/>
      <c r="BG182" s="195"/>
      <c r="BH182" s="195"/>
      <c r="BI182" s="195"/>
      <c r="BJ182" s="195"/>
      <c r="BK182" s="195"/>
      <c r="BL182" s="195"/>
      <c r="BM182" s="195"/>
      <c r="BN182" s="195"/>
      <c r="BO182" s="195"/>
      <c r="BP182" s="195"/>
      <c r="BQ182" s="195"/>
      <c r="BR182" s="195"/>
      <c r="BS182" s="195"/>
      <c r="BT182" s="195"/>
      <c r="BU182" s="195"/>
      <c r="BV182" s="195"/>
      <c r="BW182" s="195"/>
      <c r="BX182" s="195"/>
      <c r="BY182" s="195"/>
      <c r="BZ182" s="195"/>
      <c r="CA182" s="195"/>
      <c r="CB182" s="195"/>
      <c r="CC182" s="195"/>
      <c r="CD182" s="195"/>
      <c r="CE182" s="195"/>
      <c r="CF182" s="195"/>
      <c r="CG182" s="195"/>
      <c r="CH182" s="195"/>
      <c r="CI182" s="195"/>
      <c r="CJ182" s="195"/>
      <c r="CK182" s="195"/>
      <c r="CL182" s="195"/>
      <c r="CM182" s="195"/>
      <c r="CN182" s="195"/>
      <c r="CO182" s="195"/>
      <c r="CP182" s="195"/>
      <c r="CQ182" s="195"/>
      <c r="CR182" s="195"/>
      <c r="CS182" s="195"/>
      <c r="CT182" s="195"/>
      <c r="CU182" s="195"/>
      <c r="CV182" s="195"/>
      <c r="CW182" s="195"/>
      <c r="CX182" s="195"/>
      <c r="CY182" s="195"/>
      <c r="CZ182" s="195"/>
      <c r="DA182" s="195"/>
      <c r="DB182" s="195"/>
      <c r="DC182" s="195"/>
      <c r="DD182" s="195"/>
      <c r="DE182" s="195"/>
      <c r="DF182" s="195"/>
      <c r="DG182" s="195"/>
      <c r="DH182" s="195"/>
    </row>
    <row r="183" spans="5:112" s="193" customFormat="1">
      <c r="E183" s="32"/>
      <c r="F183" s="32"/>
      <c r="G183" s="29"/>
      <c r="H183" s="25"/>
      <c r="I183" s="25"/>
      <c r="J183" s="25"/>
      <c r="K183" s="25"/>
      <c r="L183" s="29"/>
      <c r="M183" s="29"/>
      <c r="N183" s="28"/>
      <c r="O183" s="30"/>
      <c r="P183" s="30"/>
      <c r="Q183" s="30"/>
      <c r="R183" s="30"/>
      <c r="S183" s="30"/>
      <c r="T183" s="30"/>
      <c r="U183" s="30"/>
      <c r="V183" s="29"/>
      <c r="W183" s="28"/>
      <c r="X183" s="149"/>
      <c r="Y183" s="149"/>
      <c r="Z183" s="150"/>
      <c r="AA183" s="150"/>
      <c r="AB183" s="151"/>
      <c r="AC183" s="150"/>
      <c r="AD183" s="150"/>
      <c r="AE183" s="150"/>
      <c r="AF183" s="150"/>
      <c r="AG183" s="150"/>
      <c r="AH183" s="150"/>
      <c r="AI183" s="195"/>
      <c r="AJ183" s="195"/>
      <c r="AK183" s="195"/>
      <c r="AL183" s="195"/>
      <c r="AM183" s="195"/>
      <c r="AN183" s="195"/>
      <c r="AO183" s="195"/>
      <c r="AP183" s="195"/>
      <c r="AQ183" s="195"/>
      <c r="AR183" s="195"/>
      <c r="AS183" s="195"/>
      <c r="AT183" s="195"/>
      <c r="AU183" s="195"/>
      <c r="AV183" s="195"/>
      <c r="AW183" s="195"/>
      <c r="AX183" s="195"/>
      <c r="AY183" s="195"/>
      <c r="AZ183" s="195"/>
      <c r="BA183" s="195"/>
      <c r="BB183" s="195"/>
      <c r="BC183" s="195"/>
      <c r="BD183" s="195"/>
      <c r="BE183" s="195"/>
      <c r="BF183" s="195"/>
      <c r="BG183" s="195"/>
      <c r="BH183" s="195"/>
      <c r="BI183" s="195"/>
      <c r="BJ183" s="195"/>
      <c r="BK183" s="195"/>
      <c r="BL183" s="195"/>
      <c r="BM183" s="195"/>
      <c r="BN183" s="195"/>
      <c r="BO183" s="195"/>
      <c r="BP183" s="195"/>
      <c r="BQ183" s="195"/>
      <c r="BR183" s="195"/>
      <c r="BS183" s="195"/>
      <c r="BT183" s="195"/>
      <c r="BU183" s="195"/>
      <c r="BV183" s="195"/>
      <c r="BW183" s="195"/>
      <c r="BX183" s="195"/>
      <c r="BY183" s="195"/>
      <c r="BZ183" s="195"/>
      <c r="CA183" s="195"/>
      <c r="CB183" s="195"/>
      <c r="CC183" s="195"/>
      <c r="CD183" s="195"/>
      <c r="CE183" s="195"/>
      <c r="CF183" s="195"/>
      <c r="CG183" s="195"/>
      <c r="CH183" s="195"/>
      <c r="CI183" s="195"/>
      <c r="CJ183" s="195"/>
      <c r="CK183" s="195"/>
      <c r="CL183" s="195"/>
      <c r="CM183" s="195"/>
      <c r="CN183" s="195"/>
      <c r="CO183" s="195"/>
      <c r="CP183" s="195"/>
      <c r="CQ183" s="195"/>
      <c r="CR183" s="195"/>
      <c r="CS183" s="195"/>
      <c r="CT183" s="195"/>
      <c r="CU183" s="195"/>
      <c r="CV183" s="195"/>
      <c r="CW183" s="195"/>
      <c r="CX183" s="195"/>
      <c r="CY183" s="195"/>
      <c r="CZ183" s="195"/>
      <c r="DA183" s="195"/>
      <c r="DB183" s="195"/>
      <c r="DC183" s="195"/>
      <c r="DD183" s="195"/>
      <c r="DE183" s="195"/>
      <c r="DF183" s="195"/>
      <c r="DG183" s="195"/>
      <c r="DH183" s="195"/>
    </row>
    <row r="184" spans="5:112" s="193" customFormat="1">
      <c r="E184" s="32"/>
      <c r="F184" s="32"/>
      <c r="G184" s="29"/>
      <c r="H184" s="25"/>
      <c r="I184" s="25"/>
      <c r="J184" s="25"/>
      <c r="K184" s="25"/>
      <c r="L184" s="29"/>
      <c r="M184" s="29"/>
      <c r="N184" s="28"/>
      <c r="O184" s="30"/>
      <c r="P184" s="30"/>
      <c r="Q184" s="30"/>
      <c r="R184" s="30"/>
      <c r="S184" s="30"/>
      <c r="T184" s="30"/>
      <c r="U184" s="30"/>
      <c r="V184" s="29"/>
      <c r="W184" s="28"/>
      <c r="X184" s="149"/>
      <c r="Y184" s="149"/>
      <c r="Z184" s="150"/>
      <c r="AA184" s="150"/>
      <c r="AB184" s="151"/>
      <c r="AC184" s="150"/>
      <c r="AD184" s="150"/>
      <c r="AE184" s="150"/>
      <c r="AF184" s="150"/>
      <c r="AG184" s="150"/>
      <c r="AH184" s="150"/>
      <c r="AI184" s="195"/>
      <c r="AJ184" s="195"/>
      <c r="AK184" s="195"/>
      <c r="AL184" s="195"/>
      <c r="AM184" s="195"/>
      <c r="AN184" s="195"/>
      <c r="AO184" s="195"/>
      <c r="AP184" s="195"/>
      <c r="AQ184" s="195"/>
      <c r="AR184" s="195"/>
      <c r="AS184" s="195"/>
      <c r="AT184" s="195"/>
      <c r="AU184" s="195"/>
      <c r="AV184" s="195"/>
      <c r="AW184" s="195"/>
      <c r="AX184" s="195"/>
      <c r="AY184" s="195"/>
      <c r="AZ184" s="195"/>
      <c r="BA184" s="195"/>
      <c r="BB184" s="195"/>
      <c r="BC184" s="195"/>
      <c r="BD184" s="195"/>
      <c r="BE184" s="195"/>
      <c r="BF184" s="195"/>
      <c r="BG184" s="195"/>
      <c r="BH184" s="195"/>
      <c r="BI184" s="195"/>
      <c r="BJ184" s="195"/>
      <c r="BK184" s="195"/>
      <c r="BL184" s="195"/>
      <c r="BM184" s="195"/>
      <c r="BN184" s="195"/>
      <c r="BO184" s="195"/>
      <c r="BP184" s="195"/>
      <c r="BQ184" s="195"/>
      <c r="BR184" s="195"/>
      <c r="BS184" s="195"/>
      <c r="BT184" s="195"/>
      <c r="BU184" s="195"/>
      <c r="BV184" s="195"/>
      <c r="BW184" s="195"/>
      <c r="BX184" s="195"/>
      <c r="BY184" s="195"/>
      <c r="BZ184" s="195"/>
      <c r="CA184" s="195"/>
      <c r="CB184" s="195"/>
      <c r="CC184" s="195"/>
      <c r="CD184" s="195"/>
      <c r="CE184" s="195"/>
      <c r="CF184" s="195"/>
      <c r="CG184" s="195"/>
      <c r="CH184" s="195"/>
      <c r="CI184" s="195"/>
      <c r="CJ184" s="195"/>
      <c r="CK184" s="195"/>
      <c r="CL184" s="195"/>
      <c r="CM184" s="195"/>
      <c r="CN184" s="195"/>
      <c r="CO184" s="195"/>
      <c r="CP184" s="195"/>
      <c r="CQ184" s="195"/>
      <c r="CR184" s="195"/>
      <c r="CS184" s="195"/>
      <c r="CT184" s="195"/>
      <c r="CU184" s="195"/>
      <c r="CV184" s="195"/>
      <c r="CW184" s="195"/>
      <c r="CX184" s="195"/>
      <c r="CY184" s="195"/>
      <c r="CZ184" s="195"/>
      <c r="DA184" s="195"/>
      <c r="DB184" s="195"/>
      <c r="DC184" s="195"/>
      <c r="DD184" s="195"/>
      <c r="DE184" s="195"/>
      <c r="DF184" s="195"/>
      <c r="DG184" s="195"/>
      <c r="DH184" s="195"/>
    </row>
    <row r="185" spans="5:112" s="193" customFormat="1">
      <c r="E185" s="32"/>
      <c r="F185" s="32"/>
      <c r="G185" s="29"/>
      <c r="H185" s="25"/>
      <c r="I185" s="25"/>
      <c r="J185" s="25"/>
      <c r="K185" s="25"/>
      <c r="L185" s="29"/>
      <c r="M185" s="29"/>
      <c r="N185" s="28"/>
      <c r="O185" s="30"/>
      <c r="P185" s="30"/>
      <c r="Q185" s="30"/>
      <c r="R185" s="30"/>
      <c r="S185" s="30"/>
      <c r="T185" s="30"/>
      <c r="U185" s="30"/>
      <c r="V185" s="29"/>
      <c r="W185" s="28"/>
      <c r="X185" s="149"/>
      <c r="Y185" s="149"/>
      <c r="Z185" s="150"/>
      <c r="AA185" s="150"/>
      <c r="AB185" s="151"/>
      <c r="AC185" s="150"/>
      <c r="AD185" s="150"/>
      <c r="AE185" s="150"/>
      <c r="AF185" s="150"/>
      <c r="AG185" s="150"/>
      <c r="AH185" s="150"/>
      <c r="AI185" s="195"/>
      <c r="AJ185" s="195"/>
      <c r="AK185" s="195"/>
      <c r="AL185" s="195"/>
      <c r="AM185" s="195"/>
      <c r="AN185" s="195"/>
      <c r="AO185" s="195"/>
      <c r="AP185" s="195"/>
      <c r="AQ185" s="195"/>
      <c r="AR185" s="195"/>
      <c r="AS185" s="195"/>
      <c r="AT185" s="195"/>
      <c r="AU185" s="195"/>
      <c r="AV185" s="195"/>
      <c r="AW185" s="195"/>
      <c r="AX185" s="195"/>
      <c r="AY185" s="195"/>
      <c r="AZ185" s="195"/>
      <c r="BA185" s="195"/>
      <c r="BB185" s="195"/>
      <c r="BC185" s="195"/>
      <c r="BD185" s="195"/>
      <c r="BE185" s="195"/>
      <c r="BF185" s="195"/>
      <c r="BG185" s="195"/>
      <c r="BH185" s="195"/>
      <c r="BI185" s="195"/>
      <c r="BJ185" s="195"/>
      <c r="BK185" s="195"/>
      <c r="BL185" s="195"/>
      <c r="BM185" s="195"/>
      <c r="BN185" s="195"/>
      <c r="BO185" s="195"/>
      <c r="BP185" s="195"/>
      <c r="BQ185" s="195"/>
      <c r="BR185" s="195"/>
      <c r="BS185" s="195"/>
      <c r="BT185" s="195"/>
      <c r="BU185" s="195"/>
      <c r="BV185" s="195"/>
      <c r="BW185" s="195"/>
      <c r="BX185" s="195"/>
      <c r="BY185" s="195"/>
      <c r="BZ185" s="195"/>
      <c r="CA185" s="195"/>
      <c r="CB185" s="195"/>
      <c r="CC185" s="195"/>
      <c r="CD185" s="195"/>
      <c r="CE185" s="195"/>
      <c r="CF185" s="195"/>
      <c r="CG185" s="195"/>
      <c r="CH185" s="195"/>
      <c r="CI185" s="195"/>
      <c r="CJ185" s="195"/>
      <c r="CK185" s="195"/>
      <c r="CL185" s="195"/>
      <c r="CM185" s="195"/>
      <c r="CN185" s="195"/>
      <c r="CO185" s="195"/>
      <c r="CP185" s="195"/>
      <c r="CQ185" s="195"/>
      <c r="CR185" s="195"/>
      <c r="CS185" s="195"/>
      <c r="CT185" s="195"/>
      <c r="CU185" s="195"/>
      <c r="CV185" s="195"/>
      <c r="CW185" s="195"/>
      <c r="CX185" s="195"/>
      <c r="CY185" s="195"/>
      <c r="CZ185" s="195"/>
      <c r="DA185" s="195"/>
      <c r="DB185" s="195"/>
      <c r="DC185" s="195"/>
      <c r="DD185" s="195"/>
      <c r="DE185" s="195"/>
      <c r="DF185" s="195"/>
      <c r="DG185" s="195"/>
      <c r="DH185" s="195"/>
    </row>
    <row r="186" spans="5:112" s="193" customFormat="1">
      <c r="E186" s="32"/>
      <c r="F186" s="32"/>
      <c r="G186" s="29"/>
      <c r="H186" s="25"/>
      <c r="I186" s="25"/>
      <c r="J186" s="25"/>
      <c r="K186" s="25"/>
      <c r="L186" s="29"/>
      <c r="M186" s="29"/>
      <c r="N186" s="28"/>
      <c r="O186" s="30"/>
      <c r="P186" s="30"/>
      <c r="Q186" s="30"/>
      <c r="R186" s="30"/>
      <c r="S186" s="30"/>
      <c r="T186" s="30"/>
      <c r="U186" s="30"/>
      <c r="V186" s="29"/>
      <c r="W186" s="28"/>
      <c r="X186" s="149"/>
      <c r="Y186" s="149"/>
      <c r="Z186" s="150"/>
      <c r="AA186" s="150"/>
      <c r="AB186" s="151"/>
      <c r="AC186" s="150"/>
      <c r="AD186" s="150"/>
      <c r="AE186" s="150"/>
      <c r="AF186" s="150"/>
      <c r="AG186" s="150"/>
      <c r="AH186" s="150"/>
      <c r="AI186" s="195"/>
      <c r="AJ186" s="195"/>
      <c r="AK186" s="195"/>
      <c r="AL186" s="195"/>
      <c r="AM186" s="195"/>
      <c r="AN186" s="195"/>
      <c r="AO186" s="195"/>
      <c r="AP186" s="195"/>
      <c r="AQ186" s="195"/>
      <c r="AR186" s="195"/>
      <c r="AS186" s="195"/>
      <c r="AT186" s="195"/>
      <c r="AU186" s="195"/>
      <c r="AV186" s="195"/>
      <c r="AW186" s="195"/>
      <c r="AX186" s="195"/>
      <c r="AY186" s="195"/>
      <c r="AZ186" s="195"/>
      <c r="BA186" s="195"/>
      <c r="BB186" s="195"/>
      <c r="BC186" s="195"/>
      <c r="BD186" s="195"/>
      <c r="BE186" s="195"/>
      <c r="BF186" s="195"/>
      <c r="BG186" s="195"/>
      <c r="BH186" s="195"/>
      <c r="BI186" s="195"/>
      <c r="BJ186" s="195"/>
      <c r="BK186" s="195"/>
      <c r="BL186" s="195"/>
      <c r="BM186" s="195"/>
      <c r="BN186" s="195"/>
      <c r="BO186" s="195"/>
      <c r="BP186" s="195"/>
      <c r="BQ186" s="195"/>
      <c r="BR186" s="195"/>
      <c r="BS186" s="195"/>
      <c r="BT186" s="195"/>
      <c r="BU186" s="195"/>
      <c r="BV186" s="195"/>
      <c r="BW186" s="195"/>
      <c r="BX186" s="195"/>
      <c r="BY186" s="195"/>
      <c r="BZ186" s="195"/>
      <c r="CA186" s="195"/>
      <c r="CB186" s="195"/>
      <c r="CC186" s="195"/>
      <c r="CD186" s="195"/>
      <c r="CE186" s="195"/>
      <c r="CF186" s="195"/>
      <c r="CG186" s="195"/>
      <c r="CH186" s="195"/>
      <c r="CI186" s="195"/>
      <c r="CJ186" s="195"/>
      <c r="CK186" s="195"/>
      <c r="CL186" s="195"/>
      <c r="CM186" s="195"/>
      <c r="CN186" s="195"/>
      <c r="CO186" s="195"/>
      <c r="CP186" s="195"/>
      <c r="CQ186" s="195"/>
      <c r="CR186" s="195"/>
      <c r="CS186" s="195"/>
      <c r="CT186" s="195"/>
      <c r="CU186" s="195"/>
      <c r="CV186" s="195"/>
      <c r="CW186" s="195"/>
      <c r="CX186" s="195"/>
      <c r="CY186" s="195"/>
      <c r="CZ186" s="195"/>
      <c r="DA186" s="195"/>
      <c r="DB186" s="195"/>
      <c r="DC186" s="195"/>
      <c r="DD186" s="195"/>
      <c r="DE186" s="195"/>
      <c r="DF186" s="195"/>
      <c r="DG186" s="195"/>
      <c r="DH186" s="195"/>
    </row>
    <row r="187" spans="5:112" s="193" customFormat="1">
      <c r="E187" s="32"/>
      <c r="F187" s="32"/>
      <c r="G187" s="29"/>
      <c r="H187" s="25"/>
      <c r="I187" s="25"/>
      <c r="J187" s="25"/>
      <c r="K187" s="25"/>
      <c r="L187" s="29"/>
      <c r="M187" s="29"/>
      <c r="N187" s="28"/>
      <c r="O187" s="30"/>
      <c r="P187" s="30"/>
      <c r="Q187" s="30"/>
      <c r="R187" s="30"/>
      <c r="S187" s="30"/>
      <c r="T187" s="30"/>
      <c r="U187" s="30"/>
      <c r="V187" s="29"/>
      <c r="W187" s="28"/>
      <c r="X187" s="149"/>
      <c r="Y187" s="149"/>
      <c r="Z187" s="150"/>
      <c r="AA187" s="150"/>
      <c r="AB187" s="151"/>
      <c r="AC187" s="150"/>
      <c r="AD187" s="150"/>
      <c r="AE187" s="150"/>
      <c r="AF187" s="150"/>
      <c r="AG187" s="150"/>
      <c r="AH187" s="150"/>
      <c r="AI187" s="195"/>
      <c r="AJ187" s="195"/>
      <c r="AK187" s="195"/>
      <c r="AL187" s="195"/>
      <c r="AM187" s="195"/>
      <c r="AN187" s="195"/>
      <c r="AO187" s="195"/>
      <c r="AP187" s="195"/>
      <c r="AQ187" s="195"/>
      <c r="AR187" s="195"/>
      <c r="AS187" s="195"/>
      <c r="AT187" s="195"/>
      <c r="AU187" s="195"/>
      <c r="AV187" s="195"/>
      <c r="AW187" s="195"/>
      <c r="AX187" s="195"/>
      <c r="AY187" s="195"/>
      <c r="AZ187" s="195"/>
      <c r="BA187" s="195"/>
      <c r="BB187" s="195"/>
      <c r="BC187" s="195"/>
      <c r="BD187" s="195"/>
      <c r="BE187" s="195"/>
      <c r="BF187" s="195"/>
      <c r="BG187" s="195"/>
      <c r="BH187" s="195"/>
      <c r="BI187" s="195"/>
      <c r="BJ187" s="195"/>
      <c r="BK187" s="195"/>
      <c r="BL187" s="195"/>
      <c r="BM187" s="195"/>
      <c r="BN187" s="195"/>
      <c r="BO187" s="195"/>
      <c r="BP187" s="195"/>
      <c r="BQ187" s="195"/>
      <c r="BR187" s="195"/>
      <c r="BS187" s="195"/>
      <c r="BT187" s="195"/>
      <c r="BU187" s="195"/>
      <c r="BV187" s="195"/>
      <c r="BW187" s="195"/>
      <c r="BX187" s="195"/>
      <c r="BY187" s="195"/>
      <c r="BZ187" s="195"/>
      <c r="CA187" s="195"/>
      <c r="CB187" s="195"/>
      <c r="CC187" s="195"/>
      <c r="CD187" s="195"/>
      <c r="CE187" s="195"/>
      <c r="CF187" s="195"/>
      <c r="CG187" s="195"/>
      <c r="CH187" s="195"/>
      <c r="CI187" s="195"/>
      <c r="CJ187" s="195"/>
      <c r="CK187" s="195"/>
      <c r="CL187" s="195"/>
      <c r="CM187" s="195"/>
      <c r="CN187" s="195"/>
      <c r="CO187" s="195"/>
      <c r="CP187" s="195"/>
      <c r="CQ187" s="195"/>
      <c r="CR187" s="195"/>
      <c r="CS187" s="195"/>
      <c r="CT187" s="195"/>
      <c r="CU187" s="195"/>
      <c r="CV187" s="195"/>
      <c r="CW187" s="195"/>
      <c r="CX187" s="195"/>
      <c r="CY187" s="195"/>
      <c r="CZ187" s="195"/>
      <c r="DA187" s="195"/>
      <c r="DB187" s="195"/>
      <c r="DC187" s="195"/>
      <c r="DD187" s="195"/>
      <c r="DE187" s="195"/>
      <c r="DF187" s="195"/>
      <c r="DG187" s="195"/>
      <c r="DH187" s="195"/>
    </row>
    <row r="188" spans="5:112" s="193" customFormat="1">
      <c r="E188" s="32"/>
      <c r="F188" s="32"/>
      <c r="G188" s="29"/>
      <c r="H188" s="25"/>
      <c r="I188" s="25"/>
      <c r="J188" s="25"/>
      <c r="K188" s="25"/>
      <c r="L188" s="29"/>
      <c r="M188" s="29"/>
      <c r="N188" s="28"/>
      <c r="O188" s="30"/>
      <c r="P188" s="30"/>
      <c r="Q188" s="30"/>
      <c r="R188" s="30"/>
      <c r="S188" s="30"/>
      <c r="T188" s="30"/>
      <c r="U188" s="30"/>
      <c r="V188" s="29"/>
      <c r="W188" s="28"/>
      <c r="X188" s="149"/>
      <c r="Y188" s="149"/>
      <c r="Z188" s="150"/>
      <c r="AA188" s="150"/>
      <c r="AB188" s="151"/>
      <c r="AC188" s="150"/>
      <c r="AD188" s="150"/>
      <c r="AE188" s="150"/>
      <c r="AF188" s="150"/>
      <c r="AG188" s="150"/>
      <c r="AH188" s="150"/>
      <c r="AI188" s="195"/>
      <c r="AJ188" s="195"/>
      <c r="AK188" s="195"/>
      <c r="AL188" s="195"/>
      <c r="AM188" s="195"/>
      <c r="AN188" s="195"/>
      <c r="AO188" s="195"/>
      <c r="AP188" s="195"/>
      <c r="AQ188" s="195"/>
      <c r="AR188" s="195"/>
      <c r="AS188" s="195"/>
      <c r="AT188" s="195"/>
      <c r="AU188" s="195"/>
      <c r="AV188" s="195"/>
      <c r="AW188" s="195"/>
      <c r="AX188" s="195"/>
      <c r="AY188" s="195"/>
      <c r="AZ188" s="195"/>
      <c r="BA188" s="195"/>
      <c r="BB188" s="195"/>
      <c r="BC188" s="195"/>
      <c r="BD188" s="195"/>
      <c r="BE188" s="195"/>
      <c r="BF188" s="195"/>
      <c r="BG188" s="195"/>
      <c r="BH188" s="195"/>
      <c r="BI188" s="195"/>
      <c r="BJ188" s="195"/>
      <c r="BK188" s="195"/>
      <c r="BL188" s="195"/>
      <c r="BM188" s="195"/>
      <c r="BN188" s="195"/>
      <c r="BO188" s="195"/>
      <c r="BP188" s="195"/>
      <c r="BQ188" s="195"/>
      <c r="BR188" s="195"/>
      <c r="BS188" s="195"/>
      <c r="BT188" s="195"/>
      <c r="BU188" s="195"/>
      <c r="BV188" s="195"/>
      <c r="BW188" s="195"/>
      <c r="BX188" s="195"/>
      <c r="BY188" s="195"/>
      <c r="BZ188" s="195"/>
      <c r="CA188" s="195"/>
      <c r="CB188" s="195"/>
      <c r="CC188" s="195"/>
      <c r="CD188" s="195"/>
      <c r="CE188" s="195"/>
      <c r="CF188" s="195"/>
      <c r="CG188" s="195"/>
      <c r="CH188" s="195"/>
      <c r="CI188" s="195"/>
      <c r="CJ188" s="195"/>
      <c r="CK188" s="195"/>
      <c r="CL188" s="195"/>
      <c r="CM188" s="195"/>
      <c r="CN188" s="195"/>
      <c r="CO188" s="195"/>
      <c r="CP188" s="195"/>
      <c r="CQ188" s="195"/>
      <c r="CR188" s="195"/>
      <c r="CS188" s="195"/>
      <c r="CT188" s="195"/>
      <c r="CU188" s="195"/>
      <c r="CV188" s="195"/>
      <c r="CW188" s="195"/>
      <c r="CX188" s="195"/>
      <c r="CY188" s="195"/>
      <c r="CZ188" s="195"/>
      <c r="DA188" s="195"/>
      <c r="DB188" s="195"/>
      <c r="DC188" s="195"/>
      <c r="DD188" s="195"/>
      <c r="DE188" s="195"/>
      <c r="DF188" s="195"/>
      <c r="DG188" s="195"/>
      <c r="DH188" s="195"/>
    </row>
    <row r="189" spans="5:112" s="193" customFormat="1">
      <c r="E189" s="32"/>
      <c r="F189" s="32"/>
      <c r="G189" s="29"/>
      <c r="H189" s="25"/>
      <c r="I189" s="25"/>
      <c r="J189" s="25"/>
      <c r="K189" s="25"/>
      <c r="L189" s="29"/>
      <c r="M189" s="29"/>
      <c r="N189" s="28"/>
      <c r="O189" s="30"/>
      <c r="P189" s="30"/>
      <c r="Q189" s="30"/>
      <c r="R189" s="30"/>
      <c r="S189" s="30"/>
      <c r="T189" s="30"/>
      <c r="U189" s="30"/>
      <c r="V189" s="29"/>
      <c r="W189" s="28"/>
      <c r="X189" s="149"/>
      <c r="Y189" s="149"/>
      <c r="Z189" s="150"/>
      <c r="AA189" s="150"/>
      <c r="AB189" s="151"/>
      <c r="AC189" s="150"/>
      <c r="AD189" s="150"/>
      <c r="AE189" s="150"/>
      <c r="AF189" s="150"/>
      <c r="AG189" s="150"/>
      <c r="AH189" s="150"/>
      <c r="AI189" s="195"/>
      <c r="AJ189" s="195"/>
      <c r="AK189" s="195"/>
      <c r="AL189" s="195"/>
      <c r="AM189" s="195"/>
      <c r="AN189" s="195"/>
      <c r="AO189" s="195"/>
      <c r="AP189" s="195"/>
      <c r="AQ189" s="195"/>
      <c r="AR189" s="195"/>
      <c r="AS189" s="195"/>
      <c r="AT189" s="195"/>
      <c r="AU189" s="195"/>
      <c r="AV189" s="195"/>
      <c r="AW189" s="195"/>
      <c r="AX189" s="195"/>
      <c r="AY189" s="195"/>
      <c r="AZ189" s="195"/>
      <c r="BA189" s="195"/>
      <c r="BB189" s="195"/>
      <c r="BC189" s="195"/>
      <c r="BD189" s="195"/>
      <c r="BE189" s="195"/>
      <c r="BF189" s="195"/>
      <c r="BG189" s="195"/>
      <c r="BH189" s="195"/>
      <c r="BI189" s="195"/>
      <c r="BJ189" s="195"/>
      <c r="BK189" s="195"/>
      <c r="BL189" s="195"/>
      <c r="BM189" s="195"/>
      <c r="BN189" s="195"/>
      <c r="BO189" s="195"/>
      <c r="BP189" s="195"/>
      <c r="BQ189" s="195"/>
      <c r="BR189" s="195"/>
      <c r="BS189" s="195"/>
      <c r="BT189" s="195"/>
      <c r="BU189" s="195"/>
      <c r="BV189" s="195"/>
      <c r="BW189" s="195"/>
      <c r="BX189" s="195"/>
      <c r="BY189" s="195"/>
      <c r="BZ189" s="195"/>
      <c r="CA189" s="195"/>
      <c r="CB189" s="195"/>
      <c r="CC189" s="195"/>
      <c r="CD189" s="195"/>
      <c r="CE189" s="195"/>
      <c r="CF189" s="195"/>
      <c r="CG189" s="195"/>
      <c r="CH189" s="195"/>
      <c r="CI189" s="195"/>
      <c r="CJ189" s="195"/>
      <c r="CK189" s="195"/>
      <c r="CL189" s="195"/>
      <c r="CM189" s="195"/>
      <c r="CN189" s="195"/>
      <c r="CO189" s="195"/>
      <c r="CP189" s="195"/>
      <c r="CQ189" s="195"/>
      <c r="CR189" s="195"/>
      <c r="CS189" s="195"/>
      <c r="CT189" s="195"/>
      <c r="CU189" s="195"/>
      <c r="CV189" s="195"/>
      <c r="CW189" s="195"/>
      <c r="CX189" s="195"/>
      <c r="CY189" s="195"/>
      <c r="CZ189" s="195"/>
      <c r="DA189" s="195"/>
      <c r="DB189" s="195"/>
      <c r="DC189" s="195"/>
      <c r="DD189" s="195"/>
      <c r="DE189" s="195"/>
      <c r="DF189" s="195"/>
      <c r="DG189" s="195"/>
      <c r="DH189" s="195"/>
    </row>
    <row r="190" spans="5:112" s="193" customFormat="1">
      <c r="E190" s="32"/>
      <c r="F190" s="32"/>
      <c r="G190" s="29"/>
      <c r="H190" s="25"/>
      <c r="I190" s="25"/>
      <c r="J190" s="25"/>
      <c r="K190" s="25"/>
      <c r="L190" s="29"/>
      <c r="M190" s="29"/>
      <c r="N190" s="28"/>
      <c r="O190" s="30"/>
      <c r="P190" s="30"/>
      <c r="Q190" s="30"/>
      <c r="R190" s="30"/>
      <c r="S190" s="30"/>
      <c r="T190" s="30"/>
      <c r="U190" s="30"/>
      <c r="V190" s="29"/>
      <c r="W190" s="28"/>
      <c r="X190" s="149"/>
      <c r="Y190" s="149"/>
      <c r="Z190" s="150"/>
      <c r="AA190" s="150"/>
      <c r="AB190" s="151"/>
      <c r="AC190" s="150"/>
      <c r="AD190" s="150"/>
      <c r="AE190" s="150"/>
      <c r="AF190" s="150"/>
      <c r="AG190" s="150"/>
      <c r="AH190" s="150"/>
      <c r="AI190" s="195"/>
      <c r="AJ190" s="195"/>
      <c r="AK190" s="195"/>
      <c r="AL190" s="195"/>
      <c r="AM190" s="195"/>
      <c r="AN190" s="195"/>
      <c r="AO190" s="195"/>
      <c r="AP190" s="195"/>
      <c r="AQ190" s="195"/>
      <c r="AR190" s="195"/>
      <c r="AS190" s="195"/>
      <c r="AT190" s="195"/>
      <c r="AU190" s="195"/>
      <c r="AV190" s="195"/>
      <c r="AW190" s="195"/>
      <c r="AX190" s="195"/>
      <c r="AY190" s="195"/>
      <c r="AZ190" s="195"/>
      <c r="BA190" s="195"/>
      <c r="BB190" s="195"/>
      <c r="BC190" s="195"/>
      <c r="BD190" s="195"/>
      <c r="BE190" s="195"/>
      <c r="BF190" s="195"/>
      <c r="BG190" s="195"/>
      <c r="BH190" s="195"/>
      <c r="BI190" s="195"/>
      <c r="BJ190" s="195"/>
      <c r="BK190" s="195"/>
      <c r="BL190" s="195"/>
      <c r="BM190" s="195"/>
      <c r="BN190" s="195"/>
      <c r="BO190" s="195"/>
      <c r="BP190" s="195"/>
      <c r="BQ190" s="195"/>
      <c r="BR190" s="195"/>
      <c r="BS190" s="195"/>
      <c r="BT190" s="195"/>
      <c r="BU190" s="195"/>
      <c r="BV190" s="195"/>
      <c r="BW190" s="195"/>
      <c r="BX190" s="195"/>
      <c r="BY190" s="195"/>
      <c r="BZ190" s="195"/>
      <c r="CA190" s="195"/>
      <c r="CB190" s="195"/>
      <c r="CC190" s="195"/>
      <c r="CD190" s="195"/>
      <c r="CE190" s="195"/>
      <c r="CF190" s="195"/>
      <c r="CG190" s="195"/>
      <c r="CH190" s="195"/>
      <c r="CI190" s="195"/>
      <c r="CJ190" s="195"/>
      <c r="CK190" s="195"/>
      <c r="CL190" s="195"/>
      <c r="CM190" s="195"/>
      <c r="CN190" s="195"/>
      <c r="CO190" s="195"/>
      <c r="CP190" s="195"/>
      <c r="CQ190" s="195"/>
      <c r="CR190" s="195"/>
      <c r="CS190" s="195"/>
      <c r="CT190" s="195"/>
      <c r="CU190" s="195"/>
      <c r="CV190" s="195"/>
      <c r="CW190" s="195"/>
      <c r="CX190" s="195"/>
      <c r="CY190" s="195"/>
      <c r="CZ190" s="195"/>
      <c r="DA190" s="195"/>
      <c r="DB190" s="195"/>
      <c r="DC190" s="195"/>
      <c r="DD190" s="195"/>
      <c r="DE190" s="195"/>
      <c r="DF190" s="195"/>
      <c r="DG190" s="195"/>
      <c r="DH190" s="195"/>
    </row>
    <row r="191" spans="5:112" s="193" customFormat="1">
      <c r="E191" s="32"/>
      <c r="F191" s="32"/>
      <c r="G191" s="29"/>
      <c r="H191" s="25"/>
      <c r="I191" s="25"/>
      <c r="J191" s="25"/>
      <c r="K191" s="25"/>
      <c r="L191" s="29"/>
      <c r="M191" s="29"/>
      <c r="N191" s="28"/>
      <c r="O191" s="30"/>
      <c r="P191" s="30"/>
      <c r="Q191" s="30"/>
      <c r="R191" s="30"/>
      <c r="S191" s="30"/>
      <c r="T191" s="30"/>
      <c r="U191" s="30"/>
      <c r="V191" s="29"/>
      <c r="W191" s="28"/>
      <c r="X191" s="149"/>
      <c r="Y191" s="149"/>
      <c r="Z191" s="150"/>
      <c r="AA191" s="150"/>
      <c r="AB191" s="151"/>
      <c r="AC191" s="150"/>
      <c r="AD191" s="150"/>
      <c r="AE191" s="150"/>
      <c r="AF191" s="150"/>
      <c r="AG191" s="150"/>
      <c r="AH191" s="150"/>
      <c r="AI191" s="195"/>
      <c r="AJ191" s="195"/>
      <c r="AK191" s="195"/>
      <c r="AL191" s="195"/>
      <c r="AM191" s="195"/>
      <c r="AN191" s="195"/>
      <c r="AO191" s="195"/>
      <c r="AP191" s="195"/>
      <c r="AQ191" s="195"/>
      <c r="AR191" s="195"/>
      <c r="AS191" s="195"/>
      <c r="AT191" s="195"/>
      <c r="AU191" s="195"/>
      <c r="AV191" s="195"/>
      <c r="AW191" s="195"/>
      <c r="AX191" s="195"/>
      <c r="AY191" s="195"/>
      <c r="AZ191" s="195"/>
      <c r="BA191" s="195"/>
      <c r="BB191" s="195"/>
      <c r="BC191" s="195"/>
      <c r="BD191" s="195"/>
      <c r="BE191" s="195"/>
      <c r="BF191" s="195"/>
      <c r="BG191" s="195"/>
      <c r="BH191" s="195"/>
      <c r="BI191" s="195"/>
      <c r="BJ191" s="195"/>
      <c r="BK191" s="195"/>
      <c r="BL191" s="195"/>
      <c r="BM191" s="195"/>
      <c r="BN191" s="195"/>
      <c r="BO191" s="195"/>
      <c r="BP191" s="195"/>
      <c r="BQ191" s="195"/>
      <c r="BR191" s="195"/>
      <c r="BS191" s="195"/>
      <c r="BT191" s="195"/>
      <c r="BU191" s="195"/>
      <c r="BV191" s="195"/>
      <c r="BW191" s="195"/>
      <c r="BX191" s="195"/>
      <c r="BY191" s="195"/>
      <c r="BZ191" s="195"/>
      <c r="CA191" s="195"/>
      <c r="CB191" s="195"/>
      <c r="CC191" s="195"/>
      <c r="CD191" s="195"/>
      <c r="CE191" s="195"/>
      <c r="CF191" s="195"/>
      <c r="CG191" s="195"/>
      <c r="CH191" s="195"/>
      <c r="CI191" s="195"/>
      <c r="CJ191" s="195"/>
      <c r="CK191" s="195"/>
      <c r="CL191" s="195"/>
      <c r="CM191" s="195"/>
      <c r="CN191" s="195"/>
      <c r="CO191" s="195"/>
      <c r="CP191" s="195"/>
      <c r="CQ191" s="195"/>
      <c r="CR191" s="195"/>
      <c r="CS191" s="195"/>
      <c r="CT191" s="195"/>
      <c r="CU191" s="195"/>
      <c r="CV191" s="195"/>
      <c r="CW191" s="195"/>
      <c r="CX191" s="195"/>
      <c r="CY191" s="195"/>
      <c r="CZ191" s="195"/>
      <c r="DA191" s="195"/>
      <c r="DB191" s="195"/>
      <c r="DC191" s="195"/>
      <c r="DD191" s="195"/>
      <c r="DE191" s="195"/>
      <c r="DF191" s="195"/>
      <c r="DG191" s="195"/>
      <c r="DH191" s="195"/>
    </row>
    <row r="192" spans="5:112" s="193" customFormat="1">
      <c r="E192" s="32"/>
      <c r="F192" s="32"/>
      <c r="G192" s="29"/>
      <c r="H192" s="25"/>
      <c r="I192" s="25"/>
      <c r="J192" s="25"/>
      <c r="K192" s="25"/>
      <c r="L192" s="29"/>
      <c r="M192" s="29"/>
      <c r="N192" s="28"/>
      <c r="O192" s="30"/>
      <c r="P192" s="30"/>
      <c r="Q192" s="30"/>
      <c r="R192" s="30"/>
      <c r="S192" s="30"/>
      <c r="T192" s="30"/>
      <c r="U192" s="30"/>
      <c r="V192" s="29"/>
      <c r="W192" s="28"/>
      <c r="X192" s="149"/>
      <c r="Y192" s="149"/>
      <c r="Z192" s="150"/>
      <c r="AA192" s="150"/>
      <c r="AB192" s="151"/>
      <c r="AC192" s="150"/>
      <c r="AD192" s="150"/>
      <c r="AE192" s="150"/>
      <c r="AF192" s="150"/>
      <c r="AG192" s="150"/>
      <c r="AH192" s="150"/>
      <c r="AI192" s="195"/>
      <c r="AJ192" s="195"/>
      <c r="AK192" s="195"/>
      <c r="AL192" s="195"/>
      <c r="AM192" s="195"/>
      <c r="AN192" s="195"/>
      <c r="AO192" s="195"/>
      <c r="AP192" s="195"/>
      <c r="AQ192" s="195"/>
      <c r="AR192" s="195"/>
      <c r="AS192" s="195"/>
      <c r="AT192" s="195"/>
      <c r="AU192" s="195"/>
      <c r="AV192" s="195"/>
      <c r="AW192" s="195"/>
      <c r="AX192" s="195"/>
      <c r="AY192" s="195"/>
      <c r="AZ192" s="195"/>
      <c r="BA192" s="195"/>
      <c r="BB192" s="195"/>
      <c r="BC192" s="195"/>
      <c r="BD192" s="195"/>
      <c r="BE192" s="195"/>
      <c r="BF192" s="195"/>
      <c r="BG192" s="195"/>
      <c r="BH192" s="195"/>
      <c r="BI192" s="195"/>
      <c r="BJ192" s="195"/>
      <c r="BK192" s="195"/>
      <c r="BL192" s="195"/>
      <c r="BM192" s="195"/>
      <c r="BN192" s="195"/>
      <c r="BO192" s="195"/>
      <c r="BP192" s="195"/>
      <c r="BQ192" s="195"/>
      <c r="BR192" s="195"/>
      <c r="BS192" s="195"/>
      <c r="BT192" s="195"/>
      <c r="BU192" s="195"/>
      <c r="BV192" s="195"/>
      <c r="BW192" s="195"/>
      <c r="BX192" s="195"/>
      <c r="BY192" s="195"/>
      <c r="BZ192" s="195"/>
      <c r="CA192" s="195"/>
      <c r="CB192" s="195"/>
      <c r="CC192" s="195"/>
      <c r="CD192" s="195"/>
      <c r="CE192" s="195"/>
      <c r="CF192" s="195"/>
      <c r="CG192" s="195"/>
      <c r="CH192" s="195"/>
      <c r="CI192" s="195"/>
      <c r="CJ192" s="195"/>
      <c r="CK192" s="195"/>
      <c r="CL192" s="195"/>
      <c r="CM192" s="195"/>
      <c r="CN192" s="195"/>
      <c r="CO192" s="195"/>
      <c r="CP192" s="195"/>
      <c r="CQ192" s="195"/>
      <c r="CR192" s="195"/>
      <c r="CS192" s="195"/>
      <c r="CT192" s="195"/>
      <c r="CU192" s="195"/>
      <c r="CV192" s="195"/>
      <c r="CW192" s="195"/>
      <c r="CX192" s="195"/>
      <c r="CY192" s="195"/>
      <c r="CZ192" s="195"/>
      <c r="DA192" s="195"/>
      <c r="DB192" s="195"/>
      <c r="DC192" s="195"/>
      <c r="DD192" s="195"/>
      <c r="DE192" s="195"/>
      <c r="DF192" s="195"/>
      <c r="DG192" s="195"/>
      <c r="DH192" s="195"/>
    </row>
    <row r="193" spans="5:112" s="193" customFormat="1">
      <c r="E193" s="32"/>
      <c r="F193" s="32"/>
      <c r="G193" s="29"/>
      <c r="H193" s="25"/>
      <c r="I193" s="25"/>
      <c r="J193" s="25"/>
      <c r="K193" s="25"/>
      <c r="L193" s="29"/>
      <c r="M193" s="29"/>
      <c r="N193" s="28"/>
      <c r="O193" s="30"/>
      <c r="P193" s="30"/>
      <c r="Q193" s="30"/>
      <c r="R193" s="30"/>
      <c r="S193" s="30"/>
      <c r="T193" s="30"/>
      <c r="U193" s="30"/>
      <c r="V193" s="29"/>
      <c r="W193" s="28"/>
      <c r="X193" s="149"/>
      <c r="Y193" s="149"/>
      <c r="Z193" s="150"/>
      <c r="AA193" s="150"/>
      <c r="AB193" s="151"/>
      <c r="AC193" s="150"/>
      <c r="AD193" s="150"/>
      <c r="AE193" s="150"/>
      <c r="AF193" s="150"/>
      <c r="AG193" s="150"/>
      <c r="AH193" s="150"/>
      <c r="AI193" s="195"/>
      <c r="AJ193" s="195"/>
      <c r="AK193" s="195"/>
      <c r="AL193" s="195"/>
      <c r="AM193" s="195"/>
      <c r="AN193" s="195"/>
      <c r="AO193" s="195"/>
      <c r="AP193" s="195"/>
      <c r="AQ193" s="195"/>
      <c r="AR193" s="195"/>
      <c r="AS193" s="195"/>
      <c r="AT193" s="195"/>
      <c r="AU193" s="195"/>
      <c r="AV193" s="195"/>
      <c r="AW193" s="195"/>
      <c r="AX193" s="195"/>
      <c r="AY193" s="195"/>
      <c r="AZ193" s="195"/>
      <c r="BA193" s="195"/>
      <c r="BB193" s="195"/>
      <c r="BC193" s="195"/>
      <c r="BD193" s="195"/>
      <c r="BE193" s="195"/>
      <c r="BF193" s="195"/>
      <c r="BG193" s="195"/>
      <c r="BH193" s="195"/>
      <c r="BI193" s="195"/>
      <c r="BJ193" s="195"/>
      <c r="BK193" s="195"/>
      <c r="BL193" s="195"/>
      <c r="BM193" s="195"/>
      <c r="BN193" s="195"/>
      <c r="BO193" s="195"/>
      <c r="BP193" s="195"/>
      <c r="BQ193" s="195"/>
      <c r="BR193" s="195"/>
      <c r="BS193" s="195"/>
      <c r="BT193" s="195"/>
      <c r="BU193" s="195"/>
      <c r="BV193" s="195"/>
      <c r="BW193" s="195"/>
      <c r="BX193" s="195"/>
      <c r="BY193" s="195"/>
      <c r="BZ193" s="195"/>
      <c r="CA193" s="195"/>
      <c r="CB193" s="195"/>
      <c r="CC193" s="195"/>
      <c r="CD193" s="195"/>
      <c r="CE193" s="195"/>
      <c r="CF193" s="195"/>
      <c r="CG193" s="195"/>
      <c r="CH193" s="195"/>
      <c r="CI193" s="195"/>
      <c r="CJ193" s="195"/>
      <c r="CK193" s="195"/>
      <c r="CL193" s="195"/>
      <c r="CM193" s="195"/>
      <c r="CN193" s="195"/>
      <c r="CO193" s="195"/>
      <c r="CP193" s="195"/>
      <c r="CQ193" s="195"/>
      <c r="CR193" s="195"/>
      <c r="CS193" s="195"/>
      <c r="CT193" s="195"/>
      <c r="CU193" s="195"/>
      <c r="CV193" s="195"/>
      <c r="CW193" s="195"/>
      <c r="CX193" s="195"/>
      <c r="CY193" s="195"/>
      <c r="CZ193" s="195"/>
      <c r="DA193" s="195"/>
      <c r="DB193" s="195"/>
      <c r="DC193" s="195"/>
      <c r="DD193" s="195"/>
      <c r="DE193" s="195"/>
      <c r="DF193" s="195"/>
      <c r="DG193" s="195"/>
      <c r="DH193" s="195"/>
    </row>
    <row r="194" spans="5:112" s="193" customFormat="1">
      <c r="E194" s="32"/>
      <c r="F194" s="32"/>
      <c r="G194" s="29"/>
      <c r="H194" s="25"/>
      <c r="I194" s="25"/>
      <c r="J194" s="25"/>
      <c r="K194" s="25"/>
      <c r="L194" s="29"/>
      <c r="M194" s="29"/>
      <c r="N194" s="28"/>
      <c r="O194" s="30"/>
      <c r="P194" s="30"/>
      <c r="Q194" s="30"/>
      <c r="R194" s="30"/>
      <c r="S194" s="30"/>
      <c r="T194" s="30"/>
      <c r="U194" s="30"/>
      <c r="V194" s="29"/>
      <c r="W194" s="28"/>
      <c r="X194" s="149"/>
      <c r="Y194" s="149"/>
      <c r="Z194" s="150"/>
      <c r="AA194" s="150"/>
      <c r="AB194" s="151"/>
      <c r="AC194" s="150"/>
      <c r="AD194" s="150"/>
      <c r="AE194" s="150"/>
      <c r="AF194" s="150"/>
      <c r="AG194" s="150"/>
      <c r="AH194" s="150"/>
      <c r="AI194" s="195"/>
      <c r="AJ194" s="195"/>
      <c r="AK194" s="195"/>
      <c r="AL194" s="195"/>
      <c r="AM194" s="195"/>
      <c r="AN194" s="195"/>
      <c r="AO194" s="195"/>
      <c r="AP194" s="195"/>
      <c r="AQ194" s="195"/>
      <c r="AR194" s="195"/>
      <c r="AS194" s="195"/>
      <c r="AT194" s="195"/>
      <c r="AU194" s="195"/>
      <c r="AV194" s="195"/>
      <c r="AW194" s="195"/>
      <c r="AX194" s="195"/>
      <c r="AY194" s="195"/>
      <c r="AZ194" s="195"/>
      <c r="BA194" s="195"/>
      <c r="BB194" s="195"/>
      <c r="BC194" s="195"/>
      <c r="BD194" s="195"/>
      <c r="BE194" s="195"/>
      <c r="BF194" s="195"/>
      <c r="BG194" s="195"/>
      <c r="BH194" s="195"/>
      <c r="BI194" s="195"/>
      <c r="BJ194" s="195"/>
      <c r="BK194" s="195"/>
      <c r="BL194" s="195"/>
      <c r="BM194" s="195"/>
      <c r="BN194" s="195"/>
      <c r="BO194" s="195"/>
      <c r="BP194" s="195"/>
      <c r="BQ194" s="195"/>
      <c r="BR194" s="195"/>
      <c r="BS194" s="195"/>
      <c r="BT194" s="195"/>
      <c r="BU194" s="195"/>
      <c r="BV194" s="195"/>
      <c r="BW194" s="195"/>
      <c r="BX194" s="195"/>
      <c r="BY194" s="195"/>
      <c r="BZ194" s="195"/>
      <c r="CA194" s="195"/>
      <c r="CB194" s="195"/>
      <c r="CC194" s="195"/>
      <c r="CD194" s="195"/>
      <c r="CE194" s="195"/>
      <c r="CF194" s="195"/>
      <c r="CG194" s="195"/>
      <c r="CH194" s="195"/>
      <c r="CI194" s="195"/>
      <c r="CJ194" s="195"/>
      <c r="CK194" s="195"/>
      <c r="CL194" s="195"/>
      <c r="CM194" s="195"/>
      <c r="CN194" s="195"/>
      <c r="CO194" s="195"/>
      <c r="CP194" s="195"/>
      <c r="CQ194" s="195"/>
      <c r="CR194" s="195"/>
      <c r="CS194" s="195"/>
      <c r="CT194" s="195"/>
      <c r="CU194" s="195"/>
      <c r="CV194" s="195"/>
      <c r="CW194" s="195"/>
      <c r="CX194" s="195"/>
      <c r="CY194" s="195"/>
      <c r="CZ194" s="195"/>
      <c r="DA194" s="195"/>
      <c r="DB194" s="195"/>
      <c r="DC194" s="195"/>
      <c r="DD194" s="195"/>
      <c r="DE194" s="195"/>
      <c r="DF194" s="195"/>
      <c r="DG194" s="195"/>
      <c r="DH194" s="195"/>
    </row>
    <row r="195" spans="5:112" s="193" customFormat="1">
      <c r="E195" s="32"/>
      <c r="F195" s="32"/>
      <c r="G195" s="29"/>
      <c r="H195" s="25"/>
      <c r="I195" s="25"/>
      <c r="J195" s="25"/>
      <c r="K195" s="25"/>
      <c r="L195" s="29"/>
      <c r="M195" s="29"/>
      <c r="N195" s="28"/>
      <c r="O195" s="30"/>
      <c r="P195" s="30"/>
      <c r="Q195" s="30"/>
      <c r="R195" s="30"/>
      <c r="S195" s="30"/>
      <c r="T195" s="30"/>
      <c r="U195" s="30"/>
      <c r="V195" s="29"/>
      <c r="W195" s="28"/>
      <c r="X195" s="149"/>
      <c r="Y195" s="149"/>
      <c r="Z195" s="150"/>
      <c r="AA195" s="150"/>
      <c r="AB195" s="151"/>
      <c r="AC195" s="150"/>
      <c r="AD195" s="150"/>
      <c r="AE195" s="150"/>
      <c r="AF195" s="150"/>
      <c r="AG195" s="150"/>
      <c r="AH195" s="150"/>
      <c r="AI195" s="195"/>
      <c r="AJ195" s="195"/>
      <c r="AK195" s="195"/>
      <c r="AL195" s="195"/>
      <c r="AM195" s="195"/>
      <c r="AN195" s="195"/>
      <c r="AO195" s="195"/>
      <c r="AP195" s="195"/>
      <c r="AQ195" s="195"/>
      <c r="AR195" s="195"/>
      <c r="AS195" s="195"/>
      <c r="AT195" s="195"/>
      <c r="AU195" s="195"/>
      <c r="AV195" s="195"/>
      <c r="AW195" s="195"/>
      <c r="AX195" s="195"/>
      <c r="AY195" s="195"/>
      <c r="AZ195" s="195"/>
      <c r="BA195" s="195"/>
      <c r="BB195" s="195"/>
      <c r="BC195" s="195"/>
      <c r="BD195" s="195"/>
      <c r="BE195" s="195"/>
      <c r="BF195" s="195"/>
      <c r="BG195" s="195"/>
      <c r="BH195" s="195"/>
      <c r="BI195" s="195"/>
      <c r="BJ195" s="195"/>
      <c r="BK195" s="195"/>
      <c r="BL195" s="195"/>
      <c r="BM195" s="195"/>
      <c r="BN195" s="195"/>
      <c r="BO195" s="195"/>
      <c r="BP195" s="195"/>
      <c r="BQ195" s="195"/>
      <c r="BR195" s="195"/>
      <c r="BS195" s="195"/>
      <c r="BT195" s="195"/>
      <c r="BU195" s="195"/>
      <c r="BV195" s="195"/>
      <c r="BW195" s="195"/>
      <c r="BX195" s="195"/>
      <c r="BY195" s="195"/>
      <c r="BZ195" s="195"/>
      <c r="CA195" s="195"/>
      <c r="CB195" s="195"/>
      <c r="CC195" s="195"/>
      <c r="CD195" s="195"/>
      <c r="CE195" s="195"/>
      <c r="CF195" s="195"/>
      <c r="CG195" s="195"/>
      <c r="CH195" s="195"/>
      <c r="CI195" s="195"/>
      <c r="CJ195" s="195"/>
      <c r="CK195" s="195"/>
      <c r="CL195" s="195"/>
      <c r="CM195" s="195"/>
      <c r="CN195" s="195"/>
      <c r="CO195" s="195"/>
      <c r="CP195" s="195"/>
      <c r="CQ195" s="195"/>
      <c r="CR195" s="195"/>
      <c r="CS195" s="195"/>
      <c r="CT195" s="195"/>
      <c r="CU195" s="195"/>
      <c r="CV195" s="195"/>
      <c r="CW195" s="195"/>
      <c r="CX195" s="195"/>
      <c r="CY195" s="195"/>
      <c r="CZ195" s="195"/>
      <c r="DA195" s="195"/>
      <c r="DB195" s="195"/>
      <c r="DC195" s="195"/>
      <c r="DD195" s="195"/>
      <c r="DE195" s="195"/>
      <c r="DF195" s="195"/>
      <c r="DG195" s="195"/>
      <c r="DH195" s="195"/>
    </row>
    <row r="196" spans="5:112" s="193" customFormat="1">
      <c r="E196" s="32"/>
      <c r="F196" s="32"/>
      <c r="G196" s="29"/>
      <c r="H196" s="25"/>
      <c r="I196" s="25"/>
      <c r="J196" s="25"/>
      <c r="K196" s="25"/>
      <c r="L196" s="29"/>
      <c r="M196" s="29"/>
      <c r="N196" s="28"/>
      <c r="O196" s="30"/>
      <c r="P196" s="30"/>
      <c r="Q196" s="30"/>
      <c r="R196" s="30"/>
      <c r="S196" s="30"/>
      <c r="T196" s="30"/>
      <c r="U196" s="30"/>
      <c r="V196" s="29"/>
      <c r="W196" s="28"/>
      <c r="X196" s="149"/>
      <c r="Y196" s="149"/>
      <c r="Z196" s="150"/>
      <c r="AA196" s="150"/>
      <c r="AB196" s="151"/>
      <c r="AC196" s="150"/>
      <c r="AD196" s="150"/>
      <c r="AE196" s="150"/>
      <c r="AF196" s="150"/>
      <c r="AG196" s="150"/>
      <c r="AH196" s="150"/>
      <c r="AI196" s="195"/>
      <c r="AJ196" s="195"/>
      <c r="AK196" s="195"/>
      <c r="AL196" s="195"/>
      <c r="AM196" s="195"/>
      <c r="AN196" s="195"/>
      <c r="AO196" s="195"/>
      <c r="AP196" s="195"/>
      <c r="AQ196" s="195"/>
      <c r="AR196" s="195"/>
      <c r="AS196" s="195"/>
      <c r="AT196" s="195"/>
      <c r="AU196" s="195"/>
      <c r="AV196" s="195"/>
      <c r="AW196" s="195"/>
      <c r="AX196" s="195"/>
      <c r="AY196" s="195"/>
      <c r="AZ196" s="195"/>
      <c r="BA196" s="195"/>
      <c r="BB196" s="195"/>
      <c r="BC196" s="195"/>
      <c r="BD196" s="195"/>
      <c r="BE196" s="195"/>
      <c r="BF196" s="195"/>
      <c r="BG196" s="195"/>
      <c r="BH196" s="195"/>
      <c r="BI196" s="195"/>
      <c r="BJ196" s="195"/>
      <c r="BK196" s="195"/>
      <c r="BL196" s="195"/>
      <c r="BM196" s="195"/>
      <c r="BN196" s="195"/>
      <c r="BO196" s="195"/>
      <c r="BP196" s="195"/>
      <c r="BQ196" s="195"/>
      <c r="BR196" s="195"/>
      <c r="BS196" s="195"/>
      <c r="BT196" s="195"/>
      <c r="BU196" s="195"/>
      <c r="BV196" s="195"/>
      <c r="BW196" s="195"/>
      <c r="BX196" s="195"/>
      <c r="BY196" s="195"/>
      <c r="BZ196" s="195"/>
      <c r="CA196" s="195"/>
      <c r="CB196" s="195"/>
      <c r="CC196" s="195"/>
      <c r="CD196" s="195"/>
      <c r="CE196" s="195"/>
      <c r="CF196" s="195"/>
      <c r="CG196" s="195"/>
      <c r="CH196" s="195"/>
      <c r="CI196" s="195"/>
      <c r="CJ196" s="195"/>
      <c r="CK196" s="195"/>
      <c r="CL196" s="195"/>
      <c r="CM196" s="195"/>
      <c r="CN196" s="195"/>
      <c r="CO196" s="195"/>
      <c r="CP196" s="195"/>
      <c r="CQ196" s="195"/>
      <c r="CR196" s="195"/>
      <c r="CS196" s="195"/>
      <c r="CT196" s="195"/>
      <c r="CU196" s="195"/>
      <c r="CV196" s="195"/>
      <c r="CW196" s="195"/>
      <c r="CX196" s="195"/>
      <c r="CY196" s="195"/>
      <c r="CZ196" s="195"/>
      <c r="DA196" s="195"/>
      <c r="DB196" s="195"/>
      <c r="DC196" s="195"/>
      <c r="DD196" s="195"/>
      <c r="DE196" s="195"/>
      <c r="DF196" s="195"/>
      <c r="DG196" s="195"/>
      <c r="DH196" s="195"/>
    </row>
    <row r="197" spans="5:112" s="193" customFormat="1">
      <c r="E197" s="32"/>
      <c r="F197" s="32"/>
      <c r="G197" s="29"/>
      <c r="H197" s="25"/>
      <c r="I197" s="25"/>
      <c r="J197" s="25"/>
      <c r="K197" s="25"/>
      <c r="L197" s="29"/>
      <c r="M197" s="29"/>
      <c r="N197" s="28"/>
      <c r="O197" s="30"/>
      <c r="P197" s="30"/>
      <c r="Q197" s="30"/>
      <c r="R197" s="30"/>
      <c r="S197" s="30"/>
      <c r="T197" s="30"/>
      <c r="U197" s="30"/>
      <c r="V197" s="29"/>
      <c r="W197" s="28"/>
      <c r="X197" s="149"/>
      <c r="Y197" s="149"/>
      <c r="Z197" s="150"/>
      <c r="AA197" s="150"/>
      <c r="AB197" s="151"/>
      <c r="AC197" s="150"/>
      <c r="AD197" s="150"/>
      <c r="AE197" s="150"/>
      <c r="AF197" s="150"/>
      <c r="AG197" s="150"/>
      <c r="AH197" s="150"/>
      <c r="AI197" s="195"/>
      <c r="AJ197" s="195"/>
      <c r="AK197" s="195"/>
      <c r="AL197" s="195"/>
      <c r="AM197" s="195"/>
      <c r="AN197" s="195"/>
      <c r="AO197" s="195"/>
      <c r="AP197" s="195"/>
      <c r="AQ197" s="195"/>
      <c r="AR197" s="195"/>
      <c r="AS197" s="195"/>
      <c r="AT197" s="195"/>
      <c r="AU197" s="195"/>
      <c r="AV197" s="195"/>
      <c r="AW197" s="195"/>
      <c r="AX197" s="195"/>
      <c r="AY197" s="195"/>
      <c r="AZ197" s="195"/>
      <c r="BA197" s="195"/>
      <c r="BB197" s="195"/>
      <c r="BC197" s="195"/>
      <c r="BD197" s="195"/>
      <c r="BE197" s="195"/>
      <c r="BF197" s="195"/>
      <c r="BG197" s="195"/>
      <c r="BH197" s="195"/>
      <c r="BI197" s="195"/>
      <c r="BJ197" s="195"/>
      <c r="BK197" s="195"/>
      <c r="BL197" s="195"/>
      <c r="BM197" s="195"/>
      <c r="BN197" s="195"/>
      <c r="BO197" s="195"/>
      <c r="BP197" s="195"/>
      <c r="BQ197" s="195"/>
      <c r="BR197" s="195"/>
      <c r="BS197" s="195"/>
      <c r="BT197" s="195"/>
      <c r="BU197" s="195"/>
      <c r="BV197" s="195"/>
      <c r="BW197" s="195"/>
      <c r="BX197" s="195"/>
      <c r="BY197" s="195"/>
      <c r="BZ197" s="195"/>
      <c r="CA197" s="195"/>
      <c r="CB197" s="195"/>
      <c r="CC197" s="195"/>
      <c r="CD197" s="195"/>
      <c r="CE197" s="195"/>
      <c r="CF197" s="195"/>
      <c r="CG197" s="195"/>
      <c r="CH197" s="195"/>
      <c r="CI197" s="195"/>
      <c r="CJ197" s="195"/>
      <c r="CK197" s="195"/>
      <c r="CL197" s="195"/>
      <c r="CM197" s="195"/>
      <c r="CN197" s="195"/>
      <c r="CO197" s="195"/>
      <c r="CP197" s="195"/>
      <c r="CQ197" s="195"/>
      <c r="CR197" s="195"/>
      <c r="CS197" s="195"/>
      <c r="CT197" s="195"/>
      <c r="CU197" s="195"/>
      <c r="CV197" s="195"/>
      <c r="CW197" s="195"/>
      <c r="CX197" s="195"/>
      <c r="CY197" s="195"/>
      <c r="CZ197" s="195"/>
      <c r="DA197" s="195"/>
      <c r="DB197" s="195"/>
      <c r="DC197" s="195"/>
      <c r="DD197" s="195"/>
      <c r="DE197" s="195"/>
      <c r="DF197" s="195"/>
      <c r="DG197" s="195"/>
      <c r="DH197" s="195"/>
    </row>
    <row r="198" spans="5:112" s="193" customFormat="1">
      <c r="E198" s="32"/>
      <c r="F198" s="32"/>
      <c r="G198" s="29"/>
      <c r="H198" s="25"/>
      <c r="I198" s="25"/>
      <c r="J198" s="25"/>
      <c r="K198" s="25"/>
      <c r="L198" s="29"/>
      <c r="M198" s="29"/>
      <c r="N198" s="28"/>
      <c r="O198" s="30"/>
      <c r="P198" s="30"/>
      <c r="Q198" s="30"/>
      <c r="R198" s="30"/>
      <c r="S198" s="30"/>
      <c r="T198" s="30"/>
      <c r="U198" s="30"/>
      <c r="V198" s="29"/>
      <c r="W198" s="28"/>
      <c r="X198" s="149"/>
      <c r="Y198" s="149"/>
      <c r="Z198" s="150"/>
      <c r="AA198" s="150"/>
      <c r="AB198" s="151"/>
      <c r="AC198" s="150"/>
      <c r="AD198" s="150"/>
      <c r="AE198" s="150"/>
      <c r="AF198" s="150"/>
      <c r="AG198" s="150"/>
      <c r="AH198" s="150"/>
      <c r="AI198" s="195"/>
      <c r="AJ198" s="195"/>
      <c r="AK198" s="195"/>
      <c r="AL198" s="195"/>
      <c r="AM198" s="195"/>
      <c r="AN198" s="195"/>
      <c r="AO198" s="195"/>
      <c r="AP198" s="195"/>
      <c r="AQ198" s="195"/>
      <c r="AR198" s="195"/>
      <c r="AS198" s="195"/>
      <c r="AT198" s="195"/>
      <c r="AU198" s="195"/>
      <c r="AV198" s="195"/>
      <c r="AW198" s="195"/>
      <c r="AX198" s="195"/>
      <c r="AY198" s="195"/>
      <c r="AZ198" s="195"/>
      <c r="BA198" s="195"/>
      <c r="BB198" s="195"/>
      <c r="BC198" s="195"/>
      <c r="BD198" s="195"/>
      <c r="BE198" s="195"/>
      <c r="BF198" s="195"/>
      <c r="BG198" s="195"/>
      <c r="BH198" s="195"/>
      <c r="BI198" s="195"/>
      <c r="BJ198" s="195"/>
      <c r="BK198" s="195"/>
      <c r="BL198" s="195"/>
      <c r="BM198" s="195"/>
      <c r="BN198" s="195"/>
      <c r="BO198" s="195"/>
      <c r="BP198" s="195"/>
      <c r="BQ198" s="195"/>
      <c r="BR198" s="195"/>
      <c r="BS198" s="195"/>
      <c r="BT198" s="195"/>
      <c r="BU198" s="195"/>
      <c r="BV198" s="195"/>
      <c r="BW198" s="195"/>
      <c r="BX198" s="195"/>
      <c r="BY198" s="195"/>
      <c r="BZ198" s="195"/>
      <c r="CA198" s="195"/>
      <c r="CB198" s="195"/>
      <c r="CC198" s="195"/>
      <c r="CD198" s="195"/>
      <c r="CE198" s="195"/>
      <c r="CF198" s="195"/>
      <c r="CG198" s="195"/>
      <c r="CH198" s="195"/>
      <c r="CI198" s="195"/>
      <c r="CJ198" s="195"/>
      <c r="CK198" s="195"/>
      <c r="CL198" s="195"/>
      <c r="CM198" s="195"/>
      <c r="CN198" s="195"/>
      <c r="CO198" s="195"/>
      <c r="CP198" s="195"/>
      <c r="CQ198" s="195"/>
      <c r="CR198" s="195"/>
      <c r="CS198" s="195"/>
      <c r="CT198" s="195"/>
      <c r="CU198" s="195"/>
      <c r="CV198" s="195"/>
      <c r="CW198" s="195"/>
      <c r="CX198" s="195"/>
      <c r="CY198" s="195"/>
      <c r="CZ198" s="195"/>
      <c r="DA198" s="195"/>
      <c r="DB198" s="195"/>
      <c r="DC198" s="195"/>
      <c r="DD198" s="195"/>
      <c r="DE198" s="195"/>
      <c r="DF198" s="195"/>
      <c r="DG198" s="195"/>
      <c r="DH198" s="195"/>
    </row>
    <row r="199" spans="5:112" s="193" customFormat="1">
      <c r="E199" s="32"/>
      <c r="F199" s="32"/>
      <c r="G199" s="29"/>
      <c r="H199" s="25"/>
      <c r="I199" s="25"/>
      <c r="J199" s="25"/>
      <c r="K199" s="25"/>
      <c r="L199" s="29"/>
      <c r="M199" s="29"/>
      <c r="N199" s="28"/>
      <c r="O199" s="30"/>
      <c r="P199" s="30"/>
      <c r="Q199" s="30"/>
      <c r="R199" s="30"/>
      <c r="S199" s="30"/>
      <c r="T199" s="30"/>
      <c r="U199" s="30"/>
      <c r="V199" s="29"/>
      <c r="W199" s="28"/>
      <c r="X199" s="149"/>
      <c r="Y199" s="149"/>
      <c r="Z199" s="150"/>
      <c r="AA199" s="150"/>
      <c r="AB199" s="151"/>
      <c r="AC199" s="150"/>
      <c r="AD199" s="150"/>
      <c r="AE199" s="150"/>
      <c r="AF199" s="150"/>
      <c r="AG199" s="150"/>
      <c r="AH199" s="150"/>
      <c r="AI199" s="195"/>
      <c r="AJ199" s="195"/>
      <c r="AK199" s="195"/>
      <c r="AL199" s="195"/>
      <c r="AM199" s="195"/>
      <c r="AN199" s="195"/>
      <c r="AO199" s="195"/>
      <c r="AP199" s="195"/>
      <c r="AQ199" s="195"/>
      <c r="AR199" s="195"/>
      <c r="AS199" s="195"/>
      <c r="AT199" s="195"/>
      <c r="AU199" s="195"/>
      <c r="AV199" s="195"/>
      <c r="AW199" s="195"/>
      <c r="AX199" s="195"/>
      <c r="AY199" s="195"/>
      <c r="AZ199" s="195"/>
      <c r="BA199" s="195"/>
      <c r="BB199" s="195"/>
      <c r="BC199" s="195"/>
      <c r="BD199" s="195"/>
      <c r="BE199" s="195"/>
      <c r="BF199" s="195"/>
      <c r="BG199" s="195"/>
      <c r="BH199" s="195"/>
      <c r="BI199" s="195"/>
      <c r="BJ199" s="195"/>
      <c r="BK199" s="195"/>
      <c r="BL199" s="195"/>
      <c r="BM199" s="195"/>
      <c r="BN199" s="195"/>
      <c r="BO199" s="195"/>
      <c r="BP199" s="195"/>
      <c r="BQ199" s="195"/>
      <c r="BR199" s="195"/>
      <c r="BS199" s="195"/>
      <c r="BT199" s="195"/>
      <c r="BU199" s="195"/>
      <c r="BV199" s="195"/>
      <c r="BW199" s="195"/>
      <c r="BX199" s="195"/>
      <c r="BY199" s="195"/>
      <c r="BZ199" s="195"/>
      <c r="CA199" s="195"/>
      <c r="CB199" s="195"/>
      <c r="CC199" s="195"/>
      <c r="CD199" s="195"/>
      <c r="CE199" s="195"/>
      <c r="CF199" s="195"/>
      <c r="CG199" s="195"/>
      <c r="CH199" s="195"/>
      <c r="CI199" s="195"/>
      <c r="CJ199" s="195"/>
      <c r="CK199" s="195"/>
      <c r="CL199" s="195"/>
      <c r="CM199" s="195"/>
      <c r="CN199" s="195"/>
      <c r="CO199" s="195"/>
      <c r="CP199" s="195"/>
      <c r="CQ199" s="195"/>
      <c r="CR199" s="195"/>
      <c r="CS199" s="195"/>
      <c r="CT199" s="195"/>
      <c r="CU199" s="195"/>
      <c r="CV199" s="195"/>
      <c r="CW199" s="195"/>
      <c r="CX199" s="195"/>
      <c r="CY199" s="195"/>
      <c r="CZ199" s="195"/>
      <c r="DA199" s="195"/>
      <c r="DB199" s="195"/>
      <c r="DC199" s="195"/>
      <c r="DD199" s="195"/>
      <c r="DE199" s="195"/>
      <c r="DF199" s="195"/>
      <c r="DG199" s="195"/>
      <c r="DH199" s="195"/>
    </row>
    <row r="200" spans="5:112" s="193" customFormat="1">
      <c r="E200" s="32"/>
      <c r="F200" s="32"/>
      <c r="G200" s="29"/>
      <c r="H200" s="25"/>
      <c r="I200" s="25"/>
      <c r="J200" s="25"/>
      <c r="K200" s="25"/>
      <c r="L200" s="29"/>
      <c r="M200" s="29"/>
      <c r="N200" s="28"/>
      <c r="O200" s="30"/>
      <c r="P200" s="30"/>
      <c r="Q200" s="30"/>
      <c r="R200" s="30"/>
      <c r="S200" s="30"/>
      <c r="T200" s="30"/>
      <c r="U200" s="30"/>
      <c r="V200" s="29"/>
      <c r="W200" s="28"/>
      <c r="X200" s="149"/>
      <c r="Y200" s="149"/>
      <c r="Z200" s="150"/>
      <c r="AA200" s="150"/>
      <c r="AB200" s="151"/>
      <c r="AC200" s="150"/>
      <c r="AD200" s="150"/>
      <c r="AE200" s="150"/>
      <c r="AF200" s="150"/>
      <c r="AG200" s="150"/>
      <c r="AH200" s="150"/>
      <c r="AI200" s="195"/>
      <c r="AJ200" s="195"/>
      <c r="AK200" s="195"/>
      <c r="AL200" s="195"/>
      <c r="AM200" s="195"/>
      <c r="AN200" s="195"/>
      <c r="AO200" s="195"/>
      <c r="AP200" s="195"/>
      <c r="AQ200" s="195"/>
      <c r="AR200" s="195"/>
      <c r="AS200" s="195"/>
      <c r="AT200" s="195"/>
      <c r="AU200" s="195"/>
      <c r="AV200" s="195"/>
      <c r="AW200" s="195"/>
      <c r="AX200" s="195"/>
      <c r="AY200" s="195"/>
      <c r="AZ200" s="195"/>
      <c r="BA200" s="195"/>
      <c r="BB200" s="195"/>
      <c r="BC200" s="195"/>
      <c r="BD200" s="195"/>
      <c r="BE200" s="195"/>
      <c r="BF200" s="195"/>
      <c r="BG200" s="195"/>
      <c r="BH200" s="195"/>
      <c r="BI200" s="195"/>
      <c r="BJ200" s="195"/>
      <c r="BK200" s="195"/>
      <c r="BL200" s="195"/>
      <c r="BM200" s="195"/>
      <c r="BN200" s="195"/>
      <c r="BO200" s="195"/>
      <c r="BP200" s="195"/>
      <c r="BQ200" s="195"/>
      <c r="BR200" s="195"/>
      <c r="BS200" s="195"/>
      <c r="BT200" s="195"/>
      <c r="BU200" s="195"/>
      <c r="BV200" s="195"/>
      <c r="BW200" s="195"/>
      <c r="BX200" s="195"/>
      <c r="BY200" s="195"/>
      <c r="BZ200" s="195"/>
      <c r="CA200" s="195"/>
      <c r="CB200" s="195"/>
      <c r="CC200" s="195"/>
      <c r="CD200" s="195"/>
      <c r="CE200" s="195"/>
      <c r="CF200" s="195"/>
      <c r="CG200" s="195"/>
      <c r="CH200" s="195"/>
      <c r="CI200" s="195"/>
      <c r="CJ200" s="195"/>
      <c r="CK200" s="195"/>
      <c r="CL200" s="195"/>
      <c r="CM200" s="195"/>
      <c r="CN200" s="195"/>
      <c r="CO200" s="195"/>
      <c r="CP200" s="195"/>
      <c r="CQ200" s="195"/>
      <c r="CR200" s="195"/>
      <c r="CS200" s="195"/>
      <c r="CT200" s="195"/>
      <c r="CU200" s="195"/>
      <c r="CV200" s="195"/>
      <c r="CW200" s="195"/>
      <c r="CX200" s="195"/>
      <c r="CY200" s="195"/>
      <c r="CZ200" s="195"/>
      <c r="DA200" s="195"/>
      <c r="DB200" s="195"/>
      <c r="DC200" s="195"/>
      <c r="DD200" s="195"/>
      <c r="DE200" s="195"/>
      <c r="DF200" s="195"/>
      <c r="DG200" s="195"/>
      <c r="DH200" s="195"/>
    </row>
    <row r="201" spans="5:112" s="193" customFormat="1">
      <c r="E201" s="32"/>
      <c r="F201" s="32"/>
      <c r="G201" s="29"/>
      <c r="H201" s="25"/>
      <c r="I201" s="25"/>
      <c r="J201" s="25"/>
      <c r="K201" s="25"/>
      <c r="L201" s="29"/>
      <c r="M201" s="29"/>
      <c r="N201" s="28"/>
      <c r="O201" s="30"/>
      <c r="P201" s="30"/>
      <c r="Q201" s="30"/>
      <c r="R201" s="30"/>
      <c r="S201" s="30"/>
      <c r="T201" s="30"/>
      <c r="U201" s="30"/>
      <c r="V201" s="29"/>
      <c r="W201" s="28"/>
      <c r="X201" s="149"/>
      <c r="Y201" s="149"/>
      <c r="Z201" s="150"/>
      <c r="AA201" s="150"/>
      <c r="AB201" s="151"/>
      <c r="AC201" s="150"/>
      <c r="AD201" s="150"/>
      <c r="AE201" s="150"/>
      <c r="AF201" s="150"/>
      <c r="AG201" s="150"/>
      <c r="AH201" s="150"/>
      <c r="AI201" s="195"/>
      <c r="AJ201" s="195"/>
      <c r="AK201" s="195"/>
      <c r="AL201" s="195"/>
      <c r="AM201" s="195"/>
      <c r="AN201" s="195"/>
      <c r="AO201" s="195"/>
      <c r="AP201" s="195"/>
      <c r="AQ201" s="195"/>
      <c r="AR201" s="195"/>
      <c r="AS201" s="195"/>
      <c r="AT201" s="195"/>
      <c r="AU201" s="195"/>
      <c r="AV201" s="195"/>
      <c r="AW201" s="195"/>
      <c r="AX201" s="195"/>
      <c r="AY201" s="195"/>
      <c r="AZ201" s="195"/>
      <c r="BA201" s="195"/>
      <c r="BB201" s="195"/>
      <c r="BC201" s="195"/>
      <c r="BD201" s="195"/>
      <c r="BE201" s="195"/>
      <c r="BF201" s="195"/>
      <c r="BG201" s="195"/>
      <c r="BH201" s="195"/>
      <c r="BI201" s="195"/>
      <c r="BJ201" s="195"/>
      <c r="BK201" s="195"/>
      <c r="BL201" s="195"/>
      <c r="BM201" s="195"/>
      <c r="BN201" s="195"/>
      <c r="BO201" s="195"/>
      <c r="BP201" s="195"/>
      <c r="BQ201" s="195"/>
      <c r="BR201" s="195"/>
      <c r="BS201" s="195"/>
      <c r="BT201" s="195"/>
      <c r="BU201" s="195"/>
      <c r="BV201" s="195"/>
      <c r="BW201" s="195"/>
      <c r="BX201" s="195"/>
      <c r="BY201" s="195"/>
      <c r="BZ201" s="195"/>
      <c r="CA201" s="195"/>
      <c r="CB201" s="195"/>
      <c r="CC201" s="195"/>
      <c r="CD201" s="195"/>
      <c r="CE201" s="195"/>
      <c r="CF201" s="195"/>
      <c r="CG201" s="195"/>
      <c r="CH201" s="195"/>
      <c r="CI201" s="195"/>
      <c r="CJ201" s="195"/>
      <c r="CK201" s="195"/>
      <c r="CL201" s="195"/>
      <c r="CM201" s="195"/>
      <c r="CN201" s="195"/>
      <c r="CO201" s="195"/>
      <c r="CP201" s="195"/>
      <c r="CQ201" s="195"/>
      <c r="CR201" s="195"/>
      <c r="CS201" s="195"/>
      <c r="CT201" s="195"/>
      <c r="CU201" s="195"/>
      <c r="CV201" s="195"/>
      <c r="CW201" s="195"/>
      <c r="CX201" s="195"/>
      <c r="CY201" s="195"/>
      <c r="CZ201" s="195"/>
      <c r="DA201" s="195"/>
      <c r="DB201" s="195"/>
      <c r="DC201" s="195"/>
      <c r="DD201" s="195"/>
      <c r="DE201" s="195"/>
      <c r="DF201" s="195"/>
      <c r="DG201" s="195"/>
      <c r="DH201" s="195"/>
    </row>
    <row r="202" spans="5:112" s="193" customFormat="1">
      <c r="E202" s="32"/>
      <c r="F202" s="32"/>
      <c r="G202" s="29"/>
      <c r="H202" s="25"/>
      <c r="I202" s="25"/>
      <c r="J202" s="25"/>
      <c r="K202" s="25"/>
      <c r="L202" s="29"/>
      <c r="M202" s="29"/>
      <c r="N202" s="28"/>
      <c r="O202" s="30"/>
      <c r="P202" s="30"/>
      <c r="Q202" s="30"/>
      <c r="R202" s="30"/>
      <c r="S202" s="30"/>
      <c r="T202" s="30"/>
      <c r="U202" s="30"/>
      <c r="V202" s="29"/>
      <c r="W202" s="28"/>
      <c r="X202" s="149"/>
      <c r="Y202" s="149"/>
      <c r="Z202" s="150"/>
      <c r="AA202" s="150"/>
      <c r="AB202" s="151"/>
      <c r="AC202" s="150"/>
      <c r="AD202" s="150"/>
      <c r="AE202" s="150"/>
      <c r="AF202" s="150"/>
      <c r="AG202" s="150"/>
      <c r="AH202" s="150"/>
      <c r="AI202" s="195"/>
      <c r="AJ202" s="195"/>
      <c r="AK202" s="195"/>
      <c r="AL202" s="195"/>
      <c r="AM202" s="195"/>
      <c r="AN202" s="195"/>
      <c r="AO202" s="195"/>
      <c r="AP202" s="195"/>
      <c r="AQ202" s="195"/>
      <c r="AR202" s="195"/>
      <c r="AS202" s="195"/>
      <c r="AT202" s="195"/>
      <c r="AU202" s="195"/>
      <c r="AV202" s="195"/>
      <c r="AW202" s="195"/>
      <c r="AX202" s="195"/>
      <c r="AY202" s="195"/>
      <c r="AZ202" s="195"/>
      <c r="BA202" s="195"/>
      <c r="BB202" s="195"/>
      <c r="BC202" s="195"/>
      <c r="BD202" s="195"/>
      <c r="BE202" s="195"/>
      <c r="BF202" s="195"/>
      <c r="BG202" s="195"/>
      <c r="BH202" s="195"/>
      <c r="BI202" s="195"/>
      <c r="BJ202" s="195"/>
      <c r="BK202" s="195"/>
      <c r="BL202" s="195"/>
      <c r="BM202" s="195"/>
      <c r="BN202" s="195"/>
      <c r="BO202" s="195"/>
      <c r="BP202" s="195"/>
      <c r="BQ202" s="195"/>
      <c r="BR202" s="195"/>
      <c r="BS202" s="195"/>
      <c r="BT202" s="195"/>
      <c r="BU202" s="195"/>
      <c r="BV202" s="195"/>
      <c r="BW202" s="195"/>
      <c r="BX202" s="195"/>
      <c r="BY202" s="195"/>
      <c r="BZ202" s="195"/>
      <c r="CA202" s="195"/>
      <c r="CB202" s="195"/>
      <c r="CC202" s="195"/>
      <c r="CD202" s="195"/>
      <c r="CE202" s="195"/>
      <c r="CF202" s="195"/>
      <c r="CG202" s="195"/>
      <c r="CH202" s="195"/>
      <c r="CI202" s="195"/>
      <c r="CJ202" s="195"/>
      <c r="CK202" s="195"/>
      <c r="CL202" s="195"/>
      <c r="CM202" s="195"/>
      <c r="CN202" s="195"/>
      <c r="CO202" s="195"/>
      <c r="CP202" s="195"/>
      <c r="CQ202" s="195"/>
      <c r="CR202" s="195"/>
      <c r="CS202" s="195"/>
      <c r="CT202" s="195"/>
      <c r="CU202" s="195"/>
      <c r="CV202" s="195"/>
      <c r="CW202" s="195"/>
      <c r="CX202" s="195"/>
      <c r="CY202" s="195"/>
      <c r="CZ202" s="195"/>
      <c r="DA202" s="195"/>
      <c r="DB202" s="195"/>
      <c r="DC202" s="195"/>
      <c r="DD202" s="195"/>
      <c r="DE202" s="195"/>
      <c r="DF202" s="195"/>
      <c r="DG202" s="195"/>
      <c r="DH202" s="195"/>
    </row>
    <row r="203" spans="5:112" s="193" customFormat="1">
      <c r="E203" s="32"/>
      <c r="F203" s="32"/>
      <c r="G203" s="29"/>
      <c r="H203" s="25"/>
      <c r="I203" s="25"/>
      <c r="J203" s="25"/>
      <c r="K203" s="25"/>
      <c r="L203" s="29"/>
      <c r="M203" s="29"/>
      <c r="N203" s="28"/>
      <c r="O203" s="30"/>
      <c r="P203" s="30"/>
      <c r="Q203" s="30"/>
      <c r="R203" s="30"/>
      <c r="S203" s="30"/>
      <c r="T203" s="30"/>
      <c r="U203" s="30"/>
      <c r="V203" s="29"/>
      <c r="W203" s="28"/>
      <c r="X203" s="149"/>
      <c r="Y203" s="149"/>
      <c r="Z203" s="150"/>
      <c r="AA203" s="150"/>
      <c r="AB203" s="151"/>
      <c r="AC203" s="150"/>
      <c r="AD203" s="150"/>
      <c r="AE203" s="150"/>
      <c r="AF203" s="150"/>
      <c r="AG203" s="150"/>
      <c r="AH203" s="150"/>
      <c r="AI203" s="195"/>
      <c r="AJ203" s="195"/>
      <c r="AK203" s="195"/>
      <c r="AL203" s="195"/>
      <c r="AM203" s="195"/>
      <c r="AN203" s="195"/>
      <c r="AO203" s="195"/>
      <c r="AP203" s="195"/>
      <c r="AQ203" s="195"/>
      <c r="AR203" s="195"/>
      <c r="AS203" s="195"/>
      <c r="AT203" s="195"/>
      <c r="AU203" s="195"/>
      <c r="AV203" s="195"/>
      <c r="AW203" s="195"/>
      <c r="AX203" s="195"/>
      <c r="AY203" s="195"/>
      <c r="AZ203" s="195"/>
      <c r="BA203" s="195"/>
      <c r="BB203" s="195"/>
      <c r="BC203" s="195"/>
      <c r="BD203" s="195"/>
      <c r="BE203" s="195"/>
      <c r="BF203" s="195"/>
      <c r="BG203" s="195"/>
      <c r="BH203" s="195"/>
      <c r="BI203" s="195"/>
      <c r="BJ203" s="195"/>
      <c r="BK203" s="195"/>
      <c r="BL203" s="195"/>
      <c r="BM203" s="195"/>
      <c r="BN203" s="195"/>
      <c r="BO203" s="195"/>
      <c r="BP203" s="195"/>
      <c r="BQ203" s="195"/>
      <c r="BR203" s="195"/>
      <c r="BS203" s="195"/>
      <c r="BT203" s="195"/>
      <c r="BU203" s="195"/>
      <c r="BV203" s="195"/>
      <c r="BW203" s="195"/>
      <c r="BX203" s="195"/>
      <c r="BY203" s="195"/>
      <c r="BZ203" s="195"/>
      <c r="CA203" s="195"/>
      <c r="CB203" s="195"/>
      <c r="CC203" s="195"/>
      <c r="CD203" s="195"/>
      <c r="CE203" s="195"/>
      <c r="CF203" s="195"/>
      <c r="CG203" s="195"/>
      <c r="CH203" s="195"/>
      <c r="CI203" s="195"/>
      <c r="CJ203" s="195"/>
      <c r="CK203" s="195"/>
      <c r="CL203" s="195"/>
      <c r="CM203" s="195"/>
      <c r="CN203" s="195"/>
      <c r="CO203" s="195"/>
      <c r="CP203" s="195"/>
      <c r="CQ203" s="195"/>
      <c r="CR203" s="195"/>
      <c r="CS203" s="195"/>
      <c r="CT203" s="195"/>
      <c r="CU203" s="195"/>
      <c r="CV203" s="195"/>
      <c r="CW203" s="195"/>
      <c r="CX203" s="195"/>
      <c r="CY203" s="195"/>
      <c r="CZ203" s="195"/>
      <c r="DA203" s="195"/>
      <c r="DB203" s="195"/>
      <c r="DC203" s="195"/>
      <c r="DD203" s="195"/>
      <c r="DE203" s="195"/>
      <c r="DF203" s="195"/>
      <c r="DG203" s="195"/>
      <c r="DH203" s="195"/>
    </row>
    <row r="204" spans="5:112" s="193" customFormat="1">
      <c r="E204" s="32"/>
      <c r="F204" s="32"/>
      <c r="G204" s="29"/>
      <c r="H204" s="25"/>
      <c r="I204" s="25"/>
      <c r="J204" s="25"/>
      <c r="K204" s="25"/>
      <c r="L204" s="29"/>
      <c r="M204" s="29"/>
      <c r="N204" s="28"/>
      <c r="O204" s="30"/>
      <c r="P204" s="30"/>
      <c r="Q204" s="30"/>
      <c r="R204" s="30"/>
      <c r="S204" s="30"/>
      <c r="T204" s="30"/>
      <c r="U204" s="30"/>
      <c r="V204" s="29"/>
      <c r="W204" s="28"/>
      <c r="X204" s="149"/>
      <c r="Y204" s="149"/>
      <c r="Z204" s="150"/>
      <c r="AA204" s="150"/>
      <c r="AB204" s="151"/>
      <c r="AC204" s="150"/>
      <c r="AD204" s="150"/>
      <c r="AE204" s="150"/>
      <c r="AF204" s="150"/>
      <c r="AG204" s="150"/>
      <c r="AH204" s="150"/>
      <c r="AI204" s="195"/>
      <c r="AJ204" s="195"/>
      <c r="AK204" s="195"/>
      <c r="AL204" s="195"/>
      <c r="AM204" s="195"/>
      <c r="AN204" s="195"/>
      <c r="AO204" s="195"/>
      <c r="AP204" s="195"/>
      <c r="AQ204" s="195"/>
      <c r="AR204" s="195"/>
      <c r="AS204" s="195"/>
      <c r="AT204" s="195"/>
      <c r="AU204" s="195"/>
      <c r="AV204" s="195"/>
      <c r="AW204" s="195"/>
      <c r="AX204" s="195"/>
      <c r="AY204" s="195"/>
      <c r="AZ204" s="195"/>
      <c r="BA204" s="195"/>
      <c r="BB204" s="195"/>
      <c r="BC204" s="195"/>
      <c r="BD204" s="195"/>
      <c r="BE204" s="195"/>
      <c r="BF204" s="195"/>
      <c r="BG204" s="195"/>
      <c r="BH204" s="195"/>
      <c r="BI204" s="195"/>
      <c r="BJ204" s="195"/>
      <c r="BK204" s="195"/>
      <c r="BL204" s="195"/>
      <c r="BM204" s="195"/>
      <c r="BN204" s="195"/>
      <c r="BO204" s="195"/>
      <c r="BP204" s="195"/>
      <c r="BQ204" s="195"/>
      <c r="BR204" s="195"/>
      <c r="BS204" s="195"/>
      <c r="BT204" s="195"/>
      <c r="BU204" s="195"/>
      <c r="BV204" s="195"/>
      <c r="BW204" s="195"/>
      <c r="BX204" s="195"/>
      <c r="BY204" s="195"/>
      <c r="BZ204" s="195"/>
      <c r="CA204" s="195"/>
      <c r="CB204" s="195"/>
      <c r="CC204" s="195"/>
      <c r="CD204" s="195"/>
      <c r="CE204" s="195"/>
      <c r="CF204" s="195"/>
      <c r="CG204" s="195"/>
      <c r="CH204" s="195"/>
      <c r="CI204" s="195"/>
      <c r="CJ204" s="195"/>
      <c r="CK204" s="195"/>
      <c r="CL204" s="195"/>
      <c r="CM204" s="195"/>
      <c r="CN204" s="195"/>
      <c r="CO204" s="195"/>
      <c r="CP204" s="195"/>
      <c r="CQ204" s="195"/>
      <c r="CR204" s="195"/>
      <c r="CS204" s="195"/>
      <c r="CT204" s="195"/>
      <c r="CU204" s="195"/>
      <c r="CV204" s="195"/>
      <c r="CW204" s="195"/>
      <c r="CX204" s="195"/>
      <c r="CY204" s="195"/>
      <c r="CZ204" s="195"/>
      <c r="DA204" s="195"/>
      <c r="DB204" s="195"/>
      <c r="DC204" s="195"/>
      <c r="DD204" s="195"/>
      <c r="DE204" s="195"/>
      <c r="DF204" s="195"/>
      <c r="DG204" s="195"/>
      <c r="DH204" s="195"/>
    </row>
    <row r="205" spans="5:112" s="193" customFormat="1">
      <c r="E205" s="32"/>
      <c r="F205" s="32"/>
      <c r="G205" s="29"/>
      <c r="H205" s="25"/>
      <c r="I205" s="25"/>
      <c r="J205" s="25"/>
      <c r="K205" s="25"/>
      <c r="L205" s="29"/>
      <c r="M205" s="29"/>
      <c r="N205" s="28"/>
      <c r="O205" s="30"/>
      <c r="P205" s="30"/>
      <c r="Q205" s="30"/>
      <c r="R205" s="30"/>
      <c r="S205" s="30"/>
      <c r="T205" s="30"/>
      <c r="U205" s="30"/>
      <c r="V205" s="29"/>
      <c r="W205" s="28"/>
      <c r="X205" s="149"/>
      <c r="Y205" s="149"/>
      <c r="Z205" s="150"/>
      <c r="AA205" s="150"/>
      <c r="AB205" s="151"/>
      <c r="AC205" s="150"/>
      <c r="AD205" s="150"/>
      <c r="AE205" s="150"/>
      <c r="AF205" s="150"/>
      <c r="AG205" s="150"/>
      <c r="AH205" s="150"/>
      <c r="AI205" s="195"/>
      <c r="AJ205" s="195"/>
      <c r="AK205" s="195"/>
      <c r="AL205" s="195"/>
      <c r="AM205" s="195"/>
      <c r="AN205" s="195"/>
      <c r="AO205" s="195"/>
      <c r="AP205" s="195"/>
      <c r="AQ205" s="195"/>
      <c r="AR205" s="195"/>
      <c r="AS205" s="195"/>
      <c r="AT205" s="195"/>
      <c r="AU205" s="195"/>
      <c r="AV205" s="195"/>
      <c r="AW205" s="195"/>
      <c r="AX205" s="195"/>
      <c r="AY205" s="195"/>
      <c r="AZ205" s="195"/>
      <c r="BA205" s="195"/>
      <c r="BB205" s="195"/>
      <c r="BC205" s="195"/>
      <c r="BD205" s="195"/>
      <c r="BE205" s="195"/>
      <c r="BF205" s="195"/>
      <c r="BG205" s="195"/>
      <c r="BH205" s="195"/>
      <c r="BI205" s="195"/>
      <c r="BJ205" s="195"/>
      <c r="BK205" s="195"/>
      <c r="BL205" s="195"/>
      <c r="BM205" s="195"/>
      <c r="BN205" s="195"/>
      <c r="BO205" s="195"/>
      <c r="BP205" s="195"/>
      <c r="BQ205" s="195"/>
      <c r="BR205" s="195"/>
      <c r="BS205" s="195"/>
      <c r="BT205" s="195"/>
      <c r="BU205" s="195"/>
      <c r="BV205" s="195"/>
      <c r="BW205" s="195"/>
      <c r="BX205" s="195"/>
      <c r="BY205" s="195"/>
      <c r="BZ205" s="195"/>
      <c r="CA205" s="195"/>
      <c r="CB205" s="195"/>
      <c r="CC205" s="195"/>
      <c r="CD205" s="195"/>
      <c r="CE205" s="195"/>
      <c r="CF205" s="195"/>
      <c r="CG205" s="195"/>
      <c r="CH205" s="195"/>
      <c r="CI205" s="195"/>
      <c r="CJ205" s="195"/>
      <c r="CK205" s="195"/>
      <c r="CL205" s="195"/>
      <c r="CM205" s="195"/>
      <c r="CN205" s="195"/>
      <c r="CO205" s="195"/>
      <c r="CP205" s="195"/>
      <c r="CQ205" s="195"/>
      <c r="CR205" s="195"/>
      <c r="CS205" s="195"/>
      <c r="CT205" s="195"/>
      <c r="CU205" s="195"/>
      <c r="CV205" s="195"/>
      <c r="CW205" s="195"/>
      <c r="CX205" s="195"/>
      <c r="CY205" s="195"/>
      <c r="CZ205" s="195"/>
      <c r="DA205" s="195"/>
      <c r="DB205" s="195"/>
      <c r="DC205" s="195"/>
      <c r="DD205" s="195"/>
      <c r="DE205" s="195"/>
      <c r="DF205" s="195"/>
      <c r="DG205" s="195"/>
      <c r="DH205" s="195"/>
    </row>
    <row r="206" spans="5:112" s="193" customFormat="1">
      <c r="E206" s="32"/>
      <c r="F206" s="32"/>
      <c r="G206" s="29"/>
      <c r="H206" s="25"/>
      <c r="I206" s="25"/>
      <c r="J206" s="25"/>
      <c r="K206" s="25"/>
      <c r="L206" s="29"/>
      <c r="M206" s="29"/>
      <c r="N206" s="28"/>
      <c r="O206" s="30"/>
      <c r="P206" s="30"/>
      <c r="Q206" s="30"/>
      <c r="R206" s="30"/>
      <c r="S206" s="30"/>
      <c r="T206" s="30"/>
      <c r="U206" s="30"/>
      <c r="V206" s="29"/>
      <c r="W206" s="28"/>
      <c r="X206" s="149"/>
      <c r="Y206" s="149"/>
      <c r="Z206" s="150"/>
      <c r="AA206" s="150"/>
      <c r="AB206" s="151"/>
      <c r="AC206" s="150"/>
      <c r="AD206" s="150"/>
      <c r="AE206" s="150"/>
      <c r="AF206" s="150"/>
      <c r="AG206" s="150"/>
      <c r="AH206" s="150"/>
      <c r="AI206" s="195"/>
      <c r="AJ206" s="195"/>
      <c r="AK206" s="195"/>
      <c r="AL206" s="195"/>
      <c r="AM206" s="195"/>
      <c r="AN206" s="195"/>
      <c r="AO206" s="195"/>
      <c r="AP206" s="195"/>
      <c r="AQ206" s="195"/>
      <c r="AR206" s="195"/>
      <c r="AS206" s="195"/>
      <c r="AT206" s="195"/>
      <c r="AU206" s="195"/>
      <c r="AV206" s="195"/>
      <c r="AW206" s="195"/>
      <c r="AX206" s="195"/>
      <c r="AY206" s="195"/>
      <c r="AZ206" s="195"/>
      <c r="BA206" s="195"/>
      <c r="BB206" s="195"/>
      <c r="BC206" s="195"/>
      <c r="BD206" s="195"/>
      <c r="BE206" s="195"/>
      <c r="BF206" s="195"/>
      <c r="BG206" s="195"/>
      <c r="BH206" s="195"/>
      <c r="BI206" s="195"/>
      <c r="BJ206" s="195"/>
      <c r="BK206" s="195"/>
      <c r="BL206" s="195"/>
      <c r="BM206" s="195"/>
      <c r="BN206" s="195"/>
      <c r="BO206" s="195"/>
      <c r="BP206" s="195"/>
      <c r="BQ206" s="195"/>
      <c r="BR206" s="195"/>
      <c r="BS206" s="195"/>
      <c r="BT206" s="195"/>
      <c r="BU206" s="195"/>
      <c r="BV206" s="195"/>
      <c r="BW206" s="195"/>
      <c r="BX206" s="195"/>
      <c r="BY206" s="195"/>
      <c r="BZ206" s="195"/>
      <c r="CA206" s="195"/>
      <c r="CB206" s="195"/>
      <c r="CC206" s="195"/>
      <c r="CD206" s="195"/>
      <c r="CE206" s="195"/>
      <c r="CF206" s="195"/>
      <c r="CG206" s="195"/>
      <c r="CH206" s="195"/>
      <c r="CI206" s="195"/>
      <c r="CJ206" s="195"/>
      <c r="CK206" s="195"/>
      <c r="CL206" s="195"/>
      <c r="CM206" s="195"/>
      <c r="CN206" s="195"/>
      <c r="CO206" s="195"/>
      <c r="CP206" s="195"/>
      <c r="CQ206" s="195"/>
      <c r="CR206" s="195"/>
      <c r="CS206" s="195"/>
      <c r="CT206" s="195"/>
      <c r="CU206" s="195"/>
      <c r="CV206" s="195"/>
      <c r="CW206" s="195"/>
      <c r="CX206" s="195"/>
      <c r="CY206" s="195"/>
      <c r="CZ206" s="195"/>
      <c r="DA206" s="195"/>
      <c r="DB206" s="195"/>
      <c r="DC206" s="195"/>
      <c r="DD206" s="195"/>
      <c r="DE206" s="195"/>
      <c r="DF206" s="195"/>
      <c r="DG206" s="195"/>
      <c r="DH206" s="195"/>
    </row>
    <row r="207" spans="5:112" s="193" customFormat="1">
      <c r="E207" s="32"/>
      <c r="F207" s="32"/>
      <c r="G207" s="29"/>
      <c r="H207" s="25"/>
      <c r="I207" s="25"/>
      <c r="J207" s="25"/>
      <c r="K207" s="25"/>
      <c r="L207" s="29"/>
      <c r="M207" s="29"/>
      <c r="N207" s="28"/>
      <c r="O207" s="30"/>
      <c r="P207" s="30"/>
      <c r="Q207" s="30"/>
      <c r="R207" s="30"/>
      <c r="S207" s="30"/>
      <c r="T207" s="30"/>
      <c r="U207" s="30"/>
      <c r="V207" s="29"/>
      <c r="W207" s="28"/>
      <c r="X207" s="149"/>
      <c r="Y207" s="149"/>
      <c r="Z207" s="150"/>
      <c r="AA207" s="150"/>
      <c r="AB207" s="151"/>
      <c r="AC207" s="150"/>
      <c r="AD207" s="150"/>
      <c r="AE207" s="150"/>
      <c r="AF207" s="150"/>
      <c r="AG207" s="150"/>
      <c r="AH207" s="150"/>
      <c r="AI207" s="195"/>
      <c r="AJ207" s="195"/>
      <c r="AK207" s="195"/>
      <c r="AL207" s="195"/>
      <c r="AM207" s="195"/>
      <c r="AN207" s="195"/>
      <c r="AO207" s="195"/>
      <c r="AP207" s="195"/>
      <c r="AQ207" s="195"/>
      <c r="AR207" s="195"/>
      <c r="AS207" s="195"/>
      <c r="AT207" s="195"/>
      <c r="AU207" s="195"/>
      <c r="AV207" s="195"/>
      <c r="AW207" s="195"/>
      <c r="AX207" s="195"/>
      <c r="AY207" s="195"/>
      <c r="AZ207" s="195"/>
      <c r="BA207" s="195"/>
      <c r="BB207" s="195"/>
      <c r="BC207" s="195"/>
      <c r="BD207" s="195"/>
      <c r="BE207" s="195"/>
      <c r="BF207" s="195"/>
      <c r="BG207" s="195"/>
      <c r="BH207" s="195"/>
      <c r="BI207" s="195"/>
      <c r="BJ207" s="195"/>
      <c r="BK207" s="195"/>
      <c r="BL207" s="195"/>
      <c r="BM207" s="195"/>
      <c r="BN207" s="195"/>
      <c r="BO207" s="195"/>
      <c r="BP207" s="195"/>
      <c r="BQ207" s="195"/>
      <c r="BR207" s="195"/>
      <c r="BS207" s="195"/>
      <c r="BT207" s="195"/>
      <c r="BU207" s="195"/>
      <c r="BV207" s="195"/>
      <c r="BW207" s="195"/>
      <c r="BX207" s="195"/>
      <c r="BY207" s="195"/>
      <c r="BZ207" s="195"/>
      <c r="CA207" s="195"/>
      <c r="CB207" s="195"/>
      <c r="CC207" s="195"/>
      <c r="CD207" s="195"/>
      <c r="CE207" s="195"/>
      <c r="CF207" s="195"/>
      <c r="CG207" s="195"/>
      <c r="CH207" s="195"/>
      <c r="CI207" s="195"/>
      <c r="CJ207" s="195"/>
      <c r="CK207" s="195"/>
      <c r="CL207" s="195"/>
      <c r="CM207" s="195"/>
      <c r="CN207" s="195"/>
      <c r="CO207" s="195"/>
      <c r="CP207" s="195"/>
      <c r="CQ207" s="195"/>
      <c r="CR207" s="195"/>
      <c r="CS207" s="195"/>
      <c r="CT207" s="195"/>
      <c r="CU207" s="195"/>
      <c r="CV207" s="195"/>
      <c r="CW207" s="195"/>
      <c r="CX207" s="195"/>
      <c r="CY207" s="195"/>
      <c r="CZ207" s="195"/>
      <c r="DA207" s="195"/>
      <c r="DB207" s="195"/>
      <c r="DC207" s="195"/>
      <c r="DD207" s="195"/>
      <c r="DE207" s="195"/>
      <c r="DF207" s="195"/>
      <c r="DG207" s="195"/>
      <c r="DH207" s="195"/>
    </row>
    <row r="208" spans="5:112" s="193" customFormat="1">
      <c r="E208" s="32"/>
      <c r="F208" s="32"/>
      <c r="G208" s="29"/>
      <c r="H208" s="25"/>
      <c r="I208" s="25"/>
      <c r="J208" s="25"/>
      <c r="K208" s="25"/>
      <c r="L208" s="29"/>
      <c r="M208" s="29"/>
      <c r="N208" s="28"/>
      <c r="O208" s="30"/>
      <c r="P208" s="30"/>
      <c r="Q208" s="30"/>
      <c r="R208" s="30"/>
      <c r="S208" s="30"/>
      <c r="T208" s="30"/>
      <c r="U208" s="30"/>
      <c r="V208" s="29"/>
      <c r="W208" s="28"/>
      <c r="X208" s="149"/>
      <c r="Y208" s="149"/>
      <c r="Z208" s="150"/>
      <c r="AA208" s="150"/>
      <c r="AB208" s="151"/>
      <c r="AC208" s="150"/>
      <c r="AD208" s="150"/>
      <c r="AE208" s="150"/>
      <c r="AF208" s="150"/>
      <c r="AG208" s="150"/>
      <c r="AH208" s="150"/>
      <c r="AI208" s="195"/>
      <c r="AJ208" s="195"/>
      <c r="AK208" s="195"/>
      <c r="AL208" s="195"/>
      <c r="AM208" s="195"/>
      <c r="AN208" s="195"/>
      <c r="AO208" s="195"/>
      <c r="AP208" s="195"/>
      <c r="AQ208" s="195"/>
      <c r="AR208" s="195"/>
      <c r="AS208" s="195"/>
      <c r="AT208" s="195"/>
      <c r="AU208" s="195"/>
      <c r="AV208" s="195"/>
      <c r="AW208" s="195"/>
      <c r="AX208" s="195"/>
      <c r="AY208" s="195"/>
      <c r="AZ208" s="195"/>
      <c r="BA208" s="195"/>
      <c r="BB208" s="195"/>
      <c r="BC208" s="195"/>
      <c r="BD208" s="195"/>
      <c r="BE208" s="195"/>
      <c r="BF208" s="195"/>
      <c r="BG208" s="195"/>
      <c r="BH208" s="195"/>
      <c r="BI208" s="195"/>
      <c r="BJ208" s="195"/>
      <c r="BK208" s="195"/>
      <c r="BL208" s="195"/>
      <c r="BM208" s="195"/>
      <c r="BN208" s="195"/>
      <c r="BO208" s="195"/>
      <c r="BP208" s="195"/>
      <c r="BQ208" s="195"/>
      <c r="BR208" s="195"/>
      <c r="BS208" s="195"/>
      <c r="BT208" s="195"/>
      <c r="BU208" s="195"/>
      <c r="BV208" s="195"/>
      <c r="BW208" s="195"/>
      <c r="BX208" s="195"/>
      <c r="BY208" s="195"/>
      <c r="BZ208" s="195"/>
      <c r="CA208" s="195"/>
      <c r="CB208" s="195"/>
      <c r="CC208" s="195"/>
      <c r="CD208" s="195"/>
      <c r="CE208" s="195"/>
      <c r="CF208" s="195"/>
      <c r="CG208" s="195"/>
      <c r="CH208" s="195"/>
      <c r="CI208" s="195"/>
      <c r="CJ208" s="195"/>
      <c r="CK208" s="195"/>
      <c r="CL208" s="195"/>
      <c r="CM208" s="195"/>
      <c r="CN208" s="195"/>
      <c r="CO208" s="195"/>
      <c r="CP208" s="195"/>
      <c r="CQ208" s="195"/>
      <c r="CR208" s="195"/>
      <c r="CS208" s="195"/>
      <c r="CT208" s="195"/>
      <c r="CU208" s="195"/>
      <c r="CV208" s="195"/>
      <c r="CW208" s="195"/>
      <c r="CX208" s="195"/>
      <c r="CY208" s="195"/>
      <c r="CZ208" s="195"/>
      <c r="DA208" s="195"/>
      <c r="DB208" s="195"/>
      <c r="DC208" s="195"/>
      <c r="DD208" s="195"/>
      <c r="DE208" s="195"/>
      <c r="DF208" s="195"/>
      <c r="DG208" s="195"/>
      <c r="DH208" s="195"/>
    </row>
    <row r="209" spans="5:112" s="193" customFormat="1">
      <c r="E209" s="32"/>
      <c r="F209" s="32"/>
      <c r="G209" s="29"/>
      <c r="H209" s="25"/>
      <c r="I209" s="25"/>
      <c r="J209" s="25"/>
      <c r="K209" s="25"/>
      <c r="L209" s="29"/>
      <c r="M209" s="29"/>
      <c r="N209" s="28"/>
      <c r="O209" s="30"/>
      <c r="P209" s="30"/>
      <c r="Q209" s="30"/>
      <c r="R209" s="30"/>
      <c r="S209" s="30"/>
      <c r="T209" s="30"/>
      <c r="U209" s="30"/>
      <c r="V209" s="29"/>
      <c r="W209" s="28"/>
      <c r="X209" s="149"/>
      <c r="Y209" s="149"/>
      <c r="Z209" s="150"/>
      <c r="AA209" s="150"/>
      <c r="AB209" s="151"/>
      <c r="AC209" s="150"/>
      <c r="AD209" s="150"/>
      <c r="AE209" s="150"/>
      <c r="AF209" s="150"/>
      <c r="AG209" s="150"/>
      <c r="AH209" s="150"/>
      <c r="AI209" s="195"/>
      <c r="AJ209" s="195"/>
      <c r="AK209" s="195"/>
      <c r="AL209" s="195"/>
      <c r="AM209" s="195"/>
      <c r="AN209" s="195"/>
      <c r="AO209" s="195"/>
      <c r="AP209" s="195"/>
      <c r="AQ209" s="195"/>
      <c r="AR209" s="195"/>
      <c r="AS209" s="195"/>
      <c r="AT209" s="195"/>
      <c r="AU209" s="195"/>
      <c r="AV209" s="195"/>
      <c r="AW209" s="195"/>
      <c r="AX209" s="195"/>
      <c r="AY209" s="195"/>
      <c r="AZ209" s="195"/>
      <c r="BA209" s="195"/>
      <c r="BB209" s="195"/>
      <c r="BC209" s="195"/>
      <c r="BD209" s="195"/>
      <c r="BE209" s="195"/>
      <c r="BF209" s="195"/>
      <c r="BG209" s="195"/>
      <c r="BH209" s="195"/>
      <c r="BI209" s="195"/>
      <c r="BJ209" s="195"/>
      <c r="BK209" s="195"/>
      <c r="BL209" s="195"/>
      <c r="BM209" s="195"/>
      <c r="BN209" s="195"/>
      <c r="BO209" s="195"/>
      <c r="BP209" s="195"/>
      <c r="BQ209" s="195"/>
      <c r="BR209" s="195"/>
      <c r="BS209" s="195"/>
      <c r="BT209" s="195"/>
      <c r="BU209" s="195"/>
      <c r="BV209" s="195"/>
      <c r="BW209" s="195"/>
      <c r="BX209" s="195"/>
      <c r="BY209" s="195"/>
      <c r="BZ209" s="195"/>
      <c r="CA209" s="195"/>
      <c r="CB209" s="195"/>
      <c r="CC209" s="195"/>
      <c r="CD209" s="195"/>
      <c r="CE209" s="195"/>
      <c r="CF209" s="195"/>
      <c r="CG209" s="195"/>
      <c r="CH209" s="195"/>
      <c r="CI209" s="195"/>
      <c r="CJ209" s="195"/>
      <c r="CK209" s="195"/>
      <c r="CL209" s="195"/>
      <c r="CM209" s="195"/>
      <c r="CN209" s="195"/>
      <c r="CO209" s="195"/>
      <c r="CP209" s="195"/>
      <c r="CQ209" s="195"/>
      <c r="CR209" s="195"/>
      <c r="CS209" s="195"/>
      <c r="CT209" s="195"/>
      <c r="CU209" s="195"/>
      <c r="CV209" s="195"/>
      <c r="CW209" s="195"/>
      <c r="CX209" s="195"/>
      <c r="CY209" s="195"/>
      <c r="CZ209" s="195"/>
      <c r="DA209" s="195"/>
      <c r="DB209" s="195"/>
      <c r="DC209" s="195"/>
      <c r="DD209" s="195"/>
      <c r="DE209" s="195"/>
      <c r="DF209" s="195"/>
      <c r="DG209" s="195"/>
      <c r="DH209" s="195"/>
    </row>
    <row r="210" spans="5:112" s="193" customFormat="1">
      <c r="E210" s="32"/>
      <c r="F210" s="32"/>
      <c r="G210" s="29"/>
      <c r="H210" s="25"/>
      <c r="I210" s="25"/>
      <c r="J210" s="25"/>
      <c r="K210" s="25"/>
      <c r="L210" s="29"/>
      <c r="M210" s="29"/>
      <c r="N210" s="28"/>
      <c r="O210" s="30"/>
      <c r="P210" s="30"/>
      <c r="Q210" s="30"/>
      <c r="R210" s="30"/>
      <c r="S210" s="30"/>
      <c r="T210" s="30"/>
      <c r="U210" s="30"/>
      <c r="V210" s="29"/>
      <c r="W210" s="28"/>
      <c r="X210" s="149"/>
      <c r="Y210" s="149"/>
      <c r="Z210" s="150"/>
      <c r="AA210" s="150"/>
      <c r="AB210" s="151"/>
      <c r="AC210" s="150"/>
      <c r="AD210" s="150"/>
      <c r="AE210" s="150"/>
      <c r="AF210" s="150"/>
      <c r="AG210" s="150"/>
      <c r="AH210" s="150"/>
      <c r="AI210" s="195"/>
      <c r="AJ210" s="195"/>
      <c r="AK210" s="195"/>
      <c r="AL210" s="195"/>
      <c r="AM210" s="195"/>
      <c r="AN210" s="195"/>
      <c r="AO210" s="195"/>
      <c r="AP210" s="195"/>
      <c r="AQ210" s="195"/>
      <c r="AR210" s="195"/>
      <c r="AS210" s="195"/>
      <c r="AT210" s="195"/>
      <c r="AU210" s="195"/>
      <c r="AV210" s="195"/>
      <c r="AW210" s="195"/>
      <c r="AX210" s="195"/>
      <c r="AY210" s="195"/>
      <c r="AZ210" s="195"/>
      <c r="BA210" s="195"/>
      <c r="BB210" s="195"/>
      <c r="BC210" s="195"/>
      <c r="BD210" s="195"/>
      <c r="BE210" s="195"/>
      <c r="BF210" s="195"/>
      <c r="BG210" s="195"/>
      <c r="BH210" s="195"/>
      <c r="BI210" s="195"/>
      <c r="BJ210" s="195"/>
      <c r="BK210" s="195"/>
      <c r="BL210" s="195"/>
      <c r="BM210" s="195"/>
      <c r="BN210" s="195"/>
      <c r="BO210" s="195"/>
      <c r="BP210" s="195"/>
      <c r="BQ210" s="195"/>
      <c r="BR210" s="195"/>
      <c r="BS210" s="195"/>
      <c r="BT210" s="195"/>
      <c r="BU210" s="195"/>
      <c r="BV210" s="195"/>
      <c r="BW210" s="195"/>
      <c r="BX210" s="195"/>
      <c r="BY210" s="195"/>
      <c r="BZ210" s="195"/>
      <c r="CA210" s="195"/>
      <c r="CB210" s="195"/>
      <c r="CC210" s="195"/>
      <c r="CD210" s="195"/>
      <c r="CE210" s="195"/>
      <c r="CF210" s="195"/>
      <c r="CG210" s="195"/>
      <c r="CH210" s="195"/>
      <c r="CI210" s="195"/>
      <c r="CJ210" s="195"/>
      <c r="CK210" s="195"/>
      <c r="CL210" s="195"/>
      <c r="CM210" s="195"/>
      <c r="CN210" s="195"/>
      <c r="CO210" s="195"/>
      <c r="CP210" s="195"/>
      <c r="CQ210" s="195"/>
      <c r="CR210" s="195"/>
      <c r="CS210" s="195"/>
      <c r="CT210" s="195"/>
      <c r="CU210" s="195"/>
      <c r="CV210" s="195"/>
      <c r="CW210" s="195"/>
      <c r="CX210" s="195"/>
      <c r="CY210" s="195"/>
      <c r="CZ210" s="195"/>
      <c r="DA210" s="195"/>
      <c r="DB210" s="195"/>
      <c r="DC210" s="195"/>
      <c r="DD210" s="195"/>
      <c r="DE210" s="195"/>
      <c r="DF210" s="195"/>
      <c r="DG210" s="195"/>
      <c r="DH210" s="195"/>
    </row>
    <row r="211" spans="5:112" s="193" customFormat="1">
      <c r="E211" s="32"/>
      <c r="F211" s="32"/>
      <c r="G211" s="29"/>
      <c r="H211" s="25"/>
      <c r="I211" s="25"/>
      <c r="J211" s="25"/>
      <c r="K211" s="25"/>
      <c r="L211" s="29"/>
      <c r="M211" s="29"/>
      <c r="N211" s="28"/>
      <c r="O211" s="30"/>
      <c r="P211" s="30"/>
      <c r="Q211" s="30"/>
      <c r="R211" s="30"/>
      <c r="S211" s="30"/>
      <c r="T211" s="30"/>
      <c r="U211" s="30"/>
      <c r="V211" s="29"/>
      <c r="W211" s="28"/>
      <c r="X211" s="149"/>
      <c r="Y211" s="149"/>
      <c r="Z211" s="150"/>
      <c r="AA211" s="150"/>
      <c r="AB211" s="151"/>
      <c r="AC211" s="150"/>
      <c r="AD211" s="150"/>
      <c r="AE211" s="150"/>
      <c r="AF211" s="150"/>
      <c r="AG211" s="150"/>
      <c r="AH211" s="150"/>
      <c r="AI211" s="195"/>
      <c r="AJ211" s="195"/>
      <c r="AK211" s="195"/>
      <c r="AL211" s="195"/>
      <c r="AM211" s="195"/>
      <c r="AN211" s="195"/>
      <c r="AO211" s="195"/>
      <c r="AP211" s="195"/>
      <c r="AQ211" s="195"/>
      <c r="AR211" s="195"/>
      <c r="AS211" s="195"/>
      <c r="AT211" s="195"/>
      <c r="AU211" s="195"/>
      <c r="AV211" s="195"/>
      <c r="AW211" s="195"/>
      <c r="AX211" s="195"/>
      <c r="AY211" s="195"/>
      <c r="AZ211" s="195"/>
      <c r="BA211" s="195"/>
      <c r="BB211" s="195"/>
      <c r="BC211" s="195"/>
      <c r="BD211" s="195"/>
      <c r="BE211" s="195"/>
      <c r="BF211" s="195"/>
      <c r="BG211" s="195"/>
      <c r="BH211" s="195"/>
      <c r="BI211" s="195"/>
      <c r="BJ211" s="195"/>
      <c r="BK211" s="195"/>
      <c r="BL211" s="195"/>
      <c r="BM211" s="195"/>
      <c r="BN211" s="195"/>
      <c r="BO211" s="195"/>
      <c r="BP211" s="195"/>
      <c r="BQ211" s="195"/>
      <c r="BR211" s="195"/>
      <c r="BS211" s="195"/>
      <c r="BT211" s="195"/>
      <c r="BU211" s="195"/>
      <c r="BV211" s="195"/>
      <c r="BW211" s="195"/>
      <c r="BX211" s="195"/>
      <c r="BY211" s="195"/>
      <c r="BZ211" s="195"/>
      <c r="CA211" s="195"/>
      <c r="CB211" s="195"/>
      <c r="CC211" s="195"/>
      <c r="CD211" s="195"/>
      <c r="CE211" s="195"/>
      <c r="CF211" s="195"/>
      <c r="CG211" s="195"/>
      <c r="CH211" s="195"/>
      <c r="CI211" s="195"/>
      <c r="CJ211" s="195"/>
      <c r="CK211" s="195"/>
      <c r="CL211" s="195"/>
      <c r="CM211" s="195"/>
      <c r="CN211" s="195"/>
      <c r="CO211" s="195"/>
      <c r="CP211" s="195"/>
      <c r="CQ211" s="195"/>
      <c r="CR211" s="195"/>
      <c r="CS211" s="195"/>
      <c r="CT211" s="195"/>
      <c r="CU211" s="195"/>
      <c r="CV211" s="195"/>
      <c r="CW211" s="195"/>
      <c r="CX211" s="195"/>
      <c r="CY211" s="195"/>
      <c r="CZ211" s="195"/>
      <c r="DA211" s="195"/>
      <c r="DB211" s="195"/>
      <c r="DC211" s="195"/>
      <c r="DD211" s="195"/>
      <c r="DE211" s="195"/>
      <c r="DF211" s="195"/>
      <c r="DG211" s="195"/>
      <c r="DH211" s="195"/>
    </row>
    <row r="212" spans="5:112" s="193" customFormat="1">
      <c r="E212" s="32"/>
      <c r="F212" s="32"/>
      <c r="G212" s="29"/>
      <c r="H212" s="25"/>
      <c r="I212" s="25"/>
      <c r="J212" s="25"/>
      <c r="K212" s="25"/>
      <c r="L212" s="29"/>
      <c r="M212" s="29"/>
      <c r="N212" s="28"/>
      <c r="O212" s="30"/>
      <c r="P212" s="30"/>
      <c r="Q212" s="30"/>
      <c r="R212" s="30"/>
      <c r="S212" s="30"/>
      <c r="T212" s="30"/>
      <c r="U212" s="30"/>
      <c r="V212" s="29"/>
      <c r="W212" s="28"/>
      <c r="X212" s="149"/>
      <c r="Y212" s="149"/>
      <c r="Z212" s="150"/>
      <c r="AA212" s="150"/>
      <c r="AB212" s="151"/>
      <c r="AC212" s="150"/>
      <c r="AD212" s="150"/>
      <c r="AE212" s="150"/>
      <c r="AF212" s="150"/>
      <c r="AG212" s="150"/>
      <c r="AH212" s="150"/>
      <c r="AI212" s="195"/>
      <c r="AJ212" s="195"/>
      <c r="AK212" s="195"/>
      <c r="AL212" s="195"/>
      <c r="AM212" s="195"/>
      <c r="AN212" s="195"/>
      <c r="AO212" s="195"/>
      <c r="AP212" s="195"/>
      <c r="AQ212" s="195"/>
      <c r="AR212" s="195"/>
      <c r="AS212" s="195"/>
      <c r="AT212" s="195"/>
      <c r="AU212" s="195"/>
      <c r="AV212" s="195"/>
      <c r="AW212" s="195"/>
      <c r="AX212" s="195"/>
      <c r="AY212" s="195"/>
      <c r="AZ212" s="195"/>
      <c r="BA212" s="195"/>
      <c r="BB212" s="195"/>
      <c r="BC212" s="195"/>
      <c r="BD212" s="195"/>
      <c r="BE212" s="195"/>
      <c r="BF212" s="195"/>
      <c r="BG212" s="195"/>
      <c r="BH212" s="195"/>
      <c r="BI212" s="195"/>
      <c r="BJ212" s="195"/>
      <c r="BK212" s="195"/>
      <c r="BL212" s="195"/>
      <c r="BM212" s="195"/>
      <c r="BN212" s="195"/>
      <c r="BO212" s="195"/>
      <c r="BP212" s="195"/>
      <c r="BQ212" s="195"/>
      <c r="BR212" s="195"/>
      <c r="BS212" s="195"/>
      <c r="BT212" s="195"/>
      <c r="BU212" s="195"/>
      <c r="BV212" s="195"/>
      <c r="BW212" s="195"/>
      <c r="BX212" s="195"/>
      <c r="BY212" s="195"/>
      <c r="BZ212" s="195"/>
      <c r="CA212" s="195"/>
      <c r="CB212" s="195"/>
      <c r="CC212" s="195"/>
      <c r="CD212" s="195"/>
      <c r="CE212" s="195"/>
      <c r="CF212" s="195"/>
      <c r="CG212" s="195"/>
      <c r="CH212" s="195"/>
      <c r="CI212" s="195"/>
      <c r="CJ212" s="195"/>
      <c r="CK212" s="195"/>
      <c r="CL212" s="195"/>
      <c r="CM212" s="195"/>
      <c r="CN212" s="195"/>
      <c r="CO212" s="195"/>
      <c r="CP212" s="195"/>
      <c r="CQ212" s="195"/>
      <c r="CR212" s="195"/>
      <c r="CS212" s="195"/>
      <c r="CT212" s="195"/>
      <c r="CU212" s="195"/>
      <c r="CV212" s="195"/>
      <c r="CW212" s="195"/>
      <c r="CX212" s="195"/>
      <c r="CY212" s="195"/>
      <c r="CZ212" s="195"/>
      <c r="DA212" s="195"/>
      <c r="DB212" s="195"/>
      <c r="DC212" s="195"/>
      <c r="DD212" s="195"/>
      <c r="DE212" s="195"/>
      <c r="DF212" s="195"/>
      <c r="DG212" s="195"/>
      <c r="DH212" s="195"/>
    </row>
    <row r="213" spans="5:112" s="193" customFormat="1">
      <c r="E213" s="32"/>
      <c r="F213" s="32"/>
      <c r="G213" s="29"/>
      <c r="H213" s="25"/>
      <c r="I213" s="25"/>
      <c r="J213" s="25"/>
      <c r="K213" s="25"/>
      <c r="L213" s="29"/>
      <c r="M213" s="29"/>
      <c r="N213" s="28"/>
      <c r="O213" s="30"/>
      <c r="P213" s="30"/>
      <c r="Q213" s="30"/>
      <c r="R213" s="30"/>
      <c r="S213" s="30"/>
      <c r="T213" s="30"/>
      <c r="U213" s="30"/>
      <c r="V213" s="29"/>
      <c r="W213" s="28"/>
      <c r="X213" s="149"/>
      <c r="Y213" s="149"/>
      <c r="Z213" s="150"/>
      <c r="AA213" s="150"/>
      <c r="AB213" s="151"/>
      <c r="AC213" s="150"/>
      <c r="AD213" s="150"/>
      <c r="AE213" s="150"/>
      <c r="AF213" s="150"/>
      <c r="AG213" s="150"/>
      <c r="AH213" s="150"/>
      <c r="AI213" s="195"/>
      <c r="AJ213" s="195"/>
      <c r="AK213" s="195"/>
      <c r="AL213" s="195"/>
      <c r="AM213" s="195"/>
      <c r="AN213" s="195"/>
      <c r="AO213" s="195"/>
      <c r="AP213" s="195"/>
      <c r="AQ213" s="195"/>
      <c r="AR213" s="195"/>
      <c r="AS213" s="195"/>
      <c r="AT213" s="195"/>
      <c r="AU213" s="195"/>
      <c r="AV213" s="195"/>
      <c r="AW213" s="195"/>
      <c r="AX213" s="195"/>
      <c r="AY213" s="195"/>
      <c r="AZ213" s="195"/>
      <c r="BA213" s="195"/>
      <c r="BB213" s="195"/>
      <c r="BC213" s="195"/>
      <c r="BD213" s="195"/>
      <c r="BE213" s="195"/>
      <c r="BF213" s="195"/>
      <c r="BG213" s="195"/>
      <c r="BH213" s="195"/>
      <c r="BI213" s="195"/>
      <c r="BJ213" s="195"/>
      <c r="BK213" s="195"/>
      <c r="BL213" s="195"/>
      <c r="BM213" s="195"/>
      <c r="BN213" s="195"/>
      <c r="BO213" s="195"/>
      <c r="BP213" s="195"/>
      <c r="BQ213" s="195"/>
      <c r="BR213" s="195"/>
      <c r="BS213" s="195"/>
      <c r="BT213" s="195"/>
      <c r="BU213" s="195"/>
      <c r="BV213" s="195"/>
      <c r="BW213" s="195"/>
      <c r="BX213" s="195"/>
      <c r="BY213" s="195"/>
      <c r="BZ213" s="195"/>
      <c r="CA213" s="195"/>
      <c r="CB213" s="195"/>
      <c r="CC213" s="195"/>
      <c r="CD213" s="195"/>
      <c r="CE213" s="195"/>
      <c r="CF213" s="195"/>
      <c r="CG213" s="195"/>
      <c r="CH213" s="195"/>
      <c r="CI213" s="195"/>
      <c r="CJ213" s="195"/>
      <c r="CK213" s="195"/>
      <c r="CL213" s="195"/>
      <c r="CM213" s="195"/>
      <c r="CN213" s="195"/>
      <c r="CO213" s="195"/>
      <c r="CP213" s="195"/>
      <c r="CQ213" s="195"/>
      <c r="CR213" s="195"/>
      <c r="CS213" s="195"/>
      <c r="CT213" s="195"/>
      <c r="CU213" s="195"/>
      <c r="CV213" s="195"/>
      <c r="CW213" s="195"/>
      <c r="CX213" s="195"/>
      <c r="CY213" s="195"/>
      <c r="CZ213" s="195"/>
      <c r="DA213" s="195"/>
      <c r="DB213" s="195"/>
      <c r="DC213" s="195"/>
      <c r="DD213" s="195"/>
      <c r="DE213" s="195"/>
      <c r="DF213" s="195"/>
      <c r="DG213" s="195"/>
      <c r="DH213" s="195"/>
    </row>
    <row r="214" spans="5:112" s="193" customFormat="1">
      <c r="E214" s="32"/>
      <c r="F214" s="32"/>
      <c r="G214" s="29"/>
      <c r="H214" s="25"/>
      <c r="I214" s="25"/>
      <c r="J214" s="25"/>
      <c r="K214" s="25"/>
      <c r="L214" s="29"/>
      <c r="M214" s="29"/>
      <c r="N214" s="28"/>
      <c r="O214" s="30"/>
      <c r="P214" s="30"/>
      <c r="Q214" s="30"/>
      <c r="R214" s="30"/>
      <c r="S214" s="30"/>
      <c r="T214" s="30"/>
      <c r="U214" s="30"/>
      <c r="V214" s="29"/>
      <c r="W214" s="28"/>
      <c r="X214" s="149"/>
      <c r="Y214" s="149"/>
      <c r="Z214" s="150"/>
      <c r="AA214" s="150"/>
      <c r="AB214" s="151"/>
      <c r="AC214" s="150"/>
      <c r="AD214" s="150"/>
      <c r="AE214" s="150"/>
      <c r="AF214" s="150"/>
      <c r="AG214" s="150"/>
      <c r="AH214" s="150"/>
      <c r="AI214" s="195"/>
      <c r="AJ214" s="195"/>
      <c r="AK214" s="195"/>
      <c r="AL214" s="195"/>
      <c r="AM214" s="195"/>
      <c r="AN214" s="195"/>
      <c r="AO214" s="195"/>
      <c r="AP214" s="195"/>
      <c r="AQ214" s="195"/>
      <c r="AR214" s="195"/>
      <c r="AS214" s="195"/>
      <c r="AT214" s="195"/>
      <c r="AU214" s="195"/>
      <c r="AV214" s="195"/>
      <c r="AW214" s="195"/>
      <c r="AX214" s="195"/>
      <c r="AY214" s="195"/>
      <c r="AZ214" s="195"/>
      <c r="BA214" s="195"/>
      <c r="BB214" s="195"/>
      <c r="BC214" s="195"/>
      <c r="BD214" s="195"/>
      <c r="BE214" s="195"/>
      <c r="BF214" s="195"/>
      <c r="BG214" s="195"/>
      <c r="BH214" s="195"/>
      <c r="BI214" s="195"/>
      <c r="BJ214" s="195"/>
      <c r="BK214" s="195"/>
      <c r="BL214" s="195"/>
      <c r="BM214" s="195"/>
      <c r="BN214" s="195"/>
      <c r="BO214" s="195"/>
      <c r="BP214" s="195"/>
      <c r="BQ214" s="195"/>
      <c r="BR214" s="195"/>
      <c r="BS214" s="195"/>
      <c r="BT214" s="195"/>
      <c r="BU214" s="195"/>
      <c r="BV214" s="195"/>
      <c r="BW214" s="195"/>
      <c r="BX214" s="195"/>
      <c r="BY214" s="195"/>
      <c r="BZ214" s="195"/>
      <c r="CA214" s="195"/>
      <c r="CB214" s="195"/>
      <c r="CC214" s="195"/>
      <c r="CD214" s="195"/>
      <c r="CE214" s="195"/>
      <c r="CF214" s="195"/>
      <c r="CG214" s="195"/>
      <c r="CH214" s="195"/>
      <c r="CI214" s="195"/>
      <c r="CJ214" s="195"/>
      <c r="CK214" s="195"/>
      <c r="CL214" s="195"/>
      <c r="CM214" s="195"/>
      <c r="CN214" s="195"/>
      <c r="CO214" s="195"/>
      <c r="CP214" s="195"/>
      <c r="CQ214" s="195"/>
      <c r="CR214" s="195"/>
      <c r="CS214" s="195"/>
      <c r="CT214" s="195"/>
      <c r="CU214" s="195"/>
      <c r="CV214" s="195"/>
      <c r="CW214" s="195"/>
      <c r="CX214" s="195"/>
      <c r="CY214" s="195"/>
      <c r="CZ214" s="195"/>
      <c r="DA214" s="195"/>
      <c r="DB214" s="195"/>
      <c r="DC214" s="195"/>
      <c r="DD214" s="195"/>
      <c r="DE214" s="195"/>
      <c r="DF214" s="195"/>
      <c r="DG214" s="195"/>
      <c r="DH214" s="195"/>
    </row>
    <row r="215" spans="5:112" s="193" customFormat="1">
      <c r="E215" s="32"/>
      <c r="F215" s="32"/>
      <c r="G215" s="29"/>
      <c r="H215" s="25"/>
      <c r="I215" s="25"/>
      <c r="J215" s="25"/>
      <c r="K215" s="25"/>
      <c r="L215" s="29"/>
      <c r="M215" s="29"/>
      <c r="N215" s="28"/>
      <c r="O215" s="30"/>
      <c r="P215" s="30"/>
      <c r="Q215" s="30"/>
      <c r="R215" s="30"/>
      <c r="S215" s="30"/>
      <c r="T215" s="30"/>
      <c r="U215" s="30"/>
      <c r="V215" s="29"/>
      <c r="W215" s="28"/>
      <c r="X215" s="149"/>
      <c r="Y215" s="149"/>
      <c r="Z215" s="150"/>
      <c r="AA215" s="150"/>
      <c r="AB215" s="151"/>
      <c r="AC215" s="150"/>
      <c r="AD215" s="150"/>
      <c r="AE215" s="150"/>
      <c r="AF215" s="150"/>
      <c r="AG215" s="150"/>
      <c r="AH215" s="150"/>
      <c r="AI215" s="195"/>
      <c r="AJ215" s="195"/>
      <c r="AK215" s="195"/>
      <c r="AL215" s="195"/>
      <c r="AM215" s="195"/>
      <c r="AN215" s="195"/>
      <c r="AO215" s="195"/>
      <c r="AP215" s="195"/>
      <c r="AQ215" s="195"/>
      <c r="AR215" s="195"/>
      <c r="AS215" s="195"/>
      <c r="AT215" s="195"/>
      <c r="AU215" s="195"/>
      <c r="AV215" s="195"/>
      <c r="AW215" s="195"/>
      <c r="AX215" s="195"/>
      <c r="AY215" s="195"/>
      <c r="AZ215" s="195"/>
      <c r="BA215" s="195"/>
      <c r="BB215" s="195"/>
      <c r="BC215" s="195"/>
      <c r="BD215" s="195"/>
      <c r="BE215" s="195"/>
      <c r="BF215" s="195"/>
      <c r="BG215" s="195"/>
      <c r="BH215" s="195"/>
      <c r="BI215" s="195"/>
      <c r="BJ215" s="195"/>
      <c r="BK215" s="195"/>
      <c r="BL215" s="195"/>
      <c r="BM215" s="195"/>
      <c r="BN215" s="195"/>
      <c r="BO215" s="195"/>
      <c r="BP215" s="195"/>
      <c r="BQ215" s="195"/>
      <c r="BR215" s="195"/>
      <c r="BS215" s="195"/>
      <c r="BT215" s="195"/>
      <c r="BU215" s="195"/>
      <c r="BV215" s="195"/>
      <c r="BW215" s="195"/>
      <c r="BX215" s="195"/>
      <c r="BY215" s="195"/>
      <c r="BZ215" s="195"/>
      <c r="CA215" s="195"/>
      <c r="CB215" s="195"/>
      <c r="CC215" s="195"/>
      <c r="CD215" s="195"/>
      <c r="CE215" s="195"/>
      <c r="CF215" s="195"/>
      <c r="CG215" s="195"/>
      <c r="CH215" s="195"/>
      <c r="CI215" s="195"/>
      <c r="CJ215" s="195"/>
      <c r="CK215" s="195"/>
      <c r="CL215" s="195"/>
      <c r="CM215" s="195"/>
      <c r="CN215" s="195"/>
      <c r="CO215" s="195"/>
      <c r="CP215" s="195"/>
      <c r="CQ215" s="195"/>
      <c r="CR215" s="195"/>
      <c r="CS215" s="195"/>
      <c r="CT215" s="195"/>
      <c r="CU215" s="195"/>
      <c r="CV215" s="195"/>
      <c r="CW215" s="195"/>
      <c r="CX215" s="195"/>
      <c r="CY215" s="195"/>
      <c r="CZ215" s="195"/>
      <c r="DA215" s="195"/>
      <c r="DB215" s="195"/>
      <c r="DC215" s="195"/>
      <c r="DD215" s="195"/>
      <c r="DE215" s="195"/>
      <c r="DF215" s="195"/>
      <c r="DG215" s="195"/>
      <c r="DH215" s="195"/>
    </row>
    <row r="216" spans="5:112" s="193" customFormat="1">
      <c r="E216" s="32"/>
      <c r="F216" s="32"/>
      <c r="G216" s="29"/>
      <c r="H216" s="25"/>
      <c r="I216" s="25"/>
      <c r="J216" s="25"/>
      <c r="K216" s="25"/>
      <c r="L216" s="29"/>
      <c r="M216" s="29"/>
      <c r="N216" s="28"/>
      <c r="O216" s="30"/>
      <c r="P216" s="30"/>
      <c r="Q216" s="30"/>
      <c r="R216" s="30"/>
      <c r="S216" s="30"/>
      <c r="T216" s="30"/>
      <c r="U216" s="30"/>
      <c r="V216" s="29"/>
      <c r="W216" s="28"/>
      <c r="X216" s="149"/>
      <c r="Y216" s="149"/>
      <c r="Z216" s="150"/>
      <c r="AA216" s="150"/>
      <c r="AB216" s="151"/>
      <c r="AC216" s="150"/>
      <c r="AD216" s="150"/>
      <c r="AE216" s="150"/>
      <c r="AF216" s="150"/>
      <c r="AG216" s="150"/>
      <c r="AH216" s="150"/>
      <c r="AI216" s="195"/>
      <c r="AJ216" s="195"/>
      <c r="AK216" s="195"/>
      <c r="AL216" s="195"/>
      <c r="AM216" s="195"/>
      <c r="AN216" s="195"/>
      <c r="AO216" s="195"/>
      <c r="AP216" s="195"/>
      <c r="AQ216" s="195"/>
      <c r="AR216" s="195"/>
      <c r="AS216" s="195"/>
      <c r="AT216" s="195"/>
      <c r="AU216" s="195"/>
      <c r="AV216" s="195"/>
      <c r="AW216" s="195"/>
      <c r="AX216" s="195"/>
      <c r="AY216" s="195"/>
      <c r="AZ216" s="195"/>
      <c r="BA216" s="195"/>
      <c r="BB216" s="195"/>
      <c r="BC216" s="195"/>
      <c r="BD216" s="195"/>
      <c r="BE216" s="195"/>
      <c r="BF216" s="195"/>
      <c r="BG216" s="195"/>
      <c r="BH216" s="195"/>
      <c r="BI216" s="195"/>
      <c r="BJ216" s="195"/>
      <c r="BK216" s="195"/>
      <c r="BL216" s="195"/>
      <c r="BM216" s="195"/>
      <c r="BN216" s="195"/>
      <c r="BO216" s="195"/>
      <c r="BP216" s="195"/>
      <c r="BQ216" s="195"/>
      <c r="BR216" s="195"/>
      <c r="BS216" s="195"/>
      <c r="BT216" s="195"/>
      <c r="BU216" s="195"/>
      <c r="BV216" s="195"/>
      <c r="BW216" s="195"/>
      <c r="BX216" s="195"/>
      <c r="BY216" s="195"/>
      <c r="BZ216" s="195"/>
      <c r="CA216" s="195"/>
      <c r="CB216" s="195"/>
      <c r="CC216" s="195"/>
      <c r="CD216" s="195"/>
      <c r="CE216" s="195"/>
      <c r="CF216" s="195"/>
      <c r="CG216" s="195"/>
      <c r="CH216" s="195"/>
      <c r="CI216" s="195"/>
      <c r="CJ216" s="195"/>
      <c r="CK216" s="195"/>
      <c r="CL216" s="195"/>
      <c r="CM216" s="195"/>
      <c r="CN216" s="195"/>
      <c r="CO216" s="195"/>
      <c r="CP216" s="195"/>
      <c r="CQ216" s="195"/>
      <c r="CR216" s="195"/>
      <c r="CS216" s="195"/>
      <c r="CT216" s="195"/>
      <c r="CU216" s="195"/>
      <c r="CV216" s="195"/>
      <c r="CW216" s="195"/>
      <c r="CX216" s="195"/>
      <c r="CY216" s="195"/>
      <c r="CZ216" s="195"/>
      <c r="DA216" s="195"/>
      <c r="DB216" s="195"/>
      <c r="DC216" s="195"/>
      <c r="DD216" s="195"/>
      <c r="DE216" s="195"/>
      <c r="DF216" s="195"/>
      <c r="DG216" s="195"/>
      <c r="DH216" s="195"/>
    </row>
    <row r="217" spans="5:112" s="193" customFormat="1">
      <c r="E217" s="32"/>
      <c r="F217" s="32"/>
      <c r="G217" s="29"/>
      <c r="H217" s="25"/>
      <c r="I217" s="25"/>
      <c r="J217" s="25"/>
      <c r="K217" s="25"/>
      <c r="L217" s="29"/>
      <c r="M217" s="29"/>
      <c r="N217" s="28"/>
      <c r="O217" s="30"/>
      <c r="P217" s="30"/>
      <c r="Q217" s="30"/>
      <c r="R217" s="30"/>
      <c r="S217" s="30"/>
      <c r="T217" s="30"/>
      <c r="U217" s="30"/>
      <c r="V217" s="29"/>
      <c r="W217" s="28"/>
      <c r="X217" s="149"/>
      <c r="Y217" s="149"/>
      <c r="Z217" s="150"/>
      <c r="AA217" s="150"/>
      <c r="AB217" s="151"/>
      <c r="AC217" s="150"/>
      <c r="AD217" s="150"/>
      <c r="AE217" s="150"/>
      <c r="AF217" s="150"/>
      <c r="AG217" s="150"/>
      <c r="AH217" s="150"/>
      <c r="AI217" s="195"/>
      <c r="AJ217" s="195"/>
      <c r="AK217" s="195"/>
      <c r="AL217" s="195"/>
      <c r="AM217" s="195"/>
      <c r="AN217" s="195"/>
      <c r="AO217" s="195"/>
      <c r="AP217" s="195"/>
      <c r="AQ217" s="195"/>
      <c r="AR217" s="195"/>
      <c r="AS217" s="195"/>
      <c r="AT217" s="195"/>
      <c r="AU217" s="195"/>
      <c r="AV217" s="195"/>
      <c r="AW217" s="195"/>
      <c r="AX217" s="195"/>
      <c r="AY217" s="195"/>
      <c r="AZ217" s="195"/>
      <c r="BA217" s="195"/>
      <c r="BB217" s="195"/>
      <c r="BC217" s="195"/>
      <c r="BD217" s="195"/>
      <c r="BE217" s="195"/>
      <c r="BF217" s="195"/>
      <c r="BG217" s="195"/>
      <c r="BH217" s="195"/>
      <c r="BI217" s="195"/>
      <c r="BJ217" s="195"/>
      <c r="BK217" s="195"/>
      <c r="BL217" s="195"/>
      <c r="BM217" s="195"/>
      <c r="BN217" s="195"/>
      <c r="BO217" s="195"/>
      <c r="BP217" s="195"/>
      <c r="BQ217" s="195"/>
      <c r="BR217" s="195"/>
      <c r="BS217" s="195"/>
      <c r="BT217" s="195"/>
      <c r="BU217" s="195"/>
      <c r="BV217" s="195"/>
      <c r="BW217" s="195"/>
      <c r="BX217" s="195"/>
      <c r="BY217" s="195"/>
      <c r="BZ217" s="195"/>
      <c r="CA217" s="195"/>
      <c r="CB217" s="195"/>
      <c r="CC217" s="195"/>
      <c r="CD217" s="195"/>
      <c r="CE217" s="195"/>
      <c r="CF217" s="195"/>
      <c r="CG217" s="195"/>
      <c r="CH217" s="195"/>
      <c r="CI217" s="195"/>
      <c r="CJ217" s="195"/>
      <c r="CK217" s="195"/>
      <c r="CL217" s="195"/>
      <c r="CM217" s="195"/>
      <c r="CN217" s="195"/>
      <c r="CO217" s="195"/>
      <c r="CP217" s="195"/>
      <c r="CQ217" s="195"/>
      <c r="CR217" s="195"/>
      <c r="CS217" s="195"/>
      <c r="CT217" s="195"/>
      <c r="CU217" s="195"/>
      <c r="CV217" s="195"/>
      <c r="CW217" s="195"/>
      <c r="CX217" s="195"/>
      <c r="CY217" s="195"/>
      <c r="CZ217" s="195"/>
      <c r="DA217" s="195"/>
      <c r="DB217" s="195"/>
      <c r="DC217" s="195"/>
      <c r="DD217" s="195"/>
      <c r="DE217" s="195"/>
      <c r="DF217" s="195"/>
      <c r="DG217" s="195"/>
      <c r="DH217" s="195"/>
    </row>
    <row r="218" spans="5:112" s="193" customFormat="1">
      <c r="E218" s="32"/>
      <c r="F218" s="32"/>
      <c r="G218" s="29"/>
      <c r="H218" s="25"/>
      <c r="I218" s="25"/>
      <c r="J218" s="25"/>
      <c r="K218" s="25"/>
      <c r="L218" s="29"/>
      <c r="M218" s="29"/>
      <c r="N218" s="28"/>
      <c r="O218" s="30"/>
      <c r="P218" s="30"/>
      <c r="Q218" s="30"/>
      <c r="R218" s="30"/>
      <c r="S218" s="30"/>
      <c r="T218" s="30"/>
      <c r="U218" s="30"/>
      <c r="V218" s="29"/>
      <c r="W218" s="28"/>
      <c r="X218" s="149"/>
      <c r="Y218" s="149"/>
      <c r="Z218" s="150"/>
      <c r="AA218" s="150"/>
      <c r="AB218" s="151"/>
      <c r="AC218" s="150"/>
      <c r="AD218" s="150"/>
      <c r="AE218" s="150"/>
      <c r="AF218" s="150"/>
      <c r="AG218" s="150"/>
      <c r="AH218" s="150"/>
      <c r="AI218" s="195"/>
      <c r="AJ218" s="195"/>
      <c r="AK218" s="195"/>
      <c r="AL218" s="195"/>
      <c r="AM218" s="195"/>
      <c r="AN218" s="195"/>
      <c r="AO218" s="195"/>
      <c r="AP218" s="195"/>
      <c r="AQ218" s="195"/>
      <c r="AR218" s="195"/>
      <c r="AS218" s="195"/>
      <c r="AT218" s="195"/>
      <c r="AU218" s="195"/>
      <c r="AV218" s="195"/>
      <c r="AW218" s="195"/>
      <c r="AX218" s="195"/>
      <c r="AY218" s="195"/>
      <c r="AZ218" s="195"/>
      <c r="BA218" s="195"/>
      <c r="BB218" s="195"/>
      <c r="BC218" s="195"/>
      <c r="BD218" s="195"/>
      <c r="BE218" s="195"/>
      <c r="BF218" s="195"/>
      <c r="BG218" s="195"/>
      <c r="BH218" s="195"/>
      <c r="BI218" s="195"/>
      <c r="BJ218" s="195"/>
      <c r="BK218" s="195"/>
      <c r="BL218" s="195"/>
      <c r="BM218" s="195"/>
      <c r="BN218" s="195"/>
      <c r="BO218" s="195"/>
      <c r="BP218" s="195"/>
      <c r="BQ218" s="195"/>
      <c r="BR218" s="195"/>
      <c r="BS218" s="195"/>
      <c r="BT218" s="195"/>
      <c r="BU218" s="195"/>
      <c r="BV218" s="195"/>
      <c r="BW218" s="195"/>
      <c r="BX218" s="195"/>
      <c r="BY218" s="195"/>
      <c r="BZ218" s="195"/>
      <c r="CA218" s="195"/>
      <c r="CB218" s="195"/>
      <c r="CC218" s="195"/>
      <c r="CD218" s="195"/>
      <c r="CE218" s="195"/>
      <c r="CF218" s="195"/>
      <c r="CG218" s="195"/>
      <c r="CH218" s="195"/>
      <c r="CI218" s="195"/>
      <c r="CJ218" s="195"/>
      <c r="CK218" s="195"/>
      <c r="CL218" s="195"/>
      <c r="CM218" s="195"/>
      <c r="CN218" s="195"/>
      <c r="CO218" s="195"/>
      <c r="CP218" s="195"/>
      <c r="CQ218" s="195"/>
      <c r="CR218" s="195"/>
      <c r="CS218" s="195"/>
      <c r="CT218" s="195"/>
      <c r="CU218" s="195"/>
      <c r="CV218" s="195"/>
      <c r="CW218" s="195"/>
      <c r="CX218" s="195"/>
      <c r="CY218" s="195"/>
      <c r="CZ218" s="195"/>
      <c r="DA218" s="195"/>
      <c r="DB218" s="195"/>
      <c r="DC218" s="195"/>
      <c r="DD218" s="195"/>
      <c r="DE218" s="195"/>
      <c r="DF218" s="195"/>
      <c r="DG218" s="195"/>
      <c r="DH218" s="195"/>
    </row>
    <row r="219" spans="5:112" s="193" customFormat="1">
      <c r="E219" s="32"/>
      <c r="F219" s="32"/>
      <c r="G219" s="29"/>
      <c r="H219" s="25"/>
      <c r="I219" s="25"/>
      <c r="J219" s="25"/>
      <c r="K219" s="25"/>
      <c r="L219" s="29"/>
      <c r="M219" s="29"/>
      <c r="N219" s="28"/>
      <c r="O219" s="30"/>
      <c r="P219" s="30"/>
      <c r="Q219" s="30"/>
      <c r="R219" s="30"/>
      <c r="S219" s="30"/>
      <c r="T219" s="30"/>
      <c r="U219" s="30"/>
      <c r="V219" s="29"/>
      <c r="W219" s="28"/>
      <c r="X219" s="149"/>
      <c r="Y219" s="149"/>
      <c r="Z219" s="150"/>
      <c r="AA219" s="150"/>
      <c r="AB219" s="151"/>
      <c r="AC219" s="150"/>
      <c r="AD219" s="150"/>
      <c r="AE219" s="150"/>
      <c r="AF219" s="150"/>
      <c r="AG219" s="150"/>
      <c r="AH219" s="150"/>
      <c r="AI219" s="195"/>
      <c r="AJ219" s="195"/>
      <c r="AK219" s="195"/>
      <c r="AL219" s="195"/>
      <c r="AM219" s="195"/>
      <c r="AN219" s="195"/>
      <c r="AO219" s="195"/>
      <c r="AP219" s="195"/>
      <c r="AQ219" s="195"/>
      <c r="AR219" s="195"/>
      <c r="AS219" s="195"/>
      <c r="AT219" s="195"/>
      <c r="AU219" s="195"/>
      <c r="AV219" s="195"/>
      <c r="AW219" s="195"/>
      <c r="AX219" s="195"/>
      <c r="AY219" s="195"/>
      <c r="AZ219" s="195"/>
      <c r="BA219" s="195"/>
      <c r="BB219" s="195"/>
      <c r="BC219" s="195"/>
      <c r="BD219" s="195"/>
      <c r="BE219" s="195"/>
      <c r="BF219" s="195"/>
      <c r="BG219" s="195"/>
      <c r="BH219" s="195"/>
      <c r="BI219" s="195"/>
      <c r="BJ219" s="195"/>
      <c r="BK219" s="195"/>
      <c r="BL219" s="195"/>
      <c r="BM219" s="195"/>
      <c r="BN219" s="195"/>
      <c r="BO219" s="195"/>
      <c r="BP219" s="195"/>
      <c r="BQ219" s="195"/>
      <c r="BR219" s="195"/>
      <c r="BS219" s="195"/>
      <c r="BT219" s="195"/>
      <c r="BU219" s="195"/>
      <c r="BV219" s="195"/>
      <c r="BW219" s="195"/>
      <c r="BX219" s="195"/>
      <c r="BY219" s="195"/>
      <c r="BZ219" s="195"/>
      <c r="CA219" s="195"/>
      <c r="CB219" s="195"/>
      <c r="CC219" s="195"/>
      <c r="CD219" s="195"/>
      <c r="CE219" s="195"/>
      <c r="CF219" s="195"/>
      <c r="CG219" s="195"/>
      <c r="CH219" s="195"/>
      <c r="CI219" s="195"/>
      <c r="CJ219" s="195"/>
      <c r="CK219" s="195"/>
      <c r="CL219" s="195"/>
      <c r="CM219" s="195"/>
      <c r="CN219" s="195"/>
      <c r="CO219" s="195"/>
      <c r="CP219" s="195"/>
      <c r="CQ219" s="195"/>
      <c r="CR219" s="195"/>
      <c r="CS219" s="195"/>
      <c r="CT219" s="195"/>
      <c r="CU219" s="195"/>
      <c r="CV219" s="195"/>
      <c r="CW219" s="195"/>
      <c r="CX219" s="195"/>
      <c r="CY219" s="195"/>
      <c r="CZ219" s="195"/>
      <c r="DA219" s="195"/>
      <c r="DB219" s="195"/>
      <c r="DC219" s="195"/>
      <c r="DD219" s="195"/>
      <c r="DE219" s="195"/>
      <c r="DF219" s="195"/>
      <c r="DG219" s="195"/>
      <c r="DH219" s="195"/>
    </row>
    <row r="220" spans="5:112" s="193" customFormat="1">
      <c r="E220" s="32"/>
      <c r="F220" s="32"/>
      <c r="G220" s="29"/>
      <c r="H220" s="25"/>
      <c r="I220" s="25"/>
      <c r="J220" s="25"/>
      <c r="K220" s="25"/>
      <c r="L220" s="29"/>
      <c r="M220" s="29"/>
      <c r="N220" s="28"/>
      <c r="O220" s="30"/>
      <c r="P220" s="30"/>
      <c r="Q220" s="30"/>
      <c r="R220" s="30"/>
      <c r="S220" s="30"/>
      <c r="T220" s="30"/>
      <c r="U220" s="30"/>
      <c r="V220" s="29"/>
      <c r="W220" s="28"/>
      <c r="X220" s="149"/>
      <c r="Y220" s="149"/>
      <c r="Z220" s="150"/>
      <c r="AA220" s="150"/>
      <c r="AB220" s="151"/>
      <c r="AC220" s="150"/>
      <c r="AD220" s="150"/>
      <c r="AE220" s="150"/>
      <c r="AF220" s="150"/>
      <c r="AG220" s="150"/>
      <c r="AH220" s="150"/>
      <c r="AI220" s="195"/>
      <c r="AJ220" s="195"/>
      <c r="AK220" s="195"/>
      <c r="AL220" s="195"/>
      <c r="AM220" s="195"/>
      <c r="AN220" s="195"/>
      <c r="AO220" s="195"/>
      <c r="AP220" s="195"/>
      <c r="AQ220" s="195"/>
      <c r="AR220" s="195"/>
      <c r="AS220" s="195"/>
      <c r="AT220" s="195"/>
      <c r="AU220" s="195"/>
      <c r="AV220" s="195"/>
      <c r="AW220" s="195"/>
      <c r="AX220" s="195"/>
      <c r="AY220" s="195"/>
      <c r="AZ220" s="195"/>
      <c r="BA220" s="195"/>
      <c r="BB220" s="195"/>
      <c r="BC220" s="195"/>
      <c r="BD220" s="195"/>
      <c r="BE220" s="195"/>
      <c r="BF220" s="195"/>
      <c r="BG220" s="195"/>
      <c r="BH220" s="195"/>
      <c r="BI220" s="195"/>
      <c r="BJ220" s="195"/>
      <c r="BK220" s="195"/>
      <c r="BL220" s="195"/>
      <c r="BM220" s="195"/>
      <c r="BN220" s="195"/>
      <c r="BO220" s="195"/>
      <c r="BP220" s="195"/>
      <c r="BQ220" s="195"/>
      <c r="BR220" s="195"/>
      <c r="BS220" s="195"/>
      <c r="BT220" s="195"/>
      <c r="BU220" s="195"/>
      <c r="BV220" s="195"/>
      <c r="BW220" s="195"/>
      <c r="BX220" s="195"/>
      <c r="BY220" s="195"/>
      <c r="BZ220" s="195"/>
      <c r="CA220" s="195"/>
      <c r="CB220" s="195"/>
      <c r="CC220" s="195"/>
      <c r="CD220" s="195"/>
      <c r="CE220" s="195"/>
      <c r="CF220" s="195"/>
      <c r="CG220" s="195"/>
      <c r="CH220" s="195"/>
      <c r="CI220" s="195"/>
      <c r="CJ220" s="195"/>
      <c r="CK220" s="195"/>
      <c r="CL220" s="195"/>
      <c r="CM220" s="195"/>
      <c r="CN220" s="195"/>
      <c r="CO220" s="195"/>
      <c r="CP220" s="195"/>
      <c r="CQ220" s="195"/>
      <c r="CR220" s="195"/>
      <c r="CS220" s="195"/>
      <c r="CT220" s="195"/>
      <c r="CU220" s="195"/>
      <c r="CV220" s="195"/>
      <c r="CW220" s="195"/>
      <c r="CX220" s="195"/>
      <c r="CY220" s="195"/>
      <c r="CZ220" s="195"/>
      <c r="DA220" s="195"/>
      <c r="DB220" s="195"/>
      <c r="DC220" s="195"/>
      <c r="DD220" s="195"/>
      <c r="DE220" s="195"/>
      <c r="DF220" s="195"/>
      <c r="DG220" s="195"/>
      <c r="DH220" s="195"/>
    </row>
    <row r="221" spans="5:112" s="193" customFormat="1">
      <c r="E221" s="32"/>
      <c r="F221" s="32"/>
      <c r="G221" s="29"/>
      <c r="H221" s="25"/>
      <c r="I221" s="25"/>
      <c r="J221" s="25"/>
      <c r="K221" s="25"/>
      <c r="L221" s="29"/>
      <c r="M221" s="29"/>
      <c r="N221" s="28"/>
      <c r="O221" s="30"/>
      <c r="P221" s="30"/>
      <c r="Q221" s="30"/>
      <c r="R221" s="30"/>
      <c r="S221" s="30"/>
      <c r="T221" s="30"/>
      <c r="U221" s="30"/>
      <c r="V221" s="29"/>
      <c r="W221" s="28"/>
      <c r="X221" s="149"/>
      <c r="Y221" s="149"/>
      <c r="Z221" s="150"/>
      <c r="AA221" s="150"/>
      <c r="AB221" s="151"/>
      <c r="AC221" s="150"/>
      <c r="AD221" s="150"/>
      <c r="AE221" s="150"/>
      <c r="AF221" s="150"/>
      <c r="AG221" s="150"/>
      <c r="AH221" s="150"/>
      <c r="AI221" s="195"/>
      <c r="AJ221" s="195"/>
      <c r="AK221" s="195"/>
      <c r="AL221" s="195"/>
      <c r="AM221" s="195"/>
      <c r="AN221" s="195"/>
      <c r="AO221" s="195"/>
      <c r="AP221" s="195"/>
      <c r="AQ221" s="195"/>
      <c r="AR221" s="195"/>
      <c r="AS221" s="195"/>
      <c r="AT221" s="195"/>
      <c r="AU221" s="195"/>
      <c r="AV221" s="195"/>
      <c r="AW221" s="195"/>
      <c r="AX221" s="195"/>
      <c r="AY221" s="195"/>
      <c r="AZ221" s="195"/>
      <c r="BA221" s="195"/>
      <c r="BB221" s="195"/>
      <c r="BC221" s="195"/>
      <c r="BD221" s="195"/>
      <c r="BE221" s="195"/>
      <c r="BF221" s="195"/>
      <c r="BG221" s="195"/>
      <c r="BH221" s="195"/>
      <c r="BI221" s="195"/>
      <c r="BJ221" s="195"/>
      <c r="BK221" s="195"/>
      <c r="BL221" s="195"/>
      <c r="BM221" s="195"/>
      <c r="BN221" s="195"/>
      <c r="BO221" s="195"/>
      <c r="BP221" s="195"/>
      <c r="BQ221" s="195"/>
      <c r="BR221" s="195"/>
      <c r="BS221" s="195"/>
      <c r="BT221" s="195"/>
      <c r="BU221" s="195"/>
      <c r="BV221" s="195"/>
      <c r="BW221" s="195"/>
      <c r="BX221" s="195"/>
      <c r="BY221" s="195"/>
      <c r="BZ221" s="195"/>
      <c r="CA221" s="195"/>
      <c r="CB221" s="195"/>
      <c r="CC221" s="195"/>
      <c r="CD221" s="195"/>
      <c r="CE221" s="195"/>
      <c r="CF221" s="195"/>
      <c r="CG221" s="195"/>
      <c r="CH221" s="195"/>
      <c r="CI221" s="195"/>
      <c r="CJ221" s="195"/>
      <c r="CK221" s="195"/>
      <c r="CL221" s="195"/>
      <c r="CM221" s="195"/>
      <c r="CN221" s="195"/>
      <c r="CO221" s="195"/>
      <c r="CP221" s="195"/>
      <c r="CQ221" s="195"/>
      <c r="CR221" s="195"/>
      <c r="CS221" s="195"/>
      <c r="CT221" s="195"/>
      <c r="CU221" s="195"/>
      <c r="CV221" s="195"/>
      <c r="CW221" s="195"/>
      <c r="CX221" s="195"/>
      <c r="CY221" s="195"/>
      <c r="CZ221" s="195"/>
      <c r="DA221" s="195"/>
      <c r="DB221" s="195"/>
      <c r="DC221" s="195"/>
      <c r="DD221" s="195"/>
      <c r="DE221" s="195"/>
      <c r="DF221" s="195"/>
      <c r="DG221" s="195"/>
      <c r="DH221" s="195"/>
    </row>
    <row r="222" spans="5:112" s="193" customFormat="1">
      <c r="E222" s="32"/>
      <c r="F222" s="32"/>
      <c r="G222" s="29"/>
      <c r="H222" s="25"/>
      <c r="I222" s="25"/>
      <c r="J222" s="25"/>
      <c r="K222" s="25"/>
      <c r="L222" s="29"/>
      <c r="M222" s="29"/>
      <c r="N222" s="28"/>
      <c r="O222" s="30"/>
      <c r="P222" s="30"/>
      <c r="Q222" s="30"/>
      <c r="R222" s="30"/>
      <c r="S222" s="30"/>
      <c r="T222" s="30"/>
      <c r="U222" s="30"/>
      <c r="V222" s="29"/>
      <c r="W222" s="28"/>
      <c r="X222" s="149"/>
      <c r="Y222" s="149"/>
      <c r="Z222" s="150"/>
      <c r="AA222" s="150"/>
      <c r="AB222" s="151"/>
      <c r="AC222" s="150"/>
      <c r="AD222" s="150"/>
      <c r="AE222" s="150"/>
      <c r="AF222" s="150"/>
      <c r="AG222" s="150"/>
      <c r="AH222" s="150"/>
      <c r="AI222" s="195"/>
      <c r="AJ222" s="195"/>
      <c r="AK222" s="195"/>
      <c r="AL222" s="195"/>
      <c r="AM222" s="195"/>
      <c r="AN222" s="195"/>
      <c r="AO222" s="195"/>
      <c r="AP222" s="195"/>
      <c r="AQ222" s="195"/>
      <c r="AR222" s="195"/>
      <c r="AS222" s="195"/>
      <c r="AT222" s="195"/>
      <c r="AU222" s="195"/>
      <c r="AV222" s="195"/>
      <c r="AW222" s="195"/>
      <c r="AX222" s="195"/>
      <c r="AY222" s="195"/>
      <c r="AZ222" s="195"/>
      <c r="BA222" s="195"/>
      <c r="BB222" s="195"/>
      <c r="BC222" s="195"/>
      <c r="BD222" s="195"/>
      <c r="BE222" s="195"/>
      <c r="BF222" s="195"/>
      <c r="BG222" s="195"/>
      <c r="BH222" s="195"/>
      <c r="BI222" s="195"/>
      <c r="BJ222" s="195"/>
      <c r="BK222" s="195"/>
      <c r="BL222" s="195"/>
      <c r="BM222" s="195"/>
      <c r="BN222" s="195"/>
      <c r="BO222" s="195"/>
      <c r="BP222" s="195"/>
      <c r="BQ222" s="195"/>
      <c r="BR222" s="195"/>
      <c r="BS222" s="195"/>
      <c r="BT222" s="195"/>
      <c r="BU222" s="195"/>
      <c r="BV222" s="195"/>
      <c r="BW222" s="195"/>
      <c r="BX222" s="195"/>
      <c r="BY222" s="195"/>
      <c r="BZ222" s="195"/>
      <c r="CA222" s="195"/>
      <c r="CB222" s="195"/>
      <c r="CC222" s="195"/>
      <c r="CD222" s="195"/>
      <c r="CE222" s="195"/>
      <c r="CF222" s="195"/>
      <c r="CG222" s="195"/>
      <c r="CH222" s="195"/>
      <c r="CI222" s="195"/>
      <c r="CJ222" s="195"/>
      <c r="CK222" s="195"/>
      <c r="CL222" s="195"/>
      <c r="CM222" s="195"/>
      <c r="CN222" s="195"/>
      <c r="CO222" s="195"/>
      <c r="CP222" s="195"/>
      <c r="CQ222" s="195"/>
      <c r="CR222" s="195"/>
      <c r="CS222" s="195"/>
      <c r="CT222" s="195"/>
      <c r="CU222" s="195"/>
      <c r="CV222" s="195"/>
      <c r="CW222" s="195"/>
      <c r="CX222" s="195"/>
      <c r="CY222" s="195"/>
      <c r="CZ222" s="195"/>
      <c r="DA222" s="195"/>
      <c r="DB222" s="195"/>
      <c r="DC222" s="195"/>
      <c r="DD222" s="195"/>
      <c r="DE222" s="195"/>
      <c r="DF222" s="195"/>
      <c r="DG222" s="195"/>
      <c r="DH222" s="195"/>
    </row>
    <row r="223" spans="5:112" s="193" customFormat="1">
      <c r="E223" s="32"/>
      <c r="F223" s="32"/>
      <c r="G223" s="29"/>
      <c r="H223" s="25"/>
      <c r="I223" s="25"/>
      <c r="J223" s="25"/>
      <c r="K223" s="25"/>
      <c r="L223" s="29"/>
      <c r="M223" s="29"/>
      <c r="N223" s="28"/>
      <c r="O223" s="30"/>
      <c r="P223" s="30"/>
      <c r="Q223" s="30"/>
      <c r="R223" s="30"/>
      <c r="S223" s="30"/>
      <c r="T223" s="30"/>
      <c r="U223" s="30"/>
      <c r="V223" s="29"/>
      <c r="W223" s="28"/>
      <c r="X223" s="149"/>
      <c r="Y223" s="149"/>
      <c r="Z223" s="150"/>
      <c r="AA223" s="150"/>
      <c r="AB223" s="151"/>
      <c r="AC223" s="150"/>
      <c r="AD223" s="150"/>
      <c r="AE223" s="150"/>
      <c r="AF223" s="150"/>
      <c r="AG223" s="150"/>
      <c r="AH223" s="150"/>
      <c r="AI223" s="195"/>
      <c r="AJ223" s="195"/>
      <c r="AK223" s="195"/>
      <c r="AL223" s="195"/>
      <c r="AM223" s="195"/>
      <c r="AN223" s="195"/>
      <c r="AO223" s="195"/>
      <c r="AP223" s="195"/>
      <c r="AQ223" s="195"/>
      <c r="AR223" s="195"/>
      <c r="AS223" s="195"/>
      <c r="AT223" s="195"/>
      <c r="AU223" s="195"/>
      <c r="AV223" s="195"/>
      <c r="AW223" s="195"/>
      <c r="AX223" s="195"/>
      <c r="AY223" s="195"/>
      <c r="AZ223" s="195"/>
      <c r="BA223" s="195"/>
      <c r="BB223" s="195"/>
      <c r="BC223" s="195"/>
      <c r="BD223" s="195"/>
      <c r="BE223" s="195"/>
      <c r="BF223" s="195"/>
      <c r="BG223" s="195"/>
      <c r="BH223" s="195"/>
      <c r="BI223" s="195"/>
      <c r="BJ223" s="195"/>
      <c r="BK223" s="195"/>
      <c r="BL223" s="195"/>
      <c r="BM223" s="195"/>
      <c r="BN223" s="195"/>
      <c r="BO223" s="195"/>
      <c r="BP223" s="195"/>
      <c r="BQ223" s="195"/>
      <c r="BR223" s="195"/>
      <c r="BS223" s="195"/>
      <c r="BT223" s="195"/>
      <c r="BU223" s="195"/>
      <c r="BV223" s="195"/>
      <c r="BW223" s="195"/>
      <c r="BX223" s="195"/>
      <c r="BY223" s="195"/>
      <c r="BZ223" s="195"/>
      <c r="CA223" s="195"/>
      <c r="CB223" s="195"/>
      <c r="CC223" s="195"/>
      <c r="CD223" s="195"/>
      <c r="CE223" s="195"/>
      <c r="CF223" s="195"/>
      <c r="CG223" s="195"/>
      <c r="CH223" s="195"/>
      <c r="CI223" s="195"/>
      <c r="CJ223" s="195"/>
      <c r="CK223" s="195"/>
      <c r="CL223" s="195"/>
      <c r="CM223" s="195"/>
      <c r="CN223" s="195"/>
      <c r="CO223" s="195"/>
      <c r="CP223" s="195"/>
      <c r="CQ223" s="195"/>
      <c r="CR223" s="195"/>
      <c r="CS223" s="195"/>
      <c r="CT223" s="195"/>
      <c r="CU223" s="195"/>
      <c r="CV223" s="195"/>
      <c r="CW223" s="195"/>
      <c r="CX223" s="195"/>
      <c r="CY223" s="195"/>
      <c r="CZ223" s="195"/>
      <c r="DA223" s="195"/>
      <c r="DB223" s="195"/>
      <c r="DC223" s="195"/>
      <c r="DD223" s="195"/>
      <c r="DE223" s="195"/>
      <c r="DF223" s="195"/>
      <c r="DG223" s="195"/>
      <c r="DH223" s="195"/>
    </row>
    <row r="224" spans="5:112" s="193" customFormat="1">
      <c r="E224" s="32"/>
      <c r="F224" s="32"/>
      <c r="G224" s="29"/>
      <c r="H224" s="25"/>
      <c r="I224" s="25"/>
      <c r="J224" s="25"/>
      <c r="K224" s="25"/>
      <c r="L224" s="29"/>
      <c r="M224" s="29"/>
      <c r="N224" s="28"/>
      <c r="O224" s="30"/>
      <c r="P224" s="30"/>
      <c r="Q224" s="30"/>
      <c r="R224" s="30"/>
      <c r="S224" s="30"/>
      <c r="T224" s="30"/>
      <c r="U224" s="30"/>
      <c r="V224" s="29"/>
      <c r="W224" s="28"/>
      <c r="X224" s="149"/>
      <c r="Y224" s="149"/>
      <c r="Z224" s="150"/>
      <c r="AA224" s="150"/>
      <c r="AB224" s="151"/>
      <c r="AC224" s="150"/>
      <c r="AD224" s="150"/>
      <c r="AE224" s="150"/>
      <c r="AF224" s="150"/>
      <c r="AG224" s="150"/>
      <c r="AH224" s="150"/>
      <c r="AI224" s="195"/>
      <c r="AJ224" s="195"/>
      <c r="AK224" s="195"/>
      <c r="AL224" s="195"/>
      <c r="AM224" s="195"/>
      <c r="AN224" s="195"/>
      <c r="AO224" s="195"/>
      <c r="AP224" s="195"/>
      <c r="AQ224" s="195"/>
      <c r="AR224" s="195"/>
      <c r="AS224" s="195"/>
      <c r="AT224" s="195"/>
      <c r="AU224" s="195"/>
      <c r="AV224" s="195"/>
      <c r="AW224" s="195"/>
      <c r="AX224" s="195"/>
      <c r="AY224" s="195"/>
      <c r="AZ224" s="195"/>
      <c r="BA224" s="195"/>
      <c r="BB224" s="195"/>
      <c r="BC224" s="195"/>
      <c r="BD224" s="195"/>
      <c r="BE224" s="195"/>
      <c r="BF224" s="195"/>
      <c r="BG224" s="195"/>
      <c r="BH224" s="195"/>
      <c r="BI224" s="195"/>
      <c r="BJ224" s="195"/>
      <c r="BK224" s="195"/>
      <c r="BL224" s="195"/>
      <c r="BM224" s="195"/>
      <c r="BN224" s="195"/>
      <c r="BO224" s="195"/>
      <c r="BP224" s="195"/>
      <c r="BQ224" s="195"/>
      <c r="BR224" s="195"/>
      <c r="BS224" s="195"/>
      <c r="BT224" s="195"/>
      <c r="BU224" s="195"/>
      <c r="BV224" s="195"/>
      <c r="BW224" s="195"/>
      <c r="BX224" s="195"/>
      <c r="BY224" s="195"/>
      <c r="BZ224" s="195"/>
      <c r="CA224" s="195"/>
      <c r="CB224" s="195"/>
      <c r="CC224" s="195"/>
      <c r="CD224" s="195"/>
      <c r="CE224" s="195"/>
      <c r="CF224" s="195"/>
      <c r="CG224" s="195"/>
      <c r="CH224" s="195"/>
      <c r="CI224" s="195"/>
      <c r="CJ224" s="195"/>
      <c r="CK224" s="195"/>
      <c r="CL224" s="195"/>
      <c r="CM224" s="195"/>
      <c r="CN224" s="195"/>
      <c r="CO224" s="195"/>
      <c r="CP224" s="195"/>
      <c r="CQ224" s="195"/>
      <c r="CR224" s="195"/>
      <c r="CS224" s="195"/>
      <c r="CT224" s="195"/>
      <c r="CU224" s="195"/>
      <c r="CV224" s="195"/>
      <c r="CW224" s="195"/>
      <c r="CX224" s="195"/>
      <c r="CY224" s="195"/>
      <c r="CZ224" s="195"/>
      <c r="DA224" s="195"/>
      <c r="DB224" s="195"/>
      <c r="DC224" s="195"/>
      <c r="DD224" s="195"/>
      <c r="DE224" s="195"/>
      <c r="DF224" s="195"/>
      <c r="DG224" s="195"/>
      <c r="DH224" s="195"/>
    </row>
    <row r="225" spans="5:112" s="193" customFormat="1">
      <c r="E225" s="32"/>
      <c r="F225" s="32"/>
      <c r="G225" s="29"/>
      <c r="H225" s="25"/>
      <c r="I225" s="25"/>
      <c r="J225" s="25"/>
      <c r="K225" s="25"/>
      <c r="L225" s="29"/>
      <c r="M225" s="29"/>
      <c r="N225" s="28"/>
      <c r="O225" s="30"/>
      <c r="P225" s="30"/>
      <c r="Q225" s="30"/>
      <c r="R225" s="30"/>
      <c r="S225" s="30"/>
      <c r="T225" s="30"/>
      <c r="U225" s="30"/>
      <c r="V225" s="29"/>
      <c r="W225" s="28"/>
      <c r="X225" s="149"/>
      <c r="Y225" s="149"/>
      <c r="Z225" s="150"/>
      <c r="AA225" s="150"/>
      <c r="AB225" s="151"/>
      <c r="AC225" s="150"/>
      <c r="AD225" s="150"/>
      <c r="AE225" s="150"/>
      <c r="AF225" s="150"/>
      <c r="AG225" s="150"/>
      <c r="AH225" s="150"/>
      <c r="AI225" s="195"/>
      <c r="AJ225" s="195"/>
      <c r="AK225" s="195"/>
      <c r="AL225" s="195"/>
      <c r="AM225" s="195"/>
      <c r="AN225" s="195"/>
      <c r="AO225" s="195"/>
      <c r="AP225" s="195"/>
      <c r="AQ225" s="195"/>
      <c r="AR225" s="195"/>
      <c r="AS225" s="195"/>
      <c r="AT225" s="195"/>
      <c r="AU225" s="195"/>
      <c r="AV225" s="195"/>
      <c r="AW225" s="195"/>
      <c r="AX225" s="195"/>
      <c r="AY225" s="195"/>
      <c r="AZ225" s="195"/>
      <c r="BA225" s="195"/>
      <c r="BB225" s="195"/>
      <c r="BC225" s="195"/>
      <c r="BD225" s="195"/>
      <c r="BE225" s="195"/>
      <c r="BF225" s="195"/>
      <c r="BG225" s="195"/>
      <c r="BH225" s="195"/>
      <c r="BI225" s="195"/>
      <c r="BJ225" s="195"/>
      <c r="BK225" s="195"/>
      <c r="BL225" s="195"/>
      <c r="BM225" s="195"/>
      <c r="BN225" s="195"/>
      <c r="BO225" s="195"/>
      <c r="BP225" s="195"/>
      <c r="BQ225" s="195"/>
      <c r="BR225" s="195"/>
      <c r="BS225" s="195"/>
      <c r="BT225" s="195"/>
      <c r="BU225" s="195"/>
      <c r="BV225" s="195"/>
      <c r="BW225" s="195"/>
      <c r="BX225" s="195"/>
      <c r="BY225" s="195"/>
      <c r="BZ225" s="195"/>
      <c r="CA225" s="195"/>
      <c r="CB225" s="195"/>
      <c r="CC225" s="195"/>
      <c r="CD225" s="195"/>
      <c r="CE225" s="195"/>
      <c r="CF225" s="195"/>
      <c r="CG225" s="195"/>
      <c r="CH225" s="195"/>
      <c r="CI225" s="195"/>
      <c r="CJ225" s="195"/>
      <c r="CK225" s="195"/>
      <c r="CL225" s="195"/>
      <c r="CM225" s="195"/>
      <c r="CN225" s="195"/>
      <c r="CO225" s="195"/>
      <c r="CP225" s="195"/>
      <c r="CQ225" s="195"/>
      <c r="CR225" s="195"/>
      <c r="CS225" s="195"/>
      <c r="CT225" s="195"/>
      <c r="CU225" s="195"/>
      <c r="CV225" s="195"/>
      <c r="CW225" s="195"/>
      <c r="CX225" s="195"/>
      <c r="CY225" s="195"/>
      <c r="CZ225" s="195"/>
      <c r="DA225" s="195"/>
      <c r="DB225" s="195"/>
      <c r="DC225" s="195"/>
      <c r="DD225" s="195"/>
      <c r="DE225" s="195"/>
      <c r="DF225" s="195"/>
      <c r="DG225" s="195"/>
      <c r="DH225" s="195"/>
    </row>
    <row r="226" spans="5:112" s="193" customFormat="1">
      <c r="E226" s="32"/>
      <c r="F226" s="32"/>
      <c r="G226" s="29"/>
      <c r="H226" s="25"/>
      <c r="I226" s="25"/>
      <c r="J226" s="25"/>
      <c r="K226" s="25"/>
      <c r="L226" s="29"/>
      <c r="M226" s="29"/>
      <c r="N226" s="28"/>
      <c r="O226" s="30"/>
      <c r="P226" s="30"/>
      <c r="Q226" s="30"/>
      <c r="R226" s="30"/>
      <c r="S226" s="30"/>
      <c r="T226" s="30"/>
      <c r="U226" s="30"/>
      <c r="V226" s="29"/>
      <c r="W226" s="28"/>
      <c r="X226" s="149"/>
      <c r="Y226" s="149"/>
      <c r="Z226" s="150"/>
      <c r="AA226" s="150"/>
      <c r="AB226" s="151"/>
      <c r="AC226" s="150"/>
      <c r="AD226" s="150"/>
      <c r="AE226" s="150"/>
      <c r="AF226" s="150"/>
      <c r="AG226" s="150"/>
      <c r="AH226" s="150"/>
      <c r="AI226" s="195"/>
      <c r="AJ226" s="195"/>
      <c r="AK226" s="195"/>
      <c r="AL226" s="195"/>
      <c r="AM226" s="195"/>
      <c r="AN226" s="195"/>
      <c r="AO226" s="195"/>
      <c r="AP226" s="195"/>
      <c r="AQ226" s="195"/>
      <c r="AR226" s="195"/>
      <c r="AS226" s="195"/>
      <c r="AT226" s="195"/>
      <c r="AU226" s="195"/>
      <c r="AV226" s="195"/>
      <c r="AW226" s="195"/>
      <c r="AX226" s="195"/>
      <c r="AY226" s="195"/>
      <c r="AZ226" s="195"/>
      <c r="BA226" s="195"/>
      <c r="BB226" s="195"/>
      <c r="BC226" s="195"/>
      <c r="BD226" s="195"/>
      <c r="BE226" s="195"/>
      <c r="BF226" s="195"/>
      <c r="BG226" s="195"/>
      <c r="BH226" s="195"/>
      <c r="BI226" s="195"/>
      <c r="BJ226" s="195"/>
      <c r="BK226" s="195"/>
      <c r="BL226" s="195"/>
      <c r="BM226" s="195"/>
      <c r="BN226" s="195"/>
      <c r="BO226" s="195"/>
      <c r="BP226" s="195"/>
      <c r="BQ226" s="195"/>
      <c r="BR226" s="195"/>
      <c r="BS226" s="195"/>
      <c r="BT226" s="195"/>
      <c r="BU226" s="195"/>
      <c r="BV226" s="195"/>
      <c r="BW226" s="195"/>
      <c r="BX226" s="195"/>
      <c r="BY226" s="195"/>
      <c r="BZ226" s="195"/>
      <c r="CA226" s="195"/>
      <c r="CB226" s="195"/>
      <c r="CC226" s="195"/>
      <c r="CD226" s="195"/>
      <c r="CE226" s="195"/>
      <c r="CF226" s="195"/>
      <c r="CG226" s="195"/>
      <c r="CH226" s="195"/>
      <c r="CI226" s="195"/>
      <c r="CJ226" s="195"/>
      <c r="CK226" s="195"/>
      <c r="CL226" s="195"/>
      <c r="CM226" s="195"/>
      <c r="CN226" s="195"/>
      <c r="CO226" s="195"/>
      <c r="CP226" s="195"/>
      <c r="CQ226" s="195"/>
      <c r="CR226" s="195"/>
      <c r="CS226" s="195"/>
      <c r="CT226" s="195"/>
      <c r="CU226" s="195"/>
      <c r="CV226" s="195"/>
      <c r="CW226" s="195"/>
      <c r="CX226" s="195"/>
      <c r="CY226" s="195"/>
      <c r="CZ226" s="195"/>
      <c r="DA226" s="195"/>
      <c r="DB226" s="195"/>
      <c r="DC226" s="195"/>
      <c r="DD226" s="195"/>
      <c r="DE226" s="195"/>
      <c r="DF226" s="195"/>
      <c r="DG226" s="195"/>
      <c r="DH226" s="195"/>
    </row>
    <row r="227" spans="5:112" s="193" customFormat="1">
      <c r="E227" s="32"/>
      <c r="F227" s="32"/>
      <c r="G227" s="29"/>
      <c r="H227" s="25"/>
      <c r="I227" s="25"/>
      <c r="J227" s="25"/>
      <c r="K227" s="25"/>
      <c r="L227" s="29"/>
      <c r="M227" s="29"/>
      <c r="N227" s="28"/>
      <c r="O227" s="30"/>
      <c r="P227" s="30"/>
      <c r="Q227" s="30"/>
      <c r="R227" s="30"/>
      <c r="S227" s="30"/>
      <c r="T227" s="30"/>
      <c r="U227" s="30"/>
      <c r="V227" s="29"/>
      <c r="W227" s="28"/>
      <c r="X227" s="149"/>
      <c r="Y227" s="149"/>
      <c r="Z227" s="150"/>
      <c r="AA227" s="150"/>
      <c r="AB227" s="151"/>
      <c r="AC227" s="150"/>
      <c r="AD227" s="150"/>
      <c r="AE227" s="150"/>
      <c r="AF227" s="150"/>
      <c r="AG227" s="150"/>
      <c r="AH227" s="150"/>
      <c r="AI227" s="195"/>
      <c r="AJ227" s="195"/>
      <c r="AK227" s="195"/>
      <c r="AL227" s="195"/>
      <c r="AM227" s="195"/>
      <c r="AN227" s="195"/>
      <c r="AO227" s="195"/>
      <c r="AP227" s="195"/>
      <c r="AQ227" s="195"/>
      <c r="AR227" s="195"/>
      <c r="AS227" s="195"/>
      <c r="AT227" s="195"/>
      <c r="AU227" s="195"/>
      <c r="AV227" s="195"/>
      <c r="AW227" s="195"/>
      <c r="AX227" s="195"/>
      <c r="AY227" s="195"/>
      <c r="AZ227" s="195"/>
      <c r="BA227" s="195"/>
      <c r="BB227" s="195"/>
      <c r="BC227" s="195"/>
      <c r="BD227" s="195"/>
      <c r="BE227" s="195"/>
      <c r="BF227" s="195"/>
      <c r="BG227" s="195"/>
      <c r="BH227" s="195"/>
      <c r="BI227" s="195"/>
      <c r="BJ227" s="195"/>
      <c r="BK227" s="195"/>
      <c r="BL227" s="195"/>
      <c r="BM227" s="195"/>
      <c r="BN227" s="195"/>
      <c r="BO227" s="195"/>
      <c r="BP227" s="195"/>
      <c r="BQ227" s="195"/>
      <c r="BR227" s="195"/>
      <c r="BS227" s="195"/>
      <c r="BT227" s="195"/>
      <c r="BU227" s="195"/>
      <c r="BV227" s="195"/>
      <c r="BW227" s="195"/>
      <c r="BX227" s="195"/>
      <c r="BY227" s="195"/>
      <c r="BZ227" s="195"/>
      <c r="CA227" s="195"/>
      <c r="CB227" s="195"/>
      <c r="CC227" s="195"/>
      <c r="CD227" s="195"/>
      <c r="CE227" s="195"/>
      <c r="CF227" s="195"/>
      <c r="CG227" s="195"/>
      <c r="CH227" s="195"/>
      <c r="CI227" s="195"/>
      <c r="CJ227" s="195"/>
      <c r="CK227" s="195"/>
      <c r="CL227" s="195"/>
      <c r="CM227" s="195"/>
      <c r="CN227" s="195"/>
      <c r="CO227" s="195"/>
      <c r="CP227" s="195"/>
      <c r="CQ227" s="195"/>
      <c r="CR227" s="195"/>
      <c r="CS227" s="195"/>
      <c r="CT227" s="195"/>
      <c r="CU227" s="195"/>
      <c r="CV227" s="195"/>
      <c r="CW227" s="195"/>
      <c r="CX227" s="195"/>
      <c r="CY227" s="195"/>
      <c r="CZ227" s="195"/>
      <c r="DA227" s="195"/>
      <c r="DB227" s="195"/>
      <c r="DC227" s="195"/>
      <c r="DD227" s="195"/>
      <c r="DE227" s="195"/>
      <c r="DF227" s="195"/>
      <c r="DG227" s="195"/>
      <c r="DH227" s="195"/>
    </row>
    <row r="228" spans="5:112" s="193" customFormat="1">
      <c r="E228" s="32"/>
      <c r="F228" s="32"/>
      <c r="G228" s="29"/>
      <c r="H228" s="25"/>
      <c r="I228" s="25"/>
      <c r="J228" s="25"/>
      <c r="K228" s="25"/>
      <c r="L228" s="29"/>
      <c r="M228" s="29"/>
      <c r="N228" s="28"/>
      <c r="O228" s="30"/>
      <c r="P228" s="30"/>
      <c r="Q228" s="30"/>
      <c r="R228" s="30"/>
      <c r="S228" s="30"/>
      <c r="T228" s="30"/>
      <c r="U228" s="30"/>
      <c r="V228" s="29"/>
      <c r="W228" s="28"/>
      <c r="X228" s="149"/>
      <c r="Y228" s="149"/>
      <c r="Z228" s="150"/>
      <c r="AA228" s="150"/>
      <c r="AB228" s="151"/>
      <c r="AC228" s="150"/>
      <c r="AD228" s="150"/>
      <c r="AE228" s="150"/>
      <c r="AF228" s="150"/>
      <c r="AG228" s="150"/>
      <c r="AH228" s="150"/>
      <c r="AI228" s="195"/>
      <c r="AJ228" s="195"/>
      <c r="AK228" s="195"/>
      <c r="AL228" s="195"/>
      <c r="AM228" s="195"/>
      <c r="AN228" s="195"/>
      <c r="AO228" s="195"/>
      <c r="AP228" s="195"/>
      <c r="AQ228" s="195"/>
      <c r="AR228" s="195"/>
      <c r="AS228" s="195"/>
      <c r="AT228" s="195"/>
      <c r="AU228" s="195"/>
      <c r="AV228" s="195"/>
      <c r="AW228" s="195"/>
      <c r="AX228" s="195"/>
      <c r="AY228" s="195"/>
      <c r="AZ228" s="195"/>
      <c r="BA228" s="195"/>
      <c r="BB228" s="195"/>
      <c r="BC228" s="195"/>
      <c r="BD228" s="195"/>
      <c r="BE228" s="195"/>
      <c r="BF228" s="195"/>
      <c r="BG228" s="195"/>
      <c r="BH228" s="195"/>
      <c r="BI228" s="195"/>
      <c r="BJ228" s="195"/>
      <c r="BK228" s="195"/>
      <c r="BL228" s="195"/>
      <c r="BM228" s="195"/>
      <c r="BN228" s="195"/>
      <c r="BO228" s="195"/>
      <c r="BP228" s="195"/>
      <c r="BQ228" s="195"/>
      <c r="BR228" s="195"/>
      <c r="BS228" s="195"/>
      <c r="BT228" s="195"/>
      <c r="BU228" s="195"/>
      <c r="BV228" s="195"/>
      <c r="BW228" s="195"/>
      <c r="BX228" s="195"/>
      <c r="BY228" s="195"/>
      <c r="BZ228" s="195"/>
      <c r="CA228" s="195"/>
      <c r="CB228" s="195"/>
      <c r="CC228" s="195"/>
      <c r="CD228" s="195"/>
      <c r="CE228" s="195"/>
      <c r="CF228" s="195"/>
      <c r="CG228" s="195"/>
      <c r="CH228" s="195"/>
      <c r="CI228" s="195"/>
      <c r="CJ228" s="195"/>
      <c r="CK228" s="195"/>
      <c r="CL228" s="195"/>
      <c r="CM228" s="195"/>
      <c r="CN228" s="195"/>
      <c r="CO228" s="195"/>
      <c r="CP228" s="195"/>
      <c r="CQ228" s="195"/>
      <c r="CR228" s="195"/>
      <c r="CS228" s="195"/>
      <c r="CT228" s="195"/>
      <c r="CU228" s="195"/>
      <c r="CV228" s="195"/>
      <c r="CW228" s="195"/>
      <c r="CX228" s="195"/>
      <c r="CY228" s="195"/>
      <c r="CZ228" s="195"/>
      <c r="DA228" s="195"/>
      <c r="DB228" s="195"/>
      <c r="DC228" s="195"/>
      <c r="DD228" s="195"/>
      <c r="DE228" s="195"/>
      <c r="DF228" s="195"/>
      <c r="DG228" s="195"/>
      <c r="DH228" s="195"/>
    </row>
    <row r="229" spans="5:112" s="193" customFormat="1">
      <c r="E229" s="32"/>
      <c r="F229" s="32"/>
      <c r="G229" s="29"/>
      <c r="H229" s="25"/>
      <c r="I229" s="25"/>
      <c r="J229" s="25"/>
      <c r="K229" s="25"/>
      <c r="L229" s="29"/>
      <c r="M229" s="29"/>
      <c r="N229" s="28"/>
      <c r="O229" s="30"/>
      <c r="P229" s="30"/>
      <c r="Q229" s="30"/>
      <c r="R229" s="30"/>
      <c r="S229" s="30"/>
      <c r="T229" s="30"/>
      <c r="U229" s="30"/>
      <c r="V229" s="29"/>
      <c r="W229" s="28"/>
      <c r="X229" s="149"/>
      <c r="Y229" s="149"/>
      <c r="Z229" s="150"/>
      <c r="AA229" s="150"/>
      <c r="AB229" s="151"/>
      <c r="AC229" s="150"/>
      <c r="AD229" s="150"/>
      <c r="AE229" s="150"/>
      <c r="AF229" s="150"/>
      <c r="AG229" s="150"/>
      <c r="AH229" s="150"/>
      <c r="AI229" s="195"/>
      <c r="AJ229" s="195"/>
      <c r="AK229" s="195"/>
      <c r="AL229" s="195"/>
      <c r="AM229" s="195"/>
      <c r="AN229" s="195"/>
      <c r="AO229" s="195"/>
      <c r="AP229" s="195"/>
      <c r="AQ229" s="195"/>
      <c r="AR229" s="195"/>
      <c r="AS229" s="195"/>
      <c r="AT229" s="195"/>
      <c r="AU229" s="195"/>
      <c r="AV229" s="195"/>
      <c r="AW229" s="195"/>
      <c r="AX229" s="195"/>
      <c r="AY229" s="195"/>
      <c r="AZ229" s="195"/>
      <c r="BA229" s="195"/>
      <c r="BB229" s="195"/>
      <c r="BC229" s="195"/>
      <c r="BD229" s="195"/>
      <c r="BE229" s="195"/>
      <c r="BF229" s="195"/>
      <c r="BG229" s="195"/>
      <c r="BH229" s="195"/>
      <c r="BI229" s="195"/>
      <c r="BJ229" s="195"/>
      <c r="BK229" s="195"/>
      <c r="BL229" s="195"/>
      <c r="BM229" s="195"/>
      <c r="BN229" s="195"/>
      <c r="BO229" s="195"/>
      <c r="BP229" s="195"/>
      <c r="BQ229" s="195"/>
      <c r="BR229" s="195"/>
      <c r="BS229" s="195"/>
      <c r="BT229" s="195"/>
      <c r="BU229" s="195"/>
      <c r="BV229" s="195"/>
      <c r="BW229" s="195"/>
      <c r="BX229" s="195"/>
      <c r="BY229" s="195"/>
      <c r="BZ229" s="195"/>
      <c r="CA229" s="195"/>
      <c r="CB229" s="195"/>
      <c r="CC229" s="195"/>
      <c r="CD229" s="195"/>
      <c r="CE229" s="195"/>
      <c r="CF229" s="195"/>
      <c r="CG229" s="195"/>
      <c r="CH229" s="195"/>
      <c r="CI229" s="195"/>
      <c r="CJ229" s="195"/>
      <c r="CK229" s="195"/>
      <c r="CL229" s="195"/>
      <c r="CM229" s="195"/>
      <c r="CN229" s="195"/>
      <c r="CO229" s="195"/>
      <c r="CP229" s="195"/>
      <c r="CQ229" s="195"/>
      <c r="CR229" s="195"/>
      <c r="CS229" s="195"/>
      <c r="CT229" s="195"/>
      <c r="CU229" s="195"/>
      <c r="CV229" s="195"/>
      <c r="CW229" s="195"/>
      <c r="CX229" s="195"/>
      <c r="CY229" s="195"/>
      <c r="CZ229" s="195"/>
      <c r="DA229" s="195"/>
      <c r="DB229" s="195"/>
      <c r="DC229" s="195"/>
      <c r="DD229" s="195"/>
      <c r="DE229" s="195"/>
      <c r="DF229" s="195"/>
      <c r="DG229" s="195"/>
      <c r="DH229" s="195"/>
    </row>
    <row r="230" spans="5:112" s="193" customFormat="1">
      <c r="E230" s="32"/>
      <c r="F230" s="32"/>
      <c r="G230" s="29"/>
      <c r="H230" s="25"/>
      <c r="I230" s="25"/>
      <c r="J230" s="25"/>
      <c r="K230" s="25"/>
      <c r="L230" s="29"/>
      <c r="M230" s="29"/>
      <c r="N230" s="28"/>
      <c r="O230" s="30"/>
      <c r="P230" s="30"/>
      <c r="Q230" s="30"/>
      <c r="R230" s="30"/>
      <c r="S230" s="30"/>
      <c r="T230" s="30"/>
      <c r="U230" s="30"/>
      <c r="V230" s="29"/>
      <c r="W230" s="28"/>
      <c r="X230" s="149"/>
      <c r="Y230" s="149"/>
      <c r="Z230" s="150"/>
      <c r="AA230" s="150"/>
      <c r="AB230" s="151"/>
      <c r="AC230" s="150"/>
      <c r="AD230" s="150"/>
      <c r="AE230" s="150"/>
      <c r="AF230" s="150"/>
      <c r="AG230" s="150"/>
      <c r="AH230" s="150"/>
      <c r="AI230" s="195"/>
      <c r="AJ230" s="195"/>
      <c r="AK230" s="195"/>
      <c r="AL230" s="195"/>
      <c r="AM230" s="195"/>
      <c r="AN230" s="195"/>
      <c r="AO230" s="195"/>
      <c r="AP230" s="195"/>
      <c r="AQ230" s="195"/>
      <c r="AR230" s="195"/>
      <c r="AS230" s="195"/>
      <c r="AT230" s="195"/>
      <c r="AU230" s="195"/>
      <c r="AV230" s="195"/>
      <c r="AW230" s="195"/>
      <c r="AX230" s="195"/>
      <c r="AY230" s="195"/>
      <c r="AZ230" s="195"/>
      <c r="BA230" s="195"/>
      <c r="BB230" s="195"/>
      <c r="BC230" s="195"/>
      <c r="BD230" s="195"/>
      <c r="BE230" s="195"/>
      <c r="BF230" s="195"/>
      <c r="BG230" s="195"/>
      <c r="BH230" s="195"/>
      <c r="BI230" s="195"/>
      <c r="BJ230" s="195"/>
      <c r="BK230" s="195"/>
      <c r="BL230" s="195"/>
      <c r="BM230" s="195"/>
      <c r="BN230" s="195"/>
      <c r="BO230" s="195"/>
      <c r="BP230" s="195"/>
      <c r="BQ230" s="195"/>
      <c r="BR230" s="195"/>
      <c r="BS230" s="195"/>
      <c r="BT230" s="195"/>
      <c r="BU230" s="195"/>
      <c r="BV230" s="195"/>
      <c r="BW230" s="195"/>
      <c r="BX230" s="195"/>
      <c r="BY230" s="195"/>
      <c r="BZ230" s="195"/>
      <c r="CA230" s="195"/>
      <c r="CB230" s="195"/>
      <c r="CC230" s="195"/>
      <c r="CD230" s="195"/>
      <c r="CE230" s="195"/>
      <c r="CF230" s="195"/>
      <c r="CG230" s="195"/>
      <c r="CH230" s="195"/>
      <c r="CI230" s="195"/>
      <c r="CJ230" s="195"/>
      <c r="CK230" s="195"/>
      <c r="CL230" s="195"/>
      <c r="CM230" s="195"/>
      <c r="CN230" s="195"/>
      <c r="CO230" s="195"/>
      <c r="CP230" s="195"/>
      <c r="CQ230" s="195"/>
      <c r="CR230" s="195"/>
      <c r="CS230" s="195"/>
      <c r="CT230" s="195"/>
      <c r="CU230" s="195"/>
      <c r="CV230" s="195"/>
      <c r="CW230" s="195"/>
      <c r="CX230" s="195"/>
      <c r="CY230" s="195"/>
      <c r="CZ230" s="195"/>
      <c r="DA230" s="195"/>
      <c r="DB230" s="195"/>
      <c r="DC230" s="195"/>
      <c r="DD230" s="195"/>
      <c r="DE230" s="195"/>
      <c r="DF230" s="195"/>
      <c r="DG230" s="195"/>
      <c r="DH230" s="195"/>
    </row>
    <row r="231" spans="5:112" s="193" customFormat="1">
      <c r="E231" s="32"/>
      <c r="F231" s="32"/>
      <c r="G231" s="29"/>
      <c r="H231" s="25"/>
      <c r="I231" s="25"/>
      <c r="J231" s="25"/>
      <c r="K231" s="25"/>
      <c r="L231" s="29"/>
      <c r="M231" s="29"/>
      <c r="N231" s="28"/>
      <c r="O231" s="30"/>
      <c r="P231" s="30"/>
      <c r="Q231" s="30"/>
      <c r="R231" s="30"/>
      <c r="S231" s="30"/>
      <c r="T231" s="30"/>
      <c r="U231" s="30"/>
      <c r="V231" s="29"/>
      <c r="W231" s="28"/>
      <c r="X231" s="149"/>
      <c r="Y231" s="149"/>
      <c r="Z231" s="150"/>
      <c r="AA231" s="150"/>
      <c r="AB231" s="151"/>
      <c r="AC231" s="150"/>
      <c r="AD231" s="150"/>
      <c r="AE231" s="150"/>
      <c r="AF231" s="150"/>
      <c r="AG231" s="150"/>
      <c r="AH231" s="150"/>
      <c r="AI231" s="195"/>
      <c r="AJ231" s="195"/>
      <c r="AK231" s="195"/>
      <c r="AL231" s="195"/>
      <c r="AM231" s="195"/>
      <c r="AN231" s="195"/>
      <c r="AO231" s="195"/>
      <c r="AP231" s="195"/>
      <c r="AQ231" s="195"/>
      <c r="AR231" s="195"/>
      <c r="AS231" s="195"/>
      <c r="AT231" s="195"/>
      <c r="AU231" s="195"/>
      <c r="AV231" s="195"/>
      <c r="AW231" s="195"/>
      <c r="AX231" s="195"/>
      <c r="AY231" s="195"/>
      <c r="AZ231" s="195"/>
      <c r="BA231" s="195"/>
      <c r="BB231" s="195"/>
      <c r="BC231" s="195"/>
      <c r="BD231" s="195"/>
      <c r="BE231" s="195"/>
      <c r="BF231" s="195"/>
      <c r="BG231" s="195"/>
      <c r="BH231" s="195"/>
      <c r="BI231" s="195"/>
      <c r="BJ231" s="195"/>
      <c r="BK231" s="195"/>
      <c r="BL231" s="195"/>
      <c r="BM231" s="195"/>
      <c r="BN231" s="195"/>
      <c r="BO231" s="195"/>
      <c r="BP231" s="195"/>
      <c r="BQ231" s="195"/>
      <c r="BR231" s="195"/>
      <c r="BS231" s="195"/>
      <c r="BT231" s="195"/>
      <c r="BU231" s="195"/>
      <c r="BV231" s="195"/>
      <c r="BW231" s="195"/>
      <c r="BX231" s="195"/>
      <c r="BY231" s="195"/>
      <c r="BZ231" s="195"/>
      <c r="CA231" s="195"/>
      <c r="CB231" s="195"/>
      <c r="CC231" s="195"/>
      <c r="CD231" s="195"/>
      <c r="CE231" s="195"/>
      <c r="CF231" s="195"/>
      <c r="CG231" s="195"/>
      <c r="CH231" s="195"/>
      <c r="CI231" s="195"/>
      <c r="CJ231" s="195"/>
      <c r="CK231" s="195"/>
      <c r="CL231" s="195"/>
      <c r="CM231" s="195"/>
      <c r="CN231" s="195"/>
      <c r="CO231" s="195"/>
      <c r="CP231" s="195"/>
      <c r="CQ231" s="195"/>
      <c r="CR231" s="195"/>
      <c r="CS231" s="195"/>
      <c r="CT231" s="195"/>
      <c r="CU231" s="195"/>
      <c r="CV231" s="195"/>
      <c r="CW231" s="195"/>
      <c r="CX231" s="195"/>
      <c r="CY231" s="195"/>
      <c r="CZ231" s="195"/>
      <c r="DA231" s="195"/>
      <c r="DB231" s="195"/>
      <c r="DC231" s="195"/>
      <c r="DD231" s="195"/>
      <c r="DE231" s="195"/>
      <c r="DF231" s="195"/>
      <c r="DG231" s="195"/>
      <c r="DH231" s="195"/>
    </row>
    <row r="232" spans="5:112" s="193" customFormat="1">
      <c r="E232" s="32"/>
      <c r="F232" s="32"/>
      <c r="G232" s="29"/>
      <c r="H232" s="25"/>
      <c r="I232" s="25"/>
      <c r="J232" s="25"/>
      <c r="K232" s="25"/>
      <c r="L232" s="29"/>
      <c r="M232" s="29"/>
      <c r="N232" s="28"/>
      <c r="O232" s="30"/>
      <c r="P232" s="30"/>
      <c r="Q232" s="30"/>
      <c r="R232" s="30"/>
      <c r="S232" s="30"/>
      <c r="T232" s="30"/>
      <c r="U232" s="30"/>
      <c r="V232" s="29"/>
      <c r="W232" s="28"/>
      <c r="X232" s="149"/>
      <c r="Y232" s="149"/>
      <c r="Z232" s="150"/>
      <c r="AA232" s="150"/>
      <c r="AB232" s="151"/>
      <c r="AC232" s="150"/>
      <c r="AD232" s="150"/>
      <c r="AE232" s="150"/>
      <c r="AF232" s="150"/>
      <c r="AG232" s="150"/>
      <c r="AH232" s="150"/>
      <c r="AI232" s="195"/>
      <c r="AJ232" s="195"/>
      <c r="AK232" s="195"/>
      <c r="AL232" s="195"/>
      <c r="AM232" s="195"/>
      <c r="AN232" s="195"/>
      <c r="AO232" s="195"/>
      <c r="AP232" s="195"/>
      <c r="AQ232" s="195"/>
      <c r="AR232" s="195"/>
      <c r="AS232" s="195"/>
      <c r="AT232" s="195"/>
      <c r="AU232" s="195"/>
      <c r="AV232" s="195"/>
      <c r="AW232" s="195"/>
      <c r="AX232" s="195"/>
      <c r="AY232" s="195"/>
      <c r="AZ232" s="195"/>
      <c r="BA232" s="195"/>
      <c r="BB232" s="195"/>
      <c r="BC232" s="195"/>
      <c r="BD232" s="195"/>
      <c r="BE232" s="195"/>
      <c r="BF232" s="195"/>
      <c r="BG232" s="195"/>
      <c r="BH232" s="195"/>
      <c r="BI232" s="195"/>
      <c r="BJ232" s="195"/>
      <c r="BK232" s="195"/>
      <c r="BL232" s="195"/>
      <c r="BM232" s="195"/>
      <c r="BN232" s="195"/>
      <c r="BO232" s="195"/>
      <c r="BP232" s="195"/>
      <c r="BQ232" s="195"/>
      <c r="BR232" s="195"/>
      <c r="BS232" s="195"/>
      <c r="BT232" s="195"/>
      <c r="BU232" s="195"/>
      <c r="BV232" s="195"/>
      <c r="BW232" s="195"/>
      <c r="BX232" s="195"/>
      <c r="BY232" s="195"/>
      <c r="BZ232" s="195"/>
      <c r="CA232" s="195"/>
      <c r="CB232" s="195"/>
      <c r="CC232" s="195"/>
      <c r="CD232" s="195"/>
      <c r="CE232" s="195"/>
      <c r="CF232" s="195"/>
      <c r="CG232" s="195"/>
      <c r="CH232" s="195"/>
      <c r="CI232" s="195"/>
      <c r="CJ232" s="195"/>
      <c r="CK232" s="195"/>
      <c r="CL232" s="195"/>
      <c r="CM232" s="195"/>
      <c r="CN232" s="195"/>
      <c r="CO232" s="195"/>
      <c r="CP232" s="195"/>
      <c r="CQ232" s="195"/>
      <c r="CR232" s="195"/>
      <c r="CS232" s="195"/>
      <c r="CT232" s="195"/>
      <c r="CU232" s="195"/>
      <c r="CV232" s="195"/>
      <c r="CW232" s="195"/>
      <c r="CX232" s="195"/>
      <c r="CY232" s="195"/>
      <c r="CZ232" s="195"/>
      <c r="DA232" s="195"/>
      <c r="DB232" s="195"/>
      <c r="DC232" s="195"/>
      <c r="DD232" s="195"/>
      <c r="DE232" s="195"/>
      <c r="DF232" s="195"/>
      <c r="DG232" s="195"/>
      <c r="DH232" s="195"/>
    </row>
    <row r="233" spans="5:112" s="193" customFormat="1">
      <c r="E233" s="32"/>
      <c r="F233" s="32"/>
      <c r="G233" s="29"/>
      <c r="H233" s="25"/>
      <c r="I233" s="25"/>
      <c r="J233" s="25"/>
      <c r="K233" s="25"/>
      <c r="L233" s="29"/>
      <c r="M233" s="29"/>
      <c r="N233" s="28"/>
      <c r="O233" s="30"/>
      <c r="P233" s="30"/>
      <c r="Q233" s="30"/>
      <c r="R233" s="30"/>
      <c r="S233" s="30"/>
      <c r="T233" s="30"/>
      <c r="U233" s="30"/>
      <c r="V233" s="29"/>
      <c r="W233" s="28"/>
      <c r="X233" s="149"/>
      <c r="Y233" s="149"/>
      <c r="Z233" s="150"/>
      <c r="AA233" s="150"/>
      <c r="AB233" s="151"/>
      <c r="AC233" s="150"/>
      <c r="AD233" s="150"/>
      <c r="AE233" s="150"/>
      <c r="AF233" s="150"/>
      <c r="AG233" s="150"/>
      <c r="AH233" s="150"/>
      <c r="AI233" s="195"/>
      <c r="AJ233" s="195"/>
      <c r="AK233" s="195"/>
      <c r="AL233" s="195"/>
      <c r="AM233" s="195"/>
      <c r="AN233" s="195"/>
      <c r="AO233" s="195"/>
      <c r="AP233" s="195"/>
      <c r="AQ233" s="195"/>
      <c r="AR233" s="195"/>
      <c r="AS233" s="195"/>
      <c r="AT233" s="195"/>
      <c r="AU233" s="195"/>
      <c r="AV233" s="195"/>
      <c r="AW233" s="195"/>
      <c r="AX233" s="195"/>
      <c r="AY233" s="195"/>
      <c r="AZ233" s="195"/>
      <c r="BA233" s="195"/>
      <c r="BB233" s="195"/>
      <c r="BC233" s="195"/>
      <c r="BD233" s="195"/>
      <c r="BE233" s="195"/>
      <c r="BF233" s="195"/>
      <c r="BG233" s="195"/>
      <c r="BH233" s="195"/>
      <c r="BI233" s="195"/>
      <c r="BJ233" s="195"/>
      <c r="BK233" s="195"/>
      <c r="BL233" s="195"/>
      <c r="BM233" s="195"/>
      <c r="BN233" s="195"/>
      <c r="BO233" s="195"/>
      <c r="BP233" s="195"/>
      <c r="BQ233" s="195"/>
      <c r="BR233" s="195"/>
      <c r="BS233" s="195"/>
      <c r="BT233" s="195"/>
      <c r="BU233" s="195"/>
      <c r="BV233" s="195"/>
      <c r="BW233" s="195"/>
      <c r="BX233" s="195"/>
      <c r="BY233" s="195"/>
      <c r="BZ233" s="195"/>
      <c r="CA233" s="195"/>
      <c r="CB233" s="195"/>
      <c r="CC233" s="195"/>
      <c r="CD233" s="195"/>
      <c r="CE233" s="195"/>
      <c r="CF233" s="195"/>
      <c r="CG233" s="195"/>
      <c r="CH233" s="195"/>
      <c r="CI233" s="195"/>
      <c r="CJ233" s="195"/>
      <c r="CK233" s="195"/>
      <c r="CL233" s="195"/>
      <c r="CM233" s="195"/>
      <c r="CN233" s="195"/>
      <c r="CO233" s="195"/>
      <c r="CP233" s="195"/>
      <c r="CQ233" s="195"/>
      <c r="CR233" s="195"/>
      <c r="CS233" s="195"/>
      <c r="CT233" s="195"/>
      <c r="CU233" s="195"/>
      <c r="CV233" s="195"/>
      <c r="CW233" s="195"/>
      <c r="CX233" s="195"/>
      <c r="CY233" s="195"/>
      <c r="CZ233" s="195"/>
      <c r="DA233" s="195"/>
      <c r="DB233" s="195"/>
      <c r="DC233" s="195"/>
      <c r="DD233" s="195"/>
      <c r="DE233" s="195"/>
      <c r="DF233" s="195"/>
      <c r="DG233" s="195"/>
      <c r="DH233" s="195"/>
    </row>
    <row r="234" spans="5:112" s="193" customFormat="1">
      <c r="E234" s="32"/>
      <c r="F234" s="32"/>
      <c r="G234" s="29"/>
      <c r="H234" s="25"/>
      <c r="I234" s="25"/>
      <c r="J234" s="25"/>
      <c r="K234" s="25"/>
      <c r="L234" s="29"/>
      <c r="M234" s="29"/>
      <c r="N234" s="28"/>
      <c r="O234" s="30"/>
      <c r="P234" s="30"/>
      <c r="Q234" s="30"/>
      <c r="R234" s="30"/>
      <c r="S234" s="30"/>
      <c r="T234" s="30"/>
      <c r="U234" s="30"/>
      <c r="V234" s="29"/>
      <c r="W234" s="28"/>
      <c r="X234" s="149"/>
      <c r="Y234" s="149"/>
      <c r="Z234" s="150"/>
      <c r="AA234" s="150"/>
      <c r="AB234" s="151"/>
      <c r="AC234" s="150"/>
      <c r="AD234" s="150"/>
      <c r="AE234" s="150"/>
      <c r="AF234" s="150"/>
      <c r="AG234" s="150"/>
      <c r="AH234" s="150"/>
      <c r="AI234" s="195"/>
      <c r="AJ234" s="195"/>
      <c r="AK234" s="195"/>
      <c r="AL234" s="195"/>
      <c r="AM234" s="195"/>
      <c r="AN234" s="195"/>
      <c r="AO234" s="195"/>
      <c r="AP234" s="195"/>
      <c r="AQ234" s="195"/>
      <c r="AR234" s="195"/>
      <c r="AS234" s="195"/>
      <c r="AT234" s="195"/>
      <c r="AU234" s="195"/>
      <c r="AV234" s="195"/>
      <c r="AW234" s="195"/>
      <c r="AX234" s="195"/>
      <c r="AY234" s="195"/>
      <c r="AZ234" s="195"/>
      <c r="BA234" s="195"/>
      <c r="BB234" s="195"/>
      <c r="BC234" s="195"/>
      <c r="BD234" s="195"/>
      <c r="BE234" s="195"/>
      <c r="BF234" s="195"/>
      <c r="BG234" s="195"/>
      <c r="BH234" s="195"/>
      <c r="BI234" s="195"/>
      <c r="BJ234" s="195"/>
      <c r="BK234" s="195"/>
      <c r="BL234" s="195"/>
      <c r="BM234" s="195"/>
      <c r="BN234" s="195"/>
      <c r="BO234" s="195"/>
      <c r="BP234" s="195"/>
      <c r="BQ234" s="195"/>
      <c r="BR234" s="195"/>
      <c r="BS234" s="195"/>
      <c r="BT234" s="195"/>
      <c r="BU234" s="195"/>
      <c r="BV234" s="195"/>
      <c r="BW234" s="195"/>
      <c r="BX234" s="195"/>
      <c r="BY234" s="195"/>
      <c r="BZ234" s="195"/>
      <c r="CA234" s="195"/>
      <c r="CB234" s="195"/>
      <c r="CC234" s="195"/>
      <c r="CD234" s="195"/>
      <c r="CE234" s="195"/>
      <c r="CF234" s="195"/>
      <c r="CG234" s="195"/>
      <c r="CH234" s="195"/>
      <c r="CI234" s="195"/>
      <c r="CJ234" s="195"/>
      <c r="CK234" s="195"/>
      <c r="CL234" s="195"/>
      <c r="CM234" s="195"/>
      <c r="CN234" s="195"/>
      <c r="CO234" s="195"/>
      <c r="CP234" s="195"/>
      <c r="CQ234" s="195"/>
      <c r="CR234" s="195"/>
      <c r="CS234" s="195"/>
      <c r="CT234" s="195"/>
      <c r="CU234" s="195"/>
      <c r="CV234" s="195"/>
      <c r="CW234" s="195"/>
      <c r="CX234" s="195"/>
      <c r="CY234" s="195"/>
      <c r="CZ234" s="195"/>
      <c r="DA234" s="195"/>
      <c r="DB234" s="195"/>
      <c r="DC234" s="195"/>
      <c r="DD234" s="195"/>
      <c r="DE234" s="195"/>
      <c r="DF234" s="195"/>
      <c r="DG234" s="195"/>
      <c r="DH234" s="195"/>
    </row>
    <row r="235" spans="5:112" s="193" customFormat="1">
      <c r="E235" s="32"/>
      <c r="F235" s="32"/>
      <c r="G235" s="29"/>
      <c r="H235" s="25"/>
      <c r="I235" s="25"/>
      <c r="J235" s="25"/>
      <c r="K235" s="25"/>
      <c r="L235" s="29"/>
      <c r="M235" s="29"/>
      <c r="N235" s="28"/>
      <c r="O235" s="30"/>
      <c r="P235" s="30"/>
      <c r="Q235" s="30"/>
      <c r="R235" s="30"/>
      <c r="S235" s="30"/>
      <c r="T235" s="30"/>
      <c r="U235" s="30"/>
      <c r="V235" s="29"/>
      <c r="W235" s="28"/>
      <c r="X235" s="149"/>
      <c r="Y235" s="149"/>
      <c r="Z235" s="150"/>
      <c r="AA235" s="150"/>
      <c r="AB235" s="151"/>
      <c r="AC235" s="150"/>
      <c r="AD235" s="150"/>
      <c r="AE235" s="150"/>
      <c r="AF235" s="150"/>
      <c r="AG235" s="150"/>
      <c r="AH235" s="150"/>
      <c r="AI235" s="195"/>
      <c r="AJ235" s="195"/>
      <c r="AK235" s="195"/>
      <c r="AL235" s="195"/>
      <c r="AM235" s="195"/>
      <c r="AN235" s="195"/>
      <c r="AO235" s="195"/>
      <c r="AP235" s="195"/>
      <c r="AQ235" s="195"/>
      <c r="AR235" s="195"/>
      <c r="AS235" s="195"/>
      <c r="AT235" s="195"/>
      <c r="AU235" s="195"/>
      <c r="AV235" s="195"/>
      <c r="AW235" s="195"/>
      <c r="AX235" s="195"/>
      <c r="AY235" s="195"/>
      <c r="AZ235" s="195"/>
      <c r="BA235" s="195"/>
      <c r="BB235" s="195"/>
      <c r="BC235" s="195"/>
      <c r="BD235" s="195"/>
      <c r="BE235" s="195"/>
      <c r="BF235" s="195"/>
      <c r="BG235" s="195"/>
      <c r="BH235" s="195"/>
      <c r="BI235" s="195"/>
      <c r="BJ235" s="195"/>
      <c r="BK235" s="195"/>
      <c r="BL235" s="195"/>
      <c r="BM235" s="195"/>
      <c r="BN235" s="195"/>
      <c r="BO235" s="195"/>
      <c r="BP235" s="195"/>
      <c r="BQ235" s="195"/>
      <c r="BR235" s="195"/>
      <c r="BS235" s="195"/>
      <c r="BT235" s="195"/>
      <c r="BU235" s="195"/>
      <c r="BV235" s="195"/>
      <c r="BW235" s="195"/>
      <c r="BX235" s="195"/>
      <c r="BY235" s="195"/>
      <c r="BZ235" s="195"/>
      <c r="CA235" s="195"/>
      <c r="CB235" s="195"/>
      <c r="CC235" s="195"/>
      <c r="CD235" s="195"/>
      <c r="CE235" s="195"/>
      <c r="CF235" s="195"/>
      <c r="CG235" s="195"/>
      <c r="CH235" s="195"/>
      <c r="CI235" s="195"/>
      <c r="CJ235" s="195"/>
      <c r="CK235" s="195"/>
      <c r="CL235" s="195"/>
      <c r="CM235" s="195"/>
      <c r="CN235" s="195"/>
      <c r="CO235" s="195"/>
      <c r="CP235" s="195"/>
      <c r="CQ235" s="195"/>
      <c r="CR235" s="195"/>
      <c r="CS235" s="195"/>
      <c r="CT235" s="195"/>
      <c r="CU235" s="195"/>
      <c r="CV235" s="195"/>
      <c r="CW235" s="195"/>
      <c r="CX235" s="195"/>
      <c r="CY235" s="195"/>
      <c r="CZ235" s="195"/>
      <c r="DA235" s="195"/>
      <c r="DB235" s="195"/>
      <c r="DC235" s="195"/>
      <c r="DD235" s="195"/>
      <c r="DE235" s="195"/>
      <c r="DF235" s="195"/>
      <c r="DG235" s="195"/>
      <c r="DH235" s="195"/>
    </row>
    <row r="236" spans="5:112" s="193" customFormat="1">
      <c r="E236" s="32"/>
      <c r="F236" s="32"/>
      <c r="G236" s="29"/>
      <c r="H236" s="25"/>
      <c r="I236" s="25"/>
      <c r="J236" s="25"/>
      <c r="K236" s="25"/>
      <c r="L236" s="29"/>
      <c r="M236" s="29"/>
      <c r="N236" s="28"/>
      <c r="O236" s="30"/>
      <c r="P236" s="30"/>
      <c r="Q236" s="30"/>
      <c r="R236" s="30"/>
      <c r="S236" s="30"/>
      <c r="T236" s="30"/>
      <c r="U236" s="30"/>
      <c r="V236" s="29"/>
      <c r="W236" s="28"/>
      <c r="X236" s="149"/>
      <c r="Y236" s="149"/>
      <c r="Z236" s="150"/>
      <c r="AA236" s="150"/>
      <c r="AB236" s="151"/>
      <c r="AC236" s="150"/>
      <c r="AD236" s="150"/>
      <c r="AE236" s="150"/>
      <c r="AF236" s="150"/>
      <c r="AG236" s="150"/>
      <c r="AH236" s="150"/>
      <c r="AI236" s="195"/>
      <c r="AJ236" s="195"/>
      <c r="AK236" s="195"/>
      <c r="AL236" s="195"/>
      <c r="AM236" s="195"/>
      <c r="AN236" s="195"/>
      <c r="AO236" s="195"/>
      <c r="AP236" s="195"/>
      <c r="AQ236" s="195"/>
      <c r="AR236" s="195"/>
      <c r="AS236" s="195"/>
      <c r="AT236" s="195"/>
      <c r="AU236" s="195"/>
      <c r="AV236" s="195"/>
      <c r="AW236" s="195"/>
      <c r="AX236" s="195"/>
      <c r="AY236" s="195"/>
      <c r="AZ236" s="195"/>
      <c r="BA236" s="195"/>
      <c r="BB236" s="195"/>
      <c r="BC236" s="195"/>
      <c r="BD236" s="195"/>
      <c r="BE236" s="195"/>
      <c r="BF236" s="195"/>
      <c r="BG236" s="195"/>
      <c r="BH236" s="195"/>
      <c r="BI236" s="195"/>
      <c r="BJ236" s="195"/>
      <c r="BK236" s="195"/>
      <c r="BL236" s="195"/>
      <c r="BM236" s="195"/>
      <c r="BN236" s="195"/>
      <c r="BO236" s="195"/>
      <c r="BP236" s="195"/>
      <c r="BQ236" s="195"/>
      <c r="BR236" s="195"/>
      <c r="BS236" s="195"/>
      <c r="BT236" s="195"/>
      <c r="BU236" s="195"/>
      <c r="BV236" s="195"/>
      <c r="BW236" s="195"/>
      <c r="BX236" s="195"/>
      <c r="BY236" s="195"/>
      <c r="BZ236" s="195"/>
      <c r="CA236" s="195"/>
      <c r="CB236" s="195"/>
      <c r="CC236" s="195"/>
      <c r="CD236" s="195"/>
      <c r="CE236" s="195"/>
      <c r="CF236" s="195"/>
      <c r="CG236" s="195"/>
      <c r="CH236" s="195"/>
      <c r="CI236" s="195"/>
      <c r="CJ236" s="195"/>
      <c r="CK236" s="195"/>
      <c r="CL236" s="195"/>
      <c r="CM236" s="195"/>
      <c r="CN236" s="195"/>
      <c r="CO236" s="195"/>
      <c r="CP236" s="195"/>
      <c r="CQ236" s="195"/>
      <c r="CR236" s="195"/>
      <c r="CS236" s="195"/>
      <c r="CT236" s="195"/>
      <c r="CU236" s="195"/>
      <c r="CV236" s="195"/>
      <c r="CW236" s="195"/>
      <c r="CX236" s="195"/>
      <c r="CY236" s="195"/>
      <c r="CZ236" s="195"/>
      <c r="DA236" s="195"/>
      <c r="DB236" s="195"/>
      <c r="DC236" s="195"/>
      <c r="DD236" s="195"/>
      <c r="DE236" s="195"/>
      <c r="DF236" s="195"/>
      <c r="DG236" s="195"/>
      <c r="DH236" s="195"/>
    </row>
    <row r="237" spans="5:112" s="193" customFormat="1">
      <c r="E237" s="32"/>
      <c r="F237" s="32"/>
      <c r="G237" s="29"/>
      <c r="H237" s="25"/>
      <c r="I237" s="25"/>
      <c r="J237" s="25"/>
      <c r="K237" s="25"/>
      <c r="L237" s="29"/>
      <c r="M237" s="29"/>
      <c r="N237" s="28"/>
      <c r="O237" s="30"/>
      <c r="P237" s="30"/>
      <c r="Q237" s="30"/>
      <c r="R237" s="30"/>
      <c r="S237" s="30"/>
      <c r="T237" s="30"/>
      <c r="U237" s="30"/>
      <c r="V237" s="29"/>
      <c r="W237" s="28"/>
      <c r="X237" s="149"/>
      <c r="Y237" s="149"/>
      <c r="Z237" s="150"/>
      <c r="AA237" s="150"/>
      <c r="AB237" s="151"/>
      <c r="AC237" s="150"/>
      <c r="AD237" s="150"/>
      <c r="AE237" s="150"/>
      <c r="AF237" s="150"/>
      <c r="AG237" s="150"/>
      <c r="AH237" s="150"/>
      <c r="AI237" s="195"/>
      <c r="AJ237" s="195"/>
      <c r="AK237" s="195"/>
      <c r="AL237" s="195"/>
      <c r="AM237" s="195"/>
      <c r="AN237" s="195"/>
      <c r="AO237" s="195"/>
      <c r="AP237" s="195"/>
      <c r="AQ237" s="195"/>
      <c r="AR237" s="195"/>
      <c r="AS237" s="195"/>
      <c r="AT237" s="195"/>
      <c r="AU237" s="195"/>
      <c r="AV237" s="195"/>
      <c r="AW237" s="195"/>
      <c r="AX237" s="195"/>
      <c r="AY237" s="195"/>
      <c r="AZ237" s="195"/>
      <c r="BA237" s="195"/>
      <c r="BB237" s="195"/>
      <c r="BC237" s="195"/>
      <c r="BD237" s="195"/>
      <c r="BE237" s="195"/>
      <c r="BF237" s="195"/>
      <c r="BG237" s="195"/>
      <c r="BH237" s="195"/>
      <c r="BI237" s="195"/>
      <c r="BJ237" s="195"/>
      <c r="BK237" s="195"/>
      <c r="BL237" s="195"/>
      <c r="BM237" s="195"/>
      <c r="BN237" s="195"/>
      <c r="BO237" s="195"/>
      <c r="BP237" s="195"/>
      <c r="BQ237" s="195"/>
      <c r="BR237" s="195"/>
      <c r="BS237" s="195"/>
      <c r="BT237" s="195"/>
      <c r="BU237" s="195"/>
      <c r="BV237" s="195"/>
      <c r="BW237" s="195"/>
      <c r="BX237" s="195"/>
      <c r="BY237" s="195"/>
      <c r="BZ237" s="195"/>
      <c r="CA237" s="195"/>
      <c r="CB237" s="195"/>
      <c r="CC237" s="195"/>
      <c r="CD237" s="195"/>
      <c r="CE237" s="195"/>
      <c r="CF237" s="195"/>
      <c r="CG237" s="195"/>
      <c r="CH237" s="195"/>
      <c r="CI237" s="195"/>
      <c r="CJ237" s="195"/>
      <c r="CK237" s="195"/>
      <c r="CL237" s="195"/>
      <c r="CM237" s="195"/>
      <c r="CN237" s="195"/>
      <c r="CO237" s="195"/>
      <c r="CP237" s="195"/>
      <c r="CQ237" s="195"/>
      <c r="CR237" s="195"/>
      <c r="CS237" s="195"/>
      <c r="CT237" s="195"/>
      <c r="CU237" s="195"/>
      <c r="CV237" s="195"/>
      <c r="CW237" s="195"/>
      <c r="CX237" s="195"/>
      <c r="CY237" s="195"/>
      <c r="CZ237" s="195"/>
      <c r="DA237" s="195"/>
      <c r="DB237" s="195"/>
      <c r="DC237" s="195"/>
      <c r="DD237" s="195"/>
      <c r="DE237" s="195"/>
      <c r="DF237" s="195"/>
      <c r="DG237" s="195"/>
      <c r="DH237" s="195"/>
    </row>
    <row r="238" spans="5:112" s="193" customFormat="1">
      <c r="E238" s="32"/>
      <c r="F238" s="32"/>
      <c r="G238" s="29"/>
      <c r="H238" s="25"/>
      <c r="I238" s="25"/>
      <c r="J238" s="25"/>
      <c r="K238" s="25"/>
      <c r="L238" s="29"/>
      <c r="M238" s="29"/>
      <c r="N238" s="28"/>
      <c r="O238" s="30"/>
      <c r="P238" s="30"/>
      <c r="Q238" s="30"/>
      <c r="R238" s="30"/>
      <c r="S238" s="30"/>
      <c r="T238" s="30"/>
      <c r="U238" s="30"/>
      <c r="V238" s="29"/>
      <c r="W238" s="28"/>
      <c r="X238" s="149"/>
      <c r="Y238" s="149"/>
      <c r="Z238" s="150"/>
      <c r="AA238" s="150"/>
      <c r="AB238" s="151"/>
      <c r="AC238" s="150"/>
      <c r="AD238" s="150"/>
      <c r="AE238" s="150"/>
      <c r="AF238" s="150"/>
      <c r="AG238" s="150"/>
      <c r="AH238" s="150"/>
      <c r="AI238" s="195"/>
      <c r="AJ238" s="195"/>
      <c r="AK238" s="195"/>
      <c r="AL238" s="195"/>
      <c r="AM238" s="195"/>
      <c r="AN238" s="195"/>
      <c r="AO238" s="195"/>
      <c r="AP238" s="195"/>
      <c r="AQ238" s="195"/>
      <c r="AR238" s="195"/>
      <c r="AS238" s="195"/>
      <c r="AT238" s="195"/>
      <c r="AU238" s="195"/>
      <c r="AV238" s="195"/>
      <c r="AW238" s="195"/>
      <c r="AX238" s="195"/>
      <c r="AY238" s="195"/>
      <c r="AZ238" s="195"/>
      <c r="BA238" s="195"/>
      <c r="BB238" s="195"/>
      <c r="BC238" s="195"/>
      <c r="BD238" s="195"/>
      <c r="BE238" s="195"/>
      <c r="BF238" s="195"/>
      <c r="BG238" s="195"/>
      <c r="BH238" s="195"/>
      <c r="BI238" s="195"/>
      <c r="BJ238" s="195"/>
      <c r="BK238" s="195"/>
      <c r="BL238" s="195"/>
      <c r="BM238" s="195"/>
      <c r="BN238" s="195"/>
      <c r="BO238" s="195"/>
      <c r="BP238" s="195"/>
      <c r="BQ238" s="195"/>
      <c r="BR238" s="195"/>
      <c r="BS238" s="195"/>
      <c r="BT238" s="195"/>
      <c r="BU238" s="195"/>
      <c r="BV238" s="195"/>
      <c r="BW238" s="195"/>
      <c r="BX238" s="195"/>
      <c r="BY238" s="195"/>
      <c r="BZ238" s="195"/>
      <c r="CA238" s="195"/>
      <c r="CB238" s="195"/>
      <c r="CC238" s="195"/>
      <c r="CD238" s="195"/>
      <c r="CE238" s="195"/>
      <c r="CF238" s="195"/>
      <c r="CG238" s="195"/>
      <c r="CH238" s="195"/>
      <c r="CI238" s="195"/>
      <c r="CJ238" s="195"/>
      <c r="CK238" s="195"/>
      <c r="CL238" s="195"/>
      <c r="CM238" s="195"/>
      <c r="CN238" s="195"/>
      <c r="CO238" s="195"/>
      <c r="CP238" s="195"/>
      <c r="CQ238" s="195"/>
      <c r="CR238" s="195"/>
      <c r="CS238" s="195"/>
      <c r="CT238" s="195"/>
      <c r="CU238" s="195"/>
      <c r="CV238" s="195"/>
      <c r="CW238" s="195"/>
      <c r="CX238" s="195"/>
      <c r="CY238" s="195"/>
      <c r="CZ238" s="195"/>
      <c r="DA238" s="195"/>
      <c r="DB238" s="195"/>
      <c r="DC238" s="195"/>
      <c r="DD238" s="195"/>
      <c r="DE238" s="195"/>
      <c r="DF238" s="195"/>
      <c r="DG238" s="195"/>
      <c r="DH238" s="195"/>
    </row>
    <row r="239" spans="5:112" s="193" customFormat="1">
      <c r="E239" s="32"/>
      <c r="F239" s="32"/>
      <c r="G239" s="29"/>
      <c r="H239" s="25"/>
      <c r="I239" s="25"/>
      <c r="J239" s="25"/>
      <c r="K239" s="25"/>
      <c r="L239" s="29"/>
      <c r="M239" s="29"/>
      <c r="N239" s="28"/>
      <c r="O239" s="30"/>
      <c r="P239" s="30"/>
      <c r="Q239" s="30"/>
      <c r="R239" s="30"/>
      <c r="S239" s="30"/>
      <c r="T239" s="30"/>
      <c r="U239" s="30"/>
      <c r="V239" s="29"/>
      <c r="W239" s="28"/>
      <c r="X239" s="149"/>
      <c r="Y239" s="149"/>
      <c r="Z239" s="150"/>
      <c r="AA239" s="150"/>
      <c r="AB239" s="151"/>
      <c r="AC239" s="150"/>
      <c r="AD239" s="150"/>
      <c r="AE239" s="150"/>
      <c r="AF239" s="150"/>
      <c r="AG239" s="150"/>
      <c r="AH239" s="150"/>
      <c r="AI239" s="195"/>
      <c r="AJ239" s="195"/>
      <c r="AK239" s="195"/>
      <c r="AL239" s="195"/>
      <c r="AM239" s="195"/>
      <c r="AN239" s="195"/>
      <c r="AO239" s="195"/>
      <c r="AP239" s="195"/>
      <c r="AQ239" s="195"/>
      <c r="AR239" s="195"/>
      <c r="AS239" s="195"/>
      <c r="AT239" s="195"/>
      <c r="AU239" s="195"/>
      <c r="AV239" s="195"/>
      <c r="AW239" s="195"/>
      <c r="AX239" s="195"/>
      <c r="AY239" s="195"/>
      <c r="AZ239" s="195"/>
      <c r="BA239" s="195"/>
      <c r="BB239" s="195"/>
      <c r="BC239" s="195"/>
      <c r="BD239" s="195"/>
      <c r="BE239" s="195"/>
      <c r="BF239" s="195"/>
      <c r="BG239" s="195"/>
      <c r="BH239" s="195"/>
      <c r="BI239" s="195"/>
      <c r="BJ239" s="195"/>
      <c r="BK239" s="195"/>
      <c r="BL239" s="195"/>
      <c r="BM239" s="195"/>
      <c r="BN239" s="195"/>
      <c r="BO239" s="195"/>
      <c r="BP239" s="195"/>
      <c r="BQ239" s="195"/>
      <c r="BR239" s="195"/>
      <c r="BS239" s="195"/>
      <c r="BT239" s="195"/>
      <c r="BU239" s="195"/>
      <c r="BV239" s="195"/>
      <c r="BW239" s="195"/>
      <c r="BX239" s="195"/>
      <c r="BY239" s="195"/>
      <c r="BZ239" s="195"/>
      <c r="CA239" s="195"/>
      <c r="CB239" s="195"/>
      <c r="CC239" s="195"/>
      <c r="CD239" s="195"/>
      <c r="CE239" s="195"/>
      <c r="CF239" s="195"/>
      <c r="CG239" s="195"/>
      <c r="CH239" s="195"/>
      <c r="CI239" s="195"/>
      <c r="CJ239" s="195"/>
      <c r="CK239" s="195"/>
      <c r="CL239" s="195"/>
      <c r="CM239" s="195"/>
      <c r="CN239" s="195"/>
      <c r="CO239" s="195"/>
      <c r="CP239" s="195"/>
      <c r="CQ239" s="195"/>
      <c r="CR239" s="195"/>
      <c r="CS239" s="195"/>
      <c r="CT239" s="195"/>
      <c r="CU239" s="195"/>
      <c r="CV239" s="195"/>
      <c r="CW239" s="195"/>
      <c r="CX239" s="195"/>
      <c r="CY239" s="195"/>
      <c r="CZ239" s="195"/>
      <c r="DA239" s="195"/>
      <c r="DB239" s="195"/>
      <c r="DC239" s="195"/>
      <c r="DD239" s="195"/>
      <c r="DE239" s="195"/>
      <c r="DF239" s="195"/>
      <c r="DG239" s="195"/>
      <c r="DH239" s="195"/>
    </row>
    <row r="240" spans="5:112" s="193" customFormat="1">
      <c r="E240" s="32"/>
      <c r="F240" s="32"/>
      <c r="G240" s="29"/>
      <c r="H240" s="25"/>
      <c r="I240" s="25"/>
      <c r="J240" s="25"/>
      <c r="K240" s="25"/>
      <c r="L240" s="29"/>
      <c r="M240" s="29"/>
      <c r="N240" s="28"/>
      <c r="O240" s="30"/>
      <c r="P240" s="30"/>
      <c r="Q240" s="30"/>
      <c r="R240" s="30"/>
      <c r="S240" s="30"/>
      <c r="T240" s="30"/>
      <c r="U240" s="30"/>
      <c r="V240" s="29"/>
      <c r="W240" s="28"/>
      <c r="X240" s="149"/>
      <c r="Y240" s="149"/>
      <c r="Z240" s="150"/>
      <c r="AA240" s="150"/>
      <c r="AB240" s="151"/>
      <c r="AC240" s="150"/>
      <c r="AD240" s="150"/>
      <c r="AE240" s="150"/>
      <c r="AF240" s="150"/>
      <c r="AG240" s="150"/>
      <c r="AH240" s="150"/>
      <c r="AI240" s="195"/>
      <c r="AJ240" s="195"/>
      <c r="AK240" s="195"/>
      <c r="AL240" s="195"/>
      <c r="AM240" s="195"/>
      <c r="AN240" s="195"/>
      <c r="AO240" s="195"/>
      <c r="AP240" s="195"/>
      <c r="AQ240" s="195"/>
      <c r="AR240" s="195"/>
      <c r="AS240" s="195"/>
      <c r="AT240" s="195"/>
      <c r="AU240" s="195"/>
      <c r="AV240" s="195"/>
      <c r="AW240" s="195"/>
      <c r="AX240" s="195"/>
      <c r="AY240" s="195"/>
      <c r="AZ240" s="195"/>
      <c r="BA240" s="195"/>
      <c r="BB240" s="195"/>
      <c r="BC240" s="195"/>
      <c r="BD240" s="195"/>
      <c r="BE240" s="195"/>
      <c r="BF240" s="195"/>
      <c r="BG240" s="195"/>
      <c r="BH240" s="195"/>
      <c r="BI240" s="195"/>
      <c r="BJ240" s="195"/>
      <c r="BK240" s="195"/>
      <c r="BL240" s="195"/>
      <c r="BM240" s="195"/>
      <c r="BN240" s="195"/>
      <c r="BO240" s="195"/>
      <c r="BP240" s="195"/>
      <c r="BQ240" s="195"/>
      <c r="BR240" s="195"/>
      <c r="BS240" s="195"/>
      <c r="BT240" s="195"/>
      <c r="BU240" s="195"/>
      <c r="BV240" s="195"/>
      <c r="BW240" s="195"/>
      <c r="BX240" s="195"/>
      <c r="BY240" s="195"/>
      <c r="BZ240" s="195"/>
      <c r="CA240" s="195"/>
      <c r="CB240" s="195"/>
      <c r="CC240" s="195"/>
      <c r="CD240" s="195"/>
      <c r="CE240" s="195"/>
      <c r="CF240" s="195"/>
      <c r="CG240" s="195"/>
      <c r="CH240" s="195"/>
      <c r="CI240" s="195"/>
      <c r="CJ240" s="195"/>
      <c r="CK240" s="195"/>
      <c r="CL240" s="195"/>
      <c r="CM240" s="195"/>
      <c r="CN240" s="195"/>
      <c r="CO240" s="195"/>
      <c r="CP240" s="195"/>
      <c r="CQ240" s="195"/>
      <c r="CR240" s="195"/>
      <c r="CS240" s="195"/>
      <c r="CT240" s="195"/>
      <c r="CU240" s="195"/>
      <c r="CV240" s="195"/>
      <c r="CW240" s="195"/>
      <c r="CX240" s="195"/>
      <c r="CY240" s="195"/>
      <c r="CZ240" s="195"/>
      <c r="DA240" s="195"/>
      <c r="DB240" s="195"/>
      <c r="DC240" s="195"/>
      <c r="DD240" s="195"/>
      <c r="DE240" s="195"/>
      <c r="DF240" s="195"/>
      <c r="DG240" s="195"/>
      <c r="DH240" s="195"/>
    </row>
    <row r="241" spans="5:112" s="193" customFormat="1">
      <c r="E241" s="32"/>
      <c r="F241" s="32"/>
      <c r="G241" s="29"/>
      <c r="H241" s="25"/>
      <c r="I241" s="25"/>
      <c r="J241" s="25"/>
      <c r="K241" s="25"/>
      <c r="L241" s="29"/>
      <c r="M241" s="29"/>
      <c r="N241" s="28"/>
      <c r="O241" s="30"/>
      <c r="P241" s="30"/>
      <c r="Q241" s="30"/>
      <c r="R241" s="30"/>
      <c r="S241" s="30"/>
      <c r="T241" s="30"/>
      <c r="U241" s="30"/>
      <c r="V241" s="29"/>
      <c r="W241" s="28"/>
      <c r="X241" s="149"/>
      <c r="Y241" s="149"/>
      <c r="Z241" s="150"/>
      <c r="AA241" s="150"/>
      <c r="AB241" s="151"/>
      <c r="AC241" s="150"/>
      <c r="AD241" s="150"/>
      <c r="AE241" s="150"/>
      <c r="AF241" s="150"/>
      <c r="AG241" s="150"/>
      <c r="AH241" s="150"/>
      <c r="AI241" s="195"/>
      <c r="AJ241" s="195"/>
      <c r="AK241" s="195"/>
      <c r="AL241" s="195"/>
      <c r="AM241" s="195"/>
      <c r="AN241" s="195"/>
      <c r="AO241" s="195"/>
      <c r="AP241" s="195"/>
      <c r="AQ241" s="195"/>
      <c r="AR241" s="195"/>
      <c r="AS241" s="195"/>
      <c r="AT241" s="195"/>
      <c r="AU241" s="195"/>
      <c r="AV241" s="195"/>
      <c r="AW241" s="195"/>
      <c r="AX241" s="195"/>
      <c r="AY241" s="195"/>
      <c r="AZ241" s="195"/>
      <c r="BA241" s="195"/>
      <c r="BB241" s="195"/>
      <c r="BC241" s="195"/>
      <c r="BD241" s="195"/>
      <c r="BE241" s="195"/>
      <c r="BF241" s="195"/>
      <c r="BG241" s="195"/>
      <c r="BH241" s="195"/>
      <c r="BI241" s="195"/>
      <c r="BJ241" s="195"/>
      <c r="BK241" s="195"/>
      <c r="BL241" s="195"/>
      <c r="BM241" s="195"/>
      <c r="BN241" s="195"/>
      <c r="BO241" s="195"/>
      <c r="BP241" s="195"/>
      <c r="BQ241" s="195"/>
      <c r="BR241" s="195"/>
      <c r="BS241" s="195"/>
      <c r="BT241" s="195"/>
      <c r="BU241" s="195"/>
      <c r="BV241" s="195"/>
      <c r="BW241" s="195"/>
      <c r="BX241" s="195"/>
      <c r="BY241" s="195"/>
      <c r="BZ241" s="195"/>
      <c r="CA241" s="195"/>
      <c r="CB241" s="195"/>
      <c r="CC241" s="195"/>
      <c r="CD241" s="195"/>
      <c r="CE241" s="195"/>
      <c r="CF241" s="195"/>
      <c r="CG241" s="195"/>
      <c r="CH241" s="195"/>
      <c r="CI241" s="195"/>
      <c r="CJ241" s="195"/>
      <c r="CK241" s="195"/>
      <c r="CL241" s="195"/>
      <c r="CM241" s="195"/>
      <c r="CN241" s="195"/>
      <c r="CO241" s="195"/>
      <c r="CP241" s="195"/>
      <c r="CQ241" s="195"/>
      <c r="CR241" s="195"/>
      <c r="CS241" s="195"/>
      <c r="CT241" s="195"/>
      <c r="CU241" s="195"/>
      <c r="CV241" s="195"/>
      <c r="CW241" s="195"/>
      <c r="CX241" s="195"/>
      <c r="CY241" s="195"/>
      <c r="CZ241" s="195"/>
      <c r="DA241" s="195"/>
      <c r="DB241" s="195"/>
      <c r="DC241" s="195"/>
      <c r="DD241" s="195"/>
      <c r="DE241" s="195"/>
      <c r="DF241" s="195"/>
      <c r="DG241" s="195"/>
      <c r="DH241" s="195"/>
    </row>
    <row r="242" spans="5:112" s="193" customFormat="1">
      <c r="E242" s="32"/>
      <c r="F242" s="32"/>
      <c r="G242" s="29"/>
      <c r="H242" s="25"/>
      <c r="I242" s="25"/>
      <c r="J242" s="25"/>
      <c r="K242" s="25"/>
      <c r="L242" s="29"/>
      <c r="M242" s="29"/>
      <c r="N242" s="28"/>
      <c r="O242" s="30"/>
      <c r="P242" s="30"/>
      <c r="Q242" s="30"/>
      <c r="R242" s="30"/>
      <c r="S242" s="30"/>
      <c r="T242" s="30"/>
      <c r="U242" s="30"/>
      <c r="V242" s="29"/>
      <c r="W242" s="28"/>
      <c r="X242" s="149"/>
      <c r="Y242" s="149"/>
      <c r="Z242" s="150"/>
      <c r="AA242" s="150"/>
      <c r="AB242" s="151"/>
      <c r="AC242" s="150"/>
      <c r="AD242" s="150"/>
      <c r="AE242" s="150"/>
      <c r="AF242" s="150"/>
      <c r="AG242" s="150"/>
      <c r="AH242" s="150"/>
      <c r="AI242" s="195"/>
      <c r="AJ242" s="195"/>
      <c r="AK242" s="195"/>
      <c r="AL242" s="195"/>
      <c r="AM242" s="195"/>
      <c r="AN242" s="195"/>
      <c r="AO242" s="195"/>
      <c r="AP242" s="195"/>
      <c r="AQ242" s="195"/>
      <c r="AR242" s="195"/>
      <c r="AS242" s="195"/>
      <c r="AT242" s="195"/>
      <c r="AU242" s="195"/>
      <c r="AV242" s="195"/>
      <c r="AW242" s="195"/>
      <c r="AX242" s="195"/>
      <c r="AY242" s="195"/>
      <c r="AZ242" s="195"/>
      <c r="BA242" s="195"/>
      <c r="BB242" s="195"/>
      <c r="BC242" s="195"/>
      <c r="BD242" s="195"/>
      <c r="BE242" s="195"/>
      <c r="BF242" s="195"/>
      <c r="BG242" s="195"/>
      <c r="BH242" s="195"/>
      <c r="BI242" s="195"/>
      <c r="BJ242" s="195"/>
      <c r="BK242" s="195"/>
      <c r="BL242" s="195"/>
      <c r="BM242" s="195"/>
      <c r="BN242" s="195"/>
      <c r="BO242" s="195"/>
      <c r="BP242" s="195"/>
      <c r="BQ242" s="195"/>
      <c r="BR242" s="195"/>
      <c r="BS242" s="195"/>
      <c r="BT242" s="195"/>
      <c r="BU242" s="195"/>
      <c r="BV242" s="195"/>
      <c r="BW242" s="195"/>
      <c r="BX242" s="195"/>
      <c r="BY242" s="195"/>
      <c r="BZ242" s="195"/>
      <c r="CA242" s="195"/>
      <c r="CB242" s="195"/>
      <c r="CC242" s="195"/>
      <c r="CD242" s="195"/>
      <c r="CE242" s="195"/>
      <c r="CF242" s="195"/>
      <c r="CG242" s="195"/>
      <c r="CH242" s="195"/>
      <c r="CI242" s="195"/>
      <c r="CJ242" s="195"/>
      <c r="CK242" s="195"/>
      <c r="CL242" s="195"/>
      <c r="CM242" s="195"/>
      <c r="CN242" s="195"/>
      <c r="CO242" s="195"/>
      <c r="CP242" s="195"/>
      <c r="CQ242" s="195"/>
      <c r="CR242" s="195"/>
      <c r="CS242" s="195"/>
      <c r="CT242" s="195"/>
      <c r="CU242" s="195"/>
      <c r="CV242" s="195"/>
      <c r="CW242" s="195"/>
      <c r="CX242" s="195"/>
      <c r="CY242" s="195"/>
      <c r="CZ242" s="195"/>
      <c r="DA242" s="195"/>
      <c r="DB242" s="195"/>
      <c r="DC242" s="195"/>
      <c r="DD242" s="195"/>
      <c r="DE242" s="195"/>
      <c r="DF242" s="195"/>
      <c r="DG242" s="195"/>
      <c r="DH242" s="195"/>
    </row>
    <row r="243" spans="5:112" s="193" customFormat="1">
      <c r="E243" s="32"/>
      <c r="F243" s="32"/>
      <c r="G243" s="29"/>
      <c r="H243" s="25"/>
      <c r="I243" s="25"/>
      <c r="J243" s="25"/>
      <c r="K243" s="25"/>
      <c r="L243" s="29"/>
      <c r="M243" s="29"/>
      <c r="N243" s="28"/>
      <c r="O243" s="30"/>
      <c r="P243" s="30"/>
      <c r="Q243" s="30"/>
      <c r="R243" s="30"/>
      <c r="S243" s="30"/>
      <c r="T243" s="30"/>
      <c r="U243" s="30"/>
      <c r="V243" s="29"/>
      <c r="W243" s="28"/>
      <c r="X243" s="149"/>
      <c r="Y243" s="149"/>
      <c r="Z243" s="150"/>
      <c r="AA243" s="150"/>
      <c r="AB243" s="151"/>
      <c r="AC243" s="150"/>
      <c r="AD243" s="150"/>
      <c r="AE243" s="150"/>
      <c r="AF243" s="150"/>
      <c r="AG243" s="150"/>
      <c r="AH243" s="150"/>
      <c r="AI243" s="195"/>
      <c r="AJ243" s="195"/>
      <c r="AK243" s="195"/>
      <c r="AL243" s="195"/>
      <c r="AM243" s="195"/>
      <c r="AN243" s="195"/>
      <c r="AO243" s="195"/>
      <c r="AP243" s="195"/>
      <c r="AQ243" s="195"/>
      <c r="AR243" s="195"/>
      <c r="AS243" s="195"/>
      <c r="AT243" s="195"/>
      <c r="AU243" s="195"/>
      <c r="AV243" s="195"/>
      <c r="AW243" s="195"/>
      <c r="AX243" s="195"/>
      <c r="AY243" s="195"/>
      <c r="AZ243" s="195"/>
      <c r="BA243" s="195"/>
      <c r="BB243" s="195"/>
      <c r="BC243" s="195"/>
      <c r="BD243" s="195"/>
      <c r="BE243" s="195"/>
      <c r="BF243" s="195"/>
      <c r="BG243" s="195"/>
      <c r="BH243" s="195"/>
      <c r="BI243" s="195"/>
      <c r="BJ243" s="195"/>
      <c r="BK243" s="195"/>
      <c r="BL243" s="195"/>
      <c r="BM243" s="195"/>
      <c r="BN243" s="195"/>
      <c r="BO243" s="195"/>
      <c r="BP243" s="195"/>
      <c r="BQ243" s="195"/>
      <c r="BR243" s="195"/>
      <c r="BS243" s="195"/>
      <c r="BT243" s="195"/>
      <c r="BU243" s="195"/>
      <c r="BV243" s="195"/>
      <c r="BW243" s="195"/>
      <c r="BX243" s="195"/>
      <c r="BY243" s="195"/>
      <c r="BZ243" s="195"/>
      <c r="CA243" s="195"/>
      <c r="CB243" s="195"/>
      <c r="CC243" s="195"/>
      <c r="CD243" s="195"/>
      <c r="CE243" s="195"/>
      <c r="CF243" s="195"/>
      <c r="CG243" s="195"/>
      <c r="CH243" s="195"/>
      <c r="CI243" s="195"/>
      <c r="CJ243" s="195"/>
      <c r="CK243" s="195"/>
      <c r="CL243" s="195"/>
      <c r="CM243" s="195"/>
      <c r="CN243" s="195"/>
      <c r="CO243" s="195"/>
      <c r="CP243" s="195"/>
      <c r="CQ243" s="195"/>
      <c r="CR243" s="195"/>
      <c r="CS243" s="195"/>
      <c r="CT243" s="195"/>
      <c r="CU243" s="195"/>
      <c r="CV243" s="195"/>
      <c r="CW243" s="195"/>
      <c r="CX243" s="195"/>
      <c r="CY243" s="195"/>
      <c r="CZ243" s="195"/>
      <c r="DA243" s="195"/>
      <c r="DB243" s="195"/>
      <c r="DC243" s="195"/>
      <c r="DD243" s="195"/>
      <c r="DE243" s="195"/>
      <c r="DF243" s="195"/>
      <c r="DG243" s="195"/>
      <c r="DH243" s="195"/>
    </row>
    <row r="244" spans="5:112" s="193" customFormat="1">
      <c r="E244" s="32"/>
      <c r="F244" s="32"/>
      <c r="G244" s="29"/>
      <c r="H244" s="25"/>
      <c r="I244" s="25"/>
      <c r="J244" s="25"/>
      <c r="K244" s="25"/>
      <c r="L244" s="29"/>
      <c r="M244" s="29"/>
      <c r="N244" s="28"/>
      <c r="O244" s="30"/>
      <c r="P244" s="30"/>
      <c r="Q244" s="30"/>
      <c r="R244" s="30"/>
      <c r="S244" s="30"/>
      <c r="T244" s="30"/>
      <c r="U244" s="30"/>
      <c r="V244" s="29"/>
      <c r="W244" s="28"/>
      <c r="X244" s="149"/>
      <c r="Y244" s="149"/>
      <c r="Z244" s="150"/>
      <c r="AA244" s="150"/>
      <c r="AB244" s="151"/>
      <c r="AC244" s="150"/>
      <c r="AD244" s="150"/>
      <c r="AE244" s="150"/>
      <c r="AF244" s="150"/>
      <c r="AG244" s="150"/>
      <c r="AH244" s="150"/>
      <c r="AI244" s="195"/>
      <c r="AJ244" s="195"/>
      <c r="AK244" s="195"/>
      <c r="AL244" s="195"/>
      <c r="AM244" s="195"/>
      <c r="AN244" s="195"/>
      <c r="AO244" s="195"/>
      <c r="AP244" s="195"/>
      <c r="AQ244" s="195"/>
      <c r="AR244" s="195"/>
      <c r="AS244" s="195"/>
      <c r="AT244" s="195"/>
      <c r="AU244" s="195"/>
      <c r="AV244" s="195"/>
      <c r="AW244" s="195"/>
      <c r="AX244" s="195"/>
      <c r="AY244" s="195"/>
      <c r="AZ244" s="195"/>
      <c r="BA244" s="195"/>
      <c r="BB244" s="195"/>
      <c r="BC244" s="195"/>
      <c r="BD244" s="195"/>
      <c r="BE244" s="195"/>
      <c r="BF244" s="195"/>
      <c r="BG244" s="195"/>
      <c r="BH244" s="195"/>
      <c r="BI244" s="195"/>
      <c r="BJ244" s="195"/>
      <c r="BK244" s="195"/>
      <c r="BL244" s="195"/>
      <c r="BM244" s="195"/>
      <c r="BN244" s="195"/>
      <c r="BO244" s="195"/>
      <c r="BP244" s="195"/>
      <c r="BQ244" s="195"/>
      <c r="BR244" s="195"/>
      <c r="BS244" s="195"/>
      <c r="BT244" s="195"/>
      <c r="BU244" s="195"/>
      <c r="BV244" s="195"/>
      <c r="BW244" s="195"/>
      <c r="BX244" s="195"/>
      <c r="BY244" s="195"/>
      <c r="BZ244" s="195"/>
      <c r="CA244" s="195"/>
      <c r="CB244" s="195"/>
      <c r="CC244" s="195"/>
      <c r="CD244" s="195"/>
      <c r="CE244" s="195"/>
      <c r="CF244" s="195"/>
      <c r="CG244" s="195"/>
      <c r="CH244" s="195"/>
      <c r="CI244" s="195"/>
      <c r="CJ244" s="195"/>
      <c r="CK244" s="195"/>
      <c r="CL244" s="195"/>
      <c r="CM244" s="195"/>
      <c r="CN244" s="195"/>
      <c r="CO244" s="195"/>
      <c r="CP244" s="195"/>
      <c r="CQ244" s="195"/>
      <c r="CR244" s="195"/>
      <c r="CS244" s="195"/>
      <c r="CT244" s="195"/>
      <c r="CU244" s="195"/>
      <c r="CV244" s="195"/>
      <c r="CW244" s="195"/>
      <c r="CX244" s="195"/>
      <c r="CY244" s="195"/>
      <c r="CZ244" s="195"/>
      <c r="DA244" s="195"/>
      <c r="DB244" s="195"/>
      <c r="DC244" s="195"/>
      <c r="DD244" s="195"/>
      <c r="DE244" s="195"/>
      <c r="DF244" s="195"/>
      <c r="DG244" s="195"/>
      <c r="DH244" s="195"/>
    </row>
    <row r="245" spans="5:112" s="193" customFormat="1">
      <c r="E245" s="32"/>
      <c r="F245" s="32"/>
      <c r="G245" s="29"/>
      <c r="H245" s="25"/>
      <c r="I245" s="25"/>
      <c r="J245" s="25"/>
      <c r="K245" s="25"/>
      <c r="L245" s="29"/>
      <c r="M245" s="29"/>
      <c r="N245" s="28"/>
      <c r="O245" s="30"/>
      <c r="P245" s="30"/>
      <c r="Q245" s="30"/>
      <c r="R245" s="30"/>
      <c r="S245" s="30"/>
      <c r="T245" s="30"/>
      <c r="U245" s="30"/>
      <c r="V245" s="29"/>
      <c r="W245" s="28"/>
      <c r="X245" s="149"/>
      <c r="Y245" s="149"/>
      <c r="Z245" s="150"/>
      <c r="AA245" s="150"/>
      <c r="AB245" s="151"/>
      <c r="AC245" s="150"/>
      <c r="AD245" s="150"/>
      <c r="AE245" s="150"/>
      <c r="AF245" s="150"/>
      <c r="AG245" s="150"/>
      <c r="AH245" s="150"/>
      <c r="AI245" s="195"/>
      <c r="AJ245" s="195"/>
      <c r="AK245" s="195"/>
      <c r="AL245" s="195"/>
      <c r="AM245" s="195"/>
      <c r="AN245" s="195"/>
      <c r="AO245" s="195"/>
      <c r="AP245" s="195"/>
      <c r="AQ245" s="195"/>
      <c r="AR245" s="195"/>
      <c r="AS245" s="195"/>
      <c r="AT245" s="195"/>
      <c r="AU245" s="195"/>
      <c r="AV245" s="195"/>
      <c r="AW245" s="195"/>
      <c r="AX245" s="195"/>
      <c r="AY245" s="195"/>
      <c r="AZ245" s="195"/>
      <c r="BA245" s="195"/>
      <c r="BB245" s="195"/>
      <c r="BC245" s="195"/>
      <c r="BD245" s="195"/>
      <c r="BE245" s="195"/>
      <c r="BF245" s="195"/>
      <c r="BG245" s="195"/>
      <c r="BH245" s="195"/>
      <c r="BI245" s="195"/>
      <c r="BJ245" s="195"/>
      <c r="BK245" s="195"/>
      <c r="BL245" s="195"/>
      <c r="BM245" s="195"/>
      <c r="BN245" s="195"/>
      <c r="BO245" s="195"/>
      <c r="BP245" s="195"/>
      <c r="BQ245" s="195"/>
      <c r="BR245" s="195"/>
      <c r="BS245" s="195"/>
      <c r="BT245" s="195"/>
      <c r="BU245" s="195"/>
      <c r="BV245" s="195"/>
      <c r="BW245" s="195"/>
      <c r="BX245" s="195"/>
      <c r="BY245" s="195"/>
      <c r="BZ245" s="195"/>
      <c r="CA245" s="195"/>
      <c r="CB245" s="195"/>
      <c r="CC245" s="195"/>
      <c r="CD245" s="195"/>
      <c r="CE245" s="195"/>
      <c r="CF245" s="195"/>
      <c r="CG245" s="195"/>
      <c r="CH245" s="195"/>
      <c r="CI245" s="195"/>
      <c r="CJ245" s="195"/>
      <c r="CK245" s="195"/>
      <c r="CL245" s="195"/>
      <c r="CM245" s="195"/>
      <c r="CN245" s="195"/>
      <c r="CO245" s="195"/>
      <c r="CP245" s="195"/>
      <c r="CQ245" s="195"/>
      <c r="CR245" s="195"/>
      <c r="CS245" s="195"/>
      <c r="CT245" s="195"/>
      <c r="CU245" s="195"/>
      <c r="CV245" s="195"/>
      <c r="CW245" s="195"/>
      <c r="CX245" s="195"/>
      <c r="CY245" s="195"/>
      <c r="CZ245" s="195"/>
      <c r="DA245" s="195"/>
      <c r="DB245" s="195"/>
      <c r="DC245" s="195"/>
      <c r="DD245" s="195"/>
      <c r="DE245" s="195"/>
      <c r="DF245" s="195"/>
      <c r="DG245" s="195"/>
      <c r="DH245" s="195"/>
    </row>
    <row r="246" spans="5:112" s="193" customFormat="1">
      <c r="E246" s="32"/>
      <c r="F246" s="32"/>
      <c r="G246" s="29"/>
      <c r="H246" s="25"/>
      <c r="I246" s="25"/>
      <c r="J246" s="25"/>
      <c r="K246" s="25"/>
      <c r="L246" s="29"/>
      <c r="M246" s="29"/>
      <c r="N246" s="28"/>
      <c r="O246" s="30"/>
      <c r="P246" s="30"/>
      <c r="Q246" s="30"/>
      <c r="R246" s="30"/>
      <c r="S246" s="30"/>
      <c r="T246" s="30"/>
      <c r="U246" s="30"/>
      <c r="V246" s="29"/>
      <c r="W246" s="28"/>
      <c r="X246" s="149"/>
      <c r="Y246" s="149"/>
      <c r="Z246" s="150"/>
      <c r="AA246" s="150"/>
      <c r="AB246" s="151"/>
      <c r="AC246" s="150"/>
      <c r="AD246" s="150"/>
      <c r="AE246" s="150"/>
      <c r="AF246" s="150"/>
      <c r="AG246" s="150"/>
      <c r="AH246" s="150"/>
      <c r="AI246" s="195"/>
      <c r="AJ246" s="195"/>
      <c r="AK246" s="195"/>
      <c r="AL246" s="195"/>
      <c r="AM246" s="195"/>
      <c r="AN246" s="195"/>
      <c r="AO246" s="195"/>
      <c r="AP246" s="195"/>
      <c r="AQ246" s="195"/>
      <c r="AR246" s="195"/>
      <c r="AS246" s="195"/>
      <c r="AT246" s="195"/>
      <c r="AU246" s="195"/>
      <c r="AV246" s="195"/>
      <c r="AW246" s="195"/>
      <c r="AX246" s="195"/>
      <c r="AY246" s="195"/>
      <c r="AZ246" s="195"/>
      <c r="BA246" s="195"/>
      <c r="BB246" s="195"/>
      <c r="BC246" s="195"/>
      <c r="BD246" s="195"/>
      <c r="BE246" s="195"/>
      <c r="BF246" s="195"/>
      <c r="BG246" s="195"/>
      <c r="BH246" s="195"/>
      <c r="BI246" s="195"/>
      <c r="BJ246" s="195"/>
      <c r="BK246" s="195"/>
      <c r="BL246" s="195"/>
      <c r="BM246" s="195"/>
      <c r="BN246" s="195"/>
      <c r="BO246" s="195"/>
      <c r="BP246" s="195"/>
      <c r="BQ246" s="195"/>
      <c r="BR246" s="195"/>
      <c r="BS246" s="195"/>
      <c r="BT246" s="195"/>
      <c r="BU246" s="195"/>
      <c r="BV246" s="195"/>
      <c r="BW246" s="195"/>
      <c r="BX246" s="195"/>
      <c r="BY246" s="195"/>
      <c r="BZ246" s="195"/>
      <c r="CA246" s="195"/>
      <c r="CB246" s="195"/>
      <c r="CC246" s="195"/>
      <c r="CD246" s="195"/>
      <c r="CE246" s="195"/>
      <c r="CF246" s="195"/>
      <c r="CG246" s="195"/>
      <c r="CH246" s="195"/>
      <c r="CI246" s="195"/>
      <c r="CJ246" s="195"/>
      <c r="CK246" s="195"/>
      <c r="CL246" s="195"/>
      <c r="CM246" s="195"/>
      <c r="CN246" s="195"/>
      <c r="CO246" s="195"/>
      <c r="CP246" s="195"/>
      <c r="CQ246" s="195"/>
      <c r="CR246" s="195"/>
      <c r="CS246" s="195"/>
      <c r="CT246" s="195"/>
      <c r="CU246" s="195"/>
      <c r="CV246" s="195"/>
      <c r="CW246" s="195"/>
      <c r="CX246" s="195"/>
      <c r="CY246" s="195"/>
      <c r="CZ246" s="195"/>
      <c r="DA246" s="195"/>
      <c r="DB246" s="195"/>
      <c r="DC246" s="195"/>
      <c r="DD246" s="195"/>
      <c r="DE246" s="195"/>
      <c r="DF246" s="195"/>
      <c r="DG246" s="195"/>
      <c r="DH246" s="195"/>
    </row>
    <row r="247" spans="5:112" s="193" customFormat="1">
      <c r="E247" s="32"/>
      <c r="F247" s="32"/>
      <c r="G247" s="29"/>
      <c r="H247" s="25"/>
      <c r="I247" s="25"/>
      <c r="J247" s="25"/>
      <c r="K247" s="25"/>
      <c r="L247" s="29"/>
      <c r="M247" s="29"/>
      <c r="N247" s="28"/>
      <c r="O247" s="30"/>
      <c r="P247" s="30"/>
      <c r="Q247" s="30"/>
      <c r="R247" s="30"/>
      <c r="S247" s="30"/>
      <c r="T247" s="30"/>
      <c r="U247" s="30"/>
      <c r="V247" s="29"/>
      <c r="W247" s="28"/>
      <c r="X247" s="149"/>
      <c r="Y247" s="149"/>
      <c r="Z247" s="150"/>
      <c r="AA247" s="150"/>
      <c r="AB247" s="151"/>
      <c r="AC247" s="150"/>
      <c r="AD247" s="150"/>
      <c r="AE247" s="150"/>
      <c r="AF247" s="150"/>
      <c r="AG247" s="150"/>
      <c r="AH247" s="150"/>
      <c r="AI247" s="195"/>
      <c r="AJ247" s="195"/>
      <c r="AK247" s="195"/>
      <c r="AL247" s="195"/>
      <c r="AM247" s="195"/>
      <c r="AN247" s="195"/>
      <c r="AO247" s="195"/>
      <c r="AP247" s="195"/>
      <c r="AQ247" s="195"/>
      <c r="AR247" s="195"/>
      <c r="AS247" s="195"/>
      <c r="AT247" s="195"/>
      <c r="AU247" s="195"/>
      <c r="AV247" s="195"/>
      <c r="AW247" s="195"/>
      <c r="AX247" s="195"/>
      <c r="AY247" s="195"/>
      <c r="AZ247" s="195"/>
      <c r="BA247" s="195"/>
      <c r="BB247" s="195"/>
      <c r="BC247" s="195"/>
      <c r="BD247" s="195"/>
      <c r="BE247" s="195"/>
      <c r="BF247" s="195"/>
      <c r="BG247" s="195"/>
      <c r="BH247" s="195"/>
      <c r="BI247" s="195"/>
      <c r="BJ247" s="195"/>
      <c r="BK247" s="195"/>
      <c r="BL247" s="195"/>
      <c r="BM247" s="195"/>
      <c r="BN247" s="195"/>
      <c r="BO247" s="195"/>
      <c r="BP247" s="195"/>
      <c r="BQ247" s="195"/>
      <c r="BR247" s="195"/>
      <c r="BS247" s="195"/>
      <c r="BT247" s="195"/>
      <c r="BU247" s="195"/>
      <c r="BV247" s="195"/>
      <c r="BW247" s="195"/>
      <c r="BX247" s="195"/>
      <c r="BY247" s="195"/>
      <c r="BZ247" s="195"/>
      <c r="CA247" s="195"/>
      <c r="CB247" s="195"/>
      <c r="CC247" s="195"/>
      <c r="CD247" s="195"/>
      <c r="CE247" s="195"/>
      <c r="CF247" s="195"/>
      <c r="CG247" s="195"/>
      <c r="CH247" s="195"/>
      <c r="CI247" s="195"/>
      <c r="CJ247" s="195"/>
      <c r="CK247" s="195"/>
      <c r="CL247" s="195"/>
      <c r="CM247" s="195"/>
      <c r="CN247" s="195"/>
      <c r="CO247" s="195"/>
      <c r="CP247" s="195"/>
      <c r="CQ247" s="195"/>
      <c r="CR247" s="195"/>
      <c r="CS247" s="195"/>
      <c r="CT247" s="195"/>
      <c r="CU247" s="195"/>
      <c r="CV247" s="195"/>
      <c r="CW247" s="195"/>
      <c r="CX247" s="195"/>
      <c r="CY247" s="195"/>
      <c r="CZ247" s="195"/>
      <c r="DA247" s="195"/>
      <c r="DB247" s="195"/>
      <c r="DC247" s="195"/>
      <c r="DD247" s="195"/>
      <c r="DE247" s="195"/>
      <c r="DF247" s="195"/>
      <c r="DG247" s="195"/>
      <c r="DH247" s="195"/>
    </row>
    <row r="248" spans="5:112" s="193" customFormat="1">
      <c r="E248" s="32"/>
      <c r="F248" s="32"/>
      <c r="G248" s="29"/>
      <c r="H248" s="25"/>
      <c r="I248" s="25"/>
      <c r="J248" s="25"/>
      <c r="K248" s="25"/>
      <c r="L248" s="29"/>
      <c r="M248" s="29"/>
      <c r="N248" s="28"/>
      <c r="O248" s="30"/>
      <c r="P248" s="30"/>
      <c r="Q248" s="30"/>
      <c r="R248" s="30"/>
      <c r="S248" s="30"/>
      <c r="T248" s="30"/>
      <c r="U248" s="30"/>
      <c r="V248" s="29"/>
      <c r="W248" s="28"/>
      <c r="X248" s="149"/>
      <c r="Y248" s="149"/>
      <c r="Z248" s="150"/>
      <c r="AA248" s="150"/>
      <c r="AB248" s="151"/>
      <c r="AC248" s="150"/>
      <c r="AD248" s="150"/>
      <c r="AE248" s="150"/>
      <c r="AF248" s="150"/>
      <c r="AG248" s="150"/>
      <c r="AH248" s="150"/>
      <c r="AI248" s="195"/>
      <c r="AJ248" s="195"/>
      <c r="AK248" s="195"/>
      <c r="AL248" s="195"/>
      <c r="AM248" s="195"/>
      <c r="AN248" s="195"/>
      <c r="AO248" s="195"/>
      <c r="AP248" s="195"/>
      <c r="AQ248" s="195"/>
      <c r="AR248" s="195"/>
      <c r="AS248" s="195"/>
      <c r="AT248" s="195"/>
      <c r="AU248" s="195"/>
      <c r="AV248" s="195"/>
      <c r="AW248" s="195"/>
      <c r="AX248" s="195"/>
      <c r="AY248" s="195"/>
      <c r="AZ248" s="195"/>
      <c r="BA248" s="195"/>
      <c r="BB248" s="195"/>
      <c r="BC248" s="195"/>
      <c r="BD248" s="195"/>
      <c r="BE248" s="195"/>
      <c r="BF248" s="195"/>
      <c r="BG248" s="195"/>
      <c r="BH248" s="195"/>
      <c r="BI248" s="195"/>
      <c r="BJ248" s="195"/>
      <c r="BK248" s="195"/>
      <c r="BL248" s="195"/>
      <c r="BM248" s="195"/>
      <c r="BN248" s="195"/>
      <c r="BO248" s="195"/>
      <c r="BP248" s="195"/>
      <c r="BQ248" s="195"/>
      <c r="BR248" s="195"/>
      <c r="BS248" s="195"/>
      <c r="BT248" s="195"/>
      <c r="BU248" s="195"/>
      <c r="BV248" s="195"/>
      <c r="BW248" s="195"/>
      <c r="BX248" s="195"/>
      <c r="BY248" s="195"/>
      <c r="BZ248" s="195"/>
      <c r="CA248" s="195"/>
      <c r="CB248" s="195"/>
      <c r="CC248" s="195"/>
      <c r="CD248" s="195"/>
      <c r="CE248" s="195"/>
      <c r="CF248" s="195"/>
      <c r="CG248" s="195"/>
      <c r="CH248" s="195"/>
      <c r="CI248" s="195"/>
      <c r="CJ248" s="195"/>
      <c r="CK248" s="195"/>
      <c r="CL248" s="195"/>
      <c r="CM248" s="195"/>
      <c r="CN248" s="195"/>
      <c r="CO248" s="195"/>
      <c r="CP248" s="195"/>
      <c r="CQ248" s="195"/>
      <c r="CR248" s="195"/>
      <c r="CS248" s="195"/>
      <c r="CT248" s="195"/>
      <c r="CU248" s="195"/>
      <c r="CV248" s="195"/>
      <c r="CW248" s="195"/>
      <c r="CX248" s="195"/>
      <c r="CY248" s="195"/>
      <c r="CZ248" s="195"/>
      <c r="DA248" s="195"/>
      <c r="DB248" s="195"/>
      <c r="DC248" s="195"/>
      <c r="DD248" s="195"/>
      <c r="DE248" s="195"/>
      <c r="DF248" s="195"/>
      <c r="DG248" s="195"/>
      <c r="DH248" s="195"/>
    </row>
    <row r="249" spans="5:112" s="193" customFormat="1">
      <c r="E249" s="32"/>
      <c r="F249" s="32"/>
      <c r="G249" s="29"/>
      <c r="H249" s="25"/>
      <c r="I249" s="25"/>
      <c r="J249" s="25"/>
      <c r="K249" s="25"/>
      <c r="L249" s="29"/>
      <c r="M249" s="29"/>
      <c r="N249" s="28"/>
      <c r="O249" s="30"/>
      <c r="P249" s="30"/>
      <c r="Q249" s="30"/>
      <c r="R249" s="30"/>
      <c r="S249" s="30"/>
      <c r="T249" s="30"/>
      <c r="U249" s="30"/>
      <c r="V249" s="29"/>
      <c r="W249" s="28"/>
      <c r="X249" s="149"/>
      <c r="Y249" s="149"/>
      <c r="Z249" s="150"/>
      <c r="AA249" s="150"/>
      <c r="AB249" s="151"/>
      <c r="AC249" s="150"/>
      <c r="AD249" s="150"/>
      <c r="AE249" s="150"/>
      <c r="AF249" s="150"/>
      <c r="AG249" s="150"/>
      <c r="AH249" s="150"/>
      <c r="AI249" s="195"/>
      <c r="AJ249" s="195"/>
      <c r="AK249" s="195"/>
      <c r="AL249" s="195"/>
      <c r="AM249" s="195"/>
      <c r="AN249" s="195"/>
      <c r="AO249" s="195"/>
      <c r="AP249" s="195"/>
      <c r="AQ249" s="195"/>
      <c r="AR249" s="195"/>
      <c r="AS249" s="195"/>
      <c r="AT249" s="195"/>
      <c r="AU249" s="195"/>
      <c r="AV249" s="195"/>
      <c r="AW249" s="195"/>
      <c r="AX249" s="195"/>
      <c r="AY249" s="195"/>
      <c r="AZ249" s="195"/>
      <c r="BA249" s="195"/>
      <c r="BB249" s="195"/>
      <c r="BC249" s="195"/>
      <c r="BD249" s="195"/>
      <c r="BE249" s="195"/>
      <c r="BF249" s="195"/>
      <c r="BG249" s="195"/>
      <c r="BH249" s="195"/>
      <c r="BI249" s="195"/>
      <c r="BJ249" s="195"/>
      <c r="BK249" s="195"/>
      <c r="BL249" s="195"/>
      <c r="BM249" s="195"/>
      <c r="BN249" s="195"/>
      <c r="BO249" s="195"/>
      <c r="BP249" s="195"/>
      <c r="BQ249" s="195"/>
      <c r="BR249" s="195"/>
      <c r="BS249" s="195"/>
      <c r="BT249" s="195"/>
      <c r="BU249" s="195"/>
      <c r="BV249" s="195"/>
      <c r="BW249" s="195"/>
      <c r="BX249" s="195"/>
      <c r="BY249" s="195"/>
      <c r="BZ249" s="195"/>
      <c r="CA249" s="195"/>
      <c r="CB249" s="195"/>
      <c r="CC249" s="195"/>
      <c r="CD249" s="195"/>
      <c r="CE249" s="195"/>
      <c r="CF249" s="195"/>
      <c r="CG249" s="195"/>
      <c r="CH249" s="195"/>
      <c r="CI249" s="195"/>
      <c r="CJ249" s="195"/>
      <c r="CK249" s="195"/>
      <c r="CL249" s="195"/>
      <c r="CM249" s="195"/>
      <c r="CN249" s="195"/>
      <c r="CO249" s="195"/>
      <c r="CP249" s="195"/>
      <c r="CQ249" s="195"/>
      <c r="CR249" s="195"/>
      <c r="CS249" s="195"/>
      <c r="CT249" s="195"/>
      <c r="CU249" s="195"/>
      <c r="CV249" s="195"/>
      <c r="CW249" s="195"/>
      <c r="CX249" s="195"/>
      <c r="CY249" s="195"/>
      <c r="CZ249" s="195"/>
      <c r="DA249" s="195"/>
      <c r="DB249" s="195"/>
      <c r="DC249" s="195"/>
      <c r="DD249" s="195"/>
      <c r="DE249" s="195"/>
      <c r="DF249" s="195"/>
      <c r="DG249" s="195"/>
      <c r="DH249" s="195"/>
    </row>
    <row r="250" spans="5:112" s="193" customFormat="1">
      <c r="E250" s="32"/>
      <c r="F250" s="32"/>
      <c r="G250" s="29"/>
      <c r="H250" s="25"/>
      <c r="I250" s="25"/>
      <c r="J250" s="25"/>
      <c r="K250" s="25"/>
      <c r="L250" s="29"/>
      <c r="M250" s="29"/>
      <c r="N250" s="28"/>
      <c r="O250" s="30"/>
      <c r="P250" s="30"/>
      <c r="Q250" s="30"/>
      <c r="R250" s="30"/>
      <c r="S250" s="30"/>
      <c r="T250" s="30"/>
      <c r="U250" s="30"/>
      <c r="V250" s="29"/>
      <c r="W250" s="28"/>
      <c r="X250" s="149"/>
      <c r="Y250" s="149"/>
      <c r="Z250" s="150"/>
      <c r="AA250" s="150"/>
      <c r="AB250" s="151"/>
      <c r="AC250" s="150"/>
      <c r="AD250" s="150"/>
      <c r="AE250" s="150"/>
      <c r="AF250" s="150"/>
      <c r="AG250" s="150"/>
      <c r="AH250" s="150"/>
      <c r="AI250" s="195"/>
      <c r="AJ250" s="195"/>
      <c r="AK250" s="195"/>
      <c r="AL250" s="195"/>
      <c r="AM250" s="195"/>
      <c r="AN250" s="195"/>
      <c r="AO250" s="195"/>
      <c r="AP250" s="195"/>
      <c r="AQ250" s="195"/>
      <c r="AR250" s="195"/>
      <c r="AS250" s="195"/>
      <c r="AT250" s="195"/>
      <c r="AU250" s="195"/>
      <c r="AV250" s="195"/>
      <c r="AW250" s="195"/>
      <c r="AX250" s="195"/>
      <c r="AY250" s="195"/>
      <c r="AZ250" s="195"/>
      <c r="BA250" s="195"/>
      <c r="BB250" s="195"/>
      <c r="BC250" s="195"/>
      <c r="BD250" s="195"/>
      <c r="BE250" s="195"/>
      <c r="BF250" s="195"/>
      <c r="BG250" s="195"/>
      <c r="BH250" s="195"/>
      <c r="BI250" s="195"/>
      <c r="BJ250" s="195"/>
      <c r="BK250" s="195"/>
      <c r="BL250" s="195"/>
      <c r="BM250" s="195"/>
      <c r="BN250" s="195"/>
      <c r="BO250" s="195"/>
      <c r="BP250" s="195"/>
      <c r="BQ250" s="195"/>
      <c r="BR250" s="195"/>
      <c r="BS250" s="195"/>
      <c r="BT250" s="195"/>
      <c r="BU250" s="195"/>
      <c r="BV250" s="195"/>
      <c r="BW250" s="195"/>
      <c r="BX250" s="195"/>
      <c r="BY250" s="195"/>
      <c r="BZ250" s="195"/>
      <c r="CA250" s="195"/>
      <c r="CB250" s="195"/>
      <c r="CC250" s="195"/>
      <c r="CD250" s="195"/>
      <c r="CE250" s="195"/>
      <c r="CF250" s="195"/>
      <c r="CG250" s="195"/>
      <c r="CH250" s="195"/>
      <c r="CI250" s="195"/>
      <c r="CJ250" s="195"/>
      <c r="CK250" s="195"/>
      <c r="CL250" s="195"/>
      <c r="CM250" s="195"/>
      <c r="CN250" s="195"/>
      <c r="CO250" s="195"/>
      <c r="CP250" s="195"/>
      <c r="CQ250" s="195"/>
      <c r="CR250" s="195"/>
      <c r="CS250" s="195"/>
      <c r="CT250" s="195"/>
      <c r="CU250" s="195"/>
      <c r="CV250" s="195"/>
      <c r="CW250" s="195"/>
      <c r="CX250" s="195"/>
      <c r="CY250" s="195"/>
      <c r="CZ250" s="195"/>
      <c r="DA250" s="195"/>
      <c r="DB250" s="195"/>
      <c r="DC250" s="195"/>
      <c r="DD250" s="195"/>
      <c r="DE250" s="195"/>
      <c r="DF250" s="195"/>
      <c r="DG250" s="195"/>
      <c r="DH250" s="195"/>
    </row>
    <row r="251" spans="5:112" s="193" customFormat="1">
      <c r="E251" s="32"/>
      <c r="F251" s="32"/>
      <c r="G251" s="29"/>
      <c r="H251" s="25"/>
      <c r="I251" s="25"/>
      <c r="J251" s="25"/>
      <c r="K251" s="25"/>
      <c r="L251" s="29"/>
      <c r="M251" s="29"/>
      <c r="N251" s="28"/>
      <c r="O251" s="30"/>
      <c r="P251" s="30"/>
      <c r="Q251" s="30"/>
      <c r="R251" s="30"/>
      <c r="S251" s="30"/>
      <c r="T251" s="30"/>
      <c r="U251" s="30"/>
      <c r="V251" s="29"/>
      <c r="W251" s="28"/>
      <c r="X251" s="149"/>
      <c r="Y251" s="149"/>
      <c r="Z251" s="150"/>
      <c r="AA251" s="150"/>
      <c r="AB251" s="151"/>
      <c r="AC251" s="150"/>
      <c r="AD251" s="150"/>
      <c r="AE251" s="150"/>
      <c r="AF251" s="150"/>
      <c r="AG251" s="150"/>
      <c r="AH251" s="150"/>
      <c r="AI251" s="195"/>
      <c r="AJ251" s="195"/>
      <c r="AK251" s="195"/>
      <c r="AL251" s="195"/>
      <c r="AM251" s="195"/>
      <c r="AN251" s="195"/>
      <c r="AO251" s="195"/>
      <c r="AP251" s="195"/>
      <c r="AQ251" s="195"/>
      <c r="AR251" s="195"/>
      <c r="AS251" s="195"/>
      <c r="AT251" s="195"/>
      <c r="AU251" s="195"/>
      <c r="AV251" s="195"/>
      <c r="AW251" s="195"/>
      <c r="AX251" s="195"/>
      <c r="AY251" s="195"/>
      <c r="AZ251" s="195"/>
      <c r="BA251" s="195"/>
      <c r="BB251" s="195"/>
      <c r="BC251" s="195"/>
      <c r="BD251" s="195"/>
      <c r="BE251" s="195"/>
      <c r="BF251" s="195"/>
      <c r="BG251" s="195"/>
      <c r="BH251" s="195"/>
      <c r="BI251" s="195"/>
      <c r="BJ251" s="195"/>
      <c r="BK251" s="195"/>
      <c r="BL251" s="195"/>
      <c r="BM251" s="195"/>
      <c r="BN251" s="195"/>
      <c r="BO251" s="195"/>
      <c r="BP251" s="195"/>
      <c r="BQ251" s="195"/>
      <c r="BR251" s="195"/>
      <c r="BS251" s="195"/>
      <c r="BT251" s="195"/>
      <c r="BU251" s="195"/>
      <c r="BV251" s="195"/>
      <c r="BW251" s="195"/>
      <c r="BX251" s="195"/>
      <c r="BY251" s="195"/>
      <c r="BZ251" s="195"/>
      <c r="CA251" s="195"/>
      <c r="CB251" s="195"/>
      <c r="CC251" s="195"/>
      <c r="CD251" s="195"/>
      <c r="CE251" s="195"/>
      <c r="CF251" s="195"/>
      <c r="CG251" s="195"/>
      <c r="CH251" s="195"/>
      <c r="CI251" s="195"/>
      <c r="CJ251" s="195"/>
      <c r="CK251" s="195"/>
      <c r="CL251" s="195"/>
      <c r="CM251" s="195"/>
      <c r="CN251" s="195"/>
      <c r="CO251" s="195"/>
      <c r="CP251" s="195"/>
      <c r="CQ251" s="195"/>
      <c r="CR251" s="195"/>
      <c r="CS251" s="195"/>
      <c r="CT251" s="195"/>
      <c r="CU251" s="195"/>
      <c r="CV251" s="195"/>
      <c r="CW251" s="195"/>
      <c r="CX251" s="195"/>
      <c r="CY251" s="195"/>
      <c r="CZ251" s="195"/>
      <c r="DA251" s="195"/>
      <c r="DB251" s="195"/>
      <c r="DC251" s="195"/>
      <c r="DD251" s="195"/>
      <c r="DE251" s="195"/>
      <c r="DF251" s="195"/>
      <c r="DG251" s="195"/>
      <c r="DH251" s="195"/>
    </row>
    <row r="252" spans="5:112" s="193" customFormat="1">
      <c r="E252" s="32"/>
      <c r="F252" s="32"/>
      <c r="G252" s="29"/>
      <c r="H252" s="25"/>
      <c r="I252" s="25"/>
      <c r="J252" s="25"/>
      <c r="K252" s="25"/>
      <c r="L252" s="29"/>
      <c r="M252" s="29"/>
      <c r="N252" s="28"/>
      <c r="O252" s="30"/>
      <c r="P252" s="30"/>
      <c r="Q252" s="30"/>
      <c r="R252" s="30"/>
      <c r="S252" s="30"/>
      <c r="T252" s="30"/>
      <c r="U252" s="30"/>
      <c r="V252" s="29"/>
      <c r="W252" s="28"/>
      <c r="X252" s="149"/>
      <c r="Y252" s="149"/>
      <c r="Z252" s="150"/>
      <c r="AA252" s="150"/>
      <c r="AB252" s="151"/>
      <c r="AC252" s="150"/>
      <c r="AD252" s="150"/>
      <c r="AE252" s="150"/>
      <c r="AF252" s="150"/>
      <c r="AG252" s="150"/>
      <c r="AH252" s="150"/>
      <c r="AI252" s="195"/>
      <c r="AJ252" s="195"/>
      <c r="AK252" s="195"/>
      <c r="AL252" s="195"/>
      <c r="AM252" s="195"/>
      <c r="AN252" s="195"/>
      <c r="AO252" s="195"/>
      <c r="AP252" s="195"/>
      <c r="AQ252" s="195"/>
      <c r="AR252" s="195"/>
      <c r="AS252" s="195"/>
      <c r="AT252" s="195"/>
      <c r="AU252" s="195"/>
      <c r="AV252" s="195"/>
      <c r="AW252" s="195"/>
      <c r="AX252" s="195"/>
      <c r="AY252" s="195"/>
      <c r="AZ252" s="195"/>
      <c r="BA252" s="195"/>
      <c r="BB252" s="195"/>
      <c r="BC252" s="195"/>
      <c r="BD252" s="195"/>
      <c r="BE252" s="195"/>
      <c r="BF252" s="195"/>
      <c r="BG252" s="195"/>
      <c r="BH252" s="195"/>
      <c r="BI252" s="195"/>
      <c r="BJ252" s="195"/>
      <c r="BK252" s="195"/>
      <c r="BL252" s="195"/>
      <c r="BM252" s="195"/>
      <c r="BN252" s="195"/>
      <c r="BO252" s="195"/>
      <c r="BP252" s="195"/>
      <c r="BQ252" s="195"/>
      <c r="BR252" s="195"/>
      <c r="BS252" s="195"/>
      <c r="BT252" s="195"/>
      <c r="BU252" s="195"/>
      <c r="BV252" s="195"/>
      <c r="BW252" s="195"/>
      <c r="BX252" s="195"/>
      <c r="BY252" s="195"/>
      <c r="BZ252" s="195"/>
      <c r="CA252" s="195"/>
      <c r="CB252" s="195"/>
      <c r="CC252" s="195"/>
      <c r="CD252" s="195"/>
      <c r="CE252" s="195"/>
      <c r="CF252" s="195"/>
      <c r="CG252" s="195"/>
      <c r="CH252" s="195"/>
      <c r="CI252" s="195"/>
      <c r="CJ252" s="195"/>
      <c r="CK252" s="195"/>
      <c r="CL252" s="195"/>
      <c r="CM252" s="195"/>
      <c r="CN252" s="195"/>
      <c r="CO252" s="195"/>
      <c r="CP252" s="195"/>
      <c r="CQ252" s="195"/>
      <c r="CR252" s="195"/>
      <c r="CS252" s="195"/>
      <c r="CT252" s="195"/>
      <c r="CU252" s="195"/>
      <c r="CV252" s="195"/>
      <c r="CW252" s="195"/>
      <c r="CX252" s="195"/>
      <c r="CY252" s="195"/>
      <c r="CZ252" s="195"/>
      <c r="DA252" s="195"/>
      <c r="DB252" s="195"/>
      <c r="DC252" s="195"/>
      <c r="DD252" s="195"/>
      <c r="DE252" s="195"/>
      <c r="DF252" s="195"/>
      <c r="DG252" s="195"/>
      <c r="DH252" s="195"/>
    </row>
    <row r="253" spans="5:112" s="193" customFormat="1">
      <c r="E253" s="32"/>
      <c r="F253" s="32"/>
      <c r="G253" s="29"/>
      <c r="H253" s="25"/>
      <c r="I253" s="25"/>
      <c r="J253" s="25"/>
      <c r="K253" s="25"/>
      <c r="L253" s="29"/>
      <c r="M253" s="29"/>
      <c r="N253" s="28"/>
      <c r="O253" s="30"/>
      <c r="P253" s="30"/>
      <c r="Q253" s="30"/>
      <c r="R253" s="30"/>
      <c r="S253" s="30"/>
      <c r="T253" s="30"/>
      <c r="U253" s="30"/>
      <c r="V253" s="29"/>
      <c r="W253" s="28"/>
      <c r="X253" s="149"/>
      <c r="Y253" s="149"/>
      <c r="Z253" s="150"/>
      <c r="AA253" s="150"/>
      <c r="AB253" s="151"/>
      <c r="AC253" s="150"/>
      <c r="AD253" s="150"/>
      <c r="AE253" s="150"/>
      <c r="AF253" s="150"/>
      <c r="AG253" s="150"/>
      <c r="AH253" s="150"/>
      <c r="AI253" s="195"/>
      <c r="AJ253" s="195"/>
      <c r="AK253" s="195"/>
      <c r="AL253" s="195"/>
      <c r="AM253" s="195"/>
      <c r="AN253" s="195"/>
      <c r="AO253" s="195"/>
      <c r="AP253" s="195"/>
      <c r="AQ253" s="195"/>
      <c r="AR253" s="195"/>
      <c r="AS253" s="195"/>
      <c r="AT253" s="195"/>
      <c r="AU253" s="195"/>
      <c r="AV253" s="195"/>
      <c r="AW253" s="195"/>
      <c r="AX253" s="195"/>
      <c r="AY253" s="195"/>
      <c r="AZ253" s="195"/>
      <c r="BA253" s="195"/>
      <c r="BB253" s="195"/>
      <c r="BC253" s="195"/>
      <c r="BD253" s="195"/>
      <c r="BE253" s="195"/>
      <c r="BF253" s="195"/>
      <c r="BG253" s="195"/>
      <c r="BH253" s="195"/>
      <c r="BI253" s="195"/>
      <c r="BJ253" s="195"/>
      <c r="BK253" s="195"/>
      <c r="BL253" s="195"/>
      <c r="BM253" s="195"/>
      <c r="BN253" s="195"/>
      <c r="BO253" s="195"/>
      <c r="BP253" s="195"/>
      <c r="BQ253" s="195"/>
      <c r="BR253" s="195"/>
      <c r="BS253" s="195"/>
      <c r="BT253" s="195"/>
      <c r="BU253" s="195"/>
      <c r="BV253" s="195"/>
      <c r="BW253" s="195"/>
      <c r="BX253" s="195"/>
      <c r="BY253" s="195"/>
      <c r="BZ253" s="195"/>
      <c r="CA253" s="195"/>
      <c r="CB253" s="195"/>
      <c r="CC253" s="195"/>
      <c r="CD253" s="195"/>
      <c r="CE253" s="195"/>
      <c r="CF253" s="195"/>
      <c r="CG253" s="195"/>
      <c r="CH253" s="195"/>
      <c r="CI253" s="195"/>
      <c r="CJ253" s="195"/>
      <c r="CK253" s="195"/>
      <c r="CL253" s="195"/>
      <c r="CM253" s="195"/>
      <c r="CN253" s="195"/>
      <c r="CO253" s="195"/>
      <c r="CP253" s="195"/>
      <c r="CQ253" s="195"/>
      <c r="CR253" s="195"/>
      <c r="CS253" s="195"/>
      <c r="CT253" s="195"/>
      <c r="CU253" s="195"/>
      <c r="CV253" s="195"/>
      <c r="CW253" s="195"/>
      <c r="CX253" s="195"/>
      <c r="CY253" s="195"/>
      <c r="CZ253" s="195"/>
      <c r="DA253" s="195"/>
      <c r="DB253" s="195"/>
      <c r="DC253" s="195"/>
      <c r="DD253" s="195"/>
      <c r="DE253" s="195"/>
      <c r="DF253" s="195"/>
      <c r="DG253" s="195"/>
      <c r="DH253" s="195"/>
    </row>
    <row r="254" spans="5:112" s="193" customFormat="1">
      <c r="E254" s="32"/>
      <c r="F254" s="32"/>
      <c r="G254" s="29"/>
      <c r="H254" s="25"/>
      <c r="I254" s="25"/>
      <c r="J254" s="25"/>
      <c r="K254" s="25"/>
      <c r="L254" s="29"/>
      <c r="M254" s="29"/>
      <c r="N254" s="28"/>
      <c r="O254" s="30"/>
      <c r="P254" s="30"/>
      <c r="Q254" s="30"/>
      <c r="R254" s="30"/>
      <c r="S254" s="30"/>
      <c r="T254" s="30"/>
      <c r="U254" s="30"/>
      <c r="V254" s="29"/>
      <c r="W254" s="28"/>
      <c r="X254" s="149"/>
      <c r="Y254" s="149"/>
      <c r="Z254" s="150"/>
      <c r="AA254" s="150"/>
      <c r="AB254" s="151"/>
      <c r="AC254" s="150"/>
      <c r="AD254" s="150"/>
      <c r="AE254" s="150"/>
      <c r="AF254" s="150"/>
      <c r="AG254" s="150"/>
      <c r="AH254" s="150"/>
      <c r="AI254" s="195"/>
      <c r="AJ254" s="195"/>
      <c r="AK254" s="195"/>
      <c r="AL254" s="195"/>
      <c r="AM254" s="195"/>
      <c r="AN254" s="195"/>
      <c r="AO254" s="195"/>
      <c r="AP254" s="195"/>
      <c r="AQ254" s="195"/>
      <c r="AR254" s="195"/>
      <c r="AS254" s="195"/>
      <c r="AT254" s="195"/>
      <c r="AU254" s="195"/>
      <c r="AV254" s="195"/>
      <c r="AW254" s="195"/>
      <c r="AX254" s="195"/>
      <c r="AY254" s="195"/>
      <c r="AZ254" s="195"/>
      <c r="BA254" s="195"/>
      <c r="BB254" s="195"/>
      <c r="BC254" s="195"/>
      <c r="BD254" s="195"/>
      <c r="BE254" s="195"/>
      <c r="BF254" s="195"/>
      <c r="BG254" s="195"/>
      <c r="BH254" s="195"/>
      <c r="BI254" s="195"/>
      <c r="BJ254" s="195"/>
      <c r="BK254" s="195"/>
      <c r="BL254" s="195"/>
      <c r="BM254" s="195"/>
      <c r="BN254" s="195"/>
      <c r="BO254" s="195"/>
      <c r="BP254" s="195"/>
      <c r="BQ254" s="195"/>
      <c r="BR254" s="195"/>
      <c r="BS254" s="195"/>
      <c r="BT254" s="195"/>
      <c r="BU254" s="195"/>
      <c r="BV254" s="195"/>
      <c r="BW254" s="195"/>
      <c r="BX254" s="195"/>
      <c r="BY254" s="195"/>
      <c r="BZ254" s="195"/>
      <c r="CA254" s="195"/>
      <c r="CB254" s="195"/>
      <c r="CC254" s="195"/>
      <c r="CD254" s="195"/>
      <c r="CE254" s="195"/>
      <c r="CF254" s="195"/>
      <c r="CG254" s="195"/>
      <c r="CH254" s="195"/>
      <c r="CI254" s="195"/>
      <c r="CJ254" s="195"/>
      <c r="CK254" s="195"/>
      <c r="CL254" s="195"/>
      <c r="CM254" s="195"/>
      <c r="CN254" s="195"/>
      <c r="CO254" s="195"/>
      <c r="CP254" s="195"/>
      <c r="CQ254" s="195"/>
      <c r="CR254" s="195"/>
      <c r="CS254" s="195"/>
      <c r="CT254" s="195"/>
      <c r="CU254" s="195"/>
      <c r="CV254" s="195"/>
      <c r="CW254" s="195"/>
      <c r="CX254" s="195"/>
      <c r="CY254" s="195"/>
      <c r="CZ254" s="195"/>
      <c r="DA254" s="195"/>
      <c r="DB254" s="195"/>
      <c r="DC254" s="195"/>
      <c r="DD254" s="195"/>
      <c r="DE254" s="195"/>
      <c r="DF254" s="195"/>
      <c r="DG254" s="195"/>
      <c r="DH254" s="195"/>
    </row>
    <row r="255" spans="5:112" s="193" customFormat="1">
      <c r="E255" s="32"/>
      <c r="F255" s="32"/>
      <c r="G255" s="29"/>
      <c r="H255" s="25"/>
      <c r="I255" s="25"/>
      <c r="J255" s="25"/>
      <c r="K255" s="25"/>
      <c r="L255" s="29"/>
      <c r="M255" s="29"/>
      <c r="N255" s="28"/>
      <c r="O255" s="30"/>
      <c r="P255" s="30"/>
      <c r="Q255" s="30"/>
      <c r="R255" s="30"/>
      <c r="S255" s="30"/>
      <c r="T255" s="30"/>
      <c r="U255" s="30"/>
      <c r="V255" s="29"/>
      <c r="W255" s="28"/>
      <c r="X255" s="149"/>
      <c r="Y255" s="149"/>
      <c r="Z255" s="150"/>
      <c r="AA255" s="150"/>
      <c r="AB255" s="151"/>
      <c r="AC255" s="150"/>
      <c r="AD255" s="150"/>
      <c r="AE255" s="150"/>
      <c r="AF255" s="150"/>
      <c r="AG255" s="150"/>
      <c r="AH255" s="150"/>
      <c r="AI255" s="195"/>
      <c r="AJ255" s="195"/>
      <c r="AK255" s="195"/>
      <c r="AL255" s="195"/>
      <c r="AM255" s="195"/>
      <c r="AN255" s="195"/>
      <c r="AO255" s="195"/>
      <c r="AP255" s="195"/>
      <c r="AQ255" s="195"/>
      <c r="AR255" s="195"/>
      <c r="AS255" s="195"/>
      <c r="AT255" s="195"/>
      <c r="AU255" s="195"/>
      <c r="AV255" s="195"/>
      <c r="AW255" s="195"/>
      <c r="AX255" s="195"/>
      <c r="AY255" s="195"/>
      <c r="AZ255" s="195"/>
      <c r="BA255" s="195"/>
      <c r="BB255" s="195"/>
      <c r="BC255" s="195"/>
      <c r="BD255" s="195"/>
      <c r="BE255" s="195"/>
      <c r="BF255" s="195"/>
      <c r="BG255" s="195"/>
      <c r="BH255" s="195"/>
      <c r="BI255" s="195"/>
      <c r="BJ255" s="195"/>
      <c r="BK255" s="195"/>
      <c r="BL255" s="195"/>
      <c r="BM255" s="195"/>
      <c r="BN255" s="195"/>
      <c r="BO255" s="195"/>
      <c r="BP255" s="195"/>
      <c r="BQ255" s="195"/>
      <c r="BR255" s="195"/>
      <c r="BS255" s="195"/>
      <c r="BT255" s="195"/>
      <c r="BU255" s="195"/>
      <c r="BV255" s="195"/>
      <c r="BW255" s="195"/>
      <c r="BX255" s="195"/>
      <c r="BY255" s="195"/>
      <c r="BZ255" s="195"/>
      <c r="CA255" s="195"/>
      <c r="CB255" s="195"/>
      <c r="CC255" s="195"/>
      <c r="CD255" s="195"/>
      <c r="CE255" s="195"/>
      <c r="CF255" s="195"/>
      <c r="CG255" s="195"/>
      <c r="CH255" s="195"/>
      <c r="CI255" s="195"/>
      <c r="CJ255" s="195"/>
      <c r="CK255" s="195"/>
      <c r="CL255" s="195"/>
      <c r="CM255" s="195"/>
      <c r="CN255" s="195"/>
      <c r="CO255" s="195"/>
      <c r="CP255" s="195"/>
      <c r="CQ255" s="195"/>
      <c r="CR255" s="195"/>
      <c r="CS255" s="195"/>
      <c r="CT255" s="195"/>
      <c r="CU255" s="195"/>
      <c r="CV255" s="195"/>
      <c r="CW255" s="195"/>
      <c r="CX255" s="195"/>
      <c r="CY255" s="195"/>
      <c r="CZ255" s="195"/>
      <c r="DA255" s="195"/>
      <c r="DB255" s="195"/>
      <c r="DC255" s="195"/>
      <c r="DD255" s="195"/>
      <c r="DE255" s="195"/>
      <c r="DF255" s="195"/>
      <c r="DG255" s="195"/>
      <c r="DH255" s="195"/>
    </row>
    <row r="256" spans="5:112" s="193" customFormat="1">
      <c r="E256" s="32"/>
      <c r="F256" s="32"/>
      <c r="G256" s="29"/>
      <c r="H256" s="25"/>
      <c r="I256" s="25"/>
      <c r="J256" s="25"/>
      <c r="K256" s="25"/>
      <c r="L256" s="29"/>
      <c r="M256" s="29"/>
      <c r="N256" s="28"/>
      <c r="O256" s="30"/>
      <c r="P256" s="30"/>
      <c r="Q256" s="30"/>
      <c r="R256" s="30"/>
      <c r="S256" s="30"/>
      <c r="T256" s="30"/>
      <c r="U256" s="30"/>
      <c r="V256" s="29"/>
      <c r="W256" s="28"/>
      <c r="X256" s="149"/>
      <c r="Y256" s="149"/>
      <c r="Z256" s="150"/>
      <c r="AA256" s="150"/>
      <c r="AB256" s="151"/>
      <c r="AC256" s="150"/>
      <c r="AD256" s="150"/>
      <c r="AE256" s="150"/>
      <c r="AF256" s="150"/>
      <c r="AG256" s="150"/>
      <c r="AH256" s="150"/>
      <c r="AI256" s="195"/>
      <c r="AJ256" s="195"/>
      <c r="AK256" s="195"/>
      <c r="AL256" s="195"/>
      <c r="AM256" s="195"/>
      <c r="AN256" s="195"/>
      <c r="AO256" s="195"/>
      <c r="AP256" s="195"/>
      <c r="AQ256" s="195"/>
      <c r="AR256" s="195"/>
      <c r="AS256" s="195"/>
      <c r="AT256" s="195"/>
      <c r="AU256" s="195"/>
      <c r="AV256" s="195"/>
      <c r="AW256" s="195"/>
      <c r="AX256" s="195"/>
      <c r="AY256" s="195"/>
      <c r="AZ256" s="195"/>
      <c r="BA256" s="195"/>
      <c r="BB256" s="195"/>
      <c r="BC256" s="195"/>
      <c r="BD256" s="195"/>
      <c r="BE256" s="195"/>
      <c r="BF256" s="195"/>
      <c r="BG256" s="195"/>
      <c r="BH256" s="195"/>
      <c r="BI256" s="195"/>
      <c r="BJ256" s="195"/>
      <c r="BK256" s="195"/>
      <c r="BL256" s="195"/>
      <c r="BM256" s="195"/>
      <c r="BN256" s="195"/>
      <c r="BO256" s="195"/>
      <c r="BP256" s="195"/>
      <c r="BQ256" s="195"/>
      <c r="BR256" s="195"/>
      <c r="BS256" s="195"/>
      <c r="BT256" s="195"/>
      <c r="BU256" s="195"/>
      <c r="BV256" s="195"/>
      <c r="BW256" s="195"/>
      <c r="BX256" s="195"/>
      <c r="BY256" s="195"/>
      <c r="BZ256" s="195"/>
      <c r="CA256" s="195"/>
      <c r="CB256" s="195"/>
      <c r="CC256" s="195"/>
      <c r="CD256" s="195"/>
      <c r="CE256" s="195"/>
      <c r="CF256" s="195"/>
      <c r="CG256" s="195"/>
      <c r="CH256" s="195"/>
      <c r="CI256" s="195"/>
      <c r="CJ256" s="195"/>
      <c r="CK256" s="195"/>
      <c r="CL256" s="195"/>
      <c r="CM256" s="195"/>
      <c r="CN256" s="195"/>
      <c r="CO256" s="195"/>
      <c r="CP256" s="195"/>
      <c r="CQ256" s="195"/>
      <c r="CR256" s="195"/>
      <c r="CS256" s="195"/>
      <c r="CT256" s="195"/>
      <c r="CU256" s="195"/>
      <c r="CV256" s="195"/>
      <c r="CW256" s="195"/>
      <c r="CX256" s="195"/>
      <c r="CY256" s="195"/>
      <c r="CZ256" s="195"/>
      <c r="DA256" s="195"/>
      <c r="DB256" s="195"/>
      <c r="DC256" s="195"/>
      <c r="DD256" s="195"/>
      <c r="DE256" s="195"/>
      <c r="DF256" s="195"/>
      <c r="DG256" s="195"/>
      <c r="DH256" s="195"/>
    </row>
    <row r="257" spans="5:112" s="193" customFormat="1">
      <c r="E257" s="32"/>
      <c r="F257" s="32"/>
      <c r="G257" s="29"/>
      <c r="H257" s="25"/>
      <c r="I257" s="25"/>
      <c r="J257" s="25"/>
      <c r="K257" s="25"/>
      <c r="L257" s="29"/>
      <c r="M257" s="29"/>
      <c r="N257" s="28"/>
      <c r="O257" s="30"/>
      <c r="P257" s="30"/>
      <c r="Q257" s="30"/>
      <c r="R257" s="30"/>
      <c r="S257" s="30"/>
      <c r="T257" s="30"/>
      <c r="U257" s="30"/>
      <c r="V257" s="29"/>
      <c r="W257" s="28"/>
      <c r="X257" s="149"/>
      <c r="Y257" s="149"/>
      <c r="Z257" s="150"/>
      <c r="AA257" s="150"/>
      <c r="AB257" s="151"/>
      <c r="AC257" s="150"/>
      <c r="AD257" s="150"/>
      <c r="AE257" s="150"/>
      <c r="AF257" s="150"/>
      <c r="AG257" s="150"/>
      <c r="AH257" s="150"/>
      <c r="AI257" s="195"/>
      <c r="AJ257" s="195"/>
      <c r="AK257" s="195"/>
      <c r="AL257" s="195"/>
      <c r="AM257" s="195"/>
      <c r="AN257" s="195"/>
      <c r="AO257" s="195"/>
      <c r="AP257" s="195"/>
      <c r="AQ257" s="195"/>
      <c r="AR257" s="195"/>
      <c r="AS257" s="195"/>
      <c r="AT257" s="195"/>
      <c r="AU257" s="195"/>
      <c r="AV257" s="195"/>
      <c r="AW257" s="195"/>
      <c r="AX257" s="195"/>
      <c r="AY257" s="195"/>
      <c r="AZ257" s="195"/>
      <c r="BA257" s="195"/>
      <c r="BB257" s="195"/>
      <c r="BC257" s="195"/>
      <c r="BD257" s="195"/>
      <c r="BE257" s="195"/>
      <c r="BF257" s="195"/>
      <c r="BG257" s="195"/>
      <c r="BH257" s="195"/>
      <c r="BI257" s="195"/>
      <c r="BJ257" s="195"/>
      <c r="BK257" s="195"/>
      <c r="BL257" s="195"/>
      <c r="BM257" s="195"/>
      <c r="BN257" s="195"/>
      <c r="BO257" s="195"/>
      <c r="BP257" s="195"/>
      <c r="BQ257" s="195"/>
      <c r="BR257" s="195"/>
      <c r="BS257" s="195"/>
      <c r="BT257" s="195"/>
      <c r="BU257" s="195"/>
      <c r="BV257" s="195"/>
      <c r="BW257" s="195"/>
      <c r="BX257" s="195"/>
      <c r="BY257" s="195"/>
      <c r="BZ257" s="195"/>
      <c r="CA257" s="195"/>
      <c r="CB257" s="195"/>
      <c r="CC257" s="195"/>
      <c r="CD257" s="195"/>
      <c r="CE257" s="195"/>
      <c r="CF257" s="195"/>
      <c r="CG257" s="195"/>
      <c r="CH257" s="195"/>
      <c r="CI257" s="195"/>
      <c r="CJ257" s="195"/>
      <c r="CK257" s="195"/>
      <c r="CL257" s="195"/>
      <c r="CM257" s="195"/>
      <c r="CN257" s="195"/>
      <c r="CO257" s="195"/>
      <c r="CP257" s="195"/>
      <c r="CQ257" s="195"/>
      <c r="CR257" s="195"/>
      <c r="CS257" s="195"/>
      <c r="CT257" s="195"/>
      <c r="CU257" s="195"/>
      <c r="CV257" s="195"/>
      <c r="CW257" s="195"/>
      <c r="CX257" s="195"/>
      <c r="CY257" s="195"/>
      <c r="CZ257" s="195"/>
      <c r="DA257" s="195"/>
      <c r="DB257" s="195"/>
      <c r="DC257" s="195"/>
      <c r="DD257" s="195"/>
      <c r="DE257" s="195"/>
      <c r="DF257" s="195"/>
      <c r="DG257" s="195"/>
      <c r="DH257" s="195"/>
    </row>
    <row r="258" spans="5:112" s="193" customFormat="1">
      <c r="E258" s="32"/>
      <c r="F258" s="32"/>
      <c r="G258" s="29"/>
      <c r="H258" s="25"/>
      <c r="I258" s="25"/>
      <c r="J258" s="25"/>
      <c r="K258" s="25"/>
      <c r="L258" s="29"/>
      <c r="M258" s="29"/>
      <c r="N258" s="28"/>
      <c r="O258" s="30"/>
      <c r="P258" s="30"/>
      <c r="Q258" s="30"/>
      <c r="R258" s="30"/>
      <c r="S258" s="30"/>
      <c r="T258" s="30"/>
      <c r="U258" s="30"/>
      <c r="V258" s="29"/>
      <c r="W258" s="28"/>
      <c r="X258" s="149"/>
      <c r="Y258" s="149"/>
      <c r="Z258" s="150"/>
      <c r="AA258" s="150"/>
      <c r="AB258" s="151"/>
      <c r="AC258" s="150"/>
      <c r="AD258" s="150"/>
      <c r="AE258" s="150"/>
      <c r="AF258" s="150"/>
      <c r="AG258" s="150"/>
      <c r="AH258" s="150"/>
      <c r="AI258" s="195"/>
      <c r="AJ258" s="195"/>
      <c r="AK258" s="195"/>
      <c r="AL258" s="195"/>
      <c r="AM258" s="195"/>
      <c r="AN258" s="195"/>
      <c r="AO258" s="195"/>
      <c r="AP258" s="195"/>
      <c r="AQ258" s="195"/>
      <c r="AR258" s="195"/>
      <c r="AS258" s="195"/>
      <c r="AT258" s="195"/>
      <c r="AU258" s="195"/>
      <c r="AV258" s="195"/>
      <c r="AW258" s="195"/>
      <c r="AX258" s="195"/>
      <c r="AY258" s="195"/>
      <c r="AZ258" s="195"/>
      <c r="BA258" s="195"/>
      <c r="BB258" s="195"/>
      <c r="BC258" s="195"/>
      <c r="BD258" s="195"/>
      <c r="BE258" s="195"/>
      <c r="BF258" s="195"/>
      <c r="BG258" s="195"/>
      <c r="BH258" s="195"/>
      <c r="BI258" s="195"/>
      <c r="BJ258" s="195"/>
      <c r="BK258" s="195"/>
      <c r="BL258" s="195"/>
      <c r="BM258" s="195"/>
      <c r="BN258" s="195"/>
      <c r="BO258" s="195"/>
      <c r="BP258" s="195"/>
      <c r="BQ258" s="195"/>
      <c r="BR258" s="195"/>
      <c r="BS258" s="195"/>
      <c r="BT258" s="195"/>
      <c r="BU258" s="195"/>
      <c r="BV258" s="195"/>
      <c r="BW258" s="195"/>
      <c r="BX258" s="195"/>
      <c r="BY258" s="195"/>
      <c r="BZ258" s="195"/>
      <c r="CA258" s="195"/>
      <c r="CB258" s="195"/>
      <c r="CC258" s="195"/>
      <c r="CD258" s="195"/>
      <c r="CE258" s="195"/>
      <c r="CF258" s="195"/>
      <c r="CG258" s="195"/>
      <c r="CH258" s="195"/>
      <c r="CI258" s="195"/>
      <c r="CJ258" s="195"/>
      <c r="CK258" s="195"/>
      <c r="CL258" s="195"/>
      <c r="CM258" s="195"/>
      <c r="CN258" s="195"/>
      <c r="CO258" s="195"/>
      <c r="CP258" s="195"/>
      <c r="CQ258" s="195"/>
      <c r="CR258" s="195"/>
      <c r="CS258" s="195"/>
      <c r="CT258" s="195"/>
      <c r="CU258" s="195"/>
      <c r="CV258" s="195"/>
      <c r="CW258" s="195"/>
      <c r="CX258" s="195"/>
      <c r="CY258" s="195"/>
      <c r="CZ258" s="195"/>
      <c r="DA258" s="195"/>
      <c r="DB258" s="195"/>
      <c r="DC258" s="195"/>
      <c r="DD258" s="195"/>
      <c r="DE258" s="195"/>
      <c r="DF258" s="195"/>
      <c r="DG258" s="195"/>
      <c r="DH258" s="195"/>
    </row>
    <row r="259" spans="5:112" s="193" customFormat="1">
      <c r="E259" s="32"/>
      <c r="F259" s="32"/>
      <c r="G259" s="29"/>
      <c r="H259" s="25"/>
      <c r="I259" s="25"/>
      <c r="J259" s="25"/>
      <c r="K259" s="25"/>
      <c r="L259" s="29"/>
      <c r="M259" s="29"/>
      <c r="N259" s="28"/>
      <c r="O259" s="30"/>
      <c r="P259" s="30"/>
      <c r="Q259" s="30"/>
      <c r="R259" s="30"/>
      <c r="S259" s="30"/>
      <c r="T259" s="30"/>
      <c r="U259" s="30"/>
      <c r="V259" s="29"/>
      <c r="W259" s="28"/>
      <c r="X259" s="149"/>
      <c r="Y259" s="149"/>
      <c r="Z259" s="150"/>
      <c r="AA259" s="150"/>
      <c r="AB259" s="151"/>
      <c r="AC259" s="150"/>
      <c r="AD259" s="150"/>
      <c r="AE259" s="150"/>
      <c r="AF259" s="150"/>
      <c r="AG259" s="150"/>
      <c r="AH259" s="150"/>
      <c r="AI259" s="195"/>
      <c r="AJ259" s="195"/>
      <c r="AK259" s="195"/>
      <c r="AL259" s="195"/>
      <c r="AM259" s="195"/>
      <c r="AN259" s="195"/>
      <c r="AO259" s="195"/>
      <c r="AP259" s="195"/>
      <c r="AQ259" s="195"/>
      <c r="AR259" s="195"/>
      <c r="AS259" s="195"/>
      <c r="AT259" s="195"/>
      <c r="AU259" s="195"/>
      <c r="AV259" s="195"/>
      <c r="AW259" s="195"/>
      <c r="AX259" s="195"/>
      <c r="AY259" s="195"/>
      <c r="AZ259" s="195"/>
      <c r="BA259" s="195"/>
      <c r="BB259" s="195"/>
      <c r="BC259" s="195"/>
      <c r="BD259" s="195"/>
      <c r="BE259" s="195"/>
      <c r="BF259" s="195"/>
      <c r="BG259" s="195"/>
      <c r="BH259" s="195"/>
      <c r="BI259" s="195"/>
      <c r="BJ259" s="195"/>
      <c r="BK259" s="195"/>
      <c r="BL259" s="195"/>
      <c r="BM259" s="195"/>
      <c r="BN259" s="195"/>
      <c r="BO259" s="195"/>
      <c r="BP259" s="195"/>
      <c r="BQ259" s="195"/>
      <c r="BR259" s="195"/>
      <c r="BS259" s="195"/>
      <c r="BT259" s="195"/>
      <c r="BU259" s="195"/>
      <c r="BV259" s="195"/>
      <c r="BW259" s="195"/>
      <c r="BX259" s="195"/>
      <c r="BY259" s="195"/>
      <c r="BZ259" s="195"/>
      <c r="CA259" s="195"/>
      <c r="CB259" s="195"/>
      <c r="CC259" s="195"/>
      <c r="CD259" s="195"/>
      <c r="CE259" s="195"/>
      <c r="CF259" s="195"/>
      <c r="CG259" s="195"/>
      <c r="CH259" s="195"/>
      <c r="CI259" s="195"/>
      <c r="CJ259" s="195"/>
      <c r="CK259" s="195"/>
      <c r="CL259" s="195"/>
      <c r="CM259" s="195"/>
      <c r="CN259" s="195"/>
      <c r="CO259" s="195"/>
      <c r="CP259" s="195"/>
      <c r="CQ259" s="195"/>
      <c r="CR259" s="195"/>
      <c r="CS259" s="195"/>
      <c r="CT259" s="195"/>
      <c r="CU259" s="195"/>
      <c r="CV259" s="195"/>
      <c r="CW259" s="195"/>
      <c r="CX259" s="195"/>
      <c r="CY259" s="195"/>
      <c r="CZ259" s="195"/>
      <c r="DA259" s="195"/>
      <c r="DB259" s="195"/>
      <c r="DC259" s="195"/>
      <c r="DD259" s="195"/>
      <c r="DE259" s="195"/>
      <c r="DF259" s="195"/>
      <c r="DG259" s="195"/>
      <c r="DH259" s="195"/>
    </row>
    <row r="260" spans="5:112" s="193" customFormat="1">
      <c r="E260" s="32"/>
      <c r="F260" s="32"/>
      <c r="G260" s="29"/>
      <c r="H260" s="25"/>
      <c r="I260" s="25"/>
      <c r="J260" s="25"/>
      <c r="K260" s="25"/>
      <c r="L260" s="29"/>
      <c r="M260" s="29"/>
      <c r="N260" s="28"/>
      <c r="O260" s="30"/>
      <c r="P260" s="30"/>
      <c r="Q260" s="30"/>
      <c r="R260" s="30"/>
      <c r="S260" s="30"/>
      <c r="T260" s="30"/>
      <c r="U260" s="30"/>
      <c r="V260" s="29"/>
      <c r="W260" s="28"/>
      <c r="X260" s="149"/>
      <c r="Y260" s="149"/>
      <c r="Z260" s="150"/>
      <c r="AA260" s="150"/>
      <c r="AB260" s="151"/>
      <c r="AC260" s="150"/>
      <c r="AD260" s="150"/>
      <c r="AE260" s="150"/>
      <c r="AF260" s="150"/>
      <c r="AG260" s="150"/>
      <c r="AH260" s="150"/>
      <c r="AI260" s="195"/>
      <c r="AJ260" s="195"/>
      <c r="AK260" s="195"/>
      <c r="AL260" s="195"/>
      <c r="AM260" s="195"/>
      <c r="AN260" s="195"/>
      <c r="AO260" s="195"/>
      <c r="AP260" s="195"/>
      <c r="AQ260" s="195"/>
      <c r="AR260" s="195"/>
      <c r="AS260" s="195"/>
      <c r="AT260" s="195"/>
      <c r="AU260" s="195"/>
      <c r="AV260" s="195"/>
      <c r="AW260" s="195"/>
      <c r="AX260" s="195"/>
      <c r="AY260" s="195"/>
      <c r="AZ260" s="195"/>
      <c r="BA260" s="195"/>
      <c r="BB260" s="195"/>
      <c r="BC260" s="195"/>
      <c r="BD260" s="195"/>
      <c r="BE260" s="195"/>
      <c r="BF260" s="195"/>
      <c r="BG260" s="195"/>
      <c r="BH260" s="195"/>
      <c r="BI260" s="195"/>
      <c r="BJ260" s="195"/>
      <c r="BK260" s="195"/>
      <c r="BL260" s="195"/>
      <c r="BM260" s="195"/>
      <c r="BN260" s="195"/>
      <c r="BO260" s="195"/>
      <c r="BP260" s="195"/>
      <c r="BQ260" s="195"/>
      <c r="BR260" s="195"/>
      <c r="BS260" s="195"/>
      <c r="BT260" s="195"/>
      <c r="BU260" s="195"/>
      <c r="BV260" s="195"/>
      <c r="BW260" s="195"/>
      <c r="BX260" s="195"/>
      <c r="BY260" s="195"/>
      <c r="BZ260" s="195"/>
      <c r="CA260" s="195"/>
      <c r="CB260" s="195"/>
      <c r="CC260" s="195"/>
      <c r="CD260" s="195"/>
      <c r="CE260" s="195"/>
      <c r="CF260" s="195"/>
      <c r="CG260" s="195"/>
      <c r="CH260" s="195"/>
      <c r="CI260" s="195"/>
      <c r="CJ260" s="195"/>
      <c r="CK260" s="195"/>
      <c r="CL260" s="195"/>
      <c r="CM260" s="195"/>
      <c r="CN260" s="195"/>
      <c r="CO260" s="195"/>
      <c r="CP260" s="195"/>
      <c r="CQ260" s="195"/>
      <c r="CR260" s="195"/>
      <c r="CS260" s="195"/>
      <c r="CT260" s="195"/>
      <c r="CU260" s="195"/>
      <c r="CV260" s="195"/>
      <c r="CW260" s="195"/>
      <c r="CX260" s="195"/>
      <c r="CY260" s="195"/>
      <c r="CZ260" s="195"/>
      <c r="DA260" s="195"/>
      <c r="DB260" s="195"/>
      <c r="DC260" s="195"/>
      <c r="DD260" s="195"/>
      <c r="DE260" s="195"/>
      <c r="DF260" s="195"/>
      <c r="DG260" s="195"/>
      <c r="DH260" s="195"/>
    </row>
    <row r="261" spans="5:112" s="193" customFormat="1">
      <c r="E261" s="32"/>
      <c r="F261" s="32"/>
      <c r="G261" s="29"/>
      <c r="H261" s="25"/>
      <c r="I261" s="25"/>
      <c r="J261" s="25"/>
      <c r="K261" s="25"/>
      <c r="L261" s="29"/>
      <c r="M261" s="29"/>
      <c r="N261" s="28"/>
      <c r="O261" s="30"/>
      <c r="P261" s="30"/>
      <c r="Q261" s="30"/>
      <c r="R261" s="30"/>
      <c r="S261" s="30"/>
      <c r="T261" s="30"/>
      <c r="U261" s="30"/>
      <c r="V261" s="29"/>
      <c r="W261" s="28"/>
      <c r="X261" s="149"/>
      <c r="Y261" s="149"/>
      <c r="Z261" s="150"/>
      <c r="AA261" s="150"/>
      <c r="AB261" s="151"/>
      <c r="AC261" s="150"/>
      <c r="AD261" s="150"/>
      <c r="AE261" s="150"/>
      <c r="AF261" s="150"/>
      <c r="AG261" s="150"/>
      <c r="AH261" s="150"/>
      <c r="AI261" s="195"/>
      <c r="AJ261" s="195"/>
      <c r="AK261" s="195"/>
      <c r="AL261" s="195"/>
      <c r="AM261" s="195"/>
      <c r="AN261" s="195"/>
      <c r="AO261" s="195"/>
      <c r="AP261" s="195"/>
      <c r="AQ261" s="195"/>
      <c r="AR261" s="195"/>
      <c r="AS261" s="195"/>
      <c r="AT261" s="195"/>
      <c r="AU261" s="195"/>
      <c r="AV261" s="195"/>
      <c r="AW261" s="195"/>
      <c r="AX261" s="195"/>
      <c r="AY261" s="195"/>
      <c r="AZ261" s="195"/>
      <c r="BA261" s="195"/>
      <c r="BB261" s="195"/>
      <c r="BC261" s="195"/>
      <c r="BD261" s="195"/>
      <c r="BE261" s="195"/>
      <c r="BF261" s="195"/>
      <c r="BG261" s="195"/>
      <c r="BH261" s="195"/>
      <c r="BI261" s="195"/>
      <c r="BJ261" s="195"/>
      <c r="BK261" s="195"/>
      <c r="BL261" s="195"/>
      <c r="BM261" s="195"/>
      <c r="BN261" s="195"/>
      <c r="BO261" s="195"/>
      <c r="BP261" s="195"/>
      <c r="BQ261" s="195"/>
      <c r="BR261" s="195"/>
      <c r="BS261" s="195"/>
      <c r="BT261" s="195"/>
      <c r="BU261" s="195"/>
      <c r="BV261" s="195"/>
      <c r="BW261" s="195"/>
      <c r="BX261" s="195"/>
      <c r="BY261" s="195"/>
      <c r="BZ261" s="195"/>
      <c r="CA261" s="195"/>
      <c r="CB261" s="195"/>
      <c r="CC261" s="195"/>
      <c r="CD261" s="195"/>
      <c r="CE261" s="195"/>
      <c r="CF261" s="195"/>
      <c r="CG261" s="195"/>
      <c r="CH261" s="195"/>
      <c r="CI261" s="195"/>
      <c r="CJ261" s="195"/>
      <c r="CK261" s="195"/>
      <c r="CL261" s="195"/>
      <c r="CM261" s="195"/>
      <c r="CN261" s="195"/>
      <c r="CO261" s="195"/>
      <c r="CP261" s="195"/>
      <c r="CQ261" s="195"/>
      <c r="CR261" s="195"/>
      <c r="CS261" s="195"/>
      <c r="CT261" s="195"/>
      <c r="CU261" s="195"/>
      <c r="CV261" s="195"/>
      <c r="CW261" s="195"/>
      <c r="CX261" s="195"/>
      <c r="CY261" s="195"/>
      <c r="CZ261" s="195"/>
      <c r="DA261" s="195"/>
      <c r="DB261" s="195"/>
      <c r="DC261" s="195"/>
      <c r="DD261" s="195"/>
      <c r="DE261" s="195"/>
      <c r="DF261" s="195"/>
      <c r="DG261" s="195"/>
      <c r="DH261" s="195"/>
    </row>
    <row r="262" spans="5:112" s="193" customFormat="1">
      <c r="E262" s="32"/>
      <c r="F262" s="32"/>
      <c r="G262" s="29"/>
      <c r="H262" s="25"/>
      <c r="I262" s="25"/>
      <c r="J262" s="25"/>
      <c r="K262" s="25"/>
      <c r="L262" s="29"/>
      <c r="M262" s="29"/>
      <c r="N262" s="28"/>
      <c r="O262" s="30"/>
      <c r="P262" s="30"/>
      <c r="Q262" s="30"/>
      <c r="R262" s="30"/>
      <c r="S262" s="30"/>
      <c r="T262" s="30"/>
      <c r="U262" s="30"/>
      <c r="V262" s="29"/>
      <c r="W262" s="28"/>
      <c r="X262" s="149"/>
      <c r="Y262" s="149"/>
      <c r="Z262" s="150"/>
      <c r="AA262" s="150"/>
      <c r="AB262" s="151"/>
      <c r="AC262" s="150"/>
      <c r="AD262" s="150"/>
      <c r="AE262" s="150"/>
      <c r="AF262" s="150"/>
      <c r="AG262" s="150"/>
      <c r="AH262" s="150"/>
      <c r="AI262" s="195"/>
      <c r="AJ262" s="195"/>
      <c r="AK262" s="195"/>
      <c r="AL262" s="195"/>
      <c r="AM262" s="195"/>
      <c r="AN262" s="195"/>
      <c r="AO262" s="195"/>
      <c r="AP262" s="195"/>
      <c r="AQ262" s="195"/>
      <c r="AR262" s="195"/>
      <c r="AS262" s="195"/>
      <c r="AT262" s="195"/>
      <c r="AU262" s="195"/>
      <c r="AV262" s="195"/>
      <c r="AW262" s="195"/>
      <c r="AX262" s="195"/>
      <c r="AY262" s="195"/>
      <c r="AZ262" s="195"/>
      <c r="BA262" s="195"/>
      <c r="BB262" s="195"/>
      <c r="BC262" s="195"/>
      <c r="BD262" s="195"/>
      <c r="BE262" s="195"/>
      <c r="BF262" s="195"/>
      <c r="BG262" s="195"/>
      <c r="BH262" s="195"/>
      <c r="BI262" s="195"/>
      <c r="BJ262" s="195"/>
      <c r="BK262" s="195"/>
      <c r="BL262" s="195"/>
      <c r="BM262" s="195"/>
      <c r="BN262" s="195"/>
      <c r="BO262" s="195"/>
      <c r="BP262" s="195"/>
      <c r="BQ262" s="195"/>
      <c r="BR262" s="195"/>
      <c r="BS262" s="195"/>
      <c r="BT262" s="195"/>
      <c r="BU262" s="195"/>
      <c r="BV262" s="195"/>
      <c r="BW262" s="195"/>
      <c r="BX262" s="195"/>
      <c r="BY262" s="195"/>
      <c r="BZ262" s="195"/>
      <c r="CA262" s="195"/>
      <c r="CB262" s="195"/>
      <c r="CC262" s="195"/>
      <c r="CD262" s="195"/>
      <c r="CE262" s="195"/>
      <c r="CF262" s="195"/>
      <c r="CG262" s="195"/>
      <c r="CH262" s="195"/>
      <c r="CI262" s="195"/>
      <c r="CJ262" s="195"/>
      <c r="CK262" s="195"/>
      <c r="CL262" s="195"/>
      <c r="CM262" s="195"/>
      <c r="CN262" s="195"/>
      <c r="CO262" s="195"/>
      <c r="CP262" s="195"/>
      <c r="CQ262" s="195"/>
      <c r="CR262" s="195"/>
      <c r="CS262" s="195"/>
      <c r="CT262" s="195"/>
      <c r="CU262" s="195"/>
      <c r="CV262" s="195"/>
      <c r="CW262" s="195"/>
      <c r="CX262" s="195"/>
      <c r="CY262" s="195"/>
      <c r="CZ262" s="195"/>
      <c r="DA262" s="195"/>
      <c r="DB262" s="195"/>
      <c r="DC262" s="195"/>
      <c r="DD262" s="195"/>
      <c r="DE262" s="195"/>
      <c r="DF262" s="195"/>
      <c r="DG262" s="195"/>
      <c r="DH262" s="195"/>
    </row>
    <row r="263" spans="5:112" s="193" customFormat="1">
      <c r="E263" s="32"/>
      <c r="F263" s="32"/>
      <c r="G263" s="29"/>
      <c r="H263" s="25"/>
      <c r="I263" s="25"/>
      <c r="J263" s="25"/>
      <c r="K263" s="25"/>
      <c r="L263" s="29"/>
      <c r="M263" s="29"/>
      <c r="N263" s="28"/>
      <c r="O263" s="30"/>
      <c r="P263" s="30"/>
      <c r="Q263" s="30"/>
      <c r="R263" s="30"/>
      <c r="S263" s="30"/>
      <c r="T263" s="30"/>
      <c r="U263" s="30"/>
      <c r="V263" s="29"/>
      <c r="W263" s="28"/>
      <c r="X263" s="149"/>
      <c r="Y263" s="149"/>
      <c r="Z263" s="150"/>
      <c r="AA263" s="150"/>
      <c r="AB263" s="151"/>
      <c r="AC263" s="150"/>
      <c r="AD263" s="150"/>
      <c r="AE263" s="150"/>
      <c r="AF263" s="150"/>
      <c r="AG263" s="150"/>
      <c r="AH263" s="150"/>
      <c r="AI263" s="195"/>
      <c r="AJ263" s="195"/>
      <c r="AK263" s="195"/>
      <c r="AL263" s="195"/>
      <c r="AM263" s="195"/>
      <c r="AN263" s="195"/>
      <c r="AO263" s="195"/>
      <c r="AP263" s="195"/>
      <c r="AQ263" s="195"/>
      <c r="AR263" s="195"/>
      <c r="AS263" s="195"/>
      <c r="AT263" s="195"/>
      <c r="AU263" s="195"/>
      <c r="AV263" s="195"/>
      <c r="AW263" s="195"/>
      <c r="AX263" s="195"/>
      <c r="AY263" s="195"/>
      <c r="AZ263" s="195"/>
      <c r="BA263" s="195"/>
      <c r="BB263" s="195"/>
      <c r="BC263" s="195"/>
      <c r="BD263" s="195"/>
      <c r="BE263" s="195"/>
      <c r="BF263" s="195"/>
      <c r="BG263" s="195"/>
      <c r="BH263" s="195"/>
      <c r="BI263" s="195"/>
      <c r="BJ263" s="195"/>
      <c r="BK263" s="195"/>
      <c r="BL263" s="195"/>
      <c r="BM263" s="195"/>
      <c r="BN263" s="195"/>
      <c r="BO263" s="195"/>
      <c r="BP263" s="195"/>
      <c r="BQ263" s="195"/>
      <c r="BR263" s="195"/>
      <c r="BS263" s="195"/>
      <c r="BT263" s="195"/>
      <c r="BU263" s="195"/>
      <c r="BV263" s="195"/>
      <c r="BW263" s="195"/>
      <c r="BX263" s="195"/>
      <c r="BY263" s="195"/>
      <c r="BZ263" s="195"/>
      <c r="CA263" s="195"/>
      <c r="CB263" s="195"/>
      <c r="CC263" s="195"/>
      <c r="CD263" s="195"/>
      <c r="CE263" s="195"/>
      <c r="CF263" s="195"/>
      <c r="CG263" s="195"/>
      <c r="CH263" s="195"/>
      <c r="CI263" s="195"/>
      <c r="CJ263" s="195"/>
      <c r="CK263" s="195"/>
      <c r="CL263" s="195"/>
      <c r="CM263" s="195"/>
      <c r="CN263" s="195"/>
      <c r="CO263" s="195"/>
      <c r="CP263" s="195"/>
      <c r="CQ263" s="195"/>
      <c r="CR263" s="195"/>
      <c r="CS263" s="195"/>
      <c r="CT263" s="195"/>
      <c r="CU263" s="195"/>
      <c r="CV263" s="195"/>
      <c r="CW263" s="195"/>
      <c r="CX263" s="195"/>
      <c r="CY263" s="195"/>
      <c r="CZ263" s="195"/>
      <c r="DA263" s="195"/>
      <c r="DB263" s="195"/>
      <c r="DC263" s="195"/>
      <c r="DD263" s="195"/>
      <c r="DE263" s="195"/>
      <c r="DF263" s="195"/>
      <c r="DG263" s="195"/>
      <c r="DH263" s="195"/>
    </row>
    <row r="264" spans="5:112" s="193" customFormat="1">
      <c r="E264" s="32"/>
      <c r="F264" s="32"/>
      <c r="G264" s="29"/>
      <c r="H264" s="25"/>
      <c r="I264" s="25"/>
      <c r="J264" s="25"/>
      <c r="K264" s="25"/>
      <c r="L264" s="29"/>
      <c r="M264" s="29"/>
      <c r="N264" s="28"/>
      <c r="O264" s="30"/>
      <c r="P264" s="30"/>
      <c r="Q264" s="30"/>
      <c r="R264" s="30"/>
      <c r="S264" s="30"/>
      <c r="T264" s="30"/>
      <c r="U264" s="30"/>
      <c r="V264" s="29"/>
      <c r="W264" s="28"/>
      <c r="X264" s="149"/>
      <c r="Y264" s="149"/>
      <c r="Z264" s="150"/>
      <c r="AA264" s="150"/>
      <c r="AB264" s="151"/>
      <c r="AC264" s="150"/>
      <c r="AD264" s="150"/>
      <c r="AE264" s="150"/>
      <c r="AF264" s="150"/>
      <c r="AG264" s="150"/>
      <c r="AH264" s="150"/>
      <c r="AI264" s="195"/>
      <c r="AJ264" s="195"/>
      <c r="AK264" s="195"/>
      <c r="AL264" s="195"/>
      <c r="AM264" s="195"/>
      <c r="AN264" s="195"/>
      <c r="AO264" s="195"/>
      <c r="AP264" s="195"/>
      <c r="AQ264" s="195"/>
      <c r="AR264" s="195"/>
      <c r="AS264" s="195"/>
      <c r="AT264" s="195"/>
      <c r="AU264" s="195"/>
      <c r="AV264" s="195"/>
      <c r="AW264" s="195"/>
      <c r="AX264" s="195"/>
      <c r="AY264" s="195"/>
      <c r="AZ264" s="195"/>
      <c r="BA264" s="195"/>
      <c r="BB264" s="195"/>
      <c r="BC264" s="195"/>
      <c r="BD264" s="195"/>
      <c r="BE264" s="195"/>
      <c r="BF264" s="195"/>
      <c r="BG264" s="195"/>
      <c r="BH264" s="195"/>
      <c r="BI264" s="195"/>
      <c r="BJ264" s="195"/>
      <c r="BK264" s="195"/>
      <c r="BL264" s="195"/>
      <c r="BM264" s="195"/>
      <c r="BN264" s="195"/>
      <c r="BO264" s="195"/>
      <c r="BP264" s="195"/>
      <c r="BQ264" s="195"/>
      <c r="BR264" s="195"/>
      <c r="BS264" s="195"/>
      <c r="BT264" s="195"/>
      <c r="BU264" s="195"/>
      <c r="BV264" s="195"/>
      <c r="BW264" s="195"/>
      <c r="BX264" s="195"/>
      <c r="BY264" s="195"/>
      <c r="BZ264" s="195"/>
      <c r="CA264" s="195"/>
      <c r="CB264" s="195"/>
      <c r="CC264" s="195"/>
      <c r="CD264" s="195"/>
      <c r="CE264" s="195"/>
      <c r="CF264" s="195"/>
      <c r="CG264" s="195"/>
      <c r="CH264" s="195"/>
      <c r="CI264" s="195"/>
      <c r="CJ264" s="195"/>
      <c r="CK264" s="195"/>
      <c r="CL264" s="195"/>
      <c r="CM264" s="195"/>
      <c r="CN264" s="195"/>
      <c r="CO264" s="195"/>
      <c r="CP264" s="195"/>
      <c r="CQ264" s="195"/>
      <c r="CR264" s="195"/>
      <c r="CS264" s="195"/>
      <c r="CT264" s="195"/>
      <c r="CU264" s="195"/>
      <c r="CV264" s="195"/>
      <c r="CW264" s="195"/>
      <c r="CX264" s="195"/>
      <c r="CY264" s="195"/>
      <c r="CZ264" s="195"/>
      <c r="DA264" s="195"/>
      <c r="DB264" s="195"/>
      <c r="DC264" s="195"/>
      <c r="DD264" s="195"/>
      <c r="DE264" s="195"/>
      <c r="DF264" s="195"/>
      <c r="DG264" s="195"/>
      <c r="DH264" s="195"/>
    </row>
    <row r="265" spans="5:112" s="193" customFormat="1">
      <c r="E265" s="32"/>
      <c r="F265" s="32"/>
      <c r="G265" s="29"/>
      <c r="H265" s="25"/>
      <c r="I265" s="25"/>
      <c r="J265" s="25"/>
      <c r="K265" s="25"/>
      <c r="L265" s="29"/>
      <c r="M265" s="29"/>
      <c r="N265" s="28"/>
      <c r="O265" s="30"/>
      <c r="P265" s="30"/>
      <c r="Q265" s="30"/>
      <c r="R265" s="30"/>
      <c r="S265" s="30"/>
      <c r="T265" s="30"/>
      <c r="U265" s="30"/>
      <c r="V265" s="29"/>
      <c r="W265" s="28"/>
      <c r="X265" s="149"/>
      <c r="Y265" s="149"/>
      <c r="Z265" s="150"/>
      <c r="AA265" s="150"/>
      <c r="AB265" s="151"/>
      <c r="AC265" s="150"/>
      <c r="AD265" s="150"/>
      <c r="AE265" s="150"/>
      <c r="AF265" s="150"/>
      <c r="AG265" s="150"/>
      <c r="AH265" s="150"/>
      <c r="AI265" s="195"/>
      <c r="AJ265" s="195"/>
      <c r="AK265" s="195"/>
      <c r="AL265" s="195"/>
      <c r="AM265" s="195"/>
      <c r="AN265" s="195"/>
      <c r="AO265" s="195"/>
      <c r="AP265" s="195"/>
      <c r="AQ265" s="195"/>
      <c r="AR265" s="195"/>
      <c r="AS265" s="195"/>
      <c r="AT265" s="195"/>
      <c r="AU265" s="195"/>
      <c r="AV265" s="195"/>
      <c r="AW265" s="195"/>
      <c r="AX265" s="195"/>
      <c r="AY265" s="195"/>
      <c r="AZ265" s="195"/>
      <c r="BA265" s="195"/>
      <c r="BB265" s="195"/>
      <c r="BC265" s="195"/>
      <c r="BD265" s="195"/>
      <c r="BE265" s="195"/>
      <c r="BF265" s="195"/>
      <c r="BG265" s="195"/>
      <c r="BH265" s="195"/>
      <c r="BI265" s="195"/>
      <c r="BJ265" s="195"/>
      <c r="BK265" s="195"/>
      <c r="BL265" s="195"/>
      <c r="BM265" s="195"/>
      <c r="BN265" s="195"/>
      <c r="BO265" s="195"/>
      <c r="BP265" s="195"/>
      <c r="BQ265" s="195"/>
      <c r="BR265" s="195"/>
      <c r="BS265" s="195"/>
      <c r="BT265" s="195"/>
      <c r="BU265" s="195"/>
      <c r="BV265" s="195"/>
      <c r="BW265" s="195"/>
      <c r="BX265" s="195"/>
      <c r="BY265" s="195"/>
      <c r="BZ265" s="195"/>
      <c r="CA265" s="195"/>
      <c r="CB265" s="195"/>
      <c r="CC265" s="195"/>
      <c r="CD265" s="195"/>
      <c r="CE265" s="195"/>
      <c r="CF265" s="195"/>
      <c r="CG265" s="195"/>
      <c r="CH265" s="195"/>
      <c r="CI265" s="195"/>
      <c r="CJ265" s="195"/>
      <c r="CK265" s="195"/>
      <c r="CL265" s="195"/>
      <c r="CM265" s="195"/>
      <c r="CN265" s="195"/>
      <c r="CO265" s="195"/>
      <c r="CP265" s="195"/>
      <c r="CQ265" s="195"/>
      <c r="CR265" s="195"/>
      <c r="CS265" s="195"/>
      <c r="CT265" s="195"/>
      <c r="CU265" s="195"/>
      <c r="CV265" s="195"/>
      <c r="CW265" s="195"/>
      <c r="CX265" s="195"/>
      <c r="CY265" s="195"/>
      <c r="CZ265" s="195"/>
      <c r="DA265" s="195"/>
      <c r="DB265" s="195"/>
      <c r="DC265" s="195"/>
      <c r="DD265" s="195"/>
      <c r="DE265" s="195"/>
      <c r="DF265" s="195"/>
      <c r="DG265" s="195"/>
      <c r="DH265" s="195"/>
    </row>
    <row r="266" spans="5:112" s="193" customFormat="1">
      <c r="E266" s="32"/>
      <c r="F266" s="32"/>
      <c r="G266" s="29"/>
      <c r="H266" s="25"/>
      <c r="I266" s="25"/>
      <c r="J266" s="25"/>
      <c r="K266" s="25"/>
      <c r="L266" s="29"/>
      <c r="M266" s="29"/>
      <c r="N266" s="28"/>
      <c r="O266" s="30"/>
      <c r="P266" s="30"/>
      <c r="Q266" s="30"/>
      <c r="R266" s="30"/>
      <c r="S266" s="30"/>
      <c r="T266" s="30"/>
      <c r="U266" s="30"/>
      <c r="V266" s="29"/>
      <c r="W266" s="28"/>
      <c r="X266" s="149"/>
      <c r="Y266" s="149"/>
      <c r="Z266" s="150"/>
      <c r="AA266" s="150"/>
      <c r="AB266" s="151"/>
      <c r="AC266" s="150"/>
      <c r="AD266" s="150"/>
      <c r="AE266" s="150"/>
      <c r="AF266" s="150"/>
      <c r="AG266" s="150"/>
      <c r="AH266" s="150"/>
      <c r="AI266" s="195"/>
      <c r="AJ266" s="195"/>
      <c r="AK266" s="195"/>
      <c r="AL266" s="195"/>
      <c r="AM266" s="195"/>
      <c r="AN266" s="195"/>
      <c r="AO266" s="195"/>
      <c r="AP266" s="195"/>
      <c r="AQ266" s="195"/>
      <c r="AR266" s="195"/>
      <c r="AS266" s="195"/>
      <c r="AT266" s="195"/>
      <c r="AU266" s="195"/>
      <c r="AV266" s="195"/>
      <c r="AW266" s="195"/>
      <c r="AX266" s="195"/>
      <c r="AY266" s="195"/>
      <c r="AZ266" s="195"/>
      <c r="BA266" s="195"/>
      <c r="BB266" s="195"/>
      <c r="BC266" s="195"/>
      <c r="BD266" s="195"/>
      <c r="BE266" s="195"/>
      <c r="BF266" s="195"/>
      <c r="BG266" s="195"/>
      <c r="BH266" s="195"/>
      <c r="BI266" s="195"/>
      <c r="BJ266" s="195"/>
      <c r="BK266" s="195"/>
      <c r="BL266" s="195"/>
      <c r="BM266" s="195"/>
      <c r="BN266" s="195"/>
      <c r="BO266" s="195"/>
      <c r="BP266" s="195"/>
      <c r="BQ266" s="195"/>
      <c r="BR266" s="195"/>
      <c r="BS266" s="195"/>
      <c r="BT266" s="195"/>
      <c r="BU266" s="195"/>
      <c r="BV266" s="195"/>
      <c r="BW266" s="195"/>
      <c r="BX266" s="195"/>
      <c r="BY266" s="195"/>
      <c r="BZ266" s="195"/>
      <c r="CA266" s="195"/>
      <c r="CB266" s="195"/>
      <c r="CC266" s="195"/>
      <c r="CD266" s="195"/>
      <c r="CE266" s="195"/>
      <c r="CF266" s="195"/>
      <c r="CG266" s="195"/>
      <c r="CH266" s="195"/>
      <c r="CI266" s="195"/>
      <c r="CJ266" s="195"/>
      <c r="CK266" s="195"/>
      <c r="CL266" s="195"/>
      <c r="CM266" s="195"/>
      <c r="CN266" s="195"/>
      <c r="CO266" s="195"/>
      <c r="CP266" s="195"/>
      <c r="CQ266" s="195"/>
      <c r="CR266" s="195"/>
      <c r="CS266" s="195"/>
      <c r="CT266" s="195"/>
      <c r="CU266" s="195"/>
      <c r="CV266" s="195"/>
      <c r="CW266" s="195"/>
      <c r="CX266" s="195"/>
      <c r="CY266" s="195"/>
      <c r="CZ266" s="195"/>
      <c r="DA266" s="195"/>
      <c r="DB266" s="195"/>
      <c r="DC266" s="195"/>
      <c r="DD266" s="195"/>
      <c r="DE266" s="195"/>
      <c r="DF266" s="195"/>
      <c r="DG266" s="195"/>
      <c r="DH266" s="195"/>
    </row>
    <row r="267" spans="5:112" s="193" customFormat="1">
      <c r="E267" s="32"/>
      <c r="F267" s="32"/>
      <c r="G267" s="29"/>
      <c r="H267" s="25"/>
      <c r="I267" s="25"/>
      <c r="J267" s="25"/>
      <c r="K267" s="25"/>
      <c r="L267" s="29"/>
      <c r="M267" s="29"/>
      <c r="N267" s="28"/>
      <c r="O267" s="30"/>
      <c r="P267" s="30"/>
      <c r="Q267" s="30"/>
      <c r="R267" s="30"/>
      <c r="S267" s="30"/>
      <c r="T267" s="30"/>
      <c r="U267" s="30"/>
      <c r="V267" s="29"/>
      <c r="W267" s="28"/>
      <c r="X267" s="149"/>
      <c r="Y267" s="149"/>
      <c r="Z267" s="150"/>
      <c r="AA267" s="150"/>
      <c r="AB267" s="151"/>
      <c r="AC267" s="150"/>
      <c r="AD267" s="150"/>
      <c r="AE267" s="150"/>
      <c r="AF267" s="150"/>
      <c r="AG267" s="150"/>
      <c r="AH267" s="150"/>
      <c r="AI267" s="195"/>
      <c r="AJ267" s="195"/>
      <c r="AK267" s="195"/>
      <c r="AL267" s="195"/>
      <c r="AM267" s="195"/>
      <c r="AN267" s="195"/>
      <c r="AO267" s="195"/>
      <c r="AP267" s="195"/>
      <c r="AQ267" s="195"/>
      <c r="AR267" s="195"/>
      <c r="AS267" s="195"/>
      <c r="AT267" s="195"/>
      <c r="AU267" s="195"/>
      <c r="AV267" s="195"/>
      <c r="AW267" s="195"/>
      <c r="AX267" s="195"/>
      <c r="AY267" s="195"/>
      <c r="AZ267" s="195"/>
      <c r="BA267" s="195"/>
      <c r="BB267" s="195"/>
      <c r="BC267" s="195"/>
      <c r="BD267" s="195"/>
      <c r="BE267" s="195"/>
      <c r="BF267" s="195"/>
      <c r="BG267" s="195"/>
      <c r="BH267" s="195"/>
      <c r="BI267" s="195"/>
      <c r="BJ267" s="195"/>
      <c r="BK267" s="195"/>
      <c r="BL267" s="195"/>
      <c r="BM267" s="195"/>
      <c r="BN267" s="195"/>
      <c r="BO267" s="195"/>
      <c r="BP267" s="195"/>
      <c r="BQ267" s="195"/>
      <c r="BR267" s="195"/>
      <c r="BS267" s="195"/>
      <c r="BT267" s="195"/>
      <c r="BU267" s="195"/>
      <c r="BV267" s="195"/>
      <c r="BW267" s="195"/>
      <c r="BX267" s="195"/>
      <c r="BY267" s="195"/>
      <c r="BZ267" s="195"/>
      <c r="CA267" s="195"/>
      <c r="CB267" s="195"/>
      <c r="CC267" s="195"/>
      <c r="CD267" s="195"/>
      <c r="CE267" s="195"/>
      <c r="CF267" s="195"/>
      <c r="CG267" s="195"/>
      <c r="CH267" s="195"/>
      <c r="CI267" s="195"/>
      <c r="CJ267" s="195"/>
      <c r="CK267" s="195"/>
      <c r="CL267" s="195"/>
      <c r="CM267" s="195"/>
      <c r="CN267" s="195"/>
      <c r="CO267" s="195"/>
      <c r="CP267" s="195"/>
      <c r="CQ267" s="195"/>
      <c r="CR267" s="195"/>
      <c r="CS267" s="195"/>
      <c r="CT267" s="195"/>
      <c r="CU267" s="195"/>
      <c r="CV267" s="195"/>
      <c r="CW267" s="195"/>
      <c r="CX267" s="195"/>
      <c r="CY267" s="195"/>
      <c r="CZ267" s="195"/>
      <c r="DA267" s="195"/>
      <c r="DB267" s="195"/>
      <c r="DC267" s="195"/>
      <c r="DD267" s="195"/>
      <c r="DE267" s="195"/>
      <c r="DF267" s="195"/>
      <c r="DG267" s="195"/>
      <c r="DH267" s="195"/>
    </row>
    <row r="268" spans="5:112" s="193" customFormat="1">
      <c r="E268" s="32"/>
      <c r="F268" s="32"/>
      <c r="G268" s="29"/>
      <c r="H268" s="25"/>
      <c r="I268" s="25"/>
      <c r="J268" s="25"/>
      <c r="K268" s="25"/>
      <c r="L268" s="29"/>
      <c r="M268" s="29"/>
      <c r="N268" s="28"/>
      <c r="O268" s="30"/>
      <c r="P268" s="30"/>
      <c r="Q268" s="30"/>
      <c r="R268" s="30"/>
      <c r="S268" s="30"/>
      <c r="T268" s="30"/>
      <c r="U268" s="30"/>
      <c r="V268" s="29"/>
      <c r="W268" s="28"/>
      <c r="X268" s="149"/>
      <c r="Y268" s="149"/>
      <c r="Z268" s="150"/>
      <c r="AA268" s="150"/>
      <c r="AB268" s="151"/>
      <c r="AC268" s="150"/>
      <c r="AD268" s="150"/>
      <c r="AE268" s="150"/>
      <c r="AF268" s="150"/>
      <c r="AG268" s="150"/>
      <c r="AH268" s="150"/>
      <c r="AI268" s="195"/>
      <c r="AJ268" s="195"/>
      <c r="AK268" s="195"/>
      <c r="AL268" s="195"/>
      <c r="AM268" s="195"/>
      <c r="AN268" s="195"/>
      <c r="AO268" s="195"/>
      <c r="AP268" s="195"/>
      <c r="AQ268" s="195"/>
      <c r="AR268" s="195"/>
      <c r="AS268" s="195"/>
      <c r="AT268" s="195"/>
      <c r="AU268" s="195"/>
      <c r="AV268" s="195"/>
      <c r="AW268" s="195"/>
      <c r="AX268" s="195"/>
      <c r="AY268" s="195"/>
      <c r="AZ268" s="195"/>
      <c r="BA268" s="195"/>
      <c r="BB268" s="195"/>
      <c r="BC268" s="195"/>
      <c r="BD268" s="195"/>
      <c r="BE268" s="195"/>
      <c r="BF268" s="195"/>
      <c r="BG268" s="195"/>
      <c r="BH268" s="195"/>
      <c r="BI268" s="195"/>
      <c r="BJ268" s="195"/>
      <c r="BK268" s="195"/>
      <c r="BL268" s="195"/>
      <c r="BM268" s="195"/>
      <c r="BN268" s="195"/>
      <c r="BO268" s="195"/>
      <c r="BP268" s="195"/>
      <c r="BQ268" s="195"/>
      <c r="BR268" s="195"/>
      <c r="BS268" s="195"/>
      <c r="BT268" s="195"/>
      <c r="BU268" s="195"/>
      <c r="BV268" s="195"/>
      <c r="BW268" s="195"/>
      <c r="BX268" s="195"/>
      <c r="BY268" s="195"/>
      <c r="BZ268" s="195"/>
      <c r="CA268" s="195"/>
      <c r="CB268" s="195"/>
      <c r="CC268" s="195"/>
      <c r="CD268" s="195"/>
      <c r="CE268" s="195"/>
      <c r="CF268" s="195"/>
      <c r="CG268" s="195"/>
      <c r="CH268" s="195"/>
      <c r="CI268" s="195"/>
      <c r="CJ268" s="195"/>
      <c r="CK268" s="195"/>
      <c r="CL268" s="195"/>
      <c r="CM268" s="195"/>
      <c r="CN268" s="195"/>
      <c r="CO268" s="195"/>
      <c r="CP268" s="195"/>
      <c r="CQ268" s="195"/>
      <c r="CR268" s="195"/>
      <c r="CS268" s="195"/>
      <c r="CT268" s="195"/>
      <c r="CU268" s="195"/>
      <c r="CV268" s="195"/>
      <c r="CW268" s="195"/>
      <c r="CX268" s="195"/>
      <c r="CY268" s="195"/>
      <c r="CZ268" s="195"/>
      <c r="DA268" s="195"/>
      <c r="DB268" s="195"/>
      <c r="DC268" s="195"/>
      <c r="DD268" s="195"/>
      <c r="DE268" s="195"/>
      <c r="DF268" s="195"/>
      <c r="DG268" s="195"/>
      <c r="DH268" s="195"/>
    </row>
    <row r="269" spans="5:112" s="193" customFormat="1">
      <c r="E269" s="32"/>
      <c r="F269" s="32"/>
      <c r="G269" s="29"/>
      <c r="H269" s="25"/>
      <c r="I269" s="25"/>
      <c r="J269" s="25"/>
      <c r="K269" s="25"/>
      <c r="L269" s="29"/>
      <c r="M269" s="29"/>
      <c r="N269" s="28"/>
      <c r="O269" s="30"/>
      <c r="P269" s="30"/>
      <c r="Q269" s="30"/>
      <c r="R269" s="30"/>
      <c r="S269" s="30"/>
      <c r="T269" s="30"/>
      <c r="U269" s="30"/>
      <c r="V269" s="29"/>
      <c r="W269" s="28"/>
      <c r="X269" s="149"/>
      <c r="Y269" s="149"/>
      <c r="Z269" s="150"/>
      <c r="AA269" s="150"/>
      <c r="AB269" s="151"/>
      <c r="AC269" s="150"/>
      <c r="AD269" s="150"/>
      <c r="AE269" s="150"/>
      <c r="AF269" s="150"/>
      <c r="AG269" s="150"/>
      <c r="AH269" s="150"/>
      <c r="AI269" s="195"/>
      <c r="AJ269" s="195"/>
      <c r="AK269" s="195"/>
      <c r="AL269" s="195"/>
      <c r="AM269" s="195"/>
      <c r="AN269" s="195"/>
      <c r="AO269" s="195"/>
      <c r="AP269" s="195"/>
      <c r="AQ269" s="195"/>
      <c r="AR269" s="195"/>
      <c r="AS269" s="195"/>
      <c r="AT269" s="195"/>
      <c r="AU269" s="195"/>
      <c r="AV269" s="195"/>
      <c r="AW269" s="195"/>
      <c r="AX269" s="195"/>
      <c r="AY269" s="195"/>
      <c r="AZ269" s="195"/>
      <c r="BA269" s="195"/>
      <c r="BB269" s="195"/>
      <c r="BC269" s="195"/>
      <c r="BD269" s="195"/>
      <c r="BE269" s="195"/>
      <c r="BF269" s="195"/>
      <c r="BG269" s="195"/>
      <c r="BH269" s="195"/>
      <c r="BI269" s="195"/>
      <c r="BJ269" s="195"/>
      <c r="BK269" s="195"/>
      <c r="BL269" s="195"/>
      <c r="BM269" s="195"/>
      <c r="BN269" s="195"/>
      <c r="BO269" s="195"/>
      <c r="BP269" s="195"/>
      <c r="BQ269" s="195"/>
      <c r="BR269" s="195"/>
      <c r="BS269" s="195"/>
      <c r="BT269" s="195"/>
      <c r="BU269" s="195"/>
      <c r="BV269" s="195"/>
      <c r="BW269" s="195"/>
      <c r="BX269" s="195"/>
      <c r="BY269" s="195"/>
      <c r="BZ269" s="195"/>
      <c r="CA269" s="195"/>
      <c r="CB269" s="195"/>
      <c r="CC269" s="195"/>
      <c r="CD269" s="195"/>
      <c r="CE269" s="195"/>
      <c r="CF269" s="195"/>
      <c r="CG269" s="195"/>
      <c r="CH269" s="195"/>
      <c r="CI269" s="195"/>
      <c r="CJ269" s="195"/>
      <c r="CK269" s="195"/>
      <c r="CL269" s="195"/>
      <c r="CM269" s="195"/>
      <c r="CN269" s="195"/>
      <c r="CO269" s="195"/>
      <c r="CP269" s="195"/>
      <c r="CQ269" s="195"/>
      <c r="CR269" s="195"/>
      <c r="CS269" s="195"/>
      <c r="CT269" s="195"/>
      <c r="CU269" s="195"/>
      <c r="CV269" s="195"/>
      <c r="CW269" s="195"/>
      <c r="CX269" s="195"/>
      <c r="CY269" s="195"/>
      <c r="CZ269" s="195"/>
      <c r="DA269" s="195"/>
      <c r="DB269" s="195"/>
      <c r="DC269" s="195"/>
      <c r="DD269" s="195"/>
      <c r="DE269" s="195"/>
      <c r="DF269" s="195"/>
      <c r="DG269" s="195"/>
      <c r="DH269" s="195"/>
    </row>
    <row r="270" spans="5:112" s="193" customFormat="1">
      <c r="E270" s="32"/>
      <c r="F270" s="32"/>
      <c r="G270" s="29"/>
      <c r="H270" s="25"/>
      <c r="I270" s="25"/>
      <c r="J270" s="25"/>
      <c r="K270" s="25"/>
      <c r="L270" s="29"/>
      <c r="M270" s="29"/>
      <c r="N270" s="28"/>
      <c r="O270" s="30"/>
      <c r="P270" s="30"/>
      <c r="Q270" s="30"/>
      <c r="R270" s="30"/>
      <c r="S270" s="30"/>
      <c r="T270" s="30"/>
      <c r="U270" s="30"/>
      <c r="V270" s="29"/>
      <c r="W270" s="28"/>
      <c r="X270" s="149"/>
      <c r="Y270" s="149"/>
      <c r="Z270" s="150"/>
      <c r="AA270" s="150"/>
      <c r="AB270" s="151"/>
      <c r="AC270" s="150"/>
      <c r="AD270" s="150"/>
      <c r="AE270" s="150"/>
      <c r="AF270" s="150"/>
      <c r="AG270" s="150"/>
      <c r="AH270" s="150"/>
      <c r="AI270" s="195"/>
      <c r="AJ270" s="195"/>
      <c r="AK270" s="195"/>
      <c r="AL270" s="195"/>
      <c r="AM270" s="195"/>
      <c r="AN270" s="195"/>
      <c r="AO270" s="195"/>
      <c r="AP270" s="195"/>
      <c r="AQ270" s="195"/>
      <c r="AR270" s="195"/>
      <c r="AS270" s="195"/>
      <c r="AT270" s="195"/>
      <c r="AU270" s="195"/>
      <c r="AV270" s="195"/>
      <c r="AW270" s="195"/>
      <c r="AX270" s="195"/>
      <c r="AY270" s="195"/>
      <c r="AZ270" s="195"/>
      <c r="BA270" s="195"/>
      <c r="BB270" s="195"/>
      <c r="BC270" s="195"/>
      <c r="BD270" s="195"/>
      <c r="BE270" s="195"/>
      <c r="BF270" s="195"/>
      <c r="BG270" s="195"/>
      <c r="BH270" s="195"/>
      <c r="BI270" s="195"/>
      <c r="BJ270" s="195"/>
      <c r="BK270" s="195"/>
      <c r="BL270" s="195"/>
      <c r="BM270" s="195"/>
      <c r="BN270" s="195"/>
      <c r="BO270" s="195"/>
      <c r="BP270" s="195"/>
      <c r="BQ270" s="195"/>
      <c r="BR270" s="195"/>
      <c r="BS270" s="195"/>
      <c r="BT270" s="195"/>
      <c r="BU270" s="195"/>
      <c r="BV270" s="195"/>
      <c r="BW270" s="195"/>
      <c r="BX270" s="195"/>
      <c r="BY270" s="195"/>
      <c r="BZ270" s="195"/>
      <c r="CA270" s="195"/>
      <c r="CB270" s="195"/>
      <c r="CC270" s="195"/>
      <c r="CD270" s="195"/>
      <c r="CE270" s="195"/>
      <c r="CF270" s="195"/>
      <c r="CG270" s="195"/>
      <c r="CH270" s="195"/>
      <c r="CI270" s="195"/>
      <c r="CJ270" s="195"/>
      <c r="CK270" s="195"/>
      <c r="CL270" s="195"/>
      <c r="CM270" s="195"/>
      <c r="CN270" s="195"/>
      <c r="CO270" s="195"/>
      <c r="CP270" s="195"/>
      <c r="CQ270" s="195"/>
      <c r="CR270" s="195"/>
      <c r="CS270" s="195"/>
      <c r="CT270" s="195"/>
      <c r="CU270" s="195"/>
      <c r="CV270" s="195"/>
      <c r="CW270" s="195"/>
      <c r="CX270" s="195"/>
      <c r="CY270" s="195"/>
      <c r="CZ270" s="195"/>
      <c r="DA270" s="195"/>
      <c r="DB270" s="195"/>
      <c r="DC270" s="195"/>
      <c r="DD270" s="195"/>
      <c r="DE270" s="195"/>
      <c r="DF270" s="195"/>
      <c r="DG270" s="195"/>
      <c r="DH270" s="195"/>
    </row>
    <row r="271" spans="5:112" s="193" customFormat="1">
      <c r="E271" s="32"/>
      <c r="F271" s="32"/>
      <c r="G271" s="29"/>
      <c r="H271" s="25"/>
      <c r="I271" s="25"/>
      <c r="J271" s="25"/>
      <c r="K271" s="25"/>
      <c r="L271" s="29"/>
      <c r="M271" s="29"/>
      <c r="N271" s="28"/>
      <c r="O271" s="30"/>
      <c r="P271" s="30"/>
      <c r="Q271" s="30"/>
      <c r="R271" s="30"/>
      <c r="S271" s="30"/>
      <c r="T271" s="30"/>
      <c r="U271" s="30"/>
      <c r="V271" s="29"/>
      <c r="W271" s="28"/>
      <c r="X271" s="149"/>
      <c r="Y271" s="149"/>
      <c r="Z271" s="150"/>
      <c r="AA271" s="150"/>
      <c r="AB271" s="151"/>
      <c r="AC271" s="150"/>
      <c r="AD271" s="150"/>
      <c r="AE271" s="150"/>
      <c r="AF271" s="150"/>
      <c r="AG271" s="150"/>
      <c r="AH271" s="150"/>
      <c r="AI271" s="195"/>
      <c r="AJ271" s="195"/>
      <c r="AK271" s="195"/>
      <c r="AL271" s="195"/>
      <c r="AM271" s="195"/>
      <c r="AN271" s="195"/>
      <c r="AO271" s="195"/>
      <c r="AP271" s="195"/>
      <c r="AQ271" s="195"/>
      <c r="AR271" s="195"/>
      <c r="AS271" s="195"/>
      <c r="AT271" s="195"/>
      <c r="AU271" s="195"/>
      <c r="AV271" s="195"/>
      <c r="AW271" s="195"/>
      <c r="AX271" s="195"/>
      <c r="AY271" s="195"/>
      <c r="AZ271" s="195"/>
      <c r="BA271" s="195"/>
      <c r="BB271" s="195"/>
      <c r="BC271" s="195"/>
      <c r="BD271" s="195"/>
      <c r="BE271" s="195"/>
      <c r="BF271" s="195"/>
      <c r="BG271" s="195"/>
      <c r="BH271" s="195"/>
      <c r="BI271" s="195"/>
      <c r="BJ271" s="195"/>
      <c r="BK271" s="195"/>
      <c r="BL271" s="195"/>
      <c r="BM271" s="195"/>
      <c r="BN271" s="195"/>
      <c r="BO271" s="195"/>
      <c r="BP271" s="195"/>
      <c r="BQ271" s="195"/>
      <c r="BR271" s="195"/>
      <c r="BS271" s="195"/>
      <c r="BT271" s="195"/>
      <c r="BU271" s="195"/>
      <c r="BV271" s="195"/>
      <c r="BW271" s="195"/>
      <c r="BX271" s="195"/>
      <c r="BY271" s="195"/>
      <c r="BZ271" s="195"/>
      <c r="CA271" s="195"/>
      <c r="CB271" s="195"/>
      <c r="CC271" s="195"/>
      <c r="CD271" s="195"/>
      <c r="CE271" s="195"/>
      <c r="CF271" s="195"/>
      <c r="CG271" s="195"/>
      <c r="CH271" s="195"/>
      <c r="CI271" s="195"/>
      <c r="CJ271" s="195"/>
      <c r="CK271" s="195"/>
      <c r="CL271" s="195"/>
      <c r="CM271" s="195"/>
      <c r="CN271" s="195"/>
      <c r="CO271" s="195"/>
      <c r="CP271" s="195"/>
      <c r="CQ271" s="195"/>
      <c r="CR271" s="195"/>
      <c r="CS271" s="195"/>
      <c r="CT271" s="195"/>
      <c r="CU271" s="195"/>
      <c r="CV271" s="195"/>
      <c r="CW271" s="195"/>
      <c r="CX271" s="195"/>
      <c r="CY271" s="195"/>
      <c r="CZ271" s="195"/>
      <c r="DA271" s="195"/>
      <c r="DB271" s="195"/>
      <c r="DC271" s="195"/>
      <c r="DD271" s="195"/>
      <c r="DE271" s="195"/>
      <c r="DF271" s="195"/>
      <c r="DG271" s="195"/>
      <c r="DH271" s="195"/>
    </row>
    <row r="272" spans="5:112" s="193" customFormat="1">
      <c r="E272" s="32"/>
      <c r="F272" s="32"/>
      <c r="G272" s="29"/>
      <c r="H272" s="25"/>
      <c r="I272" s="25"/>
      <c r="J272" s="25"/>
      <c r="K272" s="25"/>
      <c r="L272" s="29"/>
      <c r="M272" s="29"/>
      <c r="N272" s="28"/>
      <c r="O272" s="30"/>
      <c r="P272" s="30"/>
      <c r="Q272" s="30"/>
      <c r="R272" s="30"/>
      <c r="S272" s="30"/>
      <c r="T272" s="30"/>
      <c r="U272" s="30"/>
      <c r="V272" s="29"/>
      <c r="W272" s="28"/>
      <c r="X272" s="149"/>
      <c r="Y272" s="149"/>
      <c r="Z272" s="150"/>
      <c r="AA272" s="150"/>
      <c r="AB272" s="151"/>
      <c r="AC272" s="150"/>
      <c r="AD272" s="150"/>
      <c r="AE272" s="150"/>
      <c r="AF272" s="150"/>
      <c r="AG272" s="150"/>
      <c r="AH272" s="150"/>
      <c r="AI272" s="195"/>
      <c r="AJ272" s="195"/>
      <c r="AK272" s="195"/>
      <c r="AL272" s="195"/>
      <c r="AM272" s="195"/>
      <c r="AN272" s="195"/>
      <c r="AO272" s="195"/>
      <c r="AP272" s="195"/>
      <c r="AQ272" s="195"/>
      <c r="AR272" s="195"/>
      <c r="AS272" s="195"/>
      <c r="AT272" s="195"/>
      <c r="AU272" s="195"/>
      <c r="AV272" s="195"/>
      <c r="AW272" s="195"/>
      <c r="AX272" s="195"/>
      <c r="AY272" s="195"/>
      <c r="AZ272" s="195"/>
      <c r="BA272" s="195"/>
      <c r="BB272" s="195"/>
      <c r="BC272" s="195"/>
      <c r="BD272" s="195"/>
      <c r="BE272" s="195"/>
      <c r="BF272" s="195"/>
      <c r="BG272" s="195"/>
      <c r="BH272" s="195"/>
      <c r="BI272" s="195"/>
      <c r="BJ272" s="195"/>
      <c r="BK272" s="195"/>
      <c r="BL272" s="195"/>
      <c r="BM272" s="195"/>
      <c r="BN272" s="195"/>
      <c r="BO272" s="195"/>
      <c r="BP272" s="195"/>
      <c r="BQ272" s="195"/>
      <c r="BR272" s="195"/>
      <c r="BS272" s="195"/>
      <c r="BT272" s="195"/>
      <c r="BU272" s="195"/>
      <c r="BV272" s="195"/>
      <c r="BW272" s="195"/>
      <c r="BX272" s="195"/>
      <c r="BY272" s="195"/>
      <c r="BZ272" s="195"/>
      <c r="CA272" s="195"/>
      <c r="CB272" s="195"/>
      <c r="CC272" s="195"/>
      <c r="CD272" s="195"/>
      <c r="CE272" s="195"/>
      <c r="CF272" s="195"/>
      <c r="CG272" s="195"/>
      <c r="CH272" s="195"/>
      <c r="CI272" s="195"/>
      <c r="CJ272" s="195"/>
      <c r="CK272" s="195"/>
      <c r="CL272" s="195"/>
      <c r="CM272" s="195"/>
      <c r="CN272" s="195"/>
      <c r="CO272" s="195"/>
      <c r="CP272" s="195"/>
      <c r="CQ272" s="195"/>
      <c r="CR272" s="195"/>
      <c r="CS272" s="195"/>
      <c r="CT272" s="195"/>
      <c r="CU272" s="195"/>
      <c r="CV272" s="195"/>
      <c r="CW272" s="195"/>
      <c r="CX272" s="195"/>
      <c r="CY272" s="195"/>
      <c r="CZ272" s="195"/>
      <c r="DA272" s="195"/>
      <c r="DB272" s="195"/>
      <c r="DC272" s="195"/>
      <c r="DD272" s="195"/>
      <c r="DE272" s="195"/>
      <c r="DF272" s="195"/>
      <c r="DG272" s="195"/>
      <c r="DH272" s="195"/>
    </row>
    <row r="273" spans="5:112" s="193" customFormat="1">
      <c r="E273" s="32"/>
      <c r="F273" s="32"/>
      <c r="G273" s="29"/>
      <c r="H273" s="25"/>
      <c r="I273" s="25"/>
      <c r="J273" s="25"/>
      <c r="K273" s="25"/>
      <c r="L273" s="29"/>
      <c r="M273" s="29"/>
      <c r="N273" s="28"/>
      <c r="O273" s="30"/>
      <c r="P273" s="30"/>
      <c r="Q273" s="30"/>
      <c r="R273" s="30"/>
      <c r="S273" s="30"/>
      <c r="T273" s="30"/>
      <c r="U273" s="30"/>
      <c r="V273" s="29"/>
      <c r="W273" s="28"/>
      <c r="X273" s="149"/>
      <c r="Y273" s="149"/>
      <c r="Z273" s="150"/>
      <c r="AA273" s="150"/>
      <c r="AB273" s="151"/>
      <c r="AC273" s="150"/>
      <c r="AD273" s="150"/>
      <c r="AE273" s="150"/>
      <c r="AF273" s="150"/>
      <c r="AG273" s="150"/>
      <c r="AH273" s="150"/>
      <c r="AI273" s="195"/>
      <c r="AJ273" s="195"/>
      <c r="AK273" s="195"/>
      <c r="AL273" s="195"/>
      <c r="AM273" s="195"/>
      <c r="AN273" s="195"/>
      <c r="AO273" s="195"/>
      <c r="AP273" s="195"/>
      <c r="AQ273" s="195"/>
      <c r="AR273" s="195"/>
      <c r="AS273" s="195"/>
      <c r="AT273" s="195"/>
      <c r="AU273" s="195"/>
      <c r="AV273" s="195"/>
      <c r="AW273" s="195"/>
      <c r="AX273" s="195"/>
      <c r="AY273" s="195"/>
      <c r="AZ273" s="195"/>
      <c r="BA273" s="195"/>
      <c r="BB273" s="195"/>
      <c r="BC273" s="195"/>
      <c r="BD273" s="195"/>
      <c r="BE273" s="195"/>
      <c r="BF273" s="195"/>
      <c r="BG273" s="195"/>
      <c r="BH273" s="195"/>
      <c r="BI273" s="195"/>
      <c r="BJ273" s="195"/>
      <c r="BK273" s="195"/>
      <c r="BL273" s="195"/>
      <c r="BM273" s="195"/>
      <c r="BN273" s="195"/>
      <c r="BO273" s="195"/>
      <c r="BP273" s="195"/>
      <c r="BQ273" s="195"/>
      <c r="BR273" s="195"/>
      <c r="BS273" s="195"/>
      <c r="BT273" s="195"/>
      <c r="BU273" s="195"/>
      <c r="BV273" s="195"/>
      <c r="BW273" s="195"/>
      <c r="BX273" s="195"/>
      <c r="BY273" s="195"/>
      <c r="BZ273" s="195"/>
      <c r="CA273" s="195"/>
      <c r="CB273" s="195"/>
      <c r="CC273" s="195"/>
      <c r="CD273" s="195"/>
      <c r="CE273" s="195"/>
      <c r="CF273" s="195"/>
      <c r="CG273" s="195"/>
      <c r="CH273" s="195"/>
      <c r="CI273" s="195"/>
      <c r="CJ273" s="195"/>
      <c r="CK273" s="195"/>
      <c r="CL273" s="195"/>
      <c r="CM273" s="195"/>
      <c r="CN273" s="195"/>
      <c r="CO273" s="195"/>
      <c r="CP273" s="195"/>
      <c r="CQ273" s="195"/>
      <c r="CR273" s="195"/>
      <c r="CS273" s="195"/>
      <c r="CT273" s="195"/>
      <c r="CU273" s="195"/>
      <c r="CV273" s="195"/>
      <c r="CW273" s="195"/>
      <c r="CX273" s="195"/>
      <c r="CY273" s="195"/>
      <c r="CZ273" s="195"/>
      <c r="DA273" s="195"/>
      <c r="DB273" s="195"/>
      <c r="DC273" s="195"/>
      <c r="DD273" s="195"/>
      <c r="DE273" s="195"/>
      <c r="DF273" s="195"/>
      <c r="DG273" s="195"/>
      <c r="DH273" s="195"/>
    </row>
    <row r="274" spans="5:112" s="193" customFormat="1">
      <c r="E274" s="32"/>
      <c r="F274" s="32"/>
      <c r="G274" s="29"/>
      <c r="H274" s="25"/>
      <c r="I274" s="25"/>
      <c r="J274" s="25"/>
      <c r="K274" s="25"/>
      <c r="L274" s="29"/>
      <c r="M274" s="29"/>
      <c r="N274" s="28"/>
      <c r="O274" s="30"/>
      <c r="P274" s="30"/>
      <c r="Q274" s="30"/>
      <c r="R274" s="30"/>
      <c r="S274" s="30"/>
      <c r="T274" s="30"/>
      <c r="U274" s="30"/>
      <c r="V274" s="29"/>
      <c r="W274" s="28"/>
      <c r="X274" s="149"/>
      <c r="Y274" s="149"/>
      <c r="Z274" s="150"/>
      <c r="AA274" s="150"/>
      <c r="AB274" s="151"/>
      <c r="AC274" s="150"/>
      <c r="AD274" s="150"/>
      <c r="AE274" s="150"/>
      <c r="AF274" s="150"/>
      <c r="AG274" s="150"/>
      <c r="AH274" s="150"/>
      <c r="AI274" s="195"/>
      <c r="AJ274" s="195"/>
      <c r="AK274" s="195"/>
      <c r="AL274" s="195"/>
      <c r="AM274" s="195"/>
      <c r="AN274" s="195"/>
      <c r="AO274" s="195"/>
      <c r="AP274" s="195"/>
      <c r="AQ274" s="195"/>
      <c r="AR274" s="195"/>
      <c r="AS274" s="195"/>
      <c r="AT274" s="195"/>
      <c r="AU274" s="195"/>
      <c r="AV274" s="195"/>
      <c r="AW274" s="195"/>
      <c r="AX274" s="195"/>
      <c r="AY274" s="195"/>
      <c r="AZ274" s="195"/>
      <c r="BA274" s="195"/>
      <c r="BB274" s="195"/>
      <c r="BC274" s="195"/>
      <c r="BD274" s="195"/>
      <c r="BE274" s="195"/>
      <c r="BF274" s="195"/>
      <c r="BG274" s="195"/>
      <c r="BH274" s="195"/>
      <c r="BI274" s="195"/>
      <c r="BJ274" s="195"/>
      <c r="BK274" s="195"/>
      <c r="BL274" s="195"/>
      <c r="BM274" s="195"/>
      <c r="BN274" s="195"/>
      <c r="BO274" s="195"/>
      <c r="BP274" s="195"/>
      <c r="BQ274" s="195"/>
      <c r="BR274" s="195"/>
      <c r="BS274" s="195"/>
      <c r="BT274" s="195"/>
      <c r="BU274" s="195"/>
      <c r="BV274" s="195"/>
      <c r="BW274" s="195"/>
      <c r="BX274" s="195"/>
      <c r="BY274" s="195"/>
      <c r="BZ274" s="195"/>
      <c r="CA274" s="195"/>
      <c r="CB274" s="195"/>
      <c r="CC274" s="195"/>
      <c r="CD274" s="195"/>
      <c r="CE274" s="195"/>
      <c r="CF274" s="195"/>
      <c r="CG274" s="195"/>
      <c r="CH274" s="195"/>
      <c r="CI274" s="195"/>
      <c r="CJ274" s="195"/>
      <c r="CK274" s="195"/>
      <c r="CL274" s="195"/>
      <c r="CM274" s="195"/>
      <c r="CN274" s="195"/>
      <c r="CO274" s="195"/>
      <c r="CP274" s="195"/>
      <c r="CQ274" s="195"/>
      <c r="CR274" s="195"/>
      <c r="CS274" s="195"/>
      <c r="CT274" s="195"/>
      <c r="CU274" s="195"/>
      <c r="CV274" s="195"/>
      <c r="CW274" s="195"/>
      <c r="CX274" s="195"/>
      <c r="CY274" s="195"/>
      <c r="CZ274" s="195"/>
      <c r="DA274" s="195"/>
      <c r="DB274" s="195"/>
      <c r="DC274" s="195"/>
      <c r="DD274" s="195"/>
      <c r="DE274" s="195"/>
      <c r="DF274" s="195"/>
      <c r="DG274" s="195"/>
      <c r="DH274" s="195"/>
    </row>
    <row r="275" spans="5:112" s="193" customFormat="1">
      <c r="E275" s="32"/>
      <c r="F275" s="32"/>
      <c r="G275" s="29"/>
      <c r="H275" s="25"/>
      <c r="I275" s="25"/>
      <c r="J275" s="25"/>
      <c r="K275" s="25"/>
      <c r="L275" s="29"/>
      <c r="M275" s="29"/>
      <c r="N275" s="28"/>
      <c r="O275" s="30"/>
      <c r="P275" s="30"/>
      <c r="Q275" s="30"/>
      <c r="R275" s="30"/>
      <c r="S275" s="30"/>
      <c r="T275" s="30"/>
      <c r="U275" s="30"/>
      <c r="V275" s="29"/>
      <c r="W275" s="28"/>
      <c r="X275" s="149"/>
      <c r="Y275" s="149"/>
      <c r="Z275" s="150"/>
      <c r="AA275" s="150"/>
      <c r="AB275" s="151"/>
      <c r="AC275" s="150"/>
      <c r="AD275" s="150"/>
      <c r="AE275" s="150"/>
      <c r="AF275" s="150"/>
      <c r="AG275" s="150"/>
      <c r="AH275" s="150"/>
      <c r="AI275" s="195"/>
      <c r="AJ275" s="195"/>
      <c r="AK275" s="195"/>
      <c r="AL275" s="195"/>
      <c r="AM275" s="195"/>
      <c r="AN275" s="195"/>
      <c r="AO275" s="195"/>
      <c r="AP275" s="195"/>
      <c r="AQ275" s="195"/>
      <c r="AR275" s="195"/>
      <c r="AS275" s="195"/>
      <c r="AT275" s="195"/>
      <c r="AU275" s="195"/>
      <c r="AV275" s="195"/>
      <c r="AW275" s="195"/>
      <c r="AX275" s="195"/>
      <c r="AY275" s="195"/>
      <c r="AZ275" s="195"/>
      <c r="BA275" s="195"/>
      <c r="BB275" s="195"/>
      <c r="BC275" s="195"/>
      <c r="BD275" s="195"/>
      <c r="BE275" s="195"/>
      <c r="BF275" s="195"/>
      <c r="BG275" s="195"/>
      <c r="BH275" s="195"/>
      <c r="BI275" s="195"/>
      <c r="BJ275" s="195"/>
      <c r="BK275" s="195"/>
      <c r="BL275" s="195"/>
      <c r="BM275" s="195"/>
      <c r="BN275" s="195"/>
      <c r="BO275" s="195"/>
      <c r="BP275" s="195"/>
      <c r="BQ275" s="195"/>
      <c r="BR275" s="195"/>
      <c r="BS275" s="195"/>
      <c r="BT275" s="195"/>
      <c r="BU275" s="195"/>
      <c r="BV275" s="195"/>
      <c r="BW275" s="195"/>
      <c r="BX275" s="195"/>
      <c r="BY275" s="195"/>
      <c r="BZ275" s="195"/>
      <c r="CA275" s="195"/>
      <c r="CB275" s="195"/>
      <c r="CC275" s="195"/>
      <c r="CD275" s="195"/>
      <c r="CE275" s="195"/>
      <c r="CF275" s="195"/>
      <c r="CG275" s="195"/>
      <c r="CH275" s="195"/>
      <c r="CI275" s="195"/>
      <c r="CJ275" s="195"/>
      <c r="CK275" s="195"/>
      <c r="CL275" s="195"/>
      <c r="CM275" s="195"/>
      <c r="CN275" s="195"/>
      <c r="CO275" s="195"/>
      <c r="CP275" s="195"/>
      <c r="CQ275" s="195"/>
      <c r="CR275" s="195"/>
      <c r="CS275" s="195"/>
      <c r="CT275" s="195"/>
      <c r="CU275" s="195"/>
      <c r="CV275" s="195"/>
      <c r="CW275" s="195"/>
      <c r="CX275" s="195"/>
      <c r="CY275" s="195"/>
      <c r="CZ275" s="195"/>
      <c r="DA275" s="195"/>
      <c r="DB275" s="195"/>
      <c r="DC275" s="195"/>
      <c r="DD275" s="195"/>
      <c r="DE275" s="195"/>
      <c r="DF275" s="195"/>
      <c r="DG275" s="195"/>
      <c r="DH275" s="195"/>
    </row>
    <row r="276" spans="5:112" s="193" customFormat="1">
      <c r="E276" s="32"/>
      <c r="F276" s="32"/>
      <c r="G276" s="29"/>
      <c r="H276" s="25"/>
      <c r="I276" s="25"/>
      <c r="J276" s="25"/>
      <c r="K276" s="25"/>
      <c r="L276" s="29"/>
      <c r="M276" s="29"/>
      <c r="N276" s="28"/>
      <c r="O276" s="30"/>
      <c r="P276" s="30"/>
      <c r="Q276" s="30"/>
      <c r="R276" s="30"/>
      <c r="S276" s="30"/>
      <c r="T276" s="30"/>
      <c r="U276" s="30"/>
      <c r="V276" s="29"/>
      <c r="W276" s="28"/>
      <c r="X276" s="149"/>
      <c r="Y276" s="149"/>
      <c r="Z276" s="150"/>
      <c r="AA276" s="150"/>
      <c r="AB276" s="151"/>
      <c r="AC276" s="150"/>
      <c r="AD276" s="150"/>
      <c r="AE276" s="150"/>
      <c r="AF276" s="150"/>
      <c r="AG276" s="150"/>
      <c r="AH276" s="150"/>
      <c r="AI276" s="195"/>
      <c r="AJ276" s="195"/>
      <c r="AK276" s="195"/>
      <c r="AL276" s="195"/>
      <c r="AM276" s="195"/>
      <c r="AN276" s="195"/>
      <c r="AO276" s="195"/>
      <c r="AP276" s="195"/>
      <c r="AQ276" s="195"/>
      <c r="AR276" s="195"/>
      <c r="AS276" s="195"/>
      <c r="AT276" s="195"/>
      <c r="AU276" s="195"/>
      <c r="AV276" s="195"/>
      <c r="AW276" s="195"/>
      <c r="AX276" s="195"/>
      <c r="AY276" s="195"/>
      <c r="AZ276" s="195"/>
      <c r="BA276" s="195"/>
      <c r="BB276" s="195"/>
      <c r="BC276" s="195"/>
      <c r="BD276" s="195"/>
      <c r="BE276" s="195"/>
      <c r="BF276" s="195"/>
      <c r="BG276" s="195"/>
      <c r="BH276" s="195"/>
      <c r="BI276" s="195"/>
      <c r="BJ276" s="195"/>
      <c r="BK276" s="195"/>
      <c r="BL276" s="195"/>
      <c r="BM276" s="195"/>
      <c r="BN276" s="195"/>
      <c r="BO276" s="195"/>
      <c r="BP276" s="195"/>
      <c r="BQ276" s="195"/>
      <c r="BR276" s="195"/>
      <c r="BS276" s="195"/>
      <c r="BT276" s="195"/>
      <c r="BU276" s="195"/>
      <c r="BV276" s="195"/>
      <c r="BW276" s="195"/>
      <c r="BX276" s="195"/>
      <c r="BY276" s="195"/>
      <c r="BZ276" s="195"/>
      <c r="CA276" s="195"/>
      <c r="CB276" s="195"/>
      <c r="CC276" s="195"/>
      <c r="CD276" s="195"/>
      <c r="CE276" s="195"/>
      <c r="CF276" s="195"/>
      <c r="CG276" s="195"/>
      <c r="CH276" s="195"/>
      <c r="CI276" s="195"/>
      <c r="CJ276" s="195"/>
      <c r="CK276" s="195"/>
      <c r="CL276" s="195"/>
      <c r="CM276" s="195"/>
      <c r="CN276" s="195"/>
      <c r="CO276" s="195"/>
      <c r="CP276" s="195"/>
      <c r="CQ276" s="195"/>
      <c r="CR276" s="195"/>
      <c r="CS276" s="195"/>
      <c r="CT276" s="195"/>
      <c r="CU276" s="195"/>
      <c r="CV276" s="195"/>
      <c r="CW276" s="195"/>
      <c r="CX276" s="195"/>
      <c r="CY276" s="195"/>
      <c r="CZ276" s="195"/>
      <c r="DA276" s="195"/>
      <c r="DB276" s="195"/>
      <c r="DC276" s="195"/>
      <c r="DD276" s="195"/>
      <c r="DE276" s="195"/>
      <c r="DF276" s="195"/>
      <c r="DG276" s="195"/>
      <c r="DH276" s="195"/>
    </row>
    <row r="277" spans="5:112" s="193" customFormat="1">
      <c r="E277" s="32"/>
      <c r="F277" s="32"/>
      <c r="G277" s="29"/>
      <c r="H277" s="25"/>
      <c r="I277" s="25"/>
      <c r="J277" s="25"/>
      <c r="K277" s="25"/>
      <c r="L277" s="29"/>
      <c r="M277" s="29"/>
      <c r="N277" s="28"/>
      <c r="O277" s="30"/>
      <c r="P277" s="30"/>
      <c r="Q277" s="30"/>
      <c r="R277" s="30"/>
      <c r="S277" s="30"/>
      <c r="T277" s="30"/>
      <c r="U277" s="30"/>
      <c r="V277" s="29"/>
      <c r="W277" s="28"/>
      <c r="X277" s="149"/>
      <c r="Y277" s="149"/>
      <c r="Z277" s="150"/>
      <c r="AA277" s="150"/>
      <c r="AB277" s="151"/>
      <c r="AC277" s="150"/>
      <c r="AD277" s="150"/>
      <c r="AE277" s="150"/>
      <c r="AF277" s="150"/>
      <c r="AG277" s="150"/>
      <c r="AH277" s="150"/>
      <c r="AI277" s="195"/>
      <c r="AJ277" s="195"/>
      <c r="AK277" s="195"/>
      <c r="AL277" s="195"/>
      <c r="AM277" s="195"/>
      <c r="AN277" s="195"/>
      <c r="AO277" s="195"/>
      <c r="AP277" s="195"/>
      <c r="AQ277" s="195"/>
      <c r="AR277" s="195"/>
      <c r="AS277" s="195"/>
      <c r="AT277" s="195"/>
      <c r="AU277" s="195"/>
      <c r="AV277" s="195"/>
      <c r="AW277" s="195"/>
      <c r="AX277" s="195"/>
      <c r="AY277" s="195"/>
      <c r="AZ277" s="195"/>
      <c r="BA277" s="195"/>
      <c r="BB277" s="195"/>
      <c r="BC277" s="195"/>
      <c r="BD277" s="195"/>
      <c r="BE277" s="195"/>
      <c r="BF277" s="195"/>
      <c r="BG277" s="195"/>
      <c r="BH277" s="195"/>
      <c r="BI277" s="195"/>
      <c r="BJ277" s="195"/>
      <c r="BK277" s="195"/>
      <c r="BL277" s="195"/>
      <c r="BM277" s="195"/>
      <c r="BN277" s="195"/>
      <c r="BO277" s="195"/>
      <c r="BP277" s="195"/>
      <c r="BQ277" s="195"/>
      <c r="BR277" s="195"/>
      <c r="BS277" s="195"/>
      <c r="BT277" s="195"/>
      <c r="BU277" s="195"/>
      <c r="BV277" s="195"/>
      <c r="BW277" s="195"/>
      <c r="BX277" s="195"/>
      <c r="BY277" s="195"/>
      <c r="BZ277" s="195"/>
      <c r="CA277" s="195"/>
      <c r="CB277" s="195"/>
      <c r="CC277" s="195"/>
      <c r="CD277" s="195"/>
      <c r="CE277" s="195"/>
      <c r="CF277" s="195"/>
      <c r="CG277" s="195"/>
      <c r="CH277" s="195"/>
      <c r="CI277" s="195"/>
      <c r="CJ277" s="195"/>
      <c r="CK277" s="195"/>
      <c r="CL277" s="195"/>
      <c r="CM277" s="195"/>
      <c r="CN277" s="195"/>
      <c r="CO277" s="195"/>
      <c r="CP277" s="195"/>
      <c r="CQ277" s="195"/>
      <c r="CR277" s="195"/>
      <c r="CS277" s="195"/>
      <c r="CT277" s="195"/>
      <c r="CU277" s="195"/>
      <c r="CV277" s="195"/>
      <c r="CW277" s="195"/>
      <c r="CX277" s="195"/>
      <c r="CY277" s="195"/>
      <c r="CZ277" s="195"/>
      <c r="DA277" s="195"/>
      <c r="DB277" s="195"/>
      <c r="DC277" s="195"/>
      <c r="DD277" s="195"/>
      <c r="DE277" s="195"/>
      <c r="DF277" s="195"/>
      <c r="DG277" s="195"/>
      <c r="DH277" s="195"/>
    </row>
    <row r="278" spans="5:112" s="193" customFormat="1">
      <c r="E278" s="32"/>
      <c r="F278" s="32"/>
      <c r="G278" s="29"/>
      <c r="H278" s="25"/>
      <c r="I278" s="25"/>
      <c r="J278" s="25"/>
      <c r="K278" s="25"/>
      <c r="L278" s="29"/>
      <c r="M278" s="29"/>
      <c r="N278" s="28"/>
      <c r="O278" s="30"/>
      <c r="P278" s="30"/>
      <c r="Q278" s="30"/>
      <c r="R278" s="30"/>
      <c r="S278" s="30"/>
      <c r="T278" s="30"/>
      <c r="U278" s="30"/>
      <c r="V278" s="29"/>
      <c r="W278" s="28"/>
      <c r="X278" s="149"/>
      <c r="Y278" s="149"/>
      <c r="Z278" s="150"/>
      <c r="AA278" s="150"/>
      <c r="AB278" s="151"/>
      <c r="AC278" s="150"/>
      <c r="AD278" s="150"/>
      <c r="AE278" s="150"/>
      <c r="AF278" s="150"/>
      <c r="AG278" s="150"/>
      <c r="AH278" s="150"/>
      <c r="AI278" s="195"/>
      <c r="AJ278" s="195"/>
      <c r="AK278" s="195"/>
      <c r="AL278" s="195"/>
      <c r="AM278" s="195"/>
      <c r="AN278" s="195"/>
      <c r="AO278" s="195"/>
      <c r="AP278" s="195"/>
      <c r="AQ278" s="195"/>
      <c r="AR278" s="195"/>
      <c r="AS278" s="195"/>
      <c r="AT278" s="195"/>
      <c r="AU278" s="195"/>
      <c r="AV278" s="195"/>
      <c r="AW278" s="195"/>
      <c r="AX278" s="195"/>
      <c r="AY278" s="195"/>
      <c r="AZ278" s="195"/>
      <c r="BA278" s="195"/>
      <c r="BB278" s="195"/>
      <c r="BC278" s="195"/>
      <c r="BD278" s="195"/>
      <c r="BE278" s="195"/>
      <c r="BF278" s="195"/>
      <c r="BG278" s="195"/>
      <c r="BH278" s="195"/>
      <c r="BI278" s="195"/>
      <c r="BJ278" s="195"/>
      <c r="BK278" s="195"/>
      <c r="BL278" s="195"/>
      <c r="BM278" s="195"/>
      <c r="BN278" s="195"/>
      <c r="BO278" s="195"/>
      <c r="BP278" s="195"/>
      <c r="BQ278" s="195"/>
      <c r="BR278" s="195"/>
      <c r="BS278" s="195"/>
      <c r="BT278" s="195"/>
      <c r="BU278" s="195"/>
      <c r="BV278" s="195"/>
      <c r="BW278" s="195"/>
      <c r="BX278" s="195"/>
      <c r="BY278" s="195"/>
      <c r="BZ278" s="195"/>
      <c r="CA278" s="195"/>
      <c r="CB278" s="195"/>
      <c r="CC278" s="195"/>
      <c r="CD278" s="195"/>
      <c r="CE278" s="195"/>
      <c r="CF278" s="195"/>
      <c r="CG278" s="195"/>
      <c r="CH278" s="195"/>
      <c r="CI278" s="195"/>
      <c r="CJ278" s="195"/>
      <c r="CK278" s="195"/>
      <c r="CL278" s="195"/>
      <c r="CM278" s="195"/>
      <c r="CN278" s="195"/>
      <c r="CO278" s="195"/>
      <c r="CP278" s="195"/>
      <c r="CQ278" s="195"/>
      <c r="CR278" s="195"/>
      <c r="CS278" s="195"/>
      <c r="CT278" s="195"/>
      <c r="CU278" s="195"/>
      <c r="CV278" s="195"/>
      <c r="CW278" s="195"/>
      <c r="CX278" s="195"/>
      <c r="CY278" s="195"/>
      <c r="CZ278" s="195"/>
      <c r="DA278" s="195"/>
      <c r="DB278" s="195"/>
      <c r="DC278" s="195"/>
      <c r="DD278" s="195"/>
      <c r="DE278" s="195"/>
      <c r="DF278" s="195"/>
      <c r="DG278" s="195"/>
      <c r="DH278" s="195"/>
    </row>
    <row r="279" spans="5:112" s="193" customFormat="1">
      <c r="E279" s="32"/>
      <c r="F279" s="32"/>
      <c r="G279" s="29"/>
      <c r="H279" s="25"/>
      <c r="I279" s="25"/>
      <c r="J279" s="25"/>
      <c r="K279" s="25"/>
      <c r="L279" s="29"/>
      <c r="M279" s="29"/>
      <c r="N279" s="28"/>
      <c r="O279" s="30"/>
      <c r="P279" s="30"/>
      <c r="Q279" s="30"/>
      <c r="R279" s="30"/>
      <c r="S279" s="30"/>
      <c r="T279" s="30"/>
      <c r="U279" s="30"/>
      <c r="V279" s="29"/>
      <c r="W279" s="28"/>
      <c r="X279" s="149"/>
      <c r="Y279" s="149"/>
      <c r="Z279" s="150"/>
      <c r="AA279" s="150"/>
      <c r="AB279" s="151"/>
      <c r="AC279" s="150"/>
      <c r="AD279" s="150"/>
      <c r="AE279" s="150"/>
      <c r="AF279" s="150"/>
      <c r="AG279" s="150"/>
      <c r="AH279" s="150"/>
      <c r="AI279" s="195"/>
      <c r="AJ279" s="195"/>
      <c r="AK279" s="195"/>
      <c r="AL279" s="195"/>
      <c r="AM279" s="195"/>
      <c r="AN279" s="195"/>
      <c r="AO279" s="195"/>
      <c r="AP279" s="195"/>
      <c r="AQ279" s="195"/>
      <c r="AR279" s="195"/>
      <c r="AS279" s="195"/>
      <c r="AT279" s="195"/>
      <c r="AU279" s="195"/>
      <c r="AV279" s="195"/>
      <c r="AW279" s="195"/>
      <c r="AX279" s="195"/>
      <c r="AY279" s="195"/>
      <c r="AZ279" s="195"/>
      <c r="BA279" s="195"/>
      <c r="BB279" s="195"/>
      <c r="BC279" s="195"/>
      <c r="BD279" s="195"/>
      <c r="BE279" s="195"/>
      <c r="BF279" s="195"/>
      <c r="BG279" s="195"/>
      <c r="BH279" s="195"/>
      <c r="BI279" s="195"/>
      <c r="BJ279" s="195"/>
      <c r="BK279" s="195"/>
      <c r="BL279" s="195"/>
      <c r="BM279" s="195"/>
      <c r="BN279" s="195"/>
      <c r="BO279" s="195"/>
      <c r="BP279" s="195"/>
      <c r="BQ279" s="195"/>
      <c r="BR279" s="195"/>
      <c r="BS279" s="195"/>
      <c r="BT279" s="195"/>
      <c r="BU279" s="195"/>
      <c r="BV279" s="195"/>
      <c r="BW279" s="195"/>
      <c r="BX279" s="195"/>
      <c r="BY279" s="195"/>
      <c r="BZ279" s="195"/>
      <c r="CA279" s="195"/>
      <c r="CB279" s="195"/>
      <c r="CC279" s="195"/>
      <c r="CD279" s="195"/>
      <c r="CE279" s="195"/>
      <c r="CF279" s="195"/>
      <c r="CG279" s="195"/>
      <c r="CH279" s="195"/>
      <c r="CI279" s="195"/>
      <c r="CJ279" s="195"/>
      <c r="CK279" s="195"/>
      <c r="CL279" s="195"/>
      <c r="CM279" s="195"/>
      <c r="CN279" s="195"/>
      <c r="CO279" s="195"/>
      <c r="CP279" s="195"/>
      <c r="CQ279" s="195"/>
      <c r="CR279" s="195"/>
      <c r="CS279" s="195"/>
      <c r="CT279" s="195"/>
      <c r="CU279" s="195"/>
      <c r="CV279" s="195"/>
      <c r="CW279" s="195"/>
      <c r="CX279" s="195"/>
      <c r="CY279" s="195"/>
      <c r="CZ279" s="195"/>
      <c r="DA279" s="195"/>
      <c r="DB279" s="195"/>
      <c r="DC279" s="195"/>
      <c r="DD279" s="195"/>
      <c r="DE279" s="195"/>
      <c r="DF279" s="195"/>
      <c r="DG279" s="195"/>
      <c r="DH279" s="195"/>
    </row>
    <row r="280" spans="5:112" s="193" customFormat="1">
      <c r="E280" s="32"/>
      <c r="F280" s="32"/>
      <c r="G280" s="29"/>
      <c r="H280" s="25"/>
      <c r="I280" s="25"/>
      <c r="J280" s="25"/>
      <c r="K280" s="25"/>
      <c r="L280" s="29"/>
      <c r="M280" s="29"/>
      <c r="N280" s="28"/>
      <c r="O280" s="30"/>
      <c r="P280" s="30"/>
      <c r="Q280" s="30"/>
      <c r="R280" s="30"/>
      <c r="S280" s="30"/>
      <c r="T280" s="30"/>
      <c r="U280" s="30"/>
      <c r="V280" s="29"/>
      <c r="W280" s="28"/>
      <c r="X280" s="149"/>
      <c r="Y280" s="149"/>
      <c r="Z280" s="150"/>
      <c r="AA280" s="150"/>
      <c r="AB280" s="151"/>
      <c r="AC280" s="150"/>
      <c r="AD280" s="150"/>
      <c r="AE280" s="150"/>
      <c r="AF280" s="150"/>
      <c r="AG280" s="150"/>
      <c r="AH280" s="150"/>
      <c r="AI280" s="195"/>
      <c r="AJ280" s="195"/>
      <c r="AK280" s="195"/>
      <c r="AL280" s="195"/>
      <c r="AM280" s="195"/>
      <c r="AN280" s="195"/>
      <c r="AO280" s="195"/>
      <c r="AP280" s="195"/>
      <c r="AQ280" s="195"/>
      <c r="AR280" s="195"/>
      <c r="AS280" s="195"/>
      <c r="AT280" s="195"/>
      <c r="AU280" s="195"/>
      <c r="AV280" s="195"/>
      <c r="AW280" s="195"/>
      <c r="AX280" s="195"/>
      <c r="AY280" s="195"/>
      <c r="AZ280" s="195"/>
      <c r="BA280" s="195"/>
      <c r="BB280" s="195"/>
      <c r="BC280" s="195"/>
      <c r="BD280" s="195"/>
      <c r="BE280" s="195"/>
      <c r="BF280" s="195"/>
      <c r="BG280" s="195"/>
      <c r="BH280" s="195"/>
      <c r="BI280" s="195"/>
      <c r="BJ280" s="195"/>
      <c r="BK280" s="195"/>
      <c r="BL280" s="195"/>
      <c r="BM280" s="195"/>
      <c r="BN280" s="195"/>
      <c r="BO280" s="195"/>
      <c r="BP280" s="195"/>
      <c r="BQ280" s="195"/>
      <c r="BR280" s="195"/>
      <c r="BS280" s="195"/>
      <c r="BT280" s="195"/>
      <c r="BU280" s="195"/>
      <c r="BV280" s="195"/>
      <c r="BW280" s="195"/>
      <c r="BX280" s="195"/>
      <c r="BY280" s="195"/>
      <c r="BZ280" s="195"/>
      <c r="CA280" s="195"/>
      <c r="CB280" s="195"/>
      <c r="CC280" s="195"/>
      <c r="CD280" s="195"/>
      <c r="CE280" s="195"/>
      <c r="CF280" s="195"/>
      <c r="CG280" s="195"/>
      <c r="CH280" s="195"/>
      <c r="CI280" s="195"/>
      <c r="CJ280" s="195"/>
      <c r="CK280" s="195"/>
      <c r="CL280" s="195"/>
      <c r="CM280" s="195"/>
      <c r="CN280" s="195"/>
      <c r="CO280" s="195"/>
      <c r="CP280" s="195"/>
      <c r="CQ280" s="195"/>
      <c r="CR280" s="195"/>
      <c r="CS280" s="195"/>
      <c r="CT280" s="195"/>
      <c r="CU280" s="195"/>
      <c r="CV280" s="195"/>
      <c r="CW280" s="195"/>
      <c r="CX280" s="195"/>
      <c r="CY280" s="195"/>
      <c r="CZ280" s="195"/>
      <c r="DA280" s="195"/>
      <c r="DB280" s="195"/>
      <c r="DC280" s="195"/>
      <c r="DD280" s="195"/>
      <c r="DE280" s="195"/>
      <c r="DF280" s="195"/>
      <c r="DG280" s="195"/>
      <c r="DH280" s="195"/>
    </row>
    <row r="281" spans="5:112" s="193" customFormat="1">
      <c r="E281" s="32"/>
      <c r="F281" s="32"/>
      <c r="G281" s="29"/>
      <c r="H281" s="25"/>
      <c r="I281" s="25"/>
      <c r="J281" s="25"/>
      <c r="K281" s="25"/>
      <c r="L281" s="29"/>
      <c r="M281" s="29"/>
      <c r="N281" s="28"/>
      <c r="O281" s="30"/>
      <c r="P281" s="30"/>
      <c r="Q281" s="30"/>
      <c r="R281" s="30"/>
      <c r="S281" s="30"/>
      <c r="T281" s="30"/>
      <c r="U281" s="30"/>
      <c r="V281" s="29"/>
      <c r="W281" s="28"/>
      <c r="X281" s="149"/>
      <c r="Y281" s="149"/>
      <c r="Z281" s="150"/>
      <c r="AA281" s="150"/>
      <c r="AB281" s="151"/>
      <c r="AC281" s="150"/>
      <c r="AD281" s="150"/>
      <c r="AE281" s="150"/>
      <c r="AF281" s="150"/>
      <c r="AG281" s="150"/>
      <c r="AH281" s="150"/>
      <c r="AI281" s="195"/>
      <c r="AJ281" s="195"/>
      <c r="AK281" s="195"/>
      <c r="AL281" s="195"/>
      <c r="AM281" s="195"/>
      <c r="AN281" s="195"/>
      <c r="AO281" s="195"/>
      <c r="AP281" s="195"/>
      <c r="AQ281" s="195"/>
      <c r="AR281" s="195"/>
      <c r="AS281" s="195"/>
      <c r="AT281" s="195"/>
      <c r="AU281" s="195"/>
      <c r="AV281" s="195"/>
      <c r="AW281" s="195"/>
      <c r="AX281" s="195"/>
      <c r="AY281" s="195"/>
      <c r="AZ281" s="195"/>
      <c r="BA281" s="195"/>
      <c r="BB281" s="195"/>
      <c r="BC281" s="195"/>
      <c r="BD281" s="195"/>
      <c r="BE281" s="195"/>
      <c r="BF281" s="195"/>
      <c r="BG281" s="195"/>
      <c r="BH281" s="195"/>
      <c r="BI281" s="195"/>
      <c r="BJ281" s="195"/>
      <c r="BK281" s="195"/>
      <c r="BL281" s="195"/>
      <c r="BM281" s="195"/>
      <c r="BN281" s="195"/>
      <c r="BO281" s="195"/>
      <c r="BP281" s="195"/>
      <c r="BQ281" s="195"/>
      <c r="BR281" s="195"/>
      <c r="BS281" s="195"/>
      <c r="BT281" s="195"/>
      <c r="BU281" s="195"/>
      <c r="BV281" s="195"/>
      <c r="BW281" s="195"/>
      <c r="BX281" s="195"/>
      <c r="BY281" s="195"/>
      <c r="BZ281" s="195"/>
      <c r="CA281" s="195"/>
      <c r="CB281" s="195"/>
      <c r="CC281" s="195"/>
      <c r="CD281" s="195"/>
      <c r="CE281" s="195"/>
      <c r="CF281" s="195"/>
      <c r="CG281" s="195"/>
      <c r="CH281" s="195"/>
      <c r="CI281" s="195"/>
      <c r="CJ281" s="195"/>
      <c r="CK281" s="195"/>
      <c r="CL281" s="195"/>
      <c r="CM281" s="195"/>
      <c r="CN281" s="195"/>
      <c r="CO281" s="195"/>
      <c r="CP281" s="195"/>
      <c r="CQ281" s="195"/>
      <c r="CR281" s="195"/>
      <c r="CS281" s="195"/>
      <c r="CT281" s="195"/>
      <c r="CU281" s="195"/>
      <c r="CV281" s="195"/>
      <c r="CW281" s="195"/>
      <c r="CX281" s="195"/>
      <c r="CY281" s="195"/>
      <c r="CZ281" s="195"/>
      <c r="DA281" s="195"/>
      <c r="DB281" s="195"/>
      <c r="DC281" s="195"/>
      <c r="DD281" s="195"/>
      <c r="DE281" s="195"/>
      <c r="DF281" s="195"/>
      <c r="DG281" s="195"/>
      <c r="DH281" s="195"/>
    </row>
    <row r="282" spans="5:112" s="193" customFormat="1">
      <c r="E282" s="32"/>
      <c r="F282" s="32"/>
      <c r="G282" s="29"/>
      <c r="H282" s="25"/>
      <c r="I282" s="25"/>
      <c r="J282" s="25"/>
      <c r="K282" s="25"/>
      <c r="L282" s="29"/>
      <c r="M282" s="29"/>
      <c r="N282" s="28"/>
      <c r="O282" s="30"/>
      <c r="P282" s="30"/>
      <c r="Q282" s="30"/>
      <c r="R282" s="30"/>
      <c r="S282" s="30"/>
      <c r="T282" s="30"/>
      <c r="U282" s="30"/>
      <c r="V282" s="29"/>
      <c r="W282" s="28"/>
      <c r="X282" s="149"/>
      <c r="Y282" s="149"/>
      <c r="Z282" s="150"/>
      <c r="AA282" s="150"/>
      <c r="AB282" s="151"/>
      <c r="AC282" s="150"/>
      <c r="AD282" s="150"/>
      <c r="AE282" s="150"/>
      <c r="AF282" s="150"/>
      <c r="AG282" s="150"/>
      <c r="AH282" s="150"/>
      <c r="AI282" s="195"/>
      <c r="AJ282" s="195"/>
      <c r="AK282" s="195"/>
      <c r="AL282" s="195"/>
      <c r="AM282" s="195"/>
      <c r="AN282" s="195"/>
      <c r="AO282" s="195"/>
      <c r="AP282" s="195"/>
      <c r="AQ282" s="195"/>
      <c r="AR282" s="195"/>
      <c r="AS282" s="195"/>
      <c r="AT282" s="195"/>
      <c r="AU282" s="195"/>
      <c r="AV282" s="195"/>
      <c r="AW282" s="195"/>
      <c r="AX282" s="195"/>
      <c r="AY282" s="195"/>
      <c r="AZ282" s="195"/>
      <c r="BA282" s="195"/>
      <c r="BB282" s="195"/>
      <c r="BC282" s="195"/>
      <c r="BD282" s="195"/>
      <c r="BE282" s="195"/>
      <c r="BF282" s="195"/>
      <c r="BG282" s="195"/>
      <c r="BH282" s="195"/>
      <c r="BI282" s="195"/>
      <c r="BJ282" s="195"/>
      <c r="BK282" s="195"/>
      <c r="BL282" s="195"/>
      <c r="BM282" s="195"/>
      <c r="BN282" s="195"/>
      <c r="BO282" s="195"/>
      <c r="BP282" s="195"/>
      <c r="BQ282" s="195"/>
      <c r="BR282" s="195"/>
      <c r="BS282" s="195"/>
      <c r="BT282" s="195"/>
      <c r="BU282" s="195"/>
      <c r="BV282" s="195"/>
      <c r="BW282" s="195"/>
      <c r="BX282" s="195"/>
      <c r="BY282" s="195"/>
      <c r="BZ282" s="195"/>
      <c r="CA282" s="195"/>
      <c r="CB282" s="195"/>
      <c r="CC282" s="195"/>
      <c r="CD282" s="195"/>
      <c r="CE282" s="195"/>
      <c r="CF282" s="195"/>
      <c r="CG282" s="195"/>
      <c r="CH282" s="195"/>
      <c r="CI282" s="195"/>
      <c r="CJ282" s="195"/>
      <c r="CK282" s="195"/>
      <c r="CL282" s="195"/>
      <c r="CM282" s="195"/>
      <c r="CN282" s="195"/>
      <c r="CO282" s="195"/>
      <c r="CP282" s="195"/>
      <c r="CQ282" s="195"/>
      <c r="CR282" s="195"/>
      <c r="CS282" s="195"/>
      <c r="CT282" s="195"/>
      <c r="CU282" s="195"/>
      <c r="CV282" s="195"/>
      <c r="CW282" s="195"/>
      <c r="CX282" s="195"/>
      <c r="CY282" s="195"/>
      <c r="CZ282" s="195"/>
      <c r="DA282" s="195"/>
      <c r="DB282" s="195"/>
      <c r="DC282" s="195"/>
      <c r="DD282" s="195"/>
      <c r="DE282" s="195"/>
      <c r="DF282" s="195"/>
      <c r="DG282" s="195"/>
      <c r="DH282" s="195"/>
    </row>
    <row r="283" spans="5:112" s="193" customFormat="1">
      <c r="E283" s="32"/>
      <c r="F283" s="32"/>
      <c r="G283" s="29"/>
      <c r="H283" s="25"/>
      <c r="I283" s="25"/>
      <c r="J283" s="25"/>
      <c r="K283" s="25"/>
      <c r="L283" s="29"/>
      <c r="M283" s="29"/>
      <c r="N283" s="28"/>
      <c r="O283" s="30"/>
      <c r="P283" s="30"/>
      <c r="Q283" s="30"/>
      <c r="R283" s="30"/>
      <c r="S283" s="30"/>
      <c r="T283" s="30"/>
      <c r="U283" s="30"/>
      <c r="V283" s="29"/>
      <c r="W283" s="28"/>
      <c r="X283" s="149"/>
      <c r="Y283" s="149"/>
      <c r="Z283" s="150"/>
      <c r="AA283" s="150"/>
      <c r="AB283" s="151"/>
      <c r="AC283" s="150"/>
      <c r="AD283" s="150"/>
      <c r="AE283" s="150"/>
      <c r="AF283" s="150"/>
      <c r="AG283" s="150"/>
      <c r="AH283" s="150"/>
      <c r="AI283" s="195"/>
      <c r="AJ283" s="195"/>
      <c r="AK283" s="195"/>
      <c r="AL283" s="195"/>
      <c r="AM283" s="195"/>
      <c r="AN283" s="195"/>
      <c r="AO283" s="195"/>
      <c r="AP283" s="195"/>
      <c r="AQ283" s="195"/>
      <c r="AR283" s="195"/>
      <c r="AS283" s="195"/>
      <c r="AT283" s="195"/>
      <c r="AU283" s="195"/>
      <c r="AV283" s="195"/>
      <c r="AW283" s="195"/>
      <c r="AX283" s="195"/>
      <c r="AY283" s="195"/>
      <c r="AZ283" s="195"/>
      <c r="BA283" s="195"/>
      <c r="BB283" s="195"/>
      <c r="BC283" s="195"/>
      <c r="BD283" s="195"/>
      <c r="BE283" s="195"/>
      <c r="BF283" s="195"/>
      <c r="BG283" s="195"/>
      <c r="BH283" s="195"/>
      <c r="BI283" s="195"/>
      <c r="BJ283" s="195"/>
      <c r="BK283" s="195"/>
      <c r="BL283" s="195"/>
      <c r="BM283" s="195"/>
      <c r="BN283" s="195"/>
      <c r="BO283" s="195"/>
      <c r="BP283" s="195"/>
      <c r="BQ283" s="195"/>
      <c r="BR283" s="195"/>
      <c r="BS283" s="195"/>
      <c r="BT283" s="195"/>
      <c r="BU283" s="195"/>
      <c r="BV283" s="195"/>
      <c r="BW283" s="195"/>
      <c r="BX283" s="195"/>
      <c r="BY283" s="195"/>
      <c r="BZ283" s="195"/>
      <c r="CA283" s="195"/>
      <c r="CB283" s="195"/>
      <c r="CC283" s="195"/>
      <c r="CD283" s="195"/>
      <c r="CE283" s="195"/>
      <c r="CF283" s="195"/>
      <c r="CG283" s="195"/>
      <c r="CH283" s="195"/>
      <c r="CI283" s="195"/>
      <c r="CJ283" s="195"/>
      <c r="CK283" s="195"/>
      <c r="CL283" s="195"/>
      <c r="CM283" s="195"/>
      <c r="CN283" s="195"/>
      <c r="CO283" s="195"/>
      <c r="CP283" s="195"/>
      <c r="CQ283" s="195"/>
      <c r="CR283" s="195"/>
      <c r="CS283" s="195"/>
      <c r="CT283" s="195"/>
      <c r="CU283" s="195"/>
      <c r="CV283" s="195"/>
      <c r="CW283" s="195"/>
      <c r="CX283" s="195"/>
      <c r="CY283" s="195"/>
      <c r="CZ283" s="195"/>
      <c r="DA283" s="195"/>
      <c r="DB283" s="195"/>
      <c r="DC283" s="195"/>
      <c r="DD283" s="195"/>
      <c r="DE283" s="195"/>
      <c r="DF283" s="195"/>
      <c r="DG283" s="195"/>
      <c r="DH283" s="195"/>
    </row>
    <row r="284" spans="5:112" s="193" customFormat="1">
      <c r="E284" s="32"/>
      <c r="F284" s="32"/>
      <c r="G284" s="29"/>
      <c r="H284" s="25"/>
      <c r="I284" s="25"/>
      <c r="J284" s="25"/>
      <c r="K284" s="25"/>
      <c r="L284" s="29"/>
      <c r="M284" s="29"/>
      <c r="N284" s="28"/>
      <c r="O284" s="30"/>
      <c r="P284" s="30"/>
      <c r="Q284" s="30"/>
      <c r="R284" s="30"/>
      <c r="S284" s="30"/>
      <c r="T284" s="30"/>
      <c r="U284" s="30"/>
      <c r="V284" s="29"/>
      <c r="W284" s="28"/>
      <c r="X284" s="149"/>
      <c r="Y284" s="149"/>
      <c r="Z284" s="150"/>
      <c r="AA284" s="150"/>
      <c r="AB284" s="151"/>
      <c r="AC284" s="150"/>
      <c r="AD284" s="150"/>
      <c r="AE284" s="150"/>
      <c r="AF284" s="150"/>
      <c r="AG284" s="150"/>
      <c r="AH284" s="150"/>
      <c r="AI284" s="195"/>
      <c r="AJ284" s="195"/>
      <c r="AK284" s="195"/>
      <c r="AL284" s="195"/>
      <c r="AM284" s="195"/>
      <c r="AN284" s="195"/>
      <c r="AO284" s="195"/>
      <c r="AP284" s="195"/>
      <c r="AQ284" s="195"/>
      <c r="AR284" s="195"/>
      <c r="AS284" s="195"/>
      <c r="AT284" s="195"/>
      <c r="AU284" s="195"/>
      <c r="AV284" s="195"/>
      <c r="AW284" s="195"/>
      <c r="AX284" s="195"/>
      <c r="AY284" s="195"/>
      <c r="AZ284" s="195"/>
      <c r="BA284" s="195"/>
      <c r="BB284" s="195"/>
      <c r="BC284" s="195"/>
      <c r="BD284" s="195"/>
      <c r="BE284" s="195"/>
      <c r="BF284" s="195"/>
      <c r="BG284" s="195"/>
      <c r="BH284" s="195"/>
      <c r="BI284" s="195"/>
      <c r="BJ284" s="195"/>
      <c r="BK284" s="195"/>
      <c r="BL284" s="195"/>
      <c r="BM284" s="195"/>
      <c r="BN284" s="195"/>
      <c r="BO284" s="195"/>
      <c r="BP284" s="195"/>
      <c r="BQ284" s="195"/>
      <c r="BR284" s="195"/>
      <c r="BS284" s="195"/>
      <c r="BT284" s="195"/>
      <c r="BU284" s="195"/>
      <c r="BV284" s="195"/>
      <c r="BW284" s="195"/>
      <c r="BX284" s="195"/>
      <c r="BY284" s="195"/>
      <c r="BZ284" s="195"/>
      <c r="CA284" s="195"/>
      <c r="CB284" s="195"/>
      <c r="CC284" s="195"/>
      <c r="CD284" s="195"/>
      <c r="CE284" s="195"/>
      <c r="CF284" s="195"/>
      <c r="CG284" s="195"/>
      <c r="CH284" s="195"/>
      <c r="CI284" s="195"/>
      <c r="CJ284" s="195"/>
      <c r="CK284" s="195"/>
      <c r="CL284" s="195"/>
      <c r="CM284" s="195"/>
      <c r="CN284" s="195"/>
      <c r="CO284" s="195"/>
      <c r="CP284" s="195"/>
      <c r="CQ284" s="195"/>
      <c r="CR284" s="195"/>
      <c r="CS284" s="195"/>
      <c r="CT284" s="195"/>
      <c r="CU284" s="195"/>
      <c r="CV284" s="195"/>
      <c r="CW284" s="195"/>
      <c r="CX284" s="195"/>
      <c r="CY284" s="195"/>
      <c r="CZ284" s="195"/>
      <c r="DA284" s="195"/>
      <c r="DB284" s="195"/>
      <c r="DC284" s="195"/>
      <c r="DD284" s="195"/>
      <c r="DE284" s="195"/>
      <c r="DF284" s="195"/>
      <c r="DG284" s="195"/>
      <c r="DH284" s="195"/>
    </row>
    <row r="285" spans="5:112" s="193" customFormat="1">
      <c r="E285" s="32"/>
      <c r="F285" s="32"/>
      <c r="G285" s="29"/>
      <c r="H285" s="25"/>
      <c r="I285" s="25"/>
      <c r="J285" s="25"/>
      <c r="K285" s="25"/>
      <c r="L285" s="29"/>
      <c r="M285" s="29"/>
      <c r="N285" s="28"/>
      <c r="O285" s="30"/>
      <c r="P285" s="30"/>
      <c r="Q285" s="30"/>
      <c r="R285" s="30"/>
      <c r="S285" s="30"/>
      <c r="T285" s="30"/>
      <c r="U285" s="30"/>
      <c r="V285" s="29"/>
      <c r="W285" s="28"/>
      <c r="X285" s="149"/>
      <c r="Y285" s="149"/>
      <c r="Z285" s="150"/>
      <c r="AA285" s="150"/>
      <c r="AB285" s="151"/>
      <c r="AC285" s="150"/>
      <c r="AD285" s="150"/>
      <c r="AE285" s="150"/>
      <c r="AF285" s="150"/>
      <c r="AG285" s="150"/>
      <c r="AH285" s="150"/>
      <c r="AI285" s="195"/>
      <c r="AJ285" s="195"/>
      <c r="AK285" s="195"/>
      <c r="AL285" s="195"/>
      <c r="AM285" s="195"/>
      <c r="AN285" s="195"/>
      <c r="AO285" s="195"/>
      <c r="AP285" s="195"/>
      <c r="AQ285" s="195"/>
      <c r="AR285" s="195"/>
      <c r="AS285" s="195"/>
      <c r="AT285" s="195"/>
      <c r="AU285" s="195"/>
      <c r="AV285" s="195"/>
      <c r="AW285" s="195"/>
      <c r="AX285" s="195"/>
      <c r="AY285" s="195"/>
      <c r="AZ285" s="195"/>
      <c r="BA285" s="195"/>
      <c r="BB285" s="195"/>
      <c r="BC285" s="195"/>
      <c r="BD285" s="195"/>
      <c r="BE285" s="195"/>
      <c r="BF285" s="195"/>
      <c r="BG285" s="195"/>
      <c r="BH285" s="195"/>
      <c r="BI285" s="195"/>
      <c r="BJ285" s="195"/>
      <c r="BK285" s="195"/>
      <c r="BL285" s="195"/>
      <c r="BM285" s="195"/>
      <c r="BN285" s="195"/>
      <c r="BO285" s="195"/>
      <c r="BP285" s="195"/>
      <c r="BQ285" s="195"/>
      <c r="BR285" s="195"/>
      <c r="BS285" s="195"/>
      <c r="BT285" s="195"/>
      <c r="BU285" s="195"/>
      <c r="BV285" s="195"/>
      <c r="BW285" s="195"/>
      <c r="BX285" s="195"/>
      <c r="BY285" s="195"/>
      <c r="BZ285" s="195"/>
      <c r="CA285" s="195"/>
      <c r="CB285" s="195"/>
      <c r="CC285" s="195"/>
      <c r="CD285" s="195"/>
      <c r="CE285" s="195"/>
      <c r="CF285" s="195"/>
      <c r="CG285" s="195"/>
      <c r="CH285" s="195"/>
      <c r="CI285" s="195"/>
      <c r="CJ285" s="195"/>
      <c r="CK285" s="195"/>
      <c r="CL285" s="195"/>
      <c r="CM285" s="195"/>
      <c r="CN285" s="195"/>
      <c r="CO285" s="195"/>
      <c r="CP285" s="195"/>
      <c r="CQ285" s="195"/>
      <c r="CR285" s="195"/>
      <c r="CS285" s="195"/>
      <c r="CT285" s="195"/>
      <c r="CU285" s="195"/>
      <c r="CV285" s="195"/>
      <c r="CW285" s="195"/>
      <c r="CX285" s="195"/>
      <c r="CY285" s="195"/>
      <c r="CZ285" s="195"/>
      <c r="DA285" s="195"/>
      <c r="DB285" s="195"/>
      <c r="DC285" s="195"/>
      <c r="DD285" s="195"/>
      <c r="DE285" s="195"/>
      <c r="DF285" s="195"/>
      <c r="DG285" s="195"/>
      <c r="DH285" s="195"/>
    </row>
    <row r="286" spans="5:112" s="193" customFormat="1">
      <c r="E286" s="32"/>
      <c r="F286" s="32"/>
      <c r="G286" s="29"/>
      <c r="H286" s="25"/>
      <c r="I286" s="25"/>
      <c r="J286" s="25"/>
      <c r="K286" s="25"/>
      <c r="L286" s="29"/>
      <c r="M286" s="29"/>
      <c r="N286" s="28"/>
      <c r="O286" s="30"/>
      <c r="P286" s="30"/>
      <c r="Q286" s="30"/>
      <c r="R286" s="30"/>
      <c r="S286" s="30"/>
      <c r="T286" s="30"/>
      <c r="U286" s="30"/>
      <c r="V286" s="29"/>
      <c r="W286" s="28"/>
      <c r="X286" s="149"/>
      <c r="Y286" s="149"/>
      <c r="Z286" s="150"/>
      <c r="AA286" s="150"/>
      <c r="AB286" s="151"/>
      <c r="AC286" s="150"/>
      <c r="AD286" s="150"/>
      <c r="AE286" s="150"/>
      <c r="AF286" s="150"/>
      <c r="AG286" s="150"/>
      <c r="AH286" s="150"/>
      <c r="AI286" s="195"/>
      <c r="AJ286" s="195"/>
      <c r="AK286" s="195"/>
      <c r="AL286" s="195"/>
      <c r="AM286" s="195"/>
      <c r="AN286" s="195"/>
      <c r="AO286" s="195"/>
      <c r="AP286" s="195"/>
      <c r="AQ286" s="195"/>
      <c r="AR286" s="195"/>
      <c r="AS286" s="195"/>
      <c r="AT286" s="195"/>
      <c r="AU286" s="195"/>
      <c r="AV286" s="195"/>
      <c r="AW286" s="195"/>
      <c r="AX286" s="195"/>
      <c r="AY286" s="195"/>
      <c r="AZ286" s="195"/>
      <c r="BA286" s="195"/>
      <c r="BB286" s="195"/>
      <c r="BC286" s="195"/>
      <c r="BD286" s="195"/>
      <c r="BE286" s="195"/>
      <c r="BF286" s="195"/>
      <c r="BG286" s="195"/>
      <c r="BH286" s="195"/>
      <c r="BI286" s="195"/>
      <c r="BJ286" s="195"/>
      <c r="BK286" s="195"/>
      <c r="BL286" s="195"/>
      <c r="BM286" s="195"/>
      <c r="BN286" s="195"/>
      <c r="BO286" s="195"/>
      <c r="BP286" s="195"/>
      <c r="BQ286" s="195"/>
      <c r="BR286" s="195"/>
      <c r="BS286" s="195"/>
      <c r="BT286" s="195"/>
      <c r="BU286" s="195"/>
      <c r="BV286" s="195"/>
      <c r="BW286" s="195"/>
      <c r="BX286" s="195"/>
      <c r="BY286" s="195"/>
      <c r="BZ286" s="195"/>
      <c r="CA286" s="195"/>
      <c r="CB286" s="195"/>
      <c r="CC286" s="195"/>
      <c r="CD286" s="195"/>
      <c r="CE286" s="195"/>
      <c r="CF286" s="195"/>
      <c r="CG286" s="195"/>
      <c r="CH286" s="195"/>
      <c r="CI286" s="195"/>
      <c r="CJ286" s="195"/>
      <c r="CK286" s="195"/>
      <c r="CL286" s="195"/>
      <c r="CM286" s="195"/>
      <c r="CN286" s="195"/>
      <c r="CO286" s="195"/>
      <c r="CP286" s="195"/>
      <c r="CQ286" s="195"/>
      <c r="CR286" s="195"/>
      <c r="CS286" s="195"/>
      <c r="CT286" s="195"/>
      <c r="CU286" s="195"/>
      <c r="CV286" s="195"/>
      <c r="CW286" s="195"/>
      <c r="CX286" s="195"/>
      <c r="CY286" s="195"/>
      <c r="CZ286" s="195"/>
      <c r="DA286" s="195"/>
      <c r="DB286" s="195"/>
      <c r="DC286" s="195"/>
      <c r="DD286" s="195"/>
      <c r="DE286" s="195"/>
      <c r="DF286" s="195"/>
      <c r="DG286" s="195"/>
      <c r="DH286" s="195"/>
    </row>
    <row r="287" spans="5:112" s="193" customFormat="1">
      <c r="E287" s="32"/>
      <c r="F287" s="32"/>
      <c r="G287" s="29"/>
      <c r="H287" s="25"/>
      <c r="I287" s="25"/>
      <c r="J287" s="25"/>
      <c r="K287" s="25"/>
      <c r="L287" s="29"/>
      <c r="M287" s="29"/>
      <c r="N287" s="28"/>
      <c r="O287" s="30"/>
      <c r="P287" s="30"/>
      <c r="Q287" s="30"/>
      <c r="R287" s="30"/>
      <c r="S287" s="30"/>
      <c r="T287" s="30"/>
      <c r="U287" s="30"/>
      <c r="V287" s="29"/>
      <c r="W287" s="28"/>
      <c r="X287" s="149"/>
      <c r="Y287" s="149"/>
      <c r="Z287" s="150"/>
      <c r="AA287" s="150"/>
      <c r="AB287" s="151"/>
      <c r="AC287" s="150"/>
      <c r="AD287" s="150"/>
      <c r="AE287" s="150"/>
      <c r="AF287" s="150"/>
      <c r="AG287" s="150"/>
      <c r="AH287" s="150"/>
      <c r="AI287" s="195"/>
      <c r="AJ287" s="195"/>
      <c r="AK287" s="195"/>
      <c r="AL287" s="195"/>
      <c r="AM287" s="195"/>
      <c r="AN287" s="195"/>
      <c r="AO287" s="195"/>
      <c r="AP287" s="195"/>
      <c r="AQ287" s="195"/>
      <c r="AR287" s="195"/>
      <c r="AS287" s="195"/>
      <c r="AT287" s="195"/>
      <c r="AU287" s="195"/>
      <c r="AV287" s="195"/>
      <c r="AW287" s="195"/>
      <c r="AX287" s="195"/>
      <c r="AY287" s="195"/>
      <c r="AZ287" s="195"/>
      <c r="BA287" s="195"/>
      <c r="BB287" s="195"/>
      <c r="BC287" s="195"/>
      <c r="BD287" s="195"/>
      <c r="BE287" s="195"/>
      <c r="BF287" s="195"/>
      <c r="BG287" s="195"/>
      <c r="BH287" s="195"/>
      <c r="BI287" s="195"/>
      <c r="BJ287" s="195"/>
      <c r="BK287" s="195"/>
      <c r="BL287" s="195"/>
      <c r="BM287" s="195"/>
      <c r="BN287" s="195"/>
      <c r="BO287" s="195"/>
      <c r="BP287" s="195"/>
      <c r="BQ287" s="195"/>
      <c r="BR287" s="195"/>
      <c r="BS287" s="195"/>
      <c r="BT287" s="195"/>
      <c r="BU287" s="195"/>
      <c r="BV287" s="195"/>
      <c r="BW287" s="195"/>
      <c r="BX287" s="195"/>
      <c r="BY287" s="195"/>
      <c r="BZ287" s="195"/>
      <c r="CA287" s="195"/>
      <c r="CB287" s="195"/>
      <c r="CC287" s="195"/>
      <c r="CD287" s="195"/>
      <c r="CE287" s="195"/>
      <c r="CF287" s="195"/>
      <c r="CG287" s="195"/>
      <c r="CH287" s="195"/>
      <c r="CI287" s="195"/>
      <c r="CJ287" s="195"/>
      <c r="CK287" s="195"/>
      <c r="CL287" s="195"/>
      <c r="CM287" s="195"/>
      <c r="CN287" s="195"/>
      <c r="CO287" s="195"/>
      <c r="CP287" s="195"/>
      <c r="CQ287" s="195"/>
      <c r="CR287" s="195"/>
      <c r="CS287" s="195"/>
      <c r="CT287" s="195"/>
      <c r="CU287" s="195"/>
      <c r="CV287" s="195"/>
      <c r="CW287" s="195"/>
      <c r="CX287" s="195"/>
      <c r="CY287" s="195"/>
      <c r="CZ287" s="195"/>
      <c r="DA287" s="195"/>
      <c r="DB287" s="195"/>
      <c r="DC287" s="195"/>
      <c r="DD287" s="195"/>
      <c r="DE287" s="195"/>
      <c r="DF287" s="195"/>
      <c r="DG287" s="195"/>
      <c r="DH287" s="195"/>
    </row>
    <row r="288" spans="5:112" s="193" customFormat="1">
      <c r="E288" s="32"/>
      <c r="F288" s="32"/>
      <c r="G288" s="29"/>
      <c r="H288" s="25"/>
      <c r="I288" s="25"/>
      <c r="J288" s="25"/>
      <c r="K288" s="25"/>
      <c r="L288" s="29"/>
      <c r="M288" s="29"/>
      <c r="N288" s="28"/>
      <c r="O288" s="30"/>
      <c r="P288" s="30"/>
      <c r="Q288" s="30"/>
      <c r="R288" s="30"/>
      <c r="S288" s="30"/>
      <c r="T288" s="30"/>
      <c r="U288" s="30"/>
      <c r="V288" s="29"/>
      <c r="W288" s="28"/>
      <c r="X288" s="149"/>
      <c r="Y288" s="149"/>
      <c r="Z288" s="150"/>
      <c r="AA288" s="150"/>
      <c r="AB288" s="151"/>
      <c r="AC288" s="150"/>
      <c r="AD288" s="150"/>
      <c r="AE288" s="150"/>
      <c r="AF288" s="150"/>
      <c r="AG288" s="150"/>
      <c r="AH288" s="150"/>
      <c r="AI288" s="195"/>
      <c r="AJ288" s="195"/>
      <c r="AK288" s="195"/>
      <c r="AL288" s="195"/>
      <c r="AM288" s="195"/>
      <c r="AN288" s="195"/>
      <c r="AO288" s="195"/>
      <c r="AP288" s="195"/>
      <c r="AQ288" s="195"/>
      <c r="AR288" s="195"/>
      <c r="AS288" s="195"/>
      <c r="AT288" s="195"/>
      <c r="AU288" s="195"/>
      <c r="AV288" s="195"/>
      <c r="AW288" s="195"/>
      <c r="AX288" s="195"/>
      <c r="AY288" s="195"/>
      <c r="AZ288" s="195"/>
      <c r="BA288" s="195"/>
      <c r="BB288" s="195"/>
      <c r="BC288" s="195"/>
      <c r="BD288" s="195"/>
      <c r="BE288" s="195"/>
      <c r="BF288" s="195"/>
      <c r="BG288" s="195"/>
      <c r="BH288" s="195"/>
      <c r="BI288" s="195"/>
      <c r="BJ288" s="195"/>
      <c r="BK288" s="195"/>
      <c r="BL288" s="195"/>
      <c r="BM288" s="195"/>
      <c r="BN288" s="195"/>
      <c r="BO288" s="195"/>
      <c r="BP288" s="195"/>
      <c r="BQ288" s="195"/>
      <c r="BR288" s="195"/>
      <c r="BS288" s="195"/>
      <c r="BT288" s="195"/>
      <c r="BU288" s="195"/>
      <c r="BV288" s="195"/>
      <c r="BW288" s="195"/>
      <c r="BX288" s="195"/>
      <c r="BY288" s="195"/>
      <c r="BZ288" s="195"/>
      <c r="CA288" s="195"/>
      <c r="CB288" s="195"/>
      <c r="CC288" s="195"/>
      <c r="CD288" s="195"/>
      <c r="CE288" s="195"/>
      <c r="CF288" s="195"/>
      <c r="CG288" s="195"/>
      <c r="CH288" s="195"/>
      <c r="CI288" s="195"/>
      <c r="CJ288" s="195"/>
      <c r="CK288" s="195"/>
      <c r="CL288" s="195"/>
      <c r="CM288" s="195"/>
      <c r="CN288" s="195"/>
      <c r="CO288" s="195"/>
      <c r="CP288" s="195"/>
      <c r="CQ288" s="195"/>
      <c r="CR288" s="195"/>
      <c r="CS288" s="195"/>
      <c r="CT288" s="195"/>
      <c r="CU288" s="195"/>
      <c r="CV288" s="195"/>
      <c r="CW288" s="195"/>
      <c r="CX288" s="195"/>
      <c r="CY288" s="195"/>
      <c r="CZ288" s="195"/>
      <c r="DA288" s="195"/>
      <c r="DB288" s="195"/>
      <c r="DC288" s="195"/>
      <c r="DD288" s="195"/>
      <c r="DE288" s="195"/>
      <c r="DF288" s="195"/>
      <c r="DG288" s="195"/>
      <c r="DH288" s="195"/>
    </row>
    <row r="289" spans="5:112" s="193" customFormat="1">
      <c r="E289" s="32"/>
      <c r="F289" s="32"/>
      <c r="G289" s="29"/>
      <c r="H289" s="25"/>
      <c r="I289" s="25"/>
      <c r="J289" s="25"/>
      <c r="K289" s="25"/>
      <c r="L289" s="29"/>
      <c r="M289" s="29"/>
      <c r="N289" s="28"/>
      <c r="O289" s="30"/>
      <c r="P289" s="30"/>
      <c r="Q289" s="30"/>
      <c r="R289" s="30"/>
      <c r="S289" s="30"/>
      <c r="T289" s="30"/>
      <c r="U289" s="30"/>
      <c r="V289" s="29"/>
      <c r="W289" s="28"/>
      <c r="X289" s="149"/>
      <c r="Y289" s="149"/>
      <c r="Z289" s="150"/>
      <c r="AA289" s="150"/>
      <c r="AB289" s="151"/>
      <c r="AC289" s="150"/>
      <c r="AD289" s="150"/>
      <c r="AE289" s="150"/>
      <c r="AF289" s="150"/>
      <c r="AG289" s="150"/>
      <c r="AH289" s="150"/>
      <c r="AI289" s="195"/>
      <c r="AJ289" s="195"/>
      <c r="AK289" s="195"/>
      <c r="AL289" s="195"/>
      <c r="AM289" s="195"/>
      <c r="AN289" s="195"/>
      <c r="AO289" s="195"/>
      <c r="AP289" s="195"/>
      <c r="AQ289" s="195"/>
      <c r="AR289" s="195"/>
      <c r="AS289" s="195"/>
      <c r="AT289" s="195"/>
      <c r="AU289" s="195"/>
      <c r="AV289" s="195"/>
      <c r="AW289" s="195"/>
      <c r="AX289" s="195"/>
      <c r="AY289" s="195"/>
      <c r="AZ289" s="195"/>
      <c r="BA289" s="195"/>
      <c r="BB289" s="195"/>
      <c r="BC289" s="195"/>
      <c r="BD289" s="195"/>
      <c r="BE289" s="195"/>
      <c r="BF289" s="195"/>
      <c r="BG289" s="195"/>
      <c r="BH289" s="195"/>
      <c r="BI289" s="195"/>
      <c r="BJ289" s="195"/>
      <c r="BK289" s="195"/>
      <c r="BL289" s="195"/>
      <c r="BM289" s="195"/>
      <c r="BN289" s="195"/>
      <c r="BO289" s="195"/>
      <c r="BP289" s="195"/>
      <c r="BQ289" s="195"/>
      <c r="BR289" s="195"/>
      <c r="BS289" s="195"/>
      <c r="BT289" s="195"/>
      <c r="BU289" s="195"/>
      <c r="BV289" s="195"/>
      <c r="BW289" s="195"/>
      <c r="BX289" s="195"/>
      <c r="BY289" s="195"/>
      <c r="BZ289" s="195"/>
      <c r="CA289" s="195"/>
      <c r="CB289" s="195"/>
      <c r="CC289" s="195"/>
      <c r="CD289" s="195"/>
      <c r="CE289" s="195"/>
      <c r="CF289" s="195"/>
      <c r="CG289" s="195"/>
      <c r="CH289" s="195"/>
      <c r="CI289" s="195"/>
      <c r="CJ289" s="195"/>
      <c r="CK289" s="195"/>
      <c r="CL289" s="195"/>
      <c r="CM289" s="195"/>
      <c r="CN289" s="195"/>
      <c r="CO289" s="195"/>
      <c r="CP289" s="195"/>
      <c r="CQ289" s="195"/>
      <c r="CR289" s="195"/>
      <c r="CS289" s="195"/>
      <c r="CT289" s="195"/>
      <c r="CU289" s="195"/>
      <c r="CV289" s="195"/>
      <c r="CW289" s="195"/>
      <c r="CX289" s="195"/>
      <c r="CY289" s="195"/>
      <c r="CZ289" s="195"/>
      <c r="DA289" s="195"/>
      <c r="DB289" s="195"/>
      <c r="DC289" s="195"/>
      <c r="DD289" s="195"/>
      <c r="DE289" s="195"/>
      <c r="DF289" s="195"/>
      <c r="DG289" s="195"/>
      <c r="DH289" s="195"/>
    </row>
    <row r="290" spans="5:112" s="193" customFormat="1">
      <c r="E290" s="32"/>
      <c r="F290" s="32"/>
      <c r="G290" s="29"/>
      <c r="H290" s="25"/>
      <c r="I290" s="25"/>
      <c r="J290" s="25"/>
      <c r="K290" s="25"/>
      <c r="L290" s="29"/>
      <c r="M290" s="29"/>
      <c r="N290" s="28"/>
      <c r="O290" s="30"/>
      <c r="P290" s="30"/>
      <c r="Q290" s="30"/>
      <c r="R290" s="30"/>
      <c r="S290" s="30"/>
      <c r="T290" s="30"/>
      <c r="U290" s="30"/>
      <c r="V290" s="29"/>
      <c r="W290" s="28"/>
      <c r="X290" s="149"/>
      <c r="Y290" s="149"/>
      <c r="Z290" s="150"/>
      <c r="AA290" s="150"/>
      <c r="AB290" s="151"/>
      <c r="AC290" s="150"/>
      <c r="AD290" s="150"/>
      <c r="AE290" s="150"/>
      <c r="AF290" s="150"/>
      <c r="AG290" s="150"/>
      <c r="AH290" s="150"/>
      <c r="AI290" s="195"/>
      <c r="AJ290" s="195"/>
      <c r="AK290" s="195"/>
      <c r="AL290" s="195"/>
      <c r="AM290" s="195"/>
      <c r="AN290" s="195"/>
      <c r="AO290" s="195"/>
      <c r="AP290" s="195"/>
      <c r="AQ290" s="195"/>
      <c r="AR290" s="195"/>
      <c r="AS290" s="195"/>
      <c r="AT290" s="195"/>
      <c r="AU290" s="195"/>
      <c r="AV290" s="195"/>
      <c r="AW290" s="195"/>
      <c r="AX290" s="195"/>
      <c r="AY290" s="195"/>
      <c r="AZ290" s="195"/>
      <c r="BA290" s="195"/>
      <c r="BB290" s="195"/>
      <c r="BC290" s="195"/>
      <c r="BD290" s="195"/>
      <c r="BE290" s="195"/>
      <c r="BF290" s="195"/>
      <c r="BG290" s="195"/>
      <c r="BH290" s="195"/>
      <c r="BI290" s="195"/>
      <c r="BJ290" s="195"/>
      <c r="BK290" s="195"/>
      <c r="BL290" s="195"/>
      <c r="BM290" s="195"/>
      <c r="BN290" s="195"/>
      <c r="BO290" s="195"/>
      <c r="BP290" s="195"/>
      <c r="BQ290" s="195"/>
      <c r="BR290" s="195"/>
      <c r="BS290" s="195"/>
      <c r="BT290" s="195"/>
      <c r="BU290" s="195"/>
      <c r="BV290" s="195"/>
      <c r="BW290" s="195"/>
      <c r="BX290" s="195"/>
      <c r="BY290" s="195"/>
      <c r="BZ290" s="195"/>
      <c r="CA290" s="195"/>
      <c r="CB290" s="195"/>
      <c r="CC290" s="195"/>
      <c r="CD290" s="195"/>
      <c r="CE290" s="195"/>
      <c r="CF290" s="195"/>
      <c r="CG290" s="195"/>
      <c r="CH290" s="195"/>
      <c r="CI290" s="195"/>
      <c r="CJ290" s="195"/>
      <c r="CK290" s="195"/>
      <c r="CL290" s="195"/>
      <c r="CM290" s="195"/>
      <c r="CN290" s="195"/>
      <c r="CO290" s="195"/>
      <c r="CP290" s="195"/>
      <c r="CQ290" s="195"/>
      <c r="CR290" s="195"/>
      <c r="CS290" s="195"/>
      <c r="CT290" s="195"/>
      <c r="CU290" s="195"/>
      <c r="CV290" s="195"/>
      <c r="CW290" s="195"/>
      <c r="CX290" s="195"/>
      <c r="CY290" s="195"/>
      <c r="CZ290" s="195"/>
      <c r="DA290" s="195"/>
      <c r="DB290" s="195"/>
      <c r="DC290" s="195"/>
      <c r="DD290" s="195"/>
      <c r="DE290" s="195"/>
      <c r="DF290" s="195"/>
      <c r="DG290" s="195"/>
      <c r="DH290" s="195"/>
    </row>
    <row r="291" spans="5:112" s="193" customFormat="1">
      <c r="E291" s="32"/>
      <c r="F291" s="32"/>
      <c r="G291" s="29"/>
      <c r="H291" s="25"/>
      <c r="I291" s="25"/>
      <c r="J291" s="25"/>
      <c r="K291" s="25"/>
      <c r="L291" s="29"/>
      <c r="M291" s="29"/>
      <c r="N291" s="28"/>
      <c r="O291" s="30"/>
      <c r="P291" s="30"/>
      <c r="Q291" s="30"/>
      <c r="R291" s="30"/>
      <c r="S291" s="30"/>
      <c r="T291" s="30"/>
      <c r="U291" s="30"/>
      <c r="V291" s="29"/>
      <c r="W291" s="28"/>
      <c r="X291" s="149"/>
      <c r="Y291" s="149"/>
      <c r="Z291" s="150"/>
      <c r="AA291" s="150"/>
      <c r="AB291" s="151"/>
      <c r="AC291" s="150"/>
      <c r="AD291" s="150"/>
      <c r="AE291" s="150"/>
      <c r="AF291" s="150"/>
      <c r="AG291" s="150"/>
      <c r="AH291" s="150"/>
      <c r="AI291" s="195"/>
      <c r="AJ291" s="195"/>
      <c r="AK291" s="195"/>
      <c r="AL291" s="195"/>
      <c r="AM291" s="195"/>
      <c r="AN291" s="195"/>
      <c r="AO291" s="195"/>
      <c r="AP291" s="195"/>
      <c r="AQ291" s="195"/>
      <c r="AR291" s="195"/>
      <c r="AS291" s="195"/>
      <c r="AT291" s="195"/>
      <c r="AU291" s="195"/>
      <c r="AV291" s="195"/>
      <c r="AW291" s="195"/>
      <c r="AX291" s="195"/>
      <c r="AY291" s="195"/>
      <c r="AZ291" s="195"/>
      <c r="BA291" s="195"/>
      <c r="BB291" s="195"/>
      <c r="BC291" s="195"/>
      <c r="BD291" s="195"/>
      <c r="BE291" s="195"/>
      <c r="BF291" s="195"/>
      <c r="BG291" s="195"/>
      <c r="BH291" s="195"/>
      <c r="BI291" s="195"/>
      <c r="BJ291" s="195"/>
      <c r="BK291" s="195"/>
      <c r="BL291" s="195"/>
      <c r="BM291" s="195"/>
      <c r="BN291" s="195"/>
      <c r="BO291" s="195"/>
      <c r="BP291" s="195"/>
      <c r="BQ291" s="195"/>
      <c r="BR291" s="195"/>
      <c r="BS291" s="195"/>
      <c r="BT291" s="195"/>
      <c r="BU291" s="195"/>
      <c r="BV291" s="195"/>
      <c r="BW291" s="195"/>
      <c r="BX291" s="195"/>
      <c r="BY291" s="195"/>
      <c r="BZ291" s="195"/>
      <c r="CA291" s="195"/>
      <c r="CB291" s="195"/>
      <c r="CC291" s="195"/>
      <c r="CD291" s="195"/>
      <c r="CE291" s="195"/>
      <c r="CF291" s="195"/>
      <c r="CG291" s="195"/>
      <c r="CH291" s="195"/>
      <c r="CI291" s="195"/>
      <c r="CJ291" s="195"/>
      <c r="CK291" s="195"/>
      <c r="CL291" s="195"/>
      <c r="CM291" s="195"/>
      <c r="CN291" s="195"/>
      <c r="CO291" s="195"/>
      <c r="CP291" s="195"/>
      <c r="CQ291" s="195"/>
      <c r="CR291" s="195"/>
      <c r="CS291" s="195"/>
      <c r="CT291" s="195"/>
      <c r="CU291" s="195"/>
      <c r="CV291" s="195"/>
      <c r="CW291" s="195"/>
      <c r="CX291" s="195"/>
      <c r="CY291" s="195"/>
      <c r="CZ291" s="195"/>
      <c r="DA291" s="195"/>
      <c r="DB291" s="195"/>
      <c r="DC291" s="195"/>
      <c r="DD291" s="195"/>
      <c r="DE291" s="195"/>
      <c r="DF291" s="195"/>
      <c r="DG291" s="195"/>
      <c r="DH291" s="195"/>
    </row>
    <row r="292" spans="5:112" s="193" customFormat="1">
      <c r="E292" s="32"/>
      <c r="F292" s="32"/>
      <c r="G292" s="29"/>
      <c r="H292" s="25"/>
      <c r="I292" s="25"/>
      <c r="J292" s="25"/>
      <c r="K292" s="25"/>
      <c r="L292" s="29"/>
      <c r="M292" s="29"/>
      <c r="N292" s="28"/>
      <c r="O292" s="30"/>
      <c r="P292" s="30"/>
      <c r="Q292" s="30"/>
      <c r="R292" s="30"/>
      <c r="S292" s="30"/>
      <c r="T292" s="30"/>
      <c r="U292" s="30"/>
      <c r="V292" s="29"/>
      <c r="W292" s="28"/>
      <c r="X292" s="149"/>
      <c r="Y292" s="149"/>
      <c r="Z292" s="150"/>
      <c r="AA292" s="150"/>
      <c r="AB292" s="151"/>
      <c r="AC292" s="150"/>
      <c r="AD292" s="150"/>
      <c r="AE292" s="150"/>
      <c r="AF292" s="150"/>
      <c r="AG292" s="150"/>
      <c r="AH292" s="150"/>
      <c r="AI292" s="195"/>
      <c r="AJ292" s="195"/>
      <c r="AK292" s="195"/>
      <c r="AL292" s="195"/>
      <c r="AM292" s="195"/>
      <c r="AN292" s="195"/>
      <c r="AO292" s="195"/>
      <c r="AP292" s="195"/>
      <c r="AQ292" s="195"/>
      <c r="AR292" s="195"/>
      <c r="AS292" s="195"/>
      <c r="AT292" s="195"/>
      <c r="AU292" s="195"/>
      <c r="AV292" s="195"/>
      <c r="AW292" s="195"/>
      <c r="AX292" s="195"/>
      <c r="AY292" s="195"/>
      <c r="AZ292" s="195"/>
      <c r="BA292" s="195"/>
      <c r="BB292" s="195"/>
      <c r="BC292" s="195"/>
      <c r="BD292" s="195"/>
      <c r="BE292" s="195"/>
      <c r="BF292" s="195"/>
      <c r="BG292" s="195"/>
      <c r="BH292" s="195"/>
      <c r="BI292" s="195"/>
      <c r="BJ292" s="195"/>
      <c r="BK292" s="195"/>
      <c r="BL292" s="195"/>
      <c r="BM292" s="195"/>
      <c r="BN292" s="195"/>
      <c r="BO292" s="195"/>
      <c r="BP292" s="195"/>
      <c r="BQ292" s="195"/>
      <c r="BR292" s="195"/>
      <c r="BS292" s="195"/>
      <c r="BT292" s="195"/>
      <c r="BU292" s="195"/>
      <c r="BV292" s="195"/>
      <c r="BW292" s="195"/>
      <c r="BX292" s="195"/>
      <c r="BY292" s="195"/>
      <c r="BZ292" s="195"/>
      <c r="CA292" s="195"/>
      <c r="CB292" s="195"/>
      <c r="CC292" s="195"/>
      <c r="CD292" s="195"/>
      <c r="CE292" s="195"/>
      <c r="CF292" s="195"/>
      <c r="CG292" s="195"/>
      <c r="CH292" s="195"/>
      <c r="CI292" s="195"/>
      <c r="CJ292" s="195"/>
      <c r="CK292" s="195"/>
      <c r="CL292" s="195"/>
      <c r="CM292" s="195"/>
      <c r="CN292" s="195"/>
      <c r="CO292" s="195"/>
      <c r="CP292" s="195"/>
      <c r="CQ292" s="195"/>
      <c r="CR292" s="195"/>
      <c r="CS292" s="195"/>
      <c r="CT292" s="195"/>
      <c r="CU292" s="195"/>
      <c r="CV292" s="195"/>
      <c r="CW292" s="195"/>
      <c r="CX292" s="195"/>
      <c r="CY292" s="195"/>
      <c r="CZ292" s="195"/>
      <c r="DA292" s="195"/>
      <c r="DB292" s="195"/>
      <c r="DC292" s="195"/>
      <c r="DD292" s="195"/>
      <c r="DE292" s="195"/>
      <c r="DF292" s="195"/>
      <c r="DG292" s="195"/>
      <c r="DH292" s="195"/>
    </row>
    <row r="293" spans="5:112" s="193" customFormat="1">
      <c r="E293" s="32"/>
      <c r="F293" s="32"/>
      <c r="G293" s="29"/>
      <c r="H293" s="25"/>
      <c r="I293" s="25"/>
      <c r="J293" s="25"/>
      <c r="K293" s="25"/>
      <c r="L293" s="29"/>
      <c r="M293" s="29"/>
      <c r="N293" s="28"/>
      <c r="O293" s="30"/>
      <c r="P293" s="30"/>
      <c r="Q293" s="30"/>
      <c r="R293" s="30"/>
      <c r="S293" s="30"/>
      <c r="T293" s="30"/>
      <c r="U293" s="30"/>
      <c r="V293" s="29"/>
      <c r="W293" s="28"/>
      <c r="X293" s="149"/>
      <c r="Y293" s="149"/>
      <c r="Z293" s="150"/>
      <c r="AA293" s="150"/>
      <c r="AB293" s="151"/>
      <c r="AC293" s="150"/>
      <c r="AD293" s="150"/>
      <c r="AE293" s="150"/>
      <c r="AF293" s="150"/>
      <c r="AG293" s="150"/>
      <c r="AH293" s="150"/>
      <c r="AI293" s="195"/>
      <c r="AJ293" s="195"/>
      <c r="AK293" s="195"/>
      <c r="AL293" s="195"/>
      <c r="AM293" s="195"/>
      <c r="AN293" s="195"/>
      <c r="AO293" s="195"/>
      <c r="AP293" s="195"/>
      <c r="AQ293" s="195"/>
      <c r="AR293" s="195"/>
      <c r="AS293" s="195"/>
      <c r="AT293" s="195"/>
      <c r="AU293" s="195"/>
      <c r="AV293" s="195"/>
      <c r="AW293" s="195"/>
      <c r="AX293" s="195"/>
      <c r="AY293" s="195"/>
      <c r="AZ293" s="195"/>
      <c r="BA293" s="195"/>
      <c r="BB293" s="195"/>
      <c r="BC293" s="195"/>
      <c r="BD293" s="195"/>
      <c r="BE293" s="195"/>
      <c r="BF293" s="195"/>
      <c r="BG293" s="195"/>
      <c r="BH293" s="195"/>
      <c r="BI293" s="195"/>
      <c r="BJ293" s="195"/>
      <c r="BK293" s="195"/>
      <c r="BL293" s="195"/>
      <c r="BM293" s="195"/>
      <c r="BN293" s="195"/>
      <c r="BO293" s="195"/>
      <c r="BP293" s="195"/>
      <c r="BQ293" s="195"/>
      <c r="BR293" s="195"/>
      <c r="BS293" s="195"/>
      <c r="BT293" s="195"/>
      <c r="BU293" s="195"/>
      <c r="BV293" s="195"/>
      <c r="BW293" s="195"/>
      <c r="BX293" s="195"/>
      <c r="BY293" s="195"/>
      <c r="BZ293" s="195"/>
      <c r="CA293" s="195"/>
      <c r="CB293" s="195"/>
      <c r="CC293" s="195"/>
      <c r="CD293" s="195"/>
      <c r="CE293" s="195"/>
      <c r="CF293" s="195"/>
      <c r="CG293" s="195"/>
      <c r="CH293" s="195"/>
      <c r="CI293" s="195"/>
      <c r="CJ293" s="195"/>
      <c r="CK293" s="195"/>
      <c r="CL293" s="195"/>
      <c r="CM293" s="195"/>
      <c r="CN293" s="195"/>
      <c r="CO293" s="195"/>
      <c r="CP293" s="195"/>
      <c r="CQ293" s="195"/>
      <c r="CR293" s="195"/>
      <c r="CS293" s="195"/>
      <c r="CT293" s="195"/>
      <c r="CU293" s="195"/>
      <c r="CV293" s="195"/>
      <c r="CW293" s="195"/>
      <c r="CX293" s="195"/>
      <c r="CY293" s="195"/>
      <c r="CZ293" s="195"/>
      <c r="DA293" s="195"/>
      <c r="DB293" s="195"/>
      <c r="DC293" s="195"/>
      <c r="DD293" s="195"/>
      <c r="DE293" s="195"/>
      <c r="DF293" s="195"/>
      <c r="DG293" s="195"/>
      <c r="DH293" s="195"/>
    </row>
    <row r="294" spans="5:112" s="193" customFormat="1">
      <c r="E294" s="32"/>
      <c r="F294" s="32"/>
      <c r="G294" s="29"/>
      <c r="H294" s="25"/>
      <c r="I294" s="25"/>
      <c r="J294" s="25"/>
      <c r="K294" s="25"/>
      <c r="L294" s="29"/>
      <c r="M294" s="29"/>
      <c r="N294" s="28"/>
      <c r="O294" s="30"/>
      <c r="P294" s="30"/>
      <c r="Q294" s="30"/>
      <c r="R294" s="30"/>
      <c r="S294" s="30"/>
      <c r="T294" s="30"/>
      <c r="U294" s="30"/>
      <c r="V294" s="29"/>
      <c r="W294" s="28"/>
      <c r="X294" s="149"/>
      <c r="Y294" s="149"/>
      <c r="Z294" s="150"/>
      <c r="AA294" s="150"/>
      <c r="AB294" s="151"/>
      <c r="AC294" s="150"/>
      <c r="AD294" s="150"/>
      <c r="AE294" s="150"/>
      <c r="AF294" s="150"/>
      <c r="AG294" s="150"/>
      <c r="AH294" s="150"/>
      <c r="AI294" s="195"/>
      <c r="AJ294" s="195"/>
      <c r="AK294" s="195"/>
      <c r="AL294" s="195"/>
      <c r="AM294" s="195"/>
      <c r="AN294" s="195"/>
      <c r="AO294" s="195"/>
      <c r="AP294" s="195"/>
      <c r="AQ294" s="195"/>
      <c r="AR294" s="195"/>
      <c r="AS294" s="195"/>
      <c r="AT294" s="195"/>
      <c r="AU294" s="195"/>
      <c r="AV294" s="195"/>
      <c r="AW294" s="195"/>
      <c r="AX294" s="195"/>
      <c r="AY294" s="195"/>
      <c r="AZ294" s="195"/>
      <c r="BA294" s="195"/>
      <c r="BB294" s="195"/>
      <c r="BC294" s="195"/>
      <c r="BD294" s="195"/>
      <c r="BE294" s="195"/>
      <c r="BF294" s="195"/>
      <c r="BG294" s="195"/>
      <c r="BH294" s="195"/>
      <c r="BI294" s="195"/>
      <c r="BJ294" s="195"/>
      <c r="BK294" s="195"/>
      <c r="BL294" s="195"/>
      <c r="BM294" s="195"/>
      <c r="BN294" s="195"/>
      <c r="BO294" s="195"/>
      <c r="BP294" s="195"/>
      <c r="BQ294" s="195"/>
      <c r="BR294" s="195"/>
      <c r="BS294" s="195"/>
      <c r="BT294" s="195"/>
      <c r="BU294" s="195"/>
      <c r="BV294" s="195"/>
      <c r="BW294" s="195"/>
      <c r="BX294" s="195"/>
      <c r="BY294" s="195"/>
      <c r="BZ294" s="195"/>
      <c r="CA294" s="195"/>
      <c r="CB294" s="195"/>
      <c r="CC294" s="195"/>
      <c r="CD294" s="195"/>
      <c r="CE294" s="195"/>
      <c r="CF294" s="195"/>
      <c r="CG294" s="195"/>
      <c r="CH294" s="195"/>
      <c r="CI294" s="195"/>
      <c r="CJ294" s="195"/>
      <c r="CK294" s="195"/>
      <c r="CL294" s="195"/>
      <c r="CM294" s="195"/>
      <c r="CN294" s="195"/>
      <c r="CO294" s="195"/>
      <c r="CP294" s="195"/>
      <c r="CQ294" s="195"/>
      <c r="CR294" s="195"/>
      <c r="CS294" s="195"/>
      <c r="CT294" s="195"/>
      <c r="CU294" s="195"/>
      <c r="CV294" s="195"/>
      <c r="CW294" s="195"/>
      <c r="CX294" s="195"/>
      <c r="CY294" s="195"/>
      <c r="CZ294" s="195"/>
      <c r="DA294" s="195"/>
      <c r="DB294" s="195"/>
      <c r="DC294" s="195"/>
      <c r="DD294" s="195"/>
      <c r="DE294" s="195"/>
      <c r="DF294" s="195"/>
      <c r="DG294" s="195"/>
      <c r="DH294" s="195"/>
    </row>
    <row r="295" spans="5:112" s="193" customFormat="1">
      <c r="E295" s="32"/>
      <c r="F295" s="32"/>
      <c r="G295" s="29"/>
      <c r="H295" s="25"/>
      <c r="I295" s="25"/>
      <c r="J295" s="25"/>
      <c r="K295" s="25"/>
      <c r="L295" s="29"/>
      <c r="M295" s="29"/>
      <c r="N295" s="28"/>
      <c r="O295" s="30"/>
      <c r="P295" s="30"/>
      <c r="Q295" s="30"/>
      <c r="R295" s="30"/>
      <c r="S295" s="30"/>
      <c r="T295" s="30"/>
      <c r="U295" s="30"/>
      <c r="V295" s="29"/>
      <c r="W295" s="28"/>
      <c r="X295" s="149"/>
      <c r="Y295" s="149"/>
      <c r="Z295" s="150"/>
      <c r="AA295" s="150"/>
      <c r="AB295" s="151"/>
      <c r="AC295" s="150"/>
      <c r="AD295" s="150"/>
      <c r="AE295" s="150"/>
      <c r="AF295" s="150"/>
      <c r="AG295" s="150"/>
      <c r="AH295" s="150"/>
      <c r="AI295" s="195"/>
      <c r="AJ295" s="195"/>
      <c r="AK295" s="195"/>
      <c r="AL295" s="195"/>
      <c r="AM295" s="195"/>
      <c r="AN295" s="195"/>
      <c r="AO295" s="195"/>
      <c r="AP295" s="195"/>
      <c r="AQ295" s="195"/>
      <c r="AR295" s="195"/>
      <c r="AS295" s="195"/>
      <c r="AT295" s="195"/>
      <c r="AU295" s="195"/>
      <c r="AV295" s="195"/>
      <c r="AW295" s="195"/>
      <c r="AX295" s="195"/>
      <c r="AY295" s="195"/>
      <c r="AZ295" s="195"/>
      <c r="BA295" s="195"/>
      <c r="BB295" s="195"/>
      <c r="BC295" s="195"/>
      <c r="BD295" s="195"/>
      <c r="BE295" s="195"/>
      <c r="BF295" s="195"/>
      <c r="BG295" s="195"/>
      <c r="BH295" s="195"/>
      <c r="BI295" s="195"/>
      <c r="BJ295" s="195"/>
      <c r="BK295" s="195"/>
      <c r="BL295" s="195"/>
      <c r="BM295" s="195"/>
      <c r="BN295" s="195"/>
      <c r="BO295" s="195"/>
      <c r="BP295" s="195"/>
      <c r="BQ295" s="195"/>
      <c r="BR295" s="195"/>
      <c r="BS295" s="195"/>
      <c r="BT295" s="195"/>
      <c r="BU295" s="195"/>
      <c r="BV295" s="195"/>
      <c r="BW295" s="195"/>
      <c r="BX295" s="195"/>
      <c r="BY295" s="195"/>
      <c r="BZ295" s="195"/>
      <c r="CA295" s="195"/>
      <c r="CB295" s="195"/>
      <c r="CC295" s="195"/>
      <c r="CD295" s="195"/>
      <c r="CE295" s="195"/>
      <c r="CF295" s="195"/>
      <c r="CG295" s="195"/>
      <c r="CH295" s="195"/>
      <c r="CI295" s="195"/>
      <c r="CJ295" s="195"/>
      <c r="CK295" s="195"/>
      <c r="CL295" s="195"/>
      <c r="CM295" s="195"/>
      <c r="CN295" s="195"/>
      <c r="CO295" s="195"/>
      <c r="CP295" s="195"/>
      <c r="CQ295" s="195"/>
      <c r="CR295" s="195"/>
      <c r="CS295" s="195"/>
      <c r="CT295" s="195"/>
      <c r="CU295" s="195"/>
      <c r="CV295" s="195"/>
      <c r="CW295" s="195"/>
      <c r="CX295" s="195"/>
      <c r="CY295" s="195"/>
      <c r="CZ295" s="195"/>
      <c r="DA295" s="195"/>
      <c r="DB295" s="195"/>
      <c r="DC295" s="195"/>
      <c r="DD295" s="195"/>
      <c r="DE295" s="195"/>
      <c r="DF295" s="195"/>
      <c r="DG295" s="195"/>
      <c r="DH295" s="195"/>
    </row>
    <row r="296" spans="5:112" s="193" customFormat="1">
      <c r="E296" s="32"/>
      <c r="F296" s="32"/>
      <c r="G296" s="29"/>
      <c r="H296" s="25"/>
      <c r="I296" s="25"/>
      <c r="J296" s="25"/>
      <c r="K296" s="25"/>
      <c r="L296" s="29"/>
      <c r="M296" s="29"/>
      <c r="N296" s="28"/>
      <c r="O296" s="30"/>
      <c r="P296" s="30"/>
      <c r="Q296" s="30"/>
      <c r="R296" s="30"/>
      <c r="S296" s="30"/>
      <c r="T296" s="30"/>
      <c r="U296" s="30"/>
      <c r="V296" s="29"/>
      <c r="W296" s="28"/>
      <c r="X296" s="149"/>
      <c r="Y296" s="149"/>
      <c r="Z296" s="150"/>
      <c r="AA296" s="150"/>
      <c r="AB296" s="151"/>
      <c r="AC296" s="150"/>
      <c r="AD296" s="150"/>
      <c r="AE296" s="150"/>
      <c r="AF296" s="150"/>
      <c r="AG296" s="150"/>
      <c r="AH296" s="150"/>
      <c r="AI296" s="195"/>
      <c r="AJ296" s="195"/>
      <c r="AK296" s="195"/>
      <c r="AL296" s="195"/>
      <c r="AM296" s="195"/>
      <c r="AN296" s="195"/>
      <c r="AO296" s="195"/>
      <c r="AP296" s="195"/>
      <c r="AQ296" s="195"/>
      <c r="AR296" s="195"/>
      <c r="AS296" s="195"/>
      <c r="AT296" s="195"/>
      <c r="AU296" s="195"/>
      <c r="AV296" s="195"/>
      <c r="AW296" s="195"/>
      <c r="AX296" s="195"/>
      <c r="AY296" s="195"/>
      <c r="AZ296" s="195"/>
      <c r="BA296" s="195"/>
      <c r="BB296" s="195"/>
      <c r="BC296" s="195"/>
      <c r="BD296" s="195"/>
      <c r="BE296" s="195"/>
      <c r="BF296" s="195"/>
      <c r="BG296" s="195"/>
      <c r="BH296" s="195"/>
      <c r="BI296" s="195"/>
      <c r="BJ296" s="195"/>
      <c r="BK296" s="195"/>
      <c r="BL296" s="195"/>
      <c r="BM296" s="195"/>
      <c r="BN296" s="195"/>
      <c r="BO296" s="195"/>
      <c r="BP296" s="195"/>
      <c r="BQ296" s="195"/>
      <c r="BR296" s="195"/>
      <c r="BS296" s="195"/>
      <c r="BT296" s="195"/>
      <c r="BU296" s="195"/>
      <c r="BV296" s="195"/>
      <c r="BW296" s="195"/>
      <c r="BX296" s="195"/>
      <c r="BY296" s="195"/>
      <c r="BZ296" s="195"/>
      <c r="CA296" s="195"/>
      <c r="CB296" s="195"/>
      <c r="CC296" s="195"/>
      <c r="CD296" s="195"/>
      <c r="CE296" s="195"/>
      <c r="CF296" s="195"/>
      <c r="CG296" s="195"/>
      <c r="CH296" s="195"/>
      <c r="CI296" s="195"/>
      <c r="CJ296" s="195"/>
      <c r="CK296" s="195"/>
      <c r="CL296" s="195"/>
      <c r="CM296" s="195"/>
      <c r="CN296" s="195"/>
      <c r="CO296" s="195"/>
      <c r="CP296" s="195"/>
      <c r="CQ296" s="195"/>
      <c r="CR296" s="195"/>
      <c r="CS296" s="195"/>
      <c r="CT296" s="195"/>
      <c r="CU296" s="195"/>
      <c r="CV296" s="195"/>
      <c r="CW296" s="195"/>
      <c r="CX296" s="195"/>
      <c r="CY296" s="195"/>
      <c r="CZ296" s="195"/>
      <c r="DA296" s="195"/>
      <c r="DB296" s="195"/>
      <c r="DC296" s="195"/>
      <c r="DD296" s="195"/>
      <c r="DE296" s="195"/>
      <c r="DF296" s="195"/>
      <c r="DG296" s="195"/>
      <c r="DH296" s="195"/>
    </row>
    <row r="297" spans="5:112" s="193" customFormat="1">
      <c r="E297" s="32"/>
      <c r="F297" s="32"/>
      <c r="G297" s="29"/>
      <c r="H297" s="25"/>
      <c r="I297" s="25"/>
      <c r="J297" s="25"/>
      <c r="K297" s="25"/>
      <c r="L297" s="29"/>
      <c r="M297" s="29"/>
      <c r="N297" s="28"/>
      <c r="O297" s="30"/>
      <c r="P297" s="30"/>
      <c r="Q297" s="30"/>
      <c r="R297" s="30"/>
      <c r="S297" s="30"/>
      <c r="T297" s="30"/>
      <c r="U297" s="30"/>
      <c r="V297" s="29"/>
      <c r="W297" s="28"/>
      <c r="X297" s="149"/>
      <c r="Y297" s="149"/>
      <c r="Z297" s="150"/>
      <c r="AA297" s="150"/>
      <c r="AB297" s="151"/>
      <c r="AC297" s="150"/>
      <c r="AD297" s="150"/>
      <c r="AE297" s="150"/>
      <c r="AF297" s="150"/>
      <c r="AG297" s="150"/>
      <c r="AH297" s="150"/>
      <c r="AI297" s="195"/>
      <c r="AJ297" s="195"/>
      <c r="AK297" s="195"/>
      <c r="AL297" s="195"/>
      <c r="AM297" s="195"/>
      <c r="AN297" s="195"/>
      <c r="AO297" s="195"/>
      <c r="AP297" s="195"/>
      <c r="AQ297" s="195"/>
      <c r="AR297" s="195"/>
      <c r="AS297" s="195"/>
      <c r="AT297" s="195"/>
      <c r="AU297" s="195"/>
      <c r="AV297" s="195"/>
      <c r="AW297" s="195"/>
      <c r="AX297" s="195"/>
      <c r="AY297" s="195"/>
      <c r="AZ297" s="195"/>
      <c r="BA297" s="195"/>
      <c r="BB297" s="195"/>
      <c r="BC297" s="195"/>
      <c r="BD297" s="195"/>
      <c r="BE297" s="195"/>
      <c r="BF297" s="195"/>
      <c r="BG297" s="195"/>
      <c r="BH297" s="195"/>
      <c r="BI297" s="195"/>
      <c r="BJ297" s="195"/>
      <c r="BK297" s="195"/>
      <c r="BL297" s="195"/>
      <c r="BM297" s="195"/>
      <c r="BN297" s="195"/>
      <c r="BO297" s="195"/>
      <c r="BP297" s="195"/>
      <c r="BQ297" s="195"/>
      <c r="BR297" s="195"/>
      <c r="BS297" s="195"/>
      <c r="BT297" s="195"/>
      <c r="BU297" s="195"/>
      <c r="BV297" s="195"/>
      <c r="BW297" s="195"/>
      <c r="BX297" s="195"/>
      <c r="BY297" s="195"/>
      <c r="BZ297" s="195"/>
      <c r="CA297" s="195"/>
      <c r="CB297" s="195"/>
      <c r="CC297" s="195"/>
      <c r="CD297" s="195"/>
      <c r="CE297" s="195"/>
      <c r="CF297" s="195"/>
      <c r="CG297" s="195"/>
      <c r="CH297" s="195"/>
      <c r="CI297" s="195"/>
      <c r="CJ297" s="195"/>
      <c r="CK297" s="195"/>
      <c r="CL297" s="195"/>
      <c r="CM297" s="195"/>
      <c r="CN297" s="195"/>
      <c r="CO297" s="195"/>
      <c r="CP297" s="195"/>
      <c r="CQ297" s="195"/>
      <c r="CR297" s="195"/>
      <c r="CS297" s="195"/>
      <c r="CT297" s="195"/>
      <c r="CU297" s="195"/>
      <c r="CV297" s="195"/>
      <c r="CW297" s="195"/>
      <c r="CX297" s="195"/>
      <c r="CY297" s="195"/>
      <c r="CZ297" s="195"/>
      <c r="DA297" s="195"/>
      <c r="DB297" s="195"/>
      <c r="DC297" s="195"/>
      <c r="DD297" s="195"/>
      <c r="DE297" s="195"/>
      <c r="DF297" s="195"/>
      <c r="DG297" s="195"/>
      <c r="DH297" s="195"/>
    </row>
    <row r="298" spans="5:112" s="193" customFormat="1">
      <c r="E298" s="32"/>
      <c r="F298" s="32"/>
      <c r="G298" s="29"/>
      <c r="H298" s="25"/>
      <c r="I298" s="25"/>
      <c r="J298" s="25"/>
      <c r="K298" s="25"/>
      <c r="L298" s="29"/>
      <c r="M298" s="29"/>
      <c r="N298" s="28"/>
      <c r="O298" s="30"/>
      <c r="P298" s="30"/>
      <c r="Q298" s="30"/>
      <c r="R298" s="30"/>
      <c r="S298" s="30"/>
      <c r="T298" s="30"/>
      <c r="U298" s="30"/>
      <c r="V298" s="29"/>
      <c r="W298" s="28"/>
      <c r="X298" s="149"/>
      <c r="Y298" s="149"/>
      <c r="Z298" s="150"/>
      <c r="AA298" s="150"/>
      <c r="AB298" s="151"/>
      <c r="AC298" s="150"/>
      <c r="AD298" s="150"/>
      <c r="AE298" s="150"/>
      <c r="AF298" s="150"/>
      <c r="AG298" s="150"/>
      <c r="AH298" s="150"/>
      <c r="AI298" s="195"/>
      <c r="AJ298" s="195"/>
      <c r="AK298" s="195"/>
      <c r="AL298" s="195"/>
      <c r="AM298" s="195"/>
      <c r="AN298" s="195"/>
      <c r="AO298" s="195"/>
      <c r="AP298" s="195"/>
      <c r="AQ298" s="195"/>
      <c r="AR298" s="195"/>
      <c r="AS298" s="195"/>
      <c r="AT298" s="195"/>
      <c r="AU298" s="195"/>
      <c r="AV298" s="195"/>
      <c r="AW298" s="195"/>
      <c r="AX298" s="195"/>
      <c r="AY298" s="195"/>
      <c r="AZ298" s="195"/>
      <c r="BA298" s="195"/>
      <c r="BB298" s="195"/>
      <c r="BC298" s="195"/>
      <c r="BD298" s="195"/>
      <c r="BE298" s="195"/>
      <c r="BF298" s="195"/>
      <c r="BG298" s="195"/>
      <c r="BH298" s="195"/>
      <c r="BI298" s="195"/>
      <c r="BJ298" s="195"/>
      <c r="BK298" s="195"/>
      <c r="BL298" s="195"/>
      <c r="BM298" s="195"/>
      <c r="BN298" s="195"/>
      <c r="BO298" s="195"/>
      <c r="BP298" s="195"/>
      <c r="BQ298" s="195"/>
      <c r="BR298" s="195"/>
      <c r="BS298" s="195"/>
      <c r="BT298" s="195"/>
      <c r="BU298" s="195"/>
      <c r="BV298" s="195"/>
      <c r="BW298" s="195"/>
      <c r="BX298" s="195"/>
      <c r="BY298" s="195"/>
      <c r="BZ298" s="195"/>
      <c r="CA298" s="195"/>
      <c r="CB298" s="195"/>
      <c r="CC298" s="195"/>
      <c r="CD298" s="195"/>
      <c r="CE298" s="195"/>
      <c r="CF298" s="195"/>
      <c r="CG298" s="195"/>
      <c r="CH298" s="195"/>
      <c r="CI298" s="195"/>
      <c r="CJ298" s="195"/>
      <c r="CK298" s="195"/>
      <c r="CL298" s="195"/>
      <c r="CM298" s="195"/>
      <c r="CN298" s="195"/>
      <c r="CO298" s="195"/>
      <c r="CP298" s="195"/>
      <c r="CQ298" s="195"/>
      <c r="CR298" s="195"/>
      <c r="CS298" s="195"/>
      <c r="CT298" s="195"/>
      <c r="CU298" s="195"/>
      <c r="CV298" s="195"/>
      <c r="CW298" s="195"/>
      <c r="CX298" s="195"/>
      <c r="CY298" s="195"/>
      <c r="CZ298" s="195"/>
      <c r="DA298" s="195"/>
      <c r="DB298" s="195"/>
      <c r="DC298" s="195"/>
      <c r="DD298" s="195"/>
      <c r="DE298" s="195"/>
      <c r="DF298" s="195"/>
      <c r="DG298" s="195"/>
      <c r="DH298" s="195"/>
    </row>
    <row r="299" spans="5:112" s="193" customFormat="1">
      <c r="E299" s="32"/>
      <c r="F299" s="32"/>
      <c r="G299" s="29"/>
      <c r="H299" s="25"/>
      <c r="I299" s="25"/>
      <c r="J299" s="25"/>
      <c r="K299" s="25"/>
      <c r="L299" s="29"/>
      <c r="M299" s="29"/>
      <c r="N299" s="28"/>
      <c r="O299" s="30"/>
      <c r="P299" s="30"/>
      <c r="Q299" s="30"/>
      <c r="R299" s="30"/>
      <c r="S299" s="30"/>
      <c r="T299" s="30"/>
      <c r="U299" s="30"/>
      <c r="V299" s="29"/>
      <c r="W299" s="28"/>
      <c r="X299" s="149"/>
      <c r="Y299" s="149"/>
      <c r="Z299" s="150"/>
      <c r="AA299" s="150"/>
      <c r="AB299" s="151"/>
      <c r="AC299" s="150"/>
      <c r="AD299" s="150"/>
      <c r="AE299" s="150"/>
      <c r="AF299" s="150"/>
      <c r="AG299" s="150"/>
      <c r="AH299" s="150"/>
      <c r="AI299" s="195"/>
      <c r="AJ299" s="195"/>
      <c r="AK299" s="195"/>
      <c r="AL299" s="195"/>
      <c r="AM299" s="195"/>
      <c r="AN299" s="195"/>
      <c r="AO299" s="195"/>
      <c r="AP299" s="195"/>
      <c r="AQ299" s="195"/>
      <c r="AR299" s="195"/>
      <c r="AS299" s="195"/>
      <c r="AT299" s="195"/>
      <c r="AU299" s="195"/>
      <c r="AV299" s="195"/>
      <c r="AW299" s="195"/>
      <c r="AX299" s="195"/>
      <c r="AY299" s="195"/>
      <c r="AZ299" s="195"/>
      <c r="BA299" s="195"/>
      <c r="BB299" s="195"/>
      <c r="BC299" s="195"/>
      <c r="BD299" s="195"/>
      <c r="BE299" s="195"/>
      <c r="BF299" s="195"/>
      <c r="BG299" s="195"/>
      <c r="BH299" s="195"/>
      <c r="BI299" s="195"/>
      <c r="BJ299" s="195"/>
      <c r="BK299" s="195"/>
      <c r="BL299" s="195"/>
      <c r="BM299" s="195"/>
      <c r="BN299" s="195"/>
      <c r="BO299" s="195"/>
      <c r="BP299" s="195"/>
      <c r="BQ299" s="195"/>
      <c r="BR299" s="195"/>
      <c r="BS299" s="195"/>
      <c r="BT299" s="195"/>
      <c r="BU299" s="195"/>
      <c r="BV299" s="195"/>
      <c r="BW299" s="195"/>
      <c r="BX299" s="195"/>
      <c r="BY299" s="195"/>
      <c r="BZ299" s="195"/>
      <c r="CA299" s="195"/>
      <c r="CB299" s="195"/>
      <c r="CC299" s="195"/>
      <c r="CD299" s="195"/>
      <c r="CE299" s="195"/>
      <c r="CF299" s="195"/>
      <c r="CG299" s="195"/>
      <c r="CH299" s="195"/>
      <c r="CI299" s="195"/>
      <c r="CJ299" s="195"/>
      <c r="CK299" s="195"/>
      <c r="CL299" s="195"/>
      <c r="CM299" s="195"/>
      <c r="CN299" s="195"/>
      <c r="CO299" s="195"/>
      <c r="CP299" s="195"/>
      <c r="CQ299" s="195"/>
      <c r="CR299" s="195"/>
      <c r="CS299" s="195"/>
      <c r="CT299" s="195"/>
      <c r="CU299" s="195"/>
      <c r="CV299" s="195"/>
      <c r="CW299" s="195"/>
      <c r="CX299" s="195"/>
      <c r="CY299" s="195"/>
      <c r="CZ299" s="195"/>
      <c r="DA299" s="195"/>
      <c r="DB299" s="195"/>
      <c r="DC299" s="195"/>
      <c r="DD299" s="195"/>
      <c r="DE299" s="195"/>
      <c r="DF299" s="195"/>
      <c r="DG299" s="195"/>
      <c r="DH299" s="195"/>
    </row>
    <row r="300" spans="5:112" s="193" customFormat="1">
      <c r="E300" s="32"/>
      <c r="F300" s="32"/>
      <c r="G300" s="29"/>
      <c r="H300" s="25"/>
      <c r="I300" s="25"/>
      <c r="J300" s="25"/>
      <c r="K300" s="25"/>
      <c r="L300" s="29"/>
      <c r="M300" s="29"/>
      <c r="N300" s="28"/>
      <c r="O300" s="30"/>
      <c r="P300" s="30"/>
      <c r="Q300" s="30"/>
      <c r="R300" s="30"/>
      <c r="S300" s="30"/>
      <c r="T300" s="30"/>
      <c r="U300" s="30"/>
      <c r="V300" s="29"/>
      <c r="W300" s="28"/>
      <c r="X300" s="149"/>
      <c r="Y300" s="149"/>
      <c r="Z300" s="150"/>
      <c r="AA300" s="150"/>
      <c r="AB300" s="151"/>
      <c r="AC300" s="150"/>
      <c r="AD300" s="150"/>
      <c r="AE300" s="150"/>
      <c r="AF300" s="150"/>
      <c r="AG300" s="150"/>
      <c r="AH300" s="150"/>
      <c r="AI300" s="195"/>
      <c r="AJ300" s="195"/>
      <c r="AK300" s="195"/>
      <c r="AL300" s="195"/>
      <c r="AM300" s="195"/>
      <c r="AN300" s="195"/>
      <c r="AO300" s="195"/>
      <c r="AP300" s="195"/>
      <c r="AQ300" s="195"/>
      <c r="AR300" s="195"/>
      <c r="AS300" s="195"/>
      <c r="AT300" s="195"/>
      <c r="AU300" s="195"/>
      <c r="AV300" s="195"/>
      <c r="AW300" s="195"/>
      <c r="AX300" s="195"/>
      <c r="AY300" s="195"/>
      <c r="AZ300" s="195"/>
      <c r="BA300" s="195"/>
      <c r="BB300" s="195"/>
      <c r="BC300" s="195"/>
      <c r="BD300" s="195"/>
      <c r="BE300" s="195"/>
      <c r="BF300" s="195"/>
      <c r="BG300" s="195"/>
      <c r="BH300" s="195"/>
      <c r="BI300" s="195"/>
      <c r="BJ300" s="195"/>
      <c r="BK300" s="195"/>
      <c r="BL300" s="195"/>
      <c r="BM300" s="195"/>
      <c r="BN300" s="195"/>
      <c r="BO300" s="195"/>
      <c r="BP300" s="195"/>
      <c r="BQ300" s="195"/>
      <c r="BR300" s="195"/>
      <c r="BS300" s="195"/>
      <c r="BT300" s="195"/>
      <c r="BU300" s="195"/>
      <c r="BV300" s="195"/>
      <c r="BW300" s="195"/>
      <c r="BX300" s="195"/>
      <c r="BY300" s="195"/>
      <c r="BZ300" s="195"/>
      <c r="CA300" s="195"/>
      <c r="CB300" s="195"/>
      <c r="CC300" s="195"/>
      <c r="CD300" s="195"/>
      <c r="CE300" s="195"/>
      <c r="CF300" s="195"/>
      <c r="CG300" s="195"/>
      <c r="CH300" s="195"/>
      <c r="CI300" s="195"/>
      <c r="CJ300" s="195"/>
      <c r="CK300" s="195"/>
      <c r="CL300" s="195"/>
      <c r="CM300" s="195"/>
      <c r="CN300" s="195"/>
      <c r="CO300" s="195"/>
      <c r="CP300" s="195"/>
      <c r="CQ300" s="195"/>
      <c r="CR300" s="195"/>
      <c r="CS300" s="195"/>
      <c r="CT300" s="195"/>
      <c r="CU300" s="195"/>
      <c r="CV300" s="195"/>
      <c r="CW300" s="195"/>
      <c r="CX300" s="195"/>
      <c r="CY300" s="195"/>
      <c r="CZ300" s="195"/>
      <c r="DA300" s="195"/>
      <c r="DB300" s="195"/>
      <c r="DC300" s="195"/>
      <c r="DD300" s="195"/>
      <c r="DE300" s="195"/>
      <c r="DF300" s="195"/>
      <c r="DG300" s="195"/>
      <c r="DH300" s="195"/>
    </row>
    <row r="301" spans="5:112" s="193" customFormat="1">
      <c r="E301" s="32"/>
      <c r="F301" s="32"/>
      <c r="G301" s="29"/>
      <c r="H301" s="25"/>
      <c r="I301" s="25"/>
      <c r="J301" s="25"/>
      <c r="K301" s="25"/>
      <c r="L301" s="29"/>
      <c r="M301" s="29"/>
      <c r="N301" s="28"/>
      <c r="O301" s="30"/>
      <c r="P301" s="30"/>
      <c r="Q301" s="30"/>
      <c r="R301" s="30"/>
      <c r="S301" s="30"/>
      <c r="T301" s="30"/>
      <c r="U301" s="30"/>
      <c r="V301" s="29"/>
      <c r="W301" s="28"/>
      <c r="X301" s="149"/>
      <c r="Y301" s="149"/>
      <c r="Z301" s="150"/>
      <c r="AA301" s="150"/>
      <c r="AB301" s="151"/>
      <c r="AC301" s="150"/>
      <c r="AD301" s="150"/>
      <c r="AE301" s="150"/>
      <c r="AF301" s="150"/>
      <c r="AG301" s="150"/>
      <c r="AH301" s="150"/>
      <c r="AI301" s="195"/>
      <c r="AJ301" s="195"/>
      <c r="AK301" s="195"/>
      <c r="AL301" s="195"/>
      <c r="AM301" s="195"/>
      <c r="AN301" s="195"/>
      <c r="AO301" s="195"/>
      <c r="AP301" s="195"/>
      <c r="AQ301" s="195"/>
      <c r="AR301" s="195"/>
      <c r="AS301" s="195"/>
      <c r="AT301" s="195"/>
      <c r="AU301" s="195"/>
      <c r="AV301" s="195"/>
      <c r="AW301" s="195"/>
      <c r="AX301" s="195"/>
      <c r="AY301" s="195"/>
      <c r="AZ301" s="195"/>
      <c r="BA301" s="195"/>
      <c r="BB301" s="195"/>
      <c r="BC301" s="195"/>
      <c r="BD301" s="195"/>
      <c r="BE301" s="195"/>
      <c r="BF301" s="195"/>
      <c r="BG301" s="195"/>
      <c r="BH301" s="195"/>
      <c r="BI301" s="195"/>
      <c r="BJ301" s="195"/>
      <c r="BK301" s="195"/>
      <c r="BL301" s="195"/>
      <c r="BM301" s="195"/>
      <c r="BN301" s="195"/>
      <c r="BO301" s="195"/>
      <c r="BP301" s="195"/>
      <c r="BQ301" s="195"/>
      <c r="BR301" s="195"/>
      <c r="BS301" s="195"/>
      <c r="BT301" s="195"/>
      <c r="BU301" s="195"/>
      <c r="BV301" s="195"/>
      <c r="BW301" s="195"/>
      <c r="BX301" s="195"/>
      <c r="BY301" s="195"/>
      <c r="BZ301" s="195"/>
      <c r="CA301" s="195"/>
      <c r="CB301" s="195"/>
      <c r="CC301" s="195"/>
      <c r="CD301" s="195"/>
      <c r="CE301" s="195"/>
      <c r="CF301" s="195"/>
      <c r="CG301" s="195"/>
      <c r="CH301" s="195"/>
      <c r="CI301" s="195"/>
      <c r="CJ301" s="195"/>
      <c r="CK301" s="195"/>
      <c r="CL301" s="195"/>
      <c r="CM301" s="195"/>
      <c r="CN301" s="195"/>
      <c r="CO301" s="195"/>
      <c r="CP301" s="195"/>
      <c r="CQ301" s="195"/>
      <c r="CR301" s="195"/>
      <c r="CS301" s="195"/>
      <c r="CT301" s="195"/>
      <c r="CU301" s="195"/>
      <c r="CV301" s="195"/>
      <c r="CW301" s="195"/>
      <c r="CX301" s="195"/>
      <c r="CY301" s="195"/>
      <c r="CZ301" s="195"/>
      <c r="DA301" s="195"/>
      <c r="DB301" s="195"/>
      <c r="DC301" s="195"/>
      <c r="DD301" s="195"/>
      <c r="DE301" s="195"/>
      <c r="DF301" s="195"/>
      <c r="DG301" s="195"/>
      <c r="DH301" s="195"/>
    </row>
    <row r="302" spans="5:112" s="193" customFormat="1">
      <c r="E302" s="32"/>
      <c r="F302" s="32"/>
      <c r="G302" s="29"/>
      <c r="H302" s="25"/>
      <c r="I302" s="25"/>
      <c r="J302" s="25"/>
      <c r="K302" s="25"/>
      <c r="L302" s="29"/>
      <c r="M302" s="29"/>
      <c r="N302" s="28"/>
      <c r="O302" s="30"/>
      <c r="P302" s="30"/>
      <c r="Q302" s="30"/>
      <c r="R302" s="30"/>
      <c r="S302" s="30"/>
      <c r="T302" s="30"/>
      <c r="U302" s="30"/>
      <c r="V302" s="29"/>
      <c r="W302" s="28"/>
      <c r="X302" s="149"/>
      <c r="Y302" s="149"/>
      <c r="Z302" s="150"/>
      <c r="AA302" s="150"/>
      <c r="AB302" s="151"/>
      <c r="AC302" s="150"/>
      <c r="AD302" s="150"/>
      <c r="AE302" s="150"/>
      <c r="AF302" s="150"/>
      <c r="AG302" s="150"/>
      <c r="AH302" s="150"/>
      <c r="AI302" s="195"/>
      <c r="AJ302" s="195"/>
      <c r="AK302" s="195"/>
      <c r="AL302" s="195"/>
      <c r="AM302" s="195"/>
      <c r="AN302" s="195"/>
      <c r="AO302" s="195"/>
      <c r="AP302" s="195"/>
      <c r="AQ302" s="195"/>
      <c r="AR302" s="195"/>
      <c r="AS302" s="195"/>
      <c r="AT302" s="195"/>
      <c r="AU302" s="195"/>
      <c r="AV302" s="195"/>
      <c r="AW302" s="195"/>
      <c r="AX302" s="195"/>
      <c r="AY302" s="195"/>
      <c r="AZ302" s="195"/>
      <c r="BA302" s="195"/>
      <c r="BB302" s="195"/>
      <c r="BC302" s="195"/>
      <c r="BD302" s="195"/>
      <c r="BE302" s="195"/>
      <c r="BF302" s="195"/>
      <c r="BG302" s="195"/>
      <c r="BH302" s="195"/>
      <c r="BI302" s="195"/>
      <c r="BJ302" s="195"/>
      <c r="BK302" s="195"/>
      <c r="BL302" s="195"/>
      <c r="BM302" s="195"/>
      <c r="BN302" s="195"/>
      <c r="BO302" s="195"/>
      <c r="BP302" s="195"/>
      <c r="BQ302" s="195"/>
      <c r="BR302" s="195"/>
      <c r="BS302" s="195"/>
      <c r="BT302" s="195"/>
      <c r="BU302" s="195"/>
      <c r="BV302" s="195"/>
      <c r="BW302" s="195"/>
      <c r="BX302" s="195"/>
      <c r="BY302" s="195"/>
      <c r="BZ302" s="195"/>
      <c r="CA302" s="195"/>
      <c r="CB302" s="195"/>
      <c r="CC302" s="195"/>
      <c r="CD302" s="195"/>
      <c r="CE302" s="195"/>
      <c r="CF302" s="195"/>
      <c r="CG302" s="195"/>
      <c r="CH302" s="195"/>
      <c r="CI302" s="195"/>
      <c r="CJ302" s="195"/>
      <c r="CK302" s="195"/>
      <c r="CL302" s="195"/>
      <c r="CM302" s="195"/>
      <c r="CN302" s="195"/>
      <c r="CO302" s="195"/>
      <c r="CP302" s="195"/>
      <c r="CQ302" s="195"/>
      <c r="CR302" s="195"/>
      <c r="CS302" s="195"/>
      <c r="CT302" s="195"/>
      <c r="CU302" s="195"/>
      <c r="CV302" s="195"/>
      <c r="CW302" s="195"/>
      <c r="CX302" s="195"/>
      <c r="CY302" s="195"/>
      <c r="CZ302" s="195"/>
      <c r="DA302" s="195"/>
      <c r="DB302" s="195"/>
      <c r="DC302" s="195"/>
      <c r="DD302" s="195"/>
      <c r="DE302" s="195"/>
      <c r="DF302" s="195"/>
      <c r="DG302" s="195"/>
      <c r="DH302" s="195"/>
    </row>
    <row r="303" spans="5:112" s="193" customFormat="1">
      <c r="E303" s="32"/>
      <c r="F303" s="32"/>
      <c r="G303" s="29"/>
      <c r="H303" s="25"/>
      <c r="I303" s="25"/>
      <c r="J303" s="25"/>
      <c r="K303" s="25"/>
      <c r="L303" s="29"/>
      <c r="M303" s="29"/>
      <c r="N303" s="28"/>
      <c r="O303" s="30"/>
      <c r="P303" s="30"/>
      <c r="Q303" s="30"/>
      <c r="R303" s="30"/>
      <c r="S303" s="30"/>
      <c r="T303" s="30"/>
      <c r="U303" s="30"/>
      <c r="V303" s="29"/>
      <c r="W303" s="28"/>
      <c r="X303" s="149"/>
      <c r="Y303" s="149"/>
      <c r="Z303" s="150"/>
      <c r="AA303" s="150"/>
      <c r="AB303" s="151"/>
      <c r="AC303" s="150"/>
      <c r="AD303" s="150"/>
      <c r="AE303" s="150"/>
      <c r="AF303" s="150"/>
      <c r="AG303" s="150"/>
      <c r="AH303" s="150"/>
      <c r="AI303" s="195"/>
      <c r="AJ303" s="195"/>
      <c r="AK303" s="195"/>
      <c r="AL303" s="195"/>
      <c r="AM303" s="195"/>
      <c r="AN303" s="195"/>
      <c r="AO303" s="195"/>
      <c r="AP303" s="195"/>
      <c r="AQ303" s="195"/>
      <c r="AR303" s="195"/>
      <c r="AS303" s="195"/>
      <c r="AT303" s="195"/>
      <c r="AU303" s="195"/>
      <c r="AV303" s="195"/>
      <c r="AW303" s="195"/>
      <c r="AX303" s="195"/>
      <c r="AY303" s="195"/>
      <c r="AZ303" s="195"/>
      <c r="BA303" s="195"/>
      <c r="BB303" s="195"/>
      <c r="BC303" s="195"/>
      <c r="BD303" s="195"/>
      <c r="BE303" s="195"/>
      <c r="BF303" s="195"/>
      <c r="BG303" s="195"/>
      <c r="BH303" s="195"/>
      <c r="BI303" s="195"/>
      <c r="BJ303" s="195"/>
      <c r="BK303" s="195"/>
      <c r="BL303" s="195"/>
      <c r="BM303" s="195"/>
      <c r="BN303" s="195"/>
      <c r="BO303" s="195"/>
      <c r="BP303" s="195"/>
      <c r="BQ303" s="195"/>
      <c r="BR303" s="195"/>
      <c r="BS303" s="195"/>
      <c r="BT303" s="195"/>
      <c r="BU303" s="195"/>
      <c r="BV303" s="195"/>
      <c r="BW303" s="195"/>
      <c r="BX303" s="195"/>
      <c r="BY303" s="195"/>
      <c r="BZ303" s="195"/>
      <c r="CA303" s="195"/>
      <c r="CB303" s="195"/>
      <c r="CC303" s="195"/>
      <c r="CD303" s="195"/>
      <c r="CE303" s="195"/>
      <c r="CF303" s="195"/>
      <c r="CG303" s="195"/>
      <c r="CH303" s="195"/>
      <c r="CI303" s="195"/>
      <c r="CJ303" s="195"/>
      <c r="CK303" s="195"/>
      <c r="CL303" s="195"/>
      <c r="CM303" s="195"/>
      <c r="CN303" s="195"/>
      <c r="CO303" s="195"/>
      <c r="CP303" s="195"/>
      <c r="CQ303" s="195"/>
      <c r="CR303" s="195"/>
      <c r="CS303" s="195"/>
      <c r="CT303" s="195"/>
      <c r="CU303" s="195"/>
      <c r="CV303" s="195"/>
      <c r="CW303" s="195"/>
      <c r="CX303" s="195"/>
      <c r="CY303" s="195"/>
      <c r="CZ303" s="195"/>
      <c r="DA303" s="195"/>
      <c r="DB303" s="195"/>
      <c r="DC303" s="195"/>
      <c r="DD303" s="195"/>
      <c r="DE303" s="195"/>
      <c r="DF303" s="195"/>
      <c r="DG303" s="195"/>
      <c r="DH303" s="195"/>
    </row>
    <row r="304" spans="5:112" s="193" customFormat="1">
      <c r="E304" s="32"/>
      <c r="F304" s="32"/>
      <c r="G304" s="29"/>
      <c r="H304" s="25"/>
      <c r="I304" s="25"/>
      <c r="J304" s="25"/>
      <c r="K304" s="25"/>
      <c r="L304" s="29"/>
      <c r="M304" s="29"/>
      <c r="N304" s="28"/>
      <c r="O304" s="30"/>
      <c r="P304" s="30"/>
      <c r="Q304" s="30"/>
      <c r="R304" s="30"/>
      <c r="S304" s="30"/>
      <c r="T304" s="30"/>
      <c r="U304" s="30"/>
      <c r="V304" s="29"/>
      <c r="W304" s="28"/>
      <c r="X304" s="149"/>
      <c r="Y304" s="149"/>
      <c r="Z304" s="150"/>
      <c r="AA304" s="150"/>
      <c r="AB304" s="151"/>
      <c r="AC304" s="150"/>
      <c r="AD304" s="150"/>
      <c r="AE304" s="150"/>
      <c r="AF304" s="150"/>
      <c r="AG304" s="150"/>
      <c r="AH304" s="150"/>
      <c r="AI304" s="195"/>
      <c r="AJ304" s="195"/>
      <c r="AK304" s="195"/>
      <c r="AL304" s="195"/>
      <c r="AM304" s="195"/>
      <c r="AN304" s="195"/>
      <c r="AO304" s="195"/>
      <c r="AP304" s="195"/>
      <c r="AQ304" s="195"/>
      <c r="AR304" s="195"/>
      <c r="AS304" s="195"/>
      <c r="AT304" s="195"/>
      <c r="AU304" s="195"/>
      <c r="AV304" s="195"/>
      <c r="AW304" s="195"/>
      <c r="AX304" s="195"/>
      <c r="AY304" s="195"/>
      <c r="AZ304" s="195"/>
      <c r="BA304" s="195"/>
      <c r="BB304" s="195"/>
      <c r="BC304" s="195"/>
      <c r="BD304" s="195"/>
      <c r="BE304" s="195"/>
      <c r="BF304" s="195"/>
      <c r="BG304" s="195"/>
      <c r="BH304" s="195"/>
      <c r="BI304" s="195"/>
      <c r="BJ304" s="195"/>
      <c r="BK304" s="195"/>
      <c r="BL304" s="195"/>
      <c r="BM304" s="195"/>
      <c r="BN304" s="195"/>
      <c r="BO304" s="195"/>
      <c r="BP304" s="195"/>
      <c r="BQ304" s="195"/>
      <c r="BR304" s="195"/>
      <c r="BS304" s="195"/>
      <c r="BT304" s="195"/>
      <c r="BU304" s="195"/>
      <c r="BV304" s="195"/>
      <c r="BW304" s="195"/>
      <c r="BX304" s="195"/>
      <c r="BY304" s="195"/>
      <c r="BZ304" s="195"/>
      <c r="CA304" s="195"/>
      <c r="CB304" s="195"/>
      <c r="CC304" s="195"/>
      <c r="CD304" s="195"/>
      <c r="CE304" s="195"/>
      <c r="CF304" s="195"/>
      <c r="CG304" s="195"/>
      <c r="CH304" s="195"/>
      <c r="CI304" s="195"/>
      <c r="CJ304" s="195"/>
      <c r="CK304" s="195"/>
      <c r="CL304" s="195"/>
      <c r="CM304" s="195"/>
      <c r="CN304" s="195"/>
      <c r="CO304" s="195"/>
      <c r="CP304" s="195"/>
      <c r="CQ304" s="195"/>
      <c r="CR304" s="195"/>
      <c r="CS304" s="195"/>
      <c r="CT304" s="195"/>
      <c r="CU304" s="195"/>
      <c r="CV304" s="195"/>
      <c r="CW304" s="195"/>
      <c r="CX304" s="195"/>
      <c r="CY304" s="195"/>
      <c r="CZ304" s="195"/>
      <c r="DA304" s="195"/>
      <c r="DB304" s="195"/>
      <c r="DC304" s="195"/>
      <c r="DD304" s="195"/>
      <c r="DE304" s="195"/>
      <c r="DF304" s="195"/>
      <c r="DG304" s="195"/>
      <c r="DH304" s="195"/>
    </row>
    <row r="305" spans="5:112" s="193" customFormat="1">
      <c r="E305" s="32"/>
      <c r="F305" s="32"/>
      <c r="G305" s="29"/>
      <c r="H305" s="25"/>
      <c r="I305" s="25"/>
      <c r="J305" s="25"/>
      <c r="K305" s="25"/>
      <c r="L305" s="29"/>
      <c r="M305" s="29"/>
      <c r="N305" s="28"/>
      <c r="O305" s="30"/>
      <c r="P305" s="30"/>
      <c r="Q305" s="30"/>
      <c r="R305" s="30"/>
      <c r="S305" s="30"/>
      <c r="T305" s="30"/>
      <c r="U305" s="30"/>
      <c r="V305" s="29"/>
      <c r="W305" s="28"/>
      <c r="X305" s="149"/>
      <c r="Y305" s="149"/>
      <c r="Z305" s="150"/>
      <c r="AA305" s="150"/>
      <c r="AB305" s="151"/>
      <c r="AC305" s="150"/>
      <c r="AD305" s="150"/>
      <c r="AE305" s="150"/>
      <c r="AF305" s="150"/>
      <c r="AG305" s="150"/>
      <c r="AH305" s="150"/>
      <c r="AI305" s="195"/>
      <c r="AJ305" s="195"/>
      <c r="AK305" s="195"/>
      <c r="AL305" s="195"/>
      <c r="AM305" s="195"/>
      <c r="AN305" s="195"/>
      <c r="AO305" s="195"/>
      <c r="AP305" s="195"/>
      <c r="AQ305" s="195"/>
      <c r="AR305" s="195"/>
      <c r="AS305" s="195"/>
      <c r="AT305" s="195"/>
      <c r="AU305" s="195"/>
      <c r="AV305" s="195"/>
      <c r="AW305" s="195"/>
      <c r="AX305" s="195"/>
      <c r="AY305" s="195"/>
      <c r="AZ305" s="195"/>
      <c r="BA305" s="195"/>
      <c r="BB305" s="195"/>
      <c r="BC305" s="195"/>
      <c r="BD305" s="195"/>
      <c r="BE305" s="195"/>
      <c r="BF305" s="195"/>
      <c r="BG305" s="195"/>
      <c r="BH305" s="195"/>
      <c r="BI305" s="195"/>
      <c r="BJ305" s="195"/>
      <c r="BK305" s="195"/>
      <c r="BL305" s="195"/>
      <c r="BM305" s="195"/>
      <c r="BN305" s="195"/>
      <c r="BO305" s="195"/>
      <c r="BP305" s="195"/>
      <c r="BQ305" s="195"/>
      <c r="BR305" s="195"/>
      <c r="BS305" s="195"/>
      <c r="BT305" s="195"/>
      <c r="BU305" s="195"/>
      <c r="BV305" s="195"/>
      <c r="BW305" s="195"/>
      <c r="BX305" s="195"/>
      <c r="BY305" s="195"/>
      <c r="BZ305" s="195"/>
      <c r="CA305" s="195"/>
      <c r="CB305" s="195"/>
      <c r="CC305" s="195"/>
      <c r="CD305" s="195"/>
      <c r="CE305" s="195"/>
      <c r="CF305" s="195"/>
      <c r="CG305" s="195"/>
      <c r="CH305" s="195"/>
      <c r="CI305" s="195"/>
      <c r="CJ305" s="195"/>
      <c r="CK305" s="195"/>
      <c r="CL305" s="195"/>
      <c r="CM305" s="195"/>
      <c r="CN305" s="195"/>
      <c r="CO305" s="195"/>
      <c r="CP305" s="195"/>
      <c r="CQ305" s="195"/>
      <c r="CR305" s="195"/>
      <c r="CS305" s="195"/>
      <c r="CT305" s="195"/>
      <c r="CU305" s="195"/>
      <c r="CV305" s="195"/>
      <c r="CW305" s="195"/>
      <c r="CX305" s="195"/>
      <c r="CY305" s="195"/>
      <c r="CZ305" s="195"/>
      <c r="DA305" s="195"/>
      <c r="DB305" s="195"/>
      <c r="DC305" s="195"/>
      <c r="DD305" s="195"/>
      <c r="DE305" s="195"/>
      <c r="DF305" s="195"/>
      <c r="DG305" s="195"/>
      <c r="DH305" s="195"/>
    </row>
    <row r="306" spans="5:112" s="193" customFormat="1">
      <c r="E306" s="32"/>
      <c r="F306" s="32"/>
      <c r="G306" s="29"/>
      <c r="H306" s="25"/>
      <c r="I306" s="25"/>
      <c r="J306" s="25"/>
      <c r="K306" s="25"/>
      <c r="L306" s="29"/>
      <c r="M306" s="29"/>
      <c r="N306" s="28"/>
      <c r="O306" s="30"/>
      <c r="P306" s="30"/>
      <c r="Q306" s="30"/>
      <c r="R306" s="30"/>
      <c r="S306" s="30"/>
      <c r="T306" s="30"/>
      <c r="U306" s="30"/>
      <c r="V306" s="29"/>
      <c r="W306" s="28"/>
      <c r="X306" s="149"/>
      <c r="Y306" s="149"/>
      <c r="Z306" s="150"/>
      <c r="AA306" s="150"/>
      <c r="AB306" s="151"/>
      <c r="AC306" s="150"/>
      <c r="AD306" s="150"/>
      <c r="AE306" s="150"/>
      <c r="AF306" s="150"/>
      <c r="AG306" s="150"/>
      <c r="AH306" s="150"/>
      <c r="AI306" s="195"/>
      <c r="AJ306" s="195"/>
      <c r="AK306" s="195"/>
      <c r="AL306" s="195"/>
      <c r="AM306" s="195"/>
      <c r="AN306" s="195"/>
      <c r="AO306" s="195"/>
      <c r="AP306" s="195"/>
      <c r="AQ306" s="195"/>
      <c r="AR306" s="195"/>
      <c r="AS306" s="195"/>
      <c r="AT306" s="195"/>
      <c r="AU306" s="195"/>
      <c r="AV306" s="195"/>
      <c r="AW306" s="195"/>
      <c r="AX306" s="195"/>
      <c r="AY306" s="195"/>
      <c r="AZ306" s="195"/>
      <c r="BA306" s="195"/>
      <c r="BB306" s="195"/>
      <c r="BC306" s="195"/>
      <c r="BD306" s="195"/>
      <c r="BE306" s="195"/>
      <c r="BF306" s="195"/>
      <c r="BG306" s="195"/>
      <c r="BH306" s="195"/>
      <c r="BI306" s="195"/>
      <c r="BJ306" s="195"/>
      <c r="BK306" s="195"/>
      <c r="BL306" s="195"/>
      <c r="BM306" s="195"/>
      <c r="BN306" s="195"/>
      <c r="BO306" s="195"/>
      <c r="BP306" s="195"/>
      <c r="BQ306" s="195"/>
      <c r="BR306" s="195"/>
      <c r="BS306" s="195"/>
      <c r="BT306" s="195"/>
      <c r="BU306" s="195"/>
      <c r="BV306" s="195"/>
      <c r="BW306" s="195"/>
      <c r="BX306" s="195"/>
      <c r="BY306" s="195"/>
      <c r="BZ306" s="195"/>
      <c r="CA306" s="195"/>
      <c r="CB306" s="195"/>
      <c r="CC306" s="195"/>
      <c r="CD306" s="195"/>
      <c r="CE306" s="195"/>
      <c r="CF306" s="195"/>
      <c r="CG306" s="195"/>
      <c r="CH306" s="195"/>
      <c r="CI306" s="195"/>
      <c r="CJ306" s="195"/>
      <c r="CK306" s="195"/>
      <c r="CL306" s="195"/>
      <c r="CM306" s="195"/>
      <c r="CN306" s="195"/>
      <c r="CO306" s="195"/>
      <c r="CP306" s="195"/>
      <c r="CQ306" s="195"/>
      <c r="CR306" s="195"/>
      <c r="CS306" s="195"/>
      <c r="CT306" s="195"/>
      <c r="CU306" s="195"/>
      <c r="CV306" s="195"/>
      <c r="CW306" s="195"/>
      <c r="CX306" s="195"/>
      <c r="CY306" s="195"/>
      <c r="CZ306" s="195"/>
      <c r="DA306" s="195"/>
      <c r="DB306" s="195"/>
      <c r="DC306" s="195"/>
      <c r="DD306" s="195"/>
      <c r="DE306" s="195"/>
      <c r="DF306" s="195"/>
      <c r="DG306" s="195"/>
      <c r="DH306" s="195"/>
    </row>
    <row r="307" spans="5:112" s="193" customFormat="1">
      <c r="E307" s="32"/>
      <c r="F307" s="32"/>
      <c r="G307" s="29"/>
      <c r="H307" s="25"/>
      <c r="I307" s="25"/>
      <c r="J307" s="25"/>
      <c r="K307" s="25"/>
      <c r="L307" s="29"/>
      <c r="M307" s="29"/>
      <c r="N307" s="28"/>
      <c r="O307" s="30"/>
      <c r="P307" s="30"/>
      <c r="Q307" s="30"/>
      <c r="R307" s="30"/>
      <c r="S307" s="30"/>
      <c r="T307" s="30"/>
      <c r="U307" s="30"/>
      <c r="V307" s="29"/>
      <c r="W307" s="28"/>
      <c r="X307" s="149"/>
      <c r="Y307" s="149"/>
      <c r="Z307" s="150"/>
      <c r="AA307" s="150"/>
      <c r="AB307" s="151"/>
      <c r="AC307" s="150"/>
      <c r="AD307" s="150"/>
      <c r="AE307" s="150"/>
      <c r="AF307" s="150"/>
      <c r="AG307" s="150"/>
      <c r="AH307" s="150"/>
      <c r="AI307" s="195"/>
      <c r="AJ307" s="195"/>
      <c r="AK307" s="195"/>
      <c r="AL307" s="195"/>
      <c r="AM307" s="195"/>
      <c r="AN307" s="195"/>
      <c r="AO307" s="195"/>
      <c r="AP307" s="195"/>
      <c r="AQ307" s="195"/>
      <c r="AR307" s="195"/>
      <c r="AS307" s="195"/>
      <c r="AT307" s="195"/>
      <c r="AU307" s="195"/>
      <c r="AV307" s="195"/>
      <c r="AW307" s="195"/>
      <c r="AX307" s="195"/>
      <c r="AY307" s="195"/>
      <c r="AZ307" s="195"/>
      <c r="BA307" s="195"/>
      <c r="BB307" s="195"/>
      <c r="BC307" s="195"/>
      <c r="BD307" s="195"/>
      <c r="BE307" s="195"/>
      <c r="BF307" s="195"/>
      <c r="BG307" s="195"/>
      <c r="BH307" s="195"/>
      <c r="BI307" s="195"/>
      <c r="BJ307" s="195"/>
      <c r="BK307" s="195"/>
      <c r="BL307" s="195"/>
      <c r="BM307" s="195"/>
      <c r="BN307" s="195"/>
      <c r="BO307" s="195"/>
      <c r="BP307" s="195"/>
      <c r="BQ307" s="195"/>
      <c r="BR307" s="195"/>
      <c r="BS307" s="195"/>
      <c r="BT307" s="195"/>
      <c r="BU307" s="195"/>
      <c r="BV307" s="195"/>
      <c r="BW307" s="195"/>
      <c r="BX307" s="195"/>
      <c r="BY307" s="195"/>
      <c r="BZ307" s="195"/>
      <c r="CA307" s="195"/>
      <c r="CB307" s="195"/>
      <c r="CC307" s="195"/>
      <c r="CD307" s="195"/>
      <c r="CE307" s="195"/>
      <c r="CF307" s="195"/>
      <c r="CG307" s="195"/>
      <c r="CH307" s="195"/>
      <c r="CI307" s="195"/>
      <c r="CJ307" s="195"/>
      <c r="CK307" s="195"/>
      <c r="CL307" s="195"/>
      <c r="CM307" s="195"/>
      <c r="CN307" s="195"/>
      <c r="CO307" s="195"/>
      <c r="CP307" s="195"/>
      <c r="CQ307" s="195"/>
      <c r="CR307" s="195"/>
      <c r="CS307" s="195"/>
      <c r="CT307" s="195"/>
      <c r="CU307" s="195"/>
      <c r="CV307" s="195"/>
      <c r="CW307" s="195"/>
      <c r="CX307" s="195"/>
      <c r="CY307" s="195"/>
      <c r="CZ307" s="195"/>
      <c r="DA307" s="195"/>
      <c r="DB307" s="195"/>
      <c r="DC307" s="195"/>
      <c r="DD307" s="195"/>
      <c r="DE307" s="195"/>
      <c r="DF307" s="195"/>
      <c r="DG307" s="195"/>
      <c r="DH307" s="195"/>
    </row>
    <row r="308" spans="5:112" s="193" customFormat="1">
      <c r="E308" s="32"/>
      <c r="F308" s="32"/>
      <c r="G308" s="29"/>
      <c r="H308" s="25"/>
      <c r="I308" s="25"/>
      <c r="J308" s="25"/>
      <c r="K308" s="25"/>
      <c r="L308" s="29"/>
      <c r="M308" s="29"/>
      <c r="N308" s="28"/>
      <c r="O308" s="30"/>
      <c r="P308" s="30"/>
      <c r="Q308" s="30"/>
      <c r="R308" s="30"/>
      <c r="S308" s="30"/>
      <c r="T308" s="30"/>
      <c r="U308" s="30"/>
      <c r="V308" s="29"/>
      <c r="W308" s="28"/>
      <c r="X308" s="149"/>
      <c r="Y308" s="149"/>
      <c r="Z308" s="150"/>
      <c r="AA308" s="150"/>
      <c r="AB308" s="151"/>
      <c r="AC308" s="150"/>
      <c r="AD308" s="150"/>
      <c r="AE308" s="150"/>
      <c r="AF308" s="150"/>
      <c r="AG308" s="150"/>
      <c r="AH308" s="150"/>
      <c r="AI308" s="195"/>
      <c r="AJ308" s="195"/>
      <c r="AK308" s="195"/>
      <c r="AL308" s="195"/>
      <c r="AM308" s="195"/>
      <c r="AN308" s="195"/>
      <c r="AO308" s="195"/>
      <c r="AP308" s="195"/>
      <c r="AQ308" s="195"/>
      <c r="AR308" s="195"/>
      <c r="AS308" s="195"/>
      <c r="AT308" s="195"/>
      <c r="AU308" s="195"/>
      <c r="AV308" s="195"/>
      <c r="AW308" s="195"/>
      <c r="AX308" s="195"/>
      <c r="AY308" s="195"/>
      <c r="AZ308" s="195"/>
      <c r="BA308" s="195"/>
      <c r="BB308" s="195"/>
      <c r="BC308" s="195"/>
      <c r="BD308" s="195"/>
      <c r="BE308" s="195"/>
      <c r="BF308" s="195"/>
      <c r="BG308" s="195"/>
      <c r="BH308" s="195"/>
      <c r="BI308" s="195"/>
      <c r="BJ308" s="195"/>
      <c r="BK308" s="195"/>
      <c r="BL308" s="195"/>
      <c r="BM308" s="195"/>
      <c r="BN308" s="195"/>
      <c r="BO308" s="195"/>
      <c r="BP308" s="195"/>
      <c r="BQ308" s="195"/>
      <c r="BR308" s="195"/>
      <c r="BS308" s="195"/>
      <c r="BT308" s="195"/>
      <c r="BU308" s="195"/>
      <c r="BV308" s="195"/>
      <c r="BW308" s="195"/>
      <c r="BX308" s="195"/>
      <c r="BY308" s="195"/>
      <c r="BZ308" s="195"/>
      <c r="CA308" s="195"/>
      <c r="CB308" s="195"/>
      <c r="CC308" s="195"/>
      <c r="CD308" s="195"/>
      <c r="CE308" s="195"/>
      <c r="CF308" s="195"/>
      <c r="CG308" s="195"/>
      <c r="CH308" s="195"/>
      <c r="CI308" s="195"/>
      <c r="CJ308" s="195"/>
      <c r="CK308" s="195"/>
      <c r="CL308" s="195"/>
      <c r="CM308" s="195"/>
      <c r="CN308" s="195"/>
      <c r="CO308" s="195"/>
      <c r="CP308" s="195"/>
      <c r="CQ308" s="195"/>
      <c r="CR308" s="195"/>
      <c r="CS308" s="195"/>
      <c r="CT308" s="195"/>
      <c r="CU308" s="195"/>
      <c r="CV308" s="195"/>
      <c r="CW308" s="195"/>
      <c r="CX308" s="195"/>
      <c r="CY308" s="195"/>
      <c r="CZ308" s="195"/>
      <c r="DA308" s="195"/>
      <c r="DB308" s="195"/>
      <c r="DC308" s="195"/>
      <c r="DD308" s="195"/>
      <c r="DE308" s="195"/>
      <c r="DF308" s="195"/>
      <c r="DG308" s="195"/>
      <c r="DH308" s="195"/>
    </row>
    <row r="309" spans="5:112" s="193" customFormat="1">
      <c r="E309" s="32"/>
      <c r="F309" s="32"/>
      <c r="G309" s="29"/>
      <c r="H309" s="25"/>
      <c r="I309" s="25"/>
      <c r="J309" s="25"/>
      <c r="K309" s="25"/>
      <c r="L309" s="29"/>
      <c r="M309" s="29"/>
      <c r="N309" s="28"/>
      <c r="O309" s="30"/>
      <c r="P309" s="30"/>
      <c r="Q309" s="30"/>
      <c r="R309" s="30"/>
      <c r="S309" s="30"/>
      <c r="T309" s="30"/>
      <c r="U309" s="30"/>
      <c r="V309" s="29"/>
      <c r="W309" s="28"/>
      <c r="X309" s="149"/>
      <c r="Y309" s="149"/>
      <c r="Z309" s="150"/>
      <c r="AA309" s="150"/>
      <c r="AB309" s="151"/>
      <c r="AC309" s="150"/>
      <c r="AD309" s="150"/>
      <c r="AE309" s="150"/>
      <c r="AF309" s="150"/>
      <c r="AG309" s="150"/>
      <c r="AH309" s="150"/>
      <c r="AI309" s="195"/>
      <c r="AJ309" s="195"/>
      <c r="AK309" s="195"/>
      <c r="AL309" s="195"/>
      <c r="AM309" s="195"/>
      <c r="AN309" s="195"/>
      <c r="AO309" s="195"/>
      <c r="AP309" s="195"/>
      <c r="AQ309" s="195"/>
      <c r="AR309" s="195"/>
      <c r="AS309" s="195"/>
      <c r="AT309" s="195"/>
      <c r="AU309" s="195"/>
      <c r="AV309" s="195"/>
      <c r="AW309" s="195"/>
      <c r="AX309" s="195"/>
      <c r="AY309" s="195"/>
      <c r="AZ309" s="195"/>
      <c r="BA309" s="195"/>
      <c r="BB309" s="195"/>
      <c r="BC309" s="195"/>
      <c r="BD309" s="195"/>
      <c r="BE309" s="195"/>
      <c r="BF309" s="195"/>
      <c r="BG309" s="195"/>
      <c r="BH309" s="195"/>
      <c r="BI309" s="195"/>
      <c r="BJ309" s="195"/>
      <c r="BK309" s="195"/>
      <c r="BL309" s="195"/>
      <c r="BM309" s="195"/>
      <c r="BN309" s="195"/>
      <c r="BO309" s="195"/>
      <c r="BP309" s="195"/>
      <c r="BQ309" s="195"/>
      <c r="BR309" s="195"/>
      <c r="BS309" s="195"/>
      <c r="BT309" s="195"/>
      <c r="BU309" s="195"/>
      <c r="BV309" s="195"/>
      <c r="BW309" s="195"/>
      <c r="BX309" s="195"/>
      <c r="BY309" s="195"/>
      <c r="BZ309" s="195"/>
      <c r="CA309" s="195"/>
      <c r="CB309" s="195"/>
      <c r="CC309" s="195"/>
      <c r="CD309" s="195"/>
      <c r="CE309" s="195"/>
      <c r="CF309" s="195"/>
      <c r="CG309" s="195"/>
      <c r="CH309" s="195"/>
      <c r="CI309" s="195"/>
      <c r="CJ309" s="195"/>
      <c r="CK309" s="195"/>
      <c r="CL309" s="195"/>
      <c r="CM309" s="195"/>
      <c r="CN309" s="195"/>
      <c r="CO309" s="195"/>
      <c r="CP309" s="195"/>
      <c r="CQ309" s="195"/>
      <c r="CR309" s="195"/>
      <c r="CS309" s="195"/>
      <c r="CT309" s="195"/>
      <c r="CU309" s="195"/>
      <c r="CV309" s="195"/>
      <c r="CW309" s="195"/>
      <c r="CX309" s="195"/>
      <c r="CY309" s="195"/>
      <c r="CZ309" s="195"/>
      <c r="DA309" s="195"/>
      <c r="DB309" s="195"/>
      <c r="DC309" s="195"/>
      <c r="DD309" s="195"/>
      <c r="DE309" s="195"/>
      <c r="DF309" s="195"/>
      <c r="DG309" s="195"/>
      <c r="DH309" s="195"/>
    </row>
    <row r="310" spans="5:112" s="193" customFormat="1">
      <c r="E310" s="32"/>
      <c r="F310" s="32"/>
      <c r="G310" s="29"/>
      <c r="H310" s="25"/>
      <c r="I310" s="25"/>
      <c r="J310" s="25"/>
      <c r="K310" s="25"/>
      <c r="L310" s="29"/>
      <c r="M310" s="29"/>
      <c r="N310" s="28"/>
      <c r="O310" s="30"/>
      <c r="P310" s="30"/>
      <c r="Q310" s="30"/>
      <c r="R310" s="30"/>
      <c r="S310" s="30"/>
      <c r="T310" s="30"/>
      <c r="U310" s="30"/>
      <c r="V310" s="29"/>
      <c r="W310" s="28"/>
      <c r="X310" s="149"/>
      <c r="Y310" s="149"/>
      <c r="Z310" s="150"/>
      <c r="AA310" s="150"/>
      <c r="AB310" s="151"/>
      <c r="AC310" s="150"/>
      <c r="AD310" s="150"/>
      <c r="AE310" s="150"/>
      <c r="AF310" s="150"/>
      <c r="AG310" s="150"/>
      <c r="AH310" s="150"/>
      <c r="AI310" s="195"/>
      <c r="AJ310" s="195"/>
      <c r="AK310" s="195"/>
      <c r="AL310" s="195"/>
      <c r="AM310" s="195"/>
      <c r="AN310" s="195"/>
      <c r="AO310" s="195"/>
      <c r="AP310" s="195"/>
      <c r="AQ310" s="195"/>
      <c r="AR310" s="195"/>
      <c r="AS310" s="195"/>
      <c r="AT310" s="195"/>
      <c r="AU310" s="195"/>
      <c r="AV310" s="195"/>
      <c r="AW310" s="195"/>
      <c r="AX310" s="195"/>
      <c r="AY310" s="195"/>
      <c r="AZ310" s="195"/>
      <c r="BA310" s="195"/>
      <c r="BB310" s="195"/>
      <c r="BC310" s="195"/>
      <c r="BD310" s="195"/>
      <c r="BE310" s="195"/>
      <c r="BF310" s="195"/>
      <c r="BG310" s="195"/>
      <c r="BH310" s="195"/>
      <c r="BI310" s="195"/>
      <c r="BJ310" s="195"/>
      <c r="BK310" s="195"/>
      <c r="BL310" s="195"/>
      <c r="BM310" s="195"/>
      <c r="BN310" s="195"/>
      <c r="BO310" s="195"/>
      <c r="BP310" s="195"/>
      <c r="BQ310" s="195"/>
      <c r="BR310" s="195"/>
      <c r="BS310" s="195"/>
      <c r="BT310" s="195"/>
      <c r="BU310" s="195"/>
      <c r="BV310" s="195"/>
      <c r="BW310" s="195"/>
      <c r="BX310" s="195"/>
      <c r="BY310" s="195"/>
      <c r="BZ310" s="195"/>
      <c r="CA310" s="195"/>
      <c r="CB310" s="195"/>
      <c r="CC310" s="195"/>
      <c r="CD310" s="195"/>
      <c r="CE310" s="195"/>
      <c r="CF310" s="195"/>
      <c r="CG310" s="195"/>
      <c r="CH310" s="195"/>
      <c r="CI310" s="195"/>
      <c r="CJ310" s="195"/>
      <c r="CK310" s="195"/>
      <c r="CL310" s="195"/>
      <c r="CM310" s="195"/>
      <c r="CN310" s="195"/>
      <c r="CO310" s="195"/>
      <c r="CP310" s="195"/>
      <c r="CQ310" s="195"/>
      <c r="CR310" s="195"/>
      <c r="CS310" s="195"/>
      <c r="CT310" s="195"/>
      <c r="CU310" s="195"/>
      <c r="CV310" s="195"/>
      <c r="CW310" s="195"/>
      <c r="CX310" s="195"/>
      <c r="CY310" s="195"/>
      <c r="CZ310" s="195"/>
      <c r="DA310" s="195"/>
      <c r="DB310" s="195"/>
      <c r="DC310" s="195"/>
      <c r="DD310" s="195"/>
      <c r="DE310" s="195"/>
      <c r="DF310" s="195"/>
      <c r="DG310" s="195"/>
      <c r="DH310" s="195"/>
    </row>
    <row r="311" spans="5:112" s="193" customFormat="1">
      <c r="E311" s="32"/>
      <c r="F311" s="32"/>
      <c r="G311" s="29"/>
      <c r="H311" s="25"/>
      <c r="I311" s="25"/>
      <c r="J311" s="25"/>
      <c r="K311" s="25"/>
      <c r="L311" s="29"/>
      <c r="M311" s="29"/>
      <c r="N311" s="28"/>
      <c r="O311" s="30"/>
      <c r="P311" s="30"/>
      <c r="Q311" s="30"/>
      <c r="R311" s="30"/>
      <c r="S311" s="30"/>
      <c r="T311" s="30"/>
      <c r="U311" s="30"/>
      <c r="V311" s="29"/>
      <c r="W311" s="28"/>
      <c r="X311" s="149"/>
      <c r="Y311" s="149"/>
      <c r="Z311" s="150"/>
      <c r="AA311" s="150"/>
      <c r="AB311" s="151"/>
      <c r="AC311" s="150"/>
      <c r="AD311" s="150"/>
      <c r="AE311" s="150"/>
      <c r="AF311" s="150"/>
      <c r="AG311" s="150"/>
      <c r="AH311" s="150"/>
      <c r="AI311" s="195"/>
      <c r="AJ311" s="195"/>
      <c r="AK311" s="195"/>
      <c r="AL311" s="195"/>
      <c r="AM311" s="195"/>
      <c r="AN311" s="195"/>
      <c r="AO311" s="195"/>
      <c r="AP311" s="195"/>
      <c r="AQ311" s="195"/>
      <c r="AR311" s="195"/>
      <c r="AS311" s="195"/>
      <c r="AT311" s="195"/>
      <c r="AU311" s="195"/>
      <c r="AV311" s="195"/>
      <c r="AW311" s="195"/>
      <c r="AX311" s="195"/>
      <c r="AY311" s="195"/>
      <c r="AZ311" s="195"/>
      <c r="BA311" s="195"/>
      <c r="BB311" s="195"/>
      <c r="BC311" s="195"/>
      <c r="BD311" s="195"/>
      <c r="BE311" s="195"/>
      <c r="BF311" s="195"/>
      <c r="BG311" s="195"/>
      <c r="BH311" s="195"/>
      <c r="BI311" s="195"/>
      <c r="BJ311" s="195"/>
      <c r="BK311" s="195"/>
      <c r="BL311" s="195"/>
      <c r="BM311" s="195"/>
      <c r="BN311" s="195"/>
      <c r="BO311" s="195"/>
      <c r="BP311" s="195"/>
      <c r="BQ311" s="195"/>
      <c r="BR311" s="195"/>
      <c r="BS311" s="195"/>
      <c r="BT311" s="195"/>
      <c r="BU311" s="195"/>
      <c r="BV311" s="195"/>
      <c r="BW311" s="195"/>
      <c r="BX311" s="195"/>
      <c r="BY311" s="195"/>
      <c r="BZ311" s="195"/>
      <c r="CA311" s="195"/>
      <c r="CB311" s="195"/>
      <c r="CC311" s="195"/>
      <c r="CD311" s="195"/>
      <c r="CE311" s="195"/>
      <c r="CF311" s="195"/>
      <c r="CG311" s="195"/>
      <c r="CH311" s="195"/>
      <c r="CI311" s="195"/>
      <c r="CJ311" s="195"/>
      <c r="CK311" s="195"/>
      <c r="CL311" s="195"/>
      <c r="CM311" s="195"/>
      <c r="CN311" s="195"/>
      <c r="CO311" s="195"/>
      <c r="CP311" s="195"/>
      <c r="CQ311" s="195"/>
      <c r="CR311" s="195"/>
      <c r="CS311" s="195"/>
      <c r="CT311" s="195"/>
      <c r="CU311" s="195"/>
      <c r="CV311" s="195"/>
      <c r="CW311" s="195"/>
      <c r="CX311" s="195"/>
      <c r="CY311" s="195"/>
      <c r="CZ311" s="195"/>
      <c r="DA311" s="195"/>
      <c r="DB311" s="195"/>
      <c r="DC311" s="195"/>
      <c r="DD311" s="195"/>
      <c r="DE311" s="195"/>
      <c r="DF311" s="195"/>
      <c r="DG311" s="195"/>
      <c r="DH311" s="195"/>
    </row>
    <row r="312" spans="5:112" s="193" customFormat="1">
      <c r="E312" s="32"/>
      <c r="F312" s="32"/>
      <c r="G312" s="29"/>
      <c r="H312" s="25"/>
      <c r="I312" s="25"/>
      <c r="J312" s="25"/>
      <c r="K312" s="25"/>
      <c r="L312" s="29"/>
      <c r="M312" s="29"/>
      <c r="N312" s="28"/>
      <c r="O312" s="30"/>
      <c r="P312" s="30"/>
      <c r="Q312" s="30"/>
      <c r="R312" s="30"/>
      <c r="S312" s="30"/>
      <c r="T312" s="30"/>
      <c r="U312" s="30"/>
      <c r="V312" s="29"/>
      <c r="W312" s="28"/>
      <c r="X312" s="149"/>
      <c r="Y312" s="149"/>
      <c r="Z312" s="150"/>
      <c r="AA312" s="150"/>
      <c r="AB312" s="151"/>
      <c r="AC312" s="150"/>
      <c r="AD312" s="150"/>
      <c r="AE312" s="150"/>
      <c r="AF312" s="150"/>
      <c r="AG312" s="150"/>
      <c r="AH312" s="150"/>
      <c r="AI312" s="195"/>
      <c r="AJ312" s="195"/>
      <c r="AK312" s="195"/>
      <c r="AL312" s="195"/>
      <c r="AM312" s="195"/>
      <c r="AN312" s="195"/>
      <c r="AO312" s="195"/>
      <c r="AP312" s="195"/>
      <c r="AQ312" s="195"/>
      <c r="AR312" s="195"/>
      <c r="AS312" s="195"/>
      <c r="AT312" s="195"/>
      <c r="AU312" s="195"/>
      <c r="AV312" s="195"/>
      <c r="AW312" s="195"/>
      <c r="AX312" s="195"/>
      <c r="AY312" s="195"/>
      <c r="AZ312" s="195"/>
      <c r="BA312" s="195"/>
      <c r="BB312" s="195"/>
      <c r="BC312" s="195"/>
      <c r="BD312" s="195"/>
      <c r="BE312" s="195"/>
      <c r="BF312" s="195"/>
      <c r="BG312" s="195"/>
      <c r="BH312" s="195"/>
      <c r="BI312" s="195"/>
      <c r="BJ312" s="195"/>
      <c r="BK312" s="195"/>
      <c r="BL312" s="195"/>
      <c r="BM312" s="195"/>
      <c r="BN312" s="195"/>
      <c r="BO312" s="195"/>
      <c r="BP312" s="195"/>
      <c r="BQ312" s="195"/>
      <c r="BR312" s="195"/>
      <c r="BS312" s="195"/>
      <c r="BT312" s="195"/>
      <c r="BU312" s="195"/>
      <c r="BV312" s="195"/>
      <c r="BW312" s="195"/>
      <c r="BX312" s="195"/>
      <c r="BY312" s="195"/>
      <c r="BZ312" s="195"/>
      <c r="CA312" s="195"/>
      <c r="CB312" s="195"/>
      <c r="CC312" s="195"/>
      <c r="CD312" s="195"/>
      <c r="CE312" s="195"/>
      <c r="CF312" s="195"/>
      <c r="CG312" s="195"/>
      <c r="CH312" s="195"/>
      <c r="CI312" s="195"/>
      <c r="CJ312" s="195"/>
      <c r="CK312" s="195"/>
      <c r="CL312" s="195"/>
      <c r="CM312" s="195"/>
      <c r="CN312" s="195"/>
      <c r="CO312" s="195"/>
      <c r="CP312" s="195"/>
      <c r="CQ312" s="195"/>
      <c r="CR312" s="195"/>
      <c r="CS312" s="195"/>
      <c r="CT312" s="195"/>
      <c r="CU312" s="195"/>
      <c r="CV312" s="195"/>
      <c r="CW312" s="195"/>
      <c r="CX312" s="195"/>
      <c r="CY312" s="195"/>
      <c r="CZ312" s="195"/>
      <c r="DA312" s="195"/>
      <c r="DB312" s="195"/>
      <c r="DC312" s="195"/>
      <c r="DD312" s="195"/>
      <c r="DE312" s="195"/>
      <c r="DF312" s="195"/>
      <c r="DG312" s="195"/>
      <c r="DH312" s="195"/>
    </row>
    <row r="313" spans="5:112" s="193" customFormat="1">
      <c r="E313" s="32"/>
      <c r="F313" s="32"/>
      <c r="G313" s="29"/>
      <c r="H313" s="25"/>
      <c r="I313" s="25"/>
      <c r="J313" s="25"/>
      <c r="K313" s="25"/>
      <c r="L313" s="29"/>
      <c r="M313" s="29"/>
      <c r="N313" s="28"/>
      <c r="O313" s="30"/>
      <c r="P313" s="30"/>
      <c r="Q313" s="30"/>
      <c r="R313" s="30"/>
      <c r="S313" s="30"/>
      <c r="T313" s="30"/>
      <c r="U313" s="30"/>
      <c r="V313" s="29"/>
      <c r="W313" s="28"/>
      <c r="X313" s="149"/>
      <c r="Y313" s="149"/>
      <c r="Z313" s="150"/>
      <c r="AA313" s="150"/>
      <c r="AB313" s="151"/>
      <c r="AC313" s="150"/>
      <c r="AD313" s="150"/>
      <c r="AE313" s="150"/>
      <c r="AF313" s="150"/>
      <c r="AG313" s="150"/>
      <c r="AH313" s="150"/>
      <c r="AI313" s="195"/>
      <c r="AJ313" s="195"/>
      <c r="AK313" s="195"/>
      <c r="AL313" s="195"/>
      <c r="AM313" s="195"/>
      <c r="AN313" s="195"/>
      <c r="AO313" s="195"/>
      <c r="AP313" s="195"/>
      <c r="AQ313" s="195"/>
      <c r="AR313" s="195"/>
      <c r="AS313" s="195"/>
      <c r="AT313" s="195"/>
      <c r="AU313" s="195"/>
      <c r="AV313" s="195"/>
      <c r="AW313" s="195"/>
      <c r="AX313" s="195"/>
      <c r="AY313" s="195"/>
      <c r="AZ313" s="195"/>
      <c r="BA313" s="195"/>
      <c r="BB313" s="195"/>
      <c r="BC313" s="195"/>
      <c r="BD313" s="195"/>
      <c r="BE313" s="195"/>
      <c r="BF313" s="195"/>
      <c r="BG313" s="195"/>
      <c r="BH313" s="195"/>
      <c r="BI313" s="195"/>
      <c r="BJ313" s="195"/>
      <c r="BK313" s="195"/>
      <c r="BL313" s="195"/>
      <c r="BM313" s="195"/>
      <c r="BN313" s="195"/>
      <c r="BO313" s="195"/>
      <c r="BP313" s="195"/>
      <c r="BQ313" s="195"/>
      <c r="BR313" s="195"/>
      <c r="BS313" s="195"/>
      <c r="BT313" s="195"/>
      <c r="BU313" s="195"/>
      <c r="BV313" s="195"/>
      <c r="BW313" s="195"/>
      <c r="BX313" s="195"/>
      <c r="BY313" s="195"/>
      <c r="BZ313" s="195"/>
      <c r="CA313" s="195"/>
      <c r="CB313" s="195"/>
      <c r="CC313" s="195"/>
      <c r="CD313" s="195"/>
      <c r="CE313" s="195"/>
      <c r="CF313" s="195"/>
      <c r="CG313" s="195"/>
      <c r="CH313" s="195"/>
      <c r="CI313" s="195"/>
      <c r="CJ313" s="195"/>
      <c r="CK313" s="195"/>
      <c r="CL313" s="195"/>
      <c r="CM313" s="195"/>
      <c r="CN313" s="195"/>
      <c r="CO313" s="195"/>
      <c r="CP313" s="195"/>
      <c r="CQ313" s="195"/>
      <c r="CR313" s="195"/>
      <c r="CS313" s="195"/>
      <c r="CT313" s="195"/>
      <c r="CU313" s="195"/>
      <c r="CV313" s="195"/>
      <c r="CW313" s="195"/>
      <c r="CX313" s="195"/>
      <c r="CY313" s="195"/>
      <c r="CZ313" s="195"/>
      <c r="DA313" s="195"/>
      <c r="DB313" s="195"/>
      <c r="DC313" s="195"/>
      <c r="DD313" s="195"/>
      <c r="DE313" s="195"/>
      <c r="DF313" s="195"/>
      <c r="DG313" s="195"/>
      <c r="DH313" s="195"/>
    </row>
    <row r="314" spans="5:112" s="193" customFormat="1">
      <c r="E314" s="32"/>
      <c r="F314" s="32"/>
      <c r="G314" s="29"/>
      <c r="H314" s="25"/>
      <c r="I314" s="25"/>
      <c r="J314" s="25"/>
      <c r="K314" s="25"/>
      <c r="L314" s="29"/>
      <c r="M314" s="29"/>
      <c r="N314" s="28"/>
      <c r="O314" s="30"/>
      <c r="P314" s="30"/>
      <c r="Q314" s="30"/>
      <c r="R314" s="30"/>
      <c r="S314" s="30"/>
      <c r="T314" s="30"/>
      <c r="U314" s="30"/>
      <c r="V314" s="29"/>
      <c r="W314" s="28"/>
      <c r="X314" s="149"/>
      <c r="Y314" s="149"/>
      <c r="Z314" s="150"/>
      <c r="AA314" s="150"/>
      <c r="AB314" s="151"/>
      <c r="AC314" s="150"/>
      <c r="AD314" s="150"/>
      <c r="AE314" s="150"/>
      <c r="AF314" s="150"/>
      <c r="AG314" s="150"/>
      <c r="AH314" s="150"/>
      <c r="AI314" s="195"/>
      <c r="AJ314" s="195"/>
      <c r="AK314" s="195"/>
      <c r="AL314" s="195"/>
      <c r="AM314" s="195"/>
      <c r="AN314" s="195"/>
      <c r="AO314" s="195"/>
      <c r="AP314" s="195"/>
      <c r="AQ314" s="195"/>
      <c r="AR314" s="195"/>
      <c r="AS314" s="195"/>
      <c r="AT314" s="195"/>
      <c r="AU314" s="195"/>
      <c r="AV314" s="195"/>
      <c r="AW314" s="195"/>
      <c r="AX314" s="195"/>
      <c r="AY314" s="195"/>
      <c r="AZ314" s="195"/>
      <c r="BA314" s="195"/>
      <c r="BB314" s="195"/>
      <c r="BC314" s="195"/>
      <c r="BD314" s="195"/>
      <c r="BE314" s="195"/>
      <c r="BF314" s="195"/>
      <c r="BG314" s="195"/>
      <c r="BH314" s="195"/>
      <c r="BI314" s="195"/>
      <c r="BJ314" s="195"/>
      <c r="BK314" s="195"/>
      <c r="BL314" s="195"/>
      <c r="BM314" s="195"/>
      <c r="BN314" s="195"/>
      <c r="BO314" s="195"/>
      <c r="BP314" s="195"/>
      <c r="BQ314" s="195"/>
      <c r="BR314" s="195"/>
      <c r="BS314" s="195"/>
      <c r="BT314" s="195"/>
      <c r="BU314" s="195"/>
      <c r="BV314" s="195"/>
      <c r="BW314" s="195"/>
      <c r="BX314" s="195"/>
      <c r="BY314" s="195"/>
      <c r="BZ314" s="195"/>
      <c r="CA314" s="195"/>
      <c r="CB314" s="195"/>
      <c r="CC314" s="195"/>
      <c r="CD314" s="195"/>
      <c r="CE314" s="195"/>
      <c r="CF314" s="195"/>
      <c r="CG314" s="195"/>
      <c r="CH314" s="195"/>
      <c r="CI314" s="195"/>
      <c r="CJ314" s="195"/>
      <c r="CK314" s="195"/>
      <c r="CL314" s="195"/>
      <c r="CM314" s="195"/>
      <c r="CN314" s="195"/>
      <c r="CO314" s="195"/>
      <c r="CP314" s="195"/>
      <c r="CQ314" s="195"/>
      <c r="CR314" s="195"/>
      <c r="CS314" s="195"/>
      <c r="CT314" s="195"/>
      <c r="CU314" s="195"/>
      <c r="CV314" s="195"/>
      <c r="CW314" s="195"/>
      <c r="CX314" s="195"/>
      <c r="CY314" s="195"/>
      <c r="CZ314" s="195"/>
      <c r="DA314" s="195"/>
      <c r="DB314" s="195"/>
      <c r="DC314" s="195"/>
      <c r="DD314" s="195"/>
      <c r="DE314" s="195"/>
      <c r="DF314" s="195"/>
      <c r="DG314" s="195"/>
      <c r="DH314" s="195"/>
    </row>
    <row r="315" spans="5:112" s="193" customFormat="1">
      <c r="E315" s="32"/>
      <c r="F315" s="32"/>
      <c r="G315" s="29"/>
      <c r="H315" s="25"/>
      <c r="I315" s="25"/>
      <c r="J315" s="25"/>
      <c r="K315" s="25"/>
      <c r="L315" s="29"/>
      <c r="M315" s="29"/>
      <c r="N315" s="28"/>
      <c r="O315" s="30"/>
      <c r="P315" s="30"/>
      <c r="Q315" s="30"/>
      <c r="R315" s="30"/>
      <c r="S315" s="30"/>
      <c r="T315" s="30"/>
      <c r="U315" s="30"/>
      <c r="V315" s="29"/>
      <c r="W315" s="28"/>
      <c r="X315" s="149"/>
      <c r="Y315" s="149"/>
      <c r="Z315" s="150"/>
      <c r="AA315" s="150"/>
      <c r="AB315" s="151"/>
      <c r="AC315" s="150"/>
      <c r="AD315" s="150"/>
      <c r="AE315" s="150"/>
      <c r="AF315" s="150"/>
      <c r="AG315" s="150"/>
      <c r="AH315" s="150"/>
      <c r="AI315" s="195"/>
      <c r="AJ315" s="195"/>
      <c r="AK315" s="195"/>
      <c r="AL315" s="195"/>
      <c r="AM315" s="195"/>
      <c r="AN315" s="195"/>
      <c r="AO315" s="195"/>
      <c r="AP315" s="195"/>
      <c r="AQ315" s="195"/>
      <c r="AR315" s="195"/>
      <c r="AS315" s="195"/>
      <c r="AT315" s="195"/>
      <c r="AU315" s="195"/>
      <c r="AV315" s="195"/>
      <c r="AW315" s="195"/>
      <c r="AX315" s="195"/>
      <c r="AY315" s="195"/>
      <c r="AZ315" s="195"/>
      <c r="BA315" s="195"/>
      <c r="BB315" s="195"/>
      <c r="BC315" s="195"/>
      <c r="BD315" s="195"/>
      <c r="BE315" s="195"/>
      <c r="BF315" s="195"/>
      <c r="BG315" s="195"/>
      <c r="BH315" s="195"/>
      <c r="BI315" s="195"/>
      <c r="BJ315" s="195"/>
      <c r="BK315" s="195"/>
      <c r="BL315" s="195"/>
      <c r="BM315" s="195"/>
      <c r="BN315" s="195"/>
      <c r="BO315" s="195"/>
      <c r="BP315" s="195"/>
      <c r="BQ315" s="195"/>
      <c r="BR315" s="195"/>
      <c r="BS315" s="195"/>
      <c r="BT315" s="195"/>
      <c r="BU315" s="195"/>
      <c r="BV315" s="195"/>
      <c r="BW315" s="195"/>
      <c r="BX315" s="195"/>
      <c r="BY315" s="195"/>
      <c r="BZ315" s="195"/>
      <c r="CA315" s="195"/>
      <c r="CB315" s="195"/>
      <c r="CC315" s="195"/>
      <c r="CD315" s="195"/>
      <c r="CE315" s="195"/>
      <c r="CF315" s="195"/>
      <c r="CG315" s="195"/>
      <c r="CH315" s="195"/>
      <c r="CI315" s="195"/>
      <c r="CJ315" s="195"/>
      <c r="CK315" s="195"/>
      <c r="CL315" s="195"/>
      <c r="CM315" s="195"/>
      <c r="CN315" s="195"/>
      <c r="CO315" s="195"/>
      <c r="CP315" s="195"/>
      <c r="CQ315" s="195"/>
      <c r="CR315" s="195"/>
      <c r="CS315" s="195"/>
      <c r="CT315" s="195"/>
      <c r="CU315" s="195"/>
      <c r="CV315" s="195"/>
      <c r="CW315" s="195"/>
      <c r="CX315" s="195"/>
      <c r="CY315" s="195"/>
      <c r="CZ315" s="195"/>
      <c r="DA315" s="195"/>
      <c r="DB315" s="195"/>
      <c r="DC315" s="195"/>
      <c r="DD315" s="195"/>
      <c r="DE315" s="195"/>
      <c r="DF315" s="195"/>
      <c r="DG315" s="195"/>
      <c r="DH315" s="195"/>
    </row>
    <row r="316" spans="5:112" s="193" customFormat="1">
      <c r="E316" s="32"/>
      <c r="F316" s="32"/>
      <c r="G316" s="29"/>
      <c r="H316" s="25"/>
      <c r="I316" s="25"/>
      <c r="J316" s="25"/>
      <c r="K316" s="25"/>
      <c r="L316" s="29"/>
      <c r="M316" s="29"/>
      <c r="N316" s="28"/>
      <c r="O316" s="30"/>
      <c r="P316" s="30"/>
      <c r="Q316" s="30"/>
      <c r="R316" s="30"/>
      <c r="S316" s="30"/>
      <c r="T316" s="30"/>
      <c r="U316" s="30"/>
      <c r="V316" s="29"/>
      <c r="W316" s="28"/>
      <c r="X316" s="149"/>
      <c r="Y316" s="149"/>
      <c r="Z316" s="150"/>
      <c r="AA316" s="150"/>
      <c r="AB316" s="151"/>
      <c r="AC316" s="150"/>
      <c r="AD316" s="150"/>
      <c r="AE316" s="150"/>
      <c r="AF316" s="150"/>
      <c r="AG316" s="150"/>
      <c r="AH316" s="150"/>
      <c r="AI316" s="195"/>
      <c r="AJ316" s="195"/>
      <c r="AK316" s="195"/>
      <c r="AL316" s="195"/>
      <c r="AM316" s="195"/>
      <c r="AN316" s="195"/>
      <c r="AO316" s="195"/>
      <c r="AP316" s="195"/>
      <c r="AQ316" s="195"/>
      <c r="AR316" s="195"/>
      <c r="AS316" s="195"/>
      <c r="AT316" s="195"/>
      <c r="AU316" s="195"/>
      <c r="AV316" s="195"/>
      <c r="AW316" s="195"/>
      <c r="AX316" s="195"/>
      <c r="AY316" s="195"/>
      <c r="AZ316" s="195"/>
      <c r="BA316" s="195"/>
      <c r="BB316" s="195"/>
      <c r="BC316" s="195"/>
      <c r="BD316" s="195"/>
      <c r="BE316" s="195"/>
      <c r="BF316" s="195"/>
      <c r="BG316" s="195"/>
      <c r="BH316" s="195"/>
      <c r="BI316" s="195"/>
      <c r="BJ316" s="195"/>
      <c r="BK316" s="195"/>
      <c r="BL316" s="195"/>
      <c r="BM316" s="195"/>
      <c r="BN316" s="195"/>
      <c r="BO316" s="195"/>
      <c r="BP316" s="195"/>
      <c r="BQ316" s="195"/>
      <c r="BR316" s="195"/>
      <c r="BS316" s="195"/>
      <c r="BT316" s="195"/>
      <c r="BU316" s="195"/>
      <c r="BV316" s="195"/>
      <c r="BW316" s="195"/>
      <c r="BX316" s="195"/>
      <c r="BY316" s="195"/>
      <c r="BZ316" s="195"/>
      <c r="CA316" s="195"/>
      <c r="CB316" s="195"/>
      <c r="CC316" s="195"/>
      <c r="CD316" s="195"/>
      <c r="CE316" s="195"/>
      <c r="CF316" s="195"/>
      <c r="CG316" s="195"/>
      <c r="CH316" s="195"/>
      <c r="CI316" s="195"/>
      <c r="CJ316" s="195"/>
      <c r="CK316" s="195"/>
      <c r="CL316" s="195"/>
      <c r="CM316" s="195"/>
      <c r="CN316" s="195"/>
      <c r="CO316" s="195"/>
      <c r="CP316" s="195"/>
      <c r="CQ316" s="195"/>
      <c r="CR316" s="195"/>
      <c r="CS316" s="195"/>
      <c r="CT316" s="195"/>
      <c r="CU316" s="195"/>
      <c r="CV316" s="195"/>
      <c r="CW316" s="195"/>
      <c r="CX316" s="195"/>
      <c r="CY316" s="195"/>
      <c r="CZ316" s="195"/>
      <c r="DA316" s="195"/>
      <c r="DB316" s="195"/>
      <c r="DC316" s="195"/>
      <c r="DD316" s="195"/>
      <c r="DE316" s="195"/>
      <c r="DF316" s="195"/>
      <c r="DG316" s="195"/>
      <c r="DH316" s="195"/>
    </row>
    <row r="317" spans="5:112" s="193" customFormat="1">
      <c r="E317" s="32"/>
      <c r="F317" s="32"/>
      <c r="G317" s="29"/>
      <c r="H317" s="25"/>
      <c r="I317" s="25"/>
      <c r="J317" s="25"/>
      <c r="K317" s="25"/>
      <c r="L317" s="29"/>
      <c r="M317" s="29"/>
      <c r="N317" s="28"/>
      <c r="O317" s="30"/>
      <c r="P317" s="30"/>
      <c r="Q317" s="30"/>
      <c r="R317" s="30"/>
      <c r="S317" s="30"/>
      <c r="T317" s="30"/>
      <c r="U317" s="30"/>
      <c r="V317" s="29"/>
      <c r="W317" s="28"/>
      <c r="X317" s="149"/>
      <c r="Y317" s="149"/>
      <c r="Z317" s="150"/>
      <c r="AA317" s="150"/>
      <c r="AB317" s="151"/>
      <c r="AC317" s="150"/>
      <c r="AD317" s="150"/>
      <c r="AE317" s="150"/>
      <c r="AF317" s="150"/>
      <c r="AG317" s="150"/>
      <c r="AH317" s="150"/>
      <c r="AI317" s="195"/>
      <c r="AJ317" s="195"/>
      <c r="AK317" s="195"/>
      <c r="AL317" s="195"/>
      <c r="AM317" s="195"/>
      <c r="AN317" s="195"/>
      <c r="AO317" s="195"/>
      <c r="AP317" s="195"/>
      <c r="AQ317" s="195"/>
      <c r="AR317" s="195"/>
      <c r="AS317" s="195"/>
      <c r="AT317" s="195"/>
      <c r="AU317" s="195"/>
      <c r="AV317" s="195"/>
      <c r="AW317" s="195"/>
      <c r="AX317" s="195"/>
      <c r="AY317" s="195"/>
      <c r="AZ317" s="195"/>
      <c r="BA317" s="195"/>
      <c r="BB317" s="195"/>
      <c r="BC317" s="195"/>
      <c r="BD317" s="195"/>
      <c r="BE317" s="195"/>
      <c r="BF317" s="195"/>
      <c r="BG317" s="195"/>
      <c r="BH317" s="195"/>
      <c r="BI317" s="195"/>
      <c r="BJ317" s="195"/>
      <c r="BK317" s="195"/>
      <c r="BL317" s="195"/>
      <c r="BM317" s="195"/>
      <c r="BN317" s="195"/>
      <c r="BO317" s="195"/>
      <c r="BP317" s="195"/>
      <c r="BQ317" s="195"/>
      <c r="BR317" s="195"/>
      <c r="BS317" s="195"/>
      <c r="BT317" s="195"/>
      <c r="BU317" s="195"/>
      <c r="BV317" s="195"/>
      <c r="BW317" s="195"/>
      <c r="BX317" s="195"/>
      <c r="BY317" s="195"/>
      <c r="BZ317" s="195"/>
      <c r="CA317" s="195"/>
      <c r="CB317" s="195"/>
      <c r="CC317" s="195"/>
      <c r="CD317" s="195"/>
      <c r="CE317" s="195"/>
      <c r="CF317" s="195"/>
      <c r="CG317" s="195"/>
      <c r="CH317" s="195"/>
      <c r="CI317" s="195"/>
      <c r="CJ317" s="195"/>
      <c r="CK317" s="195"/>
      <c r="CL317" s="195"/>
      <c r="CM317" s="195"/>
      <c r="CN317" s="195"/>
      <c r="CO317" s="195"/>
      <c r="CP317" s="195"/>
      <c r="CQ317" s="195"/>
      <c r="CR317" s="195"/>
      <c r="CS317" s="195"/>
      <c r="CT317" s="195"/>
      <c r="CU317" s="195"/>
      <c r="CV317" s="195"/>
      <c r="CW317" s="195"/>
      <c r="CX317" s="195"/>
      <c r="CY317" s="195"/>
      <c r="CZ317" s="195"/>
      <c r="DA317" s="195"/>
      <c r="DB317" s="195"/>
      <c r="DC317" s="195"/>
      <c r="DD317" s="195"/>
      <c r="DE317" s="195"/>
      <c r="DF317" s="195"/>
      <c r="DG317" s="195"/>
      <c r="DH317" s="195"/>
    </row>
    <row r="318" spans="5:112" s="193" customFormat="1">
      <c r="E318" s="32"/>
      <c r="F318" s="32"/>
      <c r="G318" s="29"/>
      <c r="H318" s="25"/>
      <c r="I318" s="25"/>
      <c r="J318" s="25"/>
      <c r="K318" s="25"/>
      <c r="L318" s="29"/>
      <c r="M318" s="29"/>
      <c r="N318" s="28"/>
      <c r="O318" s="30"/>
      <c r="P318" s="30"/>
      <c r="Q318" s="30"/>
      <c r="R318" s="30"/>
      <c r="S318" s="30"/>
      <c r="T318" s="30"/>
      <c r="U318" s="30"/>
      <c r="V318" s="29"/>
      <c r="W318" s="28"/>
      <c r="X318" s="149"/>
      <c r="Y318" s="149"/>
      <c r="Z318" s="150"/>
      <c r="AA318" s="150"/>
      <c r="AB318" s="151"/>
      <c r="AC318" s="150"/>
      <c r="AD318" s="150"/>
      <c r="AE318" s="150"/>
      <c r="AF318" s="150"/>
      <c r="AG318" s="150"/>
      <c r="AH318" s="150"/>
      <c r="AI318" s="195"/>
      <c r="AJ318" s="195"/>
      <c r="AK318" s="195"/>
      <c r="AL318" s="195"/>
      <c r="AM318" s="195"/>
      <c r="AN318" s="195"/>
      <c r="AO318" s="195"/>
      <c r="AP318" s="195"/>
      <c r="AQ318" s="195"/>
      <c r="AR318" s="195"/>
      <c r="AS318" s="195"/>
      <c r="AT318" s="195"/>
      <c r="AU318" s="195"/>
      <c r="AV318" s="195"/>
      <c r="AW318" s="195"/>
      <c r="AX318" s="195"/>
      <c r="AY318" s="195"/>
      <c r="AZ318" s="195"/>
      <c r="BA318" s="195"/>
      <c r="BB318" s="195"/>
      <c r="BC318" s="195"/>
      <c r="BD318" s="195"/>
      <c r="BE318" s="195"/>
      <c r="BF318" s="195"/>
      <c r="BG318" s="195"/>
      <c r="BH318" s="195"/>
      <c r="BI318" s="195"/>
      <c r="BJ318" s="195"/>
      <c r="BK318" s="195"/>
      <c r="BL318" s="195"/>
      <c r="BM318" s="195"/>
      <c r="BN318" s="195"/>
      <c r="BO318" s="195"/>
      <c r="BP318" s="195"/>
      <c r="BQ318" s="195"/>
      <c r="BR318" s="195"/>
      <c r="BS318" s="195"/>
      <c r="BT318" s="195"/>
      <c r="BU318" s="195"/>
      <c r="BV318" s="195"/>
      <c r="BW318" s="195"/>
      <c r="BX318" s="195"/>
      <c r="BY318" s="195"/>
      <c r="BZ318" s="195"/>
      <c r="CA318" s="195"/>
      <c r="CB318" s="195"/>
      <c r="CC318" s="195"/>
      <c r="CD318" s="195"/>
      <c r="CE318" s="195"/>
      <c r="CF318" s="195"/>
      <c r="CG318" s="195"/>
      <c r="CH318" s="195"/>
      <c r="CI318" s="195"/>
      <c r="CJ318" s="195"/>
      <c r="CK318" s="195"/>
      <c r="CL318" s="195"/>
      <c r="CM318" s="195"/>
      <c r="CN318" s="195"/>
      <c r="CO318" s="195"/>
      <c r="CP318" s="195"/>
      <c r="CQ318" s="195"/>
      <c r="CR318" s="195"/>
      <c r="CS318" s="195"/>
      <c r="CT318" s="195"/>
      <c r="CU318" s="195"/>
      <c r="CV318" s="195"/>
      <c r="CW318" s="195"/>
      <c r="CX318" s="195"/>
      <c r="CY318" s="195"/>
      <c r="CZ318" s="195"/>
      <c r="DA318" s="195"/>
      <c r="DB318" s="195"/>
      <c r="DC318" s="195"/>
      <c r="DD318" s="195"/>
      <c r="DE318" s="195"/>
      <c r="DF318" s="195"/>
      <c r="DG318" s="195"/>
      <c r="DH318" s="195"/>
    </row>
    <row r="319" spans="5:112" s="193" customFormat="1">
      <c r="E319" s="32"/>
      <c r="F319" s="32"/>
      <c r="G319" s="29"/>
      <c r="H319" s="25"/>
      <c r="I319" s="25"/>
      <c r="J319" s="25"/>
      <c r="K319" s="25"/>
      <c r="L319" s="29"/>
      <c r="M319" s="29"/>
      <c r="N319" s="28"/>
      <c r="O319" s="30"/>
      <c r="P319" s="30"/>
      <c r="Q319" s="30"/>
      <c r="R319" s="30"/>
      <c r="S319" s="30"/>
      <c r="T319" s="30"/>
      <c r="U319" s="30"/>
      <c r="V319" s="29"/>
      <c r="W319" s="28"/>
      <c r="X319" s="149"/>
      <c r="Y319" s="149"/>
      <c r="Z319" s="150"/>
      <c r="AA319" s="150"/>
      <c r="AB319" s="151"/>
      <c r="AC319" s="150"/>
      <c r="AD319" s="150"/>
      <c r="AE319" s="150"/>
      <c r="AF319" s="150"/>
      <c r="AG319" s="150"/>
      <c r="AH319" s="150"/>
      <c r="AI319" s="195"/>
      <c r="AJ319" s="195"/>
      <c r="AK319" s="195"/>
      <c r="AL319" s="195"/>
      <c r="AM319" s="195"/>
      <c r="AN319" s="195"/>
      <c r="AO319" s="195"/>
      <c r="AP319" s="195"/>
      <c r="AQ319" s="195"/>
      <c r="AR319" s="195"/>
      <c r="AS319" s="195"/>
      <c r="AT319" s="195"/>
      <c r="AU319" s="195"/>
      <c r="AV319" s="195"/>
      <c r="AW319" s="195"/>
      <c r="AX319" s="195"/>
      <c r="AY319" s="195"/>
      <c r="AZ319" s="195"/>
      <c r="BA319" s="195"/>
      <c r="BB319" s="195"/>
      <c r="BC319" s="195"/>
      <c r="BD319" s="195"/>
      <c r="BE319" s="195"/>
      <c r="BF319" s="195"/>
      <c r="BG319" s="195"/>
      <c r="BH319" s="195"/>
      <c r="BI319" s="195"/>
      <c r="BJ319" s="195"/>
      <c r="BK319" s="195"/>
      <c r="BL319" s="195"/>
      <c r="BM319" s="195"/>
      <c r="BN319" s="195"/>
      <c r="BO319" s="195"/>
      <c r="BP319" s="195"/>
      <c r="BQ319" s="195"/>
      <c r="BR319" s="195"/>
      <c r="BS319" s="195"/>
      <c r="BT319" s="195"/>
      <c r="BU319" s="195"/>
      <c r="BV319" s="195"/>
      <c r="BW319" s="195"/>
      <c r="BX319" s="195"/>
      <c r="BY319" s="195"/>
      <c r="BZ319" s="195"/>
      <c r="CA319" s="195"/>
      <c r="CB319" s="195"/>
      <c r="CC319" s="195"/>
      <c r="CD319" s="195"/>
      <c r="CE319" s="195"/>
      <c r="CF319" s="195"/>
      <c r="CG319" s="195"/>
      <c r="CH319" s="195"/>
      <c r="CI319" s="195"/>
      <c r="CJ319" s="195"/>
      <c r="CK319" s="195"/>
      <c r="CL319" s="195"/>
      <c r="CM319" s="195"/>
      <c r="CN319" s="195"/>
      <c r="CO319" s="195"/>
      <c r="CP319" s="195"/>
      <c r="CQ319" s="195"/>
      <c r="CR319" s="195"/>
      <c r="CS319" s="195"/>
      <c r="CT319" s="195"/>
      <c r="CU319" s="195"/>
      <c r="CV319" s="195"/>
      <c r="CW319" s="195"/>
      <c r="CX319" s="195"/>
      <c r="CY319" s="195"/>
      <c r="CZ319" s="195"/>
      <c r="DA319" s="195"/>
      <c r="DB319" s="195"/>
      <c r="DC319" s="195"/>
      <c r="DD319" s="195"/>
      <c r="DE319" s="195"/>
      <c r="DF319" s="195"/>
      <c r="DG319" s="195"/>
      <c r="DH319" s="195"/>
    </row>
    <row r="320" spans="5:112" s="193" customFormat="1">
      <c r="E320" s="32"/>
      <c r="F320" s="32"/>
      <c r="G320" s="29"/>
      <c r="H320" s="25"/>
      <c r="I320" s="25"/>
      <c r="J320" s="25"/>
      <c r="K320" s="25"/>
      <c r="L320" s="29"/>
      <c r="M320" s="29"/>
      <c r="N320" s="28"/>
      <c r="O320" s="30"/>
      <c r="P320" s="30"/>
      <c r="Q320" s="30"/>
      <c r="R320" s="30"/>
      <c r="S320" s="30"/>
      <c r="T320" s="30"/>
      <c r="U320" s="30"/>
      <c r="V320" s="29"/>
      <c r="W320" s="28"/>
      <c r="X320" s="149"/>
      <c r="Y320" s="149"/>
      <c r="Z320" s="150"/>
      <c r="AA320" s="150"/>
      <c r="AB320" s="151"/>
      <c r="AC320" s="150"/>
      <c r="AD320" s="150"/>
      <c r="AE320" s="150"/>
      <c r="AF320" s="150"/>
      <c r="AG320" s="150"/>
      <c r="AH320" s="150"/>
      <c r="AI320" s="195"/>
      <c r="AJ320" s="195"/>
      <c r="AK320" s="195"/>
      <c r="AL320" s="195"/>
      <c r="AM320" s="195"/>
      <c r="AN320" s="195"/>
      <c r="AO320" s="195"/>
      <c r="AP320" s="195"/>
      <c r="AQ320" s="195"/>
      <c r="AR320" s="195"/>
      <c r="AS320" s="195"/>
      <c r="AT320" s="195"/>
      <c r="AU320" s="195"/>
      <c r="AV320" s="195"/>
      <c r="AW320" s="195"/>
      <c r="AX320" s="195"/>
      <c r="AY320" s="195"/>
      <c r="AZ320" s="195"/>
      <c r="BA320" s="195"/>
      <c r="BB320" s="195"/>
      <c r="BC320" s="195"/>
      <c r="BD320" s="195"/>
      <c r="BE320" s="195"/>
      <c r="BF320" s="195"/>
      <c r="BG320" s="195"/>
      <c r="BH320" s="195"/>
      <c r="BI320" s="195"/>
      <c r="BJ320" s="195"/>
      <c r="BK320" s="195"/>
      <c r="BL320" s="195"/>
      <c r="BM320" s="195"/>
      <c r="BN320" s="195"/>
      <c r="BO320" s="195"/>
      <c r="BP320" s="195"/>
      <c r="BQ320" s="195"/>
      <c r="BR320" s="195"/>
      <c r="BS320" s="195"/>
      <c r="BT320" s="195"/>
      <c r="BU320" s="195"/>
      <c r="BV320" s="195"/>
      <c r="BW320" s="195"/>
      <c r="BX320" s="195"/>
      <c r="BY320" s="195"/>
      <c r="BZ320" s="195"/>
      <c r="CA320" s="195"/>
      <c r="CB320" s="195"/>
      <c r="CC320" s="195"/>
      <c r="CD320" s="195"/>
      <c r="CE320" s="195"/>
      <c r="CF320" s="195"/>
      <c r="CG320" s="195"/>
      <c r="CH320" s="195"/>
      <c r="CI320" s="195"/>
      <c r="CJ320" s="195"/>
      <c r="CK320" s="195"/>
      <c r="CL320" s="195"/>
      <c r="CM320" s="195"/>
      <c r="CN320" s="195"/>
      <c r="CO320" s="195"/>
      <c r="CP320" s="195"/>
      <c r="CQ320" s="195"/>
      <c r="CR320" s="195"/>
      <c r="CS320" s="195"/>
      <c r="CT320" s="195"/>
      <c r="CU320" s="195"/>
      <c r="CV320" s="195"/>
      <c r="CW320" s="195"/>
      <c r="CX320" s="195"/>
      <c r="CY320" s="195"/>
      <c r="CZ320" s="195"/>
      <c r="DA320" s="195"/>
      <c r="DB320" s="195"/>
      <c r="DC320" s="195"/>
      <c r="DD320" s="195"/>
      <c r="DE320" s="195"/>
      <c r="DF320" s="195"/>
      <c r="DG320" s="195"/>
      <c r="DH320" s="195"/>
    </row>
    <row r="321" spans="5:112" s="193" customFormat="1">
      <c r="E321" s="32"/>
      <c r="F321" s="32"/>
      <c r="G321" s="29"/>
      <c r="H321" s="25"/>
      <c r="I321" s="25"/>
      <c r="J321" s="25"/>
      <c r="K321" s="25"/>
      <c r="L321" s="29"/>
      <c r="M321" s="29"/>
      <c r="N321" s="28"/>
      <c r="O321" s="30"/>
      <c r="P321" s="30"/>
      <c r="Q321" s="30"/>
      <c r="R321" s="30"/>
      <c r="S321" s="30"/>
      <c r="T321" s="30"/>
      <c r="U321" s="30"/>
      <c r="V321" s="29"/>
      <c r="W321" s="28"/>
      <c r="X321" s="149"/>
      <c r="Y321" s="149"/>
      <c r="Z321" s="150"/>
      <c r="AA321" s="150"/>
      <c r="AB321" s="151"/>
      <c r="AC321" s="150"/>
      <c r="AD321" s="150"/>
      <c r="AE321" s="150"/>
      <c r="AF321" s="150"/>
      <c r="AG321" s="150"/>
      <c r="AH321" s="150"/>
      <c r="AI321" s="195"/>
      <c r="AJ321" s="195"/>
      <c r="AK321" s="195"/>
      <c r="AL321" s="195"/>
      <c r="AM321" s="195"/>
      <c r="AN321" s="195"/>
      <c r="AO321" s="195"/>
      <c r="AP321" s="195"/>
      <c r="AQ321" s="195"/>
      <c r="AR321" s="195"/>
      <c r="AS321" s="195"/>
      <c r="AT321" s="195"/>
      <c r="AU321" s="195"/>
      <c r="AV321" s="195"/>
      <c r="AW321" s="195"/>
      <c r="AX321" s="195"/>
      <c r="AY321" s="195"/>
      <c r="AZ321" s="195"/>
      <c r="BA321" s="195"/>
      <c r="BB321" s="195"/>
      <c r="BC321" s="195"/>
      <c r="BD321" s="195"/>
      <c r="BE321" s="195"/>
      <c r="BF321" s="195"/>
      <c r="BG321" s="195"/>
      <c r="BH321" s="195"/>
      <c r="BI321" s="195"/>
      <c r="BJ321" s="195"/>
      <c r="BK321" s="195"/>
      <c r="BL321" s="195"/>
      <c r="BM321" s="195"/>
      <c r="BN321" s="195"/>
      <c r="BO321" s="195"/>
      <c r="BP321" s="195"/>
      <c r="BQ321" s="195"/>
      <c r="BR321" s="195"/>
      <c r="BS321" s="195"/>
      <c r="BT321" s="195"/>
      <c r="BU321" s="195"/>
      <c r="BV321" s="195"/>
      <c r="BW321" s="195"/>
      <c r="BX321" s="195"/>
      <c r="BY321" s="195"/>
      <c r="BZ321" s="195"/>
      <c r="CA321" s="195"/>
      <c r="CB321" s="195"/>
      <c r="CC321" s="195"/>
      <c r="CD321" s="195"/>
      <c r="CE321" s="195"/>
      <c r="CF321" s="195"/>
      <c r="CG321" s="195"/>
      <c r="CH321" s="195"/>
      <c r="CI321" s="195"/>
      <c r="CJ321" s="195"/>
      <c r="CK321" s="195"/>
      <c r="CL321" s="195"/>
      <c r="CM321" s="195"/>
      <c r="CN321" s="195"/>
      <c r="CO321" s="195"/>
      <c r="CP321" s="195"/>
      <c r="CQ321" s="195"/>
      <c r="CR321" s="195"/>
      <c r="CS321" s="195"/>
      <c r="CT321" s="195"/>
      <c r="CU321" s="195"/>
      <c r="CV321" s="195"/>
      <c r="CW321" s="195"/>
      <c r="CX321" s="195"/>
      <c r="CY321" s="195"/>
      <c r="CZ321" s="195"/>
      <c r="DA321" s="195"/>
      <c r="DB321" s="195"/>
      <c r="DC321" s="195"/>
      <c r="DD321" s="195"/>
      <c r="DE321" s="195"/>
      <c r="DF321" s="195"/>
      <c r="DG321" s="195"/>
      <c r="DH321" s="195"/>
    </row>
    <row r="322" spans="5:112" s="193" customFormat="1">
      <c r="E322" s="32"/>
      <c r="F322" s="32"/>
      <c r="G322" s="29"/>
      <c r="H322" s="25"/>
      <c r="I322" s="25"/>
      <c r="J322" s="25"/>
      <c r="K322" s="25"/>
      <c r="L322" s="29"/>
      <c r="M322" s="29"/>
      <c r="N322" s="28"/>
      <c r="O322" s="30"/>
      <c r="P322" s="30"/>
      <c r="Q322" s="30"/>
      <c r="R322" s="30"/>
      <c r="S322" s="30"/>
      <c r="T322" s="30"/>
      <c r="U322" s="30"/>
      <c r="V322" s="29"/>
      <c r="W322" s="28"/>
      <c r="X322" s="149"/>
      <c r="Y322" s="149"/>
      <c r="Z322" s="150"/>
      <c r="AA322" s="150"/>
      <c r="AB322" s="151"/>
      <c r="AC322" s="150"/>
      <c r="AD322" s="150"/>
      <c r="AE322" s="150"/>
      <c r="AF322" s="150"/>
      <c r="AG322" s="150"/>
      <c r="AH322" s="150"/>
      <c r="AI322" s="195"/>
      <c r="AJ322" s="195"/>
      <c r="AK322" s="195"/>
      <c r="AL322" s="195"/>
      <c r="AM322" s="195"/>
      <c r="AN322" s="195"/>
      <c r="AO322" s="195"/>
      <c r="AP322" s="195"/>
      <c r="AQ322" s="195"/>
      <c r="AR322" s="195"/>
      <c r="AS322" s="195"/>
      <c r="AT322" s="195"/>
      <c r="AU322" s="195"/>
      <c r="AV322" s="195"/>
      <c r="AW322" s="195"/>
      <c r="AX322" s="195"/>
      <c r="AY322" s="195"/>
      <c r="AZ322" s="195"/>
      <c r="BA322" s="195"/>
      <c r="BB322" s="195"/>
      <c r="BC322" s="195"/>
      <c r="BD322" s="195"/>
      <c r="BE322" s="195"/>
      <c r="BF322" s="195"/>
      <c r="BG322" s="195"/>
      <c r="BH322" s="195"/>
      <c r="BI322" s="195"/>
      <c r="BJ322" s="195"/>
      <c r="BK322" s="195"/>
      <c r="BL322" s="195"/>
      <c r="BM322" s="195"/>
      <c r="BN322" s="195"/>
      <c r="BO322" s="195"/>
      <c r="BP322" s="195"/>
      <c r="BQ322" s="195"/>
      <c r="BR322" s="195"/>
      <c r="BS322" s="195"/>
      <c r="BT322" s="195"/>
      <c r="BU322" s="195"/>
      <c r="BV322" s="195"/>
      <c r="BW322" s="195"/>
      <c r="BX322" s="195"/>
      <c r="BY322" s="195"/>
      <c r="BZ322" s="195"/>
      <c r="CA322" s="195"/>
      <c r="CB322" s="195"/>
      <c r="CC322" s="195"/>
      <c r="CD322" s="195"/>
      <c r="CE322" s="195"/>
      <c r="CF322" s="195"/>
      <c r="CG322" s="195"/>
      <c r="CH322" s="195"/>
      <c r="CI322" s="195"/>
      <c r="CJ322" s="195"/>
      <c r="CK322" s="195"/>
      <c r="CL322" s="195"/>
      <c r="CM322" s="195"/>
      <c r="CN322" s="195"/>
      <c r="CO322" s="195"/>
      <c r="CP322" s="195"/>
      <c r="CQ322" s="195"/>
      <c r="CR322" s="195"/>
      <c r="CS322" s="195"/>
      <c r="CT322" s="195"/>
      <c r="CU322" s="195"/>
      <c r="CV322" s="195"/>
      <c r="CW322" s="195"/>
      <c r="CX322" s="195"/>
      <c r="CY322" s="195"/>
      <c r="CZ322" s="195"/>
      <c r="DA322" s="195"/>
      <c r="DB322" s="195"/>
      <c r="DC322" s="195"/>
      <c r="DD322" s="195"/>
      <c r="DE322" s="195"/>
      <c r="DF322" s="195"/>
      <c r="DG322" s="195"/>
      <c r="DH322" s="195"/>
    </row>
    <row r="323" spans="5:112" s="193" customFormat="1">
      <c r="E323" s="32"/>
      <c r="F323" s="32"/>
      <c r="G323" s="29"/>
      <c r="H323" s="25"/>
      <c r="I323" s="25"/>
      <c r="J323" s="25"/>
      <c r="K323" s="25"/>
      <c r="L323" s="29"/>
      <c r="M323" s="29"/>
      <c r="N323" s="28"/>
      <c r="O323" s="30"/>
      <c r="P323" s="30"/>
      <c r="Q323" s="30"/>
      <c r="R323" s="30"/>
      <c r="S323" s="30"/>
      <c r="T323" s="30"/>
      <c r="U323" s="30"/>
      <c r="V323" s="29"/>
      <c r="W323" s="28"/>
      <c r="X323" s="149"/>
      <c r="Y323" s="149"/>
      <c r="Z323" s="150"/>
      <c r="AA323" s="150"/>
      <c r="AB323" s="151"/>
      <c r="AC323" s="150"/>
      <c r="AD323" s="150"/>
      <c r="AE323" s="150"/>
      <c r="AF323" s="150"/>
      <c r="AG323" s="150"/>
      <c r="AH323" s="150"/>
      <c r="AI323" s="195"/>
      <c r="AJ323" s="195"/>
      <c r="AK323" s="195"/>
      <c r="AL323" s="195"/>
      <c r="AM323" s="195"/>
      <c r="AN323" s="195"/>
      <c r="AO323" s="195"/>
      <c r="AP323" s="195"/>
      <c r="AQ323" s="195"/>
      <c r="AR323" s="195"/>
      <c r="AS323" s="195"/>
      <c r="AT323" s="195"/>
      <c r="AU323" s="195"/>
      <c r="AV323" s="195"/>
      <c r="AW323" s="195"/>
      <c r="AX323" s="195"/>
      <c r="AY323" s="195"/>
      <c r="AZ323" s="195"/>
      <c r="BA323" s="195"/>
      <c r="BB323" s="195"/>
      <c r="BC323" s="195"/>
      <c r="BD323" s="195"/>
      <c r="BE323" s="195"/>
      <c r="BF323" s="195"/>
      <c r="BG323" s="195"/>
      <c r="BH323" s="195"/>
      <c r="BI323" s="195"/>
      <c r="BJ323" s="195"/>
      <c r="BK323" s="195"/>
      <c r="BL323" s="195"/>
      <c r="BM323" s="195"/>
      <c r="BN323" s="195"/>
      <c r="BO323" s="195"/>
      <c r="BP323" s="195"/>
      <c r="BQ323" s="195"/>
      <c r="BR323" s="195"/>
      <c r="BS323" s="195"/>
      <c r="BT323" s="195"/>
      <c r="BU323" s="195"/>
      <c r="BV323" s="195"/>
      <c r="BW323" s="195"/>
      <c r="BX323" s="195"/>
      <c r="BY323" s="195"/>
      <c r="BZ323" s="195"/>
      <c r="CA323" s="195"/>
      <c r="CB323" s="195"/>
      <c r="CC323" s="195"/>
      <c r="CD323" s="195"/>
      <c r="CE323" s="195"/>
      <c r="CF323" s="195"/>
      <c r="CG323" s="195"/>
      <c r="CH323" s="195"/>
      <c r="CI323" s="195"/>
      <c r="CJ323" s="195"/>
      <c r="CK323" s="195"/>
      <c r="CL323" s="195"/>
      <c r="CM323" s="195"/>
      <c r="CN323" s="195"/>
      <c r="CO323" s="195"/>
      <c r="CP323" s="195"/>
      <c r="CQ323" s="195"/>
      <c r="CR323" s="195"/>
      <c r="CS323" s="195"/>
      <c r="CT323" s="195"/>
      <c r="CU323" s="195"/>
      <c r="CV323" s="195"/>
      <c r="CW323" s="195"/>
      <c r="CX323" s="195"/>
      <c r="CY323" s="195"/>
      <c r="CZ323" s="195"/>
      <c r="DA323" s="195"/>
      <c r="DB323" s="195"/>
      <c r="DC323" s="195"/>
      <c r="DD323" s="195"/>
      <c r="DE323" s="195"/>
      <c r="DF323" s="195"/>
      <c r="DG323" s="195"/>
      <c r="DH323" s="195"/>
    </row>
    <row r="324" spans="5:112" s="193" customFormat="1">
      <c r="E324" s="32"/>
      <c r="F324" s="32"/>
      <c r="G324" s="29"/>
      <c r="H324" s="25"/>
      <c r="I324" s="25"/>
      <c r="J324" s="25"/>
      <c r="K324" s="25"/>
      <c r="L324" s="29"/>
      <c r="M324" s="29"/>
      <c r="N324" s="28"/>
      <c r="O324" s="30"/>
      <c r="P324" s="30"/>
      <c r="Q324" s="30"/>
      <c r="R324" s="30"/>
      <c r="S324" s="30"/>
      <c r="T324" s="30"/>
      <c r="U324" s="30"/>
      <c r="V324" s="29"/>
      <c r="W324" s="28"/>
      <c r="X324" s="149"/>
      <c r="Y324" s="149"/>
      <c r="Z324" s="150"/>
      <c r="AA324" s="150"/>
      <c r="AB324" s="151"/>
      <c r="AC324" s="150"/>
      <c r="AD324" s="150"/>
      <c r="AE324" s="150"/>
      <c r="AF324" s="150"/>
      <c r="AG324" s="150"/>
      <c r="AH324" s="150"/>
      <c r="AI324" s="195"/>
      <c r="AJ324" s="195"/>
      <c r="AK324" s="195"/>
      <c r="AL324" s="195"/>
      <c r="AM324" s="195"/>
      <c r="AN324" s="195"/>
      <c r="AO324" s="195"/>
      <c r="AP324" s="195"/>
      <c r="AQ324" s="195"/>
      <c r="AR324" s="195"/>
      <c r="AS324" s="195"/>
      <c r="AT324" s="195"/>
      <c r="AU324" s="195"/>
      <c r="AV324" s="195"/>
      <c r="AW324" s="195"/>
      <c r="AX324" s="195"/>
      <c r="AY324" s="195"/>
      <c r="AZ324" s="195"/>
      <c r="BA324" s="195"/>
      <c r="BB324" s="195"/>
      <c r="BC324" s="195"/>
      <c r="BD324" s="195"/>
      <c r="BE324" s="195"/>
      <c r="BF324" s="195"/>
      <c r="BG324" s="195"/>
      <c r="BH324" s="195"/>
      <c r="BI324" s="195"/>
      <c r="BJ324" s="195"/>
      <c r="BK324" s="195"/>
      <c r="BL324" s="195"/>
      <c r="BM324" s="195"/>
      <c r="BN324" s="195"/>
      <c r="BO324" s="195"/>
      <c r="BP324" s="195"/>
      <c r="BQ324" s="195"/>
      <c r="BR324" s="195"/>
      <c r="BS324" s="195"/>
      <c r="BT324" s="195"/>
      <c r="BU324" s="195"/>
      <c r="BV324" s="195"/>
      <c r="BW324" s="195"/>
      <c r="BX324" s="195"/>
      <c r="BY324" s="195"/>
      <c r="BZ324" s="195"/>
      <c r="CA324" s="195"/>
      <c r="CB324" s="195"/>
      <c r="CC324" s="195"/>
      <c r="CD324" s="195"/>
      <c r="CE324" s="195"/>
      <c r="CF324" s="195"/>
      <c r="CG324" s="195"/>
      <c r="CH324" s="195"/>
      <c r="CI324" s="195"/>
      <c r="CJ324" s="195"/>
      <c r="CK324" s="195"/>
      <c r="CL324" s="195"/>
      <c r="CM324" s="195"/>
      <c r="CN324" s="195"/>
      <c r="CO324" s="195"/>
      <c r="CP324" s="195"/>
      <c r="CQ324" s="195"/>
      <c r="CR324" s="195"/>
      <c r="CS324" s="195"/>
      <c r="CT324" s="195"/>
      <c r="CU324" s="195"/>
      <c r="CV324" s="195"/>
      <c r="CW324" s="195"/>
      <c r="CX324" s="195"/>
      <c r="CY324" s="195"/>
      <c r="CZ324" s="195"/>
      <c r="DA324" s="195"/>
      <c r="DB324" s="195"/>
      <c r="DC324" s="195"/>
      <c r="DD324" s="195"/>
      <c r="DE324" s="195"/>
      <c r="DF324" s="195"/>
      <c r="DG324" s="195"/>
      <c r="DH324" s="195"/>
    </row>
    <row r="325" spans="5:112" s="193" customFormat="1">
      <c r="E325" s="32"/>
      <c r="F325" s="32"/>
      <c r="G325" s="29"/>
      <c r="H325" s="25"/>
      <c r="I325" s="25"/>
      <c r="J325" s="25"/>
      <c r="K325" s="25"/>
      <c r="L325" s="29"/>
      <c r="M325" s="29"/>
      <c r="N325" s="28"/>
      <c r="O325" s="30"/>
      <c r="P325" s="30"/>
      <c r="Q325" s="30"/>
      <c r="R325" s="30"/>
      <c r="S325" s="30"/>
      <c r="T325" s="30"/>
      <c r="U325" s="30"/>
      <c r="V325" s="29"/>
      <c r="W325" s="28"/>
      <c r="X325" s="149"/>
      <c r="Y325" s="149"/>
      <c r="Z325" s="150"/>
      <c r="AA325" s="150"/>
      <c r="AB325" s="151"/>
      <c r="AC325" s="150"/>
      <c r="AD325" s="150"/>
      <c r="AE325" s="150"/>
      <c r="AF325" s="150"/>
      <c r="AG325" s="150"/>
      <c r="AH325" s="150"/>
      <c r="AI325" s="195"/>
      <c r="AJ325" s="195"/>
      <c r="AK325" s="195"/>
      <c r="AL325" s="195"/>
      <c r="AM325" s="195"/>
      <c r="AN325" s="195"/>
      <c r="AO325" s="195"/>
      <c r="AP325" s="195"/>
      <c r="AQ325" s="195"/>
      <c r="AR325" s="195"/>
      <c r="AS325" s="195"/>
      <c r="AT325" s="195"/>
      <c r="AU325" s="195"/>
      <c r="AV325" s="195"/>
      <c r="AW325" s="195"/>
      <c r="AX325" s="195"/>
      <c r="AY325" s="195"/>
      <c r="AZ325" s="195"/>
      <c r="BA325" s="195"/>
      <c r="BB325" s="195"/>
      <c r="BC325" s="195"/>
      <c r="BD325" s="195"/>
      <c r="BE325" s="195"/>
      <c r="BF325" s="195"/>
      <c r="BG325" s="195"/>
      <c r="BH325" s="195"/>
      <c r="BI325" s="195"/>
      <c r="BJ325" s="195"/>
      <c r="BK325" s="195"/>
      <c r="BL325" s="195"/>
      <c r="BM325" s="195"/>
      <c r="BN325" s="195"/>
      <c r="BO325" s="195"/>
      <c r="BP325" s="195"/>
      <c r="BQ325" s="195"/>
      <c r="BR325" s="195"/>
      <c r="BS325" s="195"/>
      <c r="BT325" s="195"/>
      <c r="BU325" s="195"/>
      <c r="BV325" s="195"/>
      <c r="BW325" s="195"/>
      <c r="BX325" s="195"/>
      <c r="BY325" s="195"/>
      <c r="BZ325" s="195"/>
      <c r="CA325" s="195"/>
      <c r="CB325" s="195"/>
      <c r="CC325" s="195"/>
      <c r="CD325" s="195"/>
      <c r="CE325" s="195"/>
      <c r="CF325" s="195"/>
      <c r="CG325" s="195"/>
      <c r="CH325" s="195"/>
      <c r="CI325" s="195"/>
      <c r="CJ325" s="195"/>
      <c r="CK325" s="195"/>
      <c r="CL325" s="195"/>
      <c r="CM325" s="195"/>
      <c r="CN325" s="195"/>
      <c r="CO325" s="195"/>
      <c r="CP325" s="195"/>
      <c r="CQ325" s="195"/>
      <c r="CR325" s="195"/>
      <c r="CS325" s="195"/>
      <c r="CT325" s="195"/>
      <c r="CU325" s="195"/>
      <c r="CV325" s="195"/>
      <c r="CW325" s="195"/>
      <c r="CX325" s="195"/>
      <c r="CY325" s="195"/>
      <c r="CZ325" s="195"/>
      <c r="DA325" s="195"/>
      <c r="DB325" s="195"/>
      <c r="DC325" s="195"/>
      <c r="DD325" s="195"/>
      <c r="DE325" s="195"/>
      <c r="DF325" s="195"/>
      <c r="DG325" s="195"/>
      <c r="DH325" s="195"/>
    </row>
    <row r="326" spans="5:112" s="193" customFormat="1">
      <c r="E326" s="32"/>
      <c r="F326" s="32"/>
      <c r="G326" s="29"/>
      <c r="H326" s="25"/>
      <c r="I326" s="25"/>
      <c r="J326" s="25"/>
      <c r="K326" s="25"/>
      <c r="L326" s="29"/>
      <c r="M326" s="29"/>
      <c r="N326" s="28"/>
      <c r="O326" s="30"/>
      <c r="P326" s="30"/>
      <c r="Q326" s="30"/>
      <c r="R326" s="30"/>
      <c r="S326" s="30"/>
      <c r="T326" s="30"/>
      <c r="U326" s="30"/>
      <c r="V326" s="29"/>
      <c r="W326" s="28"/>
      <c r="X326" s="149"/>
      <c r="Y326" s="149"/>
      <c r="Z326" s="150"/>
      <c r="AA326" s="150"/>
      <c r="AB326" s="151"/>
      <c r="AC326" s="150"/>
      <c r="AD326" s="150"/>
      <c r="AE326" s="150"/>
      <c r="AF326" s="150"/>
      <c r="AG326" s="150"/>
      <c r="AH326" s="150"/>
      <c r="AI326" s="195"/>
      <c r="AJ326" s="195"/>
      <c r="AK326" s="195"/>
      <c r="AL326" s="195"/>
      <c r="AM326" s="195"/>
      <c r="AN326" s="195"/>
      <c r="AO326" s="195"/>
      <c r="AP326" s="195"/>
      <c r="AQ326" s="195"/>
      <c r="AR326" s="195"/>
      <c r="AS326" s="195"/>
      <c r="AT326" s="195"/>
      <c r="AU326" s="195"/>
      <c r="AV326" s="195"/>
      <c r="AW326" s="195"/>
      <c r="AX326" s="195"/>
      <c r="AY326" s="195"/>
      <c r="AZ326" s="195"/>
      <c r="BA326" s="195"/>
      <c r="BB326" s="195"/>
      <c r="BC326" s="195"/>
      <c r="BD326" s="195"/>
      <c r="BE326" s="195"/>
      <c r="BF326" s="195"/>
      <c r="BG326" s="195"/>
      <c r="BH326" s="195"/>
      <c r="BI326" s="195"/>
      <c r="BJ326" s="195"/>
      <c r="BK326" s="195"/>
      <c r="BL326" s="195"/>
      <c r="BM326" s="195"/>
      <c r="BN326" s="195"/>
      <c r="BO326" s="195"/>
      <c r="BP326" s="195"/>
      <c r="BQ326" s="195"/>
      <c r="BR326" s="195"/>
      <c r="BS326" s="195"/>
      <c r="BT326" s="195"/>
      <c r="BU326" s="195"/>
      <c r="BV326" s="195"/>
      <c r="BW326" s="195"/>
      <c r="BX326" s="195"/>
      <c r="BY326" s="195"/>
      <c r="BZ326" s="195"/>
      <c r="CA326" s="195"/>
      <c r="CB326" s="195"/>
      <c r="CC326" s="195"/>
      <c r="CD326" s="195"/>
      <c r="CE326" s="195"/>
      <c r="CF326" s="195"/>
      <c r="CG326" s="195"/>
      <c r="CH326" s="195"/>
      <c r="CI326" s="195"/>
      <c r="CJ326" s="195"/>
      <c r="CK326" s="195"/>
      <c r="CL326" s="195"/>
      <c r="CM326" s="195"/>
      <c r="CN326" s="195"/>
      <c r="CO326" s="195"/>
      <c r="CP326" s="195"/>
      <c r="CQ326" s="195"/>
      <c r="CR326" s="195"/>
      <c r="CS326" s="195"/>
      <c r="CT326" s="195"/>
      <c r="CU326" s="195"/>
      <c r="CV326" s="195"/>
      <c r="CW326" s="195"/>
      <c r="CX326" s="195"/>
      <c r="CY326" s="195"/>
      <c r="CZ326" s="195"/>
      <c r="DA326" s="195"/>
      <c r="DB326" s="195"/>
      <c r="DC326" s="195"/>
      <c r="DD326" s="195"/>
      <c r="DE326" s="195"/>
      <c r="DF326" s="195"/>
      <c r="DG326" s="195"/>
      <c r="DH326" s="195"/>
    </row>
    <row r="327" spans="5:112" s="193" customFormat="1">
      <c r="E327" s="32"/>
      <c r="F327" s="32"/>
      <c r="G327" s="29"/>
      <c r="H327" s="25"/>
      <c r="I327" s="25"/>
      <c r="J327" s="25"/>
      <c r="K327" s="25"/>
      <c r="L327" s="29"/>
      <c r="M327" s="29"/>
      <c r="N327" s="28"/>
      <c r="O327" s="30"/>
      <c r="P327" s="30"/>
      <c r="Q327" s="30"/>
      <c r="R327" s="30"/>
      <c r="S327" s="30"/>
      <c r="T327" s="30"/>
      <c r="U327" s="30"/>
      <c r="V327" s="29"/>
      <c r="W327" s="28"/>
      <c r="X327" s="149"/>
      <c r="Y327" s="149"/>
      <c r="Z327" s="150"/>
      <c r="AA327" s="150"/>
      <c r="AB327" s="151"/>
      <c r="AC327" s="150"/>
      <c r="AD327" s="150"/>
      <c r="AE327" s="150"/>
      <c r="AF327" s="150"/>
      <c r="AG327" s="150"/>
      <c r="AH327" s="150"/>
      <c r="AI327" s="195"/>
      <c r="AJ327" s="195"/>
      <c r="AK327" s="195"/>
      <c r="AL327" s="195"/>
      <c r="AM327" s="195"/>
      <c r="AN327" s="195"/>
      <c r="AO327" s="195"/>
      <c r="AP327" s="195"/>
      <c r="AQ327" s="195"/>
      <c r="AR327" s="195"/>
      <c r="AS327" s="195"/>
      <c r="AT327" s="195"/>
      <c r="AU327" s="195"/>
      <c r="AV327" s="195"/>
      <c r="AW327" s="195"/>
      <c r="AX327" s="195"/>
      <c r="AY327" s="195"/>
      <c r="AZ327" s="195"/>
      <c r="BA327" s="195"/>
      <c r="BB327" s="195"/>
      <c r="BC327" s="195"/>
      <c r="BD327" s="195"/>
      <c r="BE327" s="195"/>
      <c r="BF327" s="195"/>
      <c r="BG327" s="195"/>
      <c r="BH327" s="195"/>
      <c r="BI327" s="195"/>
      <c r="BJ327" s="195"/>
      <c r="BK327" s="195"/>
      <c r="BL327" s="195"/>
      <c r="BM327" s="195"/>
      <c r="BN327" s="195"/>
      <c r="BO327" s="195"/>
      <c r="BP327" s="195"/>
      <c r="BQ327" s="195"/>
      <c r="BR327" s="195"/>
      <c r="BS327" s="195"/>
      <c r="BT327" s="195"/>
      <c r="BU327" s="195"/>
      <c r="BV327" s="195"/>
      <c r="BW327" s="195"/>
      <c r="BX327" s="195"/>
      <c r="BY327" s="195"/>
      <c r="BZ327" s="195"/>
      <c r="CA327" s="195"/>
      <c r="CB327" s="195"/>
      <c r="CC327" s="195"/>
      <c r="CD327" s="195"/>
      <c r="CE327" s="195"/>
      <c r="CF327" s="195"/>
      <c r="CG327" s="195"/>
      <c r="CH327" s="195"/>
      <c r="CI327" s="195"/>
      <c r="CJ327" s="195"/>
      <c r="CK327" s="195"/>
      <c r="CL327" s="195"/>
      <c r="CM327" s="195"/>
      <c r="CN327" s="195"/>
      <c r="CO327" s="195"/>
      <c r="CP327" s="195"/>
      <c r="CQ327" s="195"/>
      <c r="CR327" s="195"/>
      <c r="CS327" s="195"/>
      <c r="CT327" s="195"/>
      <c r="CU327" s="195"/>
      <c r="CV327" s="195"/>
      <c r="CW327" s="195"/>
      <c r="CX327" s="195"/>
      <c r="CY327" s="195"/>
      <c r="CZ327" s="195"/>
      <c r="DA327" s="195"/>
      <c r="DB327" s="195"/>
      <c r="DC327" s="195"/>
      <c r="DD327" s="195"/>
      <c r="DE327" s="195"/>
      <c r="DF327" s="195"/>
      <c r="DG327" s="195"/>
      <c r="DH327" s="195"/>
    </row>
    <row r="328" spans="5:112" s="193" customFormat="1">
      <c r="E328" s="32"/>
      <c r="F328" s="32"/>
      <c r="G328" s="29"/>
      <c r="H328" s="25"/>
      <c r="I328" s="25"/>
      <c r="J328" s="25"/>
      <c r="K328" s="25"/>
      <c r="L328" s="29"/>
      <c r="M328" s="29"/>
      <c r="N328" s="28"/>
      <c r="O328" s="30"/>
      <c r="P328" s="30"/>
      <c r="Q328" s="30"/>
      <c r="R328" s="30"/>
      <c r="S328" s="30"/>
      <c r="T328" s="30"/>
      <c r="U328" s="30"/>
      <c r="V328" s="29"/>
      <c r="W328" s="28"/>
      <c r="X328" s="149"/>
      <c r="Y328" s="149"/>
      <c r="Z328" s="150"/>
      <c r="AA328" s="150"/>
      <c r="AB328" s="151"/>
      <c r="AC328" s="150"/>
      <c r="AD328" s="150"/>
      <c r="AE328" s="150"/>
      <c r="AF328" s="150"/>
      <c r="AG328" s="150"/>
      <c r="AH328" s="150"/>
      <c r="AI328" s="195"/>
      <c r="AJ328" s="195"/>
      <c r="AK328" s="195"/>
      <c r="AL328" s="195"/>
      <c r="AM328" s="195"/>
      <c r="AN328" s="195"/>
      <c r="AO328" s="195"/>
      <c r="AP328" s="195"/>
      <c r="AQ328" s="195"/>
      <c r="AR328" s="195"/>
      <c r="AS328" s="195"/>
      <c r="AT328" s="195"/>
      <c r="AU328" s="195"/>
      <c r="AV328" s="195"/>
      <c r="AW328" s="195"/>
      <c r="AX328" s="195"/>
      <c r="AY328" s="195"/>
      <c r="AZ328" s="195"/>
      <c r="BA328" s="195"/>
      <c r="BB328" s="195"/>
      <c r="BC328" s="195"/>
      <c r="BD328" s="195"/>
      <c r="BE328" s="195"/>
      <c r="BF328" s="195"/>
      <c r="BG328" s="195"/>
      <c r="BH328" s="195"/>
      <c r="BI328" s="195"/>
      <c r="BJ328" s="195"/>
      <c r="BK328" s="195"/>
      <c r="BL328" s="195"/>
      <c r="BM328" s="195"/>
      <c r="BN328" s="195"/>
      <c r="BO328" s="195"/>
      <c r="BP328" s="195"/>
      <c r="BQ328" s="195"/>
      <c r="BR328" s="195"/>
      <c r="BS328" s="195"/>
      <c r="BT328" s="195"/>
      <c r="BU328" s="195"/>
      <c r="BV328" s="195"/>
      <c r="BW328" s="195"/>
      <c r="BX328" s="195"/>
      <c r="BY328" s="195"/>
      <c r="BZ328" s="195"/>
      <c r="CA328" s="195"/>
      <c r="CB328" s="195"/>
      <c r="CC328" s="195"/>
      <c r="CD328" s="195"/>
      <c r="CE328" s="195"/>
      <c r="CF328" s="195"/>
      <c r="CG328" s="195"/>
      <c r="CH328" s="195"/>
      <c r="CI328" s="195"/>
      <c r="CJ328" s="195"/>
      <c r="CK328" s="195"/>
      <c r="CL328" s="195"/>
      <c r="CM328" s="195"/>
      <c r="CN328" s="195"/>
      <c r="CO328" s="195"/>
      <c r="CP328" s="195"/>
      <c r="CQ328" s="195"/>
      <c r="CR328" s="195"/>
      <c r="CS328" s="195"/>
      <c r="CT328" s="195"/>
      <c r="CU328" s="195"/>
      <c r="CV328" s="195"/>
      <c r="CW328" s="195"/>
      <c r="CX328" s="195"/>
      <c r="CY328" s="195"/>
      <c r="CZ328" s="195"/>
      <c r="DA328" s="195"/>
      <c r="DB328" s="195"/>
      <c r="DC328" s="195"/>
      <c r="DD328" s="195"/>
      <c r="DE328" s="195"/>
      <c r="DF328" s="195"/>
      <c r="DG328" s="195"/>
      <c r="DH328" s="195"/>
    </row>
    <row r="329" spans="5:112" s="193" customFormat="1">
      <c r="E329" s="32"/>
      <c r="F329" s="32"/>
      <c r="G329" s="29"/>
      <c r="H329" s="25"/>
      <c r="I329" s="25"/>
      <c r="J329" s="25"/>
      <c r="K329" s="25"/>
      <c r="L329" s="29"/>
      <c r="M329" s="29"/>
      <c r="N329" s="28"/>
      <c r="O329" s="30"/>
      <c r="P329" s="30"/>
      <c r="Q329" s="30"/>
      <c r="R329" s="30"/>
      <c r="S329" s="30"/>
      <c r="T329" s="30"/>
      <c r="U329" s="30"/>
      <c r="V329" s="29"/>
      <c r="W329" s="28"/>
      <c r="X329" s="149"/>
      <c r="Y329" s="149"/>
      <c r="Z329" s="150"/>
      <c r="AA329" s="150"/>
      <c r="AB329" s="151"/>
      <c r="AC329" s="150"/>
      <c r="AD329" s="150"/>
      <c r="AE329" s="150"/>
      <c r="AF329" s="150"/>
      <c r="AG329" s="150"/>
      <c r="AH329" s="150"/>
      <c r="AI329" s="195"/>
      <c r="AJ329" s="195"/>
      <c r="AK329" s="195"/>
      <c r="AL329" s="195"/>
      <c r="AM329" s="195"/>
      <c r="AN329" s="195"/>
      <c r="AO329" s="195"/>
      <c r="AP329" s="195"/>
      <c r="AQ329" s="195"/>
      <c r="AR329" s="195"/>
      <c r="AS329" s="195"/>
      <c r="AT329" s="195"/>
      <c r="AU329" s="195"/>
      <c r="AV329" s="195"/>
      <c r="AW329" s="195"/>
      <c r="AX329" s="195"/>
      <c r="AY329" s="195"/>
      <c r="AZ329" s="195"/>
      <c r="BA329" s="195"/>
      <c r="BB329" s="195"/>
      <c r="BC329" s="195"/>
      <c r="BD329" s="195"/>
      <c r="BE329" s="195"/>
      <c r="BF329" s="195"/>
      <c r="BG329" s="195"/>
      <c r="BH329" s="195"/>
      <c r="BI329" s="195"/>
      <c r="BJ329" s="195"/>
      <c r="BK329" s="195"/>
      <c r="BL329" s="195"/>
      <c r="BM329" s="195"/>
      <c r="BN329" s="195"/>
      <c r="BO329" s="195"/>
      <c r="BP329" s="195"/>
      <c r="BQ329" s="195"/>
      <c r="BR329" s="195"/>
      <c r="BS329" s="195"/>
      <c r="BT329" s="195"/>
      <c r="BU329" s="195"/>
      <c r="BV329" s="195"/>
      <c r="BW329" s="195"/>
      <c r="BX329" s="195"/>
      <c r="BY329" s="195"/>
      <c r="BZ329" s="195"/>
      <c r="CA329" s="195"/>
      <c r="CB329" s="195"/>
      <c r="CC329" s="195"/>
      <c r="CD329" s="195"/>
      <c r="CE329" s="195"/>
      <c r="CF329" s="195"/>
      <c r="CG329" s="195"/>
      <c r="CH329" s="195"/>
      <c r="CI329" s="195"/>
      <c r="CJ329" s="195"/>
      <c r="CK329" s="195"/>
      <c r="CL329" s="195"/>
      <c r="CM329" s="195"/>
      <c r="CN329" s="195"/>
      <c r="CO329" s="195"/>
      <c r="CP329" s="195"/>
      <c r="CQ329" s="195"/>
      <c r="CR329" s="195"/>
      <c r="CS329" s="195"/>
      <c r="CT329" s="195"/>
      <c r="CU329" s="195"/>
      <c r="CV329" s="195"/>
      <c r="CW329" s="195"/>
      <c r="CX329" s="195"/>
      <c r="CY329" s="195"/>
      <c r="CZ329" s="195"/>
      <c r="DA329" s="195"/>
      <c r="DB329" s="195"/>
      <c r="DC329" s="195"/>
      <c r="DD329" s="195"/>
      <c r="DE329" s="195"/>
      <c r="DF329" s="195"/>
      <c r="DG329" s="195"/>
      <c r="DH329" s="195"/>
    </row>
    <row r="330" spans="5:112" s="193" customFormat="1">
      <c r="E330" s="32"/>
      <c r="F330" s="32"/>
      <c r="G330" s="29"/>
      <c r="H330" s="25"/>
      <c r="I330" s="25"/>
      <c r="J330" s="25"/>
      <c r="K330" s="25"/>
      <c r="L330" s="29"/>
      <c r="M330" s="29"/>
      <c r="N330" s="28"/>
      <c r="O330" s="30"/>
      <c r="P330" s="30"/>
      <c r="Q330" s="30"/>
      <c r="R330" s="30"/>
      <c r="S330" s="30"/>
      <c r="T330" s="30"/>
      <c r="U330" s="30"/>
      <c r="V330" s="29"/>
      <c r="W330" s="28"/>
      <c r="X330" s="149"/>
      <c r="Y330" s="149"/>
      <c r="Z330" s="150"/>
      <c r="AA330" s="150"/>
      <c r="AB330" s="151"/>
      <c r="AC330" s="150"/>
      <c r="AD330" s="150"/>
      <c r="AE330" s="150"/>
      <c r="AF330" s="150"/>
      <c r="AG330" s="150"/>
      <c r="AH330" s="150"/>
      <c r="AI330" s="195"/>
      <c r="AJ330" s="195"/>
      <c r="AK330" s="195"/>
      <c r="AL330" s="195"/>
      <c r="AM330" s="195"/>
      <c r="AN330" s="195"/>
      <c r="AO330" s="195"/>
      <c r="AP330" s="195"/>
      <c r="AQ330" s="195"/>
      <c r="AR330" s="195"/>
      <c r="AS330" s="195"/>
      <c r="AT330" s="195"/>
      <c r="AU330" s="195"/>
      <c r="AV330" s="195"/>
      <c r="AW330" s="195"/>
      <c r="AX330" s="195"/>
      <c r="AY330" s="195"/>
      <c r="AZ330" s="195"/>
      <c r="BA330" s="195"/>
      <c r="BB330" s="195"/>
      <c r="BC330" s="195"/>
      <c r="BD330" s="195"/>
      <c r="BE330" s="195"/>
      <c r="BF330" s="195"/>
      <c r="BG330" s="195"/>
      <c r="BH330" s="195"/>
      <c r="BI330" s="195"/>
      <c r="BJ330" s="195"/>
      <c r="BK330" s="195"/>
      <c r="BL330" s="195"/>
      <c r="BM330" s="195"/>
      <c r="BN330" s="195"/>
      <c r="BO330" s="195"/>
      <c r="BP330" s="195"/>
      <c r="BQ330" s="195"/>
      <c r="BR330" s="195"/>
      <c r="BS330" s="195"/>
      <c r="BT330" s="195"/>
      <c r="BU330" s="195"/>
      <c r="BV330" s="195"/>
      <c r="BW330" s="195"/>
      <c r="BX330" s="195"/>
      <c r="BY330" s="195"/>
      <c r="BZ330" s="195"/>
      <c r="CA330" s="195"/>
      <c r="CB330" s="195"/>
      <c r="CC330" s="195"/>
      <c r="CD330" s="195"/>
      <c r="CE330" s="195"/>
      <c r="CF330" s="195"/>
      <c r="CG330" s="195"/>
      <c r="CH330" s="195"/>
      <c r="CI330" s="195"/>
      <c r="CJ330" s="195"/>
      <c r="CK330" s="195"/>
      <c r="CL330" s="195"/>
      <c r="CM330" s="195"/>
      <c r="CN330" s="195"/>
      <c r="CO330" s="195"/>
      <c r="CP330" s="195"/>
      <c r="CQ330" s="195"/>
      <c r="CR330" s="195"/>
      <c r="CS330" s="195"/>
      <c r="CT330" s="195"/>
      <c r="CU330" s="195"/>
      <c r="CV330" s="195"/>
      <c r="CW330" s="195"/>
      <c r="CX330" s="195"/>
      <c r="CY330" s="195"/>
      <c r="CZ330" s="195"/>
      <c r="DA330" s="195"/>
      <c r="DB330" s="195"/>
      <c r="DC330" s="195"/>
      <c r="DD330" s="195"/>
      <c r="DE330" s="195"/>
      <c r="DF330" s="195"/>
      <c r="DG330" s="195"/>
      <c r="DH330" s="195"/>
    </row>
    <row r="331" spans="5:112" s="193" customFormat="1">
      <c r="E331" s="32"/>
      <c r="F331" s="32"/>
      <c r="G331" s="29"/>
      <c r="H331" s="25"/>
      <c r="I331" s="25"/>
      <c r="J331" s="25"/>
      <c r="K331" s="25"/>
      <c r="L331" s="29"/>
      <c r="M331" s="29"/>
      <c r="N331" s="28"/>
      <c r="O331" s="30"/>
      <c r="P331" s="30"/>
      <c r="Q331" s="30"/>
      <c r="R331" s="30"/>
      <c r="S331" s="30"/>
      <c r="T331" s="30"/>
      <c r="U331" s="30"/>
      <c r="V331" s="29"/>
      <c r="W331" s="28"/>
      <c r="X331" s="149"/>
      <c r="Y331" s="149"/>
      <c r="Z331" s="150"/>
      <c r="AA331" s="150"/>
      <c r="AB331" s="151"/>
      <c r="AC331" s="150"/>
      <c r="AD331" s="150"/>
      <c r="AE331" s="150"/>
      <c r="AF331" s="150"/>
      <c r="AG331" s="150"/>
      <c r="AH331" s="150"/>
      <c r="AI331" s="195"/>
      <c r="AJ331" s="195"/>
      <c r="AK331" s="195"/>
      <c r="AL331" s="195"/>
      <c r="AM331" s="195"/>
      <c r="AN331" s="195"/>
      <c r="AO331" s="195"/>
      <c r="AP331" s="195"/>
      <c r="AQ331" s="195"/>
      <c r="AR331" s="195"/>
      <c r="AS331" s="195"/>
      <c r="AT331" s="195"/>
      <c r="AU331" s="195"/>
      <c r="AV331" s="195"/>
      <c r="AW331" s="195"/>
      <c r="AX331" s="195"/>
      <c r="AY331" s="195"/>
      <c r="AZ331" s="195"/>
      <c r="BA331" s="195"/>
      <c r="BB331" s="195"/>
      <c r="BC331" s="195"/>
      <c r="BD331" s="195"/>
      <c r="BE331" s="195"/>
      <c r="BF331" s="195"/>
      <c r="BG331" s="195"/>
      <c r="BH331" s="195"/>
      <c r="BI331" s="195"/>
      <c r="BJ331" s="195"/>
      <c r="BK331" s="195"/>
      <c r="BL331" s="195"/>
      <c r="BM331" s="195"/>
      <c r="BN331" s="195"/>
      <c r="BO331" s="195"/>
      <c r="BP331" s="195"/>
      <c r="BQ331" s="195"/>
      <c r="BR331" s="195"/>
      <c r="BS331" s="195"/>
      <c r="BT331" s="195"/>
      <c r="BU331" s="195"/>
      <c r="BV331" s="195"/>
      <c r="BW331" s="195"/>
      <c r="BX331" s="195"/>
      <c r="BY331" s="195"/>
      <c r="BZ331" s="195"/>
      <c r="CA331" s="195"/>
      <c r="CB331" s="195"/>
      <c r="CC331" s="195"/>
      <c r="CD331" s="195"/>
      <c r="CE331" s="195"/>
      <c r="CF331" s="195"/>
      <c r="CG331" s="195"/>
      <c r="CH331" s="195"/>
      <c r="CI331" s="195"/>
      <c r="CJ331" s="195"/>
      <c r="CK331" s="195"/>
      <c r="CL331" s="195"/>
      <c r="CM331" s="195"/>
      <c r="CN331" s="195"/>
      <c r="CO331" s="195"/>
      <c r="CP331" s="195"/>
      <c r="CQ331" s="195"/>
      <c r="CR331" s="195"/>
      <c r="CS331" s="195"/>
      <c r="CT331" s="195"/>
      <c r="CU331" s="195"/>
      <c r="CV331" s="195"/>
      <c r="CW331" s="195"/>
      <c r="CX331" s="195"/>
      <c r="CY331" s="195"/>
      <c r="CZ331" s="195"/>
      <c r="DA331" s="195"/>
      <c r="DB331" s="195"/>
      <c r="DC331" s="195"/>
      <c r="DD331" s="195"/>
      <c r="DE331" s="195"/>
      <c r="DF331" s="195"/>
      <c r="DG331" s="195"/>
      <c r="DH331" s="195"/>
    </row>
    <row r="332" spans="5:112" s="193" customFormat="1">
      <c r="E332" s="32"/>
      <c r="F332" s="32"/>
      <c r="G332" s="29"/>
      <c r="H332" s="25"/>
      <c r="I332" s="25"/>
      <c r="J332" s="25"/>
      <c r="K332" s="25"/>
      <c r="L332" s="29"/>
      <c r="M332" s="29"/>
      <c r="N332" s="28"/>
      <c r="O332" s="30"/>
      <c r="P332" s="30"/>
      <c r="Q332" s="30"/>
      <c r="R332" s="30"/>
      <c r="S332" s="30"/>
      <c r="T332" s="30"/>
      <c r="U332" s="30"/>
      <c r="V332" s="29"/>
      <c r="W332" s="28"/>
      <c r="X332" s="149"/>
      <c r="Y332" s="149"/>
      <c r="Z332" s="150"/>
      <c r="AA332" s="150"/>
      <c r="AB332" s="151"/>
      <c r="AC332" s="150"/>
      <c r="AD332" s="150"/>
      <c r="AE332" s="150"/>
      <c r="AF332" s="150"/>
      <c r="AG332" s="150"/>
      <c r="AH332" s="150"/>
      <c r="AI332" s="195"/>
      <c r="AJ332" s="195"/>
      <c r="AK332" s="195"/>
      <c r="AL332" s="195"/>
      <c r="AM332" s="195"/>
      <c r="AN332" s="195"/>
      <c r="AO332" s="195"/>
      <c r="AP332" s="195"/>
      <c r="AQ332" s="195"/>
      <c r="AR332" s="195"/>
      <c r="AS332" s="195"/>
      <c r="AT332" s="195"/>
      <c r="AU332" s="195"/>
      <c r="AV332" s="195"/>
      <c r="AW332" s="195"/>
      <c r="AX332" s="195"/>
      <c r="AY332" s="195"/>
      <c r="AZ332" s="195"/>
      <c r="BA332" s="195"/>
      <c r="BB332" s="195"/>
      <c r="BC332" s="195"/>
      <c r="BD332" s="195"/>
      <c r="BE332" s="195"/>
      <c r="BF332" s="195"/>
      <c r="BG332" s="195"/>
      <c r="BH332" s="195"/>
      <c r="BI332" s="195"/>
      <c r="BJ332" s="195"/>
      <c r="BK332" s="195"/>
      <c r="BL332" s="195"/>
      <c r="BM332" s="195"/>
      <c r="BN332" s="195"/>
      <c r="BO332" s="195"/>
      <c r="BP332" s="195"/>
      <c r="BQ332" s="195"/>
      <c r="BR332" s="195"/>
      <c r="BS332" s="195"/>
      <c r="BT332" s="195"/>
      <c r="BU332" s="195"/>
      <c r="BV332" s="195"/>
      <c r="BW332" s="195"/>
      <c r="BX332" s="195"/>
      <c r="BY332" s="195"/>
      <c r="BZ332" s="195"/>
      <c r="CA332" s="195"/>
      <c r="CB332" s="195"/>
      <c r="CC332" s="195"/>
      <c r="CD332" s="195"/>
      <c r="CE332" s="195"/>
      <c r="CF332" s="195"/>
      <c r="CG332" s="195"/>
      <c r="CH332" s="195"/>
      <c r="CI332" s="195"/>
      <c r="CJ332" s="195"/>
      <c r="CK332" s="195"/>
      <c r="CL332" s="195"/>
      <c r="CM332" s="195"/>
      <c r="CN332" s="195"/>
      <c r="CO332" s="195"/>
      <c r="CP332" s="195"/>
      <c r="CQ332" s="195"/>
      <c r="CR332" s="195"/>
      <c r="CS332" s="195"/>
      <c r="CT332" s="195"/>
      <c r="CU332" s="195"/>
      <c r="CV332" s="195"/>
      <c r="CW332" s="195"/>
      <c r="CX332" s="195"/>
      <c r="CY332" s="195"/>
      <c r="CZ332" s="195"/>
      <c r="DA332" s="195"/>
      <c r="DB332" s="195"/>
      <c r="DC332" s="195"/>
      <c r="DD332" s="195"/>
      <c r="DE332" s="195"/>
      <c r="DF332" s="195"/>
      <c r="DG332" s="195"/>
      <c r="DH332" s="195"/>
    </row>
    <row r="333" spans="5:112" s="193" customFormat="1">
      <c r="E333" s="32"/>
      <c r="F333" s="32"/>
      <c r="G333" s="29"/>
      <c r="H333" s="25"/>
      <c r="I333" s="25"/>
      <c r="J333" s="25"/>
      <c r="K333" s="25"/>
      <c r="L333" s="29"/>
      <c r="M333" s="29"/>
      <c r="N333" s="28"/>
      <c r="O333" s="30"/>
      <c r="P333" s="30"/>
      <c r="Q333" s="30"/>
      <c r="R333" s="30"/>
      <c r="S333" s="30"/>
      <c r="T333" s="30"/>
      <c r="U333" s="30"/>
      <c r="V333" s="29"/>
      <c r="W333" s="28"/>
      <c r="X333" s="149"/>
      <c r="Y333" s="149"/>
      <c r="Z333" s="150"/>
      <c r="AA333" s="150"/>
      <c r="AB333" s="151"/>
      <c r="AC333" s="150"/>
      <c r="AD333" s="150"/>
      <c r="AE333" s="150"/>
      <c r="AF333" s="150"/>
      <c r="AG333" s="150"/>
      <c r="AH333" s="150"/>
      <c r="AI333" s="195"/>
      <c r="AJ333" s="195"/>
      <c r="AK333" s="195"/>
      <c r="AL333" s="195"/>
      <c r="AM333" s="195"/>
      <c r="AN333" s="195"/>
      <c r="AO333" s="195"/>
      <c r="AP333" s="195"/>
      <c r="AQ333" s="195"/>
      <c r="AR333" s="195"/>
      <c r="AS333" s="195"/>
      <c r="AT333" s="195"/>
      <c r="AU333" s="195"/>
      <c r="AV333" s="195"/>
      <c r="AW333" s="195"/>
      <c r="AX333" s="195"/>
      <c r="AY333" s="195"/>
      <c r="AZ333" s="195"/>
      <c r="BA333" s="195"/>
      <c r="BB333" s="195"/>
      <c r="BC333" s="195"/>
      <c r="BD333" s="195"/>
      <c r="BE333" s="195"/>
      <c r="BF333" s="195"/>
      <c r="BG333" s="195"/>
      <c r="BH333" s="195"/>
      <c r="BI333" s="195"/>
      <c r="BJ333" s="195"/>
      <c r="BK333" s="195"/>
      <c r="BL333" s="195"/>
      <c r="BM333" s="195"/>
      <c r="BN333" s="195"/>
      <c r="BO333" s="195"/>
      <c r="BP333" s="195"/>
      <c r="BQ333" s="195"/>
      <c r="BR333" s="195"/>
      <c r="BS333" s="195"/>
      <c r="BT333" s="195"/>
      <c r="BU333" s="195"/>
      <c r="BV333" s="195"/>
      <c r="BW333" s="195"/>
      <c r="BX333" s="195"/>
      <c r="BY333" s="195"/>
      <c r="BZ333" s="195"/>
      <c r="CA333" s="195"/>
      <c r="CB333" s="195"/>
      <c r="CC333" s="195"/>
      <c r="CD333" s="195"/>
      <c r="CE333" s="195"/>
      <c r="CF333" s="195"/>
      <c r="CG333" s="195"/>
      <c r="CH333" s="195"/>
      <c r="CI333" s="195"/>
      <c r="CJ333" s="195"/>
      <c r="CK333" s="195"/>
      <c r="CL333" s="195"/>
      <c r="CM333" s="195"/>
      <c r="CN333" s="195"/>
      <c r="CO333" s="195"/>
      <c r="CP333" s="195"/>
      <c r="CQ333" s="195"/>
      <c r="CR333" s="195"/>
      <c r="CS333" s="195"/>
      <c r="CT333" s="195"/>
      <c r="CU333" s="195"/>
      <c r="CV333" s="195"/>
      <c r="CW333" s="195"/>
      <c r="CX333" s="195"/>
      <c r="CY333" s="195"/>
      <c r="CZ333" s="195"/>
      <c r="DA333" s="195"/>
      <c r="DB333" s="195"/>
      <c r="DC333" s="195"/>
      <c r="DD333" s="195"/>
      <c r="DE333" s="195"/>
      <c r="DF333" s="195"/>
      <c r="DG333" s="195"/>
      <c r="DH333" s="195"/>
    </row>
    <row r="334" spans="5:112" s="193" customFormat="1">
      <c r="E334" s="32"/>
      <c r="F334" s="32"/>
      <c r="G334" s="29"/>
      <c r="H334" s="25"/>
      <c r="I334" s="25"/>
      <c r="J334" s="25"/>
      <c r="K334" s="25"/>
      <c r="L334" s="29"/>
      <c r="M334" s="29"/>
      <c r="N334" s="28"/>
      <c r="O334" s="30"/>
      <c r="P334" s="30"/>
      <c r="Q334" s="30"/>
      <c r="R334" s="30"/>
      <c r="S334" s="30"/>
      <c r="T334" s="30"/>
      <c r="U334" s="30"/>
      <c r="V334" s="29"/>
      <c r="W334" s="28"/>
      <c r="X334" s="149"/>
      <c r="Y334" s="149"/>
      <c r="Z334" s="150"/>
      <c r="AA334" s="150"/>
      <c r="AB334" s="151"/>
      <c r="AC334" s="150"/>
      <c r="AD334" s="150"/>
      <c r="AE334" s="150"/>
      <c r="AF334" s="150"/>
      <c r="AG334" s="150"/>
      <c r="AH334" s="150"/>
      <c r="AI334" s="195"/>
      <c r="AJ334" s="195"/>
      <c r="AK334" s="195"/>
      <c r="AL334" s="195"/>
      <c r="AM334" s="195"/>
      <c r="AN334" s="195"/>
      <c r="AO334" s="195"/>
      <c r="AP334" s="195"/>
      <c r="AQ334" s="195"/>
      <c r="AR334" s="195"/>
      <c r="AS334" s="195"/>
      <c r="AT334" s="195"/>
      <c r="AU334" s="195"/>
      <c r="AV334" s="195"/>
      <c r="AW334" s="195"/>
      <c r="AX334" s="195"/>
      <c r="AY334" s="195"/>
      <c r="AZ334" s="195"/>
      <c r="BA334" s="195"/>
      <c r="BB334" s="195"/>
      <c r="BC334" s="195"/>
      <c r="BD334" s="195"/>
      <c r="BE334" s="195"/>
      <c r="BF334" s="195"/>
      <c r="BG334" s="195"/>
      <c r="BH334" s="195"/>
      <c r="BI334" s="195"/>
      <c r="BJ334" s="195"/>
      <c r="BK334" s="195"/>
      <c r="BL334" s="195"/>
      <c r="BM334" s="195"/>
      <c r="BN334" s="195"/>
      <c r="BO334" s="195"/>
      <c r="BP334" s="195"/>
      <c r="BQ334" s="195"/>
      <c r="BR334" s="195"/>
      <c r="BS334" s="195"/>
      <c r="BT334" s="195"/>
      <c r="BU334" s="195"/>
      <c r="BV334" s="195"/>
      <c r="BW334" s="195"/>
      <c r="BX334" s="195"/>
      <c r="BY334" s="195"/>
      <c r="BZ334" s="195"/>
      <c r="CA334" s="195"/>
      <c r="CB334" s="195"/>
      <c r="CC334" s="195"/>
      <c r="CD334" s="195"/>
      <c r="CE334" s="195"/>
      <c r="CF334" s="195"/>
      <c r="CG334" s="195"/>
      <c r="CH334" s="195"/>
      <c r="CI334" s="195"/>
      <c r="CJ334" s="195"/>
      <c r="CK334" s="195"/>
      <c r="CL334" s="195"/>
      <c r="CM334" s="195"/>
      <c r="CN334" s="195"/>
      <c r="CO334" s="195"/>
      <c r="CP334" s="195"/>
      <c r="CQ334" s="195"/>
      <c r="CR334" s="195"/>
      <c r="CS334" s="195"/>
      <c r="CT334" s="195"/>
      <c r="CU334" s="195"/>
      <c r="CV334" s="195"/>
      <c r="CW334" s="195"/>
      <c r="CX334" s="195"/>
      <c r="CY334" s="195"/>
      <c r="CZ334" s="195"/>
      <c r="DA334" s="195"/>
      <c r="DB334" s="195"/>
      <c r="DC334" s="195"/>
      <c r="DD334" s="195"/>
      <c r="DE334" s="195"/>
      <c r="DF334" s="195"/>
      <c r="DG334" s="195"/>
      <c r="DH334" s="195"/>
    </row>
    <row r="335" spans="5:112" s="193" customFormat="1">
      <c r="E335" s="32"/>
      <c r="F335" s="32"/>
      <c r="G335" s="29"/>
      <c r="H335" s="25"/>
      <c r="I335" s="25"/>
      <c r="J335" s="25"/>
      <c r="K335" s="25"/>
      <c r="L335" s="29"/>
      <c r="M335" s="29"/>
      <c r="N335" s="28"/>
      <c r="O335" s="30"/>
      <c r="P335" s="30"/>
      <c r="Q335" s="30"/>
      <c r="R335" s="30"/>
      <c r="S335" s="30"/>
      <c r="T335" s="30"/>
      <c r="U335" s="30"/>
      <c r="V335" s="29"/>
      <c r="W335" s="28"/>
      <c r="X335" s="149"/>
      <c r="Y335" s="149"/>
      <c r="Z335" s="150"/>
      <c r="AA335" s="150"/>
      <c r="AB335" s="151"/>
      <c r="AC335" s="150"/>
      <c r="AD335" s="150"/>
      <c r="AE335" s="150"/>
      <c r="AF335" s="150"/>
      <c r="AG335" s="150"/>
      <c r="AH335" s="150"/>
      <c r="AI335" s="195"/>
      <c r="AJ335" s="195"/>
      <c r="AK335" s="195"/>
      <c r="AL335" s="195"/>
      <c r="AM335" s="195"/>
      <c r="AN335" s="195"/>
      <c r="AO335" s="195"/>
      <c r="AP335" s="195"/>
      <c r="AQ335" s="195"/>
      <c r="AR335" s="195"/>
      <c r="AS335" s="195"/>
      <c r="AT335" s="195"/>
      <c r="AU335" s="195"/>
      <c r="AV335" s="195"/>
      <c r="AW335" s="195"/>
      <c r="AX335" s="195"/>
      <c r="AY335" s="195"/>
      <c r="AZ335" s="195"/>
      <c r="BA335" s="195"/>
      <c r="BB335" s="195"/>
      <c r="BC335" s="195"/>
      <c r="BD335" s="195"/>
      <c r="BE335" s="195"/>
      <c r="BF335" s="195"/>
      <c r="BG335" s="195"/>
      <c r="BH335" s="195"/>
      <c r="BI335" s="195"/>
      <c r="BJ335" s="195"/>
      <c r="BK335" s="195"/>
      <c r="BL335" s="195"/>
      <c r="BM335" s="195"/>
      <c r="BN335" s="195"/>
      <c r="BO335" s="195"/>
      <c r="BP335" s="195"/>
      <c r="BQ335" s="195"/>
      <c r="BR335" s="195"/>
      <c r="BS335" s="195"/>
      <c r="BT335" s="195"/>
      <c r="BU335" s="195"/>
      <c r="BV335" s="195"/>
      <c r="BW335" s="195"/>
      <c r="BX335" s="195"/>
      <c r="BY335" s="195"/>
      <c r="BZ335" s="195"/>
      <c r="CA335" s="195"/>
      <c r="CB335" s="195"/>
      <c r="CC335" s="195"/>
      <c r="CD335" s="195"/>
      <c r="CE335" s="195"/>
      <c r="CF335" s="195"/>
      <c r="CG335" s="195"/>
      <c r="CH335" s="195"/>
      <c r="CI335" s="195"/>
      <c r="CJ335" s="195"/>
      <c r="CK335" s="195"/>
      <c r="CL335" s="195"/>
      <c r="CM335" s="195"/>
      <c r="CN335" s="195"/>
      <c r="CO335" s="195"/>
      <c r="CP335" s="195"/>
      <c r="CQ335" s="195"/>
      <c r="CR335" s="195"/>
      <c r="CS335" s="195"/>
      <c r="CT335" s="195"/>
      <c r="CU335" s="195"/>
      <c r="CV335" s="195"/>
      <c r="CW335" s="195"/>
      <c r="CX335" s="195"/>
      <c r="CY335" s="195"/>
      <c r="CZ335" s="195"/>
      <c r="DA335" s="195"/>
      <c r="DB335" s="195"/>
      <c r="DC335" s="195"/>
      <c r="DD335" s="195"/>
      <c r="DE335" s="195"/>
      <c r="DF335" s="195"/>
      <c r="DG335" s="195"/>
      <c r="DH335" s="195"/>
    </row>
    <row r="336" spans="5:112" s="193" customFormat="1">
      <c r="E336" s="32"/>
      <c r="F336" s="32"/>
      <c r="G336" s="29"/>
      <c r="H336" s="25"/>
      <c r="I336" s="25"/>
      <c r="J336" s="25"/>
      <c r="K336" s="25"/>
      <c r="L336" s="29"/>
      <c r="M336" s="29"/>
      <c r="N336" s="28"/>
      <c r="O336" s="30"/>
      <c r="P336" s="30"/>
      <c r="Q336" s="30"/>
      <c r="R336" s="30"/>
      <c r="S336" s="30"/>
      <c r="T336" s="30"/>
      <c r="U336" s="30"/>
      <c r="V336" s="29"/>
      <c r="W336" s="28"/>
      <c r="X336" s="149"/>
      <c r="Y336" s="149"/>
      <c r="Z336" s="150"/>
      <c r="AA336" s="150"/>
      <c r="AB336" s="151"/>
      <c r="AC336" s="150"/>
      <c r="AD336" s="150"/>
      <c r="AE336" s="150"/>
      <c r="AF336" s="150"/>
      <c r="AG336" s="150"/>
      <c r="AH336" s="150"/>
      <c r="AI336" s="195"/>
      <c r="AJ336" s="195"/>
      <c r="AK336" s="195"/>
      <c r="AL336" s="195"/>
      <c r="AM336" s="195"/>
      <c r="AN336" s="195"/>
      <c r="AO336" s="195"/>
      <c r="AP336" s="195"/>
      <c r="AQ336" s="195"/>
      <c r="AR336" s="195"/>
      <c r="AS336" s="195"/>
      <c r="AT336" s="195"/>
      <c r="AU336" s="195"/>
      <c r="AV336" s="195"/>
      <c r="AW336" s="195"/>
      <c r="AX336" s="195"/>
      <c r="AY336" s="195"/>
      <c r="AZ336" s="195"/>
      <c r="BA336" s="195"/>
      <c r="BB336" s="195"/>
      <c r="BC336" s="195"/>
      <c r="BD336" s="195"/>
      <c r="BE336" s="195"/>
      <c r="BF336" s="195"/>
      <c r="BG336" s="195"/>
      <c r="BH336" s="195"/>
      <c r="BI336" s="195"/>
      <c r="BJ336" s="195"/>
      <c r="BK336" s="195"/>
      <c r="BL336" s="195"/>
      <c r="BM336" s="195"/>
      <c r="BN336" s="195"/>
      <c r="BO336" s="195"/>
      <c r="BP336" s="195"/>
      <c r="BQ336" s="195"/>
      <c r="BR336" s="195"/>
      <c r="BS336" s="195"/>
      <c r="BT336" s="195"/>
      <c r="BU336" s="195"/>
      <c r="BV336" s="195"/>
      <c r="BW336" s="195"/>
      <c r="BX336" s="195"/>
      <c r="BY336" s="195"/>
      <c r="BZ336" s="195"/>
      <c r="CA336" s="195"/>
      <c r="CB336" s="195"/>
      <c r="CC336" s="195"/>
      <c r="CD336" s="195"/>
      <c r="CE336" s="195"/>
      <c r="CF336" s="195"/>
      <c r="CG336" s="195"/>
      <c r="CH336" s="195"/>
      <c r="CI336" s="195"/>
      <c r="CJ336" s="195"/>
      <c r="CK336" s="195"/>
      <c r="CL336" s="195"/>
      <c r="CM336" s="195"/>
      <c r="CN336" s="195"/>
      <c r="CO336" s="195"/>
      <c r="CP336" s="195"/>
      <c r="CQ336" s="195"/>
      <c r="CR336" s="195"/>
      <c r="CS336" s="195"/>
      <c r="CT336" s="195"/>
      <c r="CU336" s="195"/>
      <c r="CV336" s="195"/>
      <c r="CW336" s="195"/>
      <c r="CX336" s="195"/>
      <c r="CY336" s="195"/>
      <c r="CZ336" s="195"/>
      <c r="DA336" s="195"/>
      <c r="DB336" s="195"/>
      <c r="DC336" s="195"/>
      <c r="DD336" s="195"/>
      <c r="DE336" s="195"/>
      <c r="DF336" s="195"/>
      <c r="DG336" s="195"/>
      <c r="DH336" s="195"/>
    </row>
    <row r="337" spans="5:112" s="193" customFormat="1">
      <c r="E337" s="32"/>
      <c r="F337" s="32"/>
      <c r="G337" s="29"/>
      <c r="H337" s="25"/>
      <c r="I337" s="25"/>
      <c r="J337" s="25"/>
      <c r="K337" s="25"/>
      <c r="L337" s="29"/>
      <c r="M337" s="29"/>
      <c r="N337" s="28"/>
      <c r="O337" s="30"/>
      <c r="P337" s="30"/>
      <c r="Q337" s="30"/>
      <c r="R337" s="30"/>
      <c r="S337" s="30"/>
      <c r="T337" s="30"/>
      <c r="U337" s="30"/>
      <c r="V337" s="29"/>
      <c r="W337" s="28"/>
      <c r="X337" s="149"/>
      <c r="Y337" s="149"/>
      <c r="Z337" s="150"/>
      <c r="AA337" s="150"/>
      <c r="AB337" s="151"/>
      <c r="AC337" s="150"/>
      <c r="AD337" s="150"/>
      <c r="AE337" s="150"/>
      <c r="AF337" s="150"/>
      <c r="AG337" s="150"/>
      <c r="AH337" s="150"/>
      <c r="AI337" s="195"/>
      <c r="AJ337" s="195"/>
      <c r="AK337" s="195"/>
      <c r="AL337" s="195"/>
      <c r="AM337" s="195"/>
      <c r="AN337" s="195"/>
      <c r="AO337" s="195"/>
      <c r="AP337" s="195"/>
      <c r="AQ337" s="195"/>
      <c r="AR337" s="195"/>
      <c r="AS337" s="195"/>
      <c r="AT337" s="195"/>
      <c r="AU337" s="195"/>
      <c r="AV337" s="195"/>
      <c r="AW337" s="195"/>
      <c r="AX337" s="195"/>
      <c r="AY337" s="195"/>
      <c r="AZ337" s="195"/>
      <c r="BA337" s="195"/>
      <c r="BB337" s="195"/>
      <c r="BC337" s="195"/>
      <c r="BD337" s="195"/>
      <c r="BE337" s="195"/>
      <c r="BF337" s="195"/>
      <c r="BG337" s="195"/>
      <c r="BH337" s="195"/>
      <c r="BI337" s="195"/>
      <c r="BJ337" s="195"/>
      <c r="BK337" s="195"/>
      <c r="BL337" s="195"/>
      <c r="BM337" s="195"/>
      <c r="BN337" s="195"/>
      <c r="BO337" s="195"/>
      <c r="BP337" s="195"/>
      <c r="BQ337" s="195"/>
      <c r="BR337" s="195"/>
      <c r="BS337" s="195"/>
      <c r="BT337" s="195"/>
      <c r="BU337" s="195"/>
      <c r="BV337" s="195"/>
      <c r="BW337" s="195"/>
      <c r="BX337" s="195"/>
      <c r="BY337" s="195"/>
      <c r="BZ337" s="195"/>
      <c r="CA337" s="195"/>
      <c r="CB337" s="195"/>
      <c r="CC337" s="195"/>
      <c r="CD337" s="195"/>
      <c r="CE337" s="195"/>
      <c r="CF337" s="195"/>
      <c r="CG337" s="195"/>
      <c r="CH337" s="195"/>
      <c r="CI337" s="195"/>
      <c r="CJ337" s="195"/>
      <c r="CK337" s="195"/>
      <c r="CL337" s="195"/>
      <c r="CM337" s="195"/>
      <c r="CN337" s="195"/>
      <c r="CO337" s="195"/>
      <c r="CP337" s="195"/>
      <c r="CQ337" s="195"/>
      <c r="CR337" s="195"/>
      <c r="CS337" s="195"/>
      <c r="CT337" s="195"/>
      <c r="CU337" s="195"/>
      <c r="CV337" s="195"/>
      <c r="CW337" s="195"/>
      <c r="CX337" s="195"/>
      <c r="CY337" s="195"/>
      <c r="CZ337" s="195"/>
      <c r="DA337" s="195"/>
      <c r="DB337" s="195"/>
      <c r="DC337" s="195"/>
      <c r="DD337" s="195"/>
      <c r="DE337" s="195"/>
      <c r="DF337" s="195"/>
      <c r="DG337" s="195"/>
      <c r="DH337" s="195"/>
    </row>
    <row r="338" spans="5:112" s="193" customFormat="1">
      <c r="E338" s="32"/>
      <c r="F338" s="32"/>
      <c r="G338" s="29"/>
      <c r="H338" s="25"/>
      <c r="I338" s="25"/>
      <c r="J338" s="25"/>
      <c r="K338" s="25"/>
      <c r="L338" s="29"/>
      <c r="M338" s="29"/>
      <c r="N338" s="28"/>
      <c r="O338" s="30"/>
      <c r="P338" s="30"/>
      <c r="Q338" s="30"/>
      <c r="R338" s="30"/>
      <c r="S338" s="30"/>
      <c r="T338" s="30"/>
      <c r="U338" s="30"/>
      <c r="V338" s="29"/>
      <c r="W338" s="28"/>
      <c r="X338" s="149"/>
      <c r="Y338" s="149"/>
      <c r="Z338" s="150"/>
      <c r="AA338" s="150"/>
      <c r="AB338" s="151"/>
      <c r="AC338" s="150"/>
      <c r="AD338" s="150"/>
      <c r="AE338" s="150"/>
      <c r="AF338" s="150"/>
      <c r="AG338" s="150"/>
      <c r="AH338" s="150"/>
      <c r="AI338" s="195"/>
      <c r="AJ338" s="195"/>
      <c r="AK338" s="195"/>
      <c r="AL338" s="195"/>
      <c r="AM338" s="195"/>
      <c r="AN338" s="195"/>
      <c r="AO338" s="195"/>
      <c r="AP338" s="195"/>
      <c r="AQ338" s="195"/>
      <c r="AR338" s="195"/>
      <c r="AS338" s="195"/>
      <c r="AT338" s="195"/>
      <c r="AU338" s="195"/>
      <c r="AV338" s="195"/>
      <c r="AW338" s="195"/>
      <c r="AX338" s="195"/>
      <c r="AY338" s="195"/>
      <c r="AZ338" s="195"/>
      <c r="BA338" s="195"/>
      <c r="BB338" s="195"/>
      <c r="BC338" s="195"/>
      <c r="BD338" s="195"/>
      <c r="BE338" s="195"/>
      <c r="BF338" s="195"/>
      <c r="BG338" s="195"/>
      <c r="BH338" s="195"/>
      <c r="BI338" s="195"/>
      <c r="BJ338" s="195"/>
      <c r="BK338" s="195"/>
      <c r="BL338" s="195"/>
      <c r="BM338" s="195"/>
      <c r="BN338" s="195"/>
      <c r="BO338" s="195"/>
      <c r="BP338" s="195"/>
      <c r="BQ338" s="195"/>
      <c r="BR338" s="195"/>
      <c r="BS338" s="195"/>
      <c r="BT338" s="195"/>
      <c r="BU338" s="195"/>
      <c r="BV338" s="195"/>
      <c r="BW338" s="195"/>
      <c r="BX338" s="195"/>
      <c r="BY338" s="195"/>
      <c r="BZ338" s="195"/>
      <c r="CA338" s="195"/>
      <c r="CB338" s="195"/>
      <c r="CC338" s="195"/>
      <c r="CD338" s="195"/>
      <c r="CE338" s="195"/>
      <c r="CF338" s="195"/>
      <c r="CG338" s="195"/>
      <c r="CH338" s="195"/>
      <c r="CI338" s="195"/>
      <c r="CJ338" s="195"/>
      <c r="CK338" s="195"/>
      <c r="CL338" s="195"/>
      <c r="CM338" s="195"/>
      <c r="CN338" s="195"/>
      <c r="CO338" s="195"/>
      <c r="CP338" s="195"/>
      <c r="CQ338" s="195"/>
      <c r="CR338" s="195"/>
      <c r="CS338" s="195"/>
      <c r="CT338" s="195"/>
      <c r="CU338" s="195"/>
      <c r="CV338" s="195"/>
      <c r="CW338" s="195"/>
      <c r="CX338" s="195"/>
      <c r="CY338" s="195"/>
      <c r="CZ338" s="195"/>
      <c r="DA338" s="195"/>
      <c r="DB338" s="195"/>
      <c r="DC338" s="195"/>
      <c r="DD338" s="195"/>
      <c r="DE338" s="195"/>
      <c r="DF338" s="195"/>
      <c r="DG338" s="195"/>
      <c r="DH338" s="195"/>
    </row>
    <row r="339" spans="5:112" s="193" customFormat="1">
      <c r="E339" s="32"/>
      <c r="F339" s="32"/>
      <c r="G339" s="29"/>
      <c r="H339" s="25"/>
      <c r="I339" s="25"/>
      <c r="J339" s="25"/>
      <c r="K339" s="25"/>
      <c r="L339" s="29"/>
      <c r="M339" s="29"/>
      <c r="N339" s="28"/>
      <c r="O339" s="30"/>
      <c r="P339" s="30"/>
      <c r="Q339" s="30"/>
      <c r="R339" s="30"/>
      <c r="S339" s="30"/>
      <c r="T339" s="30"/>
      <c r="U339" s="30"/>
      <c r="V339" s="29"/>
      <c r="W339" s="28"/>
      <c r="X339" s="149"/>
      <c r="Y339" s="149"/>
      <c r="Z339" s="150"/>
      <c r="AA339" s="150"/>
      <c r="AB339" s="151"/>
      <c r="AC339" s="150"/>
      <c r="AD339" s="150"/>
      <c r="AE339" s="150"/>
      <c r="AF339" s="150"/>
      <c r="AG339" s="150"/>
      <c r="AH339" s="150"/>
      <c r="AI339" s="195"/>
      <c r="AJ339" s="195"/>
      <c r="AK339" s="195"/>
      <c r="AL339" s="195"/>
      <c r="AM339" s="195"/>
      <c r="AN339" s="195"/>
      <c r="AO339" s="195"/>
      <c r="AP339" s="195"/>
      <c r="AQ339" s="195"/>
      <c r="AR339" s="195"/>
      <c r="AS339" s="195"/>
      <c r="AT339" s="195"/>
      <c r="AU339" s="195"/>
      <c r="AV339" s="195"/>
      <c r="AW339" s="195"/>
      <c r="AX339" s="195"/>
      <c r="AY339" s="195"/>
      <c r="AZ339" s="195"/>
      <c r="BA339" s="195"/>
      <c r="BB339" s="195"/>
      <c r="BC339" s="195"/>
      <c r="BD339" s="195"/>
      <c r="BE339" s="195"/>
      <c r="BF339" s="195"/>
      <c r="BG339" s="195"/>
      <c r="BH339" s="195"/>
      <c r="BI339" s="195"/>
      <c r="BJ339" s="195"/>
      <c r="BK339" s="195"/>
      <c r="BL339" s="195"/>
      <c r="BM339" s="195"/>
      <c r="BN339" s="195"/>
      <c r="BO339" s="195"/>
      <c r="BP339" s="195"/>
      <c r="BQ339" s="195"/>
      <c r="BR339" s="195"/>
      <c r="BS339" s="195"/>
      <c r="BT339" s="195"/>
      <c r="BU339" s="195"/>
      <c r="BV339" s="195"/>
      <c r="BW339" s="195"/>
      <c r="BX339" s="195"/>
      <c r="BY339" s="195"/>
      <c r="BZ339" s="195"/>
      <c r="CA339" s="195"/>
      <c r="CB339" s="195"/>
      <c r="CC339" s="195"/>
      <c r="CD339" s="195"/>
      <c r="CE339" s="195"/>
      <c r="CF339" s="195"/>
      <c r="CG339" s="195"/>
      <c r="CH339" s="195"/>
      <c r="CI339" s="195"/>
      <c r="CJ339" s="195"/>
      <c r="CK339" s="195"/>
      <c r="CL339" s="195"/>
      <c r="CM339" s="195"/>
      <c r="CN339" s="195"/>
      <c r="CO339" s="195"/>
      <c r="CP339" s="195"/>
      <c r="CQ339" s="195"/>
      <c r="CR339" s="195"/>
      <c r="CS339" s="195"/>
      <c r="CT339" s="195"/>
      <c r="CU339" s="195"/>
      <c r="CV339" s="195"/>
      <c r="CW339" s="195"/>
      <c r="CX339" s="195"/>
      <c r="CY339" s="195"/>
      <c r="CZ339" s="195"/>
      <c r="DA339" s="195"/>
      <c r="DB339" s="195"/>
      <c r="DC339" s="195"/>
      <c r="DD339" s="195"/>
      <c r="DE339" s="195"/>
      <c r="DF339" s="195"/>
      <c r="DG339" s="195"/>
      <c r="DH339" s="195"/>
    </row>
    <row r="340" spans="5:112" s="193" customFormat="1">
      <c r="E340" s="32"/>
      <c r="F340" s="32"/>
      <c r="G340" s="29"/>
      <c r="H340" s="25"/>
      <c r="I340" s="25"/>
      <c r="J340" s="25"/>
      <c r="K340" s="25"/>
      <c r="L340" s="29"/>
      <c r="M340" s="29"/>
      <c r="N340" s="28"/>
      <c r="O340" s="30"/>
      <c r="P340" s="30"/>
      <c r="Q340" s="30"/>
      <c r="R340" s="30"/>
      <c r="S340" s="30"/>
      <c r="T340" s="30"/>
      <c r="U340" s="30"/>
      <c r="V340" s="29"/>
      <c r="W340" s="28"/>
      <c r="X340" s="149"/>
      <c r="Y340" s="149"/>
      <c r="Z340" s="150"/>
      <c r="AA340" s="150"/>
      <c r="AB340" s="151"/>
      <c r="AC340" s="150"/>
      <c r="AD340" s="150"/>
      <c r="AE340" s="150"/>
      <c r="AF340" s="150"/>
      <c r="AG340" s="150"/>
      <c r="AH340" s="150"/>
      <c r="AI340" s="195"/>
      <c r="AJ340" s="195"/>
      <c r="AK340" s="195"/>
      <c r="AL340" s="195"/>
      <c r="AM340" s="195"/>
      <c r="AN340" s="195"/>
      <c r="AO340" s="195"/>
      <c r="AP340" s="195"/>
      <c r="AQ340" s="195"/>
      <c r="AR340" s="195"/>
      <c r="AS340" s="195"/>
      <c r="AT340" s="195"/>
      <c r="AU340" s="195"/>
      <c r="AV340" s="195"/>
      <c r="AW340" s="195"/>
      <c r="AX340" s="195"/>
      <c r="AY340" s="195"/>
      <c r="AZ340" s="195"/>
      <c r="BA340" s="195"/>
      <c r="BB340" s="195"/>
      <c r="BC340" s="195"/>
      <c r="BD340" s="195"/>
      <c r="BE340" s="195"/>
      <c r="BF340" s="195"/>
      <c r="BG340" s="195"/>
      <c r="BH340" s="195"/>
      <c r="BI340" s="195"/>
      <c r="BJ340" s="195"/>
      <c r="BK340" s="195"/>
      <c r="BL340" s="195"/>
      <c r="BM340" s="195"/>
      <c r="BN340" s="195"/>
      <c r="BO340" s="195"/>
      <c r="BP340" s="195"/>
      <c r="BQ340" s="195"/>
      <c r="BR340" s="195"/>
      <c r="BS340" s="195"/>
      <c r="BT340" s="195"/>
      <c r="BU340" s="195"/>
      <c r="BV340" s="195"/>
      <c r="BW340" s="195"/>
      <c r="BX340" s="195"/>
      <c r="BY340" s="195"/>
      <c r="BZ340" s="195"/>
      <c r="CA340" s="195"/>
      <c r="CB340" s="195"/>
      <c r="CC340" s="195"/>
      <c r="CD340" s="195"/>
      <c r="CE340" s="195"/>
      <c r="CF340" s="195"/>
      <c r="CG340" s="195"/>
      <c r="CH340" s="195"/>
      <c r="CI340" s="195"/>
      <c r="CJ340" s="195"/>
      <c r="CK340" s="195"/>
      <c r="CL340" s="195"/>
      <c r="CM340" s="195"/>
      <c r="CN340" s="195"/>
      <c r="CO340" s="195"/>
      <c r="CP340" s="195"/>
      <c r="CQ340" s="195"/>
      <c r="CR340" s="195"/>
      <c r="CS340" s="195"/>
      <c r="CT340" s="195"/>
      <c r="CU340" s="195"/>
      <c r="CV340" s="195"/>
      <c r="CW340" s="195"/>
      <c r="CX340" s="195"/>
      <c r="CY340" s="195"/>
      <c r="CZ340" s="195"/>
      <c r="DA340" s="195"/>
      <c r="DB340" s="195"/>
      <c r="DC340" s="195"/>
      <c r="DD340" s="195"/>
      <c r="DE340" s="195"/>
      <c r="DF340" s="195"/>
      <c r="DG340" s="195"/>
      <c r="DH340" s="195"/>
    </row>
    <row r="341" spans="5:112" s="193" customFormat="1">
      <c r="E341" s="32"/>
      <c r="F341" s="32"/>
      <c r="G341" s="29"/>
      <c r="H341" s="25"/>
      <c r="I341" s="25"/>
      <c r="J341" s="25"/>
      <c r="K341" s="25"/>
      <c r="L341" s="29"/>
      <c r="M341" s="29"/>
      <c r="N341" s="28"/>
      <c r="O341" s="30"/>
      <c r="P341" s="30"/>
      <c r="Q341" s="30"/>
      <c r="R341" s="30"/>
      <c r="S341" s="30"/>
      <c r="T341" s="30"/>
      <c r="U341" s="30"/>
      <c r="V341" s="29"/>
      <c r="W341" s="28"/>
      <c r="X341" s="149"/>
      <c r="Y341" s="149"/>
      <c r="Z341" s="150"/>
      <c r="AA341" s="150"/>
      <c r="AB341" s="151"/>
      <c r="AC341" s="150"/>
      <c r="AD341" s="150"/>
      <c r="AE341" s="150"/>
      <c r="AF341" s="150"/>
      <c r="AG341" s="150"/>
      <c r="AH341" s="150"/>
      <c r="AI341" s="195"/>
      <c r="AJ341" s="195"/>
      <c r="AK341" s="195"/>
      <c r="AL341" s="195"/>
      <c r="AM341" s="195"/>
      <c r="AN341" s="195"/>
      <c r="AO341" s="195"/>
      <c r="AP341" s="195"/>
      <c r="AQ341" s="195"/>
      <c r="AR341" s="195"/>
      <c r="AS341" s="195"/>
      <c r="AT341" s="195"/>
      <c r="AU341" s="195"/>
      <c r="AV341" s="195"/>
      <c r="AW341" s="195"/>
      <c r="AX341" s="195"/>
      <c r="AY341" s="195"/>
      <c r="AZ341" s="195"/>
      <c r="BA341" s="195"/>
      <c r="BB341" s="195"/>
      <c r="BC341" s="195"/>
      <c r="BD341" s="195"/>
      <c r="BE341" s="195"/>
      <c r="BF341" s="195"/>
      <c r="BG341" s="195"/>
      <c r="BH341" s="195"/>
      <c r="BI341" s="195"/>
      <c r="BJ341" s="195"/>
      <c r="BK341" s="195"/>
      <c r="BL341" s="195"/>
      <c r="BM341" s="195"/>
      <c r="BN341" s="195"/>
      <c r="BO341" s="195"/>
      <c r="BP341" s="195"/>
      <c r="BQ341" s="195"/>
      <c r="BR341" s="195"/>
      <c r="BS341" s="195"/>
      <c r="BT341" s="195"/>
      <c r="BU341" s="195"/>
      <c r="BV341" s="195"/>
      <c r="BW341" s="195"/>
      <c r="BX341" s="195"/>
      <c r="BY341" s="195"/>
      <c r="BZ341" s="195"/>
      <c r="CA341" s="195"/>
      <c r="CB341" s="195"/>
      <c r="CC341" s="195"/>
      <c r="CD341" s="195"/>
      <c r="CE341" s="195"/>
      <c r="CF341" s="195"/>
      <c r="CG341" s="195"/>
      <c r="CH341" s="195"/>
      <c r="CI341" s="195"/>
      <c r="CJ341" s="195"/>
      <c r="CK341" s="195"/>
      <c r="CL341" s="195"/>
      <c r="CM341" s="195"/>
      <c r="CN341" s="195"/>
      <c r="CO341" s="195"/>
      <c r="CP341" s="195"/>
      <c r="CQ341" s="195"/>
      <c r="CR341" s="195"/>
      <c r="CS341" s="195"/>
      <c r="CT341" s="195"/>
      <c r="CU341" s="195"/>
      <c r="CV341" s="195"/>
      <c r="CW341" s="195"/>
      <c r="CX341" s="195"/>
      <c r="CY341" s="195"/>
      <c r="CZ341" s="195"/>
      <c r="DA341" s="195"/>
      <c r="DB341" s="195"/>
      <c r="DC341" s="195"/>
      <c r="DD341" s="195"/>
      <c r="DE341" s="195"/>
      <c r="DF341" s="195"/>
      <c r="DG341" s="195"/>
      <c r="DH341" s="195"/>
    </row>
    <row r="342" spans="5:112" s="193" customFormat="1">
      <c r="E342" s="32"/>
      <c r="F342" s="32"/>
      <c r="G342" s="29"/>
      <c r="H342" s="25"/>
      <c r="I342" s="25"/>
      <c r="J342" s="25"/>
      <c r="K342" s="25"/>
      <c r="L342" s="29"/>
      <c r="M342" s="29"/>
      <c r="N342" s="28"/>
      <c r="O342" s="30"/>
      <c r="P342" s="30"/>
      <c r="Q342" s="30"/>
      <c r="R342" s="30"/>
      <c r="S342" s="30"/>
      <c r="T342" s="30"/>
      <c r="U342" s="30"/>
      <c r="V342" s="29"/>
      <c r="W342" s="28"/>
      <c r="X342" s="149"/>
      <c r="Y342" s="149"/>
      <c r="Z342" s="150"/>
      <c r="AA342" s="150"/>
      <c r="AB342" s="151"/>
      <c r="AC342" s="150"/>
      <c r="AD342" s="150"/>
      <c r="AE342" s="150"/>
      <c r="AF342" s="150"/>
      <c r="AG342" s="150"/>
      <c r="AH342" s="150"/>
      <c r="AI342" s="195"/>
      <c r="AJ342" s="195"/>
      <c r="AK342" s="195"/>
      <c r="AL342" s="195"/>
      <c r="AM342" s="195"/>
      <c r="AN342" s="195"/>
      <c r="AO342" s="195"/>
      <c r="AP342" s="195"/>
      <c r="AQ342" s="195"/>
      <c r="AR342" s="195"/>
      <c r="AS342" s="195"/>
      <c r="AT342" s="195"/>
      <c r="AU342" s="195"/>
      <c r="AV342" s="195"/>
      <c r="AW342" s="195"/>
      <c r="AX342" s="195"/>
      <c r="AY342" s="195"/>
      <c r="AZ342" s="195"/>
      <c r="BA342" s="195"/>
      <c r="BB342" s="195"/>
      <c r="BC342" s="195"/>
      <c r="BD342" s="195"/>
      <c r="BE342" s="195"/>
      <c r="BF342" s="195"/>
      <c r="BG342" s="195"/>
      <c r="BH342" s="195"/>
      <c r="BI342" s="195"/>
      <c r="BJ342" s="195"/>
      <c r="BK342" s="195"/>
      <c r="BL342" s="195"/>
      <c r="BM342" s="195"/>
      <c r="BN342" s="195"/>
      <c r="BO342" s="195"/>
      <c r="BP342" s="195"/>
      <c r="BQ342" s="195"/>
      <c r="BR342" s="195"/>
      <c r="BS342" s="195"/>
      <c r="BT342" s="195"/>
      <c r="BU342" s="195"/>
      <c r="BV342" s="195"/>
      <c r="BW342" s="195"/>
      <c r="BX342" s="195"/>
      <c r="BY342" s="195"/>
      <c r="BZ342" s="195"/>
      <c r="CA342" s="195"/>
      <c r="CB342" s="195"/>
      <c r="CC342" s="195"/>
      <c r="CD342" s="195"/>
      <c r="CE342" s="195"/>
      <c r="CF342" s="195"/>
      <c r="CG342" s="195"/>
      <c r="CH342" s="195"/>
      <c r="CI342" s="195"/>
      <c r="CJ342" s="195"/>
      <c r="CK342" s="195"/>
      <c r="CL342" s="195"/>
      <c r="CM342" s="195"/>
      <c r="CN342" s="195"/>
      <c r="CO342" s="195"/>
      <c r="CP342" s="195"/>
      <c r="CQ342" s="195"/>
      <c r="CR342" s="195"/>
      <c r="CS342" s="195"/>
      <c r="CT342" s="195"/>
      <c r="CU342" s="195"/>
      <c r="CV342" s="195"/>
      <c r="CW342" s="195"/>
      <c r="CX342" s="195"/>
      <c r="CY342" s="195"/>
      <c r="CZ342" s="195"/>
      <c r="DA342" s="195"/>
      <c r="DB342" s="195"/>
      <c r="DC342" s="195"/>
      <c r="DD342" s="195"/>
      <c r="DE342" s="195"/>
      <c r="DF342" s="195"/>
      <c r="DG342" s="195"/>
      <c r="DH342" s="195"/>
    </row>
    <row r="343" spans="5:112" s="193" customFormat="1">
      <c r="E343" s="32"/>
      <c r="F343" s="32"/>
      <c r="G343" s="29"/>
      <c r="H343" s="25"/>
      <c r="I343" s="25"/>
      <c r="J343" s="25"/>
      <c r="K343" s="25"/>
      <c r="L343" s="29"/>
      <c r="M343" s="29"/>
      <c r="N343" s="28"/>
      <c r="O343" s="30"/>
      <c r="P343" s="30"/>
      <c r="Q343" s="30"/>
      <c r="R343" s="30"/>
      <c r="S343" s="30"/>
      <c r="T343" s="30"/>
      <c r="U343" s="30"/>
      <c r="V343" s="29"/>
      <c r="W343" s="28"/>
      <c r="X343" s="149"/>
      <c r="Y343" s="149"/>
      <c r="Z343" s="150"/>
      <c r="AA343" s="150"/>
      <c r="AB343" s="151"/>
      <c r="AC343" s="150"/>
      <c r="AD343" s="150"/>
      <c r="AE343" s="150"/>
      <c r="AF343" s="150"/>
      <c r="AG343" s="150"/>
      <c r="AH343" s="150"/>
      <c r="AI343" s="195"/>
      <c r="AJ343" s="195"/>
      <c r="AK343" s="195"/>
      <c r="AL343" s="195"/>
      <c r="AM343" s="195"/>
      <c r="AN343" s="195"/>
      <c r="AO343" s="195"/>
      <c r="AP343" s="195"/>
      <c r="AQ343" s="195"/>
      <c r="AR343" s="195"/>
      <c r="AS343" s="195"/>
      <c r="AT343" s="195"/>
      <c r="AU343" s="195"/>
      <c r="AV343" s="195"/>
      <c r="AW343" s="195"/>
      <c r="AX343" s="195"/>
      <c r="AY343" s="195"/>
      <c r="AZ343" s="195"/>
      <c r="BA343" s="195"/>
      <c r="BB343" s="195"/>
      <c r="BC343" s="195"/>
      <c r="BD343" s="195"/>
      <c r="BE343" s="195"/>
      <c r="BF343" s="195"/>
      <c r="BG343" s="195"/>
      <c r="BH343" s="195"/>
      <c r="BI343" s="195"/>
      <c r="BJ343" s="195"/>
      <c r="BK343" s="195"/>
      <c r="BL343" s="195"/>
      <c r="BM343" s="195"/>
      <c r="BN343" s="195"/>
      <c r="BO343" s="195"/>
      <c r="BP343" s="195"/>
      <c r="BQ343" s="195"/>
      <c r="BR343" s="195"/>
      <c r="BS343" s="195"/>
      <c r="BT343" s="195"/>
      <c r="BU343" s="195"/>
      <c r="BV343" s="195"/>
      <c r="BW343" s="195"/>
      <c r="BX343" s="195"/>
      <c r="BY343" s="195"/>
      <c r="BZ343" s="195"/>
      <c r="CA343" s="195"/>
      <c r="CB343" s="195"/>
      <c r="CC343" s="195"/>
      <c r="CD343" s="195"/>
      <c r="CE343" s="195"/>
      <c r="CF343" s="195"/>
      <c r="CG343" s="195"/>
      <c r="CH343" s="195"/>
      <c r="CI343" s="195"/>
      <c r="CJ343" s="195"/>
      <c r="CK343" s="195"/>
      <c r="CL343" s="195"/>
      <c r="CM343" s="195"/>
      <c r="CN343" s="195"/>
      <c r="CO343" s="195"/>
      <c r="CP343" s="195"/>
      <c r="CQ343" s="195"/>
      <c r="CR343" s="195"/>
      <c r="CS343" s="195"/>
      <c r="CT343" s="195"/>
      <c r="CU343" s="195"/>
      <c r="CV343" s="195"/>
      <c r="CW343" s="195"/>
      <c r="CX343" s="195"/>
      <c r="CY343" s="195"/>
      <c r="CZ343" s="195"/>
      <c r="DA343" s="195"/>
      <c r="DB343" s="195"/>
      <c r="DC343" s="195"/>
      <c r="DD343" s="195"/>
      <c r="DE343" s="195"/>
      <c r="DF343" s="195"/>
      <c r="DG343" s="195"/>
      <c r="DH343" s="195"/>
    </row>
    <row r="344" spans="5:112" s="193" customFormat="1">
      <c r="E344" s="32"/>
      <c r="F344" s="32"/>
      <c r="G344" s="29"/>
      <c r="H344" s="25"/>
      <c r="I344" s="25"/>
      <c r="J344" s="25"/>
      <c r="K344" s="25"/>
      <c r="L344" s="29"/>
      <c r="M344" s="29"/>
      <c r="N344" s="28"/>
      <c r="O344" s="30"/>
      <c r="P344" s="30"/>
      <c r="Q344" s="30"/>
      <c r="R344" s="30"/>
      <c r="S344" s="30"/>
      <c r="T344" s="30"/>
      <c r="U344" s="30"/>
      <c r="V344" s="29"/>
      <c r="W344" s="28"/>
      <c r="X344" s="149"/>
      <c r="Y344" s="149"/>
      <c r="Z344" s="150"/>
      <c r="AA344" s="150"/>
      <c r="AB344" s="151"/>
      <c r="AC344" s="150"/>
      <c r="AD344" s="150"/>
      <c r="AE344" s="150"/>
      <c r="AF344" s="150"/>
      <c r="AG344" s="150"/>
      <c r="AH344" s="150"/>
      <c r="AI344" s="195"/>
      <c r="AJ344" s="195"/>
      <c r="AK344" s="195"/>
      <c r="AL344" s="195"/>
      <c r="AM344" s="195"/>
      <c r="AN344" s="195"/>
      <c r="AO344" s="195"/>
      <c r="AP344" s="195"/>
      <c r="AQ344" s="195"/>
      <c r="AR344" s="195"/>
      <c r="AS344" s="195"/>
      <c r="AT344" s="195"/>
      <c r="AU344" s="195"/>
      <c r="AV344" s="195"/>
      <c r="AW344" s="195"/>
      <c r="AX344" s="195"/>
      <c r="AY344" s="195"/>
      <c r="AZ344" s="195"/>
      <c r="BA344" s="195"/>
      <c r="BB344" s="195"/>
      <c r="BC344" s="195"/>
      <c r="BD344" s="195"/>
      <c r="BE344" s="195"/>
      <c r="BF344" s="195"/>
      <c r="BG344" s="195"/>
      <c r="BH344" s="195"/>
      <c r="BI344" s="195"/>
      <c r="BJ344" s="195"/>
      <c r="BK344" s="195"/>
      <c r="BL344" s="195"/>
      <c r="BM344" s="195"/>
      <c r="BN344" s="195"/>
      <c r="BO344" s="195"/>
      <c r="BP344" s="195"/>
      <c r="BQ344" s="195"/>
      <c r="BR344" s="195"/>
      <c r="BS344" s="195"/>
      <c r="BT344" s="195"/>
      <c r="BU344" s="195"/>
      <c r="BV344" s="195"/>
      <c r="BW344" s="195"/>
      <c r="BX344" s="195"/>
      <c r="BY344" s="195"/>
      <c r="BZ344" s="195"/>
      <c r="CA344" s="195"/>
      <c r="CB344" s="195"/>
      <c r="CC344" s="195"/>
      <c r="CD344" s="195"/>
      <c r="CE344" s="195"/>
      <c r="CF344" s="195"/>
      <c r="CG344" s="195"/>
      <c r="CH344" s="195"/>
      <c r="CI344" s="195"/>
      <c r="CJ344" s="195"/>
      <c r="CK344" s="195"/>
      <c r="CL344" s="195"/>
      <c r="CM344" s="195"/>
      <c r="CN344" s="195"/>
      <c r="CO344" s="195"/>
      <c r="CP344" s="195"/>
      <c r="CQ344" s="195"/>
      <c r="CR344" s="195"/>
      <c r="CS344" s="195"/>
      <c r="CT344" s="195"/>
      <c r="CU344" s="195"/>
      <c r="CV344" s="195"/>
      <c r="CW344" s="195"/>
      <c r="CX344" s="195"/>
      <c r="CY344" s="195"/>
      <c r="CZ344" s="195"/>
      <c r="DA344" s="195"/>
      <c r="DB344" s="195"/>
      <c r="DC344" s="195"/>
      <c r="DD344" s="195"/>
      <c r="DE344" s="195"/>
      <c r="DF344" s="195"/>
      <c r="DG344" s="195"/>
      <c r="DH344" s="195"/>
    </row>
    <row r="345" spans="5:112" s="193" customFormat="1">
      <c r="E345" s="32"/>
      <c r="F345" s="32"/>
      <c r="G345" s="29"/>
      <c r="H345" s="25"/>
      <c r="I345" s="25"/>
      <c r="J345" s="25"/>
      <c r="K345" s="25"/>
      <c r="L345" s="29"/>
      <c r="M345" s="29"/>
      <c r="N345" s="28"/>
      <c r="O345" s="30"/>
      <c r="P345" s="30"/>
      <c r="Q345" s="30"/>
      <c r="R345" s="30"/>
      <c r="S345" s="30"/>
      <c r="T345" s="30"/>
      <c r="U345" s="30"/>
      <c r="V345" s="29"/>
      <c r="W345" s="28"/>
      <c r="X345" s="149"/>
      <c r="Y345" s="149"/>
      <c r="Z345" s="150"/>
      <c r="AA345" s="150"/>
      <c r="AB345" s="151"/>
      <c r="AC345" s="150"/>
      <c r="AD345" s="150"/>
      <c r="AE345" s="150"/>
      <c r="AF345" s="150"/>
      <c r="AG345" s="150"/>
      <c r="AH345" s="150"/>
      <c r="AI345" s="195"/>
      <c r="AJ345" s="195"/>
      <c r="AK345" s="195"/>
      <c r="AL345" s="195"/>
      <c r="AM345" s="195"/>
      <c r="AN345" s="195"/>
      <c r="AO345" s="195"/>
      <c r="AP345" s="195"/>
      <c r="AQ345" s="195"/>
      <c r="AR345" s="195"/>
      <c r="AS345" s="195"/>
      <c r="AT345" s="195"/>
      <c r="AU345" s="195"/>
      <c r="AV345" s="195"/>
      <c r="AW345" s="195"/>
      <c r="AX345" s="195"/>
      <c r="AY345" s="195"/>
      <c r="AZ345" s="195"/>
      <c r="BA345" s="195"/>
      <c r="BB345" s="195"/>
      <c r="BC345" s="195"/>
      <c r="BD345" s="195"/>
      <c r="BE345" s="195"/>
      <c r="BF345" s="195"/>
      <c r="BG345" s="195"/>
      <c r="BH345" s="195"/>
      <c r="BI345" s="195"/>
      <c r="BJ345" s="195"/>
      <c r="BK345" s="195"/>
      <c r="BL345" s="195"/>
      <c r="BM345" s="195"/>
      <c r="BN345" s="195"/>
      <c r="BO345" s="195"/>
      <c r="BP345" s="195"/>
      <c r="BQ345" s="195"/>
      <c r="BR345" s="195"/>
      <c r="BS345" s="195"/>
      <c r="BT345" s="195"/>
      <c r="BU345" s="195"/>
      <c r="BV345" s="195"/>
      <c r="BW345" s="195"/>
      <c r="BX345" s="195"/>
      <c r="BY345" s="195"/>
      <c r="BZ345" s="195"/>
      <c r="CA345" s="195"/>
      <c r="CB345" s="195"/>
      <c r="CC345" s="195"/>
      <c r="CD345" s="195"/>
      <c r="CE345" s="195"/>
      <c r="CF345" s="195"/>
      <c r="CG345" s="195"/>
      <c r="CH345" s="195"/>
      <c r="CI345" s="195"/>
      <c r="CJ345" s="195"/>
      <c r="CK345" s="195"/>
      <c r="CL345" s="195"/>
      <c r="CM345" s="195"/>
      <c r="CN345" s="195"/>
      <c r="CO345" s="195"/>
      <c r="CP345" s="195"/>
      <c r="CQ345" s="195"/>
      <c r="CR345" s="195"/>
      <c r="CS345" s="195"/>
      <c r="CT345" s="195"/>
      <c r="CU345" s="195"/>
      <c r="CV345" s="195"/>
      <c r="CW345" s="195"/>
      <c r="CX345" s="195"/>
      <c r="CY345" s="195"/>
      <c r="CZ345" s="195"/>
      <c r="DA345" s="195"/>
      <c r="DB345" s="195"/>
      <c r="DC345" s="195"/>
      <c r="DD345" s="195"/>
      <c r="DE345" s="195"/>
      <c r="DF345" s="195"/>
      <c r="DG345" s="195"/>
      <c r="DH345" s="195"/>
    </row>
    <row r="346" spans="5:112" s="193" customFormat="1">
      <c r="E346" s="32"/>
      <c r="F346" s="32"/>
      <c r="G346" s="29"/>
      <c r="H346" s="25"/>
      <c r="I346" s="25"/>
      <c r="J346" s="25"/>
      <c r="K346" s="25"/>
      <c r="L346" s="29"/>
      <c r="M346" s="29"/>
      <c r="N346" s="28"/>
      <c r="O346" s="30"/>
      <c r="P346" s="30"/>
      <c r="Q346" s="30"/>
      <c r="R346" s="30"/>
      <c r="S346" s="30"/>
      <c r="T346" s="30"/>
      <c r="U346" s="30"/>
      <c r="V346" s="29"/>
      <c r="W346" s="28"/>
      <c r="X346" s="149"/>
      <c r="Y346" s="149"/>
      <c r="Z346" s="150"/>
      <c r="AA346" s="150"/>
      <c r="AB346" s="151"/>
      <c r="AC346" s="150"/>
      <c r="AD346" s="150"/>
      <c r="AE346" s="150"/>
      <c r="AF346" s="150"/>
      <c r="AG346" s="150"/>
      <c r="AH346" s="150"/>
      <c r="AI346" s="195"/>
      <c r="AJ346" s="195"/>
      <c r="AK346" s="195"/>
      <c r="AL346" s="195"/>
      <c r="AM346" s="195"/>
      <c r="AN346" s="195"/>
      <c r="AO346" s="195"/>
      <c r="AP346" s="195"/>
      <c r="AQ346" s="195"/>
      <c r="AR346" s="195"/>
      <c r="AS346" s="195"/>
      <c r="AT346" s="195"/>
      <c r="AU346" s="195"/>
      <c r="AV346" s="195"/>
      <c r="AW346" s="195"/>
      <c r="AX346" s="195"/>
      <c r="AY346" s="195"/>
      <c r="AZ346" s="195"/>
      <c r="BA346" s="195"/>
      <c r="BB346" s="195"/>
      <c r="BC346" s="195"/>
      <c r="BD346" s="195"/>
      <c r="BE346" s="195"/>
      <c r="BF346" s="195"/>
      <c r="BG346" s="195"/>
      <c r="BH346" s="195"/>
      <c r="BI346" s="195"/>
      <c r="BJ346" s="195"/>
      <c r="BK346" s="195"/>
      <c r="BL346" s="195"/>
      <c r="BM346" s="195"/>
      <c r="BN346" s="195"/>
      <c r="BO346" s="195"/>
      <c r="BP346" s="195"/>
      <c r="BQ346" s="195"/>
      <c r="BR346" s="195"/>
      <c r="BS346" s="195"/>
      <c r="BT346" s="195"/>
      <c r="BU346" s="195"/>
      <c r="BV346" s="195"/>
      <c r="BW346" s="195"/>
      <c r="BX346" s="195"/>
      <c r="BY346" s="195"/>
      <c r="BZ346" s="195"/>
      <c r="CA346" s="195"/>
      <c r="CB346" s="195"/>
      <c r="CC346" s="195"/>
      <c r="CD346" s="195"/>
      <c r="CE346" s="195"/>
      <c r="CF346" s="195"/>
      <c r="CG346" s="195"/>
      <c r="CH346" s="195"/>
      <c r="CI346" s="195"/>
      <c r="CJ346" s="195"/>
      <c r="CK346" s="195"/>
      <c r="CL346" s="195"/>
      <c r="CM346" s="195"/>
      <c r="CN346" s="195"/>
      <c r="CO346" s="195"/>
      <c r="CP346" s="195"/>
      <c r="CQ346" s="195"/>
      <c r="CR346" s="195"/>
      <c r="CS346" s="195"/>
      <c r="CT346" s="195"/>
      <c r="CU346" s="195"/>
      <c r="CV346" s="195"/>
      <c r="CW346" s="195"/>
      <c r="CX346" s="195"/>
      <c r="CY346" s="195"/>
      <c r="CZ346" s="195"/>
      <c r="DA346" s="195"/>
      <c r="DB346" s="195"/>
      <c r="DC346" s="195"/>
      <c r="DD346" s="195"/>
      <c r="DE346" s="195"/>
      <c r="DF346" s="195"/>
      <c r="DG346" s="195"/>
      <c r="DH346" s="195"/>
    </row>
    <row r="347" spans="5:112" s="193" customFormat="1">
      <c r="E347" s="32"/>
      <c r="F347" s="32"/>
      <c r="G347" s="29"/>
      <c r="H347" s="25"/>
      <c r="I347" s="25"/>
      <c r="J347" s="25"/>
      <c r="K347" s="25"/>
      <c r="L347" s="29"/>
      <c r="M347" s="29"/>
      <c r="N347" s="28"/>
      <c r="O347" s="30"/>
      <c r="P347" s="30"/>
      <c r="Q347" s="30"/>
      <c r="R347" s="30"/>
      <c r="S347" s="30"/>
      <c r="T347" s="30"/>
      <c r="U347" s="30"/>
      <c r="V347" s="29"/>
      <c r="W347" s="28"/>
      <c r="X347" s="149"/>
      <c r="Y347" s="149"/>
      <c r="Z347" s="150"/>
      <c r="AA347" s="150"/>
      <c r="AB347" s="151"/>
      <c r="AC347" s="150"/>
      <c r="AD347" s="150"/>
      <c r="AE347" s="150"/>
      <c r="AF347" s="150"/>
      <c r="AG347" s="150"/>
      <c r="AH347" s="150"/>
      <c r="AI347" s="195"/>
      <c r="AJ347" s="195"/>
      <c r="AK347" s="195"/>
      <c r="AL347" s="195"/>
      <c r="AM347" s="195"/>
      <c r="AN347" s="195"/>
      <c r="AO347" s="195"/>
      <c r="AP347" s="195"/>
      <c r="AQ347" s="195"/>
      <c r="AR347" s="195"/>
      <c r="AS347" s="195"/>
      <c r="AT347" s="195"/>
      <c r="AU347" s="195"/>
      <c r="AV347" s="195"/>
      <c r="AW347" s="195"/>
      <c r="AX347" s="195"/>
      <c r="AY347" s="195"/>
      <c r="AZ347" s="195"/>
      <c r="BA347" s="195"/>
      <c r="BB347" s="195"/>
      <c r="BC347" s="195"/>
      <c r="BD347" s="195"/>
      <c r="BE347" s="195"/>
      <c r="BF347" s="195"/>
      <c r="BG347" s="195"/>
      <c r="BH347" s="195"/>
      <c r="BI347" s="195"/>
      <c r="BJ347" s="195"/>
      <c r="BK347" s="195"/>
      <c r="BL347" s="195"/>
      <c r="BM347" s="195"/>
      <c r="BN347" s="195"/>
      <c r="BO347" s="195"/>
      <c r="BP347" s="195"/>
      <c r="BQ347" s="195"/>
      <c r="BR347" s="195"/>
      <c r="BS347" s="195"/>
      <c r="BT347" s="195"/>
      <c r="BU347" s="195"/>
      <c r="BV347" s="195"/>
      <c r="BW347" s="195"/>
      <c r="BX347" s="195"/>
      <c r="BY347" s="195"/>
      <c r="BZ347" s="195"/>
      <c r="CA347" s="195"/>
      <c r="CB347" s="195"/>
      <c r="CC347" s="195"/>
      <c r="CD347" s="195"/>
      <c r="CE347" s="195"/>
      <c r="CF347" s="195"/>
      <c r="CG347" s="195"/>
      <c r="CH347" s="195"/>
      <c r="CI347" s="195"/>
      <c r="CJ347" s="195"/>
      <c r="CK347" s="195"/>
      <c r="CL347" s="195"/>
      <c r="CM347" s="195"/>
      <c r="CN347" s="195"/>
      <c r="CO347" s="195"/>
      <c r="CP347" s="195"/>
      <c r="CQ347" s="195"/>
      <c r="CR347" s="195"/>
      <c r="CS347" s="195"/>
      <c r="CT347" s="195"/>
      <c r="CU347" s="195"/>
      <c r="CV347" s="195"/>
      <c r="CW347" s="195"/>
      <c r="CX347" s="195"/>
      <c r="CY347" s="195"/>
      <c r="CZ347" s="195"/>
      <c r="DA347" s="195"/>
      <c r="DB347" s="195"/>
      <c r="DC347" s="195"/>
      <c r="DD347" s="195"/>
      <c r="DE347" s="195"/>
      <c r="DF347" s="195"/>
      <c r="DG347" s="195"/>
      <c r="DH347" s="195"/>
    </row>
    <row r="348" spans="5:112" s="193" customFormat="1">
      <c r="E348" s="32"/>
      <c r="F348" s="32"/>
      <c r="G348" s="29"/>
      <c r="H348" s="25"/>
      <c r="I348" s="25"/>
      <c r="J348" s="25"/>
      <c r="K348" s="25"/>
      <c r="L348" s="29"/>
      <c r="M348" s="29"/>
      <c r="N348" s="28"/>
      <c r="O348" s="30"/>
      <c r="P348" s="30"/>
      <c r="Q348" s="30"/>
      <c r="R348" s="30"/>
      <c r="S348" s="30"/>
      <c r="T348" s="30"/>
      <c r="U348" s="30"/>
      <c r="V348" s="29"/>
      <c r="W348" s="28"/>
      <c r="X348" s="149"/>
      <c r="Y348" s="149"/>
      <c r="Z348" s="150"/>
      <c r="AA348" s="150"/>
      <c r="AB348" s="151"/>
      <c r="AC348" s="150"/>
      <c r="AD348" s="150"/>
      <c r="AE348" s="150"/>
      <c r="AF348" s="150"/>
      <c r="AG348" s="150"/>
      <c r="AH348" s="150"/>
      <c r="AI348" s="195"/>
      <c r="AJ348" s="195"/>
      <c r="AK348" s="195"/>
      <c r="AL348" s="195"/>
      <c r="AM348" s="195"/>
      <c r="AN348" s="195"/>
      <c r="AO348" s="195"/>
      <c r="AP348" s="195"/>
      <c r="AQ348" s="195"/>
      <c r="AR348" s="195"/>
      <c r="AS348" s="195"/>
      <c r="AT348" s="195"/>
      <c r="AU348" s="195"/>
      <c r="AV348" s="195"/>
      <c r="AW348" s="195"/>
      <c r="AX348" s="195"/>
      <c r="AY348" s="195"/>
      <c r="AZ348" s="195"/>
      <c r="BA348" s="195"/>
      <c r="BB348" s="195"/>
      <c r="BC348" s="195"/>
      <c r="BD348" s="195"/>
      <c r="BE348" s="195"/>
      <c r="BF348" s="195"/>
      <c r="BG348" s="195"/>
      <c r="BH348" s="195"/>
      <c r="BI348" s="195"/>
      <c r="BJ348" s="195"/>
      <c r="BK348" s="195"/>
      <c r="BL348" s="195"/>
      <c r="BM348" s="195"/>
      <c r="BN348" s="195"/>
      <c r="BO348" s="195"/>
      <c r="BP348" s="195"/>
      <c r="BQ348" s="195"/>
      <c r="BR348" s="195"/>
      <c r="BS348" s="195"/>
      <c r="BT348" s="195"/>
      <c r="BU348" s="195"/>
      <c r="BV348" s="195"/>
      <c r="BW348" s="195"/>
      <c r="BX348" s="195"/>
      <c r="BY348" s="195"/>
      <c r="BZ348" s="195"/>
      <c r="CA348" s="195"/>
      <c r="CB348" s="195"/>
      <c r="CC348" s="195"/>
      <c r="CD348" s="195"/>
      <c r="CE348" s="195"/>
      <c r="CF348" s="195"/>
      <c r="CG348" s="195"/>
      <c r="CH348" s="195"/>
      <c r="CI348" s="195"/>
      <c r="CJ348" s="195"/>
      <c r="CK348" s="195"/>
      <c r="CL348" s="195"/>
      <c r="CM348" s="195"/>
      <c r="CN348" s="195"/>
      <c r="CO348" s="195"/>
      <c r="CP348" s="195"/>
      <c r="CQ348" s="195"/>
      <c r="CR348" s="195"/>
      <c r="CS348" s="195"/>
      <c r="CT348" s="195"/>
      <c r="CU348" s="195"/>
      <c r="CV348" s="195"/>
      <c r="CW348" s="195"/>
      <c r="CX348" s="195"/>
      <c r="CY348" s="195"/>
      <c r="CZ348" s="195"/>
      <c r="DA348" s="195"/>
      <c r="DB348" s="195"/>
      <c r="DC348" s="195"/>
      <c r="DD348" s="195"/>
      <c r="DE348" s="195"/>
      <c r="DF348" s="195"/>
      <c r="DG348" s="195"/>
      <c r="DH348" s="195"/>
    </row>
    <row r="349" spans="5:112" s="193" customFormat="1">
      <c r="E349" s="32"/>
      <c r="F349" s="32"/>
      <c r="G349" s="29"/>
      <c r="H349" s="25"/>
      <c r="I349" s="25"/>
      <c r="J349" s="25"/>
      <c r="K349" s="25"/>
      <c r="L349" s="29"/>
      <c r="M349" s="29"/>
      <c r="N349" s="28"/>
      <c r="O349" s="30"/>
      <c r="P349" s="30"/>
      <c r="Q349" s="30"/>
      <c r="R349" s="30"/>
      <c r="S349" s="30"/>
      <c r="T349" s="30"/>
      <c r="U349" s="30"/>
      <c r="V349" s="29"/>
      <c r="W349" s="28"/>
      <c r="X349" s="149"/>
      <c r="Y349" s="149"/>
      <c r="Z349" s="150"/>
      <c r="AA349" s="150"/>
      <c r="AB349" s="151"/>
      <c r="AC349" s="150"/>
      <c r="AD349" s="150"/>
      <c r="AE349" s="150"/>
      <c r="AF349" s="150"/>
      <c r="AG349" s="150"/>
      <c r="AH349" s="150"/>
      <c r="AI349" s="195"/>
      <c r="AJ349" s="195"/>
      <c r="AK349" s="195"/>
      <c r="AL349" s="195"/>
      <c r="AM349" s="195"/>
      <c r="AN349" s="195"/>
      <c r="AO349" s="195"/>
      <c r="AP349" s="195"/>
      <c r="AQ349" s="195"/>
      <c r="AR349" s="195"/>
      <c r="AS349" s="195"/>
      <c r="AT349" s="195"/>
      <c r="AU349" s="195"/>
      <c r="AV349" s="195"/>
      <c r="AW349" s="195"/>
      <c r="AX349" s="195"/>
      <c r="AY349" s="195"/>
      <c r="AZ349" s="195"/>
      <c r="BA349" s="195"/>
      <c r="BB349" s="195"/>
      <c r="BC349" s="195"/>
      <c r="BD349" s="195"/>
      <c r="BE349" s="195"/>
      <c r="BF349" s="195"/>
      <c r="BG349" s="195"/>
      <c r="BH349" s="195"/>
      <c r="BI349" s="195"/>
      <c r="BJ349" s="195"/>
      <c r="BK349" s="195"/>
      <c r="BL349" s="195"/>
      <c r="BM349" s="195"/>
      <c r="BN349" s="195"/>
      <c r="BO349" s="195"/>
      <c r="BP349" s="195"/>
      <c r="BQ349" s="195"/>
      <c r="BR349" s="195"/>
      <c r="BS349" s="195"/>
      <c r="BT349" s="195"/>
      <c r="BU349" s="195"/>
      <c r="BV349" s="195"/>
      <c r="BW349" s="195"/>
      <c r="BX349" s="195"/>
      <c r="BY349" s="195"/>
      <c r="BZ349" s="195"/>
      <c r="CA349" s="195"/>
      <c r="CB349" s="195"/>
      <c r="CC349" s="195"/>
      <c r="CD349" s="195"/>
      <c r="CE349" s="195"/>
      <c r="CF349" s="195"/>
      <c r="CG349" s="195"/>
      <c r="CH349" s="195"/>
      <c r="CI349" s="195"/>
      <c r="CJ349" s="195"/>
      <c r="CK349" s="195"/>
      <c r="CL349" s="195"/>
      <c r="CM349" s="195"/>
      <c r="CN349" s="195"/>
      <c r="CO349" s="195"/>
      <c r="CP349" s="195"/>
      <c r="CQ349" s="195"/>
      <c r="CR349" s="195"/>
      <c r="CS349" s="195"/>
      <c r="CT349" s="195"/>
      <c r="CU349" s="195"/>
      <c r="CV349" s="195"/>
      <c r="CW349" s="195"/>
      <c r="CX349" s="195"/>
      <c r="CY349" s="195"/>
      <c r="CZ349" s="195"/>
      <c r="DA349" s="195"/>
      <c r="DB349" s="195"/>
      <c r="DC349" s="195"/>
      <c r="DD349" s="195"/>
      <c r="DE349" s="195"/>
      <c r="DF349" s="195"/>
      <c r="DG349" s="195"/>
      <c r="DH349" s="195"/>
    </row>
    <row r="350" spans="5:112" s="193" customFormat="1">
      <c r="E350" s="32"/>
      <c r="F350" s="32"/>
      <c r="G350" s="29"/>
      <c r="H350" s="25"/>
      <c r="I350" s="25"/>
      <c r="J350" s="25"/>
      <c r="K350" s="25"/>
      <c r="L350" s="29"/>
      <c r="M350" s="29"/>
      <c r="N350" s="28"/>
      <c r="O350" s="30"/>
      <c r="P350" s="30"/>
      <c r="Q350" s="30"/>
      <c r="R350" s="30"/>
      <c r="S350" s="30"/>
      <c r="T350" s="30"/>
      <c r="U350" s="30"/>
      <c r="V350" s="29"/>
      <c r="W350" s="28"/>
      <c r="X350" s="149"/>
      <c r="Y350" s="149"/>
      <c r="Z350" s="150"/>
      <c r="AA350" s="150"/>
      <c r="AB350" s="151"/>
      <c r="AC350" s="150"/>
      <c r="AD350" s="150"/>
      <c r="AE350" s="150"/>
      <c r="AF350" s="150"/>
      <c r="AG350" s="150"/>
      <c r="AH350" s="150"/>
      <c r="AI350" s="195"/>
      <c r="AJ350" s="195"/>
      <c r="AK350" s="195"/>
      <c r="AL350" s="195"/>
      <c r="AM350" s="195"/>
      <c r="AN350" s="195"/>
      <c r="AO350" s="195"/>
      <c r="AP350" s="195"/>
      <c r="AQ350" s="195"/>
      <c r="AR350" s="195"/>
      <c r="AS350" s="195"/>
      <c r="AT350" s="195"/>
      <c r="AU350" s="195"/>
      <c r="AV350" s="195"/>
      <c r="AW350" s="195"/>
      <c r="AX350" s="195"/>
      <c r="AY350" s="195"/>
      <c r="AZ350" s="195"/>
      <c r="BA350" s="195"/>
      <c r="BB350" s="195"/>
      <c r="BC350" s="195"/>
      <c r="BD350" s="195"/>
      <c r="BE350" s="195"/>
      <c r="BF350" s="195"/>
      <c r="BG350" s="195"/>
      <c r="BH350" s="195"/>
      <c r="BI350" s="195"/>
      <c r="BJ350" s="195"/>
      <c r="BK350" s="195"/>
      <c r="BL350" s="195"/>
      <c r="BM350" s="195"/>
      <c r="BN350" s="195"/>
      <c r="BO350" s="195"/>
      <c r="BP350" s="195"/>
      <c r="BQ350" s="195"/>
      <c r="BR350" s="195"/>
      <c r="BS350" s="195"/>
      <c r="BT350" s="195"/>
      <c r="BU350" s="195"/>
      <c r="BV350" s="195"/>
      <c r="BW350" s="195"/>
      <c r="BX350" s="195"/>
      <c r="BY350" s="195"/>
      <c r="BZ350" s="195"/>
      <c r="CA350" s="195"/>
      <c r="CB350" s="195"/>
      <c r="CC350" s="195"/>
      <c r="CD350" s="195"/>
      <c r="CE350" s="195"/>
      <c r="CF350" s="195"/>
      <c r="CG350" s="195"/>
      <c r="CH350" s="195"/>
      <c r="CI350" s="195"/>
      <c r="CJ350" s="195"/>
      <c r="CK350" s="195"/>
      <c r="CL350" s="195"/>
      <c r="CM350" s="195"/>
      <c r="CN350" s="195"/>
      <c r="CO350" s="195"/>
      <c r="CP350" s="195"/>
      <c r="CQ350" s="195"/>
      <c r="CR350" s="195"/>
      <c r="CS350" s="195"/>
      <c r="CT350" s="195"/>
      <c r="CU350" s="195"/>
      <c r="CV350" s="195"/>
      <c r="CW350" s="195"/>
      <c r="CX350" s="195"/>
      <c r="CY350" s="195"/>
      <c r="CZ350" s="195"/>
      <c r="DA350" s="195"/>
      <c r="DB350" s="195"/>
      <c r="DC350" s="195"/>
      <c r="DD350" s="195"/>
      <c r="DE350" s="195"/>
      <c r="DF350" s="195"/>
      <c r="DG350" s="195"/>
      <c r="DH350" s="195"/>
    </row>
    <row r="351" spans="5:112" s="193" customFormat="1">
      <c r="E351" s="32"/>
      <c r="F351" s="32"/>
      <c r="G351" s="29"/>
      <c r="H351" s="25"/>
      <c r="I351" s="25"/>
      <c r="J351" s="25"/>
      <c r="K351" s="25"/>
      <c r="L351" s="29"/>
      <c r="M351" s="29"/>
      <c r="N351" s="28"/>
      <c r="O351" s="30"/>
      <c r="P351" s="30"/>
      <c r="Q351" s="30"/>
      <c r="R351" s="30"/>
      <c r="S351" s="30"/>
      <c r="T351" s="30"/>
      <c r="U351" s="30"/>
      <c r="V351" s="29"/>
      <c r="W351" s="28"/>
      <c r="X351" s="149"/>
      <c r="Y351" s="149"/>
      <c r="Z351" s="150"/>
      <c r="AA351" s="150"/>
      <c r="AB351" s="151"/>
      <c r="AC351" s="150"/>
      <c r="AD351" s="150"/>
      <c r="AE351" s="150"/>
      <c r="AF351" s="150"/>
      <c r="AG351" s="150"/>
      <c r="AH351" s="150"/>
      <c r="AI351" s="195"/>
      <c r="AJ351" s="195"/>
      <c r="AK351" s="195"/>
      <c r="AL351" s="195"/>
      <c r="AM351" s="195"/>
      <c r="AN351" s="195"/>
      <c r="AO351" s="195"/>
      <c r="AP351" s="195"/>
      <c r="AQ351" s="195"/>
      <c r="AR351" s="195"/>
      <c r="AS351" s="195"/>
      <c r="AT351" s="195"/>
      <c r="AU351" s="195"/>
      <c r="AV351" s="195"/>
      <c r="AW351" s="195"/>
      <c r="AX351" s="195"/>
      <c r="AY351" s="195"/>
      <c r="AZ351" s="195"/>
      <c r="BA351" s="195"/>
      <c r="BB351" s="195"/>
      <c r="BC351" s="195"/>
      <c r="BD351" s="195"/>
      <c r="BE351" s="195"/>
      <c r="BF351" s="195"/>
      <c r="BG351" s="195"/>
      <c r="BH351" s="195"/>
      <c r="BI351" s="195"/>
      <c r="BJ351" s="195"/>
      <c r="BK351" s="195"/>
      <c r="BL351" s="195"/>
      <c r="BM351" s="195"/>
      <c r="BN351" s="195"/>
      <c r="BO351" s="195"/>
      <c r="BP351" s="195"/>
      <c r="BQ351" s="195"/>
      <c r="BR351" s="195"/>
      <c r="BS351" s="195"/>
      <c r="BT351" s="195"/>
      <c r="BU351" s="195"/>
      <c r="BV351" s="195"/>
      <c r="BW351" s="195"/>
      <c r="BX351" s="195"/>
      <c r="BY351" s="195"/>
      <c r="BZ351" s="195"/>
      <c r="CA351" s="195"/>
      <c r="CB351" s="195"/>
      <c r="CC351" s="195"/>
      <c r="CD351" s="195"/>
      <c r="CE351" s="195"/>
      <c r="CF351" s="195"/>
      <c r="CG351" s="195"/>
      <c r="CH351" s="195"/>
      <c r="CI351" s="195"/>
      <c r="CJ351" s="195"/>
      <c r="CK351" s="195"/>
      <c r="CL351" s="195"/>
      <c r="CM351" s="195"/>
      <c r="CN351" s="195"/>
      <c r="CO351" s="195"/>
      <c r="CP351" s="195"/>
      <c r="CQ351" s="195"/>
      <c r="CR351" s="195"/>
      <c r="CS351" s="195"/>
      <c r="CT351" s="195"/>
      <c r="CU351" s="195"/>
      <c r="CV351" s="195"/>
      <c r="CW351" s="195"/>
      <c r="CX351" s="195"/>
      <c r="CY351" s="195"/>
      <c r="CZ351" s="195"/>
      <c r="DA351" s="195"/>
      <c r="DB351" s="195"/>
      <c r="DC351" s="195"/>
      <c r="DD351" s="195"/>
      <c r="DE351" s="195"/>
      <c r="DF351" s="195"/>
      <c r="DG351" s="195"/>
      <c r="DH351" s="195"/>
    </row>
    <row r="352" spans="5:112" s="193" customFormat="1">
      <c r="E352" s="32"/>
      <c r="F352" s="32"/>
      <c r="G352" s="29"/>
      <c r="H352" s="25"/>
      <c r="I352" s="25"/>
      <c r="J352" s="25"/>
      <c r="K352" s="25"/>
      <c r="L352" s="29"/>
      <c r="M352" s="29"/>
      <c r="N352" s="28"/>
      <c r="O352" s="30"/>
      <c r="P352" s="30"/>
      <c r="Q352" s="30"/>
      <c r="R352" s="30"/>
      <c r="S352" s="30"/>
      <c r="T352" s="30"/>
      <c r="U352" s="30"/>
      <c r="V352" s="29"/>
      <c r="W352" s="28"/>
      <c r="X352" s="149"/>
      <c r="Y352" s="149"/>
      <c r="Z352" s="150"/>
      <c r="AA352" s="150"/>
      <c r="AB352" s="151"/>
      <c r="AC352" s="150"/>
      <c r="AD352" s="150"/>
      <c r="AE352" s="150"/>
      <c r="AF352" s="150"/>
      <c r="AG352" s="150"/>
      <c r="AH352" s="150"/>
      <c r="AI352" s="195"/>
      <c r="AJ352" s="195"/>
      <c r="AK352" s="195"/>
      <c r="AL352" s="195"/>
      <c r="AM352" s="195"/>
      <c r="AN352" s="195"/>
      <c r="AO352" s="195"/>
      <c r="AP352" s="195"/>
      <c r="AQ352" s="195"/>
      <c r="AR352" s="195"/>
      <c r="AS352" s="195"/>
      <c r="AT352" s="195"/>
      <c r="AU352" s="195"/>
      <c r="AV352" s="195"/>
      <c r="AW352" s="195"/>
      <c r="AX352" s="195"/>
      <c r="AY352" s="195"/>
      <c r="AZ352" s="195"/>
      <c r="BA352" s="195"/>
      <c r="BB352" s="195"/>
      <c r="BC352" s="195"/>
      <c r="BD352" s="195"/>
      <c r="BE352" s="195"/>
      <c r="BF352" s="195"/>
      <c r="BG352" s="195"/>
      <c r="BH352" s="195"/>
      <c r="BI352" s="195"/>
      <c r="BJ352" s="195"/>
      <c r="BK352" s="195"/>
      <c r="BL352" s="195"/>
      <c r="BM352" s="195"/>
      <c r="BN352" s="195"/>
      <c r="BO352" s="195"/>
      <c r="BP352" s="195"/>
      <c r="BQ352" s="195"/>
      <c r="BR352" s="195"/>
      <c r="BS352" s="195"/>
      <c r="BT352" s="195"/>
      <c r="BU352" s="195"/>
      <c r="BV352" s="195"/>
      <c r="BW352" s="195"/>
      <c r="BX352" s="195"/>
      <c r="BY352" s="195"/>
      <c r="BZ352" s="195"/>
      <c r="CA352" s="195"/>
      <c r="CB352" s="195"/>
      <c r="CC352" s="195"/>
      <c r="CD352" s="195"/>
      <c r="CE352" s="195"/>
      <c r="CF352" s="195"/>
      <c r="CG352" s="195"/>
      <c r="CH352" s="195"/>
      <c r="CI352" s="195"/>
      <c r="CJ352" s="195"/>
      <c r="CK352" s="195"/>
      <c r="CL352" s="195"/>
      <c r="CM352" s="195"/>
      <c r="CN352" s="195"/>
      <c r="CO352" s="195"/>
      <c r="CP352" s="195"/>
      <c r="CQ352" s="195"/>
      <c r="CR352" s="195"/>
      <c r="CS352" s="195"/>
      <c r="CT352" s="195"/>
      <c r="CU352" s="195"/>
      <c r="CV352" s="195"/>
      <c r="CW352" s="195"/>
      <c r="CX352" s="195"/>
      <c r="CY352" s="195"/>
      <c r="CZ352" s="195"/>
      <c r="DA352" s="195"/>
      <c r="DB352" s="195"/>
      <c r="DC352" s="195"/>
      <c r="DD352" s="195"/>
      <c r="DE352" s="195"/>
      <c r="DF352" s="195"/>
      <c r="DG352" s="195"/>
      <c r="DH352" s="195"/>
    </row>
    <row r="353" spans="5:112" s="193" customFormat="1">
      <c r="E353" s="32"/>
      <c r="F353" s="32"/>
      <c r="G353" s="29"/>
      <c r="H353" s="25"/>
      <c r="I353" s="25"/>
      <c r="J353" s="25"/>
      <c r="K353" s="25"/>
      <c r="L353" s="29"/>
      <c r="M353" s="29"/>
      <c r="N353" s="28"/>
      <c r="O353" s="30"/>
      <c r="P353" s="30"/>
      <c r="Q353" s="30"/>
      <c r="R353" s="30"/>
      <c r="S353" s="30"/>
      <c r="T353" s="30"/>
      <c r="U353" s="30"/>
      <c r="V353" s="29"/>
      <c r="W353" s="28"/>
      <c r="X353" s="149"/>
      <c r="Y353" s="149"/>
      <c r="Z353" s="150"/>
      <c r="AA353" s="150"/>
      <c r="AB353" s="151"/>
      <c r="AC353" s="150"/>
      <c r="AD353" s="150"/>
      <c r="AE353" s="150"/>
      <c r="AF353" s="150"/>
      <c r="AG353" s="150"/>
      <c r="AH353" s="150"/>
      <c r="AI353" s="195"/>
      <c r="AJ353" s="195"/>
      <c r="AK353" s="195"/>
      <c r="AL353" s="195"/>
      <c r="AM353" s="195"/>
      <c r="AN353" s="195"/>
      <c r="AO353" s="195"/>
      <c r="AP353" s="195"/>
      <c r="AQ353" s="195"/>
      <c r="AR353" s="195"/>
      <c r="AS353" s="195"/>
      <c r="AT353" s="195"/>
      <c r="AU353" s="195"/>
      <c r="AV353" s="195"/>
      <c r="AW353" s="195"/>
      <c r="AX353" s="195"/>
      <c r="AY353" s="195"/>
      <c r="AZ353" s="195"/>
      <c r="BA353" s="195"/>
      <c r="BB353" s="195"/>
      <c r="BC353" s="195"/>
      <c r="BD353" s="195"/>
      <c r="BE353" s="195"/>
      <c r="BF353" s="195"/>
      <c r="BG353" s="195"/>
      <c r="BH353" s="195"/>
      <c r="BI353" s="195"/>
      <c r="BJ353" s="195"/>
      <c r="BK353" s="195"/>
      <c r="BL353" s="195"/>
      <c r="BM353" s="195"/>
      <c r="BN353" s="195"/>
      <c r="BO353" s="195"/>
      <c r="BP353" s="195"/>
      <c r="BQ353" s="195"/>
      <c r="BR353" s="195"/>
      <c r="BS353" s="195"/>
      <c r="BT353" s="195"/>
      <c r="BU353" s="195"/>
      <c r="BV353" s="195"/>
      <c r="BW353" s="195"/>
      <c r="BX353" s="195"/>
      <c r="BY353" s="195"/>
      <c r="BZ353" s="195"/>
      <c r="CA353" s="195"/>
      <c r="CB353" s="195"/>
      <c r="CC353" s="195"/>
      <c r="CD353" s="195"/>
      <c r="CE353" s="195"/>
      <c r="CF353" s="195"/>
      <c r="CG353" s="195"/>
      <c r="CH353" s="195"/>
      <c r="CI353" s="195"/>
      <c r="CJ353" s="195"/>
      <c r="CK353" s="195"/>
      <c r="CL353" s="195"/>
      <c r="CM353" s="195"/>
      <c r="CN353" s="195"/>
      <c r="CO353" s="195"/>
      <c r="CP353" s="195"/>
      <c r="CQ353" s="195"/>
      <c r="CR353" s="195"/>
      <c r="CS353" s="195"/>
      <c r="CT353" s="195"/>
      <c r="CU353" s="195"/>
      <c r="CV353" s="195"/>
      <c r="CW353" s="195"/>
      <c r="CX353" s="195"/>
      <c r="CY353" s="195"/>
      <c r="CZ353" s="195"/>
      <c r="DA353" s="195"/>
      <c r="DB353" s="195"/>
      <c r="DC353" s="195"/>
      <c r="DD353" s="195"/>
      <c r="DE353" s="195"/>
      <c r="DF353" s="195"/>
      <c r="DG353" s="195"/>
      <c r="DH353" s="195"/>
    </row>
    <row r="354" spans="5:112" s="193" customFormat="1">
      <c r="E354" s="32"/>
      <c r="F354" s="32"/>
      <c r="G354" s="29"/>
      <c r="H354" s="25"/>
      <c r="I354" s="25"/>
      <c r="J354" s="25"/>
      <c r="K354" s="25"/>
      <c r="L354" s="29"/>
      <c r="M354" s="29"/>
      <c r="N354" s="28"/>
      <c r="O354" s="30"/>
      <c r="P354" s="30"/>
      <c r="Q354" s="30"/>
      <c r="R354" s="30"/>
      <c r="S354" s="30"/>
      <c r="T354" s="30"/>
      <c r="U354" s="30"/>
      <c r="V354" s="29"/>
      <c r="W354" s="28"/>
      <c r="X354" s="149"/>
      <c r="Y354" s="149"/>
      <c r="Z354" s="150"/>
      <c r="AA354" s="150"/>
      <c r="AB354" s="151"/>
      <c r="AC354" s="150"/>
      <c r="AD354" s="150"/>
      <c r="AE354" s="150"/>
      <c r="AF354" s="150"/>
      <c r="AG354" s="150"/>
      <c r="AH354" s="150"/>
      <c r="AI354" s="195"/>
      <c r="AJ354" s="195"/>
      <c r="AK354" s="195"/>
      <c r="AL354" s="195"/>
      <c r="AM354" s="195"/>
      <c r="AN354" s="195"/>
      <c r="AO354" s="195"/>
      <c r="AP354" s="195"/>
      <c r="AQ354" s="195"/>
      <c r="AR354" s="195"/>
      <c r="AS354" s="195"/>
      <c r="AT354" s="195"/>
      <c r="AU354" s="195"/>
      <c r="AV354" s="195"/>
      <c r="AW354" s="195"/>
      <c r="AX354" s="195"/>
      <c r="AY354" s="195"/>
      <c r="AZ354" s="195"/>
      <c r="BA354" s="195"/>
      <c r="BB354" s="195"/>
      <c r="BC354" s="195"/>
      <c r="BD354" s="195"/>
      <c r="BE354" s="195"/>
      <c r="BF354" s="195"/>
      <c r="BG354" s="195"/>
      <c r="BH354" s="195"/>
      <c r="BI354" s="195"/>
      <c r="BJ354" s="195"/>
      <c r="BK354" s="195"/>
      <c r="BL354" s="195"/>
      <c r="BM354" s="195"/>
      <c r="BN354" s="195"/>
      <c r="BO354" s="195"/>
      <c r="BP354" s="195"/>
      <c r="BQ354" s="195"/>
      <c r="BR354" s="195"/>
      <c r="BS354" s="195"/>
      <c r="BT354" s="195"/>
      <c r="BU354" s="195"/>
      <c r="BV354" s="195"/>
      <c r="BW354" s="195"/>
      <c r="BX354" s="195"/>
      <c r="BY354" s="195"/>
      <c r="BZ354" s="195"/>
      <c r="CA354" s="195"/>
      <c r="CB354" s="195"/>
      <c r="CC354" s="195"/>
      <c r="CD354" s="195"/>
      <c r="CE354" s="195"/>
      <c r="CF354" s="195"/>
      <c r="CG354" s="195"/>
      <c r="CH354" s="195"/>
      <c r="CI354" s="195"/>
      <c r="CJ354" s="195"/>
      <c r="CK354" s="195"/>
      <c r="CL354" s="195"/>
      <c r="CM354" s="195"/>
      <c r="CN354" s="195"/>
      <c r="CO354" s="195"/>
      <c r="CP354" s="195"/>
      <c r="CQ354" s="195"/>
      <c r="CR354" s="195"/>
      <c r="CS354" s="195"/>
      <c r="CT354" s="195"/>
      <c r="CU354" s="195"/>
      <c r="CV354" s="195"/>
      <c r="CW354" s="195"/>
      <c r="CX354" s="195"/>
      <c r="CY354" s="195"/>
      <c r="CZ354" s="195"/>
      <c r="DA354" s="195"/>
      <c r="DB354" s="195"/>
      <c r="DC354" s="195"/>
      <c r="DD354" s="195"/>
      <c r="DE354" s="195"/>
      <c r="DF354" s="195"/>
      <c r="DG354" s="195"/>
      <c r="DH354" s="195"/>
    </row>
    <row r="355" spans="5:112" s="193" customFormat="1">
      <c r="E355" s="32"/>
      <c r="F355" s="32"/>
      <c r="G355" s="29"/>
      <c r="H355" s="25"/>
      <c r="I355" s="25"/>
      <c r="J355" s="25"/>
      <c r="K355" s="25"/>
      <c r="L355" s="29"/>
      <c r="M355" s="29"/>
      <c r="N355" s="28"/>
      <c r="O355" s="30"/>
      <c r="P355" s="30"/>
      <c r="Q355" s="30"/>
      <c r="R355" s="30"/>
      <c r="S355" s="30"/>
      <c r="T355" s="30"/>
      <c r="U355" s="30"/>
      <c r="V355" s="29"/>
      <c r="W355" s="28"/>
      <c r="X355" s="149"/>
      <c r="Y355" s="149"/>
      <c r="Z355" s="150"/>
      <c r="AA355" s="150"/>
      <c r="AB355" s="151"/>
      <c r="AC355" s="150"/>
      <c r="AD355" s="150"/>
      <c r="AE355" s="150"/>
      <c r="AF355" s="150"/>
      <c r="AG355" s="150"/>
      <c r="AH355" s="150"/>
      <c r="AI355" s="195"/>
      <c r="AJ355" s="195"/>
      <c r="AK355" s="195"/>
      <c r="AL355" s="195"/>
      <c r="AM355" s="195"/>
      <c r="AN355" s="195"/>
      <c r="AO355" s="195"/>
      <c r="AP355" s="195"/>
      <c r="AQ355" s="195"/>
      <c r="AR355" s="195"/>
      <c r="AS355" s="195"/>
      <c r="AT355" s="195"/>
      <c r="AU355" s="195"/>
      <c r="AV355" s="195"/>
      <c r="AW355" s="195"/>
      <c r="AX355" s="195"/>
      <c r="AY355" s="195"/>
      <c r="AZ355" s="195"/>
      <c r="BA355" s="195"/>
      <c r="BB355" s="195"/>
      <c r="BC355" s="195"/>
      <c r="BD355" s="195"/>
      <c r="BE355" s="195"/>
      <c r="BF355" s="195"/>
      <c r="BG355" s="195"/>
      <c r="BH355" s="195"/>
      <c r="BI355" s="195"/>
      <c r="BJ355" s="195"/>
      <c r="BK355" s="195"/>
      <c r="BL355" s="195"/>
      <c r="BM355" s="195"/>
      <c r="BN355" s="195"/>
      <c r="BO355" s="195"/>
      <c r="BP355" s="195"/>
      <c r="BQ355" s="195"/>
      <c r="BR355" s="195"/>
      <c r="BS355" s="195"/>
      <c r="BT355" s="195"/>
      <c r="BU355" s="195"/>
      <c r="BV355" s="195"/>
      <c r="BW355" s="195"/>
      <c r="BX355" s="195"/>
      <c r="BY355" s="195"/>
      <c r="BZ355" s="195"/>
      <c r="CA355" s="195"/>
      <c r="CB355" s="195"/>
      <c r="CC355" s="195"/>
      <c r="CD355" s="195"/>
      <c r="CE355" s="195"/>
      <c r="CF355" s="195"/>
      <c r="CG355" s="195"/>
      <c r="CH355" s="195"/>
      <c r="CI355" s="195"/>
      <c r="CJ355" s="195"/>
      <c r="CK355" s="195"/>
      <c r="CL355" s="195"/>
      <c r="CM355" s="195"/>
      <c r="CN355" s="195"/>
      <c r="CO355" s="195"/>
      <c r="CP355" s="195"/>
      <c r="CQ355" s="195"/>
      <c r="CR355" s="195"/>
      <c r="CS355" s="195"/>
      <c r="CT355" s="195"/>
      <c r="CU355" s="195"/>
      <c r="CV355" s="195"/>
      <c r="CW355" s="195"/>
      <c r="CX355" s="195"/>
      <c r="CY355" s="195"/>
      <c r="CZ355" s="195"/>
      <c r="DA355" s="195"/>
      <c r="DB355" s="195"/>
      <c r="DC355" s="195"/>
      <c r="DD355" s="195"/>
      <c r="DE355" s="195"/>
      <c r="DF355" s="195"/>
      <c r="DG355" s="195"/>
      <c r="DH355" s="195"/>
    </row>
    <row r="356" spans="5:112" s="193" customFormat="1">
      <c r="E356" s="32"/>
      <c r="F356" s="32"/>
      <c r="G356" s="29"/>
      <c r="H356" s="25"/>
      <c r="I356" s="25"/>
      <c r="J356" s="25"/>
      <c r="K356" s="25"/>
      <c r="L356" s="29"/>
      <c r="M356" s="29"/>
      <c r="N356" s="28"/>
      <c r="O356" s="30"/>
      <c r="P356" s="30"/>
      <c r="Q356" s="30"/>
      <c r="R356" s="30"/>
      <c r="S356" s="30"/>
      <c r="T356" s="30"/>
      <c r="U356" s="30"/>
      <c r="V356" s="29"/>
      <c r="W356" s="28"/>
      <c r="X356" s="149"/>
      <c r="Y356" s="149"/>
      <c r="Z356" s="150"/>
      <c r="AA356" s="150"/>
      <c r="AB356" s="151"/>
      <c r="AC356" s="150"/>
      <c r="AD356" s="150"/>
      <c r="AE356" s="150"/>
      <c r="AF356" s="150"/>
      <c r="AG356" s="150"/>
      <c r="AH356" s="150"/>
      <c r="AI356" s="195"/>
      <c r="AJ356" s="195"/>
      <c r="AK356" s="195"/>
      <c r="AL356" s="195"/>
      <c r="AM356" s="195"/>
      <c r="AN356" s="195"/>
      <c r="AO356" s="195"/>
      <c r="AP356" s="195"/>
      <c r="AQ356" s="195"/>
      <c r="AR356" s="195"/>
      <c r="AS356" s="195"/>
      <c r="AT356" s="195"/>
      <c r="AU356" s="195"/>
      <c r="AV356" s="195"/>
      <c r="AW356" s="195"/>
      <c r="AX356" s="195"/>
      <c r="AY356" s="195"/>
      <c r="AZ356" s="195"/>
      <c r="BA356" s="195"/>
      <c r="BB356" s="195"/>
      <c r="BC356" s="195"/>
      <c r="BD356" s="195"/>
      <c r="BE356" s="195"/>
      <c r="BF356" s="195"/>
      <c r="BG356" s="195"/>
      <c r="BH356" s="195"/>
      <c r="BI356" s="195"/>
      <c r="BJ356" s="195"/>
      <c r="BK356" s="195"/>
      <c r="BL356" s="195"/>
      <c r="BM356" s="195"/>
      <c r="BN356" s="195"/>
      <c r="BO356" s="195"/>
      <c r="BP356" s="195"/>
      <c r="BQ356" s="195"/>
      <c r="BR356" s="195"/>
      <c r="BS356" s="195"/>
      <c r="BT356" s="195"/>
      <c r="BU356" s="195"/>
      <c r="BV356" s="195"/>
      <c r="BW356" s="195"/>
      <c r="BX356" s="195"/>
      <c r="BY356" s="195"/>
      <c r="BZ356" s="195"/>
      <c r="CA356" s="195"/>
      <c r="CB356" s="195"/>
      <c r="CC356" s="195"/>
      <c r="CD356" s="195"/>
      <c r="CE356" s="195"/>
      <c r="CF356" s="195"/>
      <c r="CG356" s="195"/>
      <c r="CH356" s="195"/>
      <c r="CI356" s="195"/>
      <c r="CJ356" s="195"/>
      <c r="CK356" s="195"/>
      <c r="CL356" s="195"/>
      <c r="CM356" s="195"/>
      <c r="CN356" s="195"/>
      <c r="CO356" s="195"/>
      <c r="CP356" s="195"/>
      <c r="CQ356" s="195"/>
      <c r="CR356" s="195"/>
      <c r="CS356" s="195"/>
      <c r="CT356" s="195"/>
      <c r="CU356" s="195"/>
      <c r="CV356" s="195"/>
      <c r="CW356" s="195"/>
      <c r="CX356" s="195"/>
      <c r="CY356" s="195"/>
      <c r="CZ356" s="195"/>
      <c r="DA356" s="195"/>
      <c r="DB356" s="195"/>
      <c r="DC356" s="195"/>
      <c r="DD356" s="195"/>
      <c r="DE356" s="195"/>
      <c r="DF356" s="195"/>
      <c r="DG356" s="195"/>
      <c r="DH356" s="195"/>
    </row>
    <row r="357" spans="5:112" s="193" customFormat="1">
      <c r="E357" s="32"/>
      <c r="F357" s="32"/>
      <c r="G357" s="29"/>
      <c r="H357" s="25"/>
      <c r="I357" s="25"/>
      <c r="J357" s="25"/>
      <c r="K357" s="25"/>
      <c r="L357" s="29"/>
      <c r="M357" s="29"/>
      <c r="N357" s="28"/>
      <c r="O357" s="30"/>
      <c r="P357" s="30"/>
      <c r="Q357" s="30"/>
      <c r="R357" s="30"/>
      <c r="S357" s="30"/>
      <c r="T357" s="30"/>
      <c r="U357" s="30"/>
      <c r="V357" s="29"/>
      <c r="W357" s="28"/>
      <c r="X357" s="149"/>
      <c r="Y357" s="149"/>
      <c r="Z357" s="150"/>
      <c r="AA357" s="150"/>
      <c r="AB357" s="151"/>
      <c r="AC357" s="150"/>
      <c r="AD357" s="150"/>
      <c r="AE357" s="150"/>
      <c r="AF357" s="150"/>
      <c r="AG357" s="150"/>
      <c r="AH357" s="150"/>
      <c r="AI357" s="195"/>
      <c r="AJ357" s="195"/>
      <c r="AK357" s="195"/>
      <c r="AL357" s="195"/>
      <c r="AM357" s="195"/>
      <c r="AN357" s="195"/>
      <c r="AO357" s="195"/>
      <c r="AP357" s="195"/>
      <c r="AQ357" s="195"/>
      <c r="AR357" s="195"/>
      <c r="AS357" s="195"/>
      <c r="AT357" s="195"/>
      <c r="AU357" s="195"/>
      <c r="AV357" s="195"/>
      <c r="AW357" s="195"/>
      <c r="AX357" s="195"/>
      <c r="AY357" s="195"/>
      <c r="AZ357" s="195"/>
      <c r="BA357" s="195"/>
      <c r="BB357" s="195"/>
      <c r="BC357" s="195"/>
      <c r="BD357" s="195"/>
      <c r="BE357" s="195"/>
      <c r="BF357" s="195"/>
      <c r="BG357" s="195"/>
      <c r="BH357" s="195"/>
      <c r="BI357" s="195"/>
      <c r="BJ357" s="195"/>
      <c r="BK357" s="195"/>
      <c r="BL357" s="195"/>
      <c r="BM357" s="195"/>
      <c r="BN357" s="195"/>
      <c r="BO357" s="195"/>
      <c r="BP357" s="195"/>
      <c r="BQ357" s="195"/>
      <c r="BR357" s="195"/>
      <c r="BS357" s="195"/>
      <c r="BT357" s="195"/>
      <c r="BU357" s="195"/>
      <c r="BV357" s="195"/>
      <c r="BW357" s="195"/>
      <c r="BX357" s="195"/>
      <c r="BY357" s="195"/>
      <c r="BZ357" s="195"/>
      <c r="CA357" s="195"/>
      <c r="CB357" s="195"/>
      <c r="CC357" s="195"/>
      <c r="CD357" s="195"/>
      <c r="CE357" s="195"/>
      <c r="CF357" s="195"/>
      <c r="CG357" s="195"/>
      <c r="CH357" s="195"/>
      <c r="CI357" s="195"/>
      <c r="CJ357" s="195"/>
      <c r="CK357" s="195"/>
      <c r="CL357" s="195"/>
      <c r="CM357" s="195"/>
      <c r="CN357" s="195"/>
      <c r="CO357" s="195"/>
      <c r="CP357" s="195"/>
      <c r="CQ357" s="195"/>
      <c r="CR357" s="195"/>
      <c r="CS357" s="195"/>
      <c r="CT357" s="195"/>
      <c r="CU357" s="195"/>
      <c r="CV357" s="195"/>
      <c r="CW357" s="195"/>
      <c r="CX357" s="195"/>
      <c r="CY357" s="195"/>
      <c r="CZ357" s="195"/>
      <c r="DA357" s="195"/>
      <c r="DB357" s="195"/>
      <c r="DC357" s="195"/>
      <c r="DD357" s="195"/>
      <c r="DE357" s="195"/>
      <c r="DF357" s="195"/>
      <c r="DG357" s="195"/>
      <c r="DH357" s="195"/>
    </row>
    <row r="358" spans="5:112" s="193" customFormat="1">
      <c r="E358" s="32"/>
      <c r="F358" s="32"/>
      <c r="G358" s="29"/>
      <c r="H358" s="25"/>
      <c r="I358" s="25"/>
      <c r="J358" s="25"/>
      <c r="K358" s="25"/>
      <c r="L358" s="29"/>
      <c r="M358" s="29"/>
      <c r="N358" s="28"/>
      <c r="O358" s="30"/>
      <c r="P358" s="30"/>
      <c r="Q358" s="30"/>
      <c r="R358" s="30"/>
      <c r="S358" s="30"/>
      <c r="T358" s="30"/>
      <c r="U358" s="30"/>
      <c r="V358" s="29"/>
      <c r="W358" s="28"/>
      <c r="X358" s="149"/>
      <c r="Y358" s="149"/>
      <c r="Z358" s="150"/>
      <c r="AA358" s="150"/>
      <c r="AB358" s="151"/>
      <c r="AC358" s="150"/>
      <c r="AD358" s="150"/>
      <c r="AE358" s="150"/>
      <c r="AF358" s="150"/>
      <c r="AG358" s="150"/>
      <c r="AH358" s="150"/>
      <c r="AI358" s="195"/>
      <c r="AJ358" s="195"/>
      <c r="AK358" s="195"/>
      <c r="AL358" s="195"/>
      <c r="AM358" s="195"/>
      <c r="AN358" s="195"/>
      <c r="AO358" s="195"/>
      <c r="AP358" s="195"/>
      <c r="AQ358" s="195"/>
      <c r="AR358" s="195"/>
      <c r="AS358" s="195"/>
      <c r="AT358" s="195"/>
      <c r="AU358" s="195"/>
      <c r="AV358" s="195"/>
      <c r="AW358" s="195"/>
      <c r="AX358" s="195"/>
      <c r="AY358" s="195"/>
      <c r="AZ358" s="195"/>
      <c r="BA358" s="195"/>
      <c r="BB358" s="195"/>
      <c r="BC358" s="195"/>
      <c r="BD358" s="195"/>
      <c r="BE358" s="195"/>
      <c r="BF358" s="195"/>
      <c r="BG358" s="195"/>
      <c r="BH358" s="195"/>
      <c r="BI358" s="195"/>
      <c r="BJ358" s="195"/>
      <c r="BK358" s="195"/>
      <c r="BL358" s="195"/>
      <c r="BM358" s="195"/>
      <c r="BN358" s="195"/>
      <c r="BO358" s="195"/>
      <c r="BP358" s="195"/>
      <c r="BQ358" s="195"/>
      <c r="BR358" s="195"/>
      <c r="BS358" s="195"/>
      <c r="BT358" s="195"/>
      <c r="BU358" s="195"/>
      <c r="BV358" s="195"/>
      <c r="BW358" s="195"/>
      <c r="BX358" s="195"/>
      <c r="BY358" s="195"/>
      <c r="BZ358" s="195"/>
      <c r="CA358" s="195"/>
      <c r="CB358" s="195"/>
      <c r="CC358" s="195"/>
      <c r="CD358" s="195"/>
      <c r="CE358" s="195"/>
      <c r="CF358" s="195"/>
      <c r="CG358" s="195"/>
      <c r="CH358" s="195"/>
      <c r="CI358" s="195"/>
      <c r="CJ358" s="195"/>
      <c r="CK358" s="195"/>
      <c r="CL358" s="195"/>
      <c r="CM358" s="195"/>
      <c r="CN358" s="195"/>
      <c r="CO358" s="195"/>
      <c r="CP358" s="195"/>
      <c r="CQ358" s="195"/>
      <c r="CR358" s="195"/>
      <c r="CS358" s="195"/>
      <c r="CT358" s="195"/>
      <c r="CU358" s="195"/>
      <c r="CV358" s="195"/>
      <c r="CW358" s="195"/>
      <c r="CX358" s="195"/>
      <c r="CY358" s="195"/>
      <c r="CZ358" s="195"/>
      <c r="DA358" s="195"/>
      <c r="DB358" s="195"/>
      <c r="DC358" s="195"/>
      <c r="DD358" s="195"/>
      <c r="DE358" s="195"/>
      <c r="DF358" s="195"/>
      <c r="DG358" s="195"/>
      <c r="DH358" s="195"/>
    </row>
    <row r="359" spans="5:112" s="193" customFormat="1">
      <c r="E359" s="32"/>
      <c r="F359" s="32"/>
      <c r="G359" s="29"/>
      <c r="H359" s="25"/>
      <c r="I359" s="25"/>
      <c r="J359" s="25"/>
      <c r="K359" s="25"/>
      <c r="L359" s="29"/>
      <c r="M359" s="29"/>
      <c r="N359" s="28"/>
      <c r="O359" s="30"/>
      <c r="P359" s="30"/>
      <c r="Q359" s="30"/>
      <c r="R359" s="30"/>
      <c r="S359" s="30"/>
      <c r="T359" s="30"/>
      <c r="U359" s="30"/>
      <c r="V359" s="29"/>
      <c r="W359" s="28"/>
      <c r="X359" s="149"/>
      <c r="Y359" s="149"/>
      <c r="Z359" s="150"/>
      <c r="AA359" s="150"/>
      <c r="AB359" s="151"/>
      <c r="AC359" s="150"/>
      <c r="AD359" s="150"/>
      <c r="AE359" s="150"/>
      <c r="AF359" s="150"/>
      <c r="AG359" s="150"/>
      <c r="AH359" s="150"/>
      <c r="AI359" s="195"/>
      <c r="AJ359" s="195"/>
      <c r="AK359" s="195"/>
      <c r="AL359" s="195"/>
      <c r="AM359" s="195"/>
      <c r="AN359" s="195"/>
      <c r="AO359" s="195"/>
      <c r="AP359" s="195"/>
      <c r="AQ359" s="195"/>
      <c r="AR359" s="195"/>
      <c r="AS359" s="195"/>
      <c r="AT359" s="195"/>
      <c r="AU359" s="195"/>
      <c r="AV359" s="195"/>
      <c r="AW359" s="195"/>
      <c r="AX359" s="195"/>
      <c r="AY359" s="195"/>
      <c r="AZ359" s="195"/>
      <c r="BA359" s="195"/>
      <c r="BB359" s="195"/>
      <c r="BC359" s="195"/>
      <c r="BD359" s="195"/>
      <c r="BE359" s="195"/>
      <c r="BF359" s="195"/>
      <c r="BG359" s="195"/>
      <c r="BH359" s="195"/>
      <c r="BI359" s="195"/>
      <c r="BJ359" s="195"/>
      <c r="BK359" s="195"/>
      <c r="BL359" s="195"/>
      <c r="BM359" s="195"/>
      <c r="BN359" s="195"/>
      <c r="BO359" s="195"/>
      <c r="BP359" s="195"/>
      <c r="BQ359" s="195"/>
      <c r="BR359" s="195"/>
      <c r="BS359" s="195"/>
      <c r="BT359" s="195"/>
      <c r="BU359" s="195"/>
      <c r="BV359" s="195"/>
      <c r="BW359" s="195"/>
      <c r="BX359" s="195"/>
      <c r="BY359" s="195"/>
      <c r="BZ359" s="195"/>
      <c r="CA359" s="195"/>
      <c r="CB359" s="195"/>
      <c r="CC359" s="195"/>
      <c r="CD359" s="195"/>
      <c r="CE359" s="195"/>
      <c r="CF359" s="195"/>
      <c r="CG359" s="195"/>
      <c r="CH359" s="195"/>
      <c r="CI359" s="195"/>
      <c r="CJ359" s="195"/>
      <c r="CK359" s="195"/>
      <c r="CL359" s="195"/>
      <c r="CM359" s="195"/>
      <c r="CN359" s="195"/>
      <c r="CO359" s="195"/>
      <c r="CP359" s="195"/>
      <c r="CQ359" s="195"/>
      <c r="CR359" s="195"/>
      <c r="CS359" s="195"/>
      <c r="CT359" s="195"/>
      <c r="CU359" s="195"/>
      <c r="CV359" s="195"/>
      <c r="CW359" s="195"/>
      <c r="CX359" s="195"/>
      <c r="CY359" s="195"/>
      <c r="CZ359" s="195"/>
      <c r="DA359" s="195"/>
      <c r="DB359" s="195"/>
      <c r="DC359" s="195"/>
      <c r="DD359" s="195"/>
      <c r="DE359" s="195"/>
      <c r="DF359" s="195"/>
      <c r="DG359" s="195"/>
      <c r="DH359" s="195"/>
    </row>
    <row r="360" spans="5:112" s="193" customFormat="1">
      <c r="E360" s="32"/>
      <c r="F360" s="32"/>
      <c r="G360" s="29"/>
      <c r="H360" s="25"/>
      <c r="I360" s="25"/>
      <c r="J360" s="25"/>
      <c r="K360" s="25"/>
      <c r="L360" s="29"/>
      <c r="M360" s="29"/>
      <c r="N360" s="28"/>
      <c r="O360" s="30"/>
      <c r="P360" s="30"/>
      <c r="Q360" s="30"/>
      <c r="R360" s="30"/>
      <c r="S360" s="30"/>
      <c r="T360" s="30"/>
      <c r="U360" s="30"/>
      <c r="V360" s="29"/>
      <c r="W360" s="28"/>
      <c r="X360" s="149"/>
      <c r="Y360" s="149"/>
      <c r="Z360" s="150"/>
      <c r="AA360" s="150"/>
      <c r="AB360" s="151"/>
      <c r="AC360" s="150"/>
      <c r="AD360" s="150"/>
      <c r="AE360" s="150"/>
      <c r="AF360" s="150"/>
      <c r="AG360" s="150"/>
      <c r="AH360" s="150"/>
      <c r="AI360" s="195"/>
      <c r="AJ360" s="195"/>
      <c r="AK360" s="195"/>
      <c r="AL360" s="195"/>
      <c r="AM360" s="195"/>
      <c r="AN360" s="195"/>
      <c r="AO360" s="195"/>
      <c r="AP360" s="195"/>
      <c r="AQ360" s="195"/>
      <c r="AR360" s="195"/>
      <c r="AS360" s="195"/>
      <c r="AT360" s="195"/>
      <c r="AU360" s="195"/>
      <c r="AV360" s="195"/>
      <c r="AW360" s="195"/>
      <c r="AX360" s="195"/>
      <c r="AY360" s="195"/>
      <c r="AZ360" s="195"/>
      <c r="BA360" s="195"/>
      <c r="BB360" s="195"/>
      <c r="BC360" s="195"/>
      <c r="BD360" s="195"/>
      <c r="BE360" s="195"/>
      <c r="BF360" s="195"/>
      <c r="BG360" s="195"/>
      <c r="BH360" s="195"/>
      <c r="BI360" s="195"/>
      <c r="BJ360" s="195"/>
      <c r="BK360" s="195"/>
      <c r="BL360" s="195"/>
      <c r="BM360" s="195"/>
      <c r="BN360" s="195"/>
      <c r="BO360" s="195"/>
      <c r="BP360" s="195"/>
      <c r="BQ360" s="195"/>
      <c r="BR360" s="195"/>
      <c r="BS360" s="195"/>
      <c r="BT360" s="195"/>
      <c r="BU360" s="195"/>
      <c r="BV360" s="195"/>
      <c r="BW360" s="195"/>
      <c r="BX360" s="195"/>
      <c r="BY360" s="195"/>
      <c r="BZ360" s="195"/>
      <c r="CA360" s="195"/>
      <c r="CB360" s="195"/>
      <c r="CC360" s="195"/>
      <c r="CD360" s="195"/>
      <c r="CE360" s="195"/>
      <c r="CF360" s="195"/>
      <c r="CG360" s="195"/>
      <c r="CH360" s="195"/>
      <c r="CI360" s="195"/>
      <c r="CJ360" s="195"/>
      <c r="CK360" s="195"/>
      <c r="CL360" s="195"/>
      <c r="CM360" s="195"/>
      <c r="CN360" s="195"/>
      <c r="CO360" s="195"/>
      <c r="CP360" s="195"/>
      <c r="CQ360" s="195"/>
      <c r="CR360" s="195"/>
      <c r="CS360" s="195"/>
      <c r="CT360" s="195"/>
      <c r="CU360" s="195"/>
      <c r="CV360" s="195"/>
      <c r="CW360" s="195"/>
      <c r="CX360" s="195"/>
      <c r="CY360" s="195"/>
      <c r="CZ360" s="195"/>
      <c r="DA360" s="195"/>
      <c r="DB360" s="195"/>
      <c r="DC360" s="195"/>
      <c r="DD360" s="195"/>
      <c r="DE360" s="195"/>
      <c r="DF360" s="195"/>
      <c r="DG360" s="195"/>
      <c r="DH360" s="195"/>
    </row>
    <row r="361" spans="5:112" s="193" customFormat="1">
      <c r="E361" s="32"/>
      <c r="F361" s="32"/>
      <c r="G361" s="29"/>
      <c r="H361" s="25"/>
      <c r="I361" s="25"/>
      <c r="J361" s="25"/>
      <c r="K361" s="25"/>
      <c r="L361" s="29"/>
      <c r="M361" s="29"/>
      <c r="N361" s="28"/>
      <c r="O361" s="30"/>
      <c r="P361" s="30"/>
      <c r="Q361" s="30"/>
      <c r="R361" s="30"/>
      <c r="S361" s="30"/>
      <c r="T361" s="30"/>
      <c r="U361" s="30"/>
      <c r="V361" s="29"/>
      <c r="W361" s="28"/>
      <c r="X361" s="149"/>
      <c r="Y361" s="149"/>
      <c r="Z361" s="150"/>
      <c r="AA361" s="150"/>
      <c r="AB361" s="151"/>
      <c r="AC361" s="150"/>
      <c r="AD361" s="150"/>
      <c r="AE361" s="150"/>
      <c r="AF361" s="150"/>
      <c r="AG361" s="150"/>
      <c r="AH361" s="150"/>
      <c r="AI361" s="195"/>
      <c r="AJ361" s="195"/>
      <c r="AK361" s="195"/>
      <c r="AL361" s="195"/>
      <c r="AM361" s="195"/>
      <c r="AN361" s="195"/>
      <c r="AO361" s="195"/>
      <c r="AP361" s="195"/>
      <c r="AQ361" s="195"/>
      <c r="AR361" s="195"/>
      <c r="AS361" s="195"/>
      <c r="AT361" s="195"/>
      <c r="AU361" s="195"/>
      <c r="AV361" s="195"/>
      <c r="AW361" s="195"/>
      <c r="AX361" s="195"/>
      <c r="AY361" s="195"/>
      <c r="AZ361" s="195"/>
      <c r="BA361" s="195"/>
      <c r="BB361" s="195"/>
      <c r="BC361" s="195"/>
      <c r="BD361" s="195"/>
      <c r="BE361" s="195"/>
      <c r="BF361" s="195"/>
      <c r="BG361" s="195"/>
      <c r="BH361" s="195"/>
      <c r="BI361" s="195"/>
      <c r="BJ361" s="195"/>
      <c r="BK361" s="195"/>
      <c r="BL361" s="195"/>
      <c r="BM361" s="195"/>
      <c r="BN361" s="195"/>
      <c r="BO361" s="195"/>
      <c r="BP361" s="195"/>
      <c r="BQ361" s="195"/>
      <c r="BR361" s="195"/>
      <c r="BS361" s="195"/>
      <c r="BT361" s="195"/>
      <c r="BU361" s="195"/>
      <c r="BV361" s="195"/>
      <c r="BW361" s="195"/>
      <c r="BX361" s="195"/>
      <c r="BY361" s="195"/>
      <c r="BZ361" s="195"/>
      <c r="CA361" s="195"/>
      <c r="CB361" s="195"/>
      <c r="CC361" s="195"/>
      <c r="CD361" s="195"/>
      <c r="CE361" s="195"/>
      <c r="CF361" s="195"/>
      <c r="CG361" s="195"/>
      <c r="CH361" s="195"/>
      <c r="CI361" s="195"/>
      <c r="CJ361" s="195"/>
      <c r="CK361" s="195"/>
      <c r="CL361" s="195"/>
      <c r="CM361" s="195"/>
      <c r="CN361" s="195"/>
      <c r="CO361" s="195"/>
      <c r="CP361" s="195"/>
      <c r="CQ361" s="195"/>
      <c r="CR361" s="195"/>
      <c r="CS361" s="195"/>
      <c r="CT361" s="195"/>
      <c r="CU361" s="195"/>
      <c r="CV361" s="195"/>
      <c r="CW361" s="195"/>
      <c r="CX361" s="195"/>
      <c r="CY361" s="195"/>
      <c r="CZ361" s="195"/>
      <c r="DA361" s="195"/>
      <c r="DB361" s="195"/>
      <c r="DC361" s="195"/>
      <c r="DD361" s="195"/>
      <c r="DE361" s="195"/>
      <c r="DF361" s="195"/>
      <c r="DG361" s="195"/>
      <c r="DH361" s="195"/>
    </row>
    <row r="362" spans="5:112" s="193" customFormat="1">
      <c r="E362" s="32"/>
      <c r="F362" s="32"/>
      <c r="G362" s="29"/>
      <c r="H362" s="25"/>
      <c r="I362" s="25"/>
      <c r="J362" s="25"/>
      <c r="K362" s="25"/>
      <c r="L362" s="29"/>
      <c r="M362" s="29"/>
      <c r="N362" s="28"/>
      <c r="O362" s="30"/>
      <c r="P362" s="30"/>
      <c r="Q362" s="30"/>
      <c r="R362" s="30"/>
      <c r="S362" s="30"/>
      <c r="T362" s="30"/>
      <c r="U362" s="30"/>
      <c r="V362" s="29"/>
      <c r="W362" s="28"/>
      <c r="X362" s="149"/>
      <c r="Y362" s="149"/>
      <c r="Z362" s="150"/>
      <c r="AA362" s="150"/>
      <c r="AB362" s="151"/>
      <c r="AC362" s="150"/>
      <c r="AD362" s="150"/>
      <c r="AE362" s="150"/>
      <c r="AF362" s="150"/>
      <c r="AG362" s="150"/>
      <c r="AH362" s="150"/>
      <c r="AI362" s="195"/>
      <c r="AJ362" s="195"/>
      <c r="AK362" s="195"/>
      <c r="AL362" s="195"/>
      <c r="AM362" s="195"/>
      <c r="AN362" s="195"/>
      <c r="AO362" s="195"/>
      <c r="AP362" s="195"/>
      <c r="AQ362" s="195"/>
      <c r="AR362" s="195"/>
      <c r="AS362" s="195"/>
      <c r="AT362" s="195"/>
      <c r="AU362" s="195"/>
      <c r="AV362" s="195"/>
      <c r="AW362" s="195"/>
      <c r="AX362" s="195"/>
      <c r="AY362" s="195"/>
      <c r="AZ362" s="195"/>
      <c r="BA362" s="195"/>
      <c r="BB362" s="195"/>
      <c r="BC362" s="195"/>
      <c r="BD362" s="195"/>
      <c r="BE362" s="195"/>
      <c r="BF362" s="195"/>
      <c r="BG362" s="195"/>
      <c r="BH362" s="195"/>
      <c r="BI362" s="195"/>
      <c r="BJ362" s="195"/>
      <c r="BK362" s="195"/>
      <c r="BL362" s="195"/>
      <c r="BM362" s="195"/>
      <c r="BN362" s="195"/>
      <c r="BO362" s="195"/>
      <c r="BP362" s="195"/>
      <c r="BQ362" s="195"/>
      <c r="BR362" s="195"/>
      <c r="BS362" s="195"/>
      <c r="BT362" s="195"/>
      <c r="BU362" s="195"/>
      <c r="BV362" s="195"/>
      <c r="BW362" s="195"/>
      <c r="BX362" s="195"/>
      <c r="BY362" s="195"/>
      <c r="BZ362" s="195"/>
      <c r="CA362" s="195"/>
      <c r="CB362" s="195"/>
      <c r="CC362" s="195"/>
      <c r="CD362" s="195"/>
      <c r="CE362" s="195"/>
      <c r="CF362" s="195"/>
      <c r="CG362" s="195"/>
      <c r="CH362" s="195"/>
      <c r="CI362" s="195"/>
      <c r="CJ362" s="195"/>
      <c r="CK362" s="195"/>
      <c r="CL362" s="195"/>
      <c r="CM362" s="195"/>
      <c r="CN362" s="195"/>
      <c r="CO362" s="195"/>
      <c r="CP362" s="195"/>
      <c r="CQ362" s="195"/>
      <c r="CR362" s="195"/>
      <c r="CS362" s="195"/>
      <c r="CT362" s="195"/>
      <c r="CU362" s="195"/>
      <c r="CV362" s="195"/>
      <c r="CW362" s="195"/>
      <c r="CX362" s="195"/>
      <c r="CY362" s="195"/>
      <c r="CZ362" s="195"/>
      <c r="DA362" s="195"/>
      <c r="DB362" s="195"/>
      <c r="DC362" s="195"/>
      <c r="DD362" s="195"/>
      <c r="DE362" s="195"/>
      <c r="DF362" s="195"/>
      <c r="DG362" s="195"/>
      <c r="DH362" s="195"/>
    </row>
    <row r="363" spans="5:112" s="193" customFormat="1">
      <c r="E363" s="32"/>
      <c r="F363" s="32"/>
      <c r="G363" s="29"/>
      <c r="H363" s="25"/>
      <c r="I363" s="25"/>
      <c r="J363" s="25"/>
      <c r="K363" s="25"/>
      <c r="L363" s="29"/>
      <c r="M363" s="29"/>
      <c r="N363" s="28"/>
      <c r="O363" s="30"/>
      <c r="P363" s="30"/>
      <c r="Q363" s="30"/>
      <c r="R363" s="30"/>
      <c r="S363" s="30"/>
      <c r="T363" s="30"/>
      <c r="U363" s="30"/>
      <c r="V363" s="29"/>
      <c r="W363" s="28"/>
      <c r="X363" s="149"/>
      <c r="Y363" s="149"/>
      <c r="Z363" s="150"/>
      <c r="AA363" s="150"/>
      <c r="AB363" s="151"/>
      <c r="AC363" s="150"/>
      <c r="AD363" s="150"/>
      <c r="AE363" s="150"/>
      <c r="AF363" s="150"/>
      <c r="AG363" s="150"/>
      <c r="AH363" s="150"/>
      <c r="AI363" s="195"/>
      <c r="AJ363" s="195"/>
      <c r="AK363" s="195"/>
      <c r="AL363" s="195"/>
      <c r="AM363" s="195"/>
      <c r="AN363" s="195"/>
      <c r="AO363" s="195"/>
      <c r="AP363" s="195"/>
      <c r="AQ363" s="195"/>
      <c r="AR363" s="195"/>
      <c r="AS363" s="195"/>
      <c r="AT363" s="195"/>
      <c r="AU363" s="195"/>
      <c r="AV363" s="195"/>
      <c r="AW363" s="195"/>
      <c r="AX363" s="195"/>
      <c r="AY363" s="195"/>
      <c r="AZ363" s="195"/>
      <c r="BA363" s="195"/>
      <c r="BB363" s="195"/>
      <c r="BC363" s="195"/>
      <c r="BD363" s="195"/>
      <c r="BE363" s="195"/>
      <c r="BF363" s="195"/>
      <c r="BG363" s="195"/>
      <c r="BH363" s="195"/>
      <c r="BI363" s="195"/>
      <c r="BJ363" s="195"/>
      <c r="BK363" s="195"/>
      <c r="BL363" s="195"/>
      <c r="BM363" s="195"/>
      <c r="BN363" s="195"/>
      <c r="BO363" s="195"/>
      <c r="BP363" s="195"/>
      <c r="BQ363" s="195"/>
      <c r="BR363" s="195"/>
      <c r="BS363" s="195"/>
      <c r="BT363" s="195"/>
      <c r="BU363" s="195"/>
      <c r="BV363" s="195"/>
      <c r="BW363" s="195"/>
      <c r="BX363" s="195"/>
      <c r="BY363" s="195"/>
      <c r="BZ363" s="195"/>
      <c r="CA363" s="195"/>
      <c r="CB363" s="195"/>
      <c r="CC363" s="195"/>
      <c r="CD363" s="195"/>
      <c r="CE363" s="195"/>
      <c r="CF363" s="195"/>
      <c r="CG363" s="195"/>
      <c r="CH363" s="195"/>
      <c r="CI363" s="195"/>
      <c r="CJ363" s="195"/>
      <c r="CK363" s="195"/>
      <c r="CL363" s="195"/>
      <c r="CM363" s="195"/>
      <c r="CN363" s="195"/>
      <c r="CO363" s="195"/>
      <c r="CP363" s="195"/>
      <c r="CQ363" s="195"/>
      <c r="CR363" s="195"/>
      <c r="CS363" s="195"/>
      <c r="CT363" s="195"/>
      <c r="CU363" s="195"/>
      <c r="CV363" s="195"/>
      <c r="CW363" s="195"/>
      <c r="CX363" s="195"/>
      <c r="CY363" s="195"/>
      <c r="CZ363" s="195"/>
      <c r="DA363" s="195"/>
      <c r="DB363" s="195"/>
      <c r="DC363" s="195"/>
      <c r="DD363" s="195"/>
      <c r="DE363" s="195"/>
      <c r="DF363" s="195"/>
      <c r="DG363" s="195"/>
      <c r="DH363" s="195"/>
    </row>
    <row r="364" spans="5:112" s="193" customFormat="1">
      <c r="E364" s="32"/>
      <c r="F364" s="32"/>
      <c r="G364" s="29"/>
      <c r="H364" s="25"/>
      <c r="I364" s="25"/>
      <c r="J364" s="25"/>
      <c r="K364" s="25"/>
      <c r="L364" s="29"/>
      <c r="M364" s="29"/>
      <c r="N364" s="28"/>
      <c r="O364" s="30"/>
      <c r="P364" s="30"/>
      <c r="Q364" s="30"/>
      <c r="R364" s="30"/>
      <c r="S364" s="30"/>
      <c r="T364" s="30"/>
      <c r="U364" s="30"/>
      <c r="V364" s="29"/>
      <c r="W364" s="28"/>
      <c r="X364" s="149"/>
      <c r="Y364" s="149"/>
      <c r="Z364" s="150"/>
      <c r="AA364" s="150"/>
      <c r="AB364" s="151"/>
      <c r="AC364" s="150"/>
      <c r="AD364" s="150"/>
      <c r="AE364" s="150"/>
      <c r="AF364" s="150"/>
      <c r="AG364" s="150"/>
      <c r="AH364" s="150"/>
      <c r="AI364" s="195"/>
      <c r="AJ364" s="195"/>
      <c r="AK364" s="195"/>
      <c r="AL364" s="195"/>
      <c r="AM364" s="195"/>
      <c r="AN364" s="195"/>
      <c r="AO364" s="195"/>
      <c r="AP364" s="195"/>
      <c r="AQ364" s="195"/>
      <c r="AR364" s="195"/>
      <c r="AS364" s="195"/>
      <c r="AT364" s="195"/>
      <c r="AU364" s="195"/>
      <c r="AV364" s="195"/>
      <c r="AW364" s="195"/>
      <c r="AX364" s="195"/>
      <c r="AY364" s="195"/>
      <c r="AZ364" s="195"/>
      <c r="BA364" s="195"/>
      <c r="BB364" s="195"/>
      <c r="BC364" s="195"/>
      <c r="BD364" s="195"/>
      <c r="BE364" s="195"/>
      <c r="BF364" s="195"/>
      <c r="BG364" s="195"/>
      <c r="BH364" s="195"/>
      <c r="BI364" s="195"/>
      <c r="BJ364" s="195"/>
      <c r="BK364" s="195"/>
      <c r="BL364" s="195"/>
      <c r="BM364" s="195"/>
      <c r="BN364" s="195"/>
      <c r="BO364" s="195"/>
      <c r="BP364" s="195"/>
      <c r="BQ364" s="195"/>
      <c r="BR364" s="195"/>
      <c r="BS364" s="195"/>
      <c r="BT364" s="195"/>
      <c r="BU364" s="195"/>
      <c r="BV364" s="195"/>
      <c r="BW364" s="195"/>
      <c r="BX364" s="195"/>
      <c r="BY364" s="195"/>
      <c r="BZ364" s="195"/>
      <c r="CA364" s="195"/>
      <c r="CB364" s="195"/>
      <c r="CC364" s="195"/>
      <c r="CD364" s="195"/>
      <c r="CE364" s="195"/>
      <c r="CF364" s="195"/>
      <c r="CG364" s="195"/>
      <c r="CH364" s="195"/>
      <c r="CI364" s="195"/>
      <c r="CJ364" s="195"/>
      <c r="CK364" s="195"/>
      <c r="CL364" s="195"/>
      <c r="CM364" s="195"/>
      <c r="CN364" s="195"/>
      <c r="CO364" s="195"/>
      <c r="CP364" s="195"/>
      <c r="CQ364" s="195"/>
      <c r="CR364" s="195"/>
      <c r="CS364" s="195"/>
      <c r="CT364" s="195"/>
      <c r="CU364" s="195"/>
      <c r="CV364" s="195"/>
      <c r="CW364" s="195"/>
      <c r="CX364" s="195"/>
      <c r="CY364" s="195"/>
      <c r="CZ364" s="195"/>
      <c r="DA364" s="195"/>
      <c r="DB364" s="195"/>
      <c r="DC364" s="195"/>
      <c r="DD364" s="195"/>
      <c r="DE364" s="195"/>
      <c r="DF364" s="195"/>
      <c r="DG364" s="195"/>
      <c r="DH364" s="195"/>
    </row>
    <row r="365" spans="5:112" s="193" customFormat="1">
      <c r="E365" s="32"/>
      <c r="F365" s="32"/>
      <c r="G365" s="29"/>
      <c r="H365" s="25"/>
      <c r="I365" s="25"/>
      <c r="J365" s="25"/>
      <c r="K365" s="25"/>
      <c r="L365" s="29"/>
      <c r="M365" s="29"/>
      <c r="N365" s="28"/>
      <c r="O365" s="30"/>
      <c r="P365" s="30"/>
      <c r="Q365" s="30"/>
      <c r="R365" s="30"/>
      <c r="S365" s="30"/>
      <c r="T365" s="30"/>
      <c r="U365" s="30"/>
      <c r="V365" s="29"/>
      <c r="W365" s="28"/>
      <c r="X365" s="149"/>
      <c r="Y365" s="149"/>
      <c r="Z365" s="150"/>
      <c r="AA365" s="150"/>
      <c r="AB365" s="151"/>
      <c r="AC365" s="150"/>
      <c r="AD365" s="150"/>
      <c r="AE365" s="150"/>
      <c r="AF365" s="150"/>
      <c r="AG365" s="150"/>
      <c r="AH365" s="150"/>
      <c r="AI365" s="195"/>
      <c r="AJ365" s="195"/>
      <c r="AK365" s="195"/>
      <c r="AL365" s="195"/>
      <c r="AM365" s="195"/>
      <c r="AN365" s="195"/>
      <c r="AO365" s="195"/>
      <c r="AP365" s="195"/>
      <c r="AQ365" s="195"/>
      <c r="AR365" s="195"/>
      <c r="AS365" s="195"/>
      <c r="AT365" s="195"/>
      <c r="AU365" s="195"/>
      <c r="AV365" s="195"/>
      <c r="AW365" s="195"/>
      <c r="AX365" s="195"/>
      <c r="AY365" s="195"/>
      <c r="AZ365" s="195"/>
      <c r="BA365" s="195"/>
      <c r="BB365" s="195"/>
      <c r="BC365" s="195"/>
      <c r="BD365" s="195"/>
      <c r="BE365" s="195"/>
      <c r="BF365" s="195"/>
      <c r="BG365" s="195"/>
      <c r="BH365" s="195"/>
      <c r="BI365" s="195"/>
      <c r="BJ365" s="195"/>
      <c r="BK365" s="195"/>
      <c r="BL365" s="195"/>
      <c r="BM365" s="195"/>
      <c r="BN365" s="195"/>
      <c r="BO365" s="195"/>
      <c r="BP365" s="195"/>
      <c r="BQ365" s="195"/>
      <c r="BR365" s="195"/>
      <c r="BS365" s="195"/>
      <c r="BT365" s="195"/>
      <c r="BU365" s="195"/>
      <c r="BV365" s="195"/>
      <c r="BW365" s="195"/>
      <c r="BX365" s="195"/>
      <c r="BY365" s="195"/>
      <c r="BZ365" s="195"/>
      <c r="CA365" s="195"/>
      <c r="CB365" s="195"/>
      <c r="CC365" s="195"/>
      <c r="CD365" s="195"/>
      <c r="CE365" s="195"/>
      <c r="CF365" s="195"/>
      <c r="CG365" s="195"/>
      <c r="CH365" s="195"/>
      <c r="CI365" s="195"/>
      <c r="CJ365" s="195"/>
      <c r="CK365" s="195"/>
      <c r="CL365" s="195"/>
      <c r="CM365" s="195"/>
      <c r="CN365" s="195"/>
      <c r="CO365" s="195"/>
      <c r="CP365" s="195"/>
      <c r="CQ365" s="195"/>
      <c r="CR365" s="195"/>
      <c r="CS365" s="195"/>
      <c r="CT365" s="195"/>
      <c r="CU365" s="195"/>
      <c r="CV365" s="195"/>
      <c r="CW365" s="195"/>
      <c r="CX365" s="195"/>
      <c r="CY365" s="195"/>
      <c r="CZ365" s="195"/>
      <c r="DA365" s="195"/>
      <c r="DB365" s="195"/>
      <c r="DC365" s="195"/>
      <c r="DD365" s="195"/>
      <c r="DE365" s="195"/>
      <c r="DF365" s="195"/>
      <c r="DG365" s="195"/>
      <c r="DH365" s="195"/>
    </row>
    <row r="366" spans="5:112" s="193" customFormat="1">
      <c r="E366" s="32"/>
      <c r="F366" s="32"/>
      <c r="G366" s="29"/>
      <c r="H366" s="25"/>
      <c r="I366" s="25"/>
      <c r="J366" s="25"/>
      <c r="K366" s="25"/>
      <c r="L366" s="29"/>
      <c r="M366" s="29"/>
      <c r="N366" s="28"/>
      <c r="O366" s="30"/>
      <c r="P366" s="30"/>
      <c r="Q366" s="30"/>
      <c r="R366" s="30"/>
      <c r="S366" s="30"/>
      <c r="T366" s="30"/>
      <c r="U366" s="30"/>
      <c r="V366" s="29"/>
      <c r="W366" s="28"/>
      <c r="X366" s="149"/>
      <c r="Y366" s="149"/>
      <c r="Z366" s="150"/>
      <c r="AA366" s="150"/>
      <c r="AB366" s="151"/>
      <c r="AC366" s="150"/>
      <c r="AD366" s="150"/>
      <c r="AE366" s="150"/>
      <c r="AF366" s="150"/>
      <c r="AG366" s="150"/>
      <c r="AH366" s="150"/>
      <c r="AI366" s="195"/>
      <c r="AJ366" s="195"/>
      <c r="AK366" s="195"/>
      <c r="AL366" s="195"/>
      <c r="AM366" s="195"/>
      <c r="AN366" s="195"/>
      <c r="AO366" s="195"/>
      <c r="AP366" s="195"/>
      <c r="AQ366" s="195"/>
      <c r="AR366" s="195"/>
      <c r="AS366" s="195"/>
      <c r="AT366" s="195"/>
      <c r="AU366" s="195"/>
      <c r="AV366" s="195"/>
      <c r="AW366" s="195"/>
      <c r="AX366" s="195"/>
      <c r="AY366" s="195"/>
      <c r="AZ366" s="195"/>
      <c r="BA366" s="195"/>
      <c r="BB366" s="195"/>
      <c r="BC366" s="195"/>
      <c r="BD366" s="195"/>
      <c r="BE366" s="195"/>
      <c r="BF366" s="195"/>
      <c r="BG366" s="195"/>
      <c r="BH366" s="195"/>
      <c r="BI366" s="195"/>
      <c r="BJ366" s="195"/>
      <c r="BK366" s="195"/>
      <c r="BL366" s="195"/>
      <c r="BM366" s="195"/>
      <c r="BN366" s="195"/>
      <c r="BO366" s="195"/>
      <c r="BP366" s="195"/>
      <c r="BQ366" s="195"/>
      <c r="BR366" s="195"/>
      <c r="BS366" s="195"/>
      <c r="BT366" s="195"/>
      <c r="BU366" s="195"/>
      <c r="BV366" s="195"/>
      <c r="BW366" s="195"/>
      <c r="BX366" s="195"/>
      <c r="BY366" s="195"/>
      <c r="BZ366" s="195"/>
      <c r="CA366" s="195"/>
      <c r="CB366" s="195"/>
      <c r="CC366" s="195"/>
      <c r="CD366" s="195"/>
      <c r="CE366" s="195"/>
      <c r="CF366" s="195"/>
      <c r="CG366" s="195"/>
      <c r="CH366" s="195"/>
      <c r="CI366" s="195"/>
      <c r="CJ366" s="195"/>
      <c r="CK366" s="195"/>
      <c r="CL366" s="195"/>
      <c r="CM366" s="195"/>
      <c r="CN366" s="195"/>
      <c r="CO366" s="195"/>
      <c r="CP366" s="195"/>
      <c r="CQ366" s="195"/>
      <c r="CR366" s="195"/>
      <c r="CS366" s="195"/>
      <c r="CT366" s="195"/>
      <c r="CU366" s="195"/>
      <c r="CV366" s="195"/>
      <c r="CW366" s="195"/>
      <c r="CX366" s="195"/>
      <c r="CY366" s="195"/>
      <c r="CZ366" s="195"/>
      <c r="DA366" s="195"/>
      <c r="DB366" s="195"/>
      <c r="DC366" s="195"/>
      <c r="DD366" s="195"/>
      <c r="DE366" s="195"/>
      <c r="DF366" s="195"/>
      <c r="DG366" s="195"/>
      <c r="DH366" s="195"/>
    </row>
    <row r="367" spans="5:112" s="193" customFormat="1">
      <c r="E367" s="32"/>
      <c r="F367" s="32"/>
      <c r="G367" s="29"/>
      <c r="H367" s="25"/>
      <c r="I367" s="25"/>
      <c r="J367" s="25"/>
      <c r="K367" s="25"/>
      <c r="L367" s="29"/>
      <c r="M367" s="29"/>
      <c r="N367" s="28"/>
      <c r="O367" s="30"/>
      <c r="P367" s="30"/>
      <c r="Q367" s="30"/>
      <c r="R367" s="30"/>
      <c r="S367" s="30"/>
      <c r="T367" s="30"/>
      <c r="U367" s="30"/>
      <c r="V367" s="29"/>
      <c r="W367" s="28"/>
      <c r="X367" s="149"/>
      <c r="Y367" s="149"/>
      <c r="Z367" s="150"/>
      <c r="AA367" s="150"/>
      <c r="AB367" s="151"/>
      <c r="AC367" s="150"/>
      <c r="AD367" s="150"/>
      <c r="AE367" s="150"/>
      <c r="AF367" s="150"/>
      <c r="AG367" s="150"/>
      <c r="AH367" s="150"/>
      <c r="AI367" s="195"/>
      <c r="AJ367" s="195"/>
      <c r="AK367" s="195"/>
      <c r="AL367" s="195"/>
      <c r="AM367" s="195"/>
      <c r="AN367" s="195"/>
      <c r="AO367" s="195"/>
      <c r="AP367" s="195"/>
      <c r="AQ367" s="195"/>
      <c r="AR367" s="195"/>
      <c r="AS367" s="195"/>
      <c r="AT367" s="195"/>
      <c r="AU367" s="195"/>
      <c r="AV367" s="195"/>
      <c r="AW367" s="195"/>
      <c r="AX367" s="195"/>
      <c r="AY367" s="195"/>
      <c r="AZ367" s="195"/>
      <c r="BA367" s="195"/>
      <c r="BB367" s="195"/>
      <c r="BC367" s="195"/>
      <c r="BD367" s="195"/>
      <c r="BE367" s="195"/>
      <c r="BF367" s="195"/>
      <c r="BG367" s="195"/>
      <c r="BH367" s="195"/>
      <c r="BI367" s="195"/>
      <c r="BJ367" s="195"/>
      <c r="BK367" s="195"/>
      <c r="BL367" s="195"/>
      <c r="BM367" s="195"/>
      <c r="BN367" s="195"/>
      <c r="BO367" s="195"/>
      <c r="BP367" s="195"/>
      <c r="BQ367" s="195"/>
      <c r="BR367" s="195"/>
      <c r="BS367" s="195"/>
      <c r="BT367" s="195"/>
      <c r="BU367" s="195"/>
      <c r="BV367" s="195"/>
      <c r="BW367" s="195"/>
      <c r="BX367" s="195"/>
      <c r="BY367" s="195"/>
      <c r="BZ367" s="195"/>
      <c r="CA367" s="195"/>
      <c r="CB367" s="195"/>
      <c r="CC367" s="195"/>
      <c r="CD367" s="195"/>
      <c r="CE367" s="195"/>
      <c r="CF367" s="195"/>
      <c r="CG367" s="195"/>
      <c r="CH367" s="195"/>
      <c r="CI367" s="195"/>
      <c r="CJ367" s="195"/>
      <c r="CK367" s="195"/>
      <c r="CL367" s="195"/>
      <c r="CM367" s="195"/>
      <c r="CN367" s="195"/>
      <c r="CO367" s="195"/>
      <c r="CP367" s="195"/>
      <c r="CQ367" s="195"/>
      <c r="CR367" s="195"/>
      <c r="CS367" s="195"/>
      <c r="CT367" s="195"/>
      <c r="CU367" s="195"/>
      <c r="CV367" s="195"/>
      <c r="CW367" s="195"/>
      <c r="CX367" s="195"/>
      <c r="CY367" s="195"/>
      <c r="CZ367" s="195"/>
      <c r="DA367" s="195"/>
      <c r="DB367" s="195"/>
      <c r="DC367" s="195"/>
      <c r="DD367" s="195"/>
      <c r="DE367" s="195"/>
      <c r="DF367" s="195"/>
      <c r="DG367" s="195"/>
      <c r="DH367" s="195"/>
    </row>
    <row r="368" spans="5:112" s="193" customFormat="1">
      <c r="E368" s="32"/>
      <c r="F368" s="32"/>
      <c r="G368" s="29"/>
      <c r="H368" s="25"/>
      <c r="I368" s="25"/>
      <c r="J368" s="25"/>
      <c r="K368" s="25"/>
      <c r="L368" s="29"/>
      <c r="M368" s="29"/>
      <c r="N368" s="28"/>
      <c r="O368" s="30"/>
      <c r="P368" s="30"/>
      <c r="Q368" s="30"/>
      <c r="R368" s="30"/>
      <c r="S368" s="30"/>
      <c r="T368" s="30"/>
      <c r="U368" s="30"/>
      <c r="V368" s="29"/>
      <c r="W368" s="28"/>
      <c r="X368" s="149"/>
      <c r="Y368" s="149"/>
      <c r="Z368" s="150"/>
      <c r="AA368" s="150"/>
      <c r="AB368" s="151"/>
      <c r="AC368" s="150"/>
      <c r="AD368" s="150"/>
      <c r="AE368" s="150"/>
      <c r="AF368" s="150"/>
      <c r="AG368" s="150"/>
      <c r="AH368" s="150"/>
      <c r="AI368" s="195"/>
      <c r="AJ368" s="195"/>
      <c r="AK368" s="195"/>
      <c r="AL368" s="195"/>
      <c r="AM368" s="195"/>
      <c r="AN368" s="195"/>
      <c r="AO368" s="195"/>
      <c r="AP368" s="195"/>
      <c r="AQ368" s="195"/>
      <c r="AR368" s="195"/>
      <c r="AS368" s="195"/>
      <c r="AT368" s="195"/>
      <c r="AU368" s="195"/>
      <c r="AV368" s="195"/>
      <c r="AW368" s="195"/>
      <c r="AX368" s="195"/>
      <c r="AY368" s="195"/>
      <c r="AZ368" s="195"/>
      <c r="BA368" s="195"/>
      <c r="BB368" s="195"/>
      <c r="BC368" s="195"/>
      <c r="BD368" s="195"/>
      <c r="BE368" s="195"/>
      <c r="BF368" s="195"/>
      <c r="BG368" s="195"/>
      <c r="BH368" s="195"/>
      <c r="BI368" s="195"/>
      <c r="BJ368" s="195"/>
      <c r="BK368" s="195"/>
      <c r="BL368" s="195"/>
      <c r="BM368" s="195"/>
      <c r="BN368" s="195"/>
      <c r="BO368" s="195"/>
      <c r="BP368" s="195"/>
      <c r="BQ368" s="195"/>
      <c r="BR368" s="195"/>
      <c r="BS368" s="195"/>
      <c r="BT368" s="195"/>
      <c r="BU368" s="195"/>
      <c r="BV368" s="195"/>
      <c r="BW368" s="195"/>
      <c r="BX368" s="195"/>
      <c r="BY368" s="195"/>
      <c r="BZ368" s="195"/>
      <c r="CA368" s="195"/>
      <c r="CB368" s="195"/>
      <c r="CC368" s="195"/>
      <c r="CD368" s="195"/>
      <c r="CE368" s="195"/>
      <c r="CF368" s="195"/>
      <c r="CG368" s="195"/>
      <c r="CH368" s="195"/>
      <c r="CI368" s="195"/>
      <c r="CJ368" s="195"/>
      <c r="CK368" s="195"/>
      <c r="CL368" s="195"/>
      <c r="CM368" s="195"/>
      <c r="CN368" s="195"/>
      <c r="CO368" s="195"/>
      <c r="CP368" s="195"/>
      <c r="CQ368" s="195"/>
      <c r="CR368" s="195"/>
      <c r="CS368" s="195"/>
      <c r="CT368" s="195"/>
      <c r="CU368" s="195"/>
      <c r="CV368" s="195"/>
      <c r="CW368" s="195"/>
      <c r="CX368" s="195"/>
      <c r="CY368" s="195"/>
      <c r="CZ368" s="195"/>
      <c r="DA368" s="195"/>
      <c r="DB368" s="195"/>
      <c r="DC368" s="195"/>
      <c r="DD368" s="195"/>
      <c r="DE368" s="195"/>
      <c r="DF368" s="195"/>
      <c r="DG368" s="195"/>
      <c r="DH368" s="195"/>
    </row>
    <row r="369" spans="5:112" s="193" customFormat="1">
      <c r="E369" s="32"/>
      <c r="F369" s="32"/>
      <c r="G369" s="29"/>
      <c r="H369" s="25"/>
      <c r="I369" s="25"/>
      <c r="J369" s="25"/>
      <c r="K369" s="25"/>
      <c r="L369" s="29"/>
      <c r="M369" s="29"/>
      <c r="N369" s="28"/>
      <c r="O369" s="30"/>
      <c r="P369" s="30"/>
      <c r="Q369" s="30"/>
      <c r="R369" s="30"/>
      <c r="S369" s="30"/>
      <c r="T369" s="30"/>
      <c r="U369" s="30"/>
      <c r="V369" s="29"/>
      <c r="W369" s="28"/>
      <c r="X369" s="149"/>
      <c r="Y369" s="149"/>
      <c r="Z369" s="150"/>
      <c r="AA369" s="150"/>
      <c r="AB369" s="151"/>
      <c r="AC369" s="150"/>
      <c r="AD369" s="150"/>
      <c r="AE369" s="150"/>
      <c r="AF369" s="150"/>
      <c r="AG369" s="150"/>
      <c r="AH369" s="150"/>
      <c r="AI369" s="195"/>
      <c r="AJ369" s="195"/>
      <c r="AK369" s="195"/>
      <c r="AL369" s="195"/>
      <c r="AM369" s="195"/>
      <c r="AN369" s="195"/>
      <c r="AO369" s="195"/>
      <c r="AP369" s="195"/>
      <c r="AQ369" s="195"/>
      <c r="AR369" s="195"/>
      <c r="AS369" s="195"/>
      <c r="AT369" s="195"/>
      <c r="AU369" s="195"/>
      <c r="AV369" s="195"/>
      <c r="AW369" s="195"/>
      <c r="AX369" s="195"/>
      <c r="AY369" s="195"/>
      <c r="AZ369" s="195"/>
      <c r="BA369" s="195"/>
      <c r="BB369" s="195"/>
      <c r="BC369" s="195"/>
      <c r="BD369" s="195"/>
      <c r="BE369" s="195"/>
      <c r="BF369" s="195"/>
      <c r="BG369" s="195"/>
      <c r="BH369" s="195"/>
      <c r="BI369" s="195"/>
      <c r="BJ369" s="195"/>
      <c r="BK369" s="195"/>
      <c r="BL369" s="195"/>
      <c r="BM369" s="195"/>
      <c r="BN369" s="195"/>
      <c r="BO369" s="195"/>
      <c r="BP369" s="195"/>
      <c r="BQ369" s="195"/>
      <c r="BR369" s="195"/>
      <c r="BS369" s="195"/>
      <c r="BT369" s="195"/>
      <c r="BU369" s="195"/>
      <c r="BV369" s="195"/>
      <c r="BW369" s="195"/>
      <c r="BX369" s="195"/>
      <c r="BY369" s="195"/>
      <c r="BZ369" s="195"/>
      <c r="CA369" s="195"/>
      <c r="CB369" s="195"/>
      <c r="CC369" s="195"/>
      <c r="CD369" s="195"/>
      <c r="CE369" s="195"/>
      <c r="CF369" s="195"/>
      <c r="CG369" s="195"/>
      <c r="CH369" s="195"/>
      <c r="CI369" s="195"/>
      <c r="CJ369" s="195"/>
      <c r="CK369" s="195"/>
      <c r="CL369" s="195"/>
      <c r="CM369" s="195"/>
      <c r="CN369" s="195"/>
      <c r="CO369" s="195"/>
      <c r="CP369" s="195"/>
      <c r="CQ369" s="195"/>
      <c r="CR369" s="195"/>
      <c r="CS369" s="195"/>
      <c r="CT369" s="195"/>
      <c r="CU369" s="195"/>
      <c r="CV369" s="195"/>
      <c r="CW369" s="195"/>
      <c r="CX369" s="195"/>
      <c r="CY369" s="195"/>
      <c r="CZ369" s="195"/>
      <c r="DA369" s="195"/>
      <c r="DB369" s="195"/>
      <c r="DC369" s="195"/>
      <c r="DD369" s="195"/>
      <c r="DE369" s="195"/>
      <c r="DF369" s="195"/>
      <c r="DG369" s="195"/>
      <c r="DH369" s="195"/>
    </row>
    <row r="370" spans="5:112" s="193" customFormat="1">
      <c r="E370" s="32"/>
      <c r="F370" s="32"/>
      <c r="G370" s="29"/>
      <c r="H370" s="25"/>
      <c r="I370" s="25"/>
      <c r="J370" s="25"/>
      <c r="K370" s="25"/>
      <c r="L370" s="29"/>
      <c r="M370" s="29"/>
      <c r="N370" s="28"/>
      <c r="O370" s="30"/>
      <c r="P370" s="30"/>
      <c r="Q370" s="30"/>
      <c r="R370" s="30"/>
      <c r="S370" s="30"/>
      <c r="T370" s="30"/>
      <c r="U370" s="30"/>
      <c r="V370" s="29"/>
      <c r="W370" s="28"/>
      <c r="X370" s="149"/>
      <c r="Y370" s="149"/>
      <c r="Z370" s="150"/>
      <c r="AA370" s="150"/>
      <c r="AB370" s="151"/>
      <c r="AC370" s="150"/>
      <c r="AD370" s="150"/>
      <c r="AE370" s="150"/>
      <c r="AF370" s="150"/>
      <c r="AG370" s="150"/>
      <c r="AH370" s="150"/>
      <c r="AI370" s="195"/>
      <c r="AJ370" s="195"/>
      <c r="AK370" s="195"/>
      <c r="AL370" s="195"/>
      <c r="AM370" s="195"/>
      <c r="AN370" s="195"/>
      <c r="AO370" s="195"/>
      <c r="AP370" s="195"/>
      <c r="AQ370" s="195"/>
      <c r="AR370" s="195"/>
      <c r="AS370" s="195"/>
      <c r="AT370" s="195"/>
      <c r="AU370" s="195"/>
      <c r="AV370" s="195"/>
      <c r="AW370" s="195"/>
      <c r="AX370" s="195"/>
      <c r="AY370" s="195"/>
      <c r="AZ370" s="195"/>
      <c r="BA370" s="195"/>
      <c r="BB370" s="195"/>
      <c r="BC370" s="195"/>
      <c r="BD370" s="195"/>
      <c r="BE370" s="195"/>
      <c r="BF370" s="195"/>
      <c r="BG370" s="195"/>
      <c r="BH370" s="195"/>
      <c r="BI370" s="195"/>
      <c r="BJ370" s="195"/>
      <c r="BK370" s="195"/>
      <c r="BL370" s="195"/>
      <c r="BM370" s="195"/>
      <c r="BN370" s="195"/>
      <c r="BO370" s="195"/>
      <c r="BP370" s="195"/>
      <c r="BQ370" s="195"/>
      <c r="BR370" s="195"/>
      <c r="BS370" s="195"/>
      <c r="BT370" s="195"/>
      <c r="BU370" s="195"/>
      <c r="BV370" s="195"/>
      <c r="BW370" s="195"/>
      <c r="BX370" s="195"/>
      <c r="BY370" s="195"/>
      <c r="BZ370" s="195"/>
      <c r="CA370" s="195"/>
      <c r="CB370" s="195"/>
      <c r="CC370" s="195"/>
      <c r="CD370" s="195"/>
      <c r="CE370" s="195"/>
      <c r="CF370" s="195"/>
      <c r="CG370" s="195"/>
      <c r="CH370" s="195"/>
      <c r="CI370" s="195"/>
      <c r="CJ370" s="195"/>
      <c r="CK370" s="195"/>
      <c r="CL370" s="195"/>
      <c r="CM370" s="195"/>
      <c r="CN370" s="195"/>
      <c r="CO370" s="195"/>
      <c r="CP370" s="195"/>
      <c r="CQ370" s="195"/>
      <c r="CR370" s="195"/>
      <c r="CS370" s="195"/>
      <c r="CT370" s="195"/>
      <c r="CU370" s="195"/>
      <c r="CV370" s="195"/>
      <c r="CW370" s="195"/>
      <c r="CX370" s="195"/>
      <c r="CY370" s="195"/>
      <c r="CZ370" s="195"/>
      <c r="DA370" s="195"/>
      <c r="DB370" s="195"/>
      <c r="DC370" s="195"/>
      <c r="DD370" s="195"/>
      <c r="DE370" s="195"/>
      <c r="DF370" s="195"/>
      <c r="DG370" s="195"/>
      <c r="DH370" s="195"/>
    </row>
    <row r="371" spans="5:112" s="193" customFormat="1">
      <c r="E371" s="32"/>
      <c r="F371" s="32"/>
      <c r="G371" s="29"/>
      <c r="H371" s="25"/>
      <c r="I371" s="25"/>
      <c r="J371" s="25"/>
      <c r="K371" s="25"/>
      <c r="L371" s="29"/>
      <c r="M371" s="29"/>
      <c r="N371" s="28"/>
      <c r="O371" s="30"/>
      <c r="P371" s="30"/>
      <c r="Q371" s="30"/>
      <c r="R371" s="30"/>
      <c r="S371" s="30"/>
      <c r="T371" s="30"/>
      <c r="U371" s="30"/>
      <c r="V371" s="29"/>
      <c r="W371" s="28"/>
      <c r="X371" s="149"/>
      <c r="Y371" s="149"/>
      <c r="Z371" s="150"/>
      <c r="AA371" s="150"/>
      <c r="AB371" s="151"/>
      <c r="AC371" s="150"/>
      <c r="AD371" s="150"/>
      <c r="AE371" s="150"/>
      <c r="AF371" s="150"/>
      <c r="AG371" s="150"/>
      <c r="AH371" s="150"/>
      <c r="AI371" s="195"/>
      <c r="AJ371" s="195"/>
      <c r="AK371" s="195"/>
      <c r="AL371" s="195"/>
      <c r="AM371" s="195"/>
      <c r="AN371" s="195"/>
      <c r="AO371" s="195"/>
      <c r="AP371" s="195"/>
      <c r="AQ371" s="195"/>
      <c r="AR371" s="195"/>
      <c r="AS371" s="195"/>
      <c r="AT371" s="195"/>
      <c r="AU371" s="195"/>
      <c r="AV371" s="195"/>
      <c r="AW371" s="195"/>
      <c r="AX371" s="195"/>
      <c r="AY371" s="195"/>
      <c r="AZ371" s="195"/>
      <c r="BA371" s="195"/>
      <c r="BB371" s="195"/>
      <c r="BC371" s="195"/>
      <c r="BD371" s="195"/>
      <c r="BE371" s="195"/>
      <c r="BF371" s="195"/>
      <c r="BG371" s="195"/>
      <c r="BH371" s="195"/>
      <c r="BI371" s="195"/>
      <c r="BJ371" s="195"/>
      <c r="BK371" s="195"/>
      <c r="BL371" s="195"/>
      <c r="BM371" s="195"/>
      <c r="BN371" s="195"/>
      <c r="BO371" s="195"/>
      <c r="BP371" s="195"/>
      <c r="BQ371" s="195"/>
      <c r="BR371" s="195"/>
      <c r="BS371" s="195"/>
      <c r="BT371" s="195"/>
      <c r="BU371" s="195"/>
      <c r="BV371" s="195"/>
      <c r="BW371" s="195"/>
      <c r="BX371" s="195"/>
      <c r="BY371" s="195"/>
      <c r="BZ371" s="195"/>
      <c r="CA371" s="195"/>
      <c r="CB371" s="195"/>
      <c r="CC371" s="195"/>
      <c r="CD371" s="195"/>
      <c r="CE371" s="195"/>
      <c r="CF371" s="195"/>
      <c r="CG371" s="195"/>
      <c r="CH371" s="195"/>
      <c r="CI371" s="195"/>
      <c r="CJ371" s="195"/>
      <c r="CK371" s="195"/>
      <c r="CL371" s="195"/>
      <c r="CM371" s="195"/>
      <c r="CN371" s="195"/>
      <c r="CO371" s="195"/>
      <c r="CP371" s="195"/>
      <c r="CQ371" s="195"/>
      <c r="CR371" s="195"/>
      <c r="CS371" s="195"/>
      <c r="CT371" s="195"/>
      <c r="CU371" s="195"/>
      <c r="CV371" s="195"/>
      <c r="CW371" s="195"/>
      <c r="CX371" s="195"/>
      <c r="CY371" s="195"/>
      <c r="CZ371" s="195"/>
      <c r="DA371" s="195"/>
      <c r="DB371" s="195"/>
      <c r="DC371" s="195"/>
      <c r="DD371" s="195"/>
      <c r="DE371" s="195"/>
      <c r="DF371" s="195"/>
      <c r="DG371" s="195"/>
      <c r="DH371" s="195"/>
    </row>
    <row r="372" spans="5:112" s="193" customFormat="1">
      <c r="E372" s="32"/>
      <c r="F372" s="32"/>
      <c r="G372" s="29"/>
      <c r="H372" s="25"/>
      <c r="I372" s="25"/>
      <c r="J372" s="25"/>
      <c r="K372" s="25"/>
      <c r="L372" s="29"/>
      <c r="M372" s="29"/>
      <c r="N372" s="28"/>
      <c r="O372" s="30"/>
      <c r="P372" s="30"/>
      <c r="Q372" s="30"/>
      <c r="R372" s="30"/>
      <c r="S372" s="30"/>
      <c r="T372" s="30"/>
      <c r="U372" s="30"/>
      <c r="V372" s="29"/>
      <c r="W372" s="28"/>
      <c r="X372" s="149"/>
      <c r="Y372" s="149"/>
      <c r="Z372" s="150"/>
      <c r="AA372" s="150"/>
      <c r="AB372" s="151"/>
      <c r="AC372" s="150"/>
      <c r="AD372" s="150"/>
      <c r="AE372" s="150"/>
      <c r="AF372" s="150"/>
      <c r="AG372" s="150"/>
      <c r="AH372" s="150"/>
      <c r="AI372" s="195"/>
      <c r="AJ372" s="195"/>
      <c r="AK372" s="195"/>
      <c r="AL372" s="195"/>
      <c r="AM372" s="195"/>
      <c r="AN372" s="195"/>
      <c r="AO372" s="195"/>
      <c r="AP372" s="195"/>
      <c r="AQ372" s="195"/>
      <c r="AR372" s="195"/>
      <c r="AS372" s="195"/>
      <c r="AT372" s="195"/>
      <c r="AU372" s="195"/>
      <c r="AV372" s="195"/>
      <c r="AW372" s="195"/>
      <c r="AX372" s="195"/>
      <c r="AY372" s="195"/>
      <c r="AZ372" s="195"/>
      <c r="BA372" s="195"/>
      <c r="BB372" s="195"/>
      <c r="BC372" s="195"/>
      <c r="BD372" s="195"/>
      <c r="BE372" s="195"/>
      <c r="BF372" s="195"/>
      <c r="BG372" s="195"/>
      <c r="BH372" s="195"/>
      <c r="BI372" s="195"/>
      <c r="BJ372" s="195"/>
      <c r="BK372" s="195"/>
      <c r="BL372" s="195"/>
      <c r="BM372" s="195"/>
      <c r="BN372" s="195"/>
      <c r="BO372" s="195"/>
      <c r="BP372" s="195"/>
      <c r="BQ372" s="195"/>
      <c r="BR372" s="195"/>
      <c r="BS372" s="195"/>
      <c r="BT372" s="195"/>
      <c r="BU372" s="195"/>
      <c r="BV372" s="195"/>
      <c r="BW372" s="195"/>
      <c r="BX372" s="195"/>
      <c r="BY372" s="195"/>
      <c r="BZ372" s="195"/>
      <c r="CA372" s="195"/>
      <c r="CB372" s="195"/>
      <c r="CC372" s="195"/>
      <c r="CD372" s="195"/>
      <c r="CE372" s="195"/>
      <c r="CF372" s="195"/>
      <c r="CG372" s="195"/>
      <c r="CH372" s="195"/>
      <c r="CI372" s="195"/>
      <c r="CJ372" s="195"/>
      <c r="CK372" s="195"/>
      <c r="CL372" s="195"/>
      <c r="CM372" s="195"/>
      <c r="CN372" s="195"/>
      <c r="CO372" s="195"/>
      <c r="CP372" s="195"/>
      <c r="CQ372" s="195"/>
      <c r="CR372" s="195"/>
      <c r="CS372" s="195"/>
      <c r="CT372" s="195"/>
      <c r="CU372" s="195"/>
      <c r="CV372" s="195"/>
      <c r="CW372" s="195"/>
      <c r="CX372" s="195"/>
      <c r="CY372" s="195"/>
      <c r="CZ372" s="195"/>
      <c r="DA372" s="195"/>
      <c r="DB372" s="195"/>
      <c r="DC372" s="195"/>
      <c r="DD372" s="195"/>
      <c r="DE372" s="195"/>
      <c r="DF372" s="195"/>
      <c r="DG372" s="195"/>
      <c r="DH372" s="195"/>
    </row>
    <row r="373" spans="5:112" s="193" customFormat="1">
      <c r="E373" s="32"/>
      <c r="F373" s="32"/>
      <c r="G373" s="29"/>
      <c r="H373" s="25"/>
      <c r="I373" s="25"/>
      <c r="J373" s="25"/>
      <c r="K373" s="25"/>
      <c r="L373" s="29"/>
      <c r="M373" s="29"/>
      <c r="N373" s="28"/>
      <c r="O373" s="30"/>
      <c r="P373" s="30"/>
      <c r="Q373" s="30"/>
      <c r="R373" s="30"/>
      <c r="S373" s="30"/>
      <c r="T373" s="30"/>
      <c r="U373" s="30"/>
      <c r="V373" s="29"/>
      <c r="W373" s="28"/>
      <c r="X373" s="149"/>
      <c r="Y373" s="149"/>
      <c r="Z373" s="150"/>
      <c r="AA373" s="150"/>
      <c r="AB373" s="151"/>
      <c r="AC373" s="150"/>
      <c r="AD373" s="150"/>
      <c r="AE373" s="150"/>
      <c r="AF373" s="150"/>
      <c r="AG373" s="150"/>
      <c r="AH373" s="150"/>
      <c r="AI373" s="195"/>
      <c r="AJ373" s="195"/>
      <c r="AK373" s="195"/>
      <c r="AL373" s="195"/>
      <c r="AM373" s="195"/>
      <c r="AN373" s="195"/>
      <c r="AO373" s="195"/>
      <c r="AP373" s="195"/>
      <c r="AQ373" s="195"/>
      <c r="AR373" s="195"/>
      <c r="AS373" s="195"/>
      <c r="AT373" s="195"/>
      <c r="AU373" s="195"/>
      <c r="AV373" s="195"/>
      <c r="AW373" s="195"/>
      <c r="AX373" s="195"/>
      <c r="AY373" s="195"/>
      <c r="AZ373" s="195"/>
      <c r="BA373" s="195"/>
      <c r="BB373" s="195"/>
      <c r="BC373" s="195"/>
      <c r="BD373" s="195"/>
      <c r="BE373" s="195"/>
      <c r="BF373" s="195"/>
      <c r="BG373" s="195"/>
      <c r="BH373" s="195"/>
      <c r="BI373" s="195"/>
      <c r="BJ373" s="195"/>
      <c r="BK373" s="195"/>
      <c r="BL373" s="195"/>
      <c r="BM373" s="195"/>
      <c r="BN373" s="195"/>
      <c r="BO373" s="195"/>
      <c r="BP373" s="195"/>
      <c r="BQ373" s="195"/>
      <c r="BR373" s="195"/>
      <c r="BS373" s="195"/>
      <c r="BT373" s="195"/>
      <c r="BU373" s="195"/>
      <c r="BV373" s="195"/>
      <c r="BW373" s="195"/>
      <c r="BX373" s="195"/>
      <c r="BY373" s="195"/>
      <c r="BZ373" s="195"/>
      <c r="CA373" s="195"/>
      <c r="CB373" s="195"/>
      <c r="CC373" s="195"/>
      <c r="CD373" s="195"/>
      <c r="CE373" s="195"/>
      <c r="CF373" s="195"/>
      <c r="CG373" s="195"/>
      <c r="CH373" s="195"/>
      <c r="CI373" s="195"/>
      <c r="CJ373" s="195"/>
      <c r="CK373" s="195"/>
      <c r="CL373" s="195"/>
      <c r="CM373" s="195"/>
      <c r="CN373" s="195"/>
      <c r="CO373" s="195"/>
      <c r="CP373" s="195"/>
      <c r="CQ373" s="195"/>
      <c r="CR373" s="195"/>
      <c r="CS373" s="195"/>
      <c r="CT373" s="195"/>
      <c r="CU373" s="195"/>
      <c r="CV373" s="195"/>
      <c r="CW373" s="195"/>
      <c r="CX373" s="195"/>
      <c r="CY373" s="195"/>
      <c r="CZ373" s="195"/>
      <c r="DA373" s="195"/>
      <c r="DB373" s="195"/>
      <c r="DC373" s="195"/>
      <c r="DD373" s="195"/>
      <c r="DE373" s="195"/>
      <c r="DF373" s="195"/>
      <c r="DG373" s="195"/>
      <c r="DH373" s="195"/>
    </row>
    <row r="374" spans="5:112" s="193" customFormat="1">
      <c r="E374" s="32"/>
      <c r="F374" s="32"/>
      <c r="G374" s="29"/>
      <c r="H374" s="25"/>
      <c r="I374" s="25"/>
      <c r="J374" s="25"/>
      <c r="K374" s="25"/>
      <c r="L374" s="29"/>
      <c r="M374" s="29"/>
      <c r="N374" s="28"/>
      <c r="O374" s="30"/>
      <c r="P374" s="30"/>
      <c r="Q374" s="30"/>
      <c r="R374" s="30"/>
      <c r="S374" s="30"/>
      <c r="T374" s="30"/>
      <c r="U374" s="30"/>
      <c r="V374" s="29"/>
      <c r="W374" s="28"/>
      <c r="X374" s="149"/>
      <c r="Y374" s="149"/>
      <c r="Z374" s="150"/>
      <c r="AA374" s="150"/>
      <c r="AB374" s="151"/>
      <c r="AC374" s="150"/>
      <c r="AD374" s="150"/>
      <c r="AE374" s="150"/>
      <c r="AF374" s="150"/>
      <c r="AG374" s="150"/>
      <c r="AH374" s="150"/>
      <c r="AI374" s="195"/>
      <c r="AJ374" s="195"/>
      <c r="AK374" s="195"/>
      <c r="AL374" s="195"/>
      <c r="AM374" s="195"/>
      <c r="AN374" s="195"/>
      <c r="AO374" s="195"/>
      <c r="AP374" s="195"/>
      <c r="AQ374" s="195"/>
      <c r="AR374" s="195"/>
      <c r="AS374" s="195"/>
      <c r="AT374" s="195"/>
      <c r="AU374" s="195"/>
      <c r="AV374" s="195"/>
      <c r="AW374" s="195"/>
      <c r="AX374" s="195"/>
      <c r="AY374" s="195"/>
      <c r="AZ374" s="195"/>
      <c r="BA374" s="195"/>
      <c r="BB374" s="195"/>
      <c r="BC374" s="195"/>
      <c r="BD374" s="195"/>
      <c r="BE374" s="195"/>
      <c r="BF374" s="195"/>
      <c r="BG374" s="195"/>
      <c r="BH374" s="195"/>
      <c r="BI374" s="195"/>
      <c r="BJ374" s="195"/>
      <c r="BK374" s="195"/>
      <c r="BL374" s="195"/>
      <c r="BM374" s="195"/>
      <c r="BN374" s="195"/>
      <c r="BO374" s="195"/>
      <c r="BP374" s="195"/>
      <c r="BQ374" s="195"/>
      <c r="BR374" s="195"/>
      <c r="BS374" s="195"/>
      <c r="BT374" s="195"/>
      <c r="BU374" s="195"/>
      <c r="BV374" s="195"/>
      <c r="BW374" s="195"/>
      <c r="BX374" s="195"/>
      <c r="BY374" s="195"/>
      <c r="BZ374" s="195"/>
      <c r="CA374" s="195"/>
      <c r="CB374" s="195"/>
      <c r="CC374" s="195"/>
      <c r="CD374" s="195"/>
      <c r="CE374" s="195"/>
      <c r="CF374" s="195"/>
      <c r="CG374" s="195"/>
      <c r="CH374" s="195"/>
      <c r="CI374" s="195"/>
      <c r="CJ374" s="195"/>
      <c r="CK374" s="195"/>
      <c r="CL374" s="195"/>
      <c r="CM374" s="195"/>
      <c r="CN374" s="195"/>
      <c r="CO374" s="195"/>
      <c r="CP374" s="195"/>
      <c r="CQ374" s="195"/>
      <c r="CR374" s="195"/>
      <c r="CS374" s="195"/>
      <c r="CT374" s="195"/>
      <c r="CU374" s="195"/>
      <c r="CV374" s="195"/>
      <c r="CW374" s="195"/>
      <c r="CX374" s="195"/>
      <c r="CY374" s="195"/>
      <c r="CZ374" s="195"/>
      <c r="DA374" s="195"/>
      <c r="DB374" s="195"/>
      <c r="DC374" s="195"/>
      <c r="DD374" s="195"/>
      <c r="DE374" s="195"/>
      <c r="DF374" s="195"/>
      <c r="DG374" s="195"/>
      <c r="DH374" s="195"/>
    </row>
    <row r="375" spans="5:112" s="193" customFormat="1">
      <c r="E375" s="32"/>
      <c r="F375" s="32"/>
      <c r="G375" s="29"/>
      <c r="H375" s="25"/>
      <c r="I375" s="25"/>
      <c r="J375" s="25"/>
      <c r="K375" s="25"/>
      <c r="L375" s="29"/>
      <c r="M375" s="29"/>
      <c r="N375" s="28"/>
      <c r="O375" s="30"/>
      <c r="P375" s="30"/>
      <c r="Q375" s="30"/>
      <c r="R375" s="30"/>
      <c r="S375" s="30"/>
      <c r="T375" s="30"/>
      <c r="U375" s="30"/>
      <c r="V375" s="29"/>
      <c r="W375" s="28"/>
      <c r="X375" s="149"/>
      <c r="Y375" s="149"/>
      <c r="Z375" s="150"/>
      <c r="AA375" s="150"/>
      <c r="AB375" s="151"/>
      <c r="AC375" s="150"/>
      <c r="AD375" s="150"/>
      <c r="AE375" s="150"/>
      <c r="AF375" s="150"/>
      <c r="AG375" s="150"/>
      <c r="AH375" s="150"/>
      <c r="AI375" s="195"/>
      <c r="AJ375" s="195"/>
      <c r="AK375" s="195"/>
      <c r="AL375" s="195"/>
      <c r="AM375" s="195"/>
      <c r="AN375" s="195"/>
      <c r="AO375" s="195"/>
      <c r="AP375" s="195"/>
      <c r="AQ375" s="195"/>
      <c r="AR375" s="195"/>
      <c r="AS375" s="195"/>
      <c r="AT375" s="195"/>
      <c r="AU375" s="195"/>
      <c r="AV375" s="195"/>
      <c r="AW375" s="195"/>
      <c r="AX375" s="195"/>
      <c r="AY375" s="195"/>
      <c r="AZ375" s="195"/>
      <c r="BA375" s="195"/>
      <c r="BB375" s="195"/>
      <c r="BC375" s="195"/>
      <c r="BD375" s="195"/>
      <c r="BE375" s="195"/>
      <c r="BF375" s="195"/>
      <c r="BG375" s="195"/>
      <c r="BH375" s="195"/>
      <c r="BI375" s="195"/>
      <c r="BJ375" s="195"/>
      <c r="BK375" s="195"/>
      <c r="BL375" s="195"/>
      <c r="BM375" s="195"/>
      <c r="BN375" s="195"/>
      <c r="BO375" s="195"/>
      <c r="BP375" s="195"/>
      <c r="BQ375" s="195"/>
      <c r="BR375" s="195"/>
      <c r="BS375" s="195"/>
      <c r="BT375" s="195"/>
      <c r="BU375" s="195"/>
      <c r="BV375" s="195"/>
      <c r="BW375" s="195"/>
      <c r="BX375" s="195"/>
      <c r="BY375" s="195"/>
      <c r="BZ375" s="195"/>
      <c r="CA375" s="195"/>
      <c r="CB375" s="195"/>
      <c r="CC375" s="195"/>
      <c r="CD375" s="195"/>
      <c r="CE375" s="195"/>
      <c r="CF375" s="195"/>
      <c r="CG375" s="195"/>
      <c r="CH375" s="195"/>
      <c r="CI375" s="195"/>
      <c r="CJ375" s="195"/>
      <c r="CK375" s="195"/>
      <c r="CL375" s="195"/>
      <c r="CM375" s="195"/>
      <c r="CN375" s="195"/>
      <c r="CO375" s="195"/>
      <c r="CP375" s="195"/>
      <c r="CQ375" s="195"/>
      <c r="CR375" s="195"/>
      <c r="CS375" s="195"/>
      <c r="CT375" s="195"/>
      <c r="CU375" s="195"/>
      <c r="CV375" s="195"/>
      <c r="CW375" s="195"/>
      <c r="CX375" s="195"/>
      <c r="CY375" s="195"/>
      <c r="CZ375" s="195"/>
      <c r="DA375" s="195"/>
      <c r="DB375" s="195"/>
      <c r="DC375" s="195"/>
      <c r="DD375" s="195"/>
      <c r="DE375" s="195"/>
      <c r="DF375" s="195"/>
      <c r="DG375" s="195"/>
      <c r="DH375" s="195"/>
    </row>
    <row r="376" spans="5:112" s="193" customFormat="1">
      <c r="E376" s="32"/>
      <c r="F376" s="32"/>
      <c r="G376" s="29"/>
      <c r="H376" s="25"/>
      <c r="I376" s="25"/>
      <c r="J376" s="25"/>
      <c r="K376" s="25"/>
      <c r="L376" s="29"/>
      <c r="M376" s="29"/>
      <c r="N376" s="28"/>
      <c r="O376" s="30"/>
      <c r="P376" s="30"/>
      <c r="Q376" s="30"/>
      <c r="R376" s="30"/>
      <c r="S376" s="30"/>
      <c r="T376" s="30"/>
      <c r="U376" s="30"/>
      <c r="V376" s="29"/>
      <c r="W376" s="28"/>
      <c r="X376" s="149"/>
      <c r="Y376" s="149"/>
      <c r="Z376" s="150"/>
      <c r="AA376" s="150"/>
      <c r="AB376" s="151"/>
      <c r="AC376" s="150"/>
      <c r="AD376" s="150"/>
      <c r="AE376" s="150"/>
      <c r="AF376" s="150"/>
      <c r="AG376" s="150"/>
      <c r="AH376" s="150"/>
      <c r="AI376" s="195"/>
      <c r="AJ376" s="195"/>
      <c r="AK376" s="195"/>
      <c r="AL376" s="195"/>
      <c r="AM376" s="195"/>
      <c r="AN376" s="195"/>
      <c r="AO376" s="195"/>
      <c r="AP376" s="195"/>
      <c r="AQ376" s="195"/>
      <c r="AR376" s="195"/>
      <c r="AS376" s="195"/>
      <c r="AT376" s="195"/>
      <c r="AU376" s="195"/>
      <c r="AV376" s="195"/>
      <c r="AW376" s="195"/>
      <c r="AX376" s="195"/>
      <c r="AY376" s="195"/>
      <c r="AZ376" s="195"/>
      <c r="BA376" s="195"/>
      <c r="BB376" s="195"/>
      <c r="BC376" s="195"/>
      <c r="BD376" s="195"/>
      <c r="BE376" s="195"/>
      <c r="BF376" s="195"/>
      <c r="BG376" s="195"/>
      <c r="BH376" s="195"/>
      <c r="BI376" s="195"/>
      <c r="BJ376" s="195"/>
      <c r="BK376" s="195"/>
      <c r="BL376" s="195"/>
      <c r="BM376" s="195"/>
      <c r="BN376" s="195"/>
      <c r="BO376" s="195"/>
      <c r="BP376" s="195"/>
      <c r="BQ376" s="195"/>
      <c r="BR376" s="195"/>
      <c r="BS376" s="195"/>
      <c r="BT376" s="195"/>
      <c r="BU376" s="195"/>
      <c r="BV376" s="195"/>
      <c r="BW376" s="195"/>
      <c r="BX376" s="195"/>
      <c r="BY376" s="195"/>
      <c r="BZ376" s="195"/>
      <c r="CA376" s="195"/>
      <c r="CB376" s="195"/>
      <c r="CC376" s="195"/>
      <c r="CD376" s="195"/>
      <c r="CE376" s="195"/>
      <c r="CF376" s="195"/>
      <c r="CG376" s="195"/>
      <c r="CH376" s="195"/>
      <c r="CI376" s="195"/>
      <c r="CJ376" s="195"/>
      <c r="CK376" s="195"/>
      <c r="CL376" s="195"/>
      <c r="CM376" s="195"/>
      <c r="CN376" s="195"/>
      <c r="CO376" s="195"/>
      <c r="CP376" s="195"/>
      <c r="CQ376" s="195"/>
      <c r="CR376" s="195"/>
      <c r="CS376" s="195"/>
      <c r="CT376" s="195"/>
      <c r="CU376" s="195"/>
      <c r="CV376" s="195"/>
      <c r="CW376" s="195"/>
      <c r="CX376" s="195"/>
      <c r="CY376" s="195"/>
      <c r="CZ376" s="195"/>
      <c r="DA376" s="195"/>
      <c r="DB376" s="195"/>
      <c r="DC376" s="195"/>
      <c r="DD376" s="195"/>
      <c r="DE376" s="195"/>
      <c r="DF376" s="195"/>
      <c r="DG376" s="195"/>
      <c r="DH376" s="195"/>
    </row>
    <row r="377" spans="5:112" s="193" customFormat="1">
      <c r="E377" s="32"/>
      <c r="F377" s="32"/>
      <c r="G377" s="29"/>
      <c r="H377" s="25"/>
      <c r="I377" s="25"/>
      <c r="J377" s="25"/>
      <c r="K377" s="25"/>
      <c r="L377" s="29"/>
      <c r="M377" s="29"/>
      <c r="N377" s="28"/>
      <c r="O377" s="30"/>
      <c r="P377" s="30"/>
      <c r="Q377" s="30"/>
      <c r="R377" s="30"/>
      <c r="S377" s="30"/>
      <c r="T377" s="30"/>
      <c r="U377" s="30"/>
      <c r="V377" s="29"/>
      <c r="W377" s="28"/>
      <c r="X377" s="149"/>
      <c r="Y377" s="149"/>
      <c r="Z377" s="150"/>
      <c r="AA377" s="150"/>
      <c r="AB377" s="151"/>
      <c r="AC377" s="150"/>
      <c r="AD377" s="150"/>
      <c r="AE377" s="150"/>
      <c r="AF377" s="150"/>
      <c r="AG377" s="150"/>
      <c r="AH377" s="150"/>
      <c r="AI377" s="195"/>
      <c r="AJ377" s="195"/>
      <c r="AK377" s="195"/>
      <c r="AL377" s="195"/>
      <c r="AM377" s="195"/>
      <c r="AN377" s="195"/>
      <c r="AO377" s="195"/>
      <c r="AP377" s="195"/>
      <c r="AQ377" s="195"/>
      <c r="AR377" s="195"/>
      <c r="AS377" s="195"/>
      <c r="AT377" s="195"/>
      <c r="AU377" s="195"/>
      <c r="AV377" s="195"/>
      <c r="AW377" s="195"/>
      <c r="AX377" s="195"/>
      <c r="AY377" s="195"/>
      <c r="AZ377" s="195"/>
      <c r="BA377" s="195"/>
      <c r="BB377" s="195"/>
      <c r="BC377" s="195"/>
      <c r="BD377" s="195"/>
      <c r="BE377" s="195"/>
      <c r="BF377" s="195"/>
      <c r="BG377" s="195"/>
      <c r="BH377" s="195"/>
      <c r="BI377" s="195"/>
      <c r="BJ377" s="195"/>
      <c r="BK377" s="195"/>
      <c r="BL377" s="195"/>
      <c r="BM377" s="195"/>
      <c r="BN377" s="195"/>
      <c r="BO377" s="195"/>
      <c r="BP377" s="195"/>
      <c r="BQ377" s="195"/>
      <c r="BR377" s="195"/>
      <c r="BS377" s="195"/>
      <c r="BT377" s="195"/>
      <c r="BU377" s="195"/>
      <c r="BV377" s="195"/>
      <c r="BW377" s="195"/>
      <c r="BX377" s="195"/>
      <c r="BY377" s="195"/>
      <c r="BZ377" s="195"/>
      <c r="CA377" s="195"/>
      <c r="CB377" s="195"/>
      <c r="CC377" s="195"/>
      <c r="CD377" s="195"/>
      <c r="CE377" s="195"/>
      <c r="CF377" s="195"/>
      <c r="CG377" s="195"/>
      <c r="CH377" s="195"/>
      <c r="CI377" s="195"/>
      <c r="CJ377" s="195"/>
      <c r="CK377" s="195"/>
      <c r="CL377" s="195"/>
      <c r="CM377" s="195"/>
      <c r="CN377" s="195"/>
      <c r="CO377" s="195"/>
      <c r="CP377" s="195"/>
      <c r="CQ377" s="195"/>
      <c r="CR377" s="195"/>
      <c r="CS377" s="195"/>
      <c r="CT377" s="195"/>
      <c r="CU377" s="195"/>
      <c r="CV377" s="195"/>
      <c r="CW377" s="195"/>
      <c r="CX377" s="195"/>
      <c r="CY377" s="195"/>
      <c r="CZ377" s="195"/>
      <c r="DA377" s="195"/>
      <c r="DB377" s="195"/>
      <c r="DC377" s="195"/>
      <c r="DD377" s="195"/>
      <c r="DE377" s="195"/>
      <c r="DF377" s="195"/>
      <c r="DG377" s="195"/>
      <c r="DH377" s="195"/>
    </row>
    <row r="378" spans="5:112" s="193" customFormat="1">
      <c r="E378" s="32"/>
      <c r="F378" s="32"/>
      <c r="G378" s="29"/>
      <c r="H378" s="25"/>
      <c r="I378" s="25"/>
      <c r="J378" s="25"/>
      <c r="K378" s="25"/>
      <c r="L378" s="29"/>
      <c r="M378" s="29"/>
      <c r="N378" s="28"/>
      <c r="O378" s="30"/>
      <c r="P378" s="30"/>
      <c r="Q378" s="30"/>
      <c r="R378" s="30"/>
      <c r="S378" s="30"/>
      <c r="T378" s="30"/>
      <c r="U378" s="30"/>
      <c r="V378" s="29"/>
      <c r="W378" s="28"/>
      <c r="X378" s="149"/>
      <c r="Y378" s="149"/>
      <c r="Z378" s="150"/>
      <c r="AA378" s="150"/>
      <c r="AB378" s="151"/>
      <c r="AC378" s="150"/>
      <c r="AD378" s="150"/>
      <c r="AE378" s="150"/>
      <c r="AF378" s="150"/>
      <c r="AG378" s="150"/>
      <c r="AH378" s="150"/>
      <c r="AI378" s="195"/>
      <c r="AJ378" s="195"/>
      <c r="AK378" s="195"/>
      <c r="AL378" s="195"/>
      <c r="AM378" s="195"/>
      <c r="AN378" s="195"/>
      <c r="AO378" s="195"/>
      <c r="AP378" s="195"/>
      <c r="AQ378" s="195"/>
      <c r="AR378" s="195"/>
      <c r="AS378" s="195"/>
      <c r="AT378" s="195"/>
      <c r="AU378" s="195"/>
      <c r="AV378" s="195"/>
      <c r="AW378" s="195"/>
      <c r="AX378" s="195"/>
      <c r="AY378" s="195"/>
      <c r="AZ378" s="195"/>
      <c r="BA378" s="195"/>
      <c r="BB378" s="195"/>
      <c r="BC378" s="195"/>
      <c r="BD378" s="195"/>
      <c r="BE378" s="195"/>
      <c r="BF378" s="195"/>
      <c r="BG378" s="195"/>
      <c r="BH378" s="195"/>
      <c r="BI378" s="195"/>
      <c r="BJ378" s="195"/>
      <c r="BK378" s="195"/>
      <c r="BL378" s="195"/>
      <c r="BM378" s="195"/>
      <c r="BN378" s="195"/>
      <c r="BO378" s="195"/>
      <c r="BP378" s="195"/>
      <c r="BQ378" s="195"/>
      <c r="BR378" s="195"/>
      <c r="BS378" s="195"/>
      <c r="BT378" s="195"/>
      <c r="BU378" s="195"/>
      <c r="BV378" s="195"/>
      <c r="BW378" s="195"/>
      <c r="BX378" s="195"/>
      <c r="BY378" s="195"/>
      <c r="BZ378" s="195"/>
      <c r="CA378" s="195"/>
      <c r="CB378" s="195"/>
      <c r="CC378" s="195"/>
      <c r="CD378" s="195"/>
      <c r="CE378" s="195"/>
      <c r="CF378" s="195"/>
      <c r="CG378" s="195"/>
      <c r="CH378" s="195"/>
      <c r="CI378" s="195"/>
      <c r="CJ378" s="195"/>
      <c r="CK378" s="195"/>
      <c r="CL378" s="195"/>
      <c r="CM378" s="195"/>
      <c r="CN378" s="195"/>
      <c r="CO378" s="195"/>
      <c r="CP378" s="195"/>
      <c r="CQ378" s="195"/>
      <c r="CR378" s="195"/>
      <c r="CS378" s="195"/>
      <c r="CT378" s="195"/>
      <c r="CU378" s="195"/>
      <c r="CV378" s="195"/>
      <c r="CW378" s="195"/>
      <c r="CX378" s="195"/>
      <c r="CY378" s="195"/>
      <c r="CZ378" s="195"/>
      <c r="DA378" s="195"/>
      <c r="DB378" s="195"/>
      <c r="DC378" s="195"/>
      <c r="DD378" s="195"/>
      <c r="DE378" s="195"/>
      <c r="DF378" s="195"/>
      <c r="DG378" s="195"/>
      <c r="DH378" s="195"/>
    </row>
    <row r="379" spans="5:112" s="193" customFormat="1">
      <c r="E379" s="32"/>
      <c r="F379" s="32"/>
      <c r="G379" s="29"/>
      <c r="H379" s="25"/>
      <c r="I379" s="25"/>
      <c r="J379" s="25"/>
      <c r="K379" s="25"/>
      <c r="L379" s="29"/>
      <c r="M379" s="29"/>
      <c r="N379" s="28"/>
      <c r="O379" s="30"/>
      <c r="P379" s="30"/>
      <c r="Q379" s="30"/>
      <c r="R379" s="30"/>
      <c r="S379" s="30"/>
      <c r="T379" s="30"/>
      <c r="U379" s="30"/>
      <c r="V379" s="29"/>
      <c r="W379" s="28"/>
      <c r="X379" s="149"/>
      <c r="Y379" s="149"/>
      <c r="Z379" s="150"/>
      <c r="AA379" s="150"/>
      <c r="AB379" s="151"/>
      <c r="AC379" s="150"/>
      <c r="AD379" s="150"/>
      <c r="AE379" s="150"/>
      <c r="AF379" s="150"/>
      <c r="AG379" s="150"/>
      <c r="AH379" s="150"/>
      <c r="AI379" s="195"/>
      <c r="AJ379" s="195"/>
      <c r="AK379" s="195"/>
      <c r="AL379" s="195"/>
      <c r="AM379" s="195"/>
      <c r="AN379" s="195"/>
      <c r="AO379" s="195"/>
      <c r="AP379" s="195"/>
      <c r="AQ379" s="195"/>
      <c r="AR379" s="195"/>
      <c r="AS379" s="195"/>
      <c r="AT379" s="195"/>
      <c r="AU379" s="195"/>
      <c r="AV379" s="195"/>
      <c r="AW379" s="195"/>
      <c r="AX379" s="195"/>
      <c r="AY379" s="195"/>
      <c r="AZ379" s="195"/>
      <c r="BA379" s="195"/>
      <c r="BB379" s="195"/>
      <c r="BC379" s="195"/>
      <c r="BD379" s="195"/>
      <c r="BE379" s="195"/>
      <c r="BF379" s="195"/>
      <c r="BG379" s="195"/>
      <c r="BH379" s="195"/>
      <c r="BI379" s="195"/>
      <c r="BJ379" s="195"/>
      <c r="BK379" s="195"/>
      <c r="BL379" s="195"/>
      <c r="BM379" s="195"/>
      <c r="BN379" s="195"/>
      <c r="BO379" s="195"/>
      <c r="BP379" s="195"/>
      <c r="BQ379" s="195"/>
      <c r="BR379" s="195"/>
      <c r="BS379" s="195"/>
      <c r="BT379" s="195"/>
      <c r="BU379" s="195"/>
      <c r="BV379" s="195"/>
      <c r="BW379" s="195"/>
      <c r="BX379" s="195"/>
      <c r="BY379" s="195"/>
      <c r="BZ379" s="195"/>
      <c r="CA379" s="195"/>
      <c r="CB379" s="195"/>
      <c r="CC379" s="195"/>
      <c r="CD379" s="195"/>
      <c r="CE379" s="195"/>
      <c r="CF379" s="195"/>
      <c r="CG379" s="195"/>
      <c r="CH379" s="195"/>
      <c r="CI379" s="195"/>
      <c r="CJ379" s="195"/>
      <c r="CK379" s="195"/>
      <c r="CL379" s="195"/>
      <c r="CM379" s="195"/>
      <c r="CN379" s="195"/>
      <c r="CO379" s="195"/>
      <c r="CP379" s="195"/>
      <c r="CQ379" s="195"/>
      <c r="CR379" s="195"/>
      <c r="CS379" s="195"/>
      <c r="CT379" s="195"/>
      <c r="CU379" s="195"/>
      <c r="CV379" s="195"/>
      <c r="CW379" s="195"/>
      <c r="CX379" s="195"/>
      <c r="CY379" s="195"/>
      <c r="CZ379" s="195"/>
      <c r="DA379" s="195"/>
      <c r="DB379" s="195"/>
      <c r="DC379" s="195"/>
      <c r="DD379" s="195"/>
      <c r="DE379" s="195"/>
      <c r="DF379" s="195"/>
      <c r="DG379" s="195"/>
      <c r="DH379" s="195"/>
    </row>
    <row r="380" spans="5:112" s="193" customFormat="1">
      <c r="E380" s="32"/>
      <c r="F380" s="32"/>
      <c r="G380" s="29"/>
      <c r="H380" s="25"/>
      <c r="I380" s="25"/>
      <c r="J380" s="25"/>
      <c r="K380" s="25"/>
      <c r="L380" s="29"/>
      <c r="M380" s="29"/>
      <c r="N380" s="28"/>
      <c r="O380" s="30"/>
      <c r="P380" s="30"/>
      <c r="Q380" s="30"/>
      <c r="R380" s="30"/>
      <c r="S380" s="30"/>
      <c r="T380" s="30"/>
      <c r="U380" s="30"/>
      <c r="V380" s="29"/>
      <c r="W380" s="28"/>
      <c r="X380" s="149"/>
      <c r="Y380" s="149"/>
      <c r="Z380" s="150"/>
      <c r="AA380" s="150"/>
      <c r="AB380" s="151"/>
      <c r="AC380" s="150"/>
      <c r="AD380" s="150"/>
      <c r="AE380" s="150"/>
      <c r="AF380" s="150"/>
      <c r="AG380" s="150"/>
      <c r="AH380" s="150"/>
      <c r="AI380" s="195"/>
      <c r="AJ380" s="195"/>
      <c r="AK380" s="195"/>
      <c r="AL380" s="195"/>
      <c r="AM380" s="195"/>
      <c r="AN380" s="195"/>
      <c r="AO380" s="195"/>
      <c r="AP380" s="195"/>
      <c r="AQ380" s="195"/>
      <c r="AR380" s="195"/>
      <c r="AS380" s="195"/>
      <c r="AT380" s="195"/>
      <c r="AU380" s="195"/>
      <c r="AV380" s="195"/>
      <c r="AW380" s="195"/>
      <c r="AX380" s="195"/>
      <c r="AY380" s="195"/>
      <c r="AZ380" s="195"/>
      <c r="BA380" s="195"/>
      <c r="BB380" s="195"/>
      <c r="BC380" s="195"/>
      <c r="BD380" s="195"/>
      <c r="BE380" s="195"/>
      <c r="BF380" s="195"/>
      <c r="BG380" s="195"/>
      <c r="BH380" s="195"/>
      <c r="BI380" s="195"/>
      <c r="BJ380" s="195"/>
      <c r="BK380" s="195"/>
      <c r="BL380" s="195"/>
      <c r="BM380" s="195"/>
      <c r="BN380" s="195"/>
      <c r="BO380" s="195"/>
      <c r="BP380" s="195"/>
      <c r="BQ380" s="195"/>
      <c r="BR380" s="195"/>
      <c r="BS380" s="195"/>
      <c r="BT380" s="195"/>
      <c r="BU380" s="195"/>
      <c r="BV380" s="195"/>
      <c r="BW380" s="195"/>
      <c r="BX380" s="195"/>
      <c r="BY380" s="195"/>
      <c r="BZ380" s="195"/>
      <c r="CA380" s="195"/>
      <c r="CB380" s="195"/>
      <c r="CC380" s="195"/>
      <c r="CD380" s="195"/>
      <c r="CE380" s="195"/>
      <c r="CF380" s="195"/>
      <c r="CG380" s="195"/>
      <c r="CH380" s="195"/>
      <c r="CI380" s="195"/>
      <c r="CJ380" s="195"/>
      <c r="CK380" s="195"/>
      <c r="CL380" s="195"/>
      <c r="CM380" s="195"/>
      <c r="CN380" s="195"/>
      <c r="CO380" s="195"/>
      <c r="CP380" s="195"/>
      <c r="CQ380" s="195"/>
      <c r="CR380" s="195"/>
      <c r="CS380" s="195"/>
      <c r="CT380" s="195"/>
      <c r="CU380" s="195"/>
      <c r="CV380" s="195"/>
      <c r="CW380" s="195"/>
      <c r="CX380" s="195"/>
      <c r="CY380" s="195"/>
      <c r="CZ380" s="195"/>
      <c r="DA380" s="195"/>
      <c r="DB380" s="195"/>
      <c r="DC380" s="195"/>
      <c r="DD380" s="195"/>
      <c r="DE380" s="195"/>
      <c r="DF380" s="195"/>
      <c r="DG380" s="195"/>
      <c r="DH380" s="195"/>
    </row>
    <row r="381" spans="5:112" s="193" customFormat="1">
      <c r="E381" s="32"/>
      <c r="F381" s="32"/>
      <c r="G381" s="29"/>
      <c r="H381" s="25"/>
      <c r="I381" s="25"/>
      <c r="J381" s="25"/>
      <c r="K381" s="25"/>
      <c r="L381" s="29"/>
      <c r="M381" s="29"/>
      <c r="N381" s="28"/>
      <c r="O381" s="30"/>
      <c r="P381" s="30"/>
      <c r="Q381" s="30"/>
      <c r="R381" s="30"/>
      <c r="S381" s="30"/>
      <c r="T381" s="30"/>
      <c r="U381" s="30"/>
      <c r="V381" s="29"/>
      <c r="W381" s="28"/>
      <c r="X381" s="149"/>
      <c r="Y381" s="149"/>
      <c r="Z381" s="150"/>
      <c r="AA381" s="150"/>
      <c r="AB381" s="151"/>
      <c r="AC381" s="150"/>
      <c r="AD381" s="150"/>
      <c r="AE381" s="150"/>
      <c r="AF381" s="150"/>
      <c r="AG381" s="150"/>
      <c r="AH381" s="150"/>
      <c r="AI381" s="195"/>
      <c r="AJ381" s="195"/>
      <c r="AK381" s="195"/>
      <c r="AL381" s="195"/>
      <c r="AM381" s="195"/>
      <c r="AN381" s="195"/>
      <c r="AO381" s="195"/>
      <c r="AP381" s="195"/>
      <c r="AQ381" s="195"/>
      <c r="AR381" s="195"/>
      <c r="AS381" s="195"/>
      <c r="AT381" s="195"/>
      <c r="AU381" s="195"/>
      <c r="AV381" s="195"/>
      <c r="AW381" s="195"/>
      <c r="AX381" s="195"/>
      <c r="AY381" s="195"/>
      <c r="AZ381" s="195"/>
      <c r="BA381" s="195"/>
      <c r="BB381" s="195"/>
      <c r="BC381" s="195"/>
      <c r="BD381" s="195"/>
      <c r="BE381" s="195"/>
      <c r="BF381" s="195"/>
      <c r="BG381" s="195"/>
      <c r="BH381" s="195"/>
      <c r="BI381" s="195"/>
      <c r="BJ381" s="195"/>
      <c r="BK381" s="195"/>
      <c r="BL381" s="195"/>
      <c r="BM381" s="195"/>
      <c r="BN381" s="195"/>
      <c r="BO381" s="195"/>
      <c r="BP381" s="195"/>
      <c r="BQ381" s="195"/>
      <c r="BR381" s="195"/>
      <c r="BS381" s="195"/>
      <c r="BT381" s="195"/>
      <c r="BU381" s="195"/>
      <c r="BV381" s="195"/>
      <c r="BW381" s="195"/>
      <c r="BX381" s="195"/>
      <c r="BY381" s="195"/>
      <c r="BZ381" s="195"/>
      <c r="CA381" s="195"/>
      <c r="CB381" s="195"/>
      <c r="CC381" s="195"/>
      <c r="CD381" s="195"/>
      <c r="CE381" s="195"/>
      <c r="CF381" s="195"/>
      <c r="CG381" s="195"/>
      <c r="CH381" s="195"/>
      <c r="CI381" s="195"/>
      <c r="CJ381" s="195"/>
      <c r="CK381" s="195"/>
      <c r="CL381" s="195"/>
      <c r="CM381" s="195"/>
      <c r="CN381" s="195"/>
      <c r="CO381" s="195"/>
      <c r="CP381" s="195"/>
      <c r="CQ381" s="195"/>
      <c r="CR381" s="195"/>
      <c r="CS381" s="195"/>
      <c r="CT381" s="195"/>
      <c r="CU381" s="195"/>
      <c r="CV381" s="195"/>
      <c r="CW381" s="195"/>
      <c r="CX381" s="195"/>
      <c r="CY381" s="195"/>
      <c r="CZ381" s="195"/>
      <c r="DA381" s="195"/>
      <c r="DB381" s="195"/>
      <c r="DC381" s="195"/>
      <c r="DD381" s="195"/>
      <c r="DE381" s="195"/>
      <c r="DF381" s="195"/>
      <c r="DG381" s="195"/>
      <c r="DH381" s="195"/>
    </row>
    <row r="382" spans="5:112" s="193" customFormat="1">
      <c r="E382" s="32"/>
      <c r="F382" s="32"/>
      <c r="G382" s="29"/>
      <c r="H382" s="25"/>
      <c r="I382" s="25"/>
      <c r="J382" s="25"/>
      <c r="K382" s="25"/>
      <c r="L382" s="29"/>
      <c r="M382" s="29"/>
      <c r="N382" s="28"/>
      <c r="O382" s="30"/>
      <c r="P382" s="30"/>
      <c r="Q382" s="30"/>
      <c r="R382" s="30"/>
      <c r="S382" s="30"/>
      <c r="T382" s="30"/>
      <c r="U382" s="30"/>
      <c r="V382" s="29"/>
      <c r="W382" s="28"/>
      <c r="X382" s="149"/>
      <c r="Y382" s="149"/>
      <c r="Z382" s="150"/>
      <c r="AA382" s="150"/>
      <c r="AB382" s="151"/>
      <c r="AC382" s="150"/>
      <c r="AD382" s="150"/>
      <c r="AE382" s="150"/>
      <c r="AF382" s="150"/>
      <c r="AG382" s="150"/>
      <c r="AH382" s="150"/>
      <c r="AI382" s="195"/>
      <c r="AJ382" s="195"/>
      <c r="AK382" s="195"/>
      <c r="AL382" s="195"/>
      <c r="AM382" s="195"/>
      <c r="AN382" s="195"/>
      <c r="AO382" s="195"/>
      <c r="AP382" s="195"/>
      <c r="AQ382" s="195"/>
      <c r="AR382" s="195"/>
      <c r="AS382" s="195"/>
      <c r="AT382" s="195"/>
      <c r="AU382" s="195"/>
      <c r="AV382" s="195"/>
      <c r="AW382" s="195"/>
      <c r="AX382" s="195"/>
      <c r="AY382" s="195"/>
      <c r="AZ382" s="195"/>
      <c r="BA382" s="195"/>
      <c r="BB382" s="195"/>
      <c r="BC382" s="195"/>
      <c r="BD382" s="195"/>
      <c r="BE382" s="195"/>
      <c r="BF382" s="195"/>
      <c r="BG382" s="195"/>
      <c r="BH382" s="195"/>
      <c r="BI382" s="195"/>
      <c r="BJ382" s="195"/>
      <c r="BK382" s="195"/>
      <c r="BL382" s="195"/>
      <c r="BM382" s="195"/>
      <c r="BN382" s="195"/>
      <c r="BO382" s="195"/>
      <c r="BP382" s="195"/>
      <c r="BQ382" s="195"/>
      <c r="BR382" s="195"/>
      <c r="BS382" s="195"/>
      <c r="BT382" s="195"/>
      <c r="BU382" s="195"/>
      <c r="BV382" s="195"/>
      <c r="BW382" s="195"/>
      <c r="BX382" s="195"/>
      <c r="BY382" s="195"/>
      <c r="BZ382" s="195"/>
      <c r="CA382" s="195"/>
      <c r="CB382" s="195"/>
      <c r="CC382" s="195"/>
      <c r="CD382" s="195"/>
      <c r="CE382" s="195"/>
      <c r="CF382" s="195"/>
      <c r="CG382" s="195"/>
      <c r="CH382" s="195"/>
      <c r="CI382" s="195"/>
      <c r="CJ382" s="195"/>
      <c r="CK382" s="195"/>
      <c r="CL382" s="195"/>
      <c r="CM382" s="195"/>
      <c r="CN382" s="195"/>
      <c r="CO382" s="195"/>
      <c r="CP382" s="195"/>
      <c r="CQ382" s="195"/>
      <c r="CR382" s="195"/>
      <c r="CS382" s="195"/>
      <c r="CT382" s="195"/>
      <c r="CU382" s="195"/>
      <c r="CV382" s="195"/>
      <c r="CW382" s="195"/>
      <c r="CX382" s="195"/>
      <c r="CY382" s="195"/>
      <c r="CZ382" s="195"/>
      <c r="DA382" s="195"/>
      <c r="DB382" s="195"/>
      <c r="DC382" s="195"/>
      <c r="DD382" s="195"/>
      <c r="DE382" s="195"/>
      <c r="DF382" s="195"/>
      <c r="DG382" s="195"/>
      <c r="DH382" s="195"/>
    </row>
    <row r="383" spans="5:112" s="193" customFormat="1">
      <c r="E383" s="32"/>
      <c r="F383" s="32"/>
      <c r="G383" s="29"/>
      <c r="H383" s="25"/>
      <c r="I383" s="25"/>
      <c r="J383" s="25"/>
      <c r="K383" s="25"/>
      <c r="L383" s="29"/>
      <c r="M383" s="29"/>
      <c r="N383" s="28"/>
      <c r="O383" s="30"/>
      <c r="P383" s="30"/>
      <c r="Q383" s="30"/>
      <c r="R383" s="30"/>
      <c r="S383" s="30"/>
      <c r="T383" s="30"/>
      <c r="U383" s="30"/>
      <c r="V383" s="29"/>
      <c r="W383" s="28"/>
      <c r="X383" s="149"/>
      <c r="Y383" s="149"/>
      <c r="Z383" s="150"/>
      <c r="AA383" s="150"/>
      <c r="AB383" s="151"/>
      <c r="AC383" s="150"/>
      <c r="AD383" s="150"/>
      <c r="AE383" s="150"/>
      <c r="AF383" s="150"/>
      <c r="AG383" s="150"/>
      <c r="AH383" s="150"/>
      <c r="AI383" s="195"/>
      <c r="AJ383" s="195"/>
      <c r="AK383" s="195"/>
      <c r="AL383" s="195"/>
      <c r="AM383" s="195"/>
      <c r="AN383" s="195"/>
      <c r="AO383" s="195"/>
      <c r="AP383" s="195"/>
      <c r="AQ383" s="195"/>
      <c r="AR383" s="195"/>
      <c r="AS383" s="195"/>
      <c r="AT383" s="195"/>
      <c r="AU383" s="195"/>
      <c r="AV383" s="195"/>
      <c r="AW383" s="195"/>
      <c r="AX383" s="195"/>
      <c r="AY383" s="195"/>
      <c r="AZ383" s="195"/>
      <c r="BA383" s="195"/>
      <c r="BB383" s="195"/>
      <c r="BC383" s="195"/>
      <c r="BD383" s="195"/>
      <c r="BE383" s="195"/>
      <c r="BF383" s="195"/>
      <c r="BG383" s="195"/>
      <c r="BH383" s="195"/>
      <c r="BI383" s="195"/>
      <c r="BJ383" s="195"/>
      <c r="BK383" s="195"/>
      <c r="BL383" s="195"/>
      <c r="BM383" s="195"/>
      <c r="BN383" s="195"/>
      <c r="BO383" s="195"/>
      <c r="BP383" s="195"/>
      <c r="BQ383" s="195"/>
      <c r="BR383" s="195"/>
      <c r="BS383" s="195"/>
      <c r="BT383" s="195"/>
      <c r="BU383" s="195"/>
      <c r="BV383" s="195"/>
      <c r="BW383" s="195"/>
      <c r="BX383" s="195"/>
      <c r="BY383" s="195"/>
      <c r="BZ383" s="195"/>
      <c r="CA383" s="195"/>
      <c r="CB383" s="195"/>
      <c r="CC383" s="195"/>
      <c r="CD383" s="195"/>
      <c r="CE383" s="195"/>
      <c r="CF383" s="195"/>
      <c r="CG383" s="195"/>
      <c r="CH383" s="195"/>
      <c r="CI383" s="195"/>
      <c r="CJ383" s="195"/>
      <c r="CK383" s="195"/>
      <c r="CL383" s="195"/>
      <c r="CM383" s="195"/>
      <c r="CN383" s="195"/>
      <c r="CO383" s="195"/>
      <c r="CP383" s="195"/>
      <c r="CQ383" s="195"/>
      <c r="CR383" s="195"/>
      <c r="CS383" s="195"/>
      <c r="CT383" s="195"/>
      <c r="CU383" s="195"/>
      <c r="CV383" s="195"/>
      <c r="CW383" s="195"/>
      <c r="CX383" s="195"/>
      <c r="CY383" s="195"/>
      <c r="CZ383" s="195"/>
      <c r="DA383" s="195"/>
      <c r="DB383" s="195"/>
      <c r="DC383" s="195"/>
      <c r="DD383" s="195"/>
      <c r="DE383" s="195"/>
      <c r="DF383" s="195"/>
      <c r="DG383" s="195"/>
      <c r="DH383" s="195"/>
    </row>
    <row r="384" spans="5:112" s="193" customFormat="1">
      <c r="E384" s="32"/>
      <c r="F384" s="32"/>
      <c r="G384" s="29"/>
      <c r="H384" s="25"/>
      <c r="I384" s="25"/>
      <c r="J384" s="25"/>
      <c r="K384" s="25"/>
      <c r="L384" s="29"/>
      <c r="M384" s="29"/>
      <c r="N384" s="28"/>
      <c r="O384" s="30"/>
      <c r="P384" s="30"/>
      <c r="Q384" s="30"/>
      <c r="R384" s="30"/>
      <c r="S384" s="30"/>
      <c r="T384" s="30"/>
      <c r="U384" s="30"/>
      <c r="V384" s="29"/>
      <c r="W384" s="28"/>
      <c r="X384" s="149"/>
      <c r="Y384" s="149"/>
      <c r="Z384" s="150"/>
      <c r="AA384" s="150"/>
      <c r="AB384" s="151"/>
      <c r="AC384" s="150"/>
      <c r="AD384" s="150"/>
      <c r="AE384" s="150"/>
      <c r="AF384" s="150"/>
      <c r="AG384" s="150"/>
      <c r="AH384" s="150"/>
      <c r="AI384" s="195"/>
      <c r="AJ384" s="195"/>
      <c r="AK384" s="195"/>
      <c r="AL384" s="195"/>
      <c r="AM384" s="195"/>
      <c r="AN384" s="195"/>
      <c r="AO384" s="195"/>
      <c r="AP384" s="195"/>
      <c r="AQ384" s="195"/>
      <c r="AR384" s="195"/>
      <c r="AS384" s="195"/>
      <c r="AT384" s="195"/>
      <c r="AU384" s="195"/>
      <c r="AV384" s="195"/>
      <c r="AW384" s="195"/>
      <c r="AX384" s="195"/>
      <c r="AY384" s="195"/>
      <c r="AZ384" s="195"/>
      <c r="BA384" s="195"/>
      <c r="BB384" s="195"/>
      <c r="BC384" s="195"/>
      <c r="BD384" s="195"/>
      <c r="BE384" s="195"/>
      <c r="BF384" s="195"/>
      <c r="BG384" s="195"/>
      <c r="BH384" s="195"/>
      <c r="BI384" s="195"/>
      <c r="BJ384" s="195"/>
      <c r="BK384" s="195"/>
      <c r="BL384" s="195"/>
      <c r="BM384" s="195"/>
      <c r="BN384" s="195"/>
      <c r="BO384" s="195"/>
      <c r="BP384" s="195"/>
      <c r="BQ384" s="195"/>
      <c r="BR384" s="195"/>
      <c r="BS384" s="195"/>
      <c r="BT384" s="195"/>
      <c r="BU384" s="195"/>
      <c r="BV384" s="195"/>
      <c r="BW384" s="195"/>
      <c r="BX384" s="195"/>
      <c r="BY384" s="195"/>
      <c r="BZ384" s="195"/>
      <c r="CA384" s="195"/>
      <c r="CB384" s="195"/>
      <c r="CC384" s="195"/>
      <c r="CD384" s="195"/>
      <c r="CE384" s="195"/>
      <c r="CF384" s="195"/>
      <c r="CG384" s="195"/>
      <c r="CH384" s="195"/>
      <c r="CI384" s="195"/>
      <c r="CJ384" s="195"/>
      <c r="CK384" s="195"/>
      <c r="CL384" s="195"/>
      <c r="CM384" s="195"/>
      <c r="CN384" s="195"/>
      <c r="CO384" s="195"/>
      <c r="CP384" s="195"/>
      <c r="CQ384" s="195"/>
      <c r="CR384" s="195"/>
      <c r="CS384" s="195"/>
      <c r="CT384" s="195"/>
      <c r="CU384" s="195"/>
      <c r="CV384" s="195"/>
      <c r="CW384" s="195"/>
      <c r="CX384" s="195"/>
      <c r="CY384" s="195"/>
      <c r="CZ384" s="195"/>
      <c r="DA384" s="195"/>
      <c r="DB384" s="195"/>
      <c r="DC384" s="195"/>
      <c r="DD384" s="195"/>
      <c r="DE384" s="195"/>
      <c r="DF384" s="195"/>
      <c r="DG384" s="195"/>
      <c r="DH384" s="195"/>
    </row>
    <row r="385" spans="5:112" s="193" customFormat="1">
      <c r="E385" s="32"/>
      <c r="F385" s="32"/>
      <c r="G385" s="29"/>
      <c r="H385" s="25"/>
      <c r="I385" s="25"/>
      <c r="J385" s="25"/>
      <c r="K385" s="25"/>
      <c r="L385" s="29"/>
      <c r="M385" s="29"/>
      <c r="N385" s="28"/>
      <c r="O385" s="30"/>
      <c r="P385" s="30"/>
      <c r="Q385" s="30"/>
      <c r="R385" s="30"/>
      <c r="S385" s="30"/>
      <c r="T385" s="30"/>
      <c r="U385" s="30"/>
      <c r="V385" s="29"/>
      <c r="W385" s="28"/>
      <c r="X385" s="149"/>
      <c r="Y385" s="149"/>
      <c r="Z385" s="150"/>
      <c r="AA385" s="150"/>
      <c r="AB385" s="151"/>
      <c r="AC385" s="150"/>
      <c r="AD385" s="150"/>
      <c r="AE385" s="150"/>
      <c r="AF385" s="150"/>
      <c r="AG385" s="150"/>
      <c r="AH385" s="150"/>
      <c r="AI385" s="195"/>
      <c r="AJ385" s="195"/>
      <c r="AK385" s="195"/>
      <c r="AL385" s="195"/>
      <c r="AM385" s="195"/>
      <c r="AN385" s="195"/>
      <c r="AO385" s="195"/>
      <c r="AP385" s="195"/>
      <c r="AQ385" s="195"/>
      <c r="AR385" s="195"/>
      <c r="AS385" s="195"/>
      <c r="AT385" s="195"/>
      <c r="AU385" s="195"/>
      <c r="AV385" s="195"/>
      <c r="AW385" s="195"/>
      <c r="AX385" s="195"/>
      <c r="AY385" s="195"/>
      <c r="AZ385" s="195"/>
      <c r="BA385" s="195"/>
      <c r="BB385" s="195"/>
      <c r="BC385" s="195"/>
      <c r="BD385" s="195"/>
      <c r="BE385" s="195"/>
      <c r="BF385" s="195"/>
      <c r="BG385" s="195"/>
      <c r="BH385" s="195"/>
      <c r="BI385" s="195"/>
      <c r="BJ385" s="195"/>
      <c r="BK385" s="195"/>
      <c r="BL385" s="195"/>
      <c r="BM385" s="195"/>
      <c r="BN385" s="195"/>
      <c r="BO385" s="195"/>
      <c r="BP385" s="195"/>
      <c r="BQ385" s="195"/>
      <c r="BR385" s="195"/>
      <c r="BS385" s="195"/>
      <c r="BT385" s="195"/>
      <c r="BU385" s="195"/>
      <c r="BV385" s="195"/>
      <c r="BW385" s="195"/>
      <c r="BX385" s="195"/>
      <c r="BY385" s="195"/>
      <c r="BZ385" s="195"/>
      <c r="CA385" s="195"/>
      <c r="CB385" s="195"/>
      <c r="CC385" s="195"/>
      <c r="CD385" s="195"/>
      <c r="CE385" s="195"/>
      <c r="CF385" s="195"/>
      <c r="CG385" s="195"/>
      <c r="CH385" s="195"/>
      <c r="CI385" s="195"/>
      <c r="CJ385" s="195"/>
      <c r="CK385" s="195"/>
      <c r="CL385" s="195"/>
      <c r="CM385" s="195"/>
      <c r="CN385" s="195"/>
      <c r="CO385" s="195"/>
      <c r="CP385" s="195"/>
      <c r="CQ385" s="195"/>
      <c r="CR385" s="195"/>
      <c r="CS385" s="195"/>
      <c r="CT385" s="195"/>
      <c r="CU385" s="195"/>
      <c r="CV385" s="195"/>
      <c r="CW385" s="195"/>
      <c r="CX385" s="195"/>
      <c r="CY385" s="195"/>
      <c r="CZ385" s="195"/>
      <c r="DA385" s="195"/>
      <c r="DB385" s="195"/>
      <c r="DC385" s="195"/>
      <c r="DD385" s="195"/>
      <c r="DE385" s="195"/>
      <c r="DF385" s="195"/>
      <c r="DG385" s="195"/>
      <c r="DH385" s="195"/>
    </row>
    <row r="386" spans="5:112" s="193" customFormat="1">
      <c r="E386" s="32"/>
      <c r="F386" s="32"/>
      <c r="G386" s="29"/>
      <c r="H386" s="25"/>
      <c r="I386" s="25"/>
      <c r="J386" s="25"/>
      <c r="K386" s="25"/>
      <c r="L386" s="29"/>
      <c r="M386" s="29"/>
      <c r="N386" s="28"/>
      <c r="O386" s="30"/>
      <c r="P386" s="30"/>
      <c r="Q386" s="30"/>
      <c r="R386" s="30"/>
      <c r="S386" s="30"/>
      <c r="T386" s="30"/>
      <c r="U386" s="30"/>
      <c r="V386" s="29"/>
      <c r="W386" s="28"/>
      <c r="X386" s="149"/>
      <c r="Y386" s="149"/>
      <c r="Z386" s="150"/>
      <c r="AA386" s="150"/>
      <c r="AB386" s="151"/>
      <c r="AC386" s="150"/>
      <c r="AD386" s="150"/>
      <c r="AE386" s="150"/>
      <c r="AF386" s="150"/>
      <c r="AG386" s="150"/>
      <c r="AH386" s="150"/>
      <c r="AI386" s="195"/>
      <c r="AJ386" s="195"/>
      <c r="AK386" s="195"/>
      <c r="AL386" s="195"/>
      <c r="AM386" s="195"/>
      <c r="AN386" s="195"/>
      <c r="AO386" s="195"/>
      <c r="AP386" s="195"/>
      <c r="AQ386" s="195"/>
      <c r="AR386" s="195"/>
      <c r="AS386" s="195"/>
      <c r="AT386" s="195"/>
      <c r="AU386" s="195"/>
      <c r="AV386" s="195"/>
      <c r="AW386" s="195"/>
      <c r="AX386" s="195"/>
      <c r="AY386" s="195"/>
      <c r="AZ386" s="195"/>
      <c r="BA386" s="195"/>
      <c r="BB386" s="195"/>
      <c r="BC386" s="195"/>
      <c r="BD386" s="195"/>
      <c r="BE386" s="195"/>
      <c r="BF386" s="195"/>
      <c r="BG386" s="195"/>
      <c r="BH386" s="195"/>
      <c r="BI386" s="195"/>
      <c r="BJ386" s="195"/>
      <c r="BK386" s="195"/>
      <c r="BL386" s="195"/>
      <c r="BM386" s="195"/>
      <c r="BN386" s="195"/>
      <c r="BO386" s="195"/>
      <c r="BP386" s="195"/>
      <c r="BQ386" s="195"/>
      <c r="BR386" s="195"/>
      <c r="BS386" s="195"/>
      <c r="BT386" s="195"/>
      <c r="BU386" s="195"/>
      <c r="BV386" s="195"/>
      <c r="BW386" s="195"/>
      <c r="BX386" s="195"/>
      <c r="BY386" s="195"/>
      <c r="BZ386" s="195"/>
      <c r="CA386" s="195"/>
      <c r="CB386" s="195"/>
      <c r="CC386" s="195"/>
      <c r="CD386" s="195"/>
      <c r="CE386" s="195"/>
      <c r="CF386" s="195"/>
      <c r="CG386" s="195"/>
      <c r="CH386" s="195"/>
      <c r="CI386" s="195"/>
      <c r="CJ386" s="195"/>
      <c r="CK386" s="195"/>
      <c r="CL386" s="195"/>
      <c r="CM386" s="195"/>
      <c r="CN386" s="195"/>
      <c r="CO386" s="195"/>
      <c r="CP386" s="195"/>
      <c r="CQ386" s="195"/>
      <c r="CR386" s="195"/>
      <c r="CS386" s="195"/>
      <c r="CT386" s="195"/>
      <c r="CU386" s="195"/>
      <c r="CV386" s="195"/>
      <c r="CW386" s="195"/>
      <c r="CX386" s="195"/>
      <c r="CY386" s="195"/>
      <c r="CZ386" s="195"/>
      <c r="DA386" s="195"/>
      <c r="DB386" s="195"/>
      <c r="DC386" s="195"/>
      <c r="DD386" s="195"/>
      <c r="DE386" s="195"/>
      <c r="DF386" s="195"/>
      <c r="DG386" s="195"/>
      <c r="DH386" s="195"/>
    </row>
    <row r="387" spans="5:112" s="193" customFormat="1">
      <c r="E387" s="32"/>
      <c r="F387" s="32"/>
      <c r="G387" s="29"/>
      <c r="H387" s="25"/>
      <c r="I387" s="25"/>
      <c r="J387" s="25"/>
      <c r="K387" s="25"/>
      <c r="L387" s="29"/>
      <c r="M387" s="29"/>
      <c r="N387" s="28"/>
      <c r="O387" s="30"/>
      <c r="P387" s="30"/>
      <c r="Q387" s="30"/>
      <c r="R387" s="30"/>
      <c r="S387" s="30"/>
      <c r="T387" s="30"/>
      <c r="U387" s="30"/>
      <c r="V387" s="29"/>
      <c r="W387" s="28"/>
      <c r="X387" s="149"/>
      <c r="Y387" s="149"/>
      <c r="Z387" s="150"/>
      <c r="AA387" s="150"/>
      <c r="AB387" s="151"/>
      <c r="AC387" s="150"/>
      <c r="AD387" s="150"/>
      <c r="AE387" s="150"/>
      <c r="AF387" s="150"/>
      <c r="AG387" s="150"/>
      <c r="AH387" s="150"/>
      <c r="AI387" s="195"/>
      <c r="AJ387" s="195"/>
      <c r="AK387" s="195"/>
      <c r="AL387" s="195"/>
      <c r="AM387" s="195"/>
      <c r="AN387" s="195"/>
      <c r="AO387" s="195"/>
      <c r="AP387" s="195"/>
      <c r="AQ387" s="195"/>
      <c r="AR387" s="195"/>
      <c r="AS387" s="195"/>
      <c r="AT387" s="195"/>
      <c r="AU387" s="195"/>
      <c r="AV387" s="195"/>
      <c r="AW387" s="195"/>
      <c r="AX387" s="195"/>
      <c r="AY387" s="195"/>
      <c r="AZ387" s="195"/>
      <c r="BA387" s="195"/>
      <c r="BB387" s="195"/>
      <c r="BC387" s="195"/>
      <c r="BD387" s="195"/>
      <c r="BE387" s="195"/>
      <c r="BF387" s="195"/>
      <c r="BG387" s="195"/>
      <c r="BH387" s="195"/>
      <c r="BI387" s="195"/>
      <c r="BJ387" s="195"/>
      <c r="BK387" s="195"/>
      <c r="BL387" s="195"/>
      <c r="BM387" s="195"/>
      <c r="BN387" s="195"/>
      <c r="BO387" s="195"/>
      <c r="BP387" s="195"/>
      <c r="BQ387" s="195"/>
      <c r="BR387" s="195"/>
      <c r="BS387" s="195"/>
      <c r="BT387" s="195"/>
      <c r="BU387" s="195"/>
      <c r="BV387" s="195"/>
      <c r="BW387" s="195"/>
      <c r="BX387" s="195"/>
      <c r="BY387" s="195"/>
      <c r="BZ387" s="195"/>
      <c r="CA387" s="195"/>
      <c r="CB387" s="195"/>
      <c r="CC387" s="195"/>
      <c r="CD387" s="195"/>
      <c r="CE387" s="195"/>
      <c r="CF387" s="195"/>
      <c r="CG387" s="195"/>
      <c r="CH387" s="195"/>
      <c r="CI387" s="195"/>
      <c r="CJ387" s="195"/>
      <c r="CK387" s="195"/>
      <c r="CL387" s="195"/>
      <c r="CM387" s="195"/>
      <c r="CN387" s="195"/>
      <c r="CO387" s="195"/>
      <c r="CP387" s="195"/>
      <c r="CQ387" s="195"/>
      <c r="CR387" s="195"/>
      <c r="CS387" s="195"/>
      <c r="CT387" s="195"/>
      <c r="CU387" s="195"/>
      <c r="CV387" s="195"/>
      <c r="CW387" s="195"/>
      <c r="CX387" s="195"/>
      <c r="CY387" s="195"/>
      <c r="CZ387" s="195"/>
      <c r="DA387" s="195"/>
      <c r="DB387" s="195"/>
      <c r="DC387" s="195"/>
      <c r="DD387" s="195"/>
      <c r="DE387" s="195"/>
      <c r="DF387" s="195"/>
      <c r="DG387" s="195"/>
      <c r="DH387" s="195"/>
    </row>
    <row r="388" spans="5:112" s="193" customFormat="1">
      <c r="E388" s="32"/>
      <c r="F388" s="32"/>
      <c r="G388" s="29"/>
      <c r="H388" s="25"/>
      <c r="I388" s="25"/>
      <c r="J388" s="25"/>
      <c r="K388" s="25"/>
      <c r="L388" s="29"/>
      <c r="M388" s="29"/>
      <c r="N388" s="28"/>
      <c r="O388" s="30"/>
      <c r="P388" s="30"/>
      <c r="Q388" s="30"/>
      <c r="R388" s="30"/>
      <c r="S388" s="30"/>
      <c r="T388" s="30"/>
      <c r="U388" s="30"/>
      <c r="V388" s="29"/>
      <c r="W388" s="28"/>
      <c r="X388" s="149"/>
      <c r="Y388" s="149"/>
      <c r="Z388" s="150"/>
      <c r="AA388" s="150"/>
      <c r="AB388" s="151"/>
      <c r="AC388" s="150"/>
      <c r="AD388" s="150"/>
      <c r="AE388" s="150"/>
      <c r="AF388" s="150"/>
      <c r="AG388" s="150"/>
      <c r="AH388" s="150"/>
      <c r="AI388" s="195"/>
      <c r="AJ388" s="195"/>
      <c r="AK388" s="195"/>
      <c r="AL388" s="195"/>
      <c r="AM388" s="195"/>
      <c r="AN388" s="195"/>
      <c r="AO388" s="195"/>
      <c r="AP388" s="195"/>
      <c r="AQ388" s="195"/>
      <c r="AR388" s="195"/>
      <c r="AS388" s="195"/>
      <c r="AT388" s="195"/>
      <c r="AU388" s="195"/>
      <c r="AV388" s="195"/>
      <c r="AW388" s="195"/>
      <c r="AX388" s="195"/>
      <c r="AY388" s="195"/>
      <c r="AZ388" s="195"/>
      <c r="BA388" s="195"/>
      <c r="BB388" s="195"/>
      <c r="BC388" s="195"/>
      <c r="BD388" s="195"/>
      <c r="BE388" s="195"/>
      <c r="BF388" s="195"/>
      <c r="BG388" s="195"/>
      <c r="BH388" s="195"/>
      <c r="BI388" s="195"/>
      <c r="BJ388" s="195"/>
      <c r="BK388" s="195"/>
      <c r="BL388" s="195"/>
      <c r="BM388" s="195"/>
      <c r="BN388" s="195"/>
      <c r="BO388" s="195"/>
      <c r="BP388" s="195"/>
      <c r="BQ388" s="195"/>
      <c r="BR388" s="195"/>
      <c r="BS388" s="195"/>
      <c r="BT388" s="195"/>
      <c r="BU388" s="195"/>
      <c r="BV388" s="195"/>
      <c r="BW388" s="195"/>
      <c r="BX388" s="195"/>
      <c r="BY388" s="195"/>
      <c r="BZ388" s="195"/>
      <c r="CA388" s="195"/>
      <c r="CB388" s="195"/>
      <c r="CC388" s="195"/>
      <c r="CD388" s="195"/>
      <c r="CE388" s="195"/>
      <c r="CF388" s="195"/>
      <c r="CG388" s="195"/>
      <c r="CH388" s="195"/>
      <c r="CI388" s="195"/>
      <c r="CJ388" s="195"/>
      <c r="CK388" s="195"/>
      <c r="CL388" s="195"/>
      <c r="CM388" s="195"/>
      <c r="CN388" s="195"/>
      <c r="CO388" s="195"/>
      <c r="CP388" s="195"/>
      <c r="CQ388" s="195"/>
      <c r="CR388" s="195"/>
      <c r="CS388" s="195"/>
      <c r="CT388" s="195"/>
      <c r="CU388" s="195"/>
      <c r="CV388" s="195"/>
      <c r="CW388" s="195"/>
      <c r="CX388" s="195"/>
      <c r="CY388" s="195"/>
      <c r="CZ388" s="195"/>
      <c r="DA388" s="195"/>
      <c r="DB388" s="195"/>
      <c r="DC388" s="195"/>
      <c r="DD388" s="195"/>
      <c r="DE388" s="195"/>
      <c r="DF388" s="195"/>
      <c r="DG388" s="195"/>
      <c r="DH388" s="195"/>
    </row>
    <row r="389" spans="5:112" s="193" customFormat="1">
      <c r="E389" s="32"/>
      <c r="F389" s="32"/>
      <c r="G389" s="29"/>
      <c r="H389" s="25"/>
      <c r="I389" s="25"/>
      <c r="J389" s="25"/>
      <c r="K389" s="25"/>
      <c r="L389" s="29"/>
      <c r="M389" s="29"/>
      <c r="N389" s="28"/>
      <c r="O389" s="30"/>
      <c r="P389" s="30"/>
      <c r="Q389" s="30"/>
      <c r="R389" s="30"/>
      <c r="S389" s="30"/>
      <c r="T389" s="30"/>
      <c r="U389" s="30"/>
      <c r="V389" s="29"/>
      <c r="W389" s="28"/>
      <c r="X389" s="149"/>
      <c r="Y389" s="149"/>
      <c r="Z389" s="150"/>
      <c r="AA389" s="150"/>
      <c r="AB389" s="151"/>
      <c r="AC389" s="150"/>
      <c r="AD389" s="150"/>
      <c r="AE389" s="150"/>
      <c r="AF389" s="150"/>
      <c r="AG389" s="150"/>
      <c r="AH389" s="150"/>
      <c r="AI389" s="195"/>
      <c r="AJ389" s="195"/>
      <c r="AK389" s="195"/>
      <c r="AL389" s="195"/>
      <c r="AM389" s="195"/>
      <c r="AN389" s="195"/>
      <c r="AO389" s="195"/>
      <c r="AP389" s="195"/>
      <c r="AQ389" s="195"/>
      <c r="AR389" s="195"/>
      <c r="AS389" s="195"/>
      <c r="AT389" s="195"/>
      <c r="AU389" s="195"/>
      <c r="AV389" s="195"/>
      <c r="AW389" s="195"/>
      <c r="AX389" s="195"/>
      <c r="AY389" s="195"/>
      <c r="AZ389" s="195"/>
      <c r="BA389" s="195"/>
      <c r="BB389" s="195"/>
      <c r="BC389" s="195"/>
      <c r="BD389" s="195"/>
      <c r="BE389" s="195"/>
      <c r="BF389" s="195"/>
      <c r="BG389" s="195"/>
      <c r="BH389" s="195"/>
      <c r="BI389" s="195"/>
      <c r="BJ389" s="195"/>
      <c r="BK389" s="195"/>
      <c r="BL389" s="195"/>
      <c r="BM389" s="195"/>
      <c r="BN389" s="195"/>
      <c r="BO389" s="195"/>
      <c r="BP389" s="195"/>
      <c r="BQ389" s="195"/>
      <c r="BR389" s="195"/>
      <c r="BS389" s="195"/>
      <c r="BT389" s="195"/>
      <c r="BU389" s="195"/>
      <c r="BV389" s="195"/>
      <c r="BW389" s="195"/>
      <c r="BX389" s="195"/>
      <c r="BY389" s="195"/>
      <c r="BZ389" s="195"/>
      <c r="CA389" s="195"/>
      <c r="CB389" s="195"/>
      <c r="CC389" s="195"/>
      <c r="CD389" s="195"/>
      <c r="CE389" s="195"/>
      <c r="CF389" s="195"/>
      <c r="CG389" s="195"/>
      <c r="CH389" s="195"/>
      <c r="CI389" s="195"/>
      <c r="CJ389" s="195"/>
      <c r="CK389" s="195"/>
      <c r="CL389" s="195"/>
      <c r="CM389" s="195"/>
      <c r="CN389" s="195"/>
      <c r="CO389" s="195"/>
      <c r="CP389" s="195"/>
      <c r="CQ389" s="195"/>
      <c r="CR389" s="195"/>
      <c r="CS389" s="195"/>
      <c r="CT389" s="195"/>
      <c r="CU389" s="195"/>
      <c r="CV389" s="195"/>
      <c r="CW389" s="195"/>
      <c r="CX389" s="195"/>
      <c r="CY389" s="195"/>
      <c r="CZ389" s="195"/>
      <c r="DA389" s="195"/>
      <c r="DB389" s="195"/>
      <c r="DC389" s="195"/>
      <c r="DD389" s="195"/>
      <c r="DE389" s="195"/>
      <c r="DF389" s="195"/>
      <c r="DG389" s="195"/>
      <c r="DH389" s="195"/>
    </row>
    <row r="390" spans="5:112" s="193" customFormat="1">
      <c r="E390" s="32"/>
      <c r="F390" s="32"/>
      <c r="G390" s="29"/>
      <c r="H390" s="25"/>
      <c r="I390" s="25"/>
      <c r="J390" s="25"/>
      <c r="K390" s="25"/>
      <c r="L390" s="29"/>
      <c r="M390" s="29"/>
      <c r="N390" s="28"/>
      <c r="O390" s="30"/>
      <c r="P390" s="30"/>
      <c r="Q390" s="30"/>
      <c r="R390" s="30"/>
      <c r="S390" s="30"/>
      <c r="T390" s="30"/>
      <c r="U390" s="30"/>
      <c r="V390" s="29"/>
      <c r="W390" s="28"/>
      <c r="X390" s="149"/>
      <c r="Y390" s="149"/>
      <c r="Z390" s="150"/>
      <c r="AA390" s="150"/>
      <c r="AB390" s="151"/>
      <c r="AC390" s="150"/>
      <c r="AD390" s="150"/>
      <c r="AE390" s="150"/>
      <c r="AF390" s="150"/>
      <c r="AG390" s="150"/>
      <c r="AH390" s="150"/>
      <c r="AI390" s="195"/>
      <c r="AJ390" s="195"/>
      <c r="AK390" s="195"/>
      <c r="AL390" s="195"/>
      <c r="AM390" s="195"/>
      <c r="AN390" s="195"/>
      <c r="AO390" s="195"/>
      <c r="AP390" s="195"/>
      <c r="AQ390" s="195"/>
      <c r="AR390" s="195"/>
      <c r="AS390" s="195"/>
      <c r="AT390" s="195"/>
      <c r="AU390" s="195"/>
      <c r="AV390" s="195"/>
      <c r="AW390" s="195"/>
      <c r="AX390" s="195"/>
      <c r="AY390" s="195"/>
      <c r="AZ390" s="195"/>
      <c r="BA390" s="195"/>
      <c r="BB390" s="195"/>
      <c r="BC390" s="195"/>
      <c r="BD390" s="195"/>
      <c r="BE390" s="195"/>
      <c r="BF390" s="195"/>
      <c r="BG390" s="195"/>
      <c r="BH390" s="195"/>
      <c r="BI390" s="195"/>
      <c r="BJ390" s="195"/>
      <c r="BK390" s="195"/>
      <c r="BL390" s="195"/>
      <c r="BM390" s="195"/>
      <c r="BN390" s="195"/>
      <c r="BO390" s="195"/>
      <c r="BP390" s="195"/>
      <c r="BQ390" s="195"/>
      <c r="BR390" s="195"/>
      <c r="BS390" s="195"/>
      <c r="BT390" s="195"/>
      <c r="BU390" s="195"/>
      <c r="BV390" s="195"/>
      <c r="BW390" s="195"/>
      <c r="BX390" s="195"/>
      <c r="BY390" s="195"/>
      <c r="BZ390" s="195"/>
      <c r="CA390" s="195"/>
      <c r="CB390" s="195"/>
      <c r="CC390" s="195"/>
      <c r="CD390" s="195"/>
      <c r="CE390" s="195"/>
      <c r="CF390" s="195"/>
      <c r="CG390" s="195"/>
      <c r="CH390" s="195"/>
      <c r="CI390" s="195"/>
      <c r="CJ390" s="195"/>
      <c r="CK390" s="195"/>
      <c r="CL390" s="195"/>
      <c r="CM390" s="195"/>
      <c r="CN390" s="195"/>
      <c r="CO390" s="195"/>
      <c r="CP390" s="195"/>
      <c r="CQ390" s="195"/>
      <c r="CR390" s="195"/>
      <c r="CS390" s="195"/>
      <c r="CT390" s="195"/>
      <c r="CU390" s="195"/>
      <c r="CV390" s="195"/>
      <c r="CW390" s="195"/>
      <c r="CX390" s="195"/>
      <c r="CY390" s="195"/>
      <c r="CZ390" s="195"/>
      <c r="DA390" s="195"/>
      <c r="DB390" s="195"/>
      <c r="DC390" s="195"/>
      <c r="DD390" s="195"/>
      <c r="DE390" s="195"/>
      <c r="DF390" s="195"/>
      <c r="DG390" s="195"/>
      <c r="DH390" s="195"/>
    </row>
    <row r="391" spans="5:112" s="193" customFormat="1">
      <c r="E391" s="32"/>
      <c r="F391" s="32"/>
      <c r="G391" s="29"/>
      <c r="H391" s="25"/>
      <c r="I391" s="25"/>
      <c r="J391" s="25"/>
      <c r="K391" s="25"/>
      <c r="L391" s="29"/>
      <c r="M391" s="29"/>
      <c r="N391" s="28"/>
      <c r="O391" s="30"/>
      <c r="P391" s="30"/>
      <c r="Q391" s="30"/>
      <c r="R391" s="30"/>
      <c r="S391" s="30"/>
      <c r="T391" s="30"/>
      <c r="U391" s="30"/>
      <c r="V391" s="29"/>
      <c r="W391" s="28"/>
      <c r="X391" s="149"/>
      <c r="Y391" s="149"/>
      <c r="Z391" s="150"/>
      <c r="AA391" s="150"/>
      <c r="AB391" s="151"/>
      <c r="AC391" s="150"/>
      <c r="AD391" s="150"/>
      <c r="AE391" s="150"/>
      <c r="AF391" s="150"/>
      <c r="AG391" s="150"/>
      <c r="AH391" s="150"/>
      <c r="AI391" s="195"/>
      <c r="AJ391" s="195"/>
      <c r="AK391" s="195"/>
      <c r="AL391" s="195"/>
      <c r="AM391" s="195"/>
      <c r="AN391" s="195"/>
      <c r="AO391" s="195"/>
      <c r="AP391" s="195"/>
      <c r="AQ391" s="195"/>
      <c r="AR391" s="195"/>
      <c r="AS391" s="195"/>
      <c r="AT391" s="195"/>
      <c r="AU391" s="195"/>
      <c r="AV391" s="195"/>
      <c r="AW391" s="195"/>
      <c r="AX391" s="195"/>
      <c r="AY391" s="195"/>
      <c r="AZ391" s="195"/>
      <c r="BA391" s="195"/>
      <c r="BB391" s="195"/>
      <c r="BC391" s="195"/>
      <c r="BD391" s="195"/>
      <c r="BE391" s="195"/>
      <c r="BF391" s="195"/>
      <c r="BG391" s="195"/>
      <c r="BH391" s="195"/>
      <c r="BI391" s="195"/>
      <c r="BJ391" s="195"/>
      <c r="BK391" s="195"/>
      <c r="BL391" s="195"/>
      <c r="BM391" s="195"/>
      <c r="BN391" s="195"/>
      <c r="BO391" s="195"/>
      <c r="BP391" s="195"/>
      <c r="BQ391" s="195"/>
      <c r="BR391" s="195"/>
      <c r="BS391" s="195"/>
      <c r="BT391" s="195"/>
      <c r="BU391" s="195"/>
      <c r="BV391" s="195"/>
      <c r="BW391" s="195"/>
      <c r="BX391" s="195"/>
      <c r="BY391" s="195"/>
      <c r="BZ391" s="195"/>
      <c r="CA391" s="195"/>
      <c r="CB391" s="195"/>
      <c r="CC391" s="195"/>
      <c r="CD391" s="195"/>
      <c r="CE391" s="195"/>
      <c r="CF391" s="195"/>
      <c r="CG391" s="195"/>
      <c r="CH391" s="195"/>
      <c r="CI391" s="195"/>
      <c r="CJ391" s="195"/>
      <c r="CK391" s="195"/>
      <c r="CL391" s="195"/>
      <c r="CM391" s="195"/>
      <c r="CN391" s="195"/>
      <c r="CO391" s="195"/>
      <c r="CP391" s="195"/>
      <c r="CQ391" s="195"/>
      <c r="CR391" s="195"/>
      <c r="CS391" s="195"/>
      <c r="CT391" s="195"/>
      <c r="CU391" s="195"/>
      <c r="CV391" s="195"/>
      <c r="CW391" s="195"/>
      <c r="CX391" s="195"/>
      <c r="CY391" s="195"/>
      <c r="CZ391" s="195"/>
      <c r="DA391" s="195"/>
      <c r="DB391" s="195"/>
      <c r="DC391" s="195"/>
      <c r="DD391" s="195"/>
      <c r="DE391" s="195"/>
      <c r="DF391" s="195"/>
      <c r="DG391" s="195"/>
      <c r="DH391" s="195"/>
    </row>
    <row r="392" spans="5:112" s="193" customFormat="1">
      <c r="E392" s="32"/>
      <c r="F392" s="32"/>
      <c r="G392" s="29"/>
      <c r="H392" s="25"/>
      <c r="I392" s="25"/>
      <c r="J392" s="25"/>
      <c r="K392" s="25"/>
      <c r="L392" s="29"/>
      <c r="M392" s="29"/>
      <c r="N392" s="28"/>
      <c r="O392" s="30"/>
      <c r="P392" s="30"/>
      <c r="Q392" s="30"/>
      <c r="R392" s="30"/>
      <c r="S392" s="30"/>
      <c r="T392" s="30"/>
      <c r="U392" s="30"/>
      <c r="V392" s="29"/>
      <c r="W392" s="28"/>
      <c r="X392" s="149"/>
      <c r="Y392" s="149"/>
      <c r="Z392" s="150"/>
      <c r="AA392" s="150"/>
      <c r="AB392" s="151"/>
      <c r="AC392" s="150"/>
      <c r="AD392" s="150"/>
      <c r="AE392" s="150"/>
      <c r="AF392" s="150"/>
      <c r="AG392" s="150"/>
      <c r="AH392" s="150"/>
      <c r="AI392" s="195"/>
      <c r="AJ392" s="195"/>
      <c r="AK392" s="195"/>
      <c r="AL392" s="195"/>
      <c r="AM392" s="195"/>
      <c r="AN392" s="195"/>
      <c r="AO392" s="195"/>
      <c r="AP392" s="195"/>
      <c r="AQ392" s="195"/>
      <c r="AR392" s="195"/>
      <c r="AS392" s="195"/>
      <c r="AT392" s="195"/>
      <c r="AU392" s="195"/>
      <c r="AV392" s="195"/>
      <c r="AW392" s="195"/>
      <c r="AX392" s="195"/>
      <c r="AY392" s="195"/>
      <c r="AZ392" s="195"/>
      <c r="BA392" s="195"/>
      <c r="BB392" s="195"/>
      <c r="BC392" s="195"/>
      <c r="BD392" s="195"/>
      <c r="BE392" s="195"/>
      <c r="BF392" s="195"/>
      <c r="BG392" s="195"/>
      <c r="BH392" s="195"/>
      <c r="BI392" s="195"/>
      <c r="BJ392" s="195"/>
      <c r="BK392" s="195"/>
      <c r="BL392" s="195"/>
      <c r="BM392" s="195"/>
      <c r="BN392" s="195"/>
      <c r="BO392" s="195"/>
      <c r="BP392" s="195"/>
      <c r="BQ392" s="195"/>
      <c r="BR392" s="195"/>
      <c r="BS392" s="195"/>
      <c r="BT392" s="195"/>
      <c r="BU392" s="195"/>
      <c r="BV392" s="195"/>
      <c r="BW392" s="195"/>
      <c r="BX392" s="195"/>
      <c r="BY392" s="195"/>
      <c r="BZ392" s="195"/>
      <c r="CA392" s="195"/>
      <c r="CB392" s="195"/>
      <c r="CC392" s="195"/>
      <c r="CD392" s="195"/>
      <c r="CE392" s="195"/>
      <c r="CF392" s="195"/>
      <c r="CG392" s="195"/>
      <c r="CH392" s="195"/>
      <c r="CI392" s="195"/>
      <c r="CJ392" s="195"/>
      <c r="CK392" s="195"/>
      <c r="CL392" s="195"/>
      <c r="CM392" s="195"/>
      <c r="CN392" s="195"/>
      <c r="CO392" s="195"/>
      <c r="CP392" s="195"/>
      <c r="CQ392" s="195"/>
      <c r="CR392" s="195"/>
      <c r="CS392" s="195"/>
      <c r="CT392" s="195"/>
      <c r="CU392" s="195"/>
      <c r="CV392" s="195"/>
      <c r="CW392" s="195"/>
      <c r="CX392" s="195"/>
      <c r="CY392" s="195"/>
      <c r="CZ392" s="195"/>
      <c r="DA392" s="195"/>
      <c r="DB392" s="195"/>
      <c r="DC392" s="195"/>
      <c r="DD392" s="195"/>
      <c r="DE392" s="195"/>
      <c r="DF392" s="195"/>
      <c r="DG392" s="195"/>
      <c r="DH392" s="195"/>
    </row>
    <row r="393" spans="5:112" s="193" customFormat="1">
      <c r="E393" s="32"/>
      <c r="F393" s="32"/>
      <c r="G393" s="29"/>
      <c r="H393" s="25"/>
      <c r="I393" s="25"/>
      <c r="J393" s="25"/>
      <c r="K393" s="25"/>
      <c r="L393" s="29"/>
      <c r="M393" s="29"/>
      <c r="N393" s="28"/>
      <c r="O393" s="30"/>
      <c r="P393" s="30"/>
      <c r="Q393" s="30"/>
      <c r="R393" s="30"/>
      <c r="S393" s="30"/>
      <c r="T393" s="30"/>
      <c r="U393" s="30"/>
      <c r="V393" s="29"/>
      <c r="W393" s="28"/>
      <c r="X393" s="149"/>
      <c r="Y393" s="149"/>
      <c r="Z393" s="150"/>
      <c r="AA393" s="150"/>
      <c r="AB393" s="151"/>
      <c r="AC393" s="150"/>
      <c r="AD393" s="150"/>
      <c r="AE393" s="150"/>
      <c r="AF393" s="150"/>
      <c r="AG393" s="150"/>
      <c r="AH393" s="150"/>
      <c r="AI393" s="195"/>
      <c r="AJ393" s="195"/>
      <c r="AK393" s="195"/>
      <c r="AL393" s="195"/>
      <c r="AM393" s="195"/>
      <c r="AN393" s="195"/>
      <c r="AO393" s="195"/>
      <c r="AP393" s="195"/>
      <c r="AQ393" s="195"/>
      <c r="AR393" s="195"/>
      <c r="AS393" s="195"/>
      <c r="AT393" s="195"/>
      <c r="AU393" s="195"/>
      <c r="AV393" s="195"/>
      <c r="AW393" s="195"/>
      <c r="AX393" s="195"/>
      <c r="AY393" s="195"/>
      <c r="AZ393" s="195"/>
      <c r="BA393" s="195"/>
      <c r="BB393" s="195"/>
      <c r="BC393" s="195"/>
      <c r="BD393" s="195"/>
      <c r="BE393" s="195"/>
      <c r="BF393" s="195"/>
      <c r="BG393" s="195"/>
      <c r="BH393" s="195"/>
      <c r="BI393" s="195"/>
      <c r="BJ393" s="195"/>
      <c r="BK393" s="195"/>
      <c r="BL393" s="195"/>
      <c r="BM393" s="195"/>
      <c r="BN393" s="195"/>
      <c r="BO393" s="195"/>
      <c r="BP393" s="195"/>
      <c r="BQ393" s="195"/>
      <c r="BR393" s="195"/>
      <c r="BS393" s="195"/>
      <c r="BT393" s="195"/>
      <c r="BU393" s="195"/>
      <c r="BV393" s="195"/>
      <c r="BW393" s="195"/>
      <c r="BX393" s="195"/>
      <c r="BY393" s="195"/>
      <c r="BZ393" s="195"/>
      <c r="CA393" s="195"/>
      <c r="CB393" s="195"/>
      <c r="CC393" s="195"/>
      <c r="CD393" s="195"/>
      <c r="CE393" s="195"/>
      <c r="CF393" s="195"/>
      <c r="CG393" s="195"/>
      <c r="CH393" s="195"/>
      <c r="CI393" s="195"/>
      <c r="CJ393" s="195"/>
      <c r="CK393" s="195"/>
      <c r="CL393" s="195"/>
      <c r="CM393" s="195"/>
      <c r="CN393" s="195"/>
      <c r="CO393" s="195"/>
      <c r="CP393" s="195"/>
      <c r="CQ393" s="195"/>
      <c r="CR393" s="195"/>
      <c r="CS393" s="195"/>
      <c r="CT393" s="195"/>
      <c r="CU393" s="195"/>
      <c r="CV393" s="195"/>
      <c r="CW393" s="195"/>
      <c r="CX393" s="195"/>
      <c r="CY393" s="195"/>
      <c r="CZ393" s="195"/>
      <c r="DA393" s="195"/>
      <c r="DB393" s="195"/>
      <c r="DC393" s="195"/>
      <c r="DD393" s="195"/>
      <c r="DE393" s="195"/>
      <c r="DF393" s="195"/>
      <c r="DG393" s="195"/>
      <c r="DH393" s="195"/>
    </row>
    <row r="394" spans="5:112" s="193" customFormat="1">
      <c r="E394" s="32"/>
      <c r="F394" s="32"/>
      <c r="G394" s="29"/>
      <c r="H394" s="25"/>
      <c r="I394" s="25"/>
      <c r="J394" s="25"/>
      <c r="K394" s="25"/>
      <c r="L394" s="29"/>
      <c r="M394" s="29"/>
      <c r="N394" s="28"/>
      <c r="O394" s="30"/>
      <c r="P394" s="30"/>
      <c r="Q394" s="30"/>
      <c r="R394" s="30"/>
      <c r="S394" s="30"/>
      <c r="T394" s="30"/>
      <c r="U394" s="30"/>
      <c r="V394" s="29"/>
      <c r="W394" s="28"/>
      <c r="X394" s="149"/>
      <c r="Y394" s="149"/>
      <c r="Z394" s="150"/>
      <c r="AA394" s="150"/>
      <c r="AB394" s="151"/>
      <c r="AC394" s="150"/>
      <c r="AD394" s="150"/>
      <c r="AE394" s="150"/>
      <c r="AF394" s="150"/>
      <c r="AG394" s="150"/>
      <c r="AH394" s="150"/>
      <c r="AI394" s="195"/>
      <c r="AJ394" s="195"/>
      <c r="AK394" s="195"/>
      <c r="AL394" s="195"/>
      <c r="AM394" s="195"/>
      <c r="AN394" s="195"/>
      <c r="AO394" s="195"/>
      <c r="AP394" s="195"/>
      <c r="AQ394" s="195"/>
      <c r="AR394" s="195"/>
      <c r="AS394" s="195"/>
      <c r="AT394" s="195"/>
      <c r="AU394" s="195"/>
      <c r="AV394" s="195"/>
      <c r="AW394" s="195"/>
      <c r="AX394" s="195"/>
      <c r="AY394" s="195"/>
      <c r="AZ394" s="195"/>
      <c r="BA394" s="195"/>
      <c r="BB394" s="195"/>
      <c r="BC394" s="195"/>
      <c r="BD394" s="195"/>
      <c r="BE394" s="195"/>
      <c r="BF394" s="195"/>
      <c r="BG394" s="195"/>
      <c r="BH394" s="195"/>
      <c r="BI394" s="195"/>
      <c r="BJ394" s="195"/>
      <c r="BK394" s="195"/>
      <c r="BL394" s="195"/>
      <c r="BM394" s="195"/>
      <c r="BN394" s="195"/>
      <c r="BO394" s="195"/>
      <c r="BP394" s="195"/>
      <c r="BQ394" s="195"/>
      <c r="BR394" s="195"/>
      <c r="BS394" s="195"/>
      <c r="BT394" s="195"/>
      <c r="BU394" s="195"/>
      <c r="BV394" s="195"/>
      <c r="BW394" s="195"/>
      <c r="BX394" s="195"/>
      <c r="BY394" s="195"/>
      <c r="BZ394" s="195"/>
      <c r="CA394" s="195"/>
      <c r="CB394" s="195"/>
      <c r="CC394" s="195"/>
      <c r="CD394" s="195"/>
      <c r="CE394" s="195"/>
      <c r="CF394" s="195"/>
      <c r="CG394" s="195"/>
      <c r="CH394" s="195"/>
      <c r="CI394" s="195"/>
      <c r="CJ394" s="195"/>
      <c r="CK394" s="195"/>
      <c r="CL394" s="195"/>
      <c r="CM394" s="195"/>
      <c r="CN394" s="195"/>
      <c r="CO394" s="195"/>
      <c r="CP394" s="195"/>
      <c r="CQ394" s="195"/>
      <c r="CR394" s="195"/>
      <c r="CS394" s="195"/>
      <c r="CT394" s="195"/>
      <c r="CU394" s="195"/>
      <c r="CV394" s="195"/>
      <c r="CW394" s="195"/>
      <c r="CX394" s="195"/>
      <c r="CY394" s="195"/>
      <c r="CZ394" s="195"/>
      <c r="DA394" s="195"/>
      <c r="DB394" s="195"/>
      <c r="DC394" s="195"/>
      <c r="DD394" s="195"/>
      <c r="DE394" s="195"/>
      <c r="DF394" s="195"/>
      <c r="DG394" s="195"/>
      <c r="DH394" s="195"/>
    </row>
    <row r="395" spans="5:112" s="193" customFormat="1">
      <c r="E395" s="32"/>
      <c r="F395" s="32"/>
      <c r="G395" s="29"/>
      <c r="H395" s="25"/>
      <c r="I395" s="25"/>
      <c r="J395" s="25"/>
      <c r="K395" s="25"/>
      <c r="L395" s="29"/>
      <c r="M395" s="29"/>
      <c r="N395" s="28"/>
      <c r="O395" s="30"/>
      <c r="P395" s="30"/>
      <c r="Q395" s="30"/>
      <c r="R395" s="30"/>
      <c r="S395" s="30"/>
      <c r="T395" s="30"/>
      <c r="U395" s="30"/>
      <c r="V395" s="29"/>
      <c r="W395" s="28"/>
      <c r="X395" s="149"/>
      <c r="Y395" s="149"/>
      <c r="Z395" s="150"/>
      <c r="AA395" s="150"/>
      <c r="AB395" s="151"/>
      <c r="AC395" s="150"/>
      <c r="AD395" s="150"/>
      <c r="AE395" s="150"/>
      <c r="AF395" s="150"/>
      <c r="AG395" s="150"/>
      <c r="AH395" s="150"/>
      <c r="AI395" s="195"/>
      <c r="AJ395" s="195"/>
      <c r="AK395" s="195"/>
      <c r="AL395" s="195"/>
      <c r="AM395" s="195"/>
      <c r="AN395" s="195"/>
      <c r="AO395" s="195"/>
      <c r="AP395" s="195"/>
      <c r="AQ395" s="195"/>
      <c r="AR395" s="195"/>
      <c r="AS395" s="195"/>
      <c r="AT395" s="195"/>
      <c r="AU395" s="195"/>
      <c r="AV395" s="195"/>
      <c r="AW395" s="195"/>
      <c r="AX395" s="195"/>
      <c r="AY395" s="195"/>
      <c r="AZ395" s="195"/>
      <c r="BA395" s="195"/>
      <c r="BB395" s="195"/>
      <c r="BC395" s="195"/>
      <c r="BD395" s="195"/>
      <c r="BE395" s="195"/>
      <c r="BF395" s="195"/>
      <c r="BG395" s="195"/>
      <c r="BH395" s="195"/>
      <c r="BI395" s="195"/>
      <c r="BJ395" s="195"/>
      <c r="BK395" s="195"/>
      <c r="BL395" s="195"/>
      <c r="BM395" s="195"/>
      <c r="BN395" s="195"/>
      <c r="BO395" s="195"/>
      <c r="BP395" s="195"/>
      <c r="BQ395" s="195"/>
      <c r="BR395" s="195"/>
      <c r="BS395" s="195"/>
      <c r="BT395" s="195"/>
      <c r="BU395" s="195"/>
      <c r="BV395" s="195"/>
      <c r="BW395" s="195"/>
      <c r="BX395" s="195"/>
      <c r="BY395" s="195"/>
      <c r="BZ395" s="195"/>
      <c r="CA395" s="195"/>
      <c r="CB395" s="195"/>
      <c r="CC395" s="195"/>
      <c r="CD395" s="195"/>
      <c r="CE395" s="195"/>
      <c r="CF395" s="195"/>
      <c r="CG395" s="195"/>
      <c r="CH395" s="195"/>
      <c r="CI395" s="195"/>
      <c r="CJ395" s="195"/>
      <c r="CK395" s="195"/>
      <c r="CL395" s="195"/>
      <c r="CM395" s="195"/>
      <c r="CN395" s="195"/>
      <c r="CO395" s="195"/>
      <c r="CP395" s="195"/>
      <c r="CQ395" s="195"/>
      <c r="CR395" s="195"/>
      <c r="CS395" s="195"/>
      <c r="CT395" s="195"/>
      <c r="CU395" s="195"/>
      <c r="CV395" s="195"/>
      <c r="CW395" s="195"/>
      <c r="CX395" s="195"/>
      <c r="CY395" s="195"/>
      <c r="CZ395" s="195"/>
      <c r="DA395" s="195"/>
      <c r="DB395" s="195"/>
      <c r="DC395" s="195"/>
      <c r="DD395" s="195"/>
      <c r="DE395" s="195"/>
      <c r="DF395" s="195"/>
      <c r="DG395" s="195"/>
      <c r="DH395" s="195"/>
    </row>
    <row r="396" spans="5:112" s="193" customFormat="1">
      <c r="E396" s="32"/>
      <c r="F396" s="32"/>
      <c r="G396" s="29"/>
      <c r="H396" s="25"/>
      <c r="I396" s="25"/>
      <c r="J396" s="25"/>
      <c r="K396" s="25"/>
      <c r="L396" s="29"/>
      <c r="M396" s="29"/>
      <c r="N396" s="28"/>
      <c r="O396" s="30"/>
      <c r="P396" s="30"/>
      <c r="Q396" s="30"/>
      <c r="R396" s="30"/>
      <c r="S396" s="30"/>
      <c r="T396" s="30"/>
      <c r="U396" s="30"/>
      <c r="V396" s="29"/>
      <c r="W396" s="28"/>
      <c r="X396" s="149"/>
      <c r="Y396" s="149"/>
      <c r="Z396" s="150"/>
      <c r="AA396" s="150"/>
      <c r="AB396" s="151"/>
      <c r="AC396" s="150"/>
      <c r="AD396" s="150"/>
      <c r="AE396" s="150"/>
      <c r="AF396" s="150"/>
      <c r="AG396" s="150"/>
      <c r="AH396" s="150"/>
      <c r="AI396" s="195"/>
      <c r="AJ396" s="195"/>
      <c r="AK396" s="195"/>
      <c r="AL396" s="195"/>
      <c r="AM396" s="195"/>
      <c r="AN396" s="195"/>
      <c r="AO396" s="195"/>
      <c r="AP396" s="195"/>
      <c r="AQ396" s="195"/>
      <c r="AR396" s="195"/>
      <c r="AS396" s="195"/>
      <c r="AT396" s="195"/>
      <c r="AU396" s="195"/>
      <c r="AV396" s="195"/>
      <c r="AW396" s="195"/>
      <c r="AX396" s="195"/>
      <c r="AY396" s="195"/>
      <c r="AZ396" s="195"/>
      <c r="BA396" s="195"/>
      <c r="BB396" s="195"/>
      <c r="BC396" s="195"/>
      <c r="BD396" s="195"/>
      <c r="BE396" s="195"/>
      <c r="BF396" s="195"/>
      <c r="BG396" s="195"/>
      <c r="BH396" s="195"/>
      <c r="BI396" s="195"/>
      <c r="BJ396" s="195"/>
      <c r="BK396" s="195"/>
      <c r="BL396" s="195"/>
      <c r="BM396" s="195"/>
      <c r="BN396" s="195"/>
      <c r="BO396" s="195"/>
      <c r="BP396" s="195"/>
      <c r="BQ396" s="195"/>
      <c r="BR396" s="195"/>
      <c r="BS396" s="195"/>
      <c r="BT396" s="195"/>
      <c r="BU396" s="195"/>
      <c r="BV396" s="195"/>
      <c r="BW396" s="195"/>
      <c r="BX396" s="195"/>
      <c r="BY396" s="195"/>
      <c r="BZ396" s="195"/>
      <c r="CA396" s="195"/>
      <c r="CB396" s="195"/>
      <c r="CC396" s="195"/>
      <c r="CD396" s="195"/>
      <c r="CE396" s="195"/>
      <c r="CF396" s="195"/>
      <c r="CG396" s="195"/>
      <c r="CH396" s="195"/>
      <c r="CI396" s="195"/>
      <c r="CJ396" s="195"/>
      <c r="CK396" s="195"/>
      <c r="CL396" s="195"/>
      <c r="CM396" s="195"/>
      <c r="CN396" s="195"/>
      <c r="CO396" s="195"/>
      <c r="CP396" s="195"/>
      <c r="CQ396" s="195"/>
      <c r="CR396" s="195"/>
      <c r="CS396" s="195"/>
      <c r="CT396" s="195"/>
      <c r="CU396" s="195"/>
      <c r="CV396" s="195"/>
      <c r="CW396" s="195"/>
      <c r="CX396" s="195"/>
      <c r="CY396" s="195"/>
      <c r="CZ396" s="195"/>
      <c r="DA396" s="195"/>
      <c r="DB396" s="195"/>
      <c r="DC396" s="195"/>
      <c r="DD396" s="195"/>
      <c r="DE396" s="195"/>
      <c r="DF396" s="195"/>
      <c r="DG396" s="195"/>
      <c r="DH396" s="195"/>
    </row>
    <row r="397" spans="5:112" s="193" customFormat="1">
      <c r="E397" s="32"/>
      <c r="F397" s="32"/>
      <c r="G397" s="29"/>
      <c r="H397" s="25"/>
      <c r="I397" s="25"/>
      <c r="J397" s="25"/>
      <c r="K397" s="25"/>
      <c r="L397" s="29"/>
      <c r="M397" s="29"/>
      <c r="N397" s="28"/>
      <c r="O397" s="30"/>
      <c r="P397" s="30"/>
      <c r="Q397" s="30"/>
      <c r="R397" s="30"/>
      <c r="S397" s="30"/>
      <c r="T397" s="30"/>
      <c r="U397" s="30"/>
      <c r="V397" s="29"/>
      <c r="W397" s="28"/>
      <c r="X397" s="149"/>
      <c r="Y397" s="149"/>
      <c r="Z397" s="150"/>
      <c r="AA397" s="150"/>
      <c r="AB397" s="151"/>
      <c r="AC397" s="150"/>
      <c r="AD397" s="150"/>
      <c r="AE397" s="150"/>
      <c r="AF397" s="150"/>
      <c r="AG397" s="150"/>
      <c r="AH397" s="150"/>
      <c r="AI397" s="195"/>
      <c r="AJ397" s="195"/>
      <c r="AK397" s="195"/>
      <c r="AL397" s="195"/>
      <c r="AM397" s="195"/>
      <c r="AN397" s="195"/>
      <c r="AO397" s="195"/>
      <c r="AP397" s="195"/>
      <c r="AQ397" s="195"/>
      <c r="AR397" s="195"/>
      <c r="AS397" s="195"/>
      <c r="AT397" s="195"/>
      <c r="AU397" s="195"/>
      <c r="AV397" s="195"/>
      <c r="AW397" s="195"/>
      <c r="AX397" s="195"/>
      <c r="AY397" s="195"/>
      <c r="AZ397" s="195"/>
      <c r="BA397" s="195"/>
      <c r="BB397" s="195"/>
      <c r="BC397" s="195"/>
      <c r="BD397" s="195"/>
      <c r="BE397" s="195"/>
      <c r="BF397" s="195"/>
      <c r="BG397" s="195"/>
      <c r="BH397" s="195"/>
      <c r="BI397" s="195"/>
      <c r="BJ397" s="195"/>
      <c r="BK397" s="195"/>
      <c r="BL397" s="195"/>
      <c r="BM397" s="195"/>
      <c r="BN397" s="195"/>
      <c r="BO397" s="195"/>
      <c r="BP397" s="195"/>
      <c r="BQ397" s="195"/>
      <c r="BR397" s="195"/>
      <c r="BS397" s="195"/>
      <c r="BT397" s="195"/>
      <c r="BU397" s="195"/>
      <c r="BV397" s="195"/>
      <c r="BW397" s="195"/>
      <c r="BX397" s="195"/>
      <c r="BY397" s="195"/>
      <c r="BZ397" s="195"/>
      <c r="CA397" s="195"/>
      <c r="CB397" s="195"/>
      <c r="CC397" s="195"/>
      <c r="CD397" s="195"/>
      <c r="CE397" s="195"/>
      <c r="CF397" s="195"/>
      <c r="CG397" s="195"/>
      <c r="CH397" s="195"/>
      <c r="CI397" s="195"/>
      <c r="CJ397" s="195"/>
      <c r="CK397" s="195"/>
      <c r="CL397" s="195"/>
      <c r="CM397" s="195"/>
      <c r="CN397" s="195"/>
      <c r="CO397" s="195"/>
      <c r="CP397" s="195"/>
      <c r="CQ397" s="195"/>
      <c r="CR397" s="195"/>
      <c r="CS397" s="195"/>
      <c r="CT397" s="195"/>
      <c r="CU397" s="195"/>
      <c r="CV397" s="195"/>
      <c r="CW397" s="195"/>
      <c r="CX397" s="195"/>
      <c r="CY397" s="195"/>
      <c r="CZ397" s="195"/>
      <c r="DA397" s="195"/>
      <c r="DB397" s="195"/>
      <c r="DC397" s="195"/>
      <c r="DD397" s="195"/>
      <c r="DE397" s="195"/>
      <c r="DF397" s="195"/>
      <c r="DG397" s="195"/>
      <c r="DH397" s="195"/>
    </row>
    <row r="398" spans="5:112" s="193" customFormat="1">
      <c r="E398" s="32"/>
      <c r="F398" s="32"/>
      <c r="G398" s="29"/>
      <c r="H398" s="25"/>
      <c r="I398" s="25"/>
      <c r="J398" s="25"/>
      <c r="K398" s="25"/>
      <c r="L398" s="29"/>
      <c r="M398" s="29"/>
      <c r="N398" s="28"/>
      <c r="O398" s="30"/>
      <c r="P398" s="30"/>
      <c r="Q398" s="30"/>
      <c r="R398" s="30"/>
      <c r="S398" s="30"/>
      <c r="T398" s="30"/>
      <c r="U398" s="30"/>
      <c r="V398" s="29"/>
      <c r="W398" s="28"/>
      <c r="X398" s="149"/>
      <c r="Y398" s="149"/>
      <c r="Z398" s="150"/>
      <c r="AA398" s="150"/>
      <c r="AB398" s="151"/>
      <c r="AC398" s="150"/>
      <c r="AD398" s="150"/>
      <c r="AE398" s="150"/>
      <c r="AF398" s="150"/>
      <c r="AG398" s="150"/>
      <c r="AH398" s="150"/>
      <c r="AI398" s="195"/>
      <c r="AJ398" s="195"/>
      <c r="AK398" s="195"/>
      <c r="AL398" s="195"/>
      <c r="AM398" s="195"/>
      <c r="AN398" s="195"/>
      <c r="AO398" s="195"/>
      <c r="AP398" s="195"/>
      <c r="AQ398" s="195"/>
      <c r="AR398" s="195"/>
      <c r="AS398" s="195"/>
      <c r="AT398" s="195"/>
      <c r="AU398" s="195"/>
      <c r="AV398" s="195"/>
      <c r="AW398" s="195"/>
      <c r="AX398" s="195"/>
      <c r="AY398" s="195"/>
      <c r="AZ398" s="195"/>
      <c r="BA398" s="195"/>
      <c r="BB398" s="195"/>
      <c r="BC398" s="195"/>
      <c r="BD398" s="195"/>
      <c r="BE398" s="195"/>
      <c r="BF398" s="195"/>
      <c r="BG398" s="195"/>
      <c r="BH398" s="195"/>
      <c r="BI398" s="195"/>
      <c r="BJ398" s="195"/>
      <c r="BK398" s="195"/>
      <c r="BL398" s="195"/>
      <c r="BM398" s="195"/>
      <c r="BN398" s="195"/>
      <c r="BO398" s="195"/>
      <c r="BP398" s="195"/>
      <c r="BQ398" s="195"/>
      <c r="BR398" s="195"/>
      <c r="BS398" s="195"/>
      <c r="BT398" s="195"/>
      <c r="BU398" s="195"/>
      <c r="BV398" s="195"/>
      <c r="BW398" s="195"/>
      <c r="BX398" s="195"/>
      <c r="BY398" s="195"/>
      <c r="BZ398" s="195"/>
      <c r="CA398" s="195"/>
      <c r="CB398" s="195"/>
      <c r="CC398" s="195"/>
      <c r="CD398" s="195"/>
      <c r="CE398" s="195"/>
      <c r="CF398" s="195"/>
      <c r="CG398" s="195"/>
      <c r="CH398" s="195"/>
      <c r="CI398" s="195"/>
      <c r="CJ398" s="195"/>
      <c r="CK398" s="195"/>
      <c r="CL398" s="195"/>
      <c r="CM398" s="195"/>
      <c r="CN398" s="195"/>
      <c r="CO398" s="195"/>
      <c r="CP398" s="195"/>
      <c r="CQ398" s="195"/>
      <c r="CR398" s="195"/>
      <c r="CS398" s="195"/>
      <c r="CT398" s="195"/>
      <c r="CU398" s="195"/>
      <c r="CV398" s="195"/>
      <c r="CW398" s="195"/>
      <c r="CX398" s="195"/>
      <c r="CY398" s="195"/>
      <c r="CZ398" s="195"/>
      <c r="DA398" s="195"/>
      <c r="DB398" s="195"/>
      <c r="DC398" s="195"/>
      <c r="DD398" s="195"/>
      <c r="DE398" s="195"/>
      <c r="DF398" s="195"/>
      <c r="DG398" s="195"/>
      <c r="DH398" s="195"/>
    </row>
    <row r="399" spans="5:112" s="193" customFormat="1">
      <c r="E399" s="32"/>
      <c r="F399" s="32"/>
      <c r="G399" s="29"/>
      <c r="H399" s="25"/>
      <c r="I399" s="25"/>
      <c r="J399" s="25"/>
      <c r="K399" s="25"/>
      <c r="L399" s="29"/>
      <c r="M399" s="29"/>
      <c r="N399" s="28"/>
      <c r="O399" s="30"/>
      <c r="P399" s="30"/>
      <c r="Q399" s="30"/>
      <c r="R399" s="30"/>
      <c r="S399" s="30"/>
      <c r="T399" s="30"/>
      <c r="U399" s="30"/>
      <c r="V399" s="29"/>
      <c r="W399" s="28"/>
      <c r="X399" s="149"/>
      <c r="Y399" s="149"/>
      <c r="Z399" s="150"/>
      <c r="AA399" s="150"/>
      <c r="AB399" s="151"/>
      <c r="AC399" s="150"/>
      <c r="AD399" s="150"/>
      <c r="AE399" s="150"/>
      <c r="AF399" s="150"/>
      <c r="AG399" s="150"/>
      <c r="AH399" s="150"/>
      <c r="AI399" s="195"/>
      <c r="AJ399" s="195"/>
      <c r="AK399" s="195"/>
      <c r="AL399" s="195"/>
      <c r="AM399" s="195"/>
      <c r="AN399" s="195"/>
      <c r="AO399" s="195"/>
      <c r="AP399" s="195"/>
      <c r="AQ399" s="195"/>
      <c r="AR399" s="195"/>
      <c r="AS399" s="195"/>
      <c r="AT399" s="195"/>
      <c r="AU399" s="195"/>
      <c r="AV399" s="195"/>
      <c r="AW399" s="195"/>
      <c r="AX399" s="195"/>
      <c r="AY399" s="195"/>
      <c r="AZ399" s="195"/>
      <c r="BA399" s="195"/>
      <c r="BB399" s="195"/>
      <c r="BC399" s="195"/>
      <c r="BD399" s="195"/>
      <c r="BE399" s="195"/>
      <c r="BF399" s="195"/>
      <c r="BG399" s="195"/>
      <c r="BH399" s="195"/>
      <c r="BI399" s="195"/>
      <c r="BJ399" s="195"/>
      <c r="BK399" s="195"/>
      <c r="BL399" s="195"/>
      <c r="BM399" s="195"/>
      <c r="BN399" s="195"/>
      <c r="BO399" s="195"/>
      <c r="BP399" s="195"/>
      <c r="BQ399" s="195"/>
      <c r="BR399" s="195"/>
      <c r="BS399" s="195"/>
      <c r="BT399" s="195"/>
      <c r="BU399" s="195"/>
      <c r="BV399" s="195"/>
      <c r="BW399" s="195"/>
      <c r="BX399" s="195"/>
      <c r="BY399" s="195"/>
      <c r="BZ399" s="195"/>
      <c r="CA399" s="195"/>
      <c r="CB399" s="195"/>
      <c r="CC399" s="195"/>
      <c r="CD399" s="195"/>
      <c r="CE399" s="195"/>
      <c r="CF399" s="195"/>
      <c r="CG399" s="195"/>
      <c r="CH399" s="195"/>
      <c r="CI399" s="195"/>
      <c r="CJ399" s="195"/>
      <c r="CK399" s="195"/>
      <c r="CL399" s="195"/>
      <c r="CM399" s="195"/>
      <c r="CN399" s="195"/>
      <c r="CO399" s="195"/>
      <c r="CP399" s="195"/>
      <c r="CQ399" s="195"/>
      <c r="CR399" s="195"/>
      <c r="CS399" s="195"/>
      <c r="CT399" s="195"/>
      <c r="CU399" s="195"/>
      <c r="CV399" s="195"/>
      <c r="CW399" s="195"/>
      <c r="CX399" s="195"/>
      <c r="CY399" s="195"/>
      <c r="CZ399" s="195"/>
      <c r="DA399" s="195"/>
      <c r="DB399" s="195"/>
      <c r="DC399" s="195"/>
      <c r="DD399" s="195"/>
      <c r="DE399" s="195"/>
      <c r="DF399" s="195"/>
      <c r="DG399" s="195"/>
      <c r="DH399" s="195"/>
    </row>
    <row r="400" spans="5:112" s="193" customFormat="1">
      <c r="E400" s="32"/>
      <c r="F400" s="32"/>
      <c r="G400" s="29"/>
      <c r="H400" s="25"/>
      <c r="I400" s="25"/>
      <c r="J400" s="25"/>
      <c r="K400" s="25"/>
      <c r="L400" s="29"/>
      <c r="M400" s="29"/>
      <c r="N400" s="28"/>
      <c r="O400" s="30"/>
      <c r="P400" s="30"/>
      <c r="Q400" s="30"/>
      <c r="R400" s="30"/>
      <c r="S400" s="30"/>
      <c r="T400" s="30"/>
      <c r="U400" s="30"/>
      <c r="V400" s="29"/>
      <c r="W400" s="28"/>
      <c r="X400" s="149"/>
      <c r="Y400" s="149"/>
      <c r="Z400" s="150"/>
      <c r="AA400" s="150"/>
      <c r="AB400" s="151"/>
      <c r="AC400" s="150"/>
      <c r="AD400" s="150"/>
      <c r="AE400" s="150"/>
      <c r="AF400" s="150"/>
      <c r="AG400" s="150"/>
      <c r="AH400" s="150"/>
      <c r="AI400" s="195"/>
      <c r="AJ400" s="195"/>
      <c r="AK400" s="195"/>
      <c r="AL400" s="195"/>
      <c r="AM400" s="195"/>
      <c r="AN400" s="195"/>
      <c r="AO400" s="195"/>
      <c r="AP400" s="195"/>
      <c r="AQ400" s="195"/>
      <c r="AR400" s="195"/>
      <c r="AS400" s="195"/>
      <c r="AT400" s="195"/>
      <c r="AU400" s="195"/>
      <c r="AV400" s="195"/>
      <c r="AW400" s="195"/>
      <c r="AX400" s="195"/>
      <c r="AY400" s="195"/>
      <c r="AZ400" s="195"/>
      <c r="BA400" s="195"/>
      <c r="BB400" s="195"/>
      <c r="BC400" s="195"/>
      <c r="BD400" s="195"/>
      <c r="BE400" s="195"/>
      <c r="BF400" s="195"/>
      <c r="BG400" s="195"/>
      <c r="BH400" s="195"/>
      <c r="BI400" s="195"/>
      <c r="BJ400" s="195"/>
      <c r="BK400" s="195"/>
      <c r="BL400" s="195"/>
      <c r="BM400" s="195"/>
      <c r="BN400" s="195"/>
      <c r="BO400" s="195"/>
      <c r="BP400" s="195"/>
      <c r="BQ400" s="195"/>
      <c r="BR400" s="195"/>
      <c r="BS400" s="195"/>
      <c r="BT400" s="195"/>
      <c r="BU400" s="195"/>
      <c r="BV400" s="195"/>
      <c r="BW400" s="195"/>
      <c r="BX400" s="195"/>
      <c r="BY400" s="195"/>
      <c r="BZ400" s="195"/>
      <c r="CA400" s="195"/>
      <c r="CB400" s="195"/>
      <c r="CC400" s="195"/>
      <c r="CD400" s="195"/>
      <c r="CE400" s="195"/>
      <c r="CF400" s="195"/>
      <c r="CG400" s="195"/>
      <c r="CH400" s="195"/>
      <c r="CI400" s="195"/>
      <c r="CJ400" s="195"/>
      <c r="CK400" s="195"/>
      <c r="CL400" s="195"/>
      <c r="CM400" s="195"/>
      <c r="CN400" s="195"/>
      <c r="CO400" s="195"/>
      <c r="CP400" s="195"/>
      <c r="CQ400" s="195"/>
      <c r="CR400" s="195"/>
      <c r="CS400" s="195"/>
      <c r="CT400" s="195"/>
      <c r="CU400" s="195"/>
      <c r="CV400" s="195"/>
      <c r="CW400" s="195"/>
      <c r="CX400" s="195"/>
      <c r="CY400" s="195"/>
      <c r="CZ400" s="195"/>
      <c r="DA400" s="195"/>
      <c r="DB400" s="195"/>
      <c r="DC400" s="195"/>
      <c r="DD400" s="195"/>
      <c r="DE400" s="195"/>
      <c r="DF400" s="195"/>
      <c r="DG400" s="195"/>
      <c r="DH400" s="195"/>
    </row>
    <row r="401" spans="5:112" s="193" customFormat="1">
      <c r="E401" s="32"/>
      <c r="F401" s="32"/>
      <c r="G401" s="29"/>
      <c r="H401" s="25"/>
      <c r="I401" s="25"/>
      <c r="J401" s="25"/>
      <c r="K401" s="25"/>
      <c r="L401" s="29"/>
      <c r="M401" s="29"/>
      <c r="N401" s="28"/>
      <c r="O401" s="30"/>
      <c r="P401" s="30"/>
      <c r="Q401" s="30"/>
      <c r="R401" s="30"/>
      <c r="S401" s="30"/>
      <c r="T401" s="30"/>
      <c r="U401" s="30"/>
      <c r="V401" s="29"/>
      <c r="W401" s="28"/>
      <c r="X401" s="149"/>
      <c r="Y401" s="149"/>
      <c r="Z401" s="150"/>
      <c r="AA401" s="150"/>
      <c r="AB401" s="151"/>
      <c r="AC401" s="150"/>
      <c r="AD401" s="150"/>
      <c r="AE401" s="150"/>
      <c r="AF401" s="150"/>
      <c r="AG401" s="150"/>
      <c r="AH401" s="150"/>
      <c r="AI401" s="195"/>
      <c r="AJ401" s="195"/>
      <c r="AK401" s="195"/>
      <c r="AL401" s="195"/>
      <c r="AM401" s="195"/>
      <c r="AN401" s="195"/>
      <c r="AO401" s="195"/>
      <c r="AP401" s="195"/>
      <c r="AQ401" s="195"/>
      <c r="AR401" s="195"/>
      <c r="AS401" s="195"/>
      <c r="AT401" s="195"/>
      <c r="AU401" s="195"/>
      <c r="AV401" s="195"/>
      <c r="AW401" s="195"/>
      <c r="AX401" s="195"/>
      <c r="AY401" s="195"/>
      <c r="AZ401" s="195"/>
      <c r="BA401" s="195"/>
      <c r="BB401" s="195"/>
      <c r="BC401" s="195"/>
      <c r="BD401" s="195"/>
      <c r="BE401" s="195"/>
      <c r="BF401" s="195"/>
      <c r="BG401" s="195"/>
      <c r="BH401" s="195"/>
      <c r="BI401" s="195"/>
      <c r="BJ401" s="195"/>
      <c r="BK401" s="195"/>
      <c r="BL401" s="195"/>
      <c r="BM401" s="195"/>
      <c r="BN401" s="195"/>
      <c r="BO401" s="195"/>
      <c r="BP401" s="195"/>
      <c r="BQ401" s="195"/>
      <c r="BR401" s="195"/>
      <c r="BS401" s="195"/>
      <c r="BT401" s="195"/>
      <c r="BU401" s="195"/>
      <c r="BV401" s="195"/>
      <c r="BW401" s="195"/>
      <c r="BX401" s="195"/>
      <c r="BY401" s="195"/>
      <c r="BZ401" s="195"/>
      <c r="CA401" s="195"/>
      <c r="CB401" s="195"/>
      <c r="CC401" s="195"/>
      <c r="CD401" s="195"/>
      <c r="CE401" s="195"/>
      <c r="CF401" s="195"/>
      <c r="CG401" s="195"/>
      <c r="CH401" s="195"/>
      <c r="CI401" s="195"/>
      <c r="CJ401" s="195"/>
      <c r="CK401" s="195"/>
      <c r="CL401" s="195"/>
      <c r="CM401" s="195"/>
      <c r="CN401" s="195"/>
      <c r="CO401" s="195"/>
      <c r="CP401" s="195"/>
      <c r="CQ401" s="195"/>
      <c r="CR401" s="195"/>
      <c r="CS401" s="195"/>
      <c r="CT401" s="195"/>
      <c r="CU401" s="195"/>
      <c r="CV401" s="195"/>
      <c r="CW401" s="195"/>
      <c r="CX401" s="195"/>
      <c r="CY401" s="195"/>
      <c r="CZ401" s="195"/>
      <c r="DA401" s="195"/>
      <c r="DB401" s="195"/>
      <c r="DC401" s="195"/>
      <c r="DD401" s="195"/>
      <c r="DE401" s="195"/>
      <c r="DF401" s="195"/>
      <c r="DG401" s="195"/>
      <c r="DH401" s="195"/>
    </row>
    <row r="402" spans="5:112" s="193" customFormat="1">
      <c r="E402" s="32"/>
      <c r="F402" s="32"/>
      <c r="G402" s="29"/>
      <c r="H402" s="25"/>
      <c r="I402" s="25"/>
      <c r="J402" s="25"/>
      <c r="K402" s="25"/>
      <c r="L402" s="29"/>
      <c r="M402" s="29"/>
      <c r="N402" s="28"/>
      <c r="O402" s="30"/>
      <c r="P402" s="30"/>
      <c r="Q402" s="30"/>
      <c r="R402" s="30"/>
      <c r="S402" s="30"/>
      <c r="T402" s="30"/>
      <c r="U402" s="30"/>
      <c r="V402" s="29"/>
      <c r="W402" s="28"/>
      <c r="X402" s="149"/>
      <c r="Y402" s="149"/>
      <c r="Z402" s="150"/>
      <c r="AA402" s="150"/>
      <c r="AB402" s="151"/>
      <c r="AC402" s="150"/>
      <c r="AD402" s="150"/>
      <c r="AE402" s="150"/>
      <c r="AF402" s="150"/>
      <c r="AG402" s="150"/>
      <c r="AH402" s="150"/>
      <c r="AI402" s="195"/>
      <c r="AJ402" s="195"/>
      <c r="AK402" s="195"/>
      <c r="AL402" s="195"/>
      <c r="AM402" s="195"/>
      <c r="AN402" s="195"/>
      <c r="AO402" s="195"/>
      <c r="AP402" s="195"/>
      <c r="AQ402" s="195"/>
      <c r="AR402" s="195"/>
      <c r="AS402" s="195"/>
      <c r="AT402" s="195"/>
      <c r="AU402" s="195"/>
      <c r="AV402" s="195"/>
      <c r="AW402" s="195"/>
      <c r="AX402" s="195"/>
      <c r="AY402" s="195"/>
      <c r="AZ402" s="195"/>
      <c r="BA402" s="195"/>
      <c r="BB402" s="195"/>
      <c r="BC402" s="195"/>
      <c r="BD402" s="195"/>
      <c r="BE402" s="195"/>
      <c r="BF402" s="195"/>
      <c r="BG402" s="195"/>
      <c r="BH402" s="195"/>
      <c r="BI402" s="195"/>
      <c r="BJ402" s="195"/>
      <c r="BK402" s="195"/>
      <c r="BL402" s="195"/>
      <c r="BM402" s="195"/>
      <c r="BN402" s="195"/>
      <c r="BO402" s="195"/>
      <c r="BP402" s="195"/>
      <c r="BQ402" s="195"/>
      <c r="BR402" s="195"/>
      <c r="BS402" s="195"/>
      <c r="BT402" s="195"/>
      <c r="BU402" s="195"/>
      <c r="BV402" s="195"/>
      <c r="BW402" s="195"/>
      <c r="BX402" s="195"/>
      <c r="BY402" s="195"/>
      <c r="BZ402" s="195"/>
      <c r="CA402" s="195"/>
      <c r="CB402" s="195"/>
      <c r="CC402" s="195"/>
      <c r="CD402" s="195"/>
      <c r="CE402" s="195"/>
      <c r="CF402" s="195"/>
      <c r="CG402" s="195"/>
      <c r="CH402" s="195"/>
      <c r="CI402" s="195"/>
      <c r="CJ402" s="195"/>
      <c r="CK402" s="195"/>
      <c r="CL402" s="195"/>
      <c r="CM402" s="195"/>
      <c r="CN402" s="195"/>
      <c r="CO402" s="195"/>
      <c r="CP402" s="195"/>
      <c r="CQ402" s="195"/>
      <c r="CR402" s="195"/>
      <c r="CS402" s="195"/>
      <c r="CT402" s="195"/>
      <c r="CU402" s="195"/>
      <c r="CV402" s="195"/>
      <c r="CW402" s="195"/>
      <c r="CX402" s="195"/>
      <c r="CY402" s="195"/>
      <c r="CZ402" s="195"/>
      <c r="DA402" s="195"/>
      <c r="DB402" s="195"/>
      <c r="DC402" s="195"/>
      <c r="DD402" s="195"/>
      <c r="DE402" s="195"/>
      <c r="DF402" s="195"/>
      <c r="DG402" s="195"/>
      <c r="DH402" s="195"/>
    </row>
    <row r="403" spans="5:112" s="193" customFormat="1">
      <c r="E403" s="32"/>
      <c r="F403" s="32"/>
      <c r="G403" s="29"/>
      <c r="H403" s="25"/>
      <c r="I403" s="25"/>
      <c r="J403" s="25"/>
      <c r="K403" s="25"/>
      <c r="L403" s="29"/>
      <c r="M403" s="29"/>
      <c r="N403" s="28"/>
      <c r="O403" s="30"/>
      <c r="P403" s="30"/>
      <c r="Q403" s="30"/>
      <c r="R403" s="30"/>
      <c r="S403" s="30"/>
      <c r="T403" s="30"/>
      <c r="U403" s="30"/>
      <c r="V403" s="29"/>
      <c r="W403" s="28"/>
      <c r="X403" s="149"/>
      <c r="Y403" s="149"/>
      <c r="Z403" s="150"/>
      <c r="AA403" s="150"/>
      <c r="AB403" s="151"/>
      <c r="AC403" s="150"/>
      <c r="AD403" s="150"/>
      <c r="AE403" s="150"/>
      <c r="AF403" s="150"/>
      <c r="AG403" s="150"/>
      <c r="AH403" s="150"/>
      <c r="AI403" s="195"/>
      <c r="AJ403" s="195"/>
      <c r="AK403" s="195"/>
      <c r="AL403" s="195"/>
      <c r="AM403" s="195"/>
      <c r="AN403" s="195"/>
      <c r="AO403" s="195"/>
      <c r="AP403" s="195"/>
      <c r="AQ403" s="195"/>
      <c r="AR403" s="195"/>
      <c r="AS403" s="195"/>
      <c r="AT403" s="195"/>
      <c r="AU403" s="195"/>
      <c r="AV403" s="195"/>
      <c r="AW403" s="195"/>
      <c r="AX403" s="195"/>
      <c r="AY403" s="195"/>
      <c r="AZ403" s="195"/>
      <c r="BA403" s="195"/>
      <c r="BB403" s="195"/>
      <c r="BC403" s="195"/>
      <c r="BD403" s="195"/>
      <c r="BE403" s="195"/>
      <c r="BF403" s="195"/>
      <c r="BG403" s="195"/>
      <c r="BH403" s="195"/>
      <c r="BI403" s="195"/>
      <c r="BJ403" s="195"/>
      <c r="BK403" s="195"/>
      <c r="BL403" s="195"/>
      <c r="BM403" s="195"/>
      <c r="BN403" s="195"/>
      <c r="BO403" s="195"/>
      <c r="BP403" s="195"/>
      <c r="BQ403" s="195"/>
      <c r="BR403" s="195"/>
      <c r="BS403" s="195"/>
      <c r="BT403" s="195"/>
      <c r="BU403" s="195"/>
      <c r="BV403" s="195"/>
      <c r="BW403" s="195"/>
      <c r="BX403" s="195"/>
      <c r="BY403" s="195"/>
      <c r="BZ403" s="195"/>
      <c r="CA403" s="195"/>
      <c r="CB403" s="195"/>
      <c r="CC403" s="195"/>
      <c r="CD403" s="195"/>
      <c r="CE403" s="195"/>
      <c r="CF403" s="195"/>
      <c r="CG403" s="195"/>
      <c r="CH403" s="195"/>
      <c r="CI403" s="195"/>
      <c r="CJ403" s="195"/>
      <c r="CK403" s="195"/>
      <c r="CL403" s="195"/>
      <c r="CM403" s="195"/>
      <c r="CN403" s="195"/>
      <c r="CO403" s="195"/>
      <c r="CP403" s="195"/>
      <c r="CQ403" s="195"/>
      <c r="CR403" s="195"/>
      <c r="CS403" s="195"/>
      <c r="CT403" s="195"/>
      <c r="CU403" s="195"/>
      <c r="CV403" s="195"/>
      <c r="CW403" s="195"/>
      <c r="CX403" s="195"/>
      <c r="CY403" s="195"/>
      <c r="CZ403" s="195"/>
      <c r="DA403" s="195"/>
      <c r="DB403" s="195"/>
      <c r="DC403" s="195"/>
      <c r="DD403" s="195"/>
      <c r="DE403" s="195"/>
      <c r="DF403" s="195"/>
      <c r="DG403" s="195"/>
      <c r="DH403" s="195"/>
    </row>
    <row r="404" spans="5:112" s="193" customFormat="1">
      <c r="E404" s="32"/>
      <c r="F404" s="32"/>
      <c r="G404" s="29"/>
      <c r="H404" s="25"/>
      <c r="I404" s="25"/>
      <c r="J404" s="25"/>
      <c r="K404" s="25"/>
      <c r="L404" s="29"/>
      <c r="M404" s="29"/>
      <c r="N404" s="28"/>
      <c r="O404" s="30"/>
      <c r="P404" s="30"/>
      <c r="Q404" s="30"/>
      <c r="R404" s="30"/>
      <c r="S404" s="30"/>
      <c r="T404" s="30"/>
      <c r="U404" s="30"/>
      <c r="V404" s="29"/>
      <c r="W404" s="28"/>
      <c r="X404" s="149"/>
      <c r="Y404" s="149"/>
      <c r="Z404" s="150"/>
      <c r="AA404" s="150"/>
      <c r="AB404" s="151"/>
      <c r="AC404" s="150"/>
      <c r="AD404" s="150"/>
      <c r="AE404" s="150"/>
      <c r="AF404" s="150"/>
      <c r="AG404" s="150"/>
      <c r="AH404" s="150"/>
      <c r="AI404" s="195"/>
      <c r="AJ404" s="195"/>
      <c r="AK404" s="195"/>
      <c r="AL404" s="195"/>
      <c r="AM404" s="195"/>
      <c r="AN404" s="195"/>
      <c r="AO404" s="195"/>
      <c r="AP404" s="195"/>
      <c r="AQ404" s="195"/>
      <c r="AR404" s="195"/>
      <c r="AS404" s="195"/>
      <c r="AT404" s="195"/>
      <c r="AU404" s="195"/>
      <c r="AV404" s="195"/>
      <c r="AW404" s="195"/>
      <c r="AX404" s="195"/>
      <c r="AY404" s="195"/>
      <c r="AZ404" s="195"/>
      <c r="BA404" s="195"/>
      <c r="BB404" s="195"/>
      <c r="BC404" s="195"/>
      <c r="BD404" s="195"/>
      <c r="BE404" s="195"/>
      <c r="BF404" s="195"/>
      <c r="BG404" s="195"/>
      <c r="BH404" s="195"/>
      <c r="BI404" s="195"/>
      <c r="BJ404" s="195"/>
      <c r="BK404" s="195"/>
      <c r="BL404" s="195"/>
      <c r="BM404" s="195"/>
      <c r="BN404" s="195"/>
      <c r="BO404" s="195"/>
      <c r="BP404" s="195"/>
      <c r="BQ404" s="195"/>
      <c r="BR404" s="195"/>
      <c r="BS404" s="195"/>
      <c r="BT404" s="195"/>
      <c r="BU404" s="195"/>
      <c r="BV404" s="195"/>
      <c r="BW404" s="195"/>
      <c r="BX404" s="195"/>
      <c r="BY404" s="195"/>
      <c r="BZ404" s="195"/>
      <c r="CA404" s="195"/>
      <c r="CB404" s="195"/>
      <c r="CC404" s="195"/>
      <c r="CD404" s="195"/>
      <c r="CE404" s="195"/>
      <c r="CF404" s="195"/>
      <c r="CG404" s="195"/>
      <c r="CH404" s="195"/>
      <c r="CI404" s="195"/>
      <c r="CJ404" s="195"/>
      <c r="CK404" s="195"/>
      <c r="CL404" s="195"/>
      <c r="CM404" s="195"/>
      <c r="CN404" s="195"/>
      <c r="CO404" s="195"/>
      <c r="CP404" s="195"/>
      <c r="CQ404" s="195"/>
      <c r="CR404" s="195"/>
      <c r="CS404" s="195"/>
      <c r="CT404" s="195"/>
      <c r="CU404" s="195"/>
      <c r="CV404" s="195"/>
      <c r="CW404" s="195"/>
      <c r="CX404" s="195"/>
      <c r="CY404" s="195"/>
      <c r="CZ404" s="195"/>
      <c r="DA404" s="195"/>
      <c r="DB404" s="195"/>
      <c r="DC404" s="195"/>
      <c r="DD404" s="195"/>
      <c r="DE404" s="195"/>
      <c r="DF404" s="195"/>
      <c r="DG404" s="195"/>
      <c r="DH404" s="195"/>
    </row>
    <row r="405" spans="5:112" s="193" customFormat="1">
      <c r="E405" s="32"/>
      <c r="F405" s="32"/>
      <c r="G405" s="29"/>
      <c r="H405" s="25"/>
      <c r="I405" s="25"/>
      <c r="J405" s="25"/>
      <c r="K405" s="25"/>
      <c r="L405" s="29"/>
      <c r="M405" s="29"/>
      <c r="N405" s="28"/>
      <c r="O405" s="30"/>
      <c r="P405" s="30"/>
      <c r="Q405" s="30"/>
      <c r="R405" s="30"/>
      <c r="S405" s="30"/>
      <c r="T405" s="30"/>
      <c r="U405" s="30"/>
      <c r="V405" s="29"/>
      <c r="W405" s="28"/>
      <c r="X405" s="149"/>
      <c r="Y405" s="149"/>
      <c r="Z405" s="150"/>
      <c r="AA405" s="150"/>
      <c r="AB405" s="151"/>
      <c r="AC405" s="150"/>
      <c r="AD405" s="150"/>
      <c r="AE405" s="150"/>
      <c r="AF405" s="150"/>
      <c r="AG405" s="150"/>
      <c r="AH405" s="150"/>
      <c r="AI405" s="195"/>
      <c r="AJ405" s="195"/>
      <c r="AK405" s="195"/>
      <c r="AL405" s="195"/>
      <c r="AM405" s="195"/>
      <c r="AN405" s="195"/>
      <c r="AO405" s="195"/>
      <c r="AP405" s="195"/>
      <c r="AQ405" s="195"/>
      <c r="AR405" s="195"/>
      <c r="AS405" s="195"/>
      <c r="AT405" s="195"/>
      <c r="AU405" s="195"/>
      <c r="AV405" s="195"/>
      <c r="AW405" s="195"/>
      <c r="AX405" s="195"/>
      <c r="AY405" s="195"/>
      <c r="AZ405" s="195"/>
      <c r="BA405" s="195"/>
      <c r="BB405" s="195"/>
      <c r="BC405" s="195"/>
      <c r="BD405" s="195"/>
      <c r="BE405" s="195"/>
      <c r="BF405" s="195"/>
      <c r="BG405" s="195"/>
      <c r="BH405" s="195"/>
      <c r="BI405" s="195"/>
      <c r="BJ405" s="195"/>
      <c r="BK405" s="195"/>
      <c r="BL405" s="195"/>
      <c r="BM405" s="195"/>
      <c r="BN405" s="195"/>
      <c r="BO405" s="195"/>
      <c r="BP405" s="195"/>
      <c r="BQ405" s="195"/>
      <c r="BR405" s="195"/>
      <c r="BS405" s="195"/>
      <c r="BT405" s="195"/>
      <c r="BU405" s="195"/>
      <c r="BV405" s="195"/>
      <c r="BW405" s="195"/>
      <c r="BX405" s="195"/>
      <c r="BY405" s="195"/>
      <c r="BZ405" s="195"/>
      <c r="CA405" s="195"/>
      <c r="CB405" s="195"/>
      <c r="CC405" s="195"/>
      <c r="CD405" s="195"/>
      <c r="CE405" s="195"/>
      <c r="CF405" s="195"/>
      <c r="CG405" s="195"/>
      <c r="CH405" s="195"/>
      <c r="CI405" s="195"/>
      <c r="CJ405" s="195"/>
      <c r="CK405" s="195"/>
      <c r="CL405" s="195"/>
      <c r="CM405" s="195"/>
      <c r="CN405" s="195"/>
      <c r="CO405" s="195"/>
      <c r="CP405" s="195"/>
      <c r="CQ405" s="195"/>
      <c r="CR405" s="195"/>
      <c r="CS405" s="195"/>
      <c r="CT405" s="195"/>
      <c r="CU405" s="195"/>
      <c r="CV405" s="195"/>
      <c r="CW405" s="195"/>
      <c r="CX405" s="195"/>
      <c r="CY405" s="195"/>
      <c r="CZ405" s="195"/>
      <c r="DA405" s="195"/>
      <c r="DB405" s="195"/>
      <c r="DC405" s="195"/>
      <c r="DD405" s="195"/>
      <c r="DE405" s="195"/>
      <c r="DF405" s="195"/>
      <c r="DG405" s="195"/>
      <c r="DH405" s="195"/>
    </row>
    <row r="406" spans="5:112" s="193" customFormat="1">
      <c r="E406" s="32"/>
      <c r="F406" s="32"/>
      <c r="G406" s="29"/>
      <c r="H406" s="25"/>
      <c r="I406" s="25"/>
      <c r="J406" s="25"/>
      <c r="K406" s="25"/>
      <c r="L406" s="29"/>
      <c r="M406" s="29"/>
      <c r="N406" s="28"/>
      <c r="O406" s="30"/>
      <c r="P406" s="30"/>
      <c r="Q406" s="30"/>
      <c r="R406" s="30"/>
      <c r="S406" s="30"/>
      <c r="T406" s="30"/>
      <c r="U406" s="30"/>
      <c r="V406" s="29"/>
      <c r="W406" s="28"/>
      <c r="X406" s="149"/>
      <c r="Y406" s="149"/>
      <c r="Z406" s="150"/>
      <c r="AA406" s="150"/>
      <c r="AB406" s="151"/>
      <c r="AC406" s="150"/>
      <c r="AD406" s="150"/>
      <c r="AE406" s="150"/>
      <c r="AF406" s="150"/>
      <c r="AG406" s="150"/>
      <c r="AH406" s="150"/>
      <c r="AI406" s="195"/>
      <c r="AJ406" s="195"/>
      <c r="AK406" s="195"/>
      <c r="AL406" s="195"/>
      <c r="AM406" s="195"/>
      <c r="AN406" s="195"/>
      <c r="AO406" s="195"/>
      <c r="AP406" s="195"/>
      <c r="AQ406" s="195"/>
      <c r="AR406" s="195"/>
      <c r="AS406" s="195"/>
      <c r="AT406" s="195"/>
      <c r="AU406" s="195"/>
      <c r="AV406" s="195"/>
      <c r="AW406" s="195"/>
      <c r="AX406" s="195"/>
      <c r="AY406" s="195"/>
      <c r="AZ406" s="195"/>
      <c r="BA406" s="195"/>
      <c r="BB406" s="195"/>
      <c r="BC406" s="195"/>
      <c r="BD406" s="195"/>
      <c r="BE406" s="195"/>
      <c r="BF406" s="195"/>
      <c r="BG406" s="195"/>
      <c r="BH406" s="195"/>
      <c r="BI406" s="195"/>
      <c r="BJ406" s="195"/>
      <c r="BK406" s="195"/>
      <c r="BL406" s="195"/>
      <c r="BM406" s="195"/>
      <c r="BN406" s="195"/>
      <c r="BO406" s="195"/>
      <c r="BP406" s="195"/>
      <c r="BQ406" s="195"/>
      <c r="BR406" s="195"/>
      <c r="BS406" s="195"/>
      <c r="BT406" s="195"/>
      <c r="BU406" s="195"/>
      <c r="BV406" s="195"/>
      <c r="BW406" s="195"/>
      <c r="BX406" s="195"/>
      <c r="BY406" s="195"/>
      <c r="BZ406" s="195"/>
      <c r="CA406" s="195"/>
      <c r="CB406" s="195"/>
      <c r="CC406" s="195"/>
      <c r="CD406" s="195"/>
      <c r="CE406" s="195"/>
      <c r="CF406" s="195"/>
      <c r="CG406" s="195"/>
      <c r="CH406" s="195"/>
      <c r="CI406" s="195"/>
      <c r="CJ406" s="195"/>
      <c r="CK406" s="195"/>
      <c r="CL406" s="195"/>
      <c r="CM406" s="195"/>
      <c r="CN406" s="195"/>
      <c r="CO406" s="195"/>
      <c r="CP406" s="195"/>
      <c r="CQ406" s="195"/>
      <c r="CR406" s="195"/>
      <c r="CS406" s="195"/>
      <c r="CT406" s="195"/>
      <c r="CU406" s="195"/>
      <c r="CV406" s="195"/>
      <c r="CW406" s="195"/>
      <c r="CX406" s="195"/>
      <c r="CY406" s="195"/>
      <c r="CZ406" s="195"/>
      <c r="DA406" s="195"/>
      <c r="DB406" s="195"/>
      <c r="DC406" s="195"/>
      <c r="DD406" s="195"/>
      <c r="DE406" s="195"/>
      <c r="DF406" s="195"/>
      <c r="DG406" s="195"/>
      <c r="DH406" s="195"/>
    </row>
    <row r="407" spans="5:112">
      <c r="E407" s="178"/>
      <c r="F407" s="179"/>
      <c r="G407" s="180"/>
      <c r="H407" s="181"/>
      <c r="I407" s="181"/>
      <c r="J407" s="181"/>
      <c r="K407" s="181"/>
      <c r="L407" s="180"/>
      <c r="M407" s="180"/>
      <c r="N407" s="182"/>
      <c r="O407" s="183"/>
      <c r="P407" s="183"/>
      <c r="Q407" s="183"/>
      <c r="R407" s="183"/>
      <c r="S407" s="183"/>
      <c r="T407" s="183"/>
      <c r="U407" s="183"/>
      <c r="V407" s="180"/>
      <c r="W407" s="184"/>
      <c r="X407" s="185"/>
      <c r="Y407" s="185"/>
      <c r="Z407" s="186"/>
      <c r="AA407" s="186"/>
      <c r="AB407" s="187"/>
      <c r="AC407" s="186"/>
      <c r="AD407" s="186"/>
      <c r="AE407" s="186"/>
      <c r="AF407" s="186"/>
      <c r="AG407" s="186"/>
      <c r="AH407" s="186"/>
    </row>
    <row r="408" spans="5:112">
      <c r="E408" s="31"/>
      <c r="F408" s="32"/>
      <c r="G408" s="29"/>
      <c r="H408" s="25"/>
      <c r="I408" s="25"/>
      <c r="J408" s="25"/>
      <c r="K408" s="25"/>
      <c r="L408" s="29"/>
      <c r="M408" s="29"/>
      <c r="N408" s="28"/>
      <c r="O408" s="30"/>
      <c r="P408" s="30"/>
      <c r="Q408" s="30"/>
      <c r="R408" s="30"/>
      <c r="S408" s="30"/>
      <c r="T408" s="30"/>
      <c r="U408" s="30"/>
      <c r="V408" s="29"/>
      <c r="W408" s="125"/>
      <c r="X408" s="149"/>
      <c r="Y408" s="149"/>
      <c r="Z408" s="150"/>
      <c r="AA408" s="150"/>
      <c r="AB408" s="151"/>
      <c r="AC408" s="150"/>
      <c r="AD408" s="150"/>
      <c r="AE408" s="150"/>
      <c r="AF408" s="150"/>
      <c r="AG408" s="150"/>
      <c r="AH408" s="150"/>
    </row>
    <row r="409" spans="5:112">
      <c r="E409" s="31"/>
      <c r="F409" s="32"/>
      <c r="G409" s="29"/>
      <c r="H409" s="25"/>
      <c r="I409" s="25"/>
      <c r="J409" s="25"/>
      <c r="K409" s="25"/>
      <c r="L409" s="29"/>
      <c r="M409" s="29"/>
      <c r="N409" s="28"/>
      <c r="O409" s="30"/>
      <c r="P409" s="30"/>
      <c r="Q409" s="30"/>
      <c r="R409" s="30"/>
      <c r="S409" s="30"/>
      <c r="T409" s="30"/>
      <c r="U409" s="30"/>
      <c r="V409" s="29"/>
      <c r="W409" s="125"/>
      <c r="X409" s="149"/>
      <c r="Y409" s="149"/>
      <c r="Z409" s="150"/>
      <c r="AA409" s="150"/>
      <c r="AB409" s="151"/>
      <c r="AC409" s="150"/>
      <c r="AD409" s="150"/>
      <c r="AE409" s="150"/>
      <c r="AF409" s="150"/>
      <c r="AG409" s="150"/>
      <c r="AH409" s="150"/>
    </row>
    <row r="410" spans="5:112">
      <c r="E410" s="31"/>
      <c r="F410" s="32"/>
      <c r="G410" s="29"/>
      <c r="H410" s="25"/>
      <c r="I410" s="25"/>
      <c r="J410" s="25"/>
      <c r="K410" s="25"/>
      <c r="L410" s="29"/>
      <c r="M410" s="29"/>
      <c r="N410" s="28"/>
      <c r="O410" s="30"/>
      <c r="P410" s="30"/>
      <c r="Q410" s="30"/>
      <c r="R410" s="30"/>
      <c r="S410" s="30"/>
      <c r="T410" s="30"/>
      <c r="U410" s="30"/>
      <c r="V410" s="29"/>
      <c r="W410" s="125"/>
      <c r="X410" s="149"/>
      <c r="Y410" s="149"/>
      <c r="Z410" s="150"/>
      <c r="AA410" s="150"/>
      <c r="AB410" s="151"/>
      <c r="AC410" s="150"/>
      <c r="AD410" s="150"/>
      <c r="AE410" s="150"/>
      <c r="AF410" s="150"/>
      <c r="AG410" s="150"/>
      <c r="AH410" s="150"/>
    </row>
    <row r="411" spans="5:112">
      <c r="E411" s="31"/>
      <c r="F411" s="32"/>
      <c r="G411" s="29"/>
      <c r="H411" s="25"/>
      <c r="I411" s="25"/>
      <c r="J411" s="25"/>
      <c r="K411" s="25"/>
      <c r="L411" s="29"/>
      <c r="M411" s="29"/>
      <c r="N411" s="28"/>
      <c r="O411" s="30"/>
      <c r="P411" s="30"/>
      <c r="Q411" s="30"/>
      <c r="R411" s="30"/>
      <c r="S411" s="30"/>
      <c r="T411" s="30"/>
      <c r="U411" s="30"/>
      <c r="V411" s="29"/>
      <c r="W411" s="125"/>
      <c r="X411" s="149"/>
      <c r="Y411" s="149"/>
      <c r="Z411" s="150"/>
      <c r="AA411" s="150"/>
      <c r="AB411" s="151"/>
      <c r="AC411" s="150"/>
      <c r="AD411" s="150"/>
      <c r="AE411" s="150"/>
      <c r="AF411" s="150"/>
      <c r="AG411" s="150"/>
      <c r="AH411" s="150"/>
    </row>
    <row r="412" spans="5:112">
      <c r="E412" s="31"/>
      <c r="F412" s="32"/>
      <c r="G412" s="29"/>
      <c r="H412" s="25"/>
      <c r="I412" s="25"/>
      <c r="J412" s="25"/>
      <c r="K412" s="25"/>
      <c r="L412" s="29"/>
      <c r="M412" s="29"/>
      <c r="N412" s="28"/>
      <c r="O412" s="30"/>
      <c r="P412" s="30"/>
      <c r="Q412" s="30"/>
      <c r="R412" s="30"/>
      <c r="S412" s="30"/>
      <c r="T412" s="30"/>
      <c r="U412" s="30"/>
      <c r="V412" s="29"/>
      <c r="W412" s="125"/>
      <c r="X412" s="149"/>
      <c r="Y412" s="149"/>
      <c r="Z412" s="150"/>
      <c r="AA412" s="150"/>
      <c r="AB412" s="151"/>
      <c r="AC412" s="150"/>
      <c r="AD412" s="150"/>
      <c r="AE412" s="150"/>
      <c r="AF412" s="150"/>
      <c r="AG412" s="150"/>
      <c r="AH412" s="150"/>
    </row>
    <row r="413" spans="5:112">
      <c r="E413" s="31"/>
      <c r="F413" s="32"/>
      <c r="G413" s="29"/>
      <c r="H413" s="25"/>
      <c r="I413" s="25"/>
      <c r="J413" s="25"/>
      <c r="K413" s="25"/>
      <c r="L413" s="29"/>
      <c r="M413" s="29"/>
      <c r="N413" s="28"/>
      <c r="O413" s="30"/>
      <c r="P413" s="30"/>
      <c r="Q413" s="30"/>
      <c r="R413" s="30"/>
      <c r="S413" s="30"/>
      <c r="T413" s="30"/>
      <c r="U413" s="30"/>
      <c r="V413" s="29"/>
      <c r="W413" s="125"/>
      <c r="X413" s="149"/>
      <c r="Y413" s="149"/>
      <c r="Z413" s="150"/>
      <c r="AA413" s="150"/>
      <c r="AB413" s="151"/>
      <c r="AC413" s="150"/>
      <c r="AD413" s="150"/>
      <c r="AE413" s="150"/>
      <c r="AF413" s="150"/>
      <c r="AG413" s="150"/>
      <c r="AH413" s="150"/>
    </row>
    <row r="414" spans="5:112">
      <c r="E414" s="31"/>
      <c r="F414" s="32"/>
      <c r="G414" s="29"/>
      <c r="H414" s="25"/>
      <c r="I414" s="25"/>
      <c r="J414" s="25"/>
      <c r="K414" s="25"/>
      <c r="L414" s="29"/>
      <c r="M414" s="29"/>
      <c r="N414" s="28"/>
      <c r="O414" s="30"/>
      <c r="P414" s="30"/>
      <c r="Q414" s="30"/>
      <c r="R414" s="30"/>
      <c r="S414" s="30"/>
      <c r="T414" s="30"/>
      <c r="U414" s="30"/>
      <c r="V414" s="29"/>
      <c r="W414" s="125"/>
      <c r="X414" s="149"/>
      <c r="Y414" s="149"/>
      <c r="Z414" s="150"/>
      <c r="AA414" s="150"/>
      <c r="AB414" s="151"/>
      <c r="AC414" s="150"/>
      <c r="AD414" s="150"/>
      <c r="AE414" s="150"/>
      <c r="AF414" s="150"/>
      <c r="AG414" s="150"/>
      <c r="AH414" s="150"/>
    </row>
    <row r="415" spans="5:112">
      <c r="E415" s="31"/>
      <c r="F415" s="32"/>
      <c r="G415" s="29"/>
      <c r="H415" s="25"/>
      <c r="I415" s="25"/>
      <c r="J415" s="25"/>
      <c r="K415" s="25"/>
      <c r="L415" s="29"/>
      <c r="M415" s="29"/>
      <c r="N415" s="28"/>
      <c r="O415" s="30"/>
      <c r="P415" s="30"/>
      <c r="Q415" s="30"/>
      <c r="R415" s="30"/>
      <c r="S415" s="30"/>
      <c r="T415" s="30"/>
      <c r="U415" s="30"/>
      <c r="V415" s="29"/>
      <c r="W415" s="125"/>
      <c r="X415" s="149"/>
      <c r="Y415" s="149"/>
      <c r="Z415" s="150"/>
      <c r="AA415" s="150"/>
      <c r="AB415" s="151"/>
      <c r="AC415" s="150"/>
      <c r="AD415" s="150"/>
      <c r="AE415" s="150"/>
      <c r="AF415" s="150"/>
      <c r="AG415" s="150"/>
      <c r="AH415" s="150"/>
    </row>
    <row r="416" spans="5:112">
      <c r="E416" s="31"/>
      <c r="F416" s="32"/>
      <c r="G416" s="29"/>
      <c r="H416" s="25"/>
      <c r="I416" s="25"/>
      <c r="J416" s="25"/>
      <c r="K416" s="25"/>
      <c r="L416" s="29"/>
      <c r="M416" s="29"/>
      <c r="N416" s="28"/>
      <c r="O416" s="30"/>
      <c r="P416" s="30"/>
      <c r="Q416" s="30"/>
      <c r="R416" s="30"/>
      <c r="S416" s="30"/>
      <c r="T416" s="30"/>
      <c r="U416" s="30"/>
      <c r="V416" s="29"/>
      <c r="W416" s="125"/>
      <c r="X416" s="149"/>
      <c r="Y416" s="149"/>
      <c r="Z416" s="150"/>
      <c r="AA416" s="150"/>
      <c r="AB416" s="151"/>
      <c r="AC416" s="150"/>
      <c r="AD416" s="150"/>
      <c r="AE416" s="150"/>
      <c r="AF416" s="150"/>
      <c r="AG416" s="150"/>
      <c r="AH416" s="150"/>
    </row>
    <row r="417" spans="5:34">
      <c r="E417" s="31"/>
      <c r="F417" s="32"/>
      <c r="G417" s="29"/>
      <c r="H417" s="25"/>
      <c r="I417" s="25"/>
      <c r="J417" s="25"/>
      <c r="K417" s="25"/>
      <c r="L417" s="29"/>
      <c r="M417" s="29"/>
      <c r="N417" s="28"/>
      <c r="O417" s="30"/>
      <c r="P417" s="30"/>
      <c r="Q417" s="30"/>
      <c r="R417" s="30"/>
      <c r="S417" s="30"/>
      <c r="T417" s="30"/>
      <c r="U417" s="30"/>
      <c r="V417" s="29"/>
      <c r="W417" s="125"/>
      <c r="X417" s="149"/>
      <c r="Y417" s="149"/>
      <c r="Z417" s="150"/>
      <c r="AA417" s="150"/>
      <c r="AB417" s="151"/>
      <c r="AC417" s="150"/>
      <c r="AD417" s="150"/>
      <c r="AE417" s="150"/>
      <c r="AF417" s="150"/>
      <c r="AG417" s="150"/>
      <c r="AH417" s="150"/>
    </row>
    <row r="418" spans="5:34">
      <c r="E418" s="31"/>
      <c r="F418" s="32"/>
      <c r="G418" s="29"/>
      <c r="H418" s="25"/>
      <c r="I418" s="25"/>
      <c r="J418" s="25"/>
      <c r="K418" s="25"/>
      <c r="L418" s="29"/>
      <c r="M418" s="29"/>
      <c r="N418" s="28"/>
      <c r="O418" s="30"/>
      <c r="P418" s="30"/>
      <c r="Q418" s="30"/>
      <c r="R418" s="30"/>
      <c r="S418" s="30"/>
      <c r="T418" s="30"/>
      <c r="U418" s="30"/>
      <c r="V418" s="29"/>
      <c r="W418" s="125"/>
      <c r="X418" s="149"/>
      <c r="Y418" s="149"/>
      <c r="Z418" s="150"/>
      <c r="AA418" s="150"/>
      <c r="AB418" s="151"/>
      <c r="AC418" s="150"/>
      <c r="AD418" s="150"/>
      <c r="AE418" s="150"/>
      <c r="AF418" s="150"/>
      <c r="AG418" s="150"/>
      <c r="AH418" s="150"/>
    </row>
    <row r="419" spans="5:34">
      <c r="E419" s="31"/>
      <c r="F419" s="32"/>
      <c r="G419" s="29"/>
      <c r="H419" s="25"/>
      <c r="I419" s="25"/>
      <c r="J419" s="25"/>
      <c r="K419" s="25"/>
      <c r="L419" s="29"/>
      <c r="M419" s="29"/>
      <c r="N419" s="28"/>
      <c r="O419" s="30"/>
      <c r="P419" s="30"/>
      <c r="Q419" s="30"/>
      <c r="R419" s="30"/>
      <c r="S419" s="30"/>
      <c r="T419" s="30"/>
      <c r="U419" s="30"/>
      <c r="V419" s="29"/>
      <c r="W419" s="125"/>
      <c r="X419" s="149"/>
      <c r="Y419" s="149"/>
      <c r="Z419" s="150"/>
      <c r="AA419" s="150"/>
      <c r="AB419" s="151"/>
      <c r="AC419" s="150"/>
      <c r="AD419" s="150"/>
      <c r="AE419" s="150"/>
      <c r="AF419" s="150"/>
      <c r="AG419" s="150"/>
      <c r="AH419" s="150"/>
    </row>
    <row r="420" spans="5:34">
      <c r="E420" s="31"/>
      <c r="F420" s="32"/>
      <c r="G420" s="29"/>
      <c r="H420" s="25"/>
      <c r="I420" s="25"/>
      <c r="J420" s="25"/>
      <c r="K420" s="25"/>
      <c r="L420" s="29"/>
      <c r="M420" s="29"/>
      <c r="N420" s="28"/>
      <c r="O420" s="30"/>
      <c r="P420" s="30"/>
      <c r="Q420" s="30"/>
      <c r="R420" s="30"/>
      <c r="S420" s="30"/>
      <c r="T420" s="30"/>
      <c r="U420" s="30"/>
      <c r="V420" s="29"/>
      <c r="W420" s="125"/>
      <c r="X420" s="149"/>
      <c r="Y420" s="149"/>
      <c r="Z420" s="150"/>
      <c r="AA420" s="150"/>
      <c r="AB420" s="151"/>
      <c r="AC420" s="150"/>
      <c r="AD420" s="150"/>
      <c r="AE420" s="150"/>
      <c r="AF420" s="150"/>
      <c r="AG420" s="150"/>
      <c r="AH420" s="150"/>
    </row>
    <row r="421" spans="5:34">
      <c r="E421" s="31"/>
      <c r="F421" s="32"/>
      <c r="G421" s="29"/>
      <c r="H421" s="25"/>
      <c r="I421" s="25"/>
      <c r="J421" s="25"/>
      <c r="K421" s="25"/>
      <c r="L421" s="29"/>
      <c r="M421" s="29"/>
      <c r="N421" s="28"/>
      <c r="O421" s="30"/>
      <c r="P421" s="30"/>
      <c r="Q421" s="30"/>
      <c r="R421" s="30"/>
      <c r="S421" s="30"/>
      <c r="T421" s="30"/>
      <c r="U421" s="30"/>
      <c r="V421" s="29"/>
      <c r="W421" s="125"/>
      <c r="X421" s="149"/>
      <c r="Y421" s="149"/>
      <c r="Z421" s="150"/>
      <c r="AA421" s="150"/>
      <c r="AB421" s="151"/>
      <c r="AC421" s="150"/>
      <c r="AD421" s="150"/>
      <c r="AE421" s="150"/>
      <c r="AF421" s="150"/>
      <c r="AG421" s="150"/>
      <c r="AH421" s="150"/>
    </row>
    <row r="422" spans="5:34">
      <c r="E422" s="31"/>
      <c r="F422" s="32"/>
      <c r="G422" s="29"/>
      <c r="H422" s="25"/>
      <c r="I422" s="25"/>
      <c r="J422" s="25"/>
      <c r="K422" s="25"/>
      <c r="L422" s="29"/>
      <c r="M422" s="29"/>
      <c r="N422" s="28"/>
      <c r="O422" s="30"/>
      <c r="P422" s="30"/>
      <c r="Q422" s="30"/>
      <c r="R422" s="30"/>
      <c r="S422" s="30"/>
      <c r="T422" s="30"/>
      <c r="U422" s="30"/>
      <c r="V422" s="29"/>
      <c r="W422" s="125"/>
      <c r="X422" s="149"/>
      <c r="Y422" s="149"/>
      <c r="Z422" s="150"/>
      <c r="AA422" s="150"/>
      <c r="AB422" s="151"/>
      <c r="AC422" s="150"/>
      <c r="AD422" s="150"/>
      <c r="AE422" s="150"/>
      <c r="AF422" s="150"/>
      <c r="AG422" s="150"/>
      <c r="AH422" s="150"/>
    </row>
    <row r="423" spans="5:34">
      <c r="E423" s="31"/>
      <c r="F423" s="32"/>
      <c r="G423" s="29"/>
      <c r="H423" s="25"/>
      <c r="I423" s="25"/>
      <c r="J423" s="25"/>
      <c r="K423" s="25"/>
      <c r="L423" s="29"/>
      <c r="M423" s="29"/>
      <c r="N423" s="28"/>
      <c r="O423" s="30"/>
      <c r="P423" s="30"/>
      <c r="Q423" s="30"/>
      <c r="R423" s="30"/>
      <c r="S423" s="30"/>
      <c r="T423" s="30"/>
      <c r="U423" s="30"/>
      <c r="V423" s="29"/>
      <c r="W423" s="125"/>
      <c r="X423" s="149"/>
      <c r="Y423" s="149"/>
      <c r="Z423" s="150"/>
      <c r="AA423" s="150"/>
      <c r="AB423" s="151"/>
      <c r="AC423" s="150"/>
      <c r="AD423" s="150"/>
      <c r="AE423" s="150"/>
      <c r="AF423" s="150"/>
      <c r="AG423" s="150"/>
      <c r="AH423" s="150"/>
    </row>
    <row r="424" spans="5:34">
      <c r="E424" s="31"/>
      <c r="F424" s="32"/>
      <c r="G424" s="29"/>
      <c r="H424" s="25"/>
      <c r="I424" s="25"/>
      <c r="J424" s="25"/>
      <c r="K424" s="25"/>
      <c r="L424" s="29"/>
      <c r="M424" s="29"/>
      <c r="N424" s="28"/>
      <c r="O424" s="30"/>
      <c r="P424" s="30"/>
      <c r="Q424" s="30"/>
      <c r="R424" s="30"/>
      <c r="S424" s="30"/>
      <c r="T424" s="30"/>
      <c r="U424" s="30"/>
      <c r="V424" s="29"/>
      <c r="W424" s="125"/>
      <c r="X424" s="149"/>
      <c r="Y424" s="149"/>
      <c r="Z424" s="150"/>
      <c r="AA424" s="150"/>
      <c r="AB424" s="151"/>
      <c r="AC424" s="150"/>
      <c r="AD424" s="150"/>
      <c r="AE424" s="150"/>
      <c r="AF424" s="150"/>
      <c r="AG424" s="150"/>
      <c r="AH424" s="150"/>
    </row>
    <row r="425" spans="5:34">
      <c r="E425" s="31"/>
      <c r="F425" s="32"/>
      <c r="G425" s="29"/>
      <c r="H425" s="25"/>
      <c r="I425" s="25"/>
      <c r="J425" s="25"/>
      <c r="K425" s="25"/>
      <c r="L425" s="29"/>
      <c r="M425" s="29"/>
      <c r="N425" s="28"/>
      <c r="O425" s="30"/>
      <c r="P425" s="30"/>
      <c r="Q425" s="30"/>
      <c r="R425" s="30"/>
      <c r="S425" s="30"/>
      <c r="T425" s="30"/>
      <c r="U425" s="30"/>
      <c r="V425" s="29"/>
      <c r="W425" s="125"/>
      <c r="X425" s="149"/>
      <c r="Y425" s="149"/>
      <c r="Z425" s="150"/>
      <c r="AA425" s="150"/>
      <c r="AB425" s="151"/>
      <c r="AC425" s="150"/>
      <c r="AD425" s="150"/>
      <c r="AE425" s="150"/>
      <c r="AF425" s="150"/>
      <c r="AG425" s="150"/>
      <c r="AH425" s="150"/>
    </row>
    <row r="426" spans="5:34">
      <c r="E426" s="31"/>
      <c r="F426" s="32"/>
      <c r="G426" s="29"/>
      <c r="H426" s="25"/>
      <c r="I426" s="25"/>
      <c r="J426" s="25"/>
      <c r="K426" s="25"/>
      <c r="L426" s="29"/>
      <c r="M426" s="29"/>
      <c r="N426" s="28"/>
      <c r="O426" s="30"/>
      <c r="P426" s="30"/>
      <c r="Q426" s="30"/>
      <c r="R426" s="30"/>
      <c r="S426" s="30"/>
      <c r="T426" s="30"/>
      <c r="U426" s="30"/>
      <c r="V426" s="29"/>
      <c r="W426" s="125"/>
      <c r="X426" s="149"/>
      <c r="Y426" s="149"/>
      <c r="Z426" s="150"/>
      <c r="AA426" s="150"/>
      <c r="AB426" s="151"/>
      <c r="AC426" s="150"/>
      <c r="AD426" s="150"/>
      <c r="AE426" s="150"/>
      <c r="AF426" s="150"/>
      <c r="AG426" s="150"/>
      <c r="AH426" s="150"/>
    </row>
    <row r="427" spans="5:34">
      <c r="E427" s="31"/>
      <c r="F427" s="32"/>
      <c r="G427" s="29"/>
      <c r="H427" s="25"/>
      <c r="I427" s="25"/>
      <c r="J427" s="25"/>
      <c r="K427" s="25"/>
      <c r="L427" s="29"/>
      <c r="M427" s="29"/>
      <c r="N427" s="28"/>
      <c r="O427" s="30"/>
      <c r="P427" s="30"/>
      <c r="Q427" s="30"/>
      <c r="R427" s="30"/>
      <c r="S427" s="30"/>
      <c r="T427" s="30"/>
      <c r="U427" s="30"/>
      <c r="V427" s="29"/>
      <c r="W427" s="125"/>
      <c r="X427" s="149"/>
      <c r="Y427" s="149"/>
      <c r="Z427" s="150"/>
      <c r="AA427" s="150"/>
      <c r="AB427" s="151"/>
      <c r="AC427" s="150"/>
      <c r="AD427" s="150"/>
      <c r="AE427" s="150"/>
      <c r="AF427" s="150"/>
      <c r="AG427" s="150"/>
      <c r="AH427" s="150"/>
    </row>
    <row r="428" spans="5:34">
      <c r="E428" s="31"/>
      <c r="F428" s="32"/>
      <c r="G428" s="29"/>
      <c r="H428" s="25"/>
      <c r="I428" s="25"/>
      <c r="J428" s="25"/>
      <c r="K428" s="25"/>
      <c r="L428" s="29"/>
      <c r="M428" s="29"/>
      <c r="N428" s="28"/>
      <c r="O428" s="30"/>
      <c r="P428" s="30"/>
      <c r="Q428" s="30"/>
      <c r="R428" s="30"/>
      <c r="S428" s="30"/>
      <c r="T428" s="30"/>
      <c r="U428" s="30"/>
      <c r="V428" s="29"/>
      <c r="W428" s="125"/>
      <c r="X428" s="149"/>
      <c r="Y428" s="149"/>
      <c r="Z428" s="150"/>
      <c r="AA428" s="150"/>
      <c r="AB428" s="151"/>
      <c r="AC428" s="150"/>
      <c r="AD428" s="150"/>
      <c r="AE428" s="150"/>
      <c r="AF428" s="150"/>
      <c r="AG428" s="150"/>
      <c r="AH428" s="150"/>
    </row>
    <row r="429" spans="5:34">
      <c r="E429" s="31"/>
      <c r="F429" s="32"/>
      <c r="G429" s="29"/>
      <c r="H429" s="25"/>
      <c r="I429" s="25"/>
      <c r="J429" s="25"/>
      <c r="K429" s="25"/>
      <c r="L429" s="29"/>
      <c r="M429" s="29"/>
      <c r="N429" s="28"/>
      <c r="O429" s="30"/>
      <c r="P429" s="30"/>
      <c r="Q429" s="30"/>
      <c r="R429" s="30"/>
      <c r="S429" s="30"/>
      <c r="T429" s="30"/>
      <c r="U429" s="30"/>
      <c r="V429" s="29"/>
      <c r="W429" s="125"/>
      <c r="X429" s="149"/>
      <c r="Y429" s="149"/>
      <c r="Z429" s="150"/>
      <c r="AA429" s="150"/>
      <c r="AB429" s="151"/>
      <c r="AC429" s="150"/>
      <c r="AD429" s="150"/>
      <c r="AE429" s="150"/>
      <c r="AF429" s="150"/>
      <c r="AG429" s="150"/>
      <c r="AH429" s="150"/>
    </row>
    <row r="430" spans="5:34">
      <c r="E430" s="31"/>
      <c r="F430" s="32"/>
      <c r="G430" s="29"/>
      <c r="H430" s="25"/>
      <c r="I430" s="25"/>
      <c r="J430" s="25"/>
      <c r="K430" s="25"/>
      <c r="L430" s="29"/>
      <c r="M430" s="29"/>
      <c r="N430" s="28"/>
      <c r="O430" s="30"/>
      <c r="P430" s="30"/>
      <c r="Q430" s="30"/>
      <c r="R430" s="30"/>
      <c r="S430" s="30"/>
      <c r="T430" s="30"/>
      <c r="U430" s="30"/>
      <c r="V430" s="29"/>
      <c r="W430" s="125"/>
      <c r="X430" s="149"/>
      <c r="Y430" s="149"/>
      <c r="Z430" s="150"/>
      <c r="AA430" s="150"/>
      <c r="AB430" s="151"/>
      <c r="AC430" s="150"/>
      <c r="AD430" s="150"/>
      <c r="AE430" s="150"/>
      <c r="AF430" s="150"/>
      <c r="AG430" s="150"/>
      <c r="AH430" s="150"/>
    </row>
    <row r="431" spans="5:34">
      <c r="E431" s="31"/>
      <c r="F431" s="32"/>
      <c r="G431" s="29"/>
      <c r="H431" s="25"/>
      <c r="I431" s="25"/>
      <c r="J431" s="25"/>
      <c r="K431" s="25"/>
      <c r="L431" s="29"/>
      <c r="M431" s="29"/>
      <c r="N431" s="28"/>
      <c r="O431" s="30"/>
      <c r="P431" s="30"/>
      <c r="Q431" s="30"/>
      <c r="R431" s="30"/>
      <c r="S431" s="30"/>
      <c r="T431" s="30"/>
      <c r="U431" s="30"/>
      <c r="V431" s="29"/>
      <c r="W431" s="125"/>
      <c r="X431" s="149"/>
      <c r="Y431" s="149"/>
      <c r="Z431" s="150"/>
      <c r="AA431" s="150"/>
      <c r="AB431" s="151"/>
      <c r="AC431" s="150"/>
      <c r="AD431" s="150"/>
      <c r="AE431" s="150"/>
      <c r="AF431" s="150"/>
      <c r="AG431" s="150"/>
      <c r="AH431" s="150"/>
    </row>
    <row r="432" spans="5:34">
      <c r="E432" s="31"/>
      <c r="F432" s="32"/>
      <c r="G432" s="29"/>
      <c r="H432" s="25"/>
      <c r="I432" s="25"/>
      <c r="J432" s="25"/>
      <c r="K432" s="25"/>
      <c r="L432" s="29"/>
      <c r="M432" s="29"/>
      <c r="N432" s="28"/>
      <c r="O432" s="30"/>
      <c r="P432" s="30"/>
      <c r="Q432" s="30"/>
      <c r="R432" s="30"/>
      <c r="S432" s="30"/>
      <c r="T432" s="30"/>
      <c r="U432" s="30"/>
      <c r="V432" s="29"/>
      <c r="W432" s="125"/>
      <c r="X432" s="149"/>
      <c r="Y432" s="149"/>
      <c r="Z432" s="150"/>
      <c r="AA432" s="150"/>
      <c r="AB432" s="151"/>
      <c r="AC432" s="150"/>
      <c r="AD432" s="150"/>
      <c r="AE432" s="150"/>
      <c r="AF432" s="150"/>
      <c r="AG432" s="150"/>
      <c r="AH432" s="150"/>
    </row>
    <row r="433" spans="5:34">
      <c r="E433" s="31"/>
      <c r="F433" s="32"/>
      <c r="G433" s="29"/>
      <c r="H433" s="25"/>
      <c r="I433" s="25"/>
      <c r="J433" s="25"/>
      <c r="K433" s="25"/>
      <c r="L433" s="29"/>
      <c r="M433" s="29"/>
      <c r="N433" s="28"/>
      <c r="O433" s="30"/>
      <c r="P433" s="30"/>
      <c r="Q433" s="30"/>
      <c r="R433" s="30"/>
      <c r="S433" s="30"/>
      <c r="T433" s="30"/>
      <c r="U433" s="30"/>
      <c r="V433" s="29"/>
      <c r="W433" s="125"/>
      <c r="X433" s="149"/>
      <c r="Y433" s="149"/>
      <c r="Z433" s="150"/>
      <c r="AA433" s="150"/>
      <c r="AB433" s="151"/>
      <c r="AC433" s="150"/>
      <c r="AD433" s="150"/>
      <c r="AE433" s="150"/>
      <c r="AF433" s="150"/>
      <c r="AG433" s="150"/>
      <c r="AH433" s="150"/>
    </row>
    <row r="434" spans="5:34">
      <c r="E434" s="31"/>
      <c r="F434" s="32"/>
      <c r="G434" s="29"/>
      <c r="H434" s="25"/>
      <c r="I434" s="25"/>
      <c r="J434" s="25"/>
      <c r="K434" s="25"/>
      <c r="L434" s="29"/>
      <c r="M434" s="29"/>
      <c r="N434" s="28"/>
      <c r="O434" s="30"/>
      <c r="P434" s="30"/>
      <c r="Q434" s="30"/>
      <c r="R434" s="30"/>
      <c r="S434" s="30"/>
      <c r="T434" s="30"/>
      <c r="U434" s="30"/>
      <c r="V434" s="29"/>
      <c r="W434" s="125"/>
      <c r="X434" s="149"/>
      <c r="Y434" s="149"/>
      <c r="Z434" s="150"/>
      <c r="AA434" s="150"/>
      <c r="AB434" s="151"/>
      <c r="AC434" s="150"/>
      <c r="AD434" s="150"/>
      <c r="AE434" s="150"/>
      <c r="AF434" s="150"/>
      <c r="AG434" s="150"/>
      <c r="AH434" s="150"/>
    </row>
    <row r="435" spans="5:34">
      <c r="E435" s="31"/>
      <c r="F435" s="32"/>
      <c r="G435" s="29"/>
      <c r="H435" s="25"/>
      <c r="I435" s="25"/>
      <c r="J435" s="25"/>
      <c r="K435" s="25"/>
      <c r="L435" s="29"/>
      <c r="M435" s="29"/>
      <c r="N435" s="28"/>
      <c r="O435" s="30"/>
      <c r="P435" s="30"/>
      <c r="Q435" s="30"/>
      <c r="R435" s="30"/>
      <c r="S435" s="30"/>
      <c r="T435" s="30"/>
      <c r="U435" s="30"/>
      <c r="V435" s="29"/>
      <c r="W435" s="125"/>
      <c r="X435" s="149"/>
      <c r="Y435" s="149"/>
      <c r="Z435" s="150"/>
      <c r="AA435" s="150"/>
      <c r="AB435" s="151"/>
      <c r="AC435" s="150"/>
      <c r="AD435" s="150"/>
      <c r="AE435" s="150"/>
      <c r="AF435" s="150"/>
      <c r="AG435" s="150"/>
      <c r="AH435" s="150"/>
    </row>
    <row r="436" spans="5:34">
      <c r="E436" s="31"/>
      <c r="F436" s="32"/>
      <c r="G436" s="29"/>
      <c r="H436" s="25"/>
      <c r="I436" s="25"/>
      <c r="J436" s="25"/>
      <c r="K436" s="25"/>
      <c r="L436" s="29"/>
      <c r="M436" s="29"/>
      <c r="N436" s="28"/>
      <c r="O436" s="30"/>
      <c r="P436" s="30"/>
      <c r="Q436" s="30"/>
      <c r="R436" s="30"/>
      <c r="S436" s="30"/>
      <c r="T436" s="30"/>
      <c r="U436" s="30"/>
      <c r="V436" s="29"/>
      <c r="W436" s="125"/>
      <c r="X436" s="149"/>
      <c r="Y436" s="149"/>
      <c r="Z436" s="150"/>
      <c r="AA436" s="150"/>
      <c r="AB436" s="151"/>
      <c r="AC436" s="150"/>
      <c r="AD436" s="150"/>
      <c r="AE436" s="150"/>
      <c r="AF436" s="150"/>
      <c r="AG436" s="150"/>
      <c r="AH436" s="150"/>
    </row>
    <row r="437" spans="5:34">
      <c r="E437" s="31"/>
      <c r="F437" s="32"/>
      <c r="G437" s="29"/>
      <c r="H437" s="25"/>
      <c r="I437" s="25"/>
      <c r="J437" s="25"/>
      <c r="K437" s="25"/>
      <c r="L437" s="29"/>
      <c r="M437" s="29"/>
      <c r="N437" s="28"/>
      <c r="O437" s="30"/>
      <c r="P437" s="30"/>
      <c r="Q437" s="30"/>
      <c r="R437" s="30"/>
      <c r="S437" s="30"/>
      <c r="T437" s="30"/>
      <c r="U437" s="30"/>
      <c r="V437" s="29"/>
      <c r="W437" s="125"/>
      <c r="X437" s="149"/>
      <c r="Y437" s="149"/>
      <c r="Z437" s="150"/>
      <c r="AA437" s="150"/>
      <c r="AB437" s="151"/>
      <c r="AC437" s="150"/>
      <c r="AD437" s="150"/>
      <c r="AE437" s="150"/>
      <c r="AF437" s="150"/>
      <c r="AG437" s="150"/>
      <c r="AH437" s="150"/>
    </row>
    <row r="438" spans="5:34">
      <c r="E438" s="31"/>
      <c r="F438" s="32"/>
      <c r="G438" s="29"/>
      <c r="H438" s="25"/>
      <c r="I438" s="25"/>
      <c r="J438" s="25"/>
      <c r="K438" s="25"/>
      <c r="L438" s="29"/>
      <c r="M438" s="29"/>
      <c r="N438" s="28"/>
      <c r="O438" s="30"/>
      <c r="P438" s="30"/>
      <c r="Q438" s="30"/>
      <c r="R438" s="30"/>
      <c r="S438" s="30"/>
      <c r="T438" s="30"/>
      <c r="U438" s="30"/>
      <c r="V438" s="29"/>
      <c r="W438" s="125"/>
      <c r="X438" s="149"/>
      <c r="Y438" s="149"/>
      <c r="Z438" s="150"/>
      <c r="AA438" s="150"/>
      <c r="AB438" s="151"/>
      <c r="AC438" s="150"/>
      <c r="AD438" s="150"/>
      <c r="AE438" s="150"/>
      <c r="AF438" s="150"/>
      <c r="AG438" s="150"/>
      <c r="AH438" s="150"/>
    </row>
    <row r="439" spans="5:34">
      <c r="E439" s="31"/>
      <c r="F439" s="32"/>
      <c r="G439" s="29"/>
      <c r="H439" s="25"/>
      <c r="I439" s="25"/>
      <c r="J439" s="25"/>
      <c r="K439" s="25"/>
      <c r="L439" s="29"/>
      <c r="M439" s="29"/>
      <c r="N439" s="28"/>
      <c r="O439" s="30"/>
      <c r="P439" s="30"/>
      <c r="Q439" s="30"/>
      <c r="R439" s="30"/>
      <c r="S439" s="30"/>
      <c r="T439" s="30"/>
      <c r="U439" s="30"/>
      <c r="V439" s="29"/>
      <c r="W439" s="125"/>
      <c r="X439" s="149"/>
      <c r="Y439" s="149"/>
      <c r="Z439" s="150"/>
      <c r="AA439" s="150"/>
      <c r="AB439" s="151"/>
      <c r="AC439" s="150"/>
      <c r="AD439" s="150"/>
      <c r="AE439" s="150"/>
      <c r="AF439" s="150"/>
      <c r="AG439" s="150"/>
      <c r="AH439" s="150"/>
    </row>
    <row r="440" spans="5:34">
      <c r="E440" s="31"/>
      <c r="F440" s="32"/>
      <c r="G440" s="29"/>
      <c r="H440" s="25"/>
      <c r="I440" s="25"/>
      <c r="J440" s="25"/>
      <c r="K440" s="25"/>
      <c r="L440" s="29"/>
      <c r="M440" s="29"/>
      <c r="N440" s="28"/>
      <c r="O440" s="30"/>
      <c r="P440" s="30"/>
      <c r="Q440" s="30"/>
      <c r="R440" s="30"/>
      <c r="S440" s="30"/>
      <c r="T440" s="30"/>
      <c r="U440" s="30"/>
      <c r="V440" s="29"/>
      <c r="W440" s="125"/>
      <c r="X440" s="149"/>
      <c r="Y440" s="149"/>
      <c r="Z440" s="150"/>
      <c r="AA440" s="150"/>
      <c r="AB440" s="151"/>
      <c r="AC440" s="150"/>
      <c r="AD440" s="150"/>
      <c r="AE440" s="150"/>
      <c r="AF440" s="150"/>
      <c r="AG440" s="150"/>
      <c r="AH440" s="150"/>
    </row>
    <row r="441" spans="5:34">
      <c r="E441" s="31"/>
      <c r="F441" s="32"/>
      <c r="G441" s="29"/>
      <c r="H441" s="25"/>
      <c r="I441" s="25"/>
      <c r="J441" s="25"/>
      <c r="K441" s="25"/>
      <c r="L441" s="29"/>
      <c r="M441" s="29"/>
      <c r="N441" s="28"/>
      <c r="O441" s="30"/>
      <c r="P441" s="30"/>
      <c r="Q441" s="30"/>
      <c r="R441" s="30"/>
      <c r="S441" s="30"/>
      <c r="T441" s="30"/>
      <c r="U441" s="30"/>
      <c r="V441" s="29"/>
      <c r="W441" s="125"/>
      <c r="X441" s="149"/>
      <c r="Y441" s="149"/>
      <c r="Z441" s="150"/>
      <c r="AA441" s="150"/>
      <c r="AB441" s="151"/>
      <c r="AC441" s="150"/>
      <c r="AD441" s="150"/>
      <c r="AE441" s="150"/>
      <c r="AF441" s="150"/>
      <c r="AG441" s="150"/>
      <c r="AH441" s="150"/>
    </row>
    <row r="442" spans="5:34">
      <c r="E442" s="31"/>
      <c r="F442" s="32"/>
      <c r="G442" s="29"/>
      <c r="H442" s="25"/>
      <c r="I442" s="25"/>
      <c r="J442" s="25"/>
      <c r="K442" s="25"/>
      <c r="L442" s="29"/>
      <c r="M442" s="29"/>
      <c r="N442" s="28"/>
      <c r="O442" s="30"/>
      <c r="P442" s="30"/>
      <c r="Q442" s="30"/>
      <c r="R442" s="30"/>
      <c r="S442" s="30"/>
      <c r="T442" s="30"/>
      <c r="U442" s="30"/>
      <c r="V442" s="29"/>
      <c r="W442" s="125"/>
      <c r="X442" s="149"/>
      <c r="Y442" s="149"/>
      <c r="Z442" s="150"/>
      <c r="AA442" s="150"/>
      <c r="AB442" s="151"/>
      <c r="AC442" s="150"/>
      <c r="AD442" s="150"/>
      <c r="AE442" s="150"/>
      <c r="AF442" s="150"/>
      <c r="AG442" s="150"/>
      <c r="AH442" s="150"/>
    </row>
    <row r="443" spans="5:34">
      <c r="E443" s="31"/>
      <c r="F443" s="32"/>
      <c r="G443" s="29"/>
      <c r="H443" s="25"/>
      <c r="I443" s="25"/>
      <c r="J443" s="25"/>
      <c r="K443" s="25"/>
      <c r="L443" s="29"/>
      <c r="M443" s="29"/>
      <c r="N443" s="28"/>
      <c r="O443" s="30"/>
      <c r="P443" s="30"/>
      <c r="Q443" s="30"/>
      <c r="R443" s="30"/>
      <c r="S443" s="30"/>
      <c r="T443" s="30"/>
      <c r="U443" s="30"/>
      <c r="V443" s="29"/>
      <c r="W443" s="125"/>
      <c r="X443" s="149"/>
      <c r="Y443" s="149"/>
      <c r="Z443" s="150"/>
      <c r="AA443" s="150"/>
      <c r="AB443" s="151"/>
      <c r="AC443" s="150"/>
      <c r="AD443" s="150"/>
      <c r="AE443" s="150"/>
      <c r="AF443" s="150"/>
      <c r="AG443" s="150"/>
      <c r="AH443" s="150"/>
    </row>
    <row r="444" spans="5:34">
      <c r="E444" s="31"/>
      <c r="F444" s="32"/>
      <c r="G444" s="29"/>
      <c r="H444" s="25"/>
      <c r="I444" s="25"/>
      <c r="J444" s="25"/>
      <c r="K444" s="25"/>
      <c r="L444" s="29"/>
      <c r="M444" s="29"/>
      <c r="N444" s="28"/>
      <c r="O444" s="30"/>
      <c r="P444" s="30"/>
      <c r="Q444" s="30"/>
      <c r="R444" s="30"/>
      <c r="S444" s="30"/>
      <c r="T444" s="30"/>
      <c r="U444" s="30"/>
      <c r="V444" s="29"/>
      <c r="W444" s="125"/>
      <c r="X444" s="149"/>
      <c r="Y444" s="149"/>
      <c r="Z444" s="150"/>
      <c r="AA444" s="150"/>
      <c r="AB444" s="151"/>
      <c r="AC444" s="150"/>
      <c r="AD444" s="150"/>
      <c r="AE444" s="150"/>
      <c r="AF444" s="150"/>
      <c r="AG444" s="150"/>
      <c r="AH444" s="150"/>
    </row>
    <row r="445" spans="5:34">
      <c r="E445" s="31"/>
      <c r="F445" s="32"/>
      <c r="G445" s="29"/>
      <c r="H445" s="25"/>
      <c r="I445" s="25"/>
      <c r="J445" s="25"/>
      <c r="K445" s="25"/>
      <c r="L445" s="29"/>
      <c r="M445" s="29"/>
      <c r="N445" s="28"/>
      <c r="O445" s="30"/>
      <c r="P445" s="30"/>
      <c r="Q445" s="30"/>
      <c r="R445" s="30"/>
      <c r="S445" s="30"/>
      <c r="T445" s="30"/>
      <c r="U445" s="30"/>
      <c r="V445" s="29"/>
      <c r="W445" s="125"/>
      <c r="X445" s="149"/>
      <c r="Y445" s="149"/>
      <c r="Z445" s="150"/>
      <c r="AA445" s="150"/>
      <c r="AB445" s="151"/>
      <c r="AC445" s="150"/>
      <c r="AD445" s="150"/>
      <c r="AE445" s="150"/>
      <c r="AF445" s="150"/>
      <c r="AG445" s="150"/>
      <c r="AH445" s="150"/>
    </row>
    <row r="446" spans="5:34">
      <c r="E446" s="31"/>
      <c r="F446" s="32"/>
      <c r="G446" s="29"/>
      <c r="H446" s="25"/>
      <c r="I446" s="25"/>
      <c r="J446" s="25"/>
      <c r="K446" s="25"/>
      <c r="L446" s="29"/>
      <c r="M446" s="29"/>
      <c r="N446" s="28"/>
      <c r="O446" s="30"/>
      <c r="P446" s="30"/>
      <c r="Q446" s="30"/>
      <c r="R446" s="30"/>
      <c r="S446" s="30"/>
      <c r="T446" s="30"/>
      <c r="U446" s="30"/>
      <c r="V446" s="29"/>
      <c r="W446" s="125"/>
      <c r="X446" s="149"/>
      <c r="Y446" s="149"/>
      <c r="Z446" s="150"/>
      <c r="AA446" s="150"/>
      <c r="AB446" s="151"/>
      <c r="AC446" s="150"/>
      <c r="AD446" s="150"/>
      <c r="AE446" s="150"/>
      <c r="AF446" s="150"/>
      <c r="AG446" s="150"/>
      <c r="AH446" s="150"/>
    </row>
    <row r="447" spans="5:34">
      <c r="E447" s="31"/>
      <c r="F447" s="32"/>
      <c r="G447" s="29"/>
      <c r="H447" s="25"/>
      <c r="I447" s="25"/>
      <c r="J447" s="25"/>
      <c r="K447" s="25"/>
      <c r="L447" s="29"/>
      <c r="M447" s="29"/>
      <c r="N447" s="28"/>
      <c r="O447" s="30"/>
      <c r="P447" s="30"/>
      <c r="Q447" s="30"/>
      <c r="R447" s="30"/>
      <c r="S447" s="30"/>
      <c r="T447" s="30"/>
      <c r="U447" s="30"/>
      <c r="V447" s="29"/>
      <c r="W447" s="125"/>
      <c r="X447" s="149"/>
      <c r="Y447" s="149"/>
      <c r="Z447" s="150"/>
      <c r="AA447" s="150"/>
      <c r="AB447" s="151"/>
      <c r="AC447" s="150"/>
      <c r="AD447" s="150"/>
      <c r="AE447" s="150"/>
      <c r="AF447" s="150"/>
      <c r="AG447" s="150"/>
      <c r="AH447" s="150"/>
    </row>
    <row r="448" spans="5:34">
      <c r="E448" s="31"/>
      <c r="F448" s="32"/>
      <c r="G448" s="29"/>
      <c r="H448" s="25"/>
      <c r="I448" s="25"/>
      <c r="J448" s="25"/>
      <c r="K448" s="25"/>
      <c r="L448" s="29"/>
      <c r="M448" s="29"/>
      <c r="N448" s="28"/>
      <c r="O448" s="30"/>
      <c r="P448" s="30"/>
      <c r="Q448" s="30"/>
      <c r="R448" s="30"/>
      <c r="S448" s="30"/>
      <c r="T448" s="30"/>
      <c r="U448" s="30"/>
      <c r="V448" s="29"/>
      <c r="W448" s="125"/>
      <c r="X448" s="149"/>
      <c r="Y448" s="149"/>
      <c r="Z448" s="150"/>
      <c r="AA448" s="150"/>
      <c r="AB448" s="151"/>
      <c r="AC448" s="150"/>
      <c r="AD448" s="150"/>
      <c r="AE448" s="150"/>
      <c r="AF448" s="150"/>
      <c r="AG448" s="150"/>
      <c r="AH448" s="150"/>
    </row>
    <row r="449" spans="5:34">
      <c r="E449" s="31"/>
      <c r="F449" s="32"/>
      <c r="G449" s="29"/>
      <c r="H449" s="25"/>
      <c r="I449" s="25"/>
      <c r="J449" s="25"/>
      <c r="K449" s="25"/>
      <c r="L449" s="29"/>
      <c r="M449" s="29"/>
      <c r="N449" s="28"/>
      <c r="O449" s="30"/>
      <c r="P449" s="30"/>
      <c r="Q449" s="30"/>
      <c r="R449" s="30"/>
      <c r="S449" s="30"/>
      <c r="T449" s="30"/>
      <c r="U449" s="30"/>
      <c r="V449" s="29"/>
      <c r="W449" s="125"/>
      <c r="X449" s="149"/>
      <c r="Y449" s="149"/>
      <c r="Z449" s="150"/>
      <c r="AA449" s="150"/>
      <c r="AB449" s="151"/>
      <c r="AC449" s="150"/>
      <c r="AD449" s="150"/>
      <c r="AE449" s="150"/>
      <c r="AF449" s="150"/>
      <c r="AG449" s="150"/>
      <c r="AH449" s="150"/>
    </row>
    <row r="450" spans="5:34">
      <c r="E450" s="31"/>
      <c r="F450" s="32"/>
      <c r="G450" s="29"/>
      <c r="H450" s="25"/>
      <c r="I450" s="25"/>
      <c r="J450" s="25"/>
      <c r="K450" s="25"/>
      <c r="L450" s="29"/>
      <c r="M450" s="29"/>
      <c r="N450" s="28"/>
      <c r="O450" s="30"/>
      <c r="P450" s="30"/>
      <c r="Q450" s="30"/>
      <c r="R450" s="30"/>
      <c r="S450" s="30"/>
      <c r="T450" s="30"/>
      <c r="U450" s="30"/>
      <c r="V450" s="29"/>
      <c r="W450" s="125"/>
      <c r="X450" s="149"/>
      <c r="Y450" s="149"/>
      <c r="Z450" s="150"/>
      <c r="AA450" s="150"/>
      <c r="AB450" s="151"/>
      <c r="AC450" s="150"/>
      <c r="AD450" s="150"/>
      <c r="AE450" s="150"/>
      <c r="AF450" s="150"/>
      <c r="AG450" s="150"/>
      <c r="AH450" s="150"/>
    </row>
    <row r="451" spans="5:34">
      <c r="E451" s="31"/>
      <c r="F451" s="32"/>
      <c r="G451" s="29"/>
      <c r="H451" s="25"/>
      <c r="I451" s="25"/>
      <c r="J451" s="25"/>
      <c r="K451" s="25"/>
      <c r="L451" s="29"/>
      <c r="M451" s="29"/>
      <c r="N451" s="28"/>
      <c r="O451" s="30"/>
      <c r="P451" s="30"/>
      <c r="Q451" s="30"/>
      <c r="R451" s="30"/>
      <c r="S451" s="30"/>
      <c r="T451" s="30"/>
      <c r="U451" s="30"/>
      <c r="V451" s="29"/>
      <c r="W451" s="125"/>
      <c r="X451" s="149"/>
      <c r="Y451" s="149"/>
      <c r="Z451" s="150"/>
      <c r="AA451" s="150"/>
      <c r="AB451" s="151"/>
      <c r="AC451" s="150"/>
      <c r="AD451" s="150"/>
      <c r="AE451" s="150"/>
      <c r="AF451" s="150"/>
      <c r="AG451" s="150"/>
      <c r="AH451" s="150"/>
    </row>
    <row r="452" spans="5:34">
      <c r="E452" s="31"/>
      <c r="F452" s="32"/>
      <c r="G452" s="29"/>
      <c r="H452" s="25"/>
      <c r="I452" s="25"/>
      <c r="J452" s="25"/>
      <c r="K452" s="25"/>
      <c r="L452" s="29"/>
      <c r="M452" s="29"/>
      <c r="N452" s="28"/>
      <c r="O452" s="30"/>
      <c r="P452" s="30"/>
      <c r="Q452" s="30"/>
      <c r="R452" s="30"/>
      <c r="S452" s="30"/>
      <c r="T452" s="30"/>
      <c r="U452" s="30"/>
      <c r="V452" s="29"/>
      <c r="W452" s="125"/>
      <c r="X452" s="149"/>
      <c r="Y452" s="149"/>
      <c r="Z452" s="150"/>
      <c r="AA452" s="150"/>
      <c r="AB452" s="151"/>
      <c r="AC452" s="150"/>
      <c r="AD452" s="150"/>
      <c r="AE452" s="150"/>
      <c r="AF452" s="150"/>
      <c r="AG452" s="150"/>
      <c r="AH452" s="150"/>
    </row>
    <row r="453" spans="5:34">
      <c r="E453" s="31"/>
      <c r="F453" s="32"/>
      <c r="G453" s="29"/>
      <c r="H453" s="25"/>
      <c r="I453" s="25"/>
      <c r="J453" s="25"/>
      <c r="K453" s="25"/>
      <c r="L453" s="29"/>
      <c r="M453" s="29"/>
      <c r="N453" s="28"/>
      <c r="O453" s="30"/>
      <c r="P453" s="30"/>
      <c r="Q453" s="30"/>
      <c r="R453" s="30"/>
      <c r="S453" s="30"/>
      <c r="T453" s="30"/>
      <c r="U453" s="30"/>
      <c r="V453" s="29"/>
      <c r="W453" s="125"/>
      <c r="X453" s="149"/>
      <c r="Y453" s="149"/>
      <c r="Z453" s="150"/>
      <c r="AA453" s="150"/>
      <c r="AB453" s="151"/>
      <c r="AC453" s="150"/>
      <c r="AD453" s="150"/>
      <c r="AE453" s="150"/>
      <c r="AF453" s="150"/>
      <c r="AG453" s="150"/>
      <c r="AH453" s="150"/>
    </row>
    <row r="454" spans="5:34">
      <c r="E454" s="31"/>
      <c r="F454" s="32"/>
      <c r="G454" s="29"/>
      <c r="H454" s="25"/>
      <c r="I454" s="25"/>
      <c r="J454" s="25"/>
      <c r="K454" s="25"/>
      <c r="L454" s="29"/>
      <c r="M454" s="29"/>
      <c r="N454" s="28"/>
      <c r="O454" s="30"/>
      <c r="P454" s="30"/>
      <c r="Q454" s="30"/>
      <c r="R454" s="30"/>
      <c r="S454" s="30"/>
      <c r="T454" s="30"/>
      <c r="U454" s="30"/>
      <c r="V454" s="29"/>
      <c r="W454" s="125"/>
      <c r="X454" s="149"/>
      <c r="Y454" s="149"/>
      <c r="Z454" s="150"/>
      <c r="AA454" s="150"/>
      <c r="AB454" s="151"/>
      <c r="AC454" s="150"/>
      <c r="AD454" s="150"/>
      <c r="AE454" s="150"/>
      <c r="AF454" s="150"/>
      <c r="AG454" s="150"/>
      <c r="AH454" s="150"/>
    </row>
    <row r="455" spans="5:34">
      <c r="E455" s="31"/>
      <c r="F455" s="32"/>
      <c r="G455" s="29"/>
      <c r="H455" s="25"/>
      <c r="I455" s="25"/>
      <c r="J455" s="25"/>
      <c r="K455" s="25"/>
      <c r="L455" s="29"/>
      <c r="M455" s="29"/>
      <c r="N455" s="28"/>
      <c r="O455" s="30"/>
      <c r="P455" s="30"/>
      <c r="Q455" s="30"/>
      <c r="R455" s="30"/>
      <c r="S455" s="30"/>
      <c r="T455" s="30"/>
      <c r="U455" s="30"/>
      <c r="V455" s="29"/>
      <c r="W455" s="125"/>
      <c r="X455" s="149"/>
      <c r="Y455" s="149"/>
      <c r="Z455" s="150"/>
      <c r="AA455" s="150"/>
      <c r="AB455" s="151"/>
      <c r="AC455" s="150"/>
      <c r="AD455" s="150"/>
      <c r="AE455" s="150"/>
      <c r="AF455" s="150"/>
      <c r="AG455" s="150"/>
      <c r="AH455" s="150"/>
    </row>
    <row r="456" spans="5:34">
      <c r="E456" s="31"/>
      <c r="F456" s="32"/>
      <c r="G456" s="29"/>
      <c r="H456" s="25"/>
      <c r="I456" s="25"/>
      <c r="J456" s="25"/>
      <c r="K456" s="25"/>
      <c r="L456" s="29"/>
      <c r="M456" s="29"/>
      <c r="N456" s="28"/>
      <c r="O456" s="30"/>
      <c r="P456" s="30"/>
      <c r="Q456" s="30"/>
      <c r="R456" s="30"/>
      <c r="S456" s="30"/>
      <c r="T456" s="30"/>
      <c r="U456" s="30"/>
      <c r="V456" s="29"/>
      <c r="W456" s="125"/>
      <c r="X456" s="149"/>
      <c r="Y456" s="149"/>
      <c r="Z456" s="150"/>
      <c r="AA456" s="150"/>
      <c r="AB456" s="151"/>
      <c r="AC456" s="150"/>
      <c r="AD456" s="150"/>
      <c r="AE456" s="150"/>
      <c r="AF456" s="150"/>
      <c r="AG456" s="150"/>
      <c r="AH456" s="150"/>
    </row>
    <row r="457" spans="5:34">
      <c r="E457" s="31"/>
      <c r="F457" s="32"/>
      <c r="G457" s="29"/>
      <c r="H457" s="25"/>
      <c r="I457" s="25"/>
      <c r="J457" s="25"/>
      <c r="K457" s="25"/>
      <c r="L457" s="29"/>
      <c r="M457" s="29"/>
      <c r="N457" s="28"/>
      <c r="O457" s="30"/>
      <c r="P457" s="30"/>
      <c r="Q457" s="30"/>
      <c r="R457" s="30"/>
      <c r="S457" s="30"/>
      <c r="T457" s="30"/>
      <c r="U457" s="30"/>
      <c r="V457" s="29"/>
      <c r="W457" s="125"/>
      <c r="X457" s="149"/>
      <c r="Y457" s="149"/>
      <c r="Z457" s="150"/>
      <c r="AA457" s="150"/>
      <c r="AB457" s="151"/>
      <c r="AC457" s="150"/>
      <c r="AD457" s="150"/>
      <c r="AE457" s="150"/>
      <c r="AF457" s="150"/>
      <c r="AG457" s="150"/>
      <c r="AH457" s="150"/>
    </row>
    <row r="458" spans="5:34">
      <c r="E458" s="31"/>
      <c r="F458" s="32"/>
      <c r="G458" s="29"/>
      <c r="H458" s="25"/>
      <c r="I458" s="25"/>
      <c r="J458" s="25"/>
      <c r="K458" s="25"/>
      <c r="L458" s="29"/>
      <c r="M458" s="29"/>
      <c r="N458" s="28"/>
      <c r="O458" s="30"/>
      <c r="P458" s="30"/>
      <c r="Q458" s="30"/>
      <c r="R458" s="30"/>
      <c r="S458" s="30"/>
      <c r="T458" s="30"/>
      <c r="U458" s="30"/>
      <c r="V458" s="29"/>
      <c r="W458" s="125"/>
      <c r="X458" s="149"/>
      <c r="Y458" s="149"/>
      <c r="Z458" s="150"/>
      <c r="AA458" s="150"/>
      <c r="AB458" s="151"/>
      <c r="AC458" s="150"/>
      <c r="AD458" s="150"/>
      <c r="AE458" s="150"/>
      <c r="AF458" s="150"/>
      <c r="AG458" s="150"/>
      <c r="AH458" s="150"/>
    </row>
    <row r="459" spans="5:34">
      <c r="E459" s="31"/>
      <c r="F459" s="32"/>
      <c r="G459" s="29"/>
      <c r="H459" s="25"/>
      <c r="I459" s="25"/>
      <c r="J459" s="25"/>
      <c r="K459" s="25"/>
      <c r="L459" s="29"/>
      <c r="M459" s="29"/>
      <c r="N459" s="28"/>
      <c r="O459" s="30"/>
      <c r="P459" s="30"/>
      <c r="Q459" s="30"/>
      <c r="R459" s="30"/>
      <c r="S459" s="30"/>
      <c r="T459" s="30"/>
      <c r="U459" s="30"/>
      <c r="V459" s="29"/>
      <c r="W459" s="125"/>
      <c r="X459" s="149"/>
      <c r="Y459" s="149"/>
      <c r="Z459" s="150"/>
      <c r="AA459" s="150"/>
      <c r="AB459" s="151"/>
      <c r="AC459" s="150"/>
      <c r="AD459" s="150"/>
      <c r="AE459" s="150"/>
      <c r="AF459" s="150"/>
      <c r="AG459" s="150"/>
      <c r="AH459" s="150"/>
    </row>
    <row r="460" spans="5:34">
      <c r="E460" s="31"/>
      <c r="F460" s="32"/>
      <c r="G460" s="29"/>
      <c r="H460" s="25"/>
      <c r="I460" s="25"/>
      <c r="J460" s="25"/>
      <c r="K460" s="25"/>
      <c r="L460" s="29"/>
      <c r="M460" s="29"/>
      <c r="N460" s="28"/>
      <c r="O460" s="30"/>
      <c r="P460" s="30"/>
      <c r="Q460" s="30"/>
      <c r="R460" s="30"/>
      <c r="S460" s="30"/>
      <c r="T460" s="30"/>
      <c r="U460" s="30"/>
      <c r="V460" s="29"/>
      <c r="W460" s="125"/>
      <c r="X460" s="149"/>
      <c r="Y460" s="149"/>
      <c r="Z460" s="150"/>
      <c r="AA460" s="150"/>
      <c r="AB460" s="151"/>
      <c r="AC460" s="150"/>
      <c r="AD460" s="150"/>
      <c r="AE460" s="150"/>
      <c r="AF460" s="150"/>
      <c r="AG460" s="150"/>
      <c r="AH460" s="150"/>
    </row>
    <row r="461" spans="5:34">
      <c r="E461" s="31"/>
      <c r="F461" s="32"/>
      <c r="G461" s="29"/>
      <c r="H461" s="25"/>
      <c r="I461" s="25"/>
      <c r="J461" s="25"/>
      <c r="K461" s="25"/>
      <c r="L461" s="29"/>
      <c r="M461" s="29"/>
      <c r="N461" s="28"/>
      <c r="O461" s="30"/>
      <c r="P461" s="30"/>
      <c r="Q461" s="30"/>
      <c r="R461" s="30"/>
      <c r="S461" s="30"/>
      <c r="T461" s="30"/>
      <c r="U461" s="30"/>
      <c r="V461" s="29"/>
      <c r="W461" s="125"/>
      <c r="X461" s="149"/>
      <c r="Y461" s="149"/>
      <c r="Z461" s="150"/>
      <c r="AA461" s="150"/>
      <c r="AB461" s="151"/>
      <c r="AC461" s="150"/>
      <c r="AD461" s="150"/>
      <c r="AE461" s="150"/>
      <c r="AF461" s="150"/>
      <c r="AG461" s="150"/>
      <c r="AH461" s="150"/>
    </row>
    <row r="462" spans="5:34">
      <c r="E462" s="31"/>
      <c r="F462" s="32"/>
      <c r="G462" s="29"/>
      <c r="H462" s="25"/>
      <c r="I462" s="25"/>
      <c r="J462" s="25"/>
      <c r="K462" s="25"/>
      <c r="L462" s="29"/>
      <c r="M462" s="29"/>
      <c r="N462" s="28"/>
      <c r="O462" s="30"/>
      <c r="P462" s="30"/>
      <c r="Q462" s="30"/>
      <c r="R462" s="30"/>
      <c r="S462" s="30"/>
      <c r="T462" s="30"/>
      <c r="U462" s="30"/>
      <c r="V462" s="29"/>
      <c r="W462" s="125"/>
      <c r="X462" s="149"/>
      <c r="Y462" s="149"/>
      <c r="Z462" s="150"/>
      <c r="AA462" s="150"/>
      <c r="AB462" s="151"/>
      <c r="AC462" s="150"/>
      <c r="AD462" s="150"/>
      <c r="AE462" s="150"/>
      <c r="AF462" s="150"/>
      <c r="AG462" s="150"/>
      <c r="AH462" s="150"/>
    </row>
    <row r="463" spans="5:34">
      <c r="E463" s="31"/>
      <c r="F463" s="32"/>
      <c r="G463" s="29"/>
      <c r="H463" s="25"/>
      <c r="I463" s="25"/>
      <c r="J463" s="25"/>
      <c r="K463" s="25"/>
      <c r="L463" s="29"/>
      <c r="M463" s="29"/>
      <c r="N463" s="28"/>
      <c r="O463" s="30"/>
      <c r="P463" s="30"/>
      <c r="Q463" s="30"/>
      <c r="R463" s="30"/>
      <c r="S463" s="30"/>
      <c r="T463" s="30"/>
      <c r="U463" s="30"/>
      <c r="V463" s="29"/>
      <c r="W463" s="125"/>
      <c r="X463" s="149"/>
      <c r="Y463" s="149"/>
      <c r="Z463" s="150"/>
      <c r="AA463" s="150"/>
      <c r="AB463" s="151"/>
      <c r="AC463" s="150"/>
      <c r="AD463" s="150"/>
      <c r="AE463" s="150"/>
      <c r="AF463" s="150"/>
      <c r="AG463" s="150"/>
      <c r="AH463" s="150"/>
    </row>
    <row r="464" spans="5:34">
      <c r="E464" s="31"/>
      <c r="F464" s="32"/>
      <c r="G464" s="29"/>
      <c r="H464" s="25"/>
      <c r="I464" s="25"/>
      <c r="J464" s="25"/>
      <c r="K464" s="25"/>
      <c r="L464" s="29"/>
      <c r="M464" s="29"/>
      <c r="N464" s="28"/>
      <c r="O464" s="30"/>
      <c r="P464" s="30"/>
      <c r="Q464" s="30"/>
      <c r="R464" s="30"/>
      <c r="S464" s="30"/>
      <c r="T464" s="30"/>
      <c r="U464" s="30"/>
      <c r="V464" s="29"/>
      <c r="W464" s="125"/>
      <c r="X464" s="149"/>
      <c r="Y464" s="149"/>
      <c r="Z464" s="150"/>
      <c r="AA464" s="150"/>
      <c r="AB464" s="151"/>
      <c r="AC464" s="150"/>
      <c r="AD464" s="150"/>
      <c r="AE464" s="150"/>
      <c r="AF464" s="150"/>
      <c r="AG464" s="150"/>
      <c r="AH464" s="150"/>
    </row>
    <row r="465" spans="5:34">
      <c r="E465" s="31"/>
      <c r="F465" s="32"/>
      <c r="G465" s="29"/>
      <c r="H465" s="25"/>
      <c r="I465" s="25"/>
      <c r="J465" s="25"/>
      <c r="K465" s="25"/>
      <c r="L465" s="29"/>
      <c r="M465" s="29"/>
      <c r="N465" s="28"/>
      <c r="O465" s="30"/>
      <c r="P465" s="30"/>
      <c r="Q465" s="30"/>
      <c r="R465" s="30"/>
      <c r="S465" s="30"/>
      <c r="T465" s="30"/>
      <c r="U465" s="30"/>
      <c r="V465" s="29"/>
      <c r="W465" s="125"/>
      <c r="X465" s="149"/>
      <c r="Y465" s="149"/>
      <c r="Z465" s="150"/>
      <c r="AA465" s="150"/>
      <c r="AB465" s="151"/>
      <c r="AC465" s="150"/>
      <c r="AD465" s="150"/>
      <c r="AE465" s="150"/>
      <c r="AF465" s="150"/>
      <c r="AG465" s="150"/>
      <c r="AH465" s="150"/>
    </row>
    <row r="466" spans="5:34">
      <c r="E466" s="31"/>
      <c r="F466" s="32"/>
      <c r="G466" s="29"/>
      <c r="H466" s="25"/>
      <c r="I466" s="25"/>
      <c r="J466" s="25"/>
      <c r="K466" s="25"/>
      <c r="L466" s="29"/>
      <c r="M466" s="29"/>
      <c r="N466" s="28"/>
      <c r="O466" s="30"/>
      <c r="P466" s="30"/>
      <c r="Q466" s="30"/>
      <c r="R466" s="30"/>
      <c r="S466" s="30"/>
      <c r="T466" s="30"/>
      <c r="U466" s="30"/>
      <c r="V466" s="29"/>
      <c r="W466" s="125"/>
      <c r="X466" s="149"/>
      <c r="Y466" s="149"/>
      <c r="Z466" s="150"/>
      <c r="AA466" s="150"/>
      <c r="AB466" s="151"/>
      <c r="AC466" s="150"/>
      <c r="AD466" s="150"/>
      <c r="AE466" s="150"/>
      <c r="AF466" s="150"/>
      <c r="AG466" s="150"/>
      <c r="AH466" s="150"/>
    </row>
    <row r="467" spans="5:34">
      <c r="E467" s="31"/>
      <c r="F467" s="32"/>
      <c r="G467" s="29"/>
      <c r="H467" s="25"/>
      <c r="I467" s="25"/>
      <c r="J467" s="25"/>
      <c r="K467" s="25"/>
      <c r="L467" s="29"/>
      <c r="M467" s="29"/>
      <c r="N467" s="28"/>
      <c r="O467" s="30"/>
      <c r="P467" s="30"/>
      <c r="Q467" s="30"/>
      <c r="R467" s="30"/>
      <c r="S467" s="30"/>
      <c r="T467" s="30"/>
      <c r="U467" s="30"/>
      <c r="V467" s="29"/>
      <c r="W467" s="125"/>
      <c r="X467" s="149"/>
      <c r="Y467" s="149"/>
      <c r="Z467" s="150"/>
      <c r="AA467" s="150"/>
      <c r="AB467" s="151"/>
      <c r="AC467" s="150"/>
      <c r="AD467" s="150"/>
      <c r="AE467" s="150"/>
      <c r="AF467" s="150"/>
      <c r="AG467" s="150"/>
      <c r="AH467" s="150"/>
    </row>
    <row r="468" spans="5:34">
      <c r="E468" s="31"/>
      <c r="F468" s="32"/>
      <c r="G468" s="29"/>
      <c r="H468" s="25"/>
      <c r="I468" s="25"/>
      <c r="J468" s="25"/>
      <c r="K468" s="25"/>
      <c r="L468" s="29"/>
      <c r="M468" s="29"/>
      <c r="N468" s="28"/>
      <c r="O468" s="30"/>
      <c r="P468" s="30"/>
      <c r="Q468" s="30"/>
      <c r="R468" s="30"/>
      <c r="S468" s="30"/>
      <c r="T468" s="30"/>
      <c r="U468" s="30"/>
      <c r="V468" s="29"/>
      <c r="W468" s="125"/>
      <c r="X468" s="149"/>
      <c r="Y468" s="149"/>
      <c r="Z468" s="150"/>
      <c r="AA468" s="150"/>
      <c r="AB468" s="151"/>
      <c r="AC468" s="150"/>
      <c r="AD468" s="150"/>
      <c r="AE468" s="150"/>
      <c r="AF468" s="150"/>
      <c r="AG468" s="150"/>
      <c r="AH468" s="150"/>
    </row>
    <row r="469" spans="5:34">
      <c r="E469" s="31"/>
      <c r="F469" s="32"/>
      <c r="G469" s="29"/>
      <c r="H469" s="25"/>
      <c r="I469" s="25"/>
      <c r="J469" s="25"/>
      <c r="K469" s="25"/>
      <c r="L469" s="29"/>
      <c r="M469" s="29"/>
      <c r="N469" s="28"/>
      <c r="O469" s="30"/>
      <c r="P469" s="30"/>
      <c r="Q469" s="30"/>
      <c r="R469" s="30"/>
      <c r="S469" s="30"/>
      <c r="T469" s="30"/>
      <c r="U469" s="30"/>
      <c r="V469" s="29"/>
      <c r="W469" s="125"/>
      <c r="X469" s="149"/>
      <c r="Y469" s="149"/>
      <c r="Z469" s="150"/>
      <c r="AA469" s="150"/>
      <c r="AB469" s="151"/>
      <c r="AC469" s="150"/>
      <c r="AD469" s="150"/>
      <c r="AE469" s="150"/>
      <c r="AF469" s="150"/>
      <c r="AG469" s="150"/>
      <c r="AH469" s="150"/>
    </row>
    <row r="470" spans="5:34">
      <c r="E470" s="31"/>
      <c r="F470" s="32"/>
      <c r="G470" s="29"/>
      <c r="H470" s="25"/>
      <c r="I470" s="25"/>
      <c r="J470" s="25"/>
      <c r="K470" s="25"/>
      <c r="L470" s="29"/>
      <c r="M470" s="29"/>
      <c r="N470" s="28"/>
      <c r="O470" s="30"/>
      <c r="P470" s="30"/>
      <c r="Q470" s="30"/>
      <c r="R470" s="30"/>
      <c r="S470" s="30"/>
      <c r="T470" s="30"/>
      <c r="U470" s="30"/>
      <c r="V470" s="29"/>
      <c r="W470" s="125"/>
      <c r="X470" s="149"/>
      <c r="Y470" s="149"/>
      <c r="Z470" s="150"/>
      <c r="AA470" s="150"/>
      <c r="AB470" s="151"/>
      <c r="AC470" s="150"/>
      <c r="AD470" s="150"/>
      <c r="AE470" s="150"/>
      <c r="AF470" s="150"/>
      <c r="AG470" s="150"/>
      <c r="AH470" s="150"/>
    </row>
    <row r="471" spans="5:34">
      <c r="E471" s="31"/>
      <c r="F471" s="32"/>
      <c r="G471" s="29"/>
      <c r="H471" s="25"/>
      <c r="I471" s="25"/>
      <c r="J471" s="25"/>
      <c r="K471" s="25"/>
      <c r="L471" s="29"/>
      <c r="M471" s="29"/>
      <c r="N471" s="28"/>
      <c r="O471" s="30"/>
      <c r="P471" s="30"/>
      <c r="Q471" s="30"/>
      <c r="R471" s="30"/>
      <c r="S471" s="30"/>
      <c r="T471" s="30"/>
      <c r="U471" s="30"/>
      <c r="V471" s="29"/>
      <c r="W471" s="125"/>
      <c r="X471" s="149"/>
      <c r="Y471" s="149"/>
      <c r="Z471" s="150"/>
      <c r="AA471" s="150"/>
      <c r="AB471" s="151"/>
      <c r="AC471" s="150"/>
      <c r="AD471" s="150"/>
      <c r="AE471" s="150"/>
      <c r="AF471" s="150"/>
      <c r="AG471" s="150"/>
      <c r="AH471" s="150"/>
    </row>
    <row r="472" spans="5:34">
      <c r="E472" s="31"/>
      <c r="F472" s="32"/>
      <c r="G472" s="29"/>
      <c r="H472" s="25"/>
      <c r="I472" s="25"/>
      <c r="J472" s="25"/>
      <c r="K472" s="25"/>
      <c r="L472" s="29"/>
      <c r="M472" s="29"/>
      <c r="N472" s="28"/>
      <c r="O472" s="30"/>
      <c r="P472" s="30"/>
      <c r="Q472" s="30"/>
      <c r="R472" s="30"/>
      <c r="S472" s="30"/>
      <c r="T472" s="30"/>
      <c r="U472" s="30"/>
      <c r="V472" s="29"/>
      <c r="W472" s="125"/>
      <c r="X472" s="149"/>
      <c r="Y472" s="149"/>
      <c r="Z472" s="150"/>
      <c r="AA472" s="150"/>
      <c r="AB472" s="151"/>
      <c r="AC472" s="150"/>
      <c r="AD472" s="150"/>
      <c r="AE472" s="150"/>
      <c r="AF472" s="150"/>
      <c r="AG472" s="150"/>
      <c r="AH472" s="150"/>
    </row>
    <row r="473" spans="5:34">
      <c r="E473" s="31"/>
      <c r="F473" s="32"/>
      <c r="G473" s="29"/>
      <c r="H473" s="25"/>
      <c r="I473" s="25"/>
      <c r="J473" s="25"/>
      <c r="K473" s="25"/>
      <c r="L473" s="29"/>
      <c r="M473" s="29"/>
      <c r="N473" s="28"/>
      <c r="O473" s="30"/>
      <c r="P473" s="30"/>
      <c r="Q473" s="30"/>
      <c r="R473" s="30"/>
      <c r="S473" s="30"/>
      <c r="T473" s="30"/>
      <c r="U473" s="30"/>
      <c r="V473" s="29"/>
      <c r="W473" s="125"/>
      <c r="X473" s="149"/>
      <c r="Y473" s="149"/>
      <c r="Z473" s="150"/>
      <c r="AA473" s="150"/>
      <c r="AB473" s="151"/>
      <c r="AC473" s="150"/>
      <c r="AD473" s="150"/>
      <c r="AE473" s="150"/>
      <c r="AF473" s="150"/>
      <c r="AG473" s="150"/>
      <c r="AH473" s="150"/>
    </row>
    <row r="474" spans="5:34">
      <c r="E474" s="31"/>
      <c r="F474" s="32"/>
      <c r="G474" s="29"/>
      <c r="H474" s="25"/>
      <c r="I474" s="25"/>
      <c r="J474" s="25"/>
      <c r="K474" s="25"/>
      <c r="L474" s="29"/>
      <c r="M474" s="29"/>
      <c r="N474" s="28"/>
      <c r="O474" s="30"/>
      <c r="P474" s="30"/>
      <c r="Q474" s="30"/>
      <c r="R474" s="30"/>
      <c r="S474" s="30"/>
      <c r="T474" s="30"/>
      <c r="U474" s="30"/>
      <c r="V474" s="29"/>
      <c r="W474" s="125"/>
      <c r="X474" s="149"/>
      <c r="Y474" s="149"/>
      <c r="Z474" s="150"/>
      <c r="AA474" s="150"/>
      <c r="AB474" s="151"/>
      <c r="AC474" s="150"/>
      <c r="AD474" s="150"/>
      <c r="AE474" s="150"/>
      <c r="AF474" s="150"/>
      <c r="AG474" s="150"/>
      <c r="AH474" s="150"/>
    </row>
    <row r="475" spans="5:34">
      <c r="E475" s="31"/>
      <c r="F475" s="32"/>
      <c r="G475" s="29"/>
      <c r="H475" s="25"/>
      <c r="I475" s="25"/>
      <c r="J475" s="25"/>
      <c r="K475" s="25"/>
      <c r="L475" s="29"/>
      <c r="M475" s="29"/>
      <c r="N475" s="28"/>
      <c r="O475" s="30"/>
      <c r="P475" s="30"/>
      <c r="Q475" s="30"/>
      <c r="R475" s="30"/>
      <c r="S475" s="30"/>
      <c r="T475" s="30"/>
      <c r="U475" s="30"/>
      <c r="V475" s="29"/>
      <c r="W475" s="125"/>
      <c r="X475" s="149"/>
      <c r="Y475" s="149"/>
      <c r="Z475" s="150"/>
      <c r="AA475" s="150"/>
      <c r="AB475" s="151"/>
      <c r="AC475" s="150"/>
      <c r="AD475" s="150"/>
      <c r="AE475" s="150"/>
      <c r="AF475" s="150"/>
      <c r="AG475" s="150"/>
      <c r="AH475" s="150"/>
    </row>
    <row r="476" spans="5:34">
      <c r="E476" s="31"/>
      <c r="F476" s="32"/>
      <c r="G476" s="29"/>
      <c r="H476" s="25"/>
      <c r="I476" s="25"/>
      <c r="J476" s="25"/>
      <c r="K476" s="25"/>
      <c r="L476" s="29"/>
      <c r="M476" s="29"/>
      <c r="N476" s="28"/>
      <c r="O476" s="30"/>
      <c r="P476" s="30"/>
      <c r="Q476" s="30"/>
      <c r="R476" s="30"/>
      <c r="S476" s="30"/>
      <c r="T476" s="30"/>
      <c r="U476" s="30"/>
      <c r="V476" s="29"/>
      <c r="W476" s="125"/>
      <c r="X476" s="149"/>
      <c r="Y476" s="149"/>
      <c r="Z476" s="150"/>
      <c r="AA476" s="150"/>
      <c r="AB476" s="151"/>
      <c r="AC476" s="150"/>
      <c r="AD476" s="150"/>
      <c r="AE476" s="150"/>
      <c r="AF476" s="150"/>
      <c r="AG476" s="150"/>
      <c r="AH476" s="150"/>
    </row>
    <row r="477" spans="5:34">
      <c r="E477" s="31"/>
      <c r="F477" s="32"/>
      <c r="G477" s="29"/>
      <c r="H477" s="25"/>
      <c r="I477" s="25"/>
      <c r="J477" s="25"/>
      <c r="K477" s="25"/>
      <c r="L477" s="29"/>
      <c r="M477" s="29"/>
      <c r="N477" s="28"/>
      <c r="O477" s="30"/>
      <c r="P477" s="30"/>
      <c r="Q477" s="30"/>
      <c r="R477" s="30"/>
      <c r="S477" s="30"/>
      <c r="T477" s="30"/>
      <c r="U477" s="30"/>
      <c r="V477" s="29"/>
      <c r="W477" s="125"/>
      <c r="X477" s="149"/>
      <c r="Y477" s="149"/>
      <c r="Z477" s="150"/>
      <c r="AA477" s="150"/>
      <c r="AB477" s="151"/>
      <c r="AC477" s="150"/>
      <c r="AD477" s="150"/>
      <c r="AE477" s="150"/>
      <c r="AF477" s="150"/>
      <c r="AG477" s="150"/>
      <c r="AH477" s="150"/>
    </row>
    <row r="478" spans="5:34">
      <c r="E478" s="31"/>
      <c r="F478" s="32"/>
      <c r="G478" s="29"/>
      <c r="H478" s="25"/>
      <c r="I478" s="25"/>
      <c r="J478" s="25"/>
      <c r="K478" s="25"/>
      <c r="L478" s="29"/>
      <c r="M478" s="29"/>
      <c r="N478" s="28"/>
      <c r="O478" s="30"/>
      <c r="P478" s="30"/>
      <c r="Q478" s="30"/>
      <c r="R478" s="30"/>
      <c r="S478" s="30"/>
      <c r="T478" s="30"/>
      <c r="U478" s="30"/>
      <c r="V478" s="29"/>
      <c r="W478" s="125"/>
      <c r="X478" s="149"/>
      <c r="Y478" s="149"/>
      <c r="Z478" s="150"/>
      <c r="AA478" s="150"/>
      <c r="AB478" s="151"/>
      <c r="AC478" s="150"/>
      <c r="AD478" s="150"/>
      <c r="AE478" s="150"/>
      <c r="AF478" s="150"/>
      <c r="AG478" s="150"/>
      <c r="AH478" s="150"/>
    </row>
    <row r="479" spans="5:34">
      <c r="E479" s="31"/>
      <c r="F479" s="32"/>
      <c r="G479" s="29"/>
      <c r="H479" s="25"/>
      <c r="I479" s="25"/>
      <c r="J479" s="25"/>
      <c r="K479" s="25"/>
      <c r="L479" s="29"/>
      <c r="M479" s="29"/>
      <c r="N479" s="28"/>
      <c r="O479" s="30"/>
      <c r="P479" s="30"/>
      <c r="Q479" s="30"/>
      <c r="R479" s="30"/>
      <c r="S479" s="30"/>
      <c r="T479" s="30"/>
      <c r="U479" s="30"/>
      <c r="V479" s="29"/>
      <c r="W479" s="125"/>
      <c r="X479" s="149"/>
      <c r="Y479" s="149"/>
      <c r="Z479" s="150"/>
      <c r="AA479" s="150"/>
      <c r="AB479" s="151"/>
      <c r="AC479" s="150"/>
      <c r="AD479" s="150"/>
      <c r="AE479" s="150"/>
      <c r="AF479" s="150"/>
      <c r="AG479" s="150"/>
      <c r="AH479" s="150"/>
    </row>
    <row r="480" spans="5:34">
      <c r="E480" s="31"/>
      <c r="F480" s="32"/>
      <c r="G480" s="29"/>
      <c r="H480" s="25"/>
      <c r="I480" s="25"/>
      <c r="J480" s="25"/>
      <c r="K480" s="25"/>
      <c r="L480" s="29"/>
      <c r="M480" s="29"/>
      <c r="N480" s="28"/>
      <c r="O480" s="30"/>
      <c r="P480" s="30"/>
      <c r="Q480" s="30"/>
      <c r="R480" s="30"/>
      <c r="S480" s="30"/>
      <c r="T480" s="30"/>
      <c r="U480" s="30"/>
      <c r="V480" s="29"/>
      <c r="W480" s="125"/>
      <c r="X480" s="149"/>
      <c r="Y480" s="149"/>
      <c r="Z480" s="150"/>
      <c r="AA480" s="150"/>
      <c r="AB480" s="151"/>
      <c r="AC480" s="150"/>
      <c r="AD480" s="150"/>
      <c r="AE480" s="150"/>
      <c r="AF480" s="150"/>
      <c r="AG480" s="150"/>
      <c r="AH480" s="150"/>
    </row>
    <row r="481" spans="5:34">
      <c r="E481" s="31"/>
      <c r="F481" s="32"/>
      <c r="G481" s="29"/>
      <c r="H481" s="25"/>
      <c r="I481" s="25"/>
      <c r="J481" s="25"/>
      <c r="K481" s="25"/>
      <c r="L481" s="29"/>
      <c r="M481" s="29"/>
      <c r="N481" s="28"/>
      <c r="O481" s="30"/>
      <c r="P481" s="30"/>
      <c r="Q481" s="30"/>
      <c r="R481" s="30"/>
      <c r="S481" s="30"/>
      <c r="T481" s="30"/>
      <c r="U481" s="30"/>
      <c r="V481" s="29"/>
      <c r="W481" s="125"/>
      <c r="X481" s="149"/>
      <c r="Y481" s="149"/>
      <c r="Z481" s="150"/>
      <c r="AA481" s="150"/>
      <c r="AB481" s="151"/>
      <c r="AC481" s="150"/>
      <c r="AD481" s="150"/>
      <c r="AE481" s="150"/>
      <c r="AF481" s="150"/>
      <c r="AG481" s="150"/>
      <c r="AH481" s="150"/>
    </row>
    <row r="482" spans="5:34">
      <c r="E482" s="31"/>
      <c r="F482" s="32"/>
      <c r="G482" s="29"/>
      <c r="H482" s="25"/>
      <c r="I482" s="25"/>
      <c r="J482" s="25"/>
      <c r="K482" s="25"/>
      <c r="L482" s="29"/>
      <c r="M482" s="29"/>
      <c r="N482" s="28"/>
      <c r="O482" s="30"/>
      <c r="P482" s="30"/>
      <c r="Q482" s="30"/>
      <c r="R482" s="30"/>
      <c r="S482" s="30"/>
      <c r="T482" s="30"/>
      <c r="U482" s="30"/>
      <c r="V482" s="29"/>
      <c r="W482" s="125"/>
      <c r="X482" s="149"/>
      <c r="Y482" s="149"/>
      <c r="Z482" s="150"/>
      <c r="AA482" s="150"/>
      <c r="AB482" s="151"/>
      <c r="AC482" s="150"/>
      <c r="AD482" s="150"/>
      <c r="AE482" s="150"/>
      <c r="AF482" s="150"/>
      <c r="AG482" s="150"/>
      <c r="AH482" s="150"/>
    </row>
    <row r="483" spans="5:34">
      <c r="E483" s="31"/>
      <c r="F483" s="32"/>
      <c r="G483" s="29"/>
      <c r="H483" s="25"/>
      <c r="I483" s="25"/>
      <c r="J483" s="25"/>
      <c r="K483" s="25"/>
      <c r="L483" s="29"/>
      <c r="M483" s="29"/>
      <c r="N483" s="28"/>
      <c r="O483" s="30"/>
      <c r="P483" s="30"/>
      <c r="Q483" s="30"/>
      <c r="R483" s="30"/>
      <c r="S483" s="30"/>
      <c r="T483" s="30"/>
      <c r="U483" s="30"/>
      <c r="V483" s="29"/>
      <c r="W483" s="125"/>
      <c r="X483" s="149"/>
      <c r="Y483" s="149"/>
      <c r="Z483" s="150"/>
      <c r="AA483" s="150"/>
      <c r="AB483" s="151"/>
      <c r="AC483" s="150"/>
      <c r="AD483" s="150"/>
      <c r="AE483" s="150"/>
      <c r="AF483" s="150"/>
      <c r="AG483" s="150"/>
      <c r="AH483" s="150"/>
    </row>
    <row r="484" spans="5:34">
      <c r="E484" s="31"/>
      <c r="F484" s="32"/>
      <c r="G484" s="29"/>
      <c r="H484" s="25"/>
      <c r="I484" s="25"/>
      <c r="J484" s="25"/>
      <c r="K484" s="25"/>
      <c r="L484" s="29"/>
      <c r="M484" s="29"/>
      <c r="N484" s="28"/>
      <c r="O484" s="30"/>
      <c r="P484" s="30"/>
      <c r="Q484" s="30"/>
      <c r="R484" s="30"/>
      <c r="S484" s="30"/>
      <c r="T484" s="30"/>
      <c r="U484" s="30"/>
      <c r="V484" s="29"/>
      <c r="W484" s="125"/>
      <c r="X484" s="149"/>
      <c r="Y484" s="149"/>
      <c r="Z484" s="150"/>
      <c r="AA484" s="150"/>
      <c r="AB484" s="151"/>
      <c r="AC484" s="150"/>
      <c r="AD484" s="150"/>
      <c r="AE484" s="150"/>
      <c r="AF484" s="150"/>
      <c r="AG484" s="150"/>
      <c r="AH484" s="150"/>
    </row>
    <row r="485" spans="5:34">
      <c r="E485" s="31"/>
      <c r="F485" s="32"/>
      <c r="G485" s="29"/>
      <c r="H485" s="25"/>
      <c r="I485" s="25"/>
      <c r="J485" s="25"/>
      <c r="K485" s="25"/>
      <c r="L485" s="29"/>
      <c r="M485" s="29"/>
      <c r="N485" s="28"/>
      <c r="O485" s="30"/>
      <c r="P485" s="30"/>
      <c r="Q485" s="30"/>
      <c r="R485" s="30"/>
      <c r="S485" s="30"/>
      <c r="T485" s="30"/>
      <c r="U485" s="30"/>
      <c r="V485" s="29"/>
      <c r="W485" s="125"/>
      <c r="X485" s="149"/>
      <c r="Y485" s="149"/>
      <c r="Z485" s="150"/>
      <c r="AA485" s="150"/>
      <c r="AB485" s="151"/>
      <c r="AC485" s="150"/>
      <c r="AD485" s="150"/>
      <c r="AE485" s="150"/>
      <c r="AF485" s="150"/>
      <c r="AG485" s="150"/>
      <c r="AH485" s="150"/>
    </row>
    <row r="486" spans="5:34">
      <c r="E486" s="31"/>
      <c r="F486" s="32"/>
      <c r="G486" s="29"/>
      <c r="H486" s="25"/>
      <c r="I486" s="25"/>
      <c r="J486" s="25"/>
      <c r="K486" s="25"/>
      <c r="L486" s="29"/>
      <c r="M486" s="29"/>
      <c r="N486" s="28"/>
      <c r="O486" s="30"/>
      <c r="P486" s="30"/>
      <c r="Q486" s="30"/>
      <c r="R486" s="30"/>
      <c r="S486" s="30"/>
      <c r="T486" s="30"/>
      <c r="U486" s="30"/>
      <c r="V486" s="29"/>
      <c r="W486" s="125"/>
      <c r="X486" s="149"/>
      <c r="Y486" s="149"/>
      <c r="Z486" s="150"/>
      <c r="AA486" s="150"/>
      <c r="AB486" s="151"/>
      <c r="AC486" s="150"/>
      <c r="AD486" s="150"/>
      <c r="AE486" s="150"/>
      <c r="AF486" s="150"/>
      <c r="AG486" s="150"/>
      <c r="AH486" s="150"/>
    </row>
    <row r="487" spans="5:34">
      <c r="E487" s="31"/>
      <c r="F487" s="32"/>
      <c r="G487" s="29"/>
      <c r="H487" s="25"/>
      <c r="I487" s="25"/>
      <c r="J487" s="25"/>
      <c r="K487" s="25"/>
      <c r="L487" s="29"/>
      <c r="M487" s="29"/>
      <c r="N487" s="28"/>
      <c r="O487" s="30"/>
      <c r="P487" s="30"/>
      <c r="Q487" s="30"/>
      <c r="R487" s="30"/>
      <c r="S487" s="30"/>
      <c r="T487" s="30"/>
      <c r="U487" s="30"/>
      <c r="V487" s="29"/>
      <c r="W487" s="125"/>
      <c r="X487" s="149"/>
      <c r="Y487" s="149"/>
      <c r="Z487" s="150"/>
      <c r="AA487" s="150"/>
      <c r="AB487" s="151"/>
      <c r="AC487" s="150"/>
      <c r="AD487" s="150"/>
      <c r="AE487" s="150"/>
      <c r="AF487" s="150"/>
      <c r="AG487" s="150"/>
      <c r="AH487" s="150"/>
    </row>
    <row r="488" spans="5:34">
      <c r="E488" s="31"/>
      <c r="F488" s="32"/>
      <c r="G488" s="29"/>
      <c r="H488" s="25"/>
      <c r="I488" s="25"/>
      <c r="J488" s="25"/>
      <c r="K488" s="25"/>
      <c r="L488" s="29"/>
      <c r="M488" s="29"/>
      <c r="N488" s="28"/>
      <c r="O488" s="30"/>
      <c r="P488" s="30"/>
      <c r="Q488" s="30"/>
      <c r="R488" s="30"/>
      <c r="S488" s="30"/>
      <c r="T488" s="30"/>
      <c r="U488" s="30"/>
      <c r="V488" s="29"/>
      <c r="W488" s="125"/>
      <c r="X488" s="149"/>
      <c r="Y488" s="149"/>
      <c r="Z488" s="150"/>
      <c r="AA488" s="150"/>
      <c r="AB488" s="151"/>
      <c r="AC488" s="150"/>
      <c r="AD488" s="150"/>
      <c r="AE488" s="150"/>
      <c r="AF488" s="150"/>
      <c r="AG488" s="150"/>
      <c r="AH488" s="150"/>
    </row>
    <row r="489" spans="5:34">
      <c r="E489" s="31"/>
      <c r="F489" s="32"/>
      <c r="G489" s="29"/>
      <c r="H489" s="25"/>
      <c r="I489" s="25"/>
      <c r="J489" s="25"/>
      <c r="K489" s="25"/>
      <c r="L489" s="29"/>
      <c r="M489" s="29"/>
      <c r="N489" s="28"/>
      <c r="O489" s="30"/>
      <c r="P489" s="30"/>
      <c r="Q489" s="30"/>
      <c r="R489" s="30"/>
      <c r="S489" s="30"/>
      <c r="T489" s="30"/>
      <c r="U489" s="30"/>
      <c r="V489" s="29"/>
      <c r="W489" s="125"/>
      <c r="X489" s="149"/>
      <c r="Y489" s="149"/>
      <c r="Z489" s="150"/>
      <c r="AA489" s="150"/>
      <c r="AB489" s="151"/>
      <c r="AC489" s="150"/>
      <c r="AD489" s="150"/>
      <c r="AE489" s="150"/>
      <c r="AF489" s="150"/>
      <c r="AG489" s="150"/>
      <c r="AH489" s="150"/>
    </row>
    <row r="490" spans="5:34">
      <c r="E490" s="31"/>
      <c r="F490" s="32"/>
      <c r="G490" s="29"/>
      <c r="H490" s="25"/>
      <c r="I490" s="25"/>
      <c r="J490" s="25"/>
      <c r="K490" s="25"/>
      <c r="L490" s="29"/>
      <c r="M490" s="29"/>
      <c r="N490" s="28"/>
      <c r="O490" s="30"/>
      <c r="P490" s="30"/>
      <c r="Q490" s="30"/>
      <c r="R490" s="30"/>
      <c r="S490" s="30"/>
      <c r="T490" s="30"/>
      <c r="U490" s="30"/>
      <c r="V490" s="29"/>
      <c r="W490" s="125"/>
      <c r="X490" s="149"/>
      <c r="Y490" s="149"/>
      <c r="Z490" s="150"/>
      <c r="AA490" s="150"/>
      <c r="AB490" s="151"/>
      <c r="AC490" s="150"/>
      <c r="AD490" s="150"/>
      <c r="AE490" s="150"/>
      <c r="AF490" s="150"/>
      <c r="AG490" s="150"/>
      <c r="AH490" s="150"/>
    </row>
    <row r="491" spans="5:34">
      <c r="E491" s="31"/>
      <c r="F491" s="32"/>
      <c r="G491" s="29"/>
      <c r="H491" s="25"/>
      <c r="I491" s="25"/>
      <c r="J491" s="25"/>
      <c r="K491" s="25"/>
      <c r="L491" s="29"/>
      <c r="M491" s="29"/>
      <c r="N491" s="28"/>
      <c r="O491" s="30"/>
      <c r="P491" s="30"/>
      <c r="Q491" s="30"/>
      <c r="R491" s="30"/>
      <c r="S491" s="30"/>
      <c r="T491" s="30"/>
      <c r="U491" s="30"/>
      <c r="V491" s="29"/>
      <c r="W491" s="125"/>
      <c r="X491" s="149"/>
      <c r="Y491" s="149"/>
      <c r="Z491" s="150"/>
      <c r="AA491" s="150"/>
      <c r="AB491" s="151"/>
      <c r="AC491" s="150"/>
      <c r="AD491" s="150"/>
      <c r="AE491" s="150"/>
      <c r="AF491" s="150"/>
      <c r="AG491" s="150"/>
      <c r="AH491" s="150"/>
    </row>
    <row r="492" spans="5:34">
      <c r="E492" s="31"/>
      <c r="F492" s="32"/>
      <c r="G492" s="29"/>
      <c r="H492" s="25"/>
      <c r="I492" s="25"/>
      <c r="J492" s="25"/>
      <c r="K492" s="25"/>
      <c r="L492" s="29"/>
      <c r="M492" s="29"/>
      <c r="N492" s="28"/>
      <c r="O492" s="30"/>
      <c r="P492" s="30"/>
      <c r="Q492" s="30"/>
      <c r="R492" s="30"/>
      <c r="S492" s="30"/>
      <c r="T492" s="30"/>
      <c r="U492" s="30"/>
      <c r="V492" s="29"/>
      <c r="W492" s="125"/>
      <c r="X492" s="149"/>
      <c r="Y492" s="149"/>
      <c r="Z492" s="150"/>
      <c r="AA492" s="150"/>
      <c r="AB492" s="151"/>
      <c r="AC492" s="150"/>
      <c r="AD492" s="150"/>
      <c r="AE492" s="150"/>
      <c r="AF492" s="150"/>
      <c r="AG492" s="150"/>
      <c r="AH492" s="150"/>
    </row>
    <row r="493" spans="5:34">
      <c r="E493" s="31"/>
      <c r="F493" s="32"/>
      <c r="G493" s="29"/>
      <c r="H493" s="25"/>
      <c r="I493" s="25"/>
      <c r="J493" s="25"/>
      <c r="K493" s="25"/>
      <c r="L493" s="29"/>
      <c r="M493" s="29"/>
      <c r="N493" s="28"/>
      <c r="O493" s="30"/>
      <c r="P493" s="30"/>
      <c r="Q493" s="30"/>
      <c r="R493" s="30"/>
      <c r="S493" s="30"/>
      <c r="T493" s="30"/>
      <c r="U493" s="30"/>
      <c r="V493" s="29"/>
      <c r="W493" s="125"/>
      <c r="X493" s="149"/>
      <c r="Y493" s="149"/>
      <c r="Z493" s="150"/>
      <c r="AA493" s="150"/>
      <c r="AB493" s="151"/>
      <c r="AC493" s="150"/>
      <c r="AD493" s="150"/>
      <c r="AE493" s="150"/>
      <c r="AF493" s="150"/>
      <c r="AG493" s="150"/>
      <c r="AH493" s="150"/>
    </row>
    <row r="494" spans="5:34">
      <c r="E494" s="31"/>
      <c r="F494" s="32"/>
      <c r="G494" s="29"/>
      <c r="H494" s="25"/>
      <c r="I494" s="25"/>
      <c r="J494" s="25"/>
      <c r="K494" s="25"/>
      <c r="L494" s="29"/>
      <c r="M494" s="29"/>
      <c r="N494" s="28"/>
      <c r="O494" s="30"/>
      <c r="P494" s="30"/>
      <c r="Q494" s="30"/>
      <c r="R494" s="30"/>
      <c r="S494" s="30"/>
      <c r="T494" s="30"/>
      <c r="U494" s="30"/>
      <c r="V494" s="29"/>
      <c r="W494" s="125"/>
      <c r="X494" s="149"/>
      <c r="Y494" s="149"/>
      <c r="Z494" s="150"/>
      <c r="AA494" s="150"/>
      <c r="AB494" s="151"/>
      <c r="AC494" s="150"/>
      <c r="AD494" s="150"/>
      <c r="AE494" s="150"/>
      <c r="AF494" s="150"/>
      <c r="AG494" s="150"/>
      <c r="AH494" s="150"/>
    </row>
    <row r="495" spans="5:34">
      <c r="E495" s="31"/>
      <c r="F495" s="32"/>
      <c r="G495" s="29"/>
      <c r="H495" s="25"/>
      <c r="I495" s="25"/>
      <c r="J495" s="25"/>
      <c r="K495" s="25"/>
      <c r="L495" s="29"/>
      <c r="M495" s="29"/>
      <c r="N495" s="28"/>
      <c r="O495" s="30"/>
      <c r="P495" s="30"/>
      <c r="Q495" s="30"/>
      <c r="R495" s="30"/>
      <c r="S495" s="30"/>
      <c r="T495" s="30"/>
      <c r="U495" s="30"/>
      <c r="V495" s="29"/>
      <c r="W495" s="125"/>
      <c r="X495" s="149"/>
      <c r="Y495" s="149"/>
      <c r="Z495" s="150"/>
      <c r="AA495" s="150"/>
      <c r="AB495" s="151"/>
      <c r="AC495" s="150"/>
      <c r="AD495" s="150"/>
      <c r="AE495" s="150"/>
      <c r="AF495" s="150"/>
      <c r="AG495" s="150"/>
      <c r="AH495" s="150"/>
    </row>
    <row r="496" spans="5:34">
      <c r="E496" s="31"/>
      <c r="F496" s="32"/>
      <c r="G496" s="29"/>
      <c r="H496" s="25"/>
      <c r="I496" s="25"/>
      <c r="J496" s="25"/>
      <c r="K496" s="25"/>
      <c r="L496" s="29"/>
      <c r="M496" s="29"/>
      <c r="N496" s="28"/>
      <c r="O496" s="30"/>
      <c r="P496" s="30"/>
      <c r="Q496" s="30"/>
      <c r="R496" s="30"/>
      <c r="S496" s="30"/>
      <c r="T496" s="30"/>
      <c r="U496" s="30"/>
      <c r="V496" s="29"/>
      <c r="W496" s="125"/>
      <c r="X496" s="149"/>
      <c r="Y496" s="149"/>
      <c r="Z496" s="150"/>
      <c r="AA496" s="150"/>
      <c r="AB496" s="151"/>
      <c r="AC496" s="150"/>
      <c r="AD496" s="150"/>
      <c r="AE496" s="150"/>
      <c r="AF496" s="150"/>
      <c r="AG496" s="150"/>
      <c r="AH496" s="150"/>
    </row>
    <row r="497" spans="5:34">
      <c r="E497" s="31"/>
      <c r="F497" s="32"/>
      <c r="G497" s="29"/>
      <c r="H497" s="25"/>
      <c r="I497" s="25"/>
      <c r="J497" s="25"/>
      <c r="K497" s="25"/>
      <c r="L497" s="29"/>
      <c r="M497" s="29"/>
      <c r="N497" s="28"/>
      <c r="O497" s="30"/>
      <c r="P497" s="30"/>
      <c r="Q497" s="30"/>
      <c r="R497" s="30"/>
      <c r="S497" s="30"/>
      <c r="T497" s="30"/>
      <c r="U497" s="30"/>
      <c r="V497" s="29"/>
      <c r="W497" s="125"/>
      <c r="X497" s="149"/>
      <c r="Y497" s="149"/>
      <c r="Z497" s="150"/>
      <c r="AA497" s="150"/>
      <c r="AB497" s="151"/>
      <c r="AC497" s="150"/>
      <c r="AD497" s="150"/>
      <c r="AE497" s="150"/>
      <c r="AF497" s="150"/>
      <c r="AG497" s="150"/>
      <c r="AH497" s="150"/>
    </row>
    <row r="498" spans="5:34">
      <c r="E498" s="31"/>
      <c r="F498" s="32"/>
      <c r="G498" s="29"/>
      <c r="H498" s="25"/>
      <c r="I498" s="25"/>
      <c r="J498" s="25"/>
      <c r="K498" s="25"/>
      <c r="L498" s="29"/>
      <c r="M498" s="29"/>
      <c r="N498" s="28"/>
      <c r="O498" s="30"/>
      <c r="P498" s="30"/>
      <c r="Q498" s="30"/>
      <c r="R498" s="30"/>
      <c r="S498" s="30"/>
      <c r="T498" s="30"/>
      <c r="U498" s="30"/>
      <c r="V498" s="29"/>
      <c r="W498" s="125"/>
      <c r="X498" s="149"/>
      <c r="Y498" s="149"/>
      <c r="Z498" s="150"/>
      <c r="AA498" s="150"/>
      <c r="AB498" s="151"/>
      <c r="AC498" s="150"/>
      <c r="AD498" s="150"/>
      <c r="AE498" s="150"/>
      <c r="AF498" s="150"/>
      <c r="AG498" s="150"/>
      <c r="AH498" s="150"/>
    </row>
    <row r="499" spans="5:34">
      <c r="E499" s="31"/>
      <c r="F499" s="32"/>
      <c r="G499" s="29"/>
      <c r="H499" s="25"/>
      <c r="I499" s="25"/>
      <c r="J499" s="25"/>
      <c r="K499" s="25"/>
      <c r="L499" s="29"/>
      <c r="M499" s="29"/>
      <c r="N499" s="28"/>
      <c r="O499" s="30"/>
      <c r="P499" s="30"/>
      <c r="Q499" s="30"/>
      <c r="R499" s="30"/>
      <c r="S499" s="30"/>
      <c r="T499" s="30"/>
      <c r="U499" s="30"/>
      <c r="V499" s="29"/>
      <c r="W499" s="125"/>
      <c r="X499" s="149"/>
      <c r="Y499" s="149"/>
      <c r="Z499" s="150"/>
      <c r="AA499" s="150"/>
      <c r="AB499" s="151"/>
      <c r="AC499" s="150"/>
      <c r="AD499" s="150"/>
      <c r="AE499" s="150"/>
      <c r="AF499" s="150"/>
      <c r="AG499" s="150"/>
      <c r="AH499" s="150"/>
    </row>
    <row r="500" spans="5:34">
      <c r="E500" s="31"/>
      <c r="F500" s="32"/>
      <c r="G500" s="29"/>
      <c r="H500" s="25"/>
      <c r="I500" s="25"/>
      <c r="J500" s="25"/>
      <c r="K500" s="25"/>
      <c r="L500" s="29"/>
      <c r="M500" s="29"/>
      <c r="N500" s="28"/>
      <c r="O500" s="30"/>
      <c r="P500" s="30"/>
      <c r="Q500" s="30"/>
      <c r="R500" s="30"/>
      <c r="S500" s="30"/>
      <c r="T500" s="30"/>
      <c r="U500" s="30"/>
      <c r="V500" s="29"/>
      <c r="W500" s="125"/>
      <c r="X500" s="149"/>
      <c r="Y500" s="149"/>
      <c r="Z500" s="150"/>
      <c r="AA500" s="150"/>
      <c r="AB500" s="151"/>
      <c r="AC500" s="150"/>
      <c r="AD500" s="150"/>
      <c r="AE500" s="150"/>
      <c r="AF500" s="150"/>
      <c r="AG500" s="150"/>
      <c r="AH500" s="150"/>
    </row>
    <row r="501" spans="5:34">
      <c r="E501" s="31"/>
      <c r="F501" s="32"/>
      <c r="G501" s="29"/>
      <c r="H501" s="25"/>
      <c r="I501" s="25"/>
      <c r="J501" s="25"/>
      <c r="K501" s="25"/>
      <c r="L501" s="29"/>
      <c r="M501" s="29"/>
      <c r="N501" s="28"/>
      <c r="O501" s="30"/>
      <c r="P501" s="30"/>
      <c r="Q501" s="30"/>
      <c r="R501" s="30"/>
      <c r="S501" s="30"/>
      <c r="T501" s="30"/>
      <c r="U501" s="30"/>
      <c r="V501" s="29"/>
      <c r="W501" s="125"/>
      <c r="X501" s="149"/>
      <c r="Y501" s="149"/>
      <c r="Z501" s="150"/>
      <c r="AA501" s="150"/>
      <c r="AB501" s="151"/>
      <c r="AC501" s="150"/>
      <c r="AD501" s="150"/>
      <c r="AE501" s="150"/>
      <c r="AF501" s="150"/>
      <c r="AG501" s="150"/>
      <c r="AH501" s="150"/>
    </row>
    <row r="502" spans="5:34">
      <c r="E502" s="31"/>
      <c r="F502" s="32"/>
      <c r="G502" s="29"/>
      <c r="H502" s="25"/>
      <c r="I502" s="25"/>
      <c r="J502" s="25"/>
      <c r="K502" s="25"/>
      <c r="L502" s="29"/>
      <c r="M502" s="29"/>
      <c r="N502" s="28"/>
      <c r="O502" s="30"/>
      <c r="P502" s="30"/>
      <c r="Q502" s="30"/>
      <c r="R502" s="30"/>
      <c r="S502" s="30"/>
      <c r="T502" s="30"/>
      <c r="U502" s="30"/>
      <c r="V502" s="29"/>
      <c r="W502" s="125"/>
      <c r="X502" s="149"/>
      <c r="Y502" s="149"/>
      <c r="Z502" s="150"/>
      <c r="AA502" s="150"/>
      <c r="AB502" s="151"/>
      <c r="AC502" s="150"/>
      <c r="AD502" s="150"/>
      <c r="AE502" s="150"/>
      <c r="AF502" s="150"/>
      <c r="AG502" s="150"/>
      <c r="AH502" s="150"/>
    </row>
    <row r="503" spans="5:34">
      <c r="E503" s="31"/>
      <c r="F503" s="32"/>
      <c r="G503" s="29"/>
      <c r="H503" s="25"/>
      <c r="I503" s="25"/>
      <c r="J503" s="25"/>
      <c r="K503" s="25"/>
      <c r="L503" s="29"/>
      <c r="M503" s="29"/>
      <c r="N503" s="28"/>
      <c r="O503" s="30"/>
      <c r="P503" s="30"/>
      <c r="Q503" s="30"/>
      <c r="R503" s="30"/>
      <c r="S503" s="30"/>
      <c r="T503" s="30"/>
      <c r="U503" s="30"/>
      <c r="V503" s="29"/>
      <c r="W503" s="125"/>
      <c r="X503" s="149"/>
      <c r="Y503" s="149"/>
      <c r="Z503" s="150"/>
      <c r="AA503" s="150"/>
      <c r="AB503" s="151"/>
      <c r="AC503" s="150"/>
      <c r="AD503" s="150"/>
      <c r="AE503" s="150"/>
      <c r="AF503" s="150"/>
      <c r="AG503" s="150"/>
      <c r="AH503" s="150"/>
    </row>
    <row r="504" spans="5:34">
      <c r="E504" s="31"/>
      <c r="F504" s="32"/>
      <c r="G504" s="29"/>
      <c r="H504" s="25"/>
      <c r="I504" s="25"/>
      <c r="J504" s="25"/>
      <c r="K504" s="25"/>
      <c r="L504" s="29"/>
      <c r="M504" s="29"/>
      <c r="N504" s="28"/>
      <c r="O504" s="30"/>
      <c r="P504" s="30"/>
      <c r="Q504" s="30"/>
      <c r="R504" s="30"/>
      <c r="S504" s="30"/>
      <c r="T504" s="30"/>
      <c r="U504" s="30"/>
      <c r="V504" s="29"/>
      <c r="W504" s="125"/>
      <c r="X504" s="149"/>
      <c r="Y504" s="149"/>
      <c r="Z504" s="150"/>
      <c r="AA504" s="150"/>
      <c r="AB504" s="151"/>
      <c r="AC504" s="150"/>
      <c r="AD504" s="150"/>
      <c r="AE504" s="150"/>
      <c r="AF504" s="150"/>
      <c r="AG504" s="150"/>
      <c r="AH504" s="150"/>
    </row>
    <row r="505" spans="5:34">
      <c r="E505" s="31"/>
      <c r="F505" s="32"/>
      <c r="G505" s="29"/>
      <c r="H505" s="25"/>
      <c r="I505" s="25"/>
      <c r="J505" s="25"/>
      <c r="K505" s="25"/>
      <c r="L505" s="29"/>
      <c r="M505" s="29"/>
      <c r="N505" s="28"/>
      <c r="O505" s="30"/>
      <c r="P505" s="30"/>
      <c r="Q505" s="30"/>
      <c r="R505" s="30"/>
      <c r="S505" s="30"/>
      <c r="T505" s="30"/>
      <c r="U505" s="30"/>
      <c r="V505" s="29"/>
      <c r="W505" s="125"/>
      <c r="X505" s="149"/>
      <c r="Y505" s="149"/>
      <c r="Z505" s="150"/>
      <c r="AA505" s="150"/>
      <c r="AB505" s="151"/>
      <c r="AC505" s="150"/>
      <c r="AD505" s="150"/>
      <c r="AE505" s="150"/>
      <c r="AF505" s="150"/>
      <c r="AG505" s="150"/>
      <c r="AH505" s="150"/>
    </row>
    <row r="506" spans="5:34">
      <c r="E506" s="31"/>
      <c r="F506" s="32"/>
      <c r="G506" s="29"/>
      <c r="H506" s="25"/>
      <c r="I506" s="25"/>
      <c r="J506" s="25"/>
      <c r="K506" s="25"/>
      <c r="L506" s="29"/>
      <c r="M506" s="29"/>
      <c r="N506" s="28"/>
      <c r="O506" s="30"/>
      <c r="P506" s="30"/>
      <c r="Q506" s="30"/>
      <c r="R506" s="30"/>
      <c r="S506" s="30"/>
      <c r="T506" s="30"/>
      <c r="U506" s="30"/>
      <c r="V506" s="29"/>
      <c r="W506" s="125"/>
      <c r="X506" s="149"/>
      <c r="Y506" s="149"/>
      <c r="Z506" s="150"/>
      <c r="AA506" s="150"/>
      <c r="AB506" s="151"/>
      <c r="AC506" s="150"/>
      <c r="AD506" s="150"/>
      <c r="AE506" s="150"/>
      <c r="AF506" s="150"/>
      <c r="AG506" s="150"/>
      <c r="AH506" s="150"/>
    </row>
    <row r="507" spans="5:34">
      <c r="E507" s="31"/>
      <c r="F507" s="32"/>
      <c r="G507" s="29"/>
      <c r="H507" s="25"/>
      <c r="I507" s="25"/>
      <c r="J507" s="25"/>
      <c r="K507" s="25"/>
      <c r="L507" s="29"/>
      <c r="M507" s="29"/>
      <c r="N507" s="28"/>
      <c r="O507" s="30"/>
      <c r="P507" s="30"/>
      <c r="Q507" s="30"/>
      <c r="R507" s="30"/>
      <c r="S507" s="30"/>
      <c r="T507" s="30"/>
      <c r="U507" s="30"/>
      <c r="V507" s="29"/>
      <c r="W507" s="125"/>
      <c r="X507" s="149"/>
      <c r="Y507" s="149"/>
      <c r="Z507" s="150"/>
      <c r="AA507" s="150"/>
      <c r="AB507" s="151"/>
      <c r="AC507" s="150"/>
      <c r="AD507" s="150"/>
      <c r="AE507" s="150"/>
      <c r="AF507" s="150"/>
      <c r="AG507" s="150"/>
      <c r="AH507" s="150"/>
    </row>
    <row r="508" spans="5:34">
      <c r="E508" s="31"/>
      <c r="F508" s="32"/>
      <c r="G508" s="29"/>
      <c r="H508" s="25"/>
      <c r="I508" s="25"/>
      <c r="J508" s="25"/>
      <c r="K508" s="25"/>
      <c r="L508" s="29"/>
      <c r="M508" s="29"/>
      <c r="N508" s="28"/>
      <c r="O508" s="30"/>
      <c r="P508" s="30"/>
      <c r="Q508" s="30"/>
      <c r="R508" s="30"/>
      <c r="S508" s="30"/>
      <c r="T508" s="30"/>
      <c r="U508" s="30"/>
      <c r="V508" s="29"/>
      <c r="W508" s="125"/>
      <c r="X508" s="149"/>
      <c r="Y508" s="149"/>
      <c r="Z508" s="150"/>
      <c r="AA508" s="150"/>
      <c r="AB508" s="151"/>
      <c r="AC508" s="150"/>
      <c r="AD508" s="150"/>
      <c r="AE508" s="150"/>
      <c r="AF508" s="150"/>
      <c r="AG508" s="150"/>
      <c r="AH508" s="150"/>
    </row>
    <row r="509" spans="5:34">
      <c r="E509" s="31"/>
      <c r="F509" s="32"/>
      <c r="G509" s="29"/>
      <c r="H509" s="25"/>
      <c r="I509" s="25"/>
      <c r="J509" s="25"/>
      <c r="K509" s="25"/>
      <c r="L509" s="29"/>
      <c r="M509" s="29"/>
      <c r="N509" s="28"/>
      <c r="O509" s="30"/>
      <c r="P509" s="30"/>
      <c r="Q509" s="30"/>
      <c r="R509" s="30"/>
      <c r="S509" s="30"/>
      <c r="T509" s="30"/>
      <c r="U509" s="30"/>
      <c r="V509" s="29"/>
      <c r="W509" s="125"/>
      <c r="X509" s="149"/>
      <c r="Y509" s="149"/>
      <c r="Z509" s="150"/>
      <c r="AA509" s="150"/>
      <c r="AB509" s="151"/>
      <c r="AC509" s="150"/>
      <c r="AD509" s="150"/>
      <c r="AE509" s="150"/>
      <c r="AF509" s="150"/>
      <c r="AG509" s="150"/>
      <c r="AH509" s="150"/>
    </row>
    <row r="510" spans="5:34">
      <c r="E510" s="31"/>
      <c r="F510" s="32"/>
      <c r="G510" s="29"/>
      <c r="H510" s="25"/>
      <c r="I510" s="25"/>
      <c r="J510" s="25"/>
      <c r="K510" s="25"/>
      <c r="L510" s="29"/>
      <c r="M510" s="29"/>
      <c r="N510" s="28"/>
      <c r="O510" s="30"/>
      <c r="P510" s="30"/>
      <c r="Q510" s="30"/>
      <c r="R510" s="30"/>
      <c r="S510" s="30"/>
      <c r="T510" s="30"/>
      <c r="U510" s="30"/>
      <c r="V510" s="29"/>
      <c r="W510" s="125"/>
      <c r="X510" s="149"/>
      <c r="Y510" s="149"/>
      <c r="Z510" s="150"/>
      <c r="AA510" s="150"/>
      <c r="AB510" s="151"/>
      <c r="AC510" s="150"/>
      <c r="AD510" s="150"/>
      <c r="AE510" s="150"/>
      <c r="AF510" s="150"/>
      <c r="AG510" s="150"/>
      <c r="AH510" s="150"/>
    </row>
    <row r="511" spans="5:34">
      <c r="E511" s="31"/>
      <c r="F511" s="32"/>
      <c r="G511" s="29"/>
      <c r="H511" s="25"/>
      <c r="I511" s="25"/>
      <c r="J511" s="25"/>
      <c r="K511" s="25"/>
      <c r="L511" s="29"/>
      <c r="M511" s="29"/>
      <c r="N511" s="28"/>
      <c r="O511" s="30"/>
      <c r="P511" s="30"/>
      <c r="Q511" s="30"/>
      <c r="R511" s="30"/>
      <c r="S511" s="30"/>
      <c r="T511" s="30"/>
      <c r="U511" s="30"/>
      <c r="V511" s="29"/>
      <c r="W511" s="125"/>
      <c r="X511" s="149"/>
      <c r="Y511" s="149"/>
      <c r="Z511" s="150"/>
      <c r="AA511" s="150"/>
      <c r="AB511" s="151"/>
      <c r="AC511" s="150"/>
      <c r="AD511" s="150"/>
      <c r="AE511" s="150"/>
      <c r="AF511" s="150"/>
      <c r="AG511" s="150"/>
      <c r="AH511" s="150"/>
    </row>
    <row r="512" spans="5:34">
      <c r="E512" s="31"/>
      <c r="F512" s="32"/>
      <c r="G512" s="29"/>
      <c r="H512" s="25"/>
      <c r="I512" s="25"/>
      <c r="J512" s="25"/>
      <c r="K512" s="25"/>
      <c r="L512" s="29"/>
      <c r="M512" s="29"/>
      <c r="N512" s="28"/>
      <c r="O512" s="30"/>
      <c r="P512" s="30"/>
      <c r="Q512" s="30"/>
      <c r="R512" s="30"/>
      <c r="S512" s="30"/>
      <c r="T512" s="30"/>
      <c r="U512" s="30"/>
      <c r="V512" s="29"/>
      <c r="W512" s="125"/>
      <c r="X512" s="149"/>
      <c r="Y512" s="149"/>
      <c r="Z512" s="150"/>
      <c r="AA512" s="150"/>
      <c r="AB512" s="151"/>
      <c r="AC512" s="150"/>
      <c r="AD512" s="150"/>
      <c r="AE512" s="150"/>
      <c r="AF512" s="150"/>
      <c r="AG512" s="150"/>
      <c r="AH512" s="150"/>
    </row>
    <row r="513" spans="5:34">
      <c r="E513" s="31"/>
      <c r="F513" s="32"/>
      <c r="G513" s="29"/>
      <c r="H513" s="25"/>
      <c r="I513" s="25"/>
      <c r="J513" s="25"/>
      <c r="K513" s="25"/>
      <c r="L513" s="29"/>
      <c r="M513" s="29"/>
      <c r="N513" s="28"/>
      <c r="O513" s="30"/>
      <c r="P513" s="30"/>
      <c r="Q513" s="30"/>
      <c r="R513" s="30"/>
      <c r="S513" s="30"/>
      <c r="T513" s="30"/>
      <c r="U513" s="30"/>
      <c r="V513" s="29"/>
      <c r="W513" s="125"/>
      <c r="X513" s="149"/>
      <c r="Y513" s="149"/>
      <c r="Z513" s="150"/>
      <c r="AA513" s="150"/>
      <c r="AB513" s="151"/>
      <c r="AC513" s="150"/>
      <c r="AD513" s="150"/>
      <c r="AE513" s="150"/>
      <c r="AF513" s="150"/>
      <c r="AG513" s="150"/>
      <c r="AH513" s="150"/>
    </row>
    <row r="514" spans="5:34">
      <c r="E514" s="31"/>
      <c r="F514" s="32"/>
      <c r="G514" s="29"/>
      <c r="H514" s="25"/>
      <c r="I514" s="25"/>
      <c r="J514" s="25"/>
      <c r="K514" s="25"/>
      <c r="L514" s="29"/>
      <c r="M514" s="29"/>
      <c r="N514" s="28"/>
      <c r="O514" s="30"/>
      <c r="P514" s="30"/>
      <c r="Q514" s="30"/>
      <c r="R514" s="30"/>
      <c r="S514" s="30"/>
      <c r="T514" s="30"/>
      <c r="U514" s="30"/>
      <c r="V514" s="29"/>
      <c r="W514" s="125"/>
      <c r="X514" s="149"/>
      <c r="Y514" s="149"/>
      <c r="Z514" s="150"/>
      <c r="AA514" s="150"/>
      <c r="AB514" s="151"/>
      <c r="AC514" s="150"/>
      <c r="AD514" s="150"/>
      <c r="AE514" s="150"/>
      <c r="AF514" s="150"/>
      <c r="AG514" s="150"/>
      <c r="AH514" s="150"/>
    </row>
    <row r="515" spans="5:34">
      <c r="E515" s="31"/>
      <c r="F515" s="32"/>
      <c r="G515" s="29"/>
      <c r="H515" s="25"/>
      <c r="I515" s="25"/>
      <c r="J515" s="25"/>
      <c r="K515" s="25"/>
      <c r="L515" s="29"/>
      <c r="M515" s="29"/>
      <c r="N515" s="28"/>
      <c r="O515" s="30"/>
      <c r="P515" s="30"/>
      <c r="Q515" s="30"/>
      <c r="R515" s="30"/>
      <c r="S515" s="30"/>
      <c r="T515" s="30"/>
      <c r="U515" s="30"/>
      <c r="V515" s="29"/>
      <c r="W515" s="125"/>
      <c r="X515" s="149"/>
      <c r="Y515" s="149"/>
      <c r="Z515" s="150"/>
      <c r="AA515" s="150"/>
      <c r="AB515" s="151"/>
      <c r="AC515" s="150"/>
      <c r="AD515" s="150"/>
      <c r="AE515" s="150"/>
      <c r="AF515" s="150"/>
      <c r="AG515" s="150"/>
      <c r="AH515" s="150"/>
    </row>
    <row r="516" spans="5:34">
      <c r="E516" s="31"/>
      <c r="F516" s="32"/>
      <c r="G516" s="29"/>
      <c r="H516" s="25"/>
      <c r="I516" s="25"/>
      <c r="J516" s="25"/>
      <c r="K516" s="25"/>
      <c r="L516" s="29"/>
      <c r="M516" s="29"/>
      <c r="N516" s="28"/>
      <c r="O516" s="30"/>
      <c r="P516" s="30"/>
      <c r="Q516" s="30"/>
      <c r="R516" s="30"/>
      <c r="S516" s="30"/>
      <c r="T516" s="30"/>
      <c r="U516" s="30"/>
      <c r="V516" s="29"/>
      <c r="W516" s="125"/>
      <c r="X516" s="149"/>
      <c r="Y516" s="149"/>
      <c r="Z516" s="150"/>
      <c r="AA516" s="150"/>
      <c r="AB516" s="151"/>
      <c r="AC516" s="150"/>
      <c r="AD516" s="150"/>
      <c r="AE516" s="150"/>
      <c r="AF516" s="150"/>
      <c r="AG516" s="150"/>
      <c r="AH516" s="150"/>
    </row>
    <row r="517" spans="5:34">
      <c r="E517" s="31"/>
      <c r="F517" s="32"/>
      <c r="G517" s="29"/>
      <c r="H517" s="25"/>
      <c r="I517" s="25"/>
      <c r="J517" s="25"/>
      <c r="K517" s="25"/>
      <c r="L517" s="29"/>
      <c r="M517" s="29"/>
      <c r="N517" s="28"/>
      <c r="O517" s="30"/>
      <c r="P517" s="30"/>
      <c r="Q517" s="30"/>
      <c r="R517" s="30"/>
      <c r="S517" s="30"/>
      <c r="T517" s="30"/>
      <c r="U517" s="30"/>
      <c r="V517" s="29"/>
      <c r="W517" s="125"/>
      <c r="X517" s="149"/>
      <c r="Y517" s="149"/>
      <c r="Z517" s="150"/>
      <c r="AA517" s="150"/>
      <c r="AB517" s="151"/>
      <c r="AC517" s="150"/>
      <c r="AD517" s="150"/>
      <c r="AE517" s="150"/>
      <c r="AF517" s="150"/>
      <c r="AG517" s="150"/>
      <c r="AH517" s="150"/>
    </row>
    <row r="518" spans="5:34">
      <c r="E518" s="31"/>
      <c r="F518" s="32"/>
      <c r="G518" s="29"/>
      <c r="H518" s="25"/>
      <c r="I518" s="25"/>
      <c r="J518" s="25"/>
      <c r="K518" s="25"/>
      <c r="L518" s="29"/>
      <c r="M518" s="29"/>
      <c r="N518" s="28"/>
      <c r="O518" s="30"/>
      <c r="P518" s="30"/>
      <c r="Q518" s="30"/>
      <c r="R518" s="30"/>
      <c r="S518" s="30"/>
      <c r="T518" s="30"/>
      <c r="U518" s="30"/>
      <c r="V518" s="29"/>
      <c r="W518" s="125"/>
      <c r="X518" s="149"/>
      <c r="Y518" s="149"/>
      <c r="Z518" s="150"/>
      <c r="AA518" s="150"/>
      <c r="AB518" s="151"/>
      <c r="AC518" s="150"/>
      <c r="AD518" s="150"/>
      <c r="AE518" s="150"/>
      <c r="AF518" s="150"/>
      <c r="AG518" s="150"/>
      <c r="AH518" s="150"/>
    </row>
    <row r="519" spans="5:34">
      <c r="E519" s="31"/>
      <c r="F519" s="32"/>
      <c r="G519" s="29"/>
      <c r="H519" s="25"/>
      <c r="I519" s="25"/>
      <c r="J519" s="25"/>
      <c r="K519" s="25"/>
      <c r="L519" s="29"/>
      <c r="M519" s="29"/>
      <c r="N519" s="28"/>
      <c r="O519" s="30"/>
      <c r="P519" s="30"/>
      <c r="Q519" s="30"/>
      <c r="R519" s="30"/>
      <c r="S519" s="30"/>
      <c r="T519" s="30"/>
      <c r="U519" s="30"/>
      <c r="V519" s="29"/>
      <c r="W519" s="125"/>
      <c r="X519" s="149"/>
      <c r="Y519" s="149"/>
      <c r="Z519" s="150"/>
      <c r="AA519" s="150"/>
      <c r="AB519" s="151"/>
      <c r="AC519" s="150"/>
      <c r="AD519" s="150"/>
      <c r="AE519" s="150"/>
      <c r="AF519" s="150"/>
      <c r="AG519" s="150"/>
      <c r="AH519" s="150"/>
    </row>
    <row r="520" spans="5:34">
      <c r="E520" s="31"/>
      <c r="F520" s="32"/>
      <c r="G520" s="29"/>
      <c r="H520" s="25"/>
      <c r="I520" s="25"/>
      <c r="J520" s="25"/>
      <c r="K520" s="25"/>
      <c r="L520" s="29"/>
      <c r="M520" s="29"/>
      <c r="N520" s="28"/>
      <c r="O520" s="30"/>
      <c r="P520" s="30"/>
      <c r="Q520" s="30"/>
      <c r="R520" s="30"/>
      <c r="S520" s="30"/>
      <c r="T520" s="30"/>
      <c r="U520" s="30"/>
      <c r="V520" s="29"/>
      <c r="W520" s="125"/>
      <c r="X520" s="149"/>
      <c r="Y520" s="149"/>
      <c r="Z520" s="150"/>
      <c r="AA520" s="150"/>
      <c r="AB520" s="151"/>
      <c r="AC520" s="150"/>
      <c r="AD520" s="150"/>
      <c r="AE520" s="150"/>
      <c r="AF520" s="150"/>
      <c r="AG520" s="150"/>
      <c r="AH520" s="150"/>
    </row>
    <row r="521" spans="5:34">
      <c r="E521" s="31"/>
      <c r="F521" s="32"/>
      <c r="G521" s="29"/>
      <c r="H521" s="25"/>
      <c r="I521" s="25"/>
      <c r="J521" s="25"/>
      <c r="K521" s="25"/>
      <c r="L521" s="29"/>
      <c r="M521" s="29"/>
      <c r="N521" s="28"/>
      <c r="O521" s="30"/>
      <c r="P521" s="30"/>
      <c r="Q521" s="30"/>
      <c r="R521" s="30"/>
      <c r="S521" s="30"/>
      <c r="T521" s="30"/>
      <c r="U521" s="30"/>
      <c r="V521" s="29"/>
      <c r="W521" s="125"/>
      <c r="X521" s="149"/>
      <c r="Y521" s="149"/>
      <c r="Z521" s="150"/>
      <c r="AA521" s="150"/>
      <c r="AB521" s="151"/>
      <c r="AC521" s="150"/>
      <c r="AD521" s="150"/>
      <c r="AE521" s="150"/>
      <c r="AF521" s="150"/>
      <c r="AG521" s="150"/>
      <c r="AH521" s="150"/>
    </row>
    <row r="522" spans="5:34">
      <c r="E522" s="31"/>
      <c r="F522" s="32"/>
      <c r="G522" s="29"/>
      <c r="H522" s="25"/>
      <c r="I522" s="25"/>
      <c r="J522" s="25"/>
      <c r="K522" s="25"/>
      <c r="L522" s="29"/>
      <c r="M522" s="29"/>
      <c r="N522" s="28"/>
      <c r="O522" s="30"/>
      <c r="P522" s="30"/>
      <c r="Q522" s="30"/>
      <c r="R522" s="30"/>
      <c r="S522" s="30"/>
      <c r="T522" s="30"/>
      <c r="U522" s="30"/>
      <c r="V522" s="29"/>
      <c r="W522" s="125"/>
      <c r="X522" s="149"/>
      <c r="Y522" s="149"/>
      <c r="Z522" s="150"/>
      <c r="AA522" s="150"/>
      <c r="AB522" s="151"/>
      <c r="AC522" s="150"/>
      <c r="AD522" s="150"/>
      <c r="AE522" s="150"/>
      <c r="AF522" s="150"/>
      <c r="AG522" s="150"/>
      <c r="AH522" s="150"/>
    </row>
    <row r="523" spans="5:34">
      <c r="E523" s="31"/>
      <c r="F523" s="32"/>
      <c r="G523" s="29"/>
      <c r="H523" s="25"/>
      <c r="I523" s="25"/>
      <c r="J523" s="25"/>
      <c r="K523" s="25"/>
      <c r="L523" s="29"/>
      <c r="M523" s="29"/>
      <c r="N523" s="28"/>
      <c r="O523" s="30"/>
      <c r="P523" s="30"/>
      <c r="Q523" s="30"/>
      <c r="R523" s="30"/>
      <c r="S523" s="30"/>
      <c r="T523" s="30"/>
      <c r="U523" s="30"/>
      <c r="V523" s="29"/>
      <c r="W523" s="125"/>
      <c r="X523" s="149"/>
      <c r="Y523" s="149"/>
      <c r="Z523" s="150"/>
      <c r="AA523" s="150"/>
      <c r="AB523" s="151"/>
      <c r="AC523" s="150"/>
      <c r="AD523" s="150"/>
      <c r="AE523" s="150"/>
      <c r="AF523" s="150"/>
      <c r="AG523" s="150"/>
      <c r="AH523" s="150"/>
    </row>
    <row r="524" spans="5:34">
      <c r="E524" s="31"/>
      <c r="F524" s="32"/>
      <c r="G524" s="29"/>
      <c r="H524" s="25"/>
      <c r="I524" s="25"/>
      <c r="J524" s="25"/>
      <c r="K524" s="25"/>
      <c r="L524" s="29"/>
      <c r="M524" s="29"/>
      <c r="N524" s="28"/>
      <c r="O524" s="30"/>
      <c r="P524" s="30"/>
      <c r="Q524" s="30"/>
      <c r="R524" s="30"/>
      <c r="S524" s="30"/>
      <c r="T524" s="30"/>
      <c r="U524" s="30"/>
      <c r="V524" s="29"/>
      <c r="W524" s="125"/>
      <c r="X524" s="149"/>
      <c r="Y524" s="149"/>
      <c r="Z524" s="150"/>
      <c r="AA524" s="150"/>
      <c r="AB524" s="151"/>
      <c r="AC524" s="150"/>
      <c r="AD524" s="150"/>
      <c r="AE524" s="150"/>
      <c r="AF524" s="150"/>
      <c r="AG524" s="150"/>
      <c r="AH524" s="150"/>
    </row>
    <row r="525" spans="5:34">
      <c r="E525" s="31"/>
      <c r="F525" s="32"/>
      <c r="G525" s="29"/>
      <c r="H525" s="25"/>
      <c r="I525" s="25"/>
      <c r="J525" s="25"/>
      <c r="K525" s="25"/>
      <c r="L525" s="29"/>
      <c r="M525" s="29"/>
      <c r="N525" s="28"/>
      <c r="O525" s="30"/>
      <c r="P525" s="30"/>
      <c r="Q525" s="30"/>
      <c r="R525" s="30"/>
      <c r="S525" s="30"/>
      <c r="T525" s="30"/>
      <c r="U525" s="30"/>
      <c r="V525" s="29"/>
      <c r="W525" s="125"/>
      <c r="X525" s="149"/>
      <c r="Y525" s="149"/>
      <c r="Z525" s="150"/>
      <c r="AA525" s="150"/>
      <c r="AB525" s="151"/>
      <c r="AC525" s="150"/>
      <c r="AD525" s="150"/>
      <c r="AE525" s="150"/>
      <c r="AF525" s="150"/>
      <c r="AG525" s="150"/>
      <c r="AH525" s="150"/>
    </row>
    <row r="526" spans="5:34">
      <c r="E526" s="31"/>
      <c r="F526" s="32"/>
      <c r="G526" s="29"/>
      <c r="H526" s="25"/>
      <c r="I526" s="25"/>
      <c r="J526" s="25"/>
      <c r="K526" s="25"/>
      <c r="L526" s="29"/>
      <c r="M526" s="29"/>
      <c r="N526" s="28"/>
      <c r="O526" s="30"/>
      <c r="P526" s="30"/>
      <c r="Q526" s="30"/>
      <c r="R526" s="30"/>
      <c r="S526" s="30"/>
      <c r="T526" s="30"/>
      <c r="U526" s="30"/>
      <c r="V526" s="29"/>
      <c r="W526" s="125"/>
      <c r="X526" s="149"/>
      <c r="Y526" s="149"/>
      <c r="Z526" s="150"/>
      <c r="AA526" s="150"/>
      <c r="AB526" s="151"/>
      <c r="AC526" s="150"/>
      <c r="AD526" s="150"/>
      <c r="AE526" s="150"/>
      <c r="AF526" s="150"/>
      <c r="AG526" s="150"/>
      <c r="AH526" s="150"/>
    </row>
    <row r="527" spans="5:34">
      <c r="E527" s="31"/>
      <c r="F527" s="32"/>
      <c r="G527" s="29"/>
      <c r="H527" s="25"/>
      <c r="I527" s="25"/>
      <c r="J527" s="25"/>
      <c r="K527" s="25"/>
      <c r="L527" s="29"/>
      <c r="M527" s="29"/>
      <c r="N527" s="28"/>
      <c r="O527" s="30"/>
      <c r="P527" s="30"/>
      <c r="Q527" s="30"/>
      <c r="R527" s="30"/>
      <c r="S527" s="30"/>
      <c r="T527" s="30"/>
      <c r="U527" s="30"/>
      <c r="V527" s="29"/>
      <c r="W527" s="125"/>
      <c r="X527" s="149"/>
      <c r="Y527" s="149"/>
      <c r="Z527" s="150"/>
      <c r="AA527" s="150"/>
      <c r="AB527" s="151"/>
      <c r="AC527" s="150"/>
      <c r="AD527" s="150"/>
      <c r="AE527" s="150"/>
      <c r="AF527" s="150"/>
      <c r="AG527" s="150"/>
      <c r="AH527" s="150"/>
    </row>
    <row r="528" spans="5:34">
      <c r="E528" s="31"/>
      <c r="F528" s="32"/>
      <c r="G528" s="29"/>
      <c r="H528" s="25"/>
      <c r="I528" s="25"/>
      <c r="J528" s="25"/>
      <c r="K528" s="25"/>
      <c r="L528" s="29"/>
      <c r="M528" s="29"/>
      <c r="N528" s="28"/>
      <c r="O528" s="30"/>
      <c r="P528" s="30"/>
      <c r="Q528" s="30"/>
      <c r="R528" s="30"/>
      <c r="S528" s="30"/>
      <c r="T528" s="30"/>
      <c r="U528" s="30"/>
      <c r="V528" s="29"/>
      <c r="W528" s="125"/>
      <c r="X528" s="149"/>
      <c r="Y528" s="149"/>
      <c r="Z528" s="150"/>
      <c r="AA528" s="150"/>
      <c r="AB528" s="151"/>
      <c r="AC528" s="150"/>
      <c r="AD528" s="150"/>
      <c r="AE528" s="150"/>
      <c r="AF528" s="150"/>
      <c r="AG528" s="150"/>
      <c r="AH528" s="150"/>
    </row>
    <row r="529" spans="5:34">
      <c r="E529" s="31"/>
      <c r="F529" s="32"/>
      <c r="G529" s="29"/>
      <c r="H529" s="25"/>
      <c r="I529" s="25"/>
      <c r="J529" s="25"/>
      <c r="K529" s="25"/>
      <c r="L529" s="29"/>
      <c r="M529" s="29"/>
      <c r="N529" s="28"/>
      <c r="O529" s="30"/>
      <c r="P529" s="30"/>
      <c r="Q529" s="30"/>
      <c r="R529" s="30"/>
      <c r="S529" s="30"/>
      <c r="T529" s="30"/>
      <c r="U529" s="30"/>
      <c r="V529" s="29"/>
      <c r="W529" s="125"/>
      <c r="X529" s="149"/>
      <c r="Y529" s="149"/>
      <c r="Z529" s="150"/>
      <c r="AA529" s="150"/>
      <c r="AB529" s="151"/>
      <c r="AC529" s="150"/>
      <c r="AD529" s="150"/>
      <c r="AE529" s="150"/>
      <c r="AF529" s="150"/>
      <c r="AG529" s="150"/>
      <c r="AH529" s="150"/>
    </row>
    <row r="530" spans="5:34">
      <c r="E530" s="31"/>
      <c r="F530" s="32"/>
      <c r="G530" s="29"/>
      <c r="H530" s="25"/>
      <c r="I530" s="25"/>
      <c r="J530" s="25"/>
      <c r="K530" s="25"/>
      <c r="L530" s="29"/>
      <c r="M530" s="29"/>
      <c r="N530" s="28"/>
      <c r="O530" s="30"/>
      <c r="P530" s="30"/>
      <c r="Q530" s="30"/>
      <c r="R530" s="30"/>
      <c r="S530" s="30"/>
      <c r="T530" s="30"/>
      <c r="U530" s="30"/>
      <c r="V530" s="29"/>
      <c r="W530" s="125"/>
      <c r="X530" s="149"/>
      <c r="Y530" s="149"/>
      <c r="Z530" s="150"/>
      <c r="AA530" s="150"/>
      <c r="AB530" s="151"/>
      <c r="AC530" s="150"/>
      <c r="AD530" s="150"/>
      <c r="AE530" s="150"/>
      <c r="AF530" s="150"/>
      <c r="AG530" s="150"/>
      <c r="AH530" s="150"/>
    </row>
    <row r="531" spans="5:34">
      <c r="E531" s="31"/>
      <c r="F531" s="32"/>
      <c r="G531" s="29"/>
      <c r="H531" s="25"/>
      <c r="I531" s="25"/>
      <c r="J531" s="25"/>
      <c r="K531" s="25"/>
      <c r="L531" s="29"/>
      <c r="M531" s="29"/>
      <c r="N531" s="28"/>
      <c r="O531" s="30"/>
      <c r="P531" s="30"/>
      <c r="Q531" s="30"/>
      <c r="R531" s="30"/>
      <c r="S531" s="30"/>
      <c r="T531" s="30"/>
      <c r="U531" s="30"/>
      <c r="V531" s="29"/>
      <c r="W531" s="125"/>
      <c r="X531" s="149"/>
      <c r="Y531" s="149"/>
      <c r="Z531" s="150"/>
      <c r="AA531" s="150"/>
      <c r="AB531" s="151"/>
      <c r="AC531" s="150"/>
      <c r="AD531" s="150"/>
      <c r="AE531" s="150"/>
      <c r="AF531" s="150"/>
      <c r="AG531" s="150"/>
      <c r="AH531" s="150"/>
    </row>
    <row r="532" spans="5:34">
      <c r="E532" s="31"/>
      <c r="F532" s="32"/>
      <c r="G532" s="29"/>
      <c r="H532" s="25"/>
      <c r="I532" s="25"/>
      <c r="J532" s="25"/>
      <c r="K532" s="25"/>
      <c r="L532" s="29"/>
      <c r="M532" s="29"/>
      <c r="N532" s="28"/>
      <c r="O532" s="30"/>
      <c r="P532" s="30"/>
      <c r="Q532" s="30"/>
      <c r="R532" s="30"/>
      <c r="S532" s="30"/>
      <c r="T532" s="30"/>
      <c r="U532" s="30"/>
      <c r="V532" s="29"/>
      <c r="W532" s="125"/>
      <c r="X532" s="149"/>
      <c r="Y532" s="149"/>
      <c r="Z532" s="150"/>
      <c r="AA532" s="150"/>
      <c r="AB532" s="151"/>
      <c r="AC532" s="150"/>
      <c r="AD532" s="150"/>
      <c r="AE532" s="150"/>
      <c r="AF532" s="150"/>
      <c r="AG532" s="150"/>
      <c r="AH532" s="150"/>
    </row>
    <row r="533" spans="5:34">
      <c r="E533" s="31"/>
      <c r="F533" s="32"/>
      <c r="G533" s="29"/>
      <c r="H533" s="25"/>
      <c r="I533" s="25"/>
      <c r="J533" s="25"/>
      <c r="K533" s="25"/>
      <c r="L533" s="29"/>
      <c r="M533" s="29"/>
      <c r="N533" s="28"/>
      <c r="O533" s="30"/>
      <c r="P533" s="30"/>
      <c r="Q533" s="30"/>
      <c r="R533" s="30"/>
      <c r="S533" s="30"/>
      <c r="T533" s="30"/>
      <c r="U533" s="30"/>
      <c r="V533" s="29"/>
      <c r="W533" s="125"/>
      <c r="X533" s="149"/>
      <c r="Y533" s="149"/>
      <c r="Z533" s="150"/>
      <c r="AA533" s="150"/>
      <c r="AB533" s="151"/>
      <c r="AC533" s="150"/>
      <c r="AD533" s="150"/>
      <c r="AE533" s="150"/>
      <c r="AF533" s="150"/>
      <c r="AG533" s="150"/>
      <c r="AH533" s="150"/>
    </row>
    <row r="534" spans="5:34">
      <c r="E534" s="31"/>
      <c r="F534" s="32"/>
      <c r="G534" s="29"/>
      <c r="H534" s="25"/>
      <c r="I534" s="25"/>
      <c r="J534" s="25"/>
      <c r="K534" s="25"/>
      <c r="L534" s="29"/>
      <c r="M534" s="29"/>
      <c r="N534" s="28"/>
      <c r="O534" s="30"/>
      <c r="P534" s="30"/>
      <c r="Q534" s="30"/>
      <c r="R534" s="30"/>
      <c r="S534" s="30"/>
      <c r="T534" s="30"/>
      <c r="U534" s="30"/>
      <c r="V534" s="29"/>
      <c r="W534" s="125"/>
      <c r="X534" s="149"/>
      <c r="Y534" s="149"/>
      <c r="Z534" s="150"/>
      <c r="AA534" s="150"/>
      <c r="AB534" s="151"/>
      <c r="AC534" s="150"/>
      <c r="AD534" s="150"/>
      <c r="AE534" s="150"/>
      <c r="AF534" s="150"/>
      <c r="AG534" s="150"/>
      <c r="AH534" s="150"/>
    </row>
    <row r="535" spans="5:34">
      <c r="E535" s="31"/>
      <c r="F535" s="32"/>
      <c r="G535" s="29"/>
      <c r="H535" s="25"/>
      <c r="I535" s="25"/>
      <c r="J535" s="25"/>
      <c r="K535" s="25"/>
      <c r="L535" s="29"/>
      <c r="M535" s="29"/>
      <c r="N535" s="28"/>
      <c r="O535" s="30"/>
      <c r="P535" s="30"/>
      <c r="Q535" s="30"/>
      <c r="R535" s="30"/>
      <c r="S535" s="30"/>
      <c r="T535" s="30"/>
      <c r="U535" s="30"/>
      <c r="V535" s="29"/>
      <c r="W535" s="125"/>
      <c r="X535" s="149"/>
      <c r="Y535" s="149"/>
      <c r="Z535" s="150"/>
      <c r="AA535" s="150"/>
      <c r="AB535" s="151"/>
      <c r="AC535" s="150"/>
      <c r="AD535" s="150"/>
      <c r="AE535" s="150"/>
      <c r="AF535" s="150"/>
      <c r="AG535" s="150"/>
      <c r="AH535" s="150"/>
    </row>
    <row r="536" spans="5:34">
      <c r="E536" s="31"/>
      <c r="F536" s="32"/>
      <c r="G536" s="29"/>
      <c r="H536" s="25"/>
      <c r="I536" s="25"/>
      <c r="J536" s="25"/>
      <c r="K536" s="25"/>
      <c r="L536" s="29"/>
      <c r="M536" s="29"/>
      <c r="N536" s="28"/>
      <c r="O536" s="30"/>
      <c r="P536" s="30"/>
      <c r="Q536" s="30"/>
      <c r="R536" s="30"/>
      <c r="S536" s="30"/>
      <c r="T536" s="30"/>
      <c r="U536" s="30"/>
      <c r="V536" s="29"/>
      <c r="W536" s="125"/>
      <c r="X536" s="149"/>
      <c r="Y536" s="149"/>
      <c r="Z536" s="150"/>
      <c r="AA536" s="150"/>
      <c r="AB536" s="151"/>
      <c r="AC536" s="150"/>
      <c r="AD536" s="150"/>
      <c r="AE536" s="150"/>
      <c r="AF536" s="150"/>
      <c r="AG536" s="150"/>
      <c r="AH536" s="150"/>
    </row>
    <row r="537" spans="5:34">
      <c r="E537" s="31"/>
      <c r="F537" s="32"/>
      <c r="G537" s="29"/>
      <c r="H537" s="25"/>
      <c r="I537" s="25"/>
      <c r="J537" s="25"/>
      <c r="K537" s="25"/>
      <c r="L537" s="29"/>
      <c r="M537" s="29"/>
      <c r="N537" s="28"/>
      <c r="O537" s="30"/>
      <c r="P537" s="30"/>
      <c r="Q537" s="30"/>
      <c r="R537" s="30"/>
      <c r="S537" s="30"/>
      <c r="T537" s="30"/>
      <c r="U537" s="30"/>
      <c r="V537" s="29"/>
      <c r="W537" s="125"/>
      <c r="X537" s="149"/>
      <c r="Y537" s="149"/>
      <c r="Z537" s="150"/>
      <c r="AA537" s="150"/>
      <c r="AB537" s="151"/>
      <c r="AC537" s="150"/>
      <c r="AD537" s="150"/>
      <c r="AE537" s="150"/>
      <c r="AF537" s="150"/>
      <c r="AG537" s="150"/>
      <c r="AH537" s="150"/>
    </row>
    <row r="538" spans="5:34">
      <c r="E538" s="31"/>
      <c r="F538" s="32"/>
      <c r="G538" s="29"/>
      <c r="H538" s="25"/>
      <c r="I538" s="25"/>
      <c r="J538" s="25"/>
      <c r="K538" s="25"/>
      <c r="L538" s="29"/>
      <c r="M538" s="29"/>
      <c r="N538" s="28"/>
      <c r="O538" s="30"/>
      <c r="P538" s="30"/>
      <c r="Q538" s="30"/>
      <c r="R538" s="30"/>
      <c r="S538" s="30"/>
      <c r="T538" s="30"/>
      <c r="U538" s="30"/>
      <c r="V538" s="29"/>
      <c r="W538" s="125"/>
      <c r="X538" s="149"/>
      <c r="Y538" s="149"/>
      <c r="Z538" s="150"/>
      <c r="AA538" s="150"/>
      <c r="AB538" s="151"/>
      <c r="AC538" s="150"/>
      <c r="AD538" s="150"/>
      <c r="AE538" s="150"/>
      <c r="AF538" s="150"/>
      <c r="AG538" s="150"/>
      <c r="AH538" s="150"/>
    </row>
    <row r="539" spans="5:34">
      <c r="E539" s="31"/>
      <c r="F539" s="32"/>
      <c r="G539" s="29"/>
      <c r="H539" s="25"/>
      <c r="I539" s="25"/>
      <c r="J539" s="25"/>
      <c r="K539" s="25"/>
      <c r="L539" s="29"/>
      <c r="M539" s="29"/>
      <c r="N539" s="28"/>
      <c r="O539" s="30"/>
      <c r="P539" s="30"/>
      <c r="Q539" s="30"/>
      <c r="R539" s="30"/>
      <c r="S539" s="30"/>
      <c r="T539" s="30"/>
      <c r="U539" s="30"/>
      <c r="V539" s="29"/>
      <c r="W539" s="125"/>
      <c r="X539" s="149"/>
      <c r="Y539" s="149"/>
      <c r="Z539" s="150"/>
      <c r="AA539" s="150"/>
      <c r="AB539" s="151"/>
      <c r="AC539" s="150"/>
      <c r="AD539" s="150"/>
      <c r="AE539" s="150"/>
      <c r="AF539" s="150"/>
      <c r="AG539" s="150"/>
      <c r="AH539" s="150"/>
    </row>
    <row r="540" spans="5:34">
      <c r="E540" s="31"/>
      <c r="F540" s="32"/>
      <c r="G540" s="29"/>
      <c r="H540" s="25"/>
      <c r="I540" s="25"/>
      <c r="J540" s="25"/>
      <c r="K540" s="25"/>
      <c r="L540" s="29"/>
      <c r="M540" s="29"/>
      <c r="N540" s="28"/>
      <c r="O540" s="30"/>
      <c r="P540" s="30"/>
      <c r="Q540" s="30"/>
      <c r="R540" s="30"/>
      <c r="S540" s="30"/>
      <c r="T540" s="30"/>
      <c r="U540" s="30"/>
      <c r="V540" s="29"/>
      <c r="W540" s="125"/>
      <c r="X540" s="149"/>
      <c r="Y540" s="149"/>
      <c r="Z540" s="150"/>
      <c r="AA540" s="150"/>
      <c r="AB540" s="151"/>
      <c r="AC540" s="150"/>
      <c r="AD540" s="150"/>
      <c r="AE540" s="150"/>
      <c r="AF540" s="150"/>
      <c r="AG540" s="150"/>
      <c r="AH540" s="150"/>
    </row>
    <row r="541" spans="5:34">
      <c r="E541" s="31"/>
      <c r="F541" s="32"/>
      <c r="G541" s="29"/>
      <c r="H541" s="25"/>
      <c r="I541" s="25"/>
      <c r="J541" s="25"/>
      <c r="K541" s="25"/>
      <c r="L541" s="29"/>
      <c r="M541" s="29"/>
      <c r="N541" s="28"/>
      <c r="O541" s="30"/>
      <c r="P541" s="30"/>
      <c r="Q541" s="30"/>
      <c r="R541" s="30"/>
      <c r="S541" s="30"/>
      <c r="T541" s="30"/>
      <c r="U541" s="30"/>
      <c r="V541" s="29"/>
      <c r="W541" s="125"/>
      <c r="X541" s="149"/>
      <c r="Y541" s="149"/>
      <c r="Z541" s="150"/>
      <c r="AA541" s="150"/>
      <c r="AB541" s="151"/>
      <c r="AC541" s="150"/>
      <c r="AD541" s="150"/>
      <c r="AE541" s="150"/>
      <c r="AF541" s="150"/>
      <c r="AG541" s="150"/>
      <c r="AH541" s="150"/>
    </row>
    <row r="542" spans="5:34">
      <c r="E542" s="31"/>
      <c r="F542" s="32"/>
      <c r="G542" s="29"/>
      <c r="H542" s="25"/>
      <c r="I542" s="25"/>
      <c r="J542" s="25"/>
      <c r="K542" s="25"/>
      <c r="L542" s="29"/>
      <c r="M542" s="29"/>
      <c r="N542" s="28"/>
      <c r="O542" s="30"/>
      <c r="P542" s="30"/>
      <c r="Q542" s="30"/>
      <c r="R542" s="30"/>
      <c r="S542" s="30"/>
      <c r="T542" s="30"/>
      <c r="U542" s="30"/>
      <c r="V542" s="29"/>
      <c r="W542" s="125"/>
      <c r="X542" s="149"/>
      <c r="Y542" s="149"/>
      <c r="Z542" s="150"/>
      <c r="AA542" s="150"/>
      <c r="AB542" s="151"/>
      <c r="AC542" s="150"/>
      <c r="AD542" s="150"/>
      <c r="AE542" s="150"/>
      <c r="AF542" s="150"/>
      <c r="AG542" s="150"/>
      <c r="AH542" s="150"/>
    </row>
    <row r="543" spans="5:34">
      <c r="E543" s="31"/>
      <c r="F543" s="32"/>
      <c r="G543" s="29"/>
      <c r="H543" s="25"/>
      <c r="I543" s="25"/>
      <c r="J543" s="25"/>
      <c r="K543" s="25"/>
      <c r="L543" s="29"/>
      <c r="M543" s="29"/>
      <c r="N543" s="28"/>
      <c r="O543" s="30"/>
      <c r="P543" s="30"/>
      <c r="Q543" s="30"/>
      <c r="R543" s="30"/>
      <c r="S543" s="30"/>
      <c r="T543" s="30"/>
      <c r="U543" s="30"/>
      <c r="V543" s="29"/>
      <c r="W543" s="125"/>
      <c r="X543" s="149"/>
      <c r="Y543" s="149"/>
      <c r="Z543" s="150"/>
      <c r="AA543" s="150"/>
      <c r="AB543" s="151"/>
      <c r="AC543" s="150"/>
      <c r="AD543" s="150"/>
      <c r="AE543" s="150"/>
      <c r="AF543" s="150"/>
      <c r="AG543" s="150"/>
      <c r="AH543" s="150"/>
    </row>
    <row r="544" spans="5:34">
      <c r="E544" s="31"/>
      <c r="F544" s="32"/>
      <c r="G544" s="29"/>
      <c r="H544" s="25"/>
      <c r="I544" s="25"/>
      <c r="J544" s="25"/>
      <c r="K544" s="25"/>
      <c r="L544" s="29"/>
      <c r="M544" s="29"/>
      <c r="N544" s="28"/>
      <c r="O544" s="30"/>
      <c r="P544" s="30"/>
      <c r="Q544" s="30"/>
      <c r="R544" s="30"/>
      <c r="S544" s="30"/>
      <c r="T544" s="30"/>
      <c r="U544" s="30"/>
      <c r="V544" s="29"/>
      <c r="W544" s="125"/>
      <c r="X544" s="149"/>
      <c r="Y544" s="149"/>
      <c r="Z544" s="150"/>
      <c r="AA544" s="150"/>
      <c r="AB544" s="151"/>
      <c r="AC544" s="150"/>
      <c r="AD544" s="150"/>
      <c r="AE544" s="150"/>
      <c r="AF544" s="150"/>
      <c r="AG544" s="150"/>
      <c r="AH544" s="150"/>
    </row>
    <row r="545" spans="5:34">
      <c r="E545" s="31"/>
      <c r="F545" s="32"/>
      <c r="G545" s="29"/>
      <c r="H545" s="25"/>
      <c r="I545" s="25"/>
      <c r="J545" s="25"/>
      <c r="K545" s="25"/>
      <c r="L545" s="29"/>
      <c r="M545" s="29"/>
      <c r="N545" s="28"/>
      <c r="O545" s="30"/>
      <c r="P545" s="30"/>
      <c r="Q545" s="30"/>
      <c r="R545" s="30"/>
      <c r="S545" s="30"/>
      <c r="T545" s="30"/>
      <c r="U545" s="30"/>
      <c r="V545" s="29"/>
      <c r="W545" s="125"/>
      <c r="X545" s="149"/>
      <c r="Y545" s="149"/>
      <c r="Z545" s="150"/>
      <c r="AA545" s="150"/>
      <c r="AB545" s="151"/>
      <c r="AC545" s="150"/>
      <c r="AD545" s="150"/>
      <c r="AE545" s="150"/>
      <c r="AF545" s="150"/>
      <c r="AG545" s="150"/>
      <c r="AH545" s="150"/>
    </row>
    <row r="546" spans="5:34">
      <c r="E546" s="31"/>
      <c r="F546" s="32"/>
      <c r="G546" s="29"/>
      <c r="H546" s="25"/>
      <c r="I546" s="25"/>
      <c r="J546" s="25"/>
      <c r="K546" s="25"/>
      <c r="L546" s="29"/>
      <c r="M546" s="29"/>
      <c r="N546" s="28"/>
      <c r="O546" s="30"/>
      <c r="P546" s="30"/>
      <c r="Q546" s="30"/>
      <c r="R546" s="30"/>
      <c r="S546" s="30"/>
      <c r="T546" s="30"/>
      <c r="U546" s="30"/>
      <c r="V546" s="29"/>
      <c r="W546" s="125"/>
      <c r="X546" s="149"/>
      <c r="Y546" s="149"/>
      <c r="Z546" s="150"/>
      <c r="AA546" s="150"/>
      <c r="AB546" s="151"/>
      <c r="AC546" s="150"/>
      <c r="AD546" s="150"/>
      <c r="AE546" s="150"/>
      <c r="AF546" s="150"/>
      <c r="AG546" s="150"/>
      <c r="AH546" s="150"/>
    </row>
    <row r="547" spans="5:34">
      <c r="E547" s="31"/>
      <c r="F547" s="32"/>
      <c r="G547" s="29"/>
      <c r="H547" s="25"/>
      <c r="I547" s="25"/>
      <c r="J547" s="25"/>
      <c r="K547" s="25"/>
      <c r="L547" s="29"/>
      <c r="M547" s="29"/>
      <c r="N547" s="28"/>
      <c r="O547" s="30"/>
      <c r="P547" s="30"/>
      <c r="Q547" s="30"/>
      <c r="R547" s="30"/>
      <c r="S547" s="30"/>
      <c r="T547" s="30"/>
      <c r="U547" s="30"/>
      <c r="V547" s="29"/>
      <c r="W547" s="125"/>
      <c r="X547" s="149"/>
      <c r="Y547" s="149"/>
      <c r="Z547" s="150"/>
      <c r="AA547" s="150"/>
      <c r="AB547" s="151"/>
      <c r="AC547" s="150"/>
      <c r="AD547" s="150"/>
      <c r="AE547" s="150"/>
      <c r="AF547" s="150"/>
      <c r="AG547" s="150"/>
      <c r="AH547" s="150"/>
    </row>
    <row r="548" spans="5:34">
      <c r="E548" s="31"/>
      <c r="F548" s="32"/>
      <c r="G548" s="29"/>
      <c r="H548" s="25"/>
      <c r="I548" s="25"/>
      <c r="J548" s="25"/>
      <c r="K548" s="25"/>
      <c r="L548" s="29"/>
      <c r="M548" s="29"/>
      <c r="N548" s="28"/>
      <c r="O548" s="30"/>
      <c r="P548" s="30"/>
      <c r="Q548" s="30"/>
      <c r="R548" s="30"/>
      <c r="S548" s="30"/>
      <c r="T548" s="30"/>
      <c r="U548" s="30"/>
      <c r="V548" s="29"/>
      <c r="W548" s="125"/>
      <c r="X548" s="149"/>
      <c r="Y548" s="149"/>
      <c r="Z548" s="150"/>
      <c r="AA548" s="150"/>
      <c r="AB548" s="151"/>
      <c r="AC548" s="150"/>
      <c r="AD548" s="150"/>
      <c r="AE548" s="150"/>
      <c r="AF548" s="150"/>
      <c r="AG548" s="150"/>
      <c r="AH548" s="150"/>
    </row>
    <row r="549" spans="5:34">
      <c r="E549" s="31"/>
      <c r="F549" s="32"/>
      <c r="G549" s="29"/>
      <c r="H549" s="25"/>
      <c r="I549" s="25"/>
      <c r="J549" s="25"/>
      <c r="K549" s="25"/>
      <c r="L549" s="29"/>
      <c r="M549" s="29"/>
      <c r="N549" s="28"/>
      <c r="O549" s="30"/>
      <c r="P549" s="30"/>
      <c r="Q549" s="30"/>
      <c r="R549" s="30"/>
      <c r="S549" s="30"/>
      <c r="T549" s="30"/>
      <c r="U549" s="30"/>
      <c r="V549" s="29"/>
      <c r="W549" s="125"/>
      <c r="X549" s="149"/>
      <c r="Y549" s="149"/>
      <c r="Z549" s="150"/>
      <c r="AA549" s="150"/>
      <c r="AB549" s="151"/>
      <c r="AC549" s="150"/>
      <c r="AD549" s="150"/>
      <c r="AE549" s="150"/>
      <c r="AF549" s="150"/>
      <c r="AG549" s="150"/>
      <c r="AH549" s="150"/>
    </row>
    <row r="550" spans="5:34">
      <c r="E550" s="31"/>
      <c r="F550" s="32"/>
      <c r="G550" s="29"/>
      <c r="H550" s="25"/>
      <c r="I550" s="25"/>
      <c r="J550" s="25"/>
      <c r="K550" s="25"/>
      <c r="L550" s="29"/>
      <c r="M550" s="29"/>
      <c r="N550" s="28"/>
      <c r="O550" s="30"/>
      <c r="P550" s="30"/>
      <c r="Q550" s="30"/>
      <c r="R550" s="30"/>
      <c r="S550" s="30"/>
      <c r="T550" s="30"/>
      <c r="U550" s="30"/>
      <c r="V550" s="29"/>
      <c r="W550" s="125"/>
      <c r="X550" s="149"/>
      <c r="Y550" s="149"/>
      <c r="Z550" s="150"/>
      <c r="AA550" s="150"/>
      <c r="AB550" s="151"/>
      <c r="AC550" s="150"/>
      <c r="AD550" s="150"/>
      <c r="AE550" s="150"/>
      <c r="AF550" s="150"/>
      <c r="AG550" s="150"/>
      <c r="AH550" s="150"/>
    </row>
    <row r="551" spans="5:34">
      <c r="E551" s="31"/>
      <c r="F551" s="32"/>
      <c r="G551" s="29"/>
      <c r="H551" s="25"/>
      <c r="I551" s="25"/>
      <c r="J551" s="25"/>
      <c r="K551" s="25"/>
      <c r="L551" s="29"/>
      <c r="M551" s="29"/>
      <c r="N551" s="28"/>
      <c r="O551" s="30"/>
      <c r="P551" s="30"/>
      <c r="Q551" s="30"/>
      <c r="R551" s="30"/>
      <c r="S551" s="30"/>
      <c r="T551" s="30"/>
      <c r="U551" s="30"/>
      <c r="V551" s="29"/>
      <c r="W551" s="125"/>
      <c r="X551" s="149"/>
      <c r="Y551" s="149"/>
      <c r="Z551" s="150"/>
      <c r="AA551" s="150"/>
      <c r="AB551" s="151"/>
      <c r="AC551" s="150"/>
      <c r="AD551" s="150"/>
      <c r="AE551" s="150"/>
      <c r="AF551" s="150"/>
      <c r="AG551" s="150"/>
      <c r="AH551" s="150"/>
    </row>
    <row r="552" spans="5:34">
      <c r="E552" s="31"/>
      <c r="F552" s="32"/>
      <c r="G552" s="29"/>
      <c r="H552" s="25"/>
      <c r="I552" s="25"/>
      <c r="J552" s="25"/>
      <c r="K552" s="25"/>
      <c r="L552" s="29"/>
      <c r="M552" s="29"/>
      <c r="N552" s="28"/>
      <c r="O552" s="30"/>
      <c r="P552" s="30"/>
      <c r="Q552" s="30"/>
      <c r="R552" s="30"/>
      <c r="S552" s="30"/>
      <c r="T552" s="30"/>
      <c r="U552" s="30"/>
      <c r="V552" s="29"/>
      <c r="W552" s="125"/>
      <c r="X552" s="149"/>
      <c r="Y552" s="149"/>
      <c r="Z552" s="150"/>
      <c r="AA552" s="150"/>
      <c r="AB552" s="151"/>
      <c r="AC552" s="150"/>
      <c r="AD552" s="150"/>
      <c r="AE552" s="150"/>
      <c r="AF552" s="150"/>
      <c r="AG552" s="150"/>
      <c r="AH552" s="150"/>
    </row>
    <row r="553" spans="5:34">
      <c r="E553" s="31"/>
      <c r="F553" s="32"/>
      <c r="G553" s="29"/>
      <c r="H553" s="25"/>
      <c r="I553" s="25"/>
      <c r="J553" s="25"/>
      <c r="K553" s="25"/>
      <c r="L553" s="29"/>
      <c r="M553" s="29"/>
      <c r="N553" s="28"/>
      <c r="O553" s="30"/>
      <c r="P553" s="30"/>
      <c r="Q553" s="30"/>
      <c r="R553" s="30"/>
      <c r="S553" s="30"/>
      <c r="T553" s="30"/>
      <c r="U553" s="30"/>
      <c r="V553" s="29"/>
      <c r="W553" s="125"/>
      <c r="X553" s="149"/>
      <c r="Y553" s="149"/>
      <c r="Z553" s="150"/>
      <c r="AA553" s="150"/>
      <c r="AB553" s="151"/>
      <c r="AC553" s="150"/>
      <c r="AD553" s="150"/>
      <c r="AE553" s="150"/>
      <c r="AF553" s="150"/>
      <c r="AG553" s="150"/>
      <c r="AH553" s="150"/>
    </row>
    <row r="554" spans="5:34">
      <c r="E554" s="31"/>
      <c r="F554" s="32"/>
      <c r="G554" s="29"/>
      <c r="H554" s="25"/>
      <c r="I554" s="25"/>
      <c r="J554" s="25"/>
      <c r="K554" s="25"/>
      <c r="L554" s="29"/>
      <c r="M554" s="29"/>
      <c r="N554" s="28"/>
      <c r="O554" s="30"/>
      <c r="P554" s="30"/>
      <c r="Q554" s="30"/>
      <c r="R554" s="30"/>
      <c r="S554" s="30"/>
      <c r="T554" s="30"/>
      <c r="U554" s="30"/>
      <c r="V554" s="29"/>
      <c r="W554" s="125"/>
      <c r="X554" s="149"/>
      <c r="Y554" s="149"/>
      <c r="Z554" s="150"/>
      <c r="AA554" s="150"/>
      <c r="AB554" s="151"/>
      <c r="AC554" s="150"/>
      <c r="AD554" s="150"/>
      <c r="AE554" s="150"/>
      <c r="AF554" s="150"/>
      <c r="AG554" s="150"/>
      <c r="AH554" s="150"/>
    </row>
    <row r="555" spans="5:34">
      <c r="E555" s="31"/>
      <c r="F555" s="32"/>
      <c r="G555" s="29"/>
      <c r="H555" s="25"/>
      <c r="I555" s="25"/>
      <c r="J555" s="25"/>
      <c r="K555" s="25"/>
      <c r="L555" s="29"/>
      <c r="M555" s="29"/>
      <c r="N555" s="28"/>
      <c r="O555" s="30"/>
      <c r="P555" s="30"/>
      <c r="Q555" s="30"/>
      <c r="R555" s="30"/>
      <c r="S555" s="30"/>
      <c r="T555" s="30"/>
      <c r="U555" s="30"/>
      <c r="V555" s="29"/>
      <c r="W555" s="125"/>
      <c r="X555" s="149"/>
      <c r="Y555" s="149"/>
      <c r="Z555" s="150"/>
      <c r="AA555" s="150"/>
      <c r="AB555" s="151"/>
      <c r="AC555" s="150"/>
      <c r="AD555" s="150"/>
      <c r="AE555" s="150"/>
      <c r="AF555" s="150"/>
      <c r="AG555" s="150"/>
      <c r="AH555" s="150"/>
    </row>
    <row r="556" spans="5:34">
      <c r="E556" s="31"/>
      <c r="F556" s="32"/>
      <c r="G556" s="29"/>
      <c r="H556" s="25"/>
      <c r="I556" s="25"/>
      <c r="J556" s="25"/>
      <c r="K556" s="25"/>
      <c r="L556" s="29"/>
      <c r="M556" s="29"/>
      <c r="N556" s="28"/>
      <c r="O556" s="30"/>
      <c r="P556" s="30"/>
      <c r="Q556" s="30"/>
      <c r="R556" s="30"/>
      <c r="S556" s="30"/>
      <c r="T556" s="30"/>
      <c r="U556" s="30"/>
      <c r="V556" s="29"/>
      <c r="W556" s="125"/>
      <c r="X556" s="149"/>
      <c r="Y556" s="149"/>
      <c r="Z556" s="150"/>
      <c r="AA556" s="150"/>
      <c r="AB556" s="151"/>
      <c r="AC556" s="150"/>
      <c r="AD556" s="150"/>
      <c r="AE556" s="150"/>
      <c r="AF556" s="150"/>
      <c r="AG556" s="150"/>
      <c r="AH556" s="150"/>
    </row>
    <row r="557" spans="5:34">
      <c r="E557" s="31"/>
      <c r="F557" s="32"/>
      <c r="G557" s="29"/>
      <c r="H557" s="25"/>
      <c r="I557" s="25"/>
      <c r="J557" s="25"/>
      <c r="K557" s="25"/>
      <c r="L557" s="29"/>
      <c r="M557" s="29"/>
      <c r="N557" s="28"/>
      <c r="O557" s="30"/>
      <c r="P557" s="30"/>
      <c r="Q557" s="30"/>
      <c r="R557" s="30"/>
      <c r="S557" s="30"/>
      <c r="T557" s="30"/>
      <c r="U557" s="30"/>
      <c r="V557" s="29"/>
      <c r="W557" s="125"/>
      <c r="X557" s="149"/>
      <c r="Y557" s="149"/>
      <c r="Z557" s="150"/>
      <c r="AA557" s="150"/>
      <c r="AB557" s="151"/>
      <c r="AC557" s="150"/>
      <c r="AD557" s="150"/>
      <c r="AE557" s="150"/>
      <c r="AF557" s="150"/>
      <c r="AG557" s="150"/>
      <c r="AH557" s="150"/>
    </row>
    <row r="558" spans="5:34">
      <c r="E558" s="31"/>
      <c r="F558" s="32"/>
      <c r="G558" s="29"/>
      <c r="H558" s="25"/>
      <c r="I558" s="25"/>
      <c r="J558" s="25"/>
      <c r="K558" s="25"/>
      <c r="L558" s="29"/>
      <c r="M558" s="29"/>
      <c r="N558" s="28"/>
      <c r="O558" s="30"/>
      <c r="P558" s="30"/>
      <c r="Q558" s="30"/>
      <c r="R558" s="30"/>
      <c r="S558" s="30"/>
      <c r="T558" s="30"/>
      <c r="U558" s="30"/>
      <c r="V558" s="29"/>
      <c r="W558" s="125"/>
      <c r="X558" s="149"/>
      <c r="Y558" s="149"/>
      <c r="Z558" s="150"/>
      <c r="AA558" s="150"/>
      <c r="AB558" s="151"/>
      <c r="AC558" s="150"/>
      <c r="AD558" s="150"/>
      <c r="AE558" s="150"/>
      <c r="AF558" s="150"/>
      <c r="AG558" s="150"/>
      <c r="AH558" s="150"/>
    </row>
    <row r="559" spans="5:34">
      <c r="E559" s="31"/>
      <c r="F559" s="32"/>
      <c r="G559" s="29"/>
      <c r="H559" s="25"/>
      <c r="I559" s="25"/>
      <c r="J559" s="25"/>
      <c r="K559" s="25"/>
      <c r="L559" s="29"/>
      <c r="M559" s="29"/>
      <c r="N559" s="28"/>
      <c r="O559" s="30"/>
      <c r="P559" s="30"/>
      <c r="Q559" s="30"/>
      <c r="R559" s="30"/>
      <c r="S559" s="30"/>
      <c r="T559" s="30"/>
      <c r="U559" s="30"/>
      <c r="V559" s="29"/>
      <c r="W559" s="125"/>
      <c r="X559" s="149"/>
      <c r="Y559" s="149"/>
      <c r="Z559" s="150"/>
      <c r="AA559" s="150"/>
      <c r="AB559" s="151"/>
      <c r="AC559" s="150"/>
      <c r="AD559" s="150"/>
      <c r="AE559" s="150"/>
      <c r="AF559" s="150"/>
      <c r="AG559" s="150"/>
      <c r="AH559" s="150"/>
    </row>
    <row r="560" spans="5:34">
      <c r="E560" s="31"/>
      <c r="F560" s="32"/>
      <c r="G560" s="29"/>
      <c r="H560" s="25"/>
      <c r="I560" s="25"/>
      <c r="J560" s="25"/>
      <c r="K560" s="25"/>
      <c r="L560" s="29"/>
      <c r="M560" s="29"/>
      <c r="N560" s="28"/>
      <c r="O560" s="30"/>
      <c r="P560" s="30"/>
      <c r="Q560" s="30"/>
      <c r="R560" s="30"/>
      <c r="S560" s="30"/>
      <c r="T560" s="30"/>
      <c r="U560" s="30"/>
      <c r="V560" s="29"/>
      <c r="W560" s="125"/>
      <c r="X560" s="149"/>
      <c r="Y560" s="149"/>
      <c r="Z560" s="150"/>
      <c r="AA560" s="150"/>
      <c r="AB560" s="151"/>
      <c r="AC560" s="150"/>
      <c r="AD560" s="150"/>
      <c r="AE560" s="150"/>
      <c r="AF560" s="150"/>
      <c r="AG560" s="150"/>
      <c r="AH560" s="150"/>
    </row>
    <row r="561" spans="5:34">
      <c r="E561" s="31"/>
      <c r="F561" s="32"/>
      <c r="G561" s="29"/>
      <c r="H561" s="25"/>
      <c r="I561" s="25"/>
      <c r="J561" s="25"/>
      <c r="K561" s="25"/>
      <c r="L561" s="29"/>
      <c r="M561" s="29"/>
      <c r="N561" s="28"/>
      <c r="O561" s="30"/>
      <c r="P561" s="30"/>
      <c r="Q561" s="30"/>
      <c r="R561" s="30"/>
      <c r="S561" s="30"/>
      <c r="T561" s="30"/>
      <c r="U561" s="30"/>
      <c r="V561" s="29"/>
      <c r="W561" s="125"/>
      <c r="X561" s="149"/>
      <c r="Y561" s="149"/>
      <c r="Z561" s="150"/>
      <c r="AA561" s="150"/>
      <c r="AB561" s="151"/>
      <c r="AC561" s="150"/>
      <c r="AD561" s="150"/>
      <c r="AE561" s="150"/>
      <c r="AF561" s="150"/>
      <c r="AG561" s="150"/>
      <c r="AH561" s="150"/>
    </row>
    <row r="562" spans="5:34">
      <c r="E562" s="31"/>
      <c r="F562" s="32"/>
      <c r="G562" s="29"/>
      <c r="H562" s="25"/>
      <c r="I562" s="25"/>
      <c r="J562" s="25"/>
      <c r="K562" s="25"/>
      <c r="L562" s="29"/>
      <c r="M562" s="29"/>
      <c r="N562" s="28"/>
      <c r="O562" s="30"/>
      <c r="P562" s="30"/>
      <c r="Q562" s="30"/>
      <c r="R562" s="30"/>
      <c r="S562" s="30"/>
      <c r="T562" s="30"/>
      <c r="U562" s="30"/>
      <c r="V562" s="29"/>
      <c r="W562" s="125"/>
      <c r="X562" s="149"/>
      <c r="Y562" s="149"/>
      <c r="Z562" s="150"/>
      <c r="AA562" s="150"/>
      <c r="AB562" s="151"/>
      <c r="AC562" s="150"/>
      <c r="AD562" s="150"/>
      <c r="AE562" s="150"/>
      <c r="AF562" s="150"/>
      <c r="AG562" s="150"/>
      <c r="AH562" s="150"/>
    </row>
    <row r="563" spans="5:34">
      <c r="E563" s="31"/>
      <c r="F563" s="32"/>
      <c r="G563" s="29"/>
      <c r="H563" s="25"/>
      <c r="I563" s="25"/>
      <c r="J563" s="25"/>
      <c r="K563" s="25"/>
      <c r="L563" s="29"/>
      <c r="M563" s="29"/>
      <c r="N563" s="28"/>
      <c r="O563" s="30"/>
      <c r="P563" s="30"/>
      <c r="Q563" s="30"/>
      <c r="R563" s="30"/>
      <c r="S563" s="30"/>
      <c r="T563" s="30"/>
      <c r="U563" s="30"/>
      <c r="V563" s="29"/>
      <c r="W563" s="125"/>
      <c r="X563" s="149"/>
      <c r="Y563" s="149"/>
      <c r="Z563" s="150"/>
      <c r="AA563" s="150"/>
      <c r="AB563" s="151"/>
      <c r="AC563" s="150"/>
      <c r="AD563" s="150"/>
      <c r="AE563" s="150"/>
      <c r="AF563" s="150"/>
      <c r="AG563" s="150"/>
      <c r="AH563" s="150"/>
    </row>
    <row r="564" spans="5:34">
      <c r="E564" s="31"/>
      <c r="F564" s="32"/>
      <c r="G564" s="29"/>
      <c r="H564" s="25"/>
      <c r="I564" s="25"/>
      <c r="J564" s="25"/>
      <c r="K564" s="25"/>
      <c r="L564" s="29"/>
      <c r="M564" s="29"/>
      <c r="N564" s="28"/>
      <c r="O564" s="30"/>
      <c r="P564" s="30"/>
      <c r="Q564" s="30"/>
      <c r="R564" s="30"/>
      <c r="S564" s="30"/>
      <c r="T564" s="30"/>
      <c r="U564" s="30"/>
      <c r="V564" s="29"/>
      <c r="W564" s="125"/>
      <c r="X564" s="149"/>
      <c r="Y564" s="149"/>
      <c r="Z564" s="150"/>
      <c r="AA564" s="150"/>
      <c r="AB564" s="151"/>
      <c r="AC564" s="150"/>
      <c r="AD564" s="150"/>
      <c r="AE564" s="150"/>
      <c r="AF564" s="150"/>
      <c r="AG564" s="150"/>
      <c r="AH564" s="150"/>
    </row>
    <row r="565" spans="5:34">
      <c r="E565" s="31"/>
      <c r="F565" s="32"/>
      <c r="G565" s="29"/>
      <c r="H565" s="25"/>
      <c r="I565" s="25"/>
      <c r="J565" s="25"/>
      <c r="K565" s="25"/>
      <c r="L565" s="29"/>
      <c r="M565" s="29"/>
      <c r="N565" s="28"/>
      <c r="O565" s="30"/>
      <c r="P565" s="30"/>
      <c r="Q565" s="30"/>
      <c r="R565" s="30"/>
      <c r="S565" s="30"/>
      <c r="T565" s="30"/>
      <c r="U565" s="30"/>
      <c r="V565" s="29"/>
      <c r="W565" s="125"/>
      <c r="X565" s="149"/>
      <c r="Y565" s="149"/>
      <c r="Z565" s="150"/>
      <c r="AA565" s="150"/>
      <c r="AB565" s="151"/>
      <c r="AC565" s="150"/>
      <c r="AD565" s="150"/>
      <c r="AE565" s="150"/>
      <c r="AF565" s="150"/>
      <c r="AG565" s="150"/>
      <c r="AH565" s="150"/>
    </row>
    <row r="566" spans="5:34">
      <c r="E566" s="31"/>
      <c r="F566" s="32"/>
      <c r="G566" s="29"/>
      <c r="H566" s="25"/>
      <c r="I566" s="25"/>
      <c r="J566" s="25"/>
      <c r="K566" s="25"/>
      <c r="L566" s="29"/>
      <c r="M566" s="29"/>
      <c r="N566" s="28"/>
      <c r="O566" s="30"/>
      <c r="P566" s="30"/>
      <c r="Q566" s="30"/>
      <c r="R566" s="30"/>
      <c r="S566" s="30"/>
      <c r="T566" s="30"/>
      <c r="U566" s="30"/>
      <c r="V566" s="29"/>
      <c r="W566" s="125"/>
      <c r="X566" s="149"/>
      <c r="Y566" s="149"/>
      <c r="Z566" s="150"/>
      <c r="AA566" s="150"/>
      <c r="AB566" s="151"/>
      <c r="AC566" s="150"/>
      <c r="AD566" s="150"/>
      <c r="AE566" s="150"/>
      <c r="AF566" s="150"/>
      <c r="AG566" s="150"/>
      <c r="AH566" s="150"/>
    </row>
    <row r="567" spans="5:34">
      <c r="E567" s="31"/>
      <c r="F567" s="32"/>
      <c r="G567" s="29"/>
      <c r="H567" s="25"/>
      <c r="I567" s="25"/>
      <c r="J567" s="25"/>
      <c r="K567" s="25"/>
      <c r="L567" s="29"/>
      <c r="M567" s="29"/>
      <c r="N567" s="28"/>
      <c r="O567" s="30"/>
      <c r="P567" s="30"/>
      <c r="Q567" s="30"/>
      <c r="R567" s="30"/>
      <c r="S567" s="30"/>
      <c r="T567" s="30"/>
      <c r="U567" s="30"/>
      <c r="V567" s="29"/>
      <c r="W567" s="125"/>
      <c r="X567" s="149"/>
      <c r="Y567" s="149"/>
      <c r="Z567" s="150"/>
      <c r="AA567" s="150"/>
      <c r="AB567" s="151"/>
      <c r="AC567" s="150"/>
      <c r="AD567" s="150"/>
      <c r="AE567" s="150"/>
      <c r="AF567" s="150"/>
      <c r="AG567" s="150"/>
      <c r="AH567" s="150"/>
    </row>
    <row r="568" spans="5:34">
      <c r="E568" s="31"/>
      <c r="F568" s="32"/>
      <c r="G568" s="29"/>
      <c r="H568" s="25"/>
      <c r="I568" s="25"/>
      <c r="J568" s="25"/>
      <c r="K568" s="25"/>
      <c r="L568" s="29"/>
      <c r="M568" s="29"/>
      <c r="N568" s="28"/>
      <c r="O568" s="30"/>
      <c r="P568" s="30"/>
      <c r="Q568" s="30"/>
      <c r="R568" s="30"/>
      <c r="S568" s="30"/>
      <c r="T568" s="30"/>
      <c r="U568" s="30"/>
      <c r="V568" s="29"/>
      <c r="W568" s="125"/>
      <c r="X568" s="149"/>
      <c r="Y568" s="149"/>
      <c r="Z568" s="150"/>
      <c r="AA568" s="150"/>
      <c r="AB568" s="151"/>
      <c r="AC568" s="150"/>
      <c r="AD568" s="150"/>
      <c r="AE568" s="150"/>
      <c r="AF568" s="150"/>
      <c r="AG568" s="150"/>
      <c r="AH568" s="150"/>
    </row>
    <row r="569" spans="5:34">
      <c r="E569" s="31"/>
      <c r="F569" s="32"/>
      <c r="G569" s="29"/>
      <c r="H569" s="25"/>
      <c r="I569" s="25"/>
      <c r="J569" s="25"/>
      <c r="K569" s="25"/>
      <c r="L569" s="29"/>
      <c r="M569" s="29"/>
      <c r="N569" s="28"/>
      <c r="O569" s="30"/>
      <c r="P569" s="30"/>
      <c r="Q569" s="30"/>
      <c r="R569" s="30"/>
      <c r="S569" s="30"/>
      <c r="T569" s="30"/>
      <c r="U569" s="30"/>
      <c r="V569" s="29"/>
      <c r="W569" s="125"/>
      <c r="X569" s="149"/>
      <c r="Y569" s="149"/>
      <c r="Z569" s="150"/>
      <c r="AA569" s="150"/>
      <c r="AB569" s="151"/>
      <c r="AC569" s="150"/>
      <c r="AD569" s="150"/>
      <c r="AE569" s="150"/>
      <c r="AF569" s="150"/>
      <c r="AG569" s="150"/>
      <c r="AH569" s="150"/>
    </row>
    <row r="570" spans="5:34">
      <c r="E570" s="31"/>
      <c r="F570" s="32"/>
      <c r="G570" s="29"/>
      <c r="H570" s="25"/>
      <c r="I570" s="25"/>
      <c r="J570" s="25"/>
      <c r="K570" s="25"/>
      <c r="L570" s="29"/>
      <c r="M570" s="29"/>
      <c r="N570" s="28"/>
      <c r="O570" s="30"/>
      <c r="P570" s="30"/>
      <c r="Q570" s="30"/>
      <c r="R570" s="30"/>
      <c r="S570" s="30"/>
      <c r="T570" s="30"/>
      <c r="U570" s="30"/>
      <c r="V570" s="29"/>
      <c r="W570" s="125"/>
      <c r="X570" s="149"/>
      <c r="Y570" s="149"/>
      <c r="Z570" s="150"/>
      <c r="AA570" s="150"/>
      <c r="AB570" s="151"/>
      <c r="AC570" s="150"/>
      <c r="AD570" s="150"/>
      <c r="AE570" s="150"/>
      <c r="AF570" s="150"/>
      <c r="AG570" s="150"/>
      <c r="AH570" s="150"/>
    </row>
    <row r="571" spans="5:34">
      <c r="E571" s="31"/>
      <c r="F571" s="32"/>
      <c r="G571" s="29"/>
      <c r="H571" s="25"/>
      <c r="I571" s="25"/>
      <c r="J571" s="25"/>
      <c r="K571" s="25"/>
      <c r="L571" s="29"/>
      <c r="M571" s="29"/>
      <c r="N571" s="28"/>
      <c r="O571" s="30"/>
      <c r="P571" s="30"/>
      <c r="Q571" s="30"/>
      <c r="R571" s="30"/>
      <c r="S571" s="30"/>
      <c r="T571" s="30"/>
      <c r="U571" s="30"/>
      <c r="V571" s="29"/>
      <c r="W571" s="125"/>
      <c r="X571" s="149"/>
      <c r="Y571" s="149"/>
      <c r="Z571" s="150"/>
      <c r="AA571" s="150"/>
      <c r="AB571" s="151"/>
      <c r="AC571" s="150"/>
      <c r="AD571" s="150"/>
      <c r="AE571" s="150"/>
      <c r="AF571" s="150"/>
      <c r="AG571" s="150"/>
      <c r="AH571" s="150"/>
    </row>
    <row r="572" spans="5:34">
      <c r="E572" s="31"/>
      <c r="F572" s="32"/>
      <c r="G572" s="29"/>
      <c r="H572" s="25"/>
      <c r="I572" s="25"/>
      <c r="J572" s="25"/>
      <c r="K572" s="25"/>
      <c r="L572" s="29"/>
      <c r="M572" s="29"/>
      <c r="N572" s="28"/>
      <c r="O572" s="30"/>
      <c r="P572" s="30"/>
      <c r="Q572" s="30"/>
      <c r="R572" s="30"/>
      <c r="S572" s="30"/>
      <c r="T572" s="30"/>
      <c r="U572" s="30"/>
      <c r="V572" s="29"/>
      <c r="W572" s="125"/>
      <c r="X572" s="149"/>
      <c r="Y572" s="149"/>
      <c r="Z572" s="150"/>
      <c r="AA572" s="150"/>
      <c r="AB572" s="151"/>
      <c r="AC572" s="150"/>
      <c r="AD572" s="150"/>
      <c r="AE572" s="150"/>
      <c r="AF572" s="150"/>
      <c r="AG572" s="150"/>
      <c r="AH572" s="150"/>
    </row>
    <row r="573" spans="5:34">
      <c r="E573" s="31"/>
      <c r="F573" s="32"/>
      <c r="G573" s="29"/>
      <c r="H573" s="25"/>
      <c r="I573" s="25"/>
      <c r="J573" s="25"/>
      <c r="K573" s="25"/>
      <c r="L573" s="29"/>
      <c r="M573" s="29"/>
      <c r="N573" s="28"/>
      <c r="O573" s="30"/>
      <c r="P573" s="30"/>
      <c r="Q573" s="30"/>
      <c r="R573" s="30"/>
      <c r="S573" s="30"/>
      <c r="T573" s="30"/>
      <c r="U573" s="30"/>
      <c r="V573" s="29"/>
      <c r="W573" s="125"/>
      <c r="X573" s="149"/>
      <c r="Y573" s="149"/>
      <c r="Z573" s="150"/>
      <c r="AA573" s="150"/>
      <c r="AB573" s="151"/>
      <c r="AC573" s="150"/>
      <c r="AD573" s="150"/>
      <c r="AE573" s="150"/>
      <c r="AF573" s="150"/>
      <c r="AG573" s="150"/>
      <c r="AH573" s="150"/>
    </row>
    <row r="574" spans="5:34">
      <c r="E574" s="31"/>
      <c r="F574" s="32"/>
      <c r="G574" s="29"/>
      <c r="H574" s="25"/>
      <c r="I574" s="25"/>
      <c r="J574" s="25"/>
      <c r="K574" s="25"/>
      <c r="L574" s="29"/>
      <c r="M574" s="29"/>
      <c r="N574" s="28"/>
      <c r="O574" s="30"/>
      <c r="P574" s="30"/>
      <c r="Q574" s="30"/>
      <c r="R574" s="30"/>
      <c r="S574" s="30"/>
      <c r="T574" s="30"/>
      <c r="U574" s="30"/>
      <c r="V574" s="29"/>
      <c r="W574" s="125"/>
      <c r="X574" s="149"/>
      <c r="Y574" s="149"/>
      <c r="Z574" s="150"/>
      <c r="AA574" s="150"/>
      <c r="AB574" s="151"/>
      <c r="AC574" s="150"/>
      <c r="AD574" s="150"/>
      <c r="AE574" s="150"/>
      <c r="AF574" s="150"/>
      <c r="AG574" s="150"/>
      <c r="AH574" s="150"/>
    </row>
    <row r="575" spans="5:34">
      <c r="E575" s="31"/>
      <c r="F575" s="32"/>
      <c r="G575" s="29"/>
      <c r="H575" s="25"/>
      <c r="I575" s="25"/>
      <c r="J575" s="25"/>
      <c r="K575" s="25"/>
      <c r="L575" s="29"/>
      <c r="M575" s="29"/>
      <c r="N575" s="28"/>
      <c r="O575" s="30"/>
      <c r="P575" s="30"/>
      <c r="Q575" s="30"/>
      <c r="R575" s="30"/>
      <c r="S575" s="30"/>
      <c r="T575" s="30"/>
      <c r="U575" s="30"/>
      <c r="V575" s="29"/>
      <c r="W575" s="125"/>
      <c r="X575" s="149"/>
      <c r="Y575" s="149"/>
      <c r="Z575" s="150"/>
      <c r="AA575" s="150"/>
      <c r="AB575" s="151"/>
      <c r="AC575" s="150"/>
      <c r="AD575" s="150"/>
      <c r="AE575" s="150"/>
      <c r="AF575" s="150"/>
      <c r="AG575" s="150"/>
      <c r="AH575" s="150"/>
    </row>
    <row r="576" spans="5:34">
      <c r="E576" s="31"/>
      <c r="F576" s="32"/>
      <c r="G576" s="29"/>
      <c r="H576" s="25"/>
      <c r="I576" s="25"/>
      <c r="J576" s="25"/>
      <c r="K576" s="25"/>
      <c r="L576" s="29"/>
      <c r="M576" s="29"/>
      <c r="N576" s="28"/>
      <c r="O576" s="30"/>
      <c r="P576" s="30"/>
      <c r="Q576" s="30"/>
      <c r="R576" s="30"/>
      <c r="S576" s="30"/>
      <c r="T576" s="30"/>
      <c r="U576" s="30"/>
      <c r="V576" s="29"/>
      <c r="W576" s="125"/>
      <c r="X576" s="149"/>
      <c r="Y576" s="149"/>
      <c r="Z576" s="150"/>
      <c r="AA576" s="150"/>
      <c r="AB576" s="151"/>
      <c r="AC576" s="150"/>
      <c r="AD576" s="150"/>
      <c r="AE576" s="150"/>
      <c r="AF576" s="150"/>
      <c r="AG576" s="150"/>
      <c r="AH576" s="150"/>
    </row>
    <row r="577" spans="5:34">
      <c r="E577" s="31"/>
      <c r="F577" s="32"/>
      <c r="G577" s="29"/>
      <c r="H577" s="25"/>
      <c r="I577" s="25"/>
      <c r="J577" s="25"/>
      <c r="K577" s="25"/>
      <c r="L577" s="29"/>
      <c r="M577" s="29"/>
      <c r="N577" s="28"/>
      <c r="O577" s="30"/>
      <c r="P577" s="30"/>
      <c r="Q577" s="30"/>
      <c r="R577" s="30"/>
      <c r="S577" s="30"/>
      <c r="T577" s="30"/>
      <c r="U577" s="30"/>
      <c r="V577" s="29"/>
      <c r="W577" s="125"/>
      <c r="X577" s="149"/>
      <c r="Y577" s="149"/>
      <c r="Z577" s="150"/>
      <c r="AA577" s="150"/>
      <c r="AB577" s="151"/>
      <c r="AC577" s="150"/>
      <c r="AD577" s="150"/>
      <c r="AE577" s="150"/>
      <c r="AF577" s="150"/>
      <c r="AG577" s="150"/>
      <c r="AH577" s="150"/>
    </row>
    <row r="578" spans="5:34">
      <c r="E578" s="31"/>
      <c r="F578" s="32"/>
      <c r="G578" s="29"/>
      <c r="H578" s="25"/>
      <c r="I578" s="25"/>
      <c r="J578" s="25"/>
      <c r="K578" s="25"/>
      <c r="L578" s="29"/>
      <c r="M578" s="29"/>
      <c r="N578" s="28"/>
      <c r="O578" s="30"/>
      <c r="P578" s="30"/>
      <c r="Q578" s="30"/>
      <c r="R578" s="30"/>
      <c r="S578" s="30"/>
      <c r="T578" s="30"/>
      <c r="U578" s="30"/>
      <c r="V578" s="29"/>
      <c r="W578" s="125"/>
      <c r="X578" s="149"/>
      <c r="Y578" s="149"/>
      <c r="Z578" s="150"/>
      <c r="AA578" s="150"/>
      <c r="AB578" s="151"/>
      <c r="AC578" s="150"/>
      <c r="AD578" s="150"/>
      <c r="AE578" s="150"/>
      <c r="AF578" s="150"/>
      <c r="AG578" s="150"/>
      <c r="AH578" s="150"/>
    </row>
    <row r="579" spans="5:34">
      <c r="E579" s="31"/>
      <c r="F579" s="32"/>
      <c r="G579" s="29"/>
      <c r="H579" s="25"/>
      <c r="I579" s="25"/>
      <c r="J579" s="25"/>
      <c r="K579" s="25"/>
      <c r="L579" s="29"/>
      <c r="M579" s="29"/>
      <c r="N579" s="28"/>
      <c r="O579" s="30"/>
      <c r="P579" s="30"/>
      <c r="Q579" s="30"/>
      <c r="R579" s="30"/>
      <c r="S579" s="30"/>
      <c r="T579" s="30"/>
      <c r="U579" s="30"/>
      <c r="V579" s="29"/>
      <c r="W579" s="125"/>
      <c r="X579" s="149"/>
      <c r="Y579" s="149"/>
      <c r="Z579" s="150"/>
      <c r="AA579" s="150"/>
      <c r="AB579" s="151"/>
      <c r="AC579" s="150"/>
      <c r="AD579" s="150"/>
      <c r="AE579" s="150"/>
      <c r="AF579" s="150"/>
      <c r="AG579" s="150"/>
      <c r="AH579" s="150"/>
    </row>
    <row r="580" spans="5:34">
      <c r="E580" s="31"/>
      <c r="F580" s="32"/>
      <c r="G580" s="29"/>
      <c r="H580" s="25"/>
      <c r="I580" s="25"/>
      <c r="J580" s="25"/>
      <c r="K580" s="25"/>
      <c r="L580" s="29"/>
      <c r="M580" s="29"/>
      <c r="N580" s="28"/>
      <c r="O580" s="30"/>
      <c r="P580" s="30"/>
      <c r="Q580" s="30"/>
      <c r="R580" s="30"/>
      <c r="S580" s="30"/>
      <c r="T580" s="30"/>
      <c r="U580" s="30"/>
      <c r="V580" s="29"/>
      <c r="W580" s="125"/>
      <c r="X580" s="149"/>
      <c r="Y580" s="149"/>
      <c r="Z580" s="150"/>
      <c r="AA580" s="150"/>
      <c r="AB580" s="151"/>
      <c r="AC580" s="150"/>
      <c r="AD580" s="150"/>
      <c r="AE580" s="150"/>
      <c r="AF580" s="150"/>
      <c r="AG580" s="150"/>
      <c r="AH580" s="150"/>
    </row>
    <row r="581" spans="5:34">
      <c r="E581" s="31"/>
      <c r="F581" s="32"/>
      <c r="G581" s="29"/>
      <c r="H581" s="25"/>
      <c r="I581" s="25"/>
      <c r="J581" s="25"/>
      <c r="K581" s="25"/>
      <c r="L581" s="29"/>
      <c r="M581" s="29"/>
      <c r="N581" s="28"/>
      <c r="O581" s="30"/>
      <c r="P581" s="30"/>
      <c r="Q581" s="30"/>
      <c r="R581" s="30"/>
      <c r="S581" s="30"/>
      <c r="T581" s="30"/>
      <c r="U581" s="30"/>
      <c r="V581" s="29"/>
      <c r="W581" s="125"/>
      <c r="X581" s="149"/>
      <c r="Y581" s="149"/>
      <c r="Z581" s="150"/>
      <c r="AA581" s="150"/>
      <c r="AB581" s="151"/>
      <c r="AC581" s="150"/>
      <c r="AD581" s="150"/>
      <c r="AE581" s="150"/>
      <c r="AF581" s="150"/>
      <c r="AG581" s="150"/>
      <c r="AH581" s="150"/>
    </row>
    <row r="582" spans="5:34">
      <c r="E582" s="31"/>
      <c r="F582" s="32"/>
      <c r="G582" s="29"/>
      <c r="H582" s="25"/>
      <c r="I582" s="25"/>
      <c r="J582" s="25"/>
      <c r="K582" s="25"/>
      <c r="L582" s="29"/>
      <c r="M582" s="29"/>
      <c r="N582" s="28"/>
      <c r="O582" s="30"/>
      <c r="P582" s="30"/>
      <c r="Q582" s="30"/>
      <c r="R582" s="30"/>
      <c r="S582" s="30"/>
      <c r="T582" s="30"/>
      <c r="U582" s="30"/>
      <c r="V582" s="29"/>
      <c r="W582" s="125"/>
      <c r="X582" s="149"/>
      <c r="Y582" s="149"/>
      <c r="Z582" s="150"/>
      <c r="AA582" s="150"/>
      <c r="AB582" s="151"/>
      <c r="AC582" s="150"/>
      <c r="AD582" s="150"/>
      <c r="AE582" s="150"/>
      <c r="AF582" s="150"/>
      <c r="AG582" s="150"/>
      <c r="AH582" s="150"/>
    </row>
    <row r="583" spans="5:34">
      <c r="E583" s="31"/>
      <c r="F583" s="32"/>
      <c r="G583" s="29"/>
      <c r="H583" s="25"/>
      <c r="I583" s="25"/>
      <c r="J583" s="25"/>
      <c r="K583" s="25"/>
      <c r="L583" s="29"/>
      <c r="M583" s="29"/>
      <c r="N583" s="28"/>
      <c r="O583" s="30"/>
      <c r="P583" s="30"/>
      <c r="Q583" s="30"/>
      <c r="R583" s="30"/>
      <c r="S583" s="30"/>
      <c r="T583" s="30"/>
      <c r="U583" s="30"/>
      <c r="V583" s="29"/>
      <c r="W583" s="125"/>
      <c r="X583" s="149"/>
      <c r="Y583" s="149"/>
      <c r="Z583" s="150"/>
      <c r="AA583" s="150"/>
      <c r="AB583" s="151"/>
      <c r="AC583" s="150"/>
      <c r="AD583" s="150"/>
      <c r="AE583" s="150"/>
      <c r="AF583" s="150"/>
      <c r="AG583" s="150"/>
      <c r="AH583" s="150"/>
    </row>
    <row r="584" spans="5:34">
      <c r="E584" s="31"/>
      <c r="F584" s="32"/>
      <c r="G584" s="29"/>
      <c r="H584" s="25"/>
      <c r="I584" s="25"/>
      <c r="J584" s="25"/>
      <c r="K584" s="25"/>
      <c r="L584" s="29"/>
      <c r="M584" s="29"/>
      <c r="N584" s="28"/>
      <c r="O584" s="30"/>
      <c r="P584" s="30"/>
      <c r="Q584" s="30"/>
      <c r="R584" s="30"/>
      <c r="S584" s="30"/>
      <c r="T584" s="30"/>
      <c r="U584" s="30"/>
      <c r="V584" s="29"/>
      <c r="W584" s="125"/>
      <c r="X584" s="149"/>
      <c r="Y584" s="149"/>
      <c r="Z584" s="150"/>
      <c r="AA584" s="150"/>
      <c r="AB584" s="151"/>
      <c r="AC584" s="150"/>
      <c r="AD584" s="150"/>
      <c r="AE584" s="150"/>
      <c r="AF584" s="150"/>
      <c r="AG584" s="150"/>
      <c r="AH584" s="150"/>
    </row>
    <row r="585" spans="5:34">
      <c r="E585" s="31"/>
      <c r="F585" s="32"/>
      <c r="G585" s="29"/>
      <c r="H585" s="25"/>
      <c r="I585" s="25"/>
      <c r="J585" s="25"/>
      <c r="K585" s="25"/>
      <c r="L585" s="29"/>
      <c r="M585" s="29"/>
      <c r="N585" s="28"/>
      <c r="O585" s="30"/>
      <c r="P585" s="30"/>
      <c r="Q585" s="30"/>
      <c r="R585" s="30"/>
      <c r="S585" s="30"/>
      <c r="T585" s="30"/>
      <c r="U585" s="30"/>
      <c r="V585" s="29"/>
      <c r="W585" s="125"/>
      <c r="X585" s="149"/>
      <c r="Y585" s="149"/>
      <c r="Z585" s="150"/>
      <c r="AA585" s="150"/>
      <c r="AB585" s="151"/>
      <c r="AC585" s="150"/>
      <c r="AD585" s="150"/>
      <c r="AE585" s="150"/>
      <c r="AF585" s="150"/>
      <c r="AG585" s="150"/>
      <c r="AH585" s="150"/>
    </row>
    <row r="586" spans="5:34">
      <c r="E586" s="31"/>
      <c r="F586" s="32"/>
      <c r="G586" s="29"/>
      <c r="H586" s="25"/>
      <c r="I586" s="25"/>
      <c r="J586" s="25"/>
      <c r="K586" s="25"/>
      <c r="L586" s="29"/>
      <c r="M586" s="29"/>
      <c r="N586" s="28"/>
      <c r="O586" s="30"/>
      <c r="P586" s="30"/>
      <c r="Q586" s="30"/>
      <c r="R586" s="30"/>
      <c r="S586" s="30"/>
      <c r="T586" s="30"/>
      <c r="U586" s="30"/>
      <c r="V586" s="29"/>
      <c r="W586" s="125"/>
      <c r="X586" s="149"/>
      <c r="Y586" s="149"/>
      <c r="Z586" s="150"/>
      <c r="AA586" s="150"/>
      <c r="AB586" s="151"/>
      <c r="AC586" s="150"/>
      <c r="AD586" s="150"/>
      <c r="AE586" s="150"/>
      <c r="AF586" s="150"/>
      <c r="AG586" s="150"/>
      <c r="AH586" s="150"/>
    </row>
    <row r="587" spans="5:34">
      <c r="E587" s="31"/>
      <c r="F587" s="32"/>
      <c r="G587" s="29"/>
      <c r="H587" s="25"/>
      <c r="I587" s="25"/>
      <c r="J587" s="25"/>
      <c r="K587" s="25"/>
      <c r="L587" s="29"/>
      <c r="M587" s="29"/>
      <c r="N587" s="28"/>
      <c r="O587" s="30"/>
      <c r="P587" s="30"/>
      <c r="Q587" s="30"/>
      <c r="R587" s="30"/>
      <c r="S587" s="30"/>
      <c r="T587" s="30"/>
      <c r="U587" s="30"/>
      <c r="V587" s="29"/>
      <c r="W587" s="125"/>
      <c r="X587" s="149"/>
      <c r="Y587" s="149"/>
      <c r="Z587" s="150"/>
      <c r="AA587" s="150"/>
      <c r="AB587" s="151"/>
      <c r="AC587" s="150"/>
      <c r="AD587" s="150"/>
      <c r="AE587" s="150"/>
      <c r="AF587" s="150"/>
      <c r="AG587" s="150"/>
      <c r="AH587" s="150"/>
    </row>
    <row r="588" spans="5:34">
      <c r="E588" s="31"/>
      <c r="F588" s="32"/>
      <c r="G588" s="29"/>
      <c r="H588" s="25"/>
      <c r="I588" s="25"/>
      <c r="J588" s="25"/>
      <c r="K588" s="25"/>
      <c r="L588" s="29"/>
      <c r="M588" s="29"/>
      <c r="N588" s="28"/>
      <c r="O588" s="30"/>
      <c r="P588" s="30"/>
      <c r="Q588" s="30"/>
      <c r="R588" s="30"/>
      <c r="S588" s="30"/>
      <c r="T588" s="30"/>
      <c r="U588" s="30"/>
      <c r="V588" s="29"/>
      <c r="W588" s="125"/>
      <c r="X588" s="149"/>
      <c r="Y588" s="149"/>
      <c r="Z588" s="150"/>
      <c r="AA588" s="150"/>
      <c r="AB588" s="151"/>
      <c r="AC588" s="150"/>
      <c r="AD588" s="150"/>
      <c r="AE588" s="150"/>
      <c r="AF588" s="150"/>
      <c r="AG588" s="150"/>
      <c r="AH588" s="150"/>
    </row>
    <row r="589" spans="5:34">
      <c r="E589" s="31"/>
      <c r="F589" s="32"/>
      <c r="G589" s="29"/>
      <c r="H589" s="25"/>
      <c r="I589" s="25"/>
      <c r="J589" s="25"/>
      <c r="K589" s="25"/>
      <c r="L589" s="29"/>
      <c r="M589" s="29"/>
      <c r="N589" s="28"/>
      <c r="O589" s="30"/>
      <c r="P589" s="30"/>
      <c r="Q589" s="30"/>
      <c r="R589" s="30"/>
      <c r="S589" s="30"/>
      <c r="T589" s="30"/>
      <c r="U589" s="30"/>
      <c r="V589" s="29"/>
      <c r="W589" s="125"/>
      <c r="X589" s="149"/>
      <c r="Y589" s="149"/>
      <c r="Z589" s="150"/>
      <c r="AA589" s="150"/>
      <c r="AB589" s="151"/>
      <c r="AC589" s="150"/>
      <c r="AD589" s="150"/>
      <c r="AE589" s="150"/>
      <c r="AF589" s="150"/>
      <c r="AG589" s="150"/>
      <c r="AH589" s="150"/>
    </row>
    <row r="590" spans="5:34">
      <c r="E590" s="31"/>
      <c r="F590" s="32"/>
      <c r="G590" s="29"/>
      <c r="H590" s="25"/>
      <c r="I590" s="25"/>
      <c r="J590" s="25"/>
      <c r="K590" s="25"/>
      <c r="L590" s="29"/>
      <c r="M590" s="29"/>
      <c r="N590" s="28"/>
      <c r="O590" s="30"/>
      <c r="P590" s="30"/>
      <c r="Q590" s="30"/>
      <c r="R590" s="30"/>
      <c r="S590" s="30"/>
      <c r="T590" s="30"/>
      <c r="U590" s="30"/>
      <c r="V590" s="29"/>
      <c r="W590" s="125"/>
      <c r="X590" s="149"/>
      <c r="Y590" s="149"/>
      <c r="Z590" s="150"/>
      <c r="AA590" s="150"/>
      <c r="AB590" s="151"/>
      <c r="AC590" s="150"/>
      <c r="AD590" s="150"/>
      <c r="AE590" s="150"/>
      <c r="AF590" s="150"/>
      <c r="AG590" s="150"/>
      <c r="AH590" s="150"/>
    </row>
    <row r="591" spans="5:34">
      <c r="E591" s="31"/>
      <c r="F591" s="32"/>
      <c r="G591" s="29"/>
      <c r="H591" s="25"/>
      <c r="I591" s="25"/>
      <c r="J591" s="25"/>
      <c r="K591" s="25"/>
      <c r="L591" s="29"/>
      <c r="M591" s="29"/>
      <c r="N591" s="28"/>
      <c r="O591" s="30"/>
      <c r="P591" s="30"/>
      <c r="Q591" s="30"/>
      <c r="R591" s="30"/>
      <c r="S591" s="30"/>
      <c r="T591" s="30"/>
      <c r="U591" s="30"/>
      <c r="V591" s="29"/>
      <c r="W591" s="125"/>
      <c r="X591" s="149"/>
      <c r="Y591" s="149"/>
      <c r="Z591" s="150"/>
      <c r="AA591" s="150"/>
      <c r="AB591" s="151"/>
      <c r="AC591" s="150"/>
      <c r="AD591" s="150"/>
      <c r="AE591" s="150"/>
      <c r="AF591" s="150"/>
      <c r="AG591" s="150"/>
      <c r="AH591" s="150"/>
    </row>
    <row r="592" spans="5:34">
      <c r="E592" s="31"/>
      <c r="F592" s="32"/>
      <c r="G592" s="29"/>
      <c r="H592" s="25"/>
      <c r="I592" s="25"/>
      <c r="J592" s="25"/>
      <c r="K592" s="25"/>
      <c r="L592" s="29"/>
      <c r="M592" s="29"/>
      <c r="N592" s="28"/>
      <c r="O592" s="30"/>
      <c r="P592" s="30"/>
      <c r="Q592" s="30"/>
      <c r="R592" s="30"/>
      <c r="S592" s="30"/>
      <c r="T592" s="30"/>
      <c r="U592" s="30"/>
      <c r="V592" s="29"/>
      <c r="W592" s="125"/>
      <c r="X592" s="149"/>
      <c r="Y592" s="149"/>
      <c r="Z592" s="150"/>
      <c r="AA592" s="150"/>
      <c r="AB592" s="151"/>
      <c r="AC592" s="150"/>
      <c r="AD592" s="150"/>
      <c r="AE592" s="150"/>
      <c r="AF592" s="150"/>
      <c r="AG592" s="150"/>
      <c r="AH592" s="150"/>
    </row>
    <row r="593" spans="5:34">
      <c r="E593" s="31"/>
      <c r="F593" s="32"/>
      <c r="G593" s="29"/>
      <c r="H593" s="25"/>
      <c r="I593" s="25"/>
      <c r="J593" s="25"/>
      <c r="K593" s="25"/>
      <c r="L593" s="29"/>
      <c r="M593" s="29"/>
      <c r="N593" s="28"/>
      <c r="O593" s="30"/>
      <c r="P593" s="30"/>
      <c r="Q593" s="30"/>
      <c r="R593" s="30"/>
      <c r="S593" s="30"/>
      <c r="T593" s="30"/>
      <c r="U593" s="30"/>
      <c r="V593" s="29"/>
      <c r="W593" s="125"/>
      <c r="X593" s="149"/>
      <c r="Y593" s="149"/>
      <c r="Z593" s="150"/>
      <c r="AA593" s="150"/>
      <c r="AB593" s="151"/>
      <c r="AC593" s="150"/>
      <c r="AD593" s="150"/>
      <c r="AE593" s="150"/>
      <c r="AF593" s="150"/>
      <c r="AG593" s="150"/>
      <c r="AH593" s="150"/>
    </row>
    <row r="594" spans="5:34">
      <c r="E594" s="31"/>
      <c r="F594" s="32"/>
      <c r="G594" s="29"/>
      <c r="H594" s="25"/>
      <c r="I594" s="25"/>
      <c r="J594" s="25"/>
      <c r="K594" s="25"/>
      <c r="L594" s="29"/>
      <c r="M594" s="29"/>
      <c r="N594" s="28"/>
      <c r="O594" s="30"/>
      <c r="P594" s="30"/>
      <c r="Q594" s="30"/>
      <c r="R594" s="30"/>
      <c r="S594" s="30"/>
      <c r="T594" s="30"/>
      <c r="U594" s="30"/>
      <c r="V594" s="29"/>
      <c r="W594" s="125"/>
      <c r="X594" s="149"/>
      <c r="Y594" s="149"/>
      <c r="Z594" s="150"/>
      <c r="AA594" s="150"/>
      <c r="AB594" s="151"/>
      <c r="AC594" s="150"/>
      <c r="AD594" s="150"/>
      <c r="AE594" s="150"/>
      <c r="AF594" s="150"/>
      <c r="AG594" s="150"/>
      <c r="AH594" s="150"/>
    </row>
    <row r="595" spans="5:34">
      <c r="E595" s="31"/>
      <c r="F595" s="32"/>
      <c r="G595" s="29"/>
      <c r="H595" s="25"/>
      <c r="I595" s="25"/>
      <c r="J595" s="25"/>
      <c r="K595" s="25"/>
      <c r="L595" s="29"/>
      <c r="M595" s="29"/>
      <c r="N595" s="28"/>
      <c r="O595" s="30"/>
      <c r="P595" s="30"/>
      <c r="Q595" s="30"/>
      <c r="R595" s="30"/>
      <c r="S595" s="30"/>
      <c r="T595" s="30"/>
      <c r="U595" s="30"/>
      <c r="V595" s="29"/>
      <c r="W595" s="125"/>
      <c r="X595" s="149"/>
      <c r="Y595" s="149"/>
      <c r="Z595" s="150"/>
      <c r="AA595" s="150"/>
      <c r="AB595" s="151"/>
      <c r="AC595" s="150"/>
      <c r="AD595" s="150"/>
      <c r="AE595" s="150"/>
      <c r="AF595" s="150"/>
      <c r="AG595" s="150"/>
      <c r="AH595" s="150"/>
    </row>
    <row r="596" spans="5:34">
      <c r="E596" s="31"/>
      <c r="F596" s="32"/>
      <c r="G596" s="29"/>
      <c r="H596" s="25"/>
      <c r="I596" s="25"/>
      <c r="J596" s="25"/>
      <c r="K596" s="25"/>
      <c r="L596" s="29"/>
      <c r="M596" s="29"/>
      <c r="N596" s="28"/>
      <c r="O596" s="30"/>
      <c r="P596" s="30"/>
      <c r="Q596" s="30"/>
      <c r="R596" s="30"/>
      <c r="S596" s="30"/>
      <c r="T596" s="30"/>
      <c r="U596" s="30"/>
      <c r="V596" s="29"/>
      <c r="W596" s="125"/>
      <c r="X596" s="149"/>
      <c r="Y596" s="149"/>
      <c r="Z596" s="150"/>
      <c r="AA596" s="150"/>
      <c r="AB596" s="151"/>
      <c r="AC596" s="150"/>
      <c r="AD596" s="150"/>
      <c r="AE596" s="150"/>
      <c r="AF596" s="150"/>
      <c r="AG596" s="150"/>
      <c r="AH596" s="150"/>
    </row>
    <row r="597" spans="5:34">
      <c r="E597" s="31"/>
      <c r="F597" s="32"/>
      <c r="G597" s="29"/>
      <c r="H597" s="25"/>
      <c r="I597" s="25"/>
      <c r="J597" s="25"/>
      <c r="K597" s="25"/>
      <c r="L597" s="29"/>
      <c r="M597" s="29"/>
      <c r="N597" s="28"/>
      <c r="O597" s="30"/>
      <c r="P597" s="30"/>
      <c r="Q597" s="30"/>
      <c r="R597" s="30"/>
      <c r="S597" s="30"/>
      <c r="T597" s="30"/>
      <c r="U597" s="30"/>
      <c r="V597" s="29"/>
      <c r="W597" s="125"/>
      <c r="X597" s="149"/>
      <c r="Y597" s="149"/>
      <c r="Z597" s="150"/>
      <c r="AA597" s="150"/>
      <c r="AB597" s="151"/>
      <c r="AC597" s="150"/>
      <c r="AD597" s="150"/>
      <c r="AE597" s="150"/>
      <c r="AF597" s="150"/>
      <c r="AG597" s="150"/>
      <c r="AH597" s="150"/>
    </row>
    <row r="598" spans="5:34">
      <c r="E598" s="31"/>
      <c r="F598" s="32"/>
      <c r="G598" s="29"/>
      <c r="H598" s="25"/>
      <c r="I598" s="25"/>
      <c r="J598" s="25"/>
      <c r="K598" s="25"/>
      <c r="L598" s="29"/>
      <c r="M598" s="29"/>
      <c r="N598" s="28"/>
      <c r="O598" s="30"/>
      <c r="P598" s="30"/>
      <c r="Q598" s="30"/>
      <c r="R598" s="30"/>
      <c r="S598" s="30"/>
      <c r="T598" s="30"/>
      <c r="U598" s="30"/>
      <c r="V598" s="29"/>
      <c r="W598" s="125"/>
      <c r="X598" s="149"/>
      <c r="Y598" s="149"/>
      <c r="Z598" s="150"/>
      <c r="AA598" s="150"/>
      <c r="AB598" s="151"/>
      <c r="AC598" s="150"/>
      <c r="AD598" s="150"/>
      <c r="AE598" s="150"/>
      <c r="AF598" s="150"/>
      <c r="AG598" s="150"/>
      <c r="AH598" s="150"/>
    </row>
    <row r="599" spans="5:34">
      <c r="E599" s="31"/>
      <c r="F599" s="32"/>
      <c r="G599" s="29"/>
      <c r="H599" s="25"/>
      <c r="I599" s="25"/>
      <c r="J599" s="25"/>
      <c r="K599" s="25"/>
      <c r="L599" s="29"/>
      <c r="M599" s="29"/>
      <c r="N599" s="28"/>
      <c r="O599" s="30"/>
      <c r="P599" s="30"/>
      <c r="Q599" s="30"/>
      <c r="R599" s="30"/>
      <c r="S599" s="30"/>
      <c r="T599" s="30"/>
      <c r="U599" s="30"/>
      <c r="V599" s="29"/>
      <c r="W599" s="125"/>
      <c r="X599" s="149"/>
      <c r="Y599" s="149"/>
      <c r="Z599" s="150"/>
      <c r="AA599" s="150"/>
      <c r="AB599" s="151"/>
      <c r="AC599" s="150"/>
      <c r="AD599" s="150"/>
      <c r="AE599" s="150"/>
      <c r="AF599" s="150"/>
      <c r="AG599" s="150"/>
      <c r="AH599" s="150"/>
    </row>
    <row r="600" spans="5:34">
      <c r="E600" s="31"/>
      <c r="F600" s="32"/>
      <c r="G600" s="29"/>
      <c r="H600" s="25"/>
      <c r="I600" s="25"/>
      <c r="J600" s="25"/>
      <c r="K600" s="25"/>
      <c r="L600" s="29"/>
      <c r="M600" s="29"/>
      <c r="N600" s="28"/>
      <c r="O600" s="30"/>
      <c r="P600" s="30"/>
      <c r="Q600" s="30"/>
      <c r="R600" s="30"/>
      <c r="S600" s="30"/>
      <c r="T600" s="30"/>
      <c r="U600" s="30"/>
      <c r="V600" s="29"/>
      <c r="W600" s="125"/>
      <c r="X600" s="149"/>
      <c r="Y600" s="149"/>
      <c r="Z600" s="150"/>
      <c r="AA600" s="150"/>
      <c r="AB600" s="151"/>
      <c r="AC600" s="150"/>
      <c r="AD600" s="150"/>
      <c r="AE600" s="150"/>
      <c r="AF600" s="150"/>
      <c r="AG600" s="150"/>
      <c r="AH600" s="150"/>
    </row>
    <row r="601" spans="5:34">
      <c r="E601" s="31"/>
      <c r="F601" s="32"/>
      <c r="G601" s="29"/>
      <c r="H601" s="25"/>
      <c r="I601" s="25"/>
      <c r="J601" s="25"/>
      <c r="K601" s="25"/>
      <c r="L601" s="29"/>
      <c r="M601" s="29"/>
      <c r="N601" s="28"/>
      <c r="O601" s="30"/>
      <c r="P601" s="30"/>
      <c r="Q601" s="30"/>
      <c r="R601" s="30"/>
      <c r="S601" s="30"/>
      <c r="T601" s="30"/>
      <c r="U601" s="30"/>
      <c r="V601" s="29"/>
      <c r="W601" s="125"/>
      <c r="X601" s="149"/>
      <c r="Y601" s="149"/>
      <c r="Z601" s="150"/>
      <c r="AA601" s="150"/>
      <c r="AB601" s="151"/>
      <c r="AC601" s="150"/>
      <c r="AD601" s="150"/>
      <c r="AE601" s="150"/>
      <c r="AF601" s="150"/>
      <c r="AG601" s="150"/>
      <c r="AH601" s="150"/>
    </row>
    <row r="602" spans="5:34">
      <c r="E602" s="31"/>
      <c r="F602" s="32"/>
      <c r="G602" s="29"/>
      <c r="H602" s="25"/>
      <c r="I602" s="25"/>
      <c r="J602" s="25"/>
      <c r="K602" s="25"/>
      <c r="L602" s="29"/>
      <c r="M602" s="29"/>
      <c r="N602" s="28"/>
      <c r="O602" s="30"/>
      <c r="P602" s="30"/>
      <c r="Q602" s="30"/>
      <c r="R602" s="30"/>
      <c r="S602" s="30"/>
      <c r="T602" s="30"/>
      <c r="U602" s="30"/>
      <c r="V602" s="29"/>
      <c r="W602" s="125"/>
      <c r="X602" s="149"/>
      <c r="Y602" s="149"/>
      <c r="Z602" s="150"/>
      <c r="AA602" s="150"/>
      <c r="AB602" s="151"/>
      <c r="AC602" s="150"/>
      <c r="AD602" s="150"/>
      <c r="AE602" s="150"/>
      <c r="AF602" s="150"/>
      <c r="AG602" s="150"/>
      <c r="AH602" s="150"/>
    </row>
    <row r="603" spans="5:34">
      <c r="E603" s="31"/>
      <c r="F603" s="32"/>
      <c r="G603" s="29"/>
      <c r="H603" s="25"/>
      <c r="I603" s="25"/>
      <c r="J603" s="25"/>
      <c r="K603" s="25"/>
      <c r="L603" s="29"/>
      <c r="M603" s="29"/>
      <c r="N603" s="28"/>
      <c r="O603" s="30"/>
      <c r="P603" s="30"/>
      <c r="Q603" s="30"/>
      <c r="R603" s="30"/>
      <c r="S603" s="30"/>
      <c r="T603" s="30"/>
      <c r="U603" s="30"/>
      <c r="V603" s="29"/>
      <c r="W603" s="125"/>
      <c r="X603" s="149"/>
      <c r="Y603" s="149"/>
      <c r="Z603" s="150"/>
      <c r="AA603" s="150"/>
      <c r="AB603" s="151"/>
      <c r="AC603" s="150"/>
      <c r="AD603" s="150"/>
      <c r="AE603" s="150"/>
      <c r="AF603" s="150"/>
      <c r="AG603" s="150"/>
      <c r="AH603" s="150"/>
    </row>
    <row r="604" spans="5:34">
      <c r="E604" s="31"/>
      <c r="F604" s="32"/>
      <c r="G604" s="29"/>
      <c r="H604" s="25"/>
      <c r="I604" s="25"/>
      <c r="J604" s="25"/>
      <c r="K604" s="25"/>
      <c r="L604" s="29"/>
      <c r="M604" s="29"/>
      <c r="N604" s="28"/>
      <c r="O604" s="30"/>
      <c r="P604" s="30"/>
      <c r="Q604" s="30"/>
      <c r="R604" s="30"/>
      <c r="S604" s="30"/>
      <c r="T604" s="30"/>
      <c r="U604" s="30"/>
      <c r="V604" s="29"/>
      <c r="W604" s="125"/>
      <c r="X604" s="149"/>
      <c r="Y604" s="149"/>
      <c r="Z604" s="150"/>
      <c r="AA604" s="150"/>
      <c r="AB604" s="151"/>
      <c r="AC604" s="150"/>
      <c r="AD604" s="150"/>
      <c r="AE604" s="150"/>
      <c r="AF604" s="150"/>
      <c r="AG604" s="150"/>
      <c r="AH604" s="150"/>
    </row>
    <row r="605" spans="5:34">
      <c r="E605" s="31"/>
      <c r="F605" s="32"/>
      <c r="G605" s="29"/>
      <c r="H605" s="25"/>
      <c r="I605" s="25"/>
      <c r="J605" s="25"/>
      <c r="K605" s="25"/>
      <c r="L605" s="29"/>
      <c r="M605" s="29"/>
      <c r="N605" s="28"/>
      <c r="O605" s="30"/>
      <c r="P605" s="30"/>
      <c r="Q605" s="30"/>
      <c r="R605" s="30"/>
      <c r="S605" s="30"/>
      <c r="T605" s="30"/>
      <c r="U605" s="30"/>
      <c r="V605" s="29"/>
      <c r="W605" s="125"/>
      <c r="X605" s="149"/>
      <c r="Y605" s="149"/>
      <c r="Z605" s="150"/>
      <c r="AA605" s="150"/>
      <c r="AB605" s="151"/>
      <c r="AC605" s="150"/>
      <c r="AD605" s="150"/>
      <c r="AE605" s="150"/>
      <c r="AF605" s="150"/>
      <c r="AG605" s="150"/>
      <c r="AH605" s="150"/>
    </row>
    <row r="606" spans="5:34">
      <c r="E606" s="31"/>
      <c r="F606" s="32"/>
      <c r="G606" s="29"/>
      <c r="H606" s="25"/>
      <c r="I606" s="25"/>
      <c r="J606" s="25"/>
      <c r="K606" s="25"/>
      <c r="L606" s="29"/>
      <c r="M606" s="29"/>
      <c r="N606" s="28"/>
      <c r="O606" s="30"/>
      <c r="P606" s="30"/>
      <c r="Q606" s="30"/>
      <c r="R606" s="30"/>
      <c r="S606" s="30"/>
      <c r="T606" s="30"/>
      <c r="U606" s="30"/>
      <c r="V606" s="29"/>
      <c r="W606" s="125"/>
      <c r="X606" s="149"/>
      <c r="Y606" s="149"/>
      <c r="Z606" s="150"/>
      <c r="AA606" s="150"/>
      <c r="AB606" s="151"/>
      <c r="AC606" s="150"/>
      <c r="AD606" s="150"/>
      <c r="AE606" s="150"/>
      <c r="AF606" s="150"/>
      <c r="AG606" s="150"/>
      <c r="AH606" s="150"/>
    </row>
    <row r="607" spans="5:34">
      <c r="E607" s="31"/>
      <c r="F607" s="32"/>
      <c r="G607" s="29"/>
      <c r="H607" s="25"/>
      <c r="I607" s="25"/>
      <c r="J607" s="25"/>
      <c r="K607" s="25"/>
      <c r="L607" s="29"/>
      <c r="M607" s="29"/>
      <c r="N607" s="28"/>
      <c r="O607" s="30"/>
      <c r="P607" s="30"/>
      <c r="Q607" s="30"/>
      <c r="R607" s="30"/>
      <c r="S607" s="30"/>
      <c r="T607" s="30"/>
      <c r="U607" s="30"/>
      <c r="V607" s="29"/>
      <c r="W607" s="125"/>
      <c r="X607" s="149"/>
      <c r="Y607" s="149"/>
      <c r="Z607" s="150"/>
      <c r="AA607" s="150"/>
      <c r="AB607" s="151"/>
      <c r="AC607" s="150"/>
      <c r="AD607" s="150"/>
      <c r="AE607" s="150"/>
      <c r="AF607" s="150"/>
      <c r="AG607" s="150"/>
      <c r="AH607" s="150"/>
    </row>
    <row r="608" spans="5:34">
      <c r="E608" s="31"/>
      <c r="F608" s="32"/>
      <c r="G608" s="29"/>
      <c r="H608" s="25"/>
      <c r="I608" s="25"/>
      <c r="J608" s="25"/>
      <c r="K608" s="25"/>
      <c r="L608" s="29"/>
      <c r="M608" s="29"/>
      <c r="N608" s="28"/>
      <c r="O608" s="30"/>
      <c r="P608" s="30"/>
      <c r="Q608" s="30"/>
      <c r="R608" s="30"/>
      <c r="S608" s="30"/>
      <c r="T608" s="30"/>
      <c r="U608" s="30"/>
      <c r="V608" s="29"/>
      <c r="W608" s="125"/>
      <c r="X608" s="149"/>
      <c r="Y608" s="149"/>
      <c r="Z608" s="150"/>
      <c r="AA608" s="150"/>
      <c r="AB608" s="151"/>
      <c r="AC608" s="150"/>
      <c r="AD608" s="150"/>
      <c r="AE608" s="150"/>
      <c r="AF608" s="150"/>
      <c r="AG608" s="150"/>
      <c r="AH608" s="150"/>
    </row>
    <row r="609" spans="5:34">
      <c r="E609" s="31"/>
      <c r="F609" s="32"/>
      <c r="G609" s="29"/>
      <c r="H609" s="25"/>
      <c r="I609" s="25"/>
      <c r="J609" s="25"/>
      <c r="K609" s="25"/>
      <c r="L609" s="29"/>
      <c r="M609" s="29"/>
      <c r="N609" s="28"/>
      <c r="O609" s="30"/>
      <c r="P609" s="30"/>
      <c r="Q609" s="30"/>
      <c r="R609" s="30"/>
      <c r="S609" s="30"/>
      <c r="T609" s="30"/>
      <c r="U609" s="30"/>
      <c r="V609" s="29"/>
      <c r="W609" s="125"/>
      <c r="X609" s="149"/>
      <c r="Y609" s="149"/>
      <c r="Z609" s="150"/>
      <c r="AA609" s="150"/>
      <c r="AB609" s="151"/>
      <c r="AC609" s="150"/>
      <c r="AD609" s="150"/>
      <c r="AE609" s="150"/>
      <c r="AF609" s="150"/>
      <c r="AG609" s="150"/>
      <c r="AH609" s="150"/>
    </row>
    <row r="610" spans="5:34">
      <c r="E610" s="31"/>
      <c r="F610" s="32"/>
      <c r="G610" s="29"/>
      <c r="H610" s="25"/>
      <c r="I610" s="25"/>
      <c r="J610" s="25"/>
      <c r="K610" s="25"/>
      <c r="L610" s="29"/>
      <c r="M610" s="29"/>
      <c r="N610" s="28"/>
      <c r="O610" s="30"/>
      <c r="P610" s="30"/>
      <c r="Q610" s="30"/>
      <c r="R610" s="30"/>
      <c r="S610" s="30"/>
      <c r="T610" s="30"/>
      <c r="U610" s="30"/>
      <c r="V610" s="29"/>
      <c r="W610" s="125"/>
      <c r="X610" s="149"/>
      <c r="Y610" s="149"/>
      <c r="Z610" s="150"/>
      <c r="AA610" s="150"/>
      <c r="AB610" s="151"/>
      <c r="AC610" s="150"/>
      <c r="AD610" s="150"/>
      <c r="AE610" s="150"/>
      <c r="AF610" s="150"/>
      <c r="AG610" s="150"/>
      <c r="AH610" s="150"/>
    </row>
    <row r="611" spans="5:34">
      <c r="E611" s="31"/>
      <c r="F611" s="32"/>
      <c r="G611" s="29"/>
      <c r="H611" s="25"/>
      <c r="I611" s="25"/>
      <c r="J611" s="25"/>
      <c r="K611" s="25"/>
      <c r="L611" s="29"/>
      <c r="M611" s="29"/>
      <c r="N611" s="28"/>
      <c r="O611" s="30"/>
      <c r="P611" s="30"/>
      <c r="Q611" s="30"/>
      <c r="R611" s="30"/>
      <c r="S611" s="30"/>
      <c r="T611" s="30"/>
      <c r="U611" s="30"/>
      <c r="V611" s="29"/>
      <c r="W611" s="125"/>
      <c r="X611" s="149"/>
      <c r="Y611" s="149"/>
      <c r="Z611" s="150"/>
      <c r="AA611" s="150"/>
      <c r="AB611" s="151"/>
      <c r="AC611" s="150"/>
      <c r="AD611" s="150"/>
      <c r="AE611" s="150"/>
      <c r="AF611" s="150"/>
      <c r="AG611" s="150"/>
      <c r="AH611" s="150"/>
    </row>
    <row r="612" spans="5:34">
      <c r="E612" s="31"/>
      <c r="F612" s="32"/>
      <c r="G612" s="29"/>
      <c r="H612" s="25"/>
      <c r="I612" s="25"/>
      <c r="J612" s="25"/>
      <c r="K612" s="25"/>
      <c r="L612" s="29"/>
      <c r="M612" s="29"/>
      <c r="N612" s="28"/>
      <c r="O612" s="30"/>
      <c r="P612" s="30"/>
      <c r="Q612" s="30"/>
      <c r="R612" s="30"/>
      <c r="S612" s="30"/>
      <c r="T612" s="30"/>
      <c r="U612" s="30"/>
      <c r="V612" s="29"/>
      <c r="W612" s="125"/>
      <c r="X612" s="149"/>
      <c r="Y612" s="149"/>
      <c r="Z612" s="150"/>
      <c r="AA612" s="150"/>
      <c r="AB612" s="151"/>
      <c r="AC612" s="150"/>
      <c r="AD612" s="150"/>
      <c r="AE612" s="150"/>
      <c r="AF612" s="150"/>
      <c r="AG612" s="150"/>
      <c r="AH612" s="150"/>
    </row>
    <row r="613" spans="5:34">
      <c r="E613" s="31"/>
      <c r="F613" s="32"/>
      <c r="G613" s="29"/>
      <c r="H613" s="25"/>
      <c r="I613" s="25"/>
      <c r="J613" s="25"/>
      <c r="K613" s="25"/>
      <c r="L613" s="29"/>
      <c r="M613" s="29"/>
      <c r="N613" s="28"/>
      <c r="O613" s="30"/>
      <c r="P613" s="30"/>
      <c r="Q613" s="30"/>
      <c r="R613" s="30"/>
      <c r="S613" s="30"/>
      <c r="T613" s="30"/>
      <c r="U613" s="30"/>
      <c r="V613" s="29"/>
      <c r="W613" s="125"/>
      <c r="X613" s="149"/>
      <c r="Y613" s="149"/>
      <c r="Z613" s="150"/>
      <c r="AA613" s="150"/>
      <c r="AB613" s="151"/>
      <c r="AC613" s="150"/>
      <c r="AD613" s="150"/>
      <c r="AE613" s="150"/>
      <c r="AF613" s="150"/>
      <c r="AG613" s="150"/>
      <c r="AH613" s="150"/>
    </row>
    <row r="614" spans="5:34">
      <c r="E614" s="31"/>
      <c r="F614" s="32"/>
      <c r="G614" s="29"/>
      <c r="H614" s="25"/>
      <c r="I614" s="25"/>
      <c r="J614" s="25"/>
      <c r="K614" s="25"/>
      <c r="L614" s="29"/>
      <c r="M614" s="29"/>
      <c r="N614" s="28"/>
      <c r="O614" s="30"/>
      <c r="P614" s="30"/>
      <c r="Q614" s="30"/>
      <c r="R614" s="30"/>
      <c r="S614" s="30"/>
      <c r="T614" s="30"/>
      <c r="U614" s="30"/>
      <c r="V614" s="29"/>
      <c r="W614" s="125"/>
      <c r="X614" s="149"/>
      <c r="Y614" s="149"/>
      <c r="Z614" s="150"/>
      <c r="AA614" s="150"/>
      <c r="AB614" s="151"/>
      <c r="AC614" s="150"/>
      <c r="AD614" s="150"/>
      <c r="AE614" s="150"/>
      <c r="AF614" s="150"/>
      <c r="AG614" s="150"/>
      <c r="AH614" s="150"/>
    </row>
    <row r="615" spans="5:34">
      <c r="E615" s="31"/>
      <c r="F615" s="32"/>
      <c r="G615" s="29"/>
      <c r="H615" s="25"/>
      <c r="I615" s="25"/>
      <c r="J615" s="25"/>
      <c r="K615" s="25"/>
      <c r="L615" s="29"/>
      <c r="M615" s="29"/>
      <c r="N615" s="28"/>
      <c r="O615" s="30"/>
      <c r="P615" s="30"/>
      <c r="Q615" s="30"/>
      <c r="R615" s="30"/>
      <c r="S615" s="30"/>
      <c r="T615" s="30"/>
      <c r="U615" s="30"/>
      <c r="V615" s="29"/>
      <c r="W615" s="125"/>
      <c r="X615" s="149"/>
      <c r="Y615" s="149"/>
      <c r="Z615" s="150"/>
      <c r="AA615" s="150"/>
      <c r="AB615" s="151"/>
      <c r="AC615" s="150"/>
      <c r="AD615" s="150"/>
      <c r="AE615" s="150"/>
      <c r="AF615" s="150"/>
      <c r="AG615" s="150"/>
      <c r="AH615" s="150"/>
    </row>
    <row r="616" spans="5:34">
      <c r="E616" s="31"/>
      <c r="F616" s="32"/>
      <c r="G616" s="29"/>
      <c r="H616" s="25"/>
      <c r="I616" s="25"/>
      <c r="J616" s="25"/>
      <c r="K616" s="25"/>
      <c r="L616" s="29"/>
      <c r="M616" s="29"/>
      <c r="N616" s="28"/>
      <c r="O616" s="30"/>
      <c r="P616" s="30"/>
      <c r="Q616" s="30"/>
      <c r="R616" s="30"/>
      <c r="S616" s="30"/>
      <c r="T616" s="30"/>
      <c r="U616" s="30"/>
      <c r="V616" s="29"/>
      <c r="W616" s="125"/>
      <c r="X616" s="149"/>
      <c r="Y616" s="149"/>
      <c r="Z616" s="150"/>
      <c r="AA616" s="150"/>
      <c r="AB616" s="151"/>
      <c r="AC616" s="150"/>
      <c r="AD616" s="150"/>
      <c r="AE616" s="150"/>
      <c r="AF616" s="150"/>
      <c r="AG616" s="150"/>
      <c r="AH616" s="150"/>
    </row>
    <row r="617" spans="5:34">
      <c r="E617" s="31"/>
      <c r="F617" s="32"/>
      <c r="G617" s="29"/>
      <c r="H617" s="25"/>
      <c r="I617" s="25"/>
      <c r="J617" s="25"/>
      <c r="K617" s="25"/>
      <c r="L617" s="29"/>
      <c r="M617" s="29"/>
      <c r="N617" s="28"/>
      <c r="O617" s="30"/>
      <c r="P617" s="30"/>
      <c r="Q617" s="30"/>
      <c r="R617" s="30"/>
      <c r="S617" s="30"/>
      <c r="T617" s="30"/>
      <c r="U617" s="30"/>
      <c r="V617" s="29"/>
      <c r="W617" s="125"/>
      <c r="X617" s="149"/>
      <c r="Y617" s="149"/>
      <c r="Z617" s="150"/>
      <c r="AA617" s="150"/>
      <c r="AB617" s="151"/>
      <c r="AC617" s="150"/>
      <c r="AD617" s="150"/>
      <c r="AE617" s="150"/>
      <c r="AF617" s="150"/>
      <c r="AG617" s="150"/>
      <c r="AH617" s="150"/>
    </row>
    <row r="618" spans="5:34">
      <c r="E618" s="31"/>
      <c r="F618" s="32"/>
      <c r="G618" s="29"/>
      <c r="H618" s="25"/>
      <c r="I618" s="25"/>
      <c r="J618" s="25"/>
      <c r="K618" s="25"/>
      <c r="L618" s="29"/>
      <c r="M618" s="29"/>
      <c r="N618" s="28"/>
      <c r="O618" s="30"/>
      <c r="P618" s="30"/>
      <c r="Q618" s="30"/>
      <c r="R618" s="30"/>
      <c r="S618" s="30"/>
      <c r="T618" s="30"/>
      <c r="U618" s="30"/>
      <c r="V618" s="29"/>
      <c r="W618" s="125"/>
      <c r="X618" s="149"/>
      <c r="Y618" s="149"/>
      <c r="Z618" s="150"/>
      <c r="AA618" s="150"/>
      <c r="AB618" s="151"/>
      <c r="AC618" s="150"/>
      <c r="AD618" s="150"/>
      <c r="AE618" s="150"/>
      <c r="AF618" s="150"/>
      <c r="AG618" s="150"/>
      <c r="AH618" s="150"/>
    </row>
    <row r="619" spans="5:34">
      <c r="E619" s="31"/>
      <c r="F619" s="32"/>
      <c r="G619" s="29"/>
      <c r="H619" s="25"/>
      <c r="I619" s="25"/>
      <c r="J619" s="25"/>
      <c r="K619" s="25"/>
      <c r="L619" s="29"/>
      <c r="M619" s="29"/>
      <c r="N619" s="28"/>
      <c r="O619" s="30"/>
      <c r="P619" s="30"/>
      <c r="Q619" s="30"/>
      <c r="R619" s="30"/>
      <c r="S619" s="30"/>
      <c r="T619" s="30"/>
      <c r="U619" s="30"/>
      <c r="V619" s="29"/>
      <c r="W619" s="125"/>
      <c r="X619" s="149"/>
      <c r="Y619" s="149"/>
      <c r="Z619" s="150"/>
      <c r="AA619" s="150"/>
      <c r="AB619" s="151"/>
      <c r="AC619" s="150"/>
      <c r="AD619" s="150"/>
      <c r="AE619" s="150"/>
      <c r="AF619" s="150"/>
      <c r="AG619" s="150"/>
      <c r="AH619" s="150"/>
    </row>
    <row r="620" spans="5:34">
      <c r="E620" s="31"/>
      <c r="F620" s="32"/>
      <c r="G620" s="29"/>
      <c r="H620" s="25"/>
      <c r="I620" s="25"/>
      <c r="J620" s="25"/>
      <c r="K620" s="25"/>
      <c r="L620" s="29"/>
      <c r="M620" s="29"/>
      <c r="N620" s="28"/>
      <c r="O620" s="30"/>
      <c r="P620" s="30"/>
      <c r="Q620" s="30"/>
      <c r="R620" s="30"/>
      <c r="S620" s="30"/>
      <c r="T620" s="30"/>
      <c r="U620" s="30"/>
      <c r="V620" s="29"/>
      <c r="W620" s="125"/>
      <c r="X620" s="149"/>
      <c r="Y620" s="149"/>
      <c r="Z620" s="150"/>
      <c r="AA620" s="150"/>
      <c r="AB620" s="151"/>
      <c r="AC620" s="150"/>
      <c r="AD620" s="150"/>
      <c r="AE620" s="150"/>
      <c r="AF620" s="150"/>
      <c r="AG620" s="150"/>
      <c r="AH620" s="150"/>
    </row>
    <row r="621" spans="5:34">
      <c r="E621" s="31"/>
      <c r="F621" s="32"/>
      <c r="G621" s="29"/>
      <c r="H621" s="25"/>
      <c r="I621" s="25"/>
      <c r="J621" s="25"/>
      <c r="K621" s="25"/>
      <c r="L621" s="29"/>
      <c r="M621" s="29"/>
      <c r="N621" s="28"/>
      <c r="O621" s="30"/>
      <c r="P621" s="30"/>
      <c r="Q621" s="30"/>
      <c r="R621" s="30"/>
      <c r="S621" s="30"/>
      <c r="T621" s="30"/>
      <c r="U621" s="30"/>
      <c r="V621" s="29"/>
      <c r="W621" s="125"/>
      <c r="X621" s="149"/>
      <c r="Y621" s="149"/>
      <c r="Z621" s="150"/>
      <c r="AA621" s="150"/>
      <c r="AB621" s="151"/>
      <c r="AC621" s="150"/>
      <c r="AD621" s="150"/>
      <c r="AE621" s="150"/>
      <c r="AF621" s="150"/>
      <c r="AG621" s="150"/>
      <c r="AH621" s="150"/>
    </row>
    <row r="622" spans="5:34">
      <c r="E622" s="31"/>
      <c r="F622" s="32"/>
      <c r="G622" s="29"/>
      <c r="H622" s="25"/>
      <c r="I622" s="25"/>
      <c r="J622" s="25"/>
      <c r="K622" s="25"/>
      <c r="L622" s="29"/>
      <c r="M622" s="29"/>
      <c r="N622" s="28"/>
      <c r="O622" s="30"/>
      <c r="P622" s="30"/>
      <c r="Q622" s="30"/>
      <c r="R622" s="30"/>
      <c r="S622" s="30"/>
      <c r="T622" s="30"/>
      <c r="U622" s="30"/>
      <c r="V622" s="29"/>
      <c r="W622" s="125"/>
      <c r="X622" s="149"/>
      <c r="Y622" s="149"/>
      <c r="Z622" s="150"/>
      <c r="AA622" s="150"/>
      <c r="AB622" s="151"/>
      <c r="AC622" s="150"/>
      <c r="AD622" s="150"/>
      <c r="AE622" s="150"/>
      <c r="AF622" s="150"/>
      <c r="AG622" s="150"/>
      <c r="AH622" s="150"/>
    </row>
    <row r="623" spans="5:34">
      <c r="E623" s="31"/>
      <c r="F623" s="32"/>
      <c r="G623" s="29"/>
      <c r="H623" s="25"/>
      <c r="I623" s="25"/>
      <c r="J623" s="25"/>
      <c r="K623" s="25"/>
      <c r="L623" s="29"/>
      <c r="M623" s="29"/>
      <c r="N623" s="28"/>
      <c r="O623" s="30"/>
      <c r="P623" s="30"/>
      <c r="Q623" s="30"/>
      <c r="R623" s="30"/>
      <c r="S623" s="30"/>
      <c r="T623" s="30"/>
      <c r="U623" s="30"/>
      <c r="V623" s="29"/>
      <c r="W623" s="125"/>
      <c r="X623" s="149"/>
      <c r="Y623" s="149"/>
      <c r="Z623" s="150"/>
      <c r="AA623" s="150"/>
      <c r="AB623" s="151"/>
      <c r="AC623" s="150"/>
      <c r="AD623" s="150"/>
      <c r="AE623" s="150"/>
      <c r="AF623" s="150"/>
      <c r="AG623" s="150"/>
      <c r="AH623" s="150"/>
    </row>
    <row r="624" spans="5:34">
      <c r="E624" s="31"/>
      <c r="F624" s="32"/>
      <c r="G624" s="29"/>
      <c r="H624" s="25"/>
      <c r="I624" s="25"/>
      <c r="J624" s="25"/>
      <c r="K624" s="25"/>
      <c r="L624" s="29"/>
      <c r="M624" s="29"/>
      <c r="N624" s="28"/>
      <c r="O624" s="30"/>
      <c r="P624" s="30"/>
      <c r="Q624" s="30"/>
      <c r="R624" s="30"/>
      <c r="S624" s="30"/>
      <c r="T624" s="30"/>
      <c r="U624" s="30"/>
      <c r="V624" s="29"/>
      <c r="W624" s="125"/>
      <c r="X624" s="149"/>
      <c r="Y624" s="149"/>
      <c r="Z624" s="150"/>
      <c r="AA624" s="150"/>
      <c r="AB624" s="151"/>
      <c r="AC624" s="150"/>
      <c r="AD624" s="150"/>
      <c r="AE624" s="150"/>
      <c r="AF624" s="150"/>
      <c r="AG624" s="150"/>
      <c r="AH624" s="150"/>
    </row>
    <row r="625" spans="5:34">
      <c r="E625" s="31"/>
      <c r="F625" s="32"/>
      <c r="G625" s="29"/>
      <c r="H625" s="25"/>
      <c r="I625" s="25"/>
      <c r="J625" s="25"/>
      <c r="K625" s="25"/>
      <c r="L625" s="29"/>
      <c r="M625" s="29"/>
      <c r="N625" s="28"/>
      <c r="O625" s="30"/>
      <c r="P625" s="30"/>
      <c r="Q625" s="30"/>
      <c r="R625" s="30"/>
      <c r="S625" s="30"/>
      <c r="T625" s="30"/>
      <c r="U625" s="30"/>
      <c r="V625" s="29"/>
      <c r="W625" s="125"/>
      <c r="X625" s="149"/>
      <c r="Y625" s="149"/>
      <c r="Z625" s="150"/>
      <c r="AA625" s="150"/>
      <c r="AB625" s="151"/>
      <c r="AC625" s="150"/>
      <c r="AD625" s="150"/>
      <c r="AE625" s="150"/>
      <c r="AF625" s="150"/>
      <c r="AG625" s="150"/>
      <c r="AH625" s="150"/>
    </row>
    <row r="626" spans="5:34">
      <c r="E626" s="31"/>
      <c r="F626" s="32"/>
      <c r="G626" s="29"/>
      <c r="H626" s="25"/>
      <c r="I626" s="25"/>
      <c r="J626" s="25"/>
      <c r="K626" s="25"/>
      <c r="L626" s="29"/>
      <c r="M626" s="29"/>
      <c r="N626" s="28"/>
      <c r="O626" s="30"/>
      <c r="P626" s="30"/>
      <c r="Q626" s="30"/>
      <c r="R626" s="30"/>
      <c r="S626" s="30"/>
      <c r="T626" s="30"/>
      <c r="U626" s="30"/>
      <c r="V626" s="29"/>
      <c r="W626" s="125"/>
      <c r="X626" s="149"/>
      <c r="Y626" s="149"/>
      <c r="Z626" s="150"/>
      <c r="AA626" s="150"/>
      <c r="AB626" s="151"/>
      <c r="AC626" s="150"/>
      <c r="AD626" s="150"/>
      <c r="AE626" s="150"/>
      <c r="AF626" s="150"/>
      <c r="AG626" s="150"/>
      <c r="AH626" s="150"/>
    </row>
    <row r="627" spans="5:34">
      <c r="E627" s="31"/>
      <c r="F627" s="32"/>
      <c r="G627" s="29"/>
      <c r="H627" s="25"/>
      <c r="I627" s="25"/>
      <c r="J627" s="25"/>
      <c r="K627" s="25"/>
      <c r="L627" s="29"/>
      <c r="M627" s="29"/>
      <c r="N627" s="28"/>
      <c r="O627" s="30"/>
      <c r="P627" s="30"/>
      <c r="Q627" s="30"/>
      <c r="R627" s="30"/>
      <c r="S627" s="30"/>
      <c r="T627" s="30"/>
      <c r="U627" s="30"/>
      <c r="V627" s="29"/>
      <c r="W627" s="125"/>
      <c r="X627" s="149"/>
      <c r="Y627" s="149"/>
      <c r="Z627" s="150"/>
      <c r="AA627" s="150"/>
      <c r="AB627" s="151"/>
      <c r="AC627" s="150"/>
      <c r="AD627" s="150"/>
      <c r="AE627" s="150"/>
      <c r="AF627" s="150"/>
      <c r="AG627" s="150"/>
      <c r="AH627" s="150"/>
    </row>
    <row r="628" spans="5:34">
      <c r="E628" s="31"/>
      <c r="F628" s="32"/>
      <c r="G628" s="29"/>
      <c r="H628" s="25"/>
      <c r="I628" s="25"/>
      <c r="J628" s="25"/>
      <c r="K628" s="25"/>
      <c r="L628" s="29"/>
      <c r="M628" s="29"/>
      <c r="N628" s="28"/>
      <c r="O628" s="30"/>
      <c r="P628" s="30"/>
      <c r="Q628" s="30"/>
      <c r="R628" s="30"/>
      <c r="S628" s="30"/>
      <c r="T628" s="30"/>
      <c r="U628" s="30"/>
      <c r="V628" s="29"/>
      <c r="W628" s="125"/>
      <c r="X628" s="149"/>
      <c r="Y628" s="149"/>
      <c r="Z628" s="150"/>
      <c r="AA628" s="150"/>
      <c r="AB628" s="151"/>
      <c r="AC628" s="150"/>
      <c r="AD628" s="150"/>
      <c r="AE628" s="150"/>
      <c r="AF628" s="150"/>
      <c r="AG628" s="150"/>
      <c r="AH628" s="150"/>
    </row>
    <row r="629" spans="5:34">
      <c r="E629" s="31"/>
      <c r="F629" s="32"/>
      <c r="G629" s="29"/>
      <c r="H629" s="25"/>
      <c r="I629" s="25"/>
      <c r="J629" s="25"/>
      <c r="K629" s="25"/>
      <c r="L629" s="29"/>
      <c r="M629" s="29"/>
      <c r="N629" s="28"/>
      <c r="O629" s="30"/>
      <c r="P629" s="30"/>
      <c r="Q629" s="30"/>
      <c r="R629" s="30"/>
      <c r="S629" s="30"/>
      <c r="T629" s="30"/>
      <c r="U629" s="30"/>
      <c r="V629" s="29"/>
      <c r="W629" s="125"/>
      <c r="X629" s="149"/>
      <c r="Y629" s="149"/>
      <c r="Z629" s="150"/>
      <c r="AA629" s="150"/>
      <c r="AB629" s="151"/>
      <c r="AC629" s="150"/>
      <c r="AD629" s="150"/>
      <c r="AE629" s="150"/>
      <c r="AF629" s="150"/>
      <c r="AG629" s="150"/>
      <c r="AH629" s="150"/>
    </row>
    <row r="630" spans="5:34">
      <c r="E630" s="31"/>
      <c r="F630" s="32"/>
      <c r="G630" s="29"/>
      <c r="H630" s="25"/>
      <c r="I630" s="25"/>
      <c r="J630" s="25"/>
      <c r="K630" s="25"/>
      <c r="L630" s="29"/>
      <c r="M630" s="29"/>
      <c r="N630" s="28"/>
      <c r="O630" s="30"/>
      <c r="P630" s="30"/>
      <c r="Q630" s="30"/>
      <c r="R630" s="30"/>
      <c r="S630" s="30"/>
      <c r="T630" s="30"/>
      <c r="U630" s="30"/>
      <c r="V630" s="29"/>
      <c r="W630" s="125"/>
      <c r="X630" s="149"/>
      <c r="Y630" s="149"/>
      <c r="Z630" s="150"/>
      <c r="AA630" s="150"/>
      <c r="AB630" s="151"/>
      <c r="AC630" s="150"/>
      <c r="AD630" s="150"/>
      <c r="AE630" s="150"/>
      <c r="AF630" s="150"/>
      <c r="AG630" s="150"/>
      <c r="AH630" s="150"/>
    </row>
    <row r="631" spans="5:34">
      <c r="E631" s="31"/>
      <c r="F631" s="32"/>
      <c r="G631" s="29"/>
      <c r="H631" s="25"/>
      <c r="I631" s="25"/>
      <c r="J631" s="25"/>
      <c r="K631" s="25"/>
      <c r="L631" s="29"/>
      <c r="M631" s="29"/>
      <c r="N631" s="28"/>
      <c r="O631" s="30"/>
      <c r="P631" s="30"/>
      <c r="Q631" s="30"/>
      <c r="R631" s="30"/>
      <c r="S631" s="30"/>
      <c r="T631" s="30"/>
      <c r="U631" s="30"/>
      <c r="V631" s="29"/>
      <c r="W631" s="125"/>
      <c r="X631" s="149"/>
      <c r="Y631" s="149"/>
      <c r="Z631" s="150"/>
      <c r="AA631" s="150"/>
      <c r="AB631" s="151"/>
      <c r="AC631" s="150"/>
      <c r="AD631" s="150"/>
      <c r="AE631" s="150"/>
      <c r="AF631" s="150"/>
      <c r="AG631" s="150"/>
      <c r="AH631" s="150"/>
    </row>
    <row r="632" spans="5:34">
      <c r="E632" s="31"/>
      <c r="F632" s="32"/>
      <c r="G632" s="29"/>
      <c r="H632" s="25"/>
      <c r="I632" s="25"/>
      <c r="J632" s="25"/>
      <c r="K632" s="25"/>
      <c r="L632" s="29"/>
      <c r="M632" s="29"/>
      <c r="N632" s="28"/>
      <c r="O632" s="30"/>
      <c r="P632" s="30"/>
      <c r="Q632" s="30"/>
      <c r="R632" s="30"/>
      <c r="S632" s="30"/>
      <c r="T632" s="30"/>
      <c r="U632" s="30"/>
      <c r="V632" s="29"/>
      <c r="W632" s="125"/>
      <c r="X632" s="149"/>
      <c r="Y632" s="149"/>
      <c r="Z632" s="150"/>
      <c r="AA632" s="150"/>
      <c r="AB632" s="151"/>
      <c r="AC632" s="150"/>
      <c r="AD632" s="150"/>
      <c r="AE632" s="150"/>
      <c r="AF632" s="150"/>
      <c r="AG632" s="150"/>
      <c r="AH632" s="150"/>
    </row>
    <row r="633" spans="5:34">
      <c r="E633" s="31"/>
      <c r="F633" s="32"/>
      <c r="G633" s="29"/>
      <c r="H633" s="25"/>
      <c r="I633" s="25"/>
      <c r="J633" s="25"/>
      <c r="K633" s="25"/>
      <c r="L633" s="29"/>
      <c r="M633" s="29"/>
      <c r="N633" s="28"/>
      <c r="O633" s="30"/>
      <c r="P633" s="30"/>
      <c r="Q633" s="30"/>
      <c r="R633" s="30"/>
      <c r="S633" s="30"/>
      <c r="T633" s="30"/>
      <c r="U633" s="30"/>
      <c r="V633" s="29"/>
      <c r="W633" s="125"/>
      <c r="X633" s="149"/>
      <c r="Y633" s="149"/>
      <c r="Z633" s="150"/>
      <c r="AA633" s="150"/>
      <c r="AB633" s="151"/>
      <c r="AC633" s="150"/>
      <c r="AD633" s="150"/>
      <c r="AE633" s="150"/>
      <c r="AF633" s="150"/>
      <c r="AG633" s="150"/>
      <c r="AH633" s="150"/>
    </row>
    <row r="634" spans="5:34">
      <c r="E634" s="31"/>
      <c r="F634" s="32"/>
      <c r="G634" s="29"/>
      <c r="H634" s="25"/>
      <c r="I634" s="25"/>
      <c r="J634" s="25"/>
      <c r="K634" s="25"/>
      <c r="L634" s="29"/>
      <c r="M634" s="29"/>
      <c r="N634" s="28"/>
      <c r="O634" s="30"/>
      <c r="P634" s="30"/>
      <c r="Q634" s="30"/>
      <c r="R634" s="30"/>
      <c r="S634" s="30"/>
      <c r="T634" s="30"/>
      <c r="U634" s="30"/>
      <c r="V634" s="29"/>
      <c r="W634" s="125"/>
      <c r="X634" s="149"/>
      <c r="Y634" s="149"/>
      <c r="Z634" s="150"/>
      <c r="AA634" s="150"/>
      <c r="AB634" s="151"/>
      <c r="AC634" s="150"/>
      <c r="AD634" s="150"/>
      <c r="AE634" s="150"/>
      <c r="AF634" s="150"/>
      <c r="AG634" s="150"/>
      <c r="AH634" s="150"/>
    </row>
    <row r="635" spans="5:34">
      <c r="E635" s="31"/>
      <c r="F635" s="32"/>
      <c r="G635" s="29"/>
      <c r="H635" s="25"/>
      <c r="I635" s="25"/>
      <c r="J635" s="25"/>
      <c r="K635" s="25"/>
      <c r="L635" s="29"/>
      <c r="M635" s="29"/>
      <c r="N635" s="28"/>
      <c r="O635" s="30"/>
      <c r="P635" s="30"/>
      <c r="Q635" s="30"/>
      <c r="R635" s="30"/>
      <c r="S635" s="30"/>
      <c r="T635" s="30"/>
      <c r="U635" s="30"/>
      <c r="V635" s="29"/>
      <c r="W635" s="125"/>
      <c r="X635" s="149"/>
      <c r="Y635" s="149"/>
      <c r="Z635" s="150"/>
      <c r="AA635" s="150"/>
      <c r="AB635" s="151"/>
      <c r="AC635" s="150"/>
      <c r="AD635" s="150"/>
      <c r="AE635" s="150"/>
      <c r="AF635" s="150"/>
      <c r="AG635" s="150"/>
      <c r="AH635" s="150"/>
    </row>
    <row r="636" spans="5:34">
      <c r="E636" s="31"/>
      <c r="F636" s="32"/>
      <c r="G636" s="29"/>
      <c r="H636" s="25"/>
      <c r="I636" s="25"/>
      <c r="J636" s="25"/>
      <c r="K636" s="25"/>
      <c r="L636" s="29"/>
      <c r="M636" s="29"/>
      <c r="N636" s="28"/>
      <c r="O636" s="30"/>
      <c r="P636" s="30"/>
      <c r="Q636" s="30"/>
      <c r="R636" s="30"/>
      <c r="S636" s="30"/>
      <c r="T636" s="30"/>
      <c r="U636" s="30"/>
      <c r="V636" s="29"/>
      <c r="W636" s="125"/>
      <c r="X636" s="149"/>
      <c r="Y636" s="149"/>
      <c r="Z636" s="150"/>
      <c r="AA636" s="150"/>
      <c r="AB636" s="151"/>
      <c r="AC636" s="150"/>
      <c r="AD636" s="150"/>
      <c r="AE636" s="150"/>
      <c r="AF636" s="150"/>
      <c r="AG636" s="150"/>
      <c r="AH636" s="150"/>
    </row>
    <row r="637" spans="5:34">
      <c r="E637" s="31"/>
      <c r="F637" s="32"/>
      <c r="G637" s="29"/>
      <c r="H637" s="25"/>
      <c r="I637" s="25"/>
      <c r="J637" s="25"/>
      <c r="K637" s="25"/>
      <c r="L637" s="29"/>
      <c r="M637" s="29"/>
      <c r="N637" s="28"/>
      <c r="O637" s="30"/>
      <c r="P637" s="30"/>
      <c r="Q637" s="30"/>
      <c r="R637" s="30"/>
      <c r="S637" s="30"/>
      <c r="T637" s="30"/>
      <c r="U637" s="30"/>
      <c r="V637" s="29"/>
      <c r="W637" s="125"/>
      <c r="X637" s="149"/>
      <c r="Y637" s="149"/>
      <c r="Z637" s="150"/>
      <c r="AA637" s="150"/>
      <c r="AB637" s="151"/>
      <c r="AC637" s="150"/>
      <c r="AD637" s="150"/>
      <c r="AE637" s="150"/>
      <c r="AF637" s="150"/>
      <c r="AG637" s="150"/>
      <c r="AH637" s="150"/>
    </row>
    <row r="638" spans="5:34">
      <c r="E638" s="31"/>
      <c r="F638" s="32"/>
      <c r="G638" s="29"/>
      <c r="H638" s="25"/>
      <c r="I638" s="25"/>
      <c r="J638" s="25"/>
      <c r="K638" s="25"/>
      <c r="L638" s="29"/>
      <c r="M638" s="29"/>
      <c r="N638" s="28"/>
      <c r="O638" s="30"/>
      <c r="P638" s="30"/>
      <c r="Q638" s="30"/>
      <c r="R638" s="30"/>
      <c r="S638" s="30"/>
      <c r="T638" s="30"/>
      <c r="U638" s="30"/>
      <c r="V638" s="29"/>
      <c r="W638" s="125"/>
      <c r="X638" s="149"/>
      <c r="Y638" s="149"/>
      <c r="Z638" s="150"/>
      <c r="AA638" s="150"/>
      <c r="AB638" s="151"/>
      <c r="AC638" s="150"/>
      <c r="AD638" s="150"/>
      <c r="AE638" s="150"/>
      <c r="AF638" s="150"/>
      <c r="AG638" s="150"/>
      <c r="AH638" s="150"/>
    </row>
    <row r="639" spans="5:34">
      <c r="E639" s="31"/>
      <c r="F639" s="32"/>
      <c r="G639" s="29"/>
      <c r="H639" s="25"/>
      <c r="I639" s="25"/>
      <c r="J639" s="25"/>
      <c r="K639" s="25"/>
      <c r="L639" s="29"/>
      <c r="M639" s="29"/>
      <c r="N639" s="28"/>
      <c r="O639" s="30"/>
      <c r="P639" s="30"/>
      <c r="Q639" s="30"/>
      <c r="R639" s="30"/>
      <c r="S639" s="30"/>
      <c r="T639" s="30"/>
      <c r="U639" s="30"/>
      <c r="V639" s="29"/>
      <c r="W639" s="125"/>
      <c r="X639" s="149"/>
      <c r="Y639" s="149"/>
      <c r="Z639" s="150"/>
      <c r="AA639" s="150"/>
      <c r="AB639" s="151"/>
      <c r="AC639" s="150"/>
      <c r="AD639" s="150"/>
      <c r="AE639" s="150"/>
      <c r="AF639" s="150"/>
      <c r="AG639" s="150"/>
      <c r="AH639" s="150"/>
    </row>
    <row r="640" spans="5:34">
      <c r="E640" s="31"/>
      <c r="F640" s="32"/>
      <c r="G640" s="29"/>
      <c r="H640" s="25"/>
      <c r="I640" s="25"/>
      <c r="J640" s="25"/>
      <c r="K640" s="25"/>
      <c r="L640" s="29"/>
      <c r="M640" s="29"/>
      <c r="N640" s="28"/>
      <c r="O640" s="30"/>
      <c r="P640" s="30"/>
      <c r="Q640" s="30"/>
      <c r="R640" s="30"/>
      <c r="S640" s="30"/>
      <c r="T640" s="30"/>
      <c r="U640" s="30"/>
      <c r="V640" s="29"/>
      <c r="W640" s="125"/>
      <c r="X640" s="149"/>
      <c r="Y640" s="149"/>
      <c r="Z640" s="150"/>
      <c r="AA640" s="150"/>
      <c r="AB640" s="151"/>
      <c r="AC640" s="150"/>
      <c r="AD640" s="150"/>
      <c r="AE640" s="150"/>
      <c r="AF640" s="150"/>
      <c r="AG640" s="150"/>
      <c r="AH640" s="150"/>
    </row>
    <row r="641" spans="5:34">
      <c r="E641" s="31"/>
      <c r="F641" s="32"/>
      <c r="G641" s="29"/>
      <c r="H641" s="25"/>
      <c r="I641" s="25"/>
      <c r="J641" s="25"/>
      <c r="K641" s="25"/>
      <c r="L641" s="29"/>
      <c r="M641" s="29"/>
      <c r="N641" s="28"/>
      <c r="O641" s="30"/>
      <c r="P641" s="30"/>
      <c r="Q641" s="30"/>
      <c r="R641" s="30"/>
      <c r="S641" s="30"/>
      <c r="T641" s="30"/>
      <c r="U641" s="30"/>
      <c r="V641" s="29"/>
      <c r="W641" s="125"/>
      <c r="X641" s="149"/>
      <c r="Y641" s="149"/>
      <c r="Z641" s="150"/>
      <c r="AA641" s="150"/>
      <c r="AB641" s="151"/>
      <c r="AC641" s="150"/>
      <c r="AD641" s="150"/>
      <c r="AE641" s="150"/>
      <c r="AF641" s="150"/>
      <c r="AG641" s="150"/>
      <c r="AH641" s="150"/>
    </row>
    <row r="642" spans="5:34">
      <c r="E642" s="31"/>
      <c r="F642" s="32"/>
      <c r="G642" s="29"/>
      <c r="H642" s="25"/>
      <c r="I642" s="25"/>
      <c r="J642" s="25"/>
      <c r="K642" s="25"/>
      <c r="L642" s="29"/>
      <c r="M642" s="29"/>
      <c r="N642" s="28"/>
      <c r="O642" s="30"/>
      <c r="P642" s="30"/>
      <c r="Q642" s="30"/>
      <c r="R642" s="30"/>
      <c r="S642" s="30"/>
      <c r="T642" s="30"/>
      <c r="U642" s="30"/>
      <c r="V642" s="29"/>
      <c r="W642" s="125"/>
      <c r="X642" s="149"/>
      <c r="Y642" s="149"/>
      <c r="Z642" s="150"/>
      <c r="AA642" s="150"/>
      <c r="AB642" s="151"/>
      <c r="AC642" s="150"/>
      <c r="AD642" s="150"/>
      <c r="AE642" s="150"/>
      <c r="AF642" s="150"/>
      <c r="AG642" s="150"/>
      <c r="AH642" s="150"/>
    </row>
    <row r="643" spans="5:34">
      <c r="E643" s="31"/>
      <c r="F643" s="32"/>
      <c r="G643" s="29"/>
      <c r="H643" s="25"/>
      <c r="I643" s="25"/>
      <c r="J643" s="25"/>
      <c r="K643" s="25"/>
      <c r="L643" s="29"/>
      <c r="M643" s="29"/>
      <c r="N643" s="28"/>
      <c r="O643" s="30"/>
      <c r="P643" s="30"/>
      <c r="Q643" s="30"/>
      <c r="R643" s="30"/>
      <c r="S643" s="30"/>
      <c r="T643" s="30"/>
      <c r="U643" s="30"/>
      <c r="V643" s="29"/>
      <c r="W643" s="125"/>
      <c r="X643" s="149"/>
      <c r="Y643" s="149"/>
      <c r="Z643" s="150"/>
      <c r="AA643" s="150"/>
      <c r="AB643" s="151"/>
      <c r="AC643" s="150"/>
      <c r="AD643" s="150"/>
      <c r="AE643" s="150"/>
      <c r="AF643" s="150"/>
      <c r="AG643" s="150"/>
      <c r="AH643" s="150"/>
    </row>
    <row r="644" spans="5:34">
      <c r="E644" s="31"/>
      <c r="F644" s="32"/>
      <c r="G644" s="29"/>
      <c r="H644" s="25"/>
      <c r="I644" s="25"/>
      <c r="J644" s="25"/>
      <c r="K644" s="25"/>
      <c r="L644" s="29"/>
      <c r="M644" s="29"/>
      <c r="N644" s="28"/>
      <c r="O644" s="30"/>
      <c r="P644" s="30"/>
      <c r="Q644" s="30"/>
      <c r="R644" s="30"/>
      <c r="S644" s="30"/>
      <c r="T644" s="30"/>
      <c r="U644" s="30"/>
      <c r="V644" s="29"/>
      <c r="W644" s="125"/>
      <c r="X644" s="149"/>
      <c r="Y644" s="149"/>
      <c r="Z644" s="150"/>
      <c r="AA644" s="150"/>
      <c r="AB644" s="151"/>
      <c r="AC644" s="150"/>
      <c r="AD644" s="150"/>
      <c r="AE644" s="150"/>
      <c r="AF644" s="150"/>
      <c r="AG644" s="150"/>
      <c r="AH644" s="150"/>
    </row>
    <row r="645" spans="5:34">
      <c r="E645" s="31"/>
      <c r="F645" s="32"/>
      <c r="G645" s="29"/>
      <c r="H645" s="25"/>
      <c r="I645" s="25"/>
      <c r="J645" s="25"/>
      <c r="K645" s="25"/>
      <c r="L645" s="29"/>
      <c r="M645" s="29"/>
      <c r="N645" s="28"/>
      <c r="O645" s="30"/>
      <c r="P645" s="30"/>
      <c r="Q645" s="30"/>
      <c r="R645" s="30"/>
      <c r="S645" s="30"/>
      <c r="T645" s="30"/>
      <c r="U645" s="30"/>
      <c r="V645" s="29"/>
      <c r="W645" s="125"/>
      <c r="X645" s="149"/>
      <c r="Y645" s="149"/>
      <c r="Z645" s="150"/>
      <c r="AA645" s="150"/>
      <c r="AB645" s="151"/>
      <c r="AC645" s="150"/>
      <c r="AD645" s="150"/>
      <c r="AE645" s="150"/>
      <c r="AF645" s="150"/>
      <c r="AG645" s="150"/>
      <c r="AH645" s="150"/>
    </row>
    <row r="646" spans="5:34">
      <c r="E646" s="31"/>
      <c r="F646" s="32"/>
      <c r="G646" s="29"/>
      <c r="H646" s="25"/>
      <c r="I646" s="25"/>
      <c r="J646" s="25"/>
      <c r="K646" s="25"/>
      <c r="L646" s="29"/>
      <c r="M646" s="29"/>
      <c r="N646" s="28"/>
      <c r="O646" s="30"/>
      <c r="P646" s="30"/>
      <c r="Q646" s="30"/>
      <c r="R646" s="30"/>
      <c r="S646" s="30"/>
      <c r="T646" s="30"/>
      <c r="U646" s="30"/>
      <c r="V646" s="29"/>
      <c r="W646" s="125"/>
      <c r="X646" s="149"/>
      <c r="Y646" s="149"/>
      <c r="Z646" s="150"/>
      <c r="AA646" s="150"/>
      <c r="AB646" s="151"/>
      <c r="AC646" s="150"/>
      <c r="AD646" s="150"/>
      <c r="AE646" s="150"/>
      <c r="AF646" s="150"/>
      <c r="AG646" s="150"/>
      <c r="AH646" s="150"/>
    </row>
    <row r="647" spans="5:34">
      <c r="E647" s="31"/>
      <c r="F647" s="32"/>
      <c r="G647" s="29"/>
      <c r="H647" s="25"/>
      <c r="I647" s="25"/>
      <c r="J647" s="25"/>
      <c r="K647" s="25"/>
      <c r="L647" s="29"/>
      <c r="M647" s="29"/>
      <c r="N647" s="28"/>
      <c r="O647" s="30"/>
      <c r="P647" s="30"/>
      <c r="Q647" s="30"/>
      <c r="R647" s="30"/>
      <c r="S647" s="30"/>
      <c r="T647" s="30"/>
      <c r="U647" s="30"/>
      <c r="V647" s="29"/>
      <c r="W647" s="125"/>
      <c r="X647" s="149"/>
      <c r="Y647" s="149"/>
      <c r="Z647" s="150"/>
      <c r="AA647" s="150"/>
      <c r="AB647" s="151"/>
      <c r="AC647" s="150"/>
      <c r="AD647" s="150"/>
      <c r="AE647" s="150"/>
      <c r="AF647" s="150"/>
      <c r="AG647" s="150"/>
      <c r="AH647" s="150"/>
    </row>
    <row r="648" spans="5:34">
      <c r="E648" s="31"/>
      <c r="F648" s="32"/>
      <c r="G648" s="29"/>
      <c r="H648" s="25"/>
      <c r="I648" s="25"/>
      <c r="J648" s="25"/>
      <c r="K648" s="25"/>
      <c r="L648" s="29"/>
      <c r="M648" s="29"/>
      <c r="N648" s="28"/>
      <c r="O648" s="30"/>
      <c r="P648" s="30"/>
      <c r="Q648" s="30"/>
      <c r="R648" s="30"/>
      <c r="S648" s="30"/>
      <c r="T648" s="30"/>
      <c r="U648" s="30"/>
      <c r="V648" s="29"/>
      <c r="W648" s="125"/>
      <c r="X648" s="149"/>
      <c r="Y648" s="149"/>
      <c r="Z648" s="150"/>
      <c r="AA648" s="150"/>
      <c r="AB648" s="151"/>
      <c r="AC648" s="150"/>
      <c r="AD648" s="150"/>
      <c r="AE648" s="150"/>
      <c r="AF648" s="150"/>
      <c r="AG648" s="150"/>
      <c r="AH648" s="150"/>
    </row>
    <row r="649" spans="5:34">
      <c r="E649" s="31"/>
      <c r="F649" s="32"/>
      <c r="G649" s="29"/>
      <c r="H649" s="25"/>
      <c r="I649" s="25"/>
      <c r="J649" s="25"/>
      <c r="K649" s="25"/>
      <c r="L649" s="29"/>
      <c r="M649" s="29"/>
      <c r="N649" s="28"/>
      <c r="O649" s="30"/>
      <c r="P649" s="30"/>
      <c r="Q649" s="30"/>
      <c r="R649" s="30"/>
      <c r="S649" s="30"/>
      <c r="T649" s="30"/>
      <c r="U649" s="30"/>
      <c r="V649" s="29"/>
      <c r="W649" s="125"/>
      <c r="X649" s="149"/>
      <c r="Y649" s="149"/>
      <c r="Z649" s="150"/>
      <c r="AA649" s="150"/>
      <c r="AB649" s="151"/>
      <c r="AC649" s="150"/>
      <c r="AD649" s="150"/>
      <c r="AE649" s="150"/>
      <c r="AF649" s="150"/>
      <c r="AG649" s="150"/>
      <c r="AH649" s="150"/>
    </row>
    <row r="650" spans="5:34">
      <c r="E650" s="31"/>
      <c r="F650" s="32"/>
      <c r="G650" s="29"/>
      <c r="H650" s="25"/>
      <c r="I650" s="25"/>
      <c r="J650" s="25"/>
      <c r="K650" s="25"/>
      <c r="L650" s="29"/>
      <c r="M650" s="29"/>
      <c r="N650" s="28"/>
      <c r="O650" s="30"/>
      <c r="P650" s="30"/>
      <c r="Q650" s="30"/>
      <c r="R650" s="30"/>
      <c r="S650" s="30"/>
      <c r="T650" s="30"/>
      <c r="U650" s="30"/>
      <c r="V650" s="29"/>
      <c r="W650" s="125"/>
      <c r="X650" s="149"/>
      <c r="Y650" s="149"/>
      <c r="Z650" s="150"/>
      <c r="AA650" s="150"/>
      <c r="AB650" s="151"/>
      <c r="AC650" s="150"/>
      <c r="AD650" s="150"/>
      <c r="AE650" s="150"/>
      <c r="AF650" s="150"/>
      <c r="AG650" s="150"/>
      <c r="AH650" s="150"/>
    </row>
    <row r="651" spans="5:34">
      <c r="E651" s="31"/>
      <c r="F651" s="32"/>
      <c r="G651" s="29"/>
      <c r="H651" s="25"/>
      <c r="I651" s="25"/>
      <c r="J651" s="25"/>
      <c r="K651" s="25"/>
      <c r="L651" s="29"/>
      <c r="M651" s="29"/>
      <c r="N651" s="28"/>
      <c r="O651" s="30"/>
      <c r="P651" s="30"/>
      <c r="Q651" s="30"/>
      <c r="R651" s="30"/>
      <c r="S651" s="30"/>
      <c r="T651" s="30"/>
      <c r="U651" s="30"/>
      <c r="V651" s="29"/>
      <c r="W651" s="125"/>
      <c r="X651" s="149"/>
      <c r="Y651" s="149"/>
      <c r="Z651" s="150"/>
      <c r="AA651" s="150"/>
      <c r="AB651" s="151"/>
      <c r="AC651" s="150"/>
      <c r="AD651" s="150"/>
      <c r="AE651" s="150"/>
      <c r="AF651" s="150"/>
      <c r="AG651" s="150"/>
      <c r="AH651" s="150"/>
    </row>
    <row r="652" spans="5:34">
      <c r="E652" s="31"/>
      <c r="F652" s="32"/>
      <c r="G652" s="29"/>
      <c r="H652" s="25"/>
      <c r="I652" s="25"/>
      <c r="J652" s="25"/>
      <c r="K652" s="25"/>
      <c r="L652" s="29"/>
      <c r="M652" s="29"/>
      <c r="N652" s="28"/>
      <c r="O652" s="30"/>
      <c r="P652" s="30"/>
      <c r="Q652" s="30"/>
      <c r="R652" s="30"/>
      <c r="S652" s="30"/>
      <c r="T652" s="30"/>
      <c r="U652" s="30"/>
      <c r="V652" s="29"/>
      <c r="W652" s="125"/>
      <c r="X652" s="149"/>
      <c r="Y652" s="149"/>
      <c r="Z652" s="150"/>
      <c r="AA652" s="150"/>
      <c r="AB652" s="151"/>
      <c r="AC652" s="150"/>
      <c r="AD652" s="150"/>
      <c r="AE652" s="150"/>
      <c r="AF652" s="150"/>
      <c r="AG652" s="150"/>
      <c r="AH652" s="150"/>
    </row>
    <row r="653" spans="5:34">
      <c r="E653" s="31"/>
      <c r="F653" s="32"/>
      <c r="G653" s="29"/>
      <c r="H653" s="25"/>
      <c r="I653" s="25"/>
      <c r="J653" s="25"/>
      <c r="K653" s="25"/>
      <c r="L653" s="29"/>
      <c r="M653" s="29"/>
      <c r="N653" s="28"/>
      <c r="O653" s="30"/>
      <c r="P653" s="30"/>
      <c r="Q653" s="30"/>
      <c r="R653" s="30"/>
      <c r="S653" s="30"/>
      <c r="T653" s="30"/>
      <c r="U653" s="30"/>
      <c r="V653" s="29"/>
      <c r="W653" s="125"/>
      <c r="X653" s="149"/>
      <c r="Y653" s="149"/>
      <c r="Z653" s="150"/>
      <c r="AA653" s="150"/>
      <c r="AB653" s="151"/>
      <c r="AC653" s="150"/>
      <c r="AD653" s="150"/>
      <c r="AE653" s="150"/>
      <c r="AF653" s="150"/>
      <c r="AG653" s="150"/>
      <c r="AH653" s="150"/>
    </row>
    <row r="654" spans="5:34">
      <c r="E654" s="31"/>
      <c r="F654" s="32"/>
      <c r="G654" s="29"/>
      <c r="H654" s="25"/>
      <c r="I654" s="25"/>
      <c r="J654" s="25"/>
      <c r="K654" s="25"/>
      <c r="L654" s="29"/>
      <c r="M654" s="29"/>
      <c r="N654" s="28"/>
      <c r="O654" s="30"/>
      <c r="P654" s="30"/>
      <c r="Q654" s="30"/>
      <c r="R654" s="30"/>
      <c r="S654" s="30"/>
      <c r="T654" s="30"/>
      <c r="U654" s="30"/>
      <c r="V654" s="29"/>
      <c r="W654" s="125"/>
      <c r="X654" s="149"/>
      <c r="Y654" s="149"/>
      <c r="Z654" s="150"/>
      <c r="AA654" s="150"/>
      <c r="AB654" s="151"/>
      <c r="AC654" s="150"/>
      <c r="AD654" s="150"/>
      <c r="AE654" s="150"/>
      <c r="AF654" s="150"/>
      <c r="AG654" s="150"/>
      <c r="AH654" s="150"/>
    </row>
    <row r="655" spans="5:34">
      <c r="E655" s="31"/>
      <c r="F655" s="32"/>
      <c r="G655" s="29"/>
      <c r="H655" s="25"/>
      <c r="I655" s="25"/>
      <c r="J655" s="25"/>
      <c r="K655" s="25"/>
      <c r="L655" s="29"/>
      <c r="M655" s="29"/>
      <c r="N655" s="28"/>
      <c r="O655" s="30"/>
      <c r="P655" s="30"/>
      <c r="Q655" s="30"/>
      <c r="R655" s="30"/>
      <c r="S655" s="30"/>
      <c r="T655" s="30"/>
      <c r="U655" s="30"/>
      <c r="V655" s="29"/>
      <c r="W655" s="125"/>
      <c r="X655" s="149"/>
      <c r="Y655" s="149"/>
      <c r="Z655" s="150"/>
      <c r="AA655" s="150"/>
      <c r="AB655" s="151"/>
      <c r="AC655" s="150"/>
      <c r="AD655" s="150"/>
      <c r="AE655" s="150"/>
      <c r="AF655" s="150"/>
      <c r="AG655" s="150"/>
      <c r="AH655" s="150"/>
    </row>
    <row r="656" spans="5:34">
      <c r="E656" s="31"/>
      <c r="F656" s="32"/>
      <c r="G656" s="29"/>
      <c r="H656" s="25"/>
      <c r="I656" s="25"/>
      <c r="J656" s="25"/>
      <c r="K656" s="25"/>
      <c r="L656" s="29"/>
      <c r="M656" s="29"/>
      <c r="N656" s="28"/>
      <c r="O656" s="30"/>
      <c r="P656" s="30"/>
      <c r="Q656" s="30"/>
      <c r="R656" s="30"/>
      <c r="S656" s="30"/>
      <c r="T656" s="30"/>
      <c r="U656" s="30"/>
      <c r="V656" s="29"/>
      <c r="W656" s="125"/>
      <c r="X656" s="149"/>
      <c r="Y656" s="149"/>
      <c r="Z656" s="150"/>
      <c r="AA656" s="150"/>
      <c r="AB656" s="151"/>
      <c r="AC656" s="150"/>
      <c r="AD656" s="150"/>
      <c r="AE656" s="150"/>
      <c r="AF656" s="150"/>
      <c r="AG656" s="150"/>
      <c r="AH656" s="150"/>
    </row>
    <row r="657" spans="5:34">
      <c r="E657" s="31"/>
      <c r="F657" s="32"/>
      <c r="G657" s="29"/>
      <c r="H657" s="25"/>
      <c r="I657" s="25"/>
      <c r="J657" s="25"/>
      <c r="K657" s="25"/>
      <c r="L657" s="29"/>
      <c r="M657" s="29"/>
      <c r="N657" s="28"/>
      <c r="O657" s="30"/>
      <c r="P657" s="30"/>
      <c r="Q657" s="30"/>
      <c r="R657" s="30"/>
      <c r="S657" s="30"/>
      <c r="T657" s="30"/>
      <c r="U657" s="30"/>
      <c r="V657" s="29"/>
      <c r="W657" s="125"/>
      <c r="X657" s="149"/>
      <c r="Y657" s="149"/>
      <c r="Z657" s="150"/>
      <c r="AA657" s="150"/>
      <c r="AB657" s="151"/>
      <c r="AC657" s="150"/>
      <c r="AD657" s="150"/>
      <c r="AE657" s="150"/>
      <c r="AF657" s="150"/>
      <c r="AG657" s="150"/>
      <c r="AH657" s="150"/>
    </row>
    <row r="658" spans="5:34">
      <c r="E658" s="31"/>
      <c r="F658" s="32"/>
      <c r="G658" s="29"/>
      <c r="H658" s="25"/>
      <c r="I658" s="25"/>
      <c r="J658" s="25"/>
      <c r="K658" s="25"/>
      <c r="L658" s="29"/>
      <c r="M658" s="29"/>
      <c r="N658" s="28"/>
      <c r="O658" s="30"/>
      <c r="P658" s="30"/>
      <c r="Q658" s="30"/>
      <c r="R658" s="30"/>
      <c r="S658" s="30"/>
      <c r="T658" s="30"/>
      <c r="U658" s="30"/>
      <c r="V658" s="29"/>
      <c r="W658" s="125"/>
      <c r="X658" s="149"/>
      <c r="Y658" s="149"/>
      <c r="Z658" s="150"/>
      <c r="AA658" s="150"/>
      <c r="AB658" s="151"/>
      <c r="AC658" s="150"/>
      <c r="AD658" s="150"/>
      <c r="AE658" s="150"/>
      <c r="AF658" s="150"/>
      <c r="AG658" s="150"/>
      <c r="AH658" s="150"/>
    </row>
    <row r="659" spans="5:34">
      <c r="E659" s="31"/>
      <c r="F659" s="32"/>
      <c r="G659" s="29"/>
      <c r="H659" s="25"/>
      <c r="I659" s="25"/>
      <c r="J659" s="25"/>
      <c r="K659" s="25"/>
      <c r="L659" s="29"/>
      <c r="M659" s="29"/>
      <c r="N659" s="28"/>
      <c r="O659" s="30"/>
      <c r="P659" s="30"/>
      <c r="Q659" s="30"/>
      <c r="R659" s="30"/>
      <c r="S659" s="30"/>
      <c r="T659" s="30"/>
      <c r="U659" s="30"/>
      <c r="V659" s="29"/>
      <c r="W659" s="125"/>
      <c r="X659" s="149"/>
      <c r="Y659" s="149"/>
      <c r="Z659" s="150"/>
      <c r="AA659" s="150"/>
      <c r="AB659" s="151"/>
      <c r="AC659" s="150"/>
      <c r="AD659" s="150"/>
      <c r="AE659" s="150"/>
      <c r="AF659" s="150"/>
      <c r="AG659" s="150"/>
      <c r="AH659" s="150"/>
    </row>
    <row r="660" spans="5:34">
      <c r="E660" s="31"/>
      <c r="F660" s="32"/>
      <c r="G660" s="29"/>
      <c r="H660" s="25"/>
      <c r="I660" s="25"/>
      <c r="J660" s="25"/>
      <c r="K660" s="25"/>
      <c r="L660" s="29"/>
      <c r="M660" s="29"/>
      <c r="N660" s="28"/>
      <c r="O660" s="30"/>
      <c r="P660" s="30"/>
      <c r="Q660" s="30"/>
      <c r="R660" s="30"/>
      <c r="S660" s="30"/>
      <c r="T660" s="30"/>
      <c r="U660" s="30"/>
      <c r="V660" s="29"/>
      <c r="W660" s="125"/>
      <c r="X660" s="149"/>
      <c r="Y660" s="149"/>
      <c r="Z660" s="150"/>
      <c r="AA660" s="150"/>
      <c r="AB660" s="151"/>
      <c r="AC660" s="150"/>
      <c r="AD660" s="150"/>
      <c r="AE660" s="150"/>
      <c r="AF660" s="150"/>
      <c r="AG660" s="150"/>
      <c r="AH660" s="150"/>
    </row>
    <row r="661" spans="5:34">
      <c r="E661" s="31"/>
      <c r="F661" s="32"/>
      <c r="G661" s="29"/>
      <c r="H661" s="25"/>
      <c r="I661" s="25"/>
      <c r="J661" s="25"/>
      <c r="K661" s="25"/>
      <c r="L661" s="29"/>
      <c r="M661" s="29"/>
      <c r="N661" s="28"/>
      <c r="O661" s="30"/>
      <c r="P661" s="30"/>
      <c r="Q661" s="30"/>
      <c r="R661" s="30"/>
      <c r="S661" s="30"/>
      <c r="T661" s="30"/>
      <c r="U661" s="30"/>
      <c r="V661" s="29"/>
      <c r="W661" s="125"/>
      <c r="X661" s="149"/>
      <c r="Y661" s="149"/>
      <c r="Z661" s="150"/>
      <c r="AA661" s="150"/>
      <c r="AB661" s="151"/>
      <c r="AC661" s="150"/>
      <c r="AD661" s="150"/>
      <c r="AE661" s="150"/>
      <c r="AF661" s="150"/>
      <c r="AG661" s="150"/>
      <c r="AH661" s="150"/>
    </row>
    <row r="662" spans="5:34">
      <c r="E662" s="31"/>
      <c r="F662" s="32"/>
      <c r="G662" s="29"/>
      <c r="H662" s="25"/>
      <c r="I662" s="25"/>
      <c r="J662" s="25"/>
      <c r="K662" s="25"/>
      <c r="L662" s="29"/>
      <c r="M662" s="29"/>
      <c r="N662" s="28"/>
      <c r="O662" s="30"/>
      <c r="P662" s="30"/>
      <c r="Q662" s="30"/>
      <c r="R662" s="30"/>
      <c r="S662" s="30"/>
      <c r="T662" s="30"/>
      <c r="U662" s="30"/>
      <c r="V662" s="29"/>
      <c r="W662" s="125"/>
      <c r="X662" s="149"/>
      <c r="Y662" s="149"/>
      <c r="Z662" s="150"/>
      <c r="AA662" s="150"/>
      <c r="AB662" s="151"/>
      <c r="AC662" s="150"/>
      <c r="AD662" s="150"/>
      <c r="AE662" s="150"/>
      <c r="AF662" s="150"/>
      <c r="AG662" s="150"/>
      <c r="AH662" s="150"/>
    </row>
    <row r="663" spans="5:34">
      <c r="E663" s="31"/>
      <c r="F663" s="32"/>
      <c r="G663" s="29"/>
      <c r="H663" s="25"/>
      <c r="I663" s="25"/>
      <c r="J663" s="25"/>
      <c r="K663" s="25"/>
      <c r="L663" s="29"/>
      <c r="M663" s="29"/>
      <c r="N663" s="28"/>
      <c r="O663" s="30"/>
      <c r="P663" s="30"/>
      <c r="Q663" s="30"/>
      <c r="R663" s="30"/>
      <c r="S663" s="30"/>
      <c r="T663" s="30"/>
      <c r="U663" s="30"/>
      <c r="V663" s="29"/>
      <c r="W663" s="125"/>
      <c r="X663" s="149"/>
      <c r="Y663" s="149"/>
      <c r="Z663" s="150"/>
      <c r="AA663" s="150"/>
      <c r="AB663" s="151"/>
      <c r="AC663" s="150"/>
      <c r="AD663" s="150"/>
      <c r="AE663" s="150"/>
      <c r="AF663" s="150"/>
      <c r="AG663" s="150"/>
      <c r="AH663" s="150"/>
    </row>
    <row r="664" spans="5:34">
      <c r="E664" s="31"/>
      <c r="F664" s="32"/>
      <c r="G664" s="29"/>
      <c r="H664" s="25"/>
      <c r="I664" s="25"/>
      <c r="J664" s="25"/>
      <c r="K664" s="25"/>
      <c r="L664" s="29"/>
      <c r="M664" s="29"/>
      <c r="N664" s="28"/>
      <c r="O664" s="30"/>
      <c r="P664" s="30"/>
      <c r="Q664" s="30"/>
      <c r="R664" s="30"/>
      <c r="S664" s="30"/>
      <c r="T664" s="30"/>
      <c r="U664" s="30"/>
      <c r="V664" s="29"/>
      <c r="W664" s="125"/>
      <c r="X664" s="149"/>
      <c r="Y664" s="149"/>
      <c r="Z664" s="150"/>
      <c r="AA664" s="150"/>
      <c r="AB664" s="151"/>
      <c r="AC664" s="150"/>
      <c r="AD664" s="150"/>
      <c r="AE664" s="150"/>
      <c r="AF664" s="150"/>
      <c r="AG664" s="150"/>
      <c r="AH664" s="150"/>
    </row>
    <row r="665" spans="5:34">
      <c r="E665" s="31"/>
      <c r="F665" s="32"/>
      <c r="G665" s="29"/>
      <c r="H665" s="25"/>
      <c r="I665" s="25"/>
      <c r="J665" s="25"/>
      <c r="K665" s="25"/>
      <c r="L665" s="29"/>
      <c r="M665" s="29"/>
      <c r="N665" s="28"/>
      <c r="O665" s="30"/>
      <c r="P665" s="30"/>
      <c r="Q665" s="30"/>
      <c r="R665" s="30"/>
      <c r="S665" s="30"/>
      <c r="T665" s="30"/>
      <c r="U665" s="30"/>
      <c r="V665" s="29"/>
      <c r="W665" s="125"/>
      <c r="X665" s="149"/>
      <c r="Y665" s="149"/>
      <c r="Z665" s="150"/>
      <c r="AA665" s="150"/>
      <c r="AB665" s="151"/>
      <c r="AC665" s="150"/>
      <c r="AD665" s="150"/>
      <c r="AE665" s="150"/>
      <c r="AF665" s="150"/>
      <c r="AG665" s="150"/>
      <c r="AH665" s="150"/>
    </row>
    <row r="666" spans="5:34">
      <c r="E666" s="31"/>
      <c r="F666" s="32"/>
      <c r="G666" s="29"/>
      <c r="H666" s="25"/>
      <c r="I666" s="25"/>
      <c r="J666" s="25"/>
      <c r="K666" s="25"/>
      <c r="L666" s="29"/>
      <c r="M666" s="29"/>
      <c r="N666" s="28"/>
      <c r="O666" s="30"/>
      <c r="P666" s="30"/>
      <c r="Q666" s="30"/>
      <c r="R666" s="30"/>
      <c r="S666" s="30"/>
      <c r="T666" s="30"/>
      <c r="U666" s="30"/>
      <c r="V666" s="29"/>
      <c r="W666" s="125"/>
      <c r="X666" s="149"/>
      <c r="Y666" s="149"/>
      <c r="Z666" s="150"/>
      <c r="AA666" s="150"/>
      <c r="AB666" s="151"/>
      <c r="AC666" s="150"/>
      <c r="AD666" s="150"/>
      <c r="AE666" s="150"/>
      <c r="AF666" s="150"/>
      <c r="AG666" s="150"/>
      <c r="AH666" s="150"/>
    </row>
    <row r="667" spans="5:34">
      <c r="E667" s="31"/>
      <c r="F667" s="32"/>
      <c r="G667" s="29"/>
      <c r="H667" s="25"/>
      <c r="I667" s="25"/>
      <c r="J667" s="25"/>
      <c r="K667" s="25"/>
      <c r="L667" s="29"/>
      <c r="M667" s="29"/>
      <c r="N667" s="28"/>
      <c r="O667" s="30"/>
      <c r="P667" s="30"/>
      <c r="Q667" s="30"/>
      <c r="R667" s="30"/>
      <c r="S667" s="30"/>
      <c r="T667" s="30"/>
      <c r="U667" s="30"/>
      <c r="V667" s="29"/>
      <c r="W667" s="125"/>
      <c r="X667" s="149"/>
      <c r="Y667" s="149"/>
      <c r="Z667" s="150"/>
      <c r="AA667" s="150"/>
      <c r="AB667" s="151"/>
      <c r="AC667" s="150"/>
      <c r="AD667" s="150"/>
      <c r="AE667" s="150"/>
      <c r="AF667" s="150"/>
      <c r="AG667" s="150"/>
      <c r="AH667" s="150"/>
    </row>
    <row r="668" spans="5:34">
      <c r="E668" s="31"/>
      <c r="F668" s="32"/>
      <c r="G668" s="29"/>
      <c r="H668" s="25"/>
      <c r="I668" s="25"/>
      <c r="J668" s="25"/>
      <c r="K668" s="25"/>
      <c r="L668" s="29"/>
      <c r="M668" s="29"/>
      <c r="N668" s="28"/>
      <c r="O668" s="30"/>
      <c r="P668" s="30"/>
      <c r="Q668" s="30"/>
      <c r="R668" s="30"/>
      <c r="S668" s="30"/>
      <c r="T668" s="30"/>
      <c r="U668" s="30"/>
      <c r="V668" s="29"/>
      <c r="W668" s="125"/>
      <c r="X668" s="149"/>
      <c r="Y668" s="149"/>
      <c r="Z668" s="150"/>
      <c r="AA668" s="150"/>
      <c r="AB668" s="151"/>
      <c r="AC668" s="150"/>
      <c r="AD668" s="150"/>
      <c r="AE668" s="150"/>
      <c r="AF668" s="150"/>
      <c r="AG668" s="150"/>
      <c r="AH668" s="150"/>
    </row>
    <row r="669" spans="5:34">
      <c r="E669" s="31"/>
      <c r="F669" s="32"/>
      <c r="G669" s="29"/>
      <c r="H669" s="25"/>
      <c r="I669" s="25"/>
      <c r="J669" s="25"/>
      <c r="K669" s="25"/>
      <c r="L669" s="29"/>
      <c r="M669" s="29"/>
      <c r="N669" s="28"/>
      <c r="O669" s="30"/>
      <c r="P669" s="30"/>
      <c r="Q669" s="30"/>
      <c r="R669" s="30"/>
      <c r="S669" s="30"/>
      <c r="T669" s="30"/>
      <c r="U669" s="30"/>
      <c r="V669" s="29"/>
      <c r="W669" s="125"/>
      <c r="X669" s="149"/>
      <c r="Y669" s="149"/>
      <c r="Z669" s="150"/>
      <c r="AA669" s="150"/>
      <c r="AB669" s="151"/>
      <c r="AC669" s="150"/>
      <c r="AD669" s="150"/>
      <c r="AE669" s="150"/>
      <c r="AF669" s="150"/>
      <c r="AG669" s="150"/>
      <c r="AH669" s="150"/>
    </row>
    <row r="670" spans="5:34">
      <c r="E670" s="31"/>
      <c r="F670" s="32"/>
      <c r="G670" s="29"/>
      <c r="H670" s="25"/>
      <c r="I670" s="25"/>
      <c r="J670" s="25"/>
      <c r="K670" s="25"/>
      <c r="L670" s="29"/>
      <c r="M670" s="29"/>
      <c r="N670" s="28"/>
      <c r="O670" s="30"/>
      <c r="P670" s="30"/>
      <c r="Q670" s="30"/>
      <c r="R670" s="30"/>
      <c r="S670" s="30"/>
      <c r="T670" s="30"/>
      <c r="U670" s="30"/>
      <c r="V670" s="29"/>
      <c r="W670" s="125"/>
      <c r="X670" s="149"/>
      <c r="Y670" s="149"/>
      <c r="Z670" s="150"/>
      <c r="AA670" s="150"/>
      <c r="AB670" s="151"/>
      <c r="AC670" s="150"/>
      <c r="AD670" s="150"/>
      <c r="AE670" s="150"/>
      <c r="AF670" s="150"/>
      <c r="AG670" s="150"/>
      <c r="AH670" s="150"/>
    </row>
    <row r="671" spans="5:34">
      <c r="E671" s="31"/>
      <c r="F671" s="32"/>
      <c r="G671" s="29"/>
      <c r="H671" s="25"/>
      <c r="I671" s="25"/>
      <c r="J671" s="25"/>
      <c r="K671" s="25"/>
      <c r="L671" s="29"/>
      <c r="M671" s="29"/>
      <c r="N671" s="28"/>
      <c r="O671" s="30"/>
      <c r="P671" s="30"/>
      <c r="Q671" s="30"/>
      <c r="R671" s="30"/>
      <c r="S671" s="30"/>
      <c r="T671" s="30"/>
      <c r="U671" s="30"/>
      <c r="V671" s="29"/>
      <c r="W671" s="125"/>
      <c r="X671" s="149"/>
      <c r="Y671" s="149"/>
      <c r="Z671" s="150"/>
      <c r="AA671" s="150"/>
      <c r="AB671" s="151"/>
      <c r="AC671" s="150"/>
      <c r="AD671" s="150"/>
      <c r="AE671" s="150"/>
      <c r="AF671" s="150"/>
      <c r="AG671" s="150"/>
      <c r="AH671" s="150"/>
    </row>
    <row r="672" spans="5:34">
      <c r="E672" s="31"/>
      <c r="F672" s="32"/>
      <c r="G672" s="29"/>
      <c r="H672" s="25"/>
      <c r="I672" s="25"/>
      <c r="J672" s="25"/>
      <c r="K672" s="25"/>
      <c r="L672" s="29"/>
      <c r="M672" s="29"/>
      <c r="N672" s="28"/>
      <c r="O672" s="30"/>
      <c r="P672" s="30"/>
      <c r="Q672" s="30"/>
      <c r="R672" s="30"/>
      <c r="S672" s="30"/>
      <c r="T672" s="30"/>
      <c r="U672" s="30"/>
      <c r="V672" s="29"/>
      <c r="W672" s="125"/>
      <c r="X672" s="149"/>
      <c r="Y672" s="149"/>
      <c r="Z672" s="150"/>
      <c r="AA672" s="150"/>
      <c r="AB672" s="151"/>
      <c r="AC672" s="150"/>
      <c r="AD672" s="150"/>
      <c r="AE672" s="150"/>
      <c r="AF672" s="150"/>
      <c r="AG672" s="150"/>
      <c r="AH672" s="150"/>
    </row>
    <row r="673" spans="5:34">
      <c r="E673" s="31"/>
      <c r="F673" s="32"/>
      <c r="G673" s="29"/>
      <c r="H673" s="25"/>
      <c r="I673" s="25"/>
      <c r="J673" s="25"/>
      <c r="K673" s="25"/>
      <c r="L673" s="29"/>
      <c r="M673" s="29"/>
      <c r="N673" s="28"/>
      <c r="O673" s="30"/>
      <c r="P673" s="30"/>
      <c r="Q673" s="30"/>
      <c r="R673" s="30"/>
      <c r="S673" s="30"/>
      <c r="T673" s="30"/>
      <c r="U673" s="30"/>
      <c r="V673" s="29"/>
      <c r="W673" s="125"/>
      <c r="X673" s="149"/>
      <c r="Y673" s="149"/>
      <c r="Z673" s="150"/>
      <c r="AA673" s="150"/>
      <c r="AB673" s="151"/>
      <c r="AC673" s="150"/>
      <c r="AD673" s="150"/>
      <c r="AE673" s="150"/>
      <c r="AF673" s="150"/>
      <c r="AG673" s="150"/>
      <c r="AH673" s="150"/>
    </row>
    <row r="674" spans="5:34">
      <c r="E674" s="31"/>
      <c r="F674" s="32"/>
      <c r="G674" s="29"/>
      <c r="H674" s="25"/>
      <c r="I674" s="25"/>
      <c r="J674" s="25"/>
      <c r="K674" s="25"/>
      <c r="L674" s="29"/>
      <c r="M674" s="29"/>
      <c r="N674" s="28"/>
      <c r="O674" s="30"/>
      <c r="P674" s="30"/>
      <c r="Q674" s="30"/>
      <c r="R674" s="30"/>
      <c r="S674" s="30"/>
      <c r="T674" s="30"/>
      <c r="U674" s="30"/>
      <c r="V674" s="29"/>
      <c r="W674" s="125"/>
      <c r="X674" s="149"/>
      <c r="Y674" s="149"/>
      <c r="Z674" s="150"/>
      <c r="AA674" s="150"/>
      <c r="AB674" s="151"/>
      <c r="AC674" s="150"/>
      <c r="AD674" s="150"/>
      <c r="AE674" s="150"/>
      <c r="AF674" s="150"/>
      <c r="AG674" s="150"/>
      <c r="AH674" s="150"/>
    </row>
    <row r="675" spans="5:34">
      <c r="E675" s="31"/>
      <c r="F675" s="32"/>
      <c r="G675" s="29"/>
      <c r="H675" s="25"/>
      <c r="I675" s="25"/>
      <c r="J675" s="25"/>
      <c r="K675" s="25"/>
      <c r="L675" s="29"/>
      <c r="M675" s="29"/>
      <c r="N675" s="28"/>
      <c r="O675" s="30"/>
      <c r="P675" s="30"/>
      <c r="Q675" s="30"/>
      <c r="R675" s="30"/>
      <c r="S675" s="30"/>
      <c r="T675" s="30"/>
      <c r="U675" s="30"/>
      <c r="V675" s="29"/>
      <c r="W675" s="125"/>
      <c r="X675" s="149"/>
      <c r="Y675" s="149"/>
      <c r="Z675" s="150"/>
      <c r="AA675" s="150"/>
      <c r="AB675" s="151"/>
      <c r="AC675" s="150"/>
      <c r="AD675" s="150"/>
      <c r="AE675" s="150"/>
      <c r="AF675" s="150"/>
      <c r="AG675" s="150"/>
      <c r="AH675" s="150"/>
    </row>
    <row r="676" spans="5:34">
      <c r="E676" s="31"/>
      <c r="F676" s="32"/>
      <c r="G676" s="29"/>
      <c r="H676" s="25"/>
      <c r="I676" s="25"/>
      <c r="J676" s="25"/>
      <c r="K676" s="25"/>
      <c r="L676" s="29"/>
      <c r="M676" s="29"/>
      <c r="N676" s="28"/>
      <c r="O676" s="30"/>
      <c r="P676" s="30"/>
      <c r="Q676" s="30"/>
      <c r="R676" s="30"/>
      <c r="S676" s="30"/>
      <c r="T676" s="30"/>
      <c r="U676" s="30"/>
      <c r="V676" s="29"/>
      <c r="W676" s="125"/>
      <c r="X676" s="149"/>
      <c r="Y676" s="149"/>
      <c r="Z676" s="150"/>
      <c r="AA676" s="150"/>
      <c r="AB676" s="151"/>
      <c r="AC676" s="150"/>
      <c r="AD676" s="150"/>
      <c r="AE676" s="150"/>
      <c r="AF676" s="150"/>
      <c r="AG676" s="150"/>
      <c r="AH676" s="150"/>
    </row>
    <row r="677" spans="5:34">
      <c r="E677" s="31"/>
      <c r="F677" s="32"/>
      <c r="G677" s="29"/>
      <c r="H677" s="25"/>
      <c r="I677" s="25"/>
      <c r="J677" s="25"/>
      <c r="K677" s="25"/>
      <c r="L677" s="29"/>
      <c r="M677" s="29"/>
      <c r="N677" s="28"/>
      <c r="O677" s="30"/>
      <c r="P677" s="30"/>
      <c r="Q677" s="30"/>
      <c r="R677" s="30"/>
      <c r="S677" s="30"/>
      <c r="T677" s="30"/>
      <c r="U677" s="30"/>
      <c r="V677" s="29"/>
      <c r="W677" s="125"/>
      <c r="X677" s="149"/>
      <c r="Y677" s="149"/>
      <c r="Z677" s="150"/>
      <c r="AA677" s="150"/>
      <c r="AB677" s="151"/>
      <c r="AC677" s="150"/>
      <c r="AD677" s="150"/>
      <c r="AE677" s="150"/>
      <c r="AF677" s="150"/>
      <c r="AG677" s="150"/>
      <c r="AH677" s="150"/>
    </row>
    <row r="678" spans="5:34">
      <c r="E678" s="31"/>
      <c r="F678" s="32"/>
      <c r="G678" s="29"/>
      <c r="H678" s="25"/>
      <c r="I678" s="25"/>
      <c r="J678" s="25"/>
      <c r="K678" s="25"/>
      <c r="L678" s="29"/>
      <c r="M678" s="29"/>
      <c r="N678" s="28"/>
      <c r="O678" s="30"/>
      <c r="P678" s="30"/>
      <c r="Q678" s="30"/>
      <c r="R678" s="30"/>
      <c r="S678" s="30"/>
      <c r="T678" s="30"/>
      <c r="U678" s="30"/>
      <c r="V678" s="29"/>
      <c r="W678" s="125"/>
      <c r="X678" s="149"/>
      <c r="Y678" s="149"/>
      <c r="Z678" s="150"/>
      <c r="AA678" s="150"/>
      <c r="AB678" s="151"/>
      <c r="AC678" s="150"/>
      <c r="AD678" s="150"/>
      <c r="AE678" s="150"/>
      <c r="AF678" s="150"/>
      <c r="AG678" s="150"/>
      <c r="AH678" s="150"/>
    </row>
    <row r="679" spans="5:34">
      <c r="E679" s="31"/>
      <c r="F679" s="32"/>
      <c r="G679" s="29"/>
      <c r="H679" s="25"/>
      <c r="I679" s="25"/>
      <c r="J679" s="25"/>
      <c r="K679" s="25"/>
      <c r="L679" s="29"/>
      <c r="M679" s="29"/>
      <c r="N679" s="28"/>
      <c r="O679" s="30"/>
      <c r="P679" s="30"/>
      <c r="Q679" s="30"/>
      <c r="R679" s="30"/>
      <c r="S679" s="30"/>
      <c r="T679" s="30"/>
      <c r="U679" s="30"/>
      <c r="V679" s="29"/>
      <c r="W679" s="125"/>
      <c r="X679" s="149"/>
      <c r="Y679" s="149"/>
      <c r="Z679" s="150"/>
      <c r="AA679" s="150"/>
      <c r="AB679" s="151"/>
      <c r="AC679" s="150"/>
      <c r="AD679" s="150"/>
      <c r="AE679" s="150"/>
      <c r="AF679" s="150"/>
      <c r="AG679" s="150"/>
      <c r="AH679" s="150"/>
    </row>
    <row r="680" spans="5:34">
      <c r="E680" s="31"/>
      <c r="F680" s="32"/>
      <c r="G680" s="29"/>
      <c r="H680" s="25"/>
      <c r="I680" s="25"/>
      <c r="J680" s="25"/>
      <c r="K680" s="25"/>
      <c r="L680" s="29"/>
      <c r="M680" s="29"/>
      <c r="N680" s="28"/>
      <c r="O680" s="30"/>
      <c r="P680" s="30"/>
      <c r="Q680" s="30"/>
      <c r="R680" s="30"/>
      <c r="S680" s="30"/>
      <c r="T680" s="30"/>
      <c r="U680" s="30"/>
      <c r="V680" s="29"/>
      <c r="W680" s="125"/>
      <c r="X680" s="149"/>
      <c r="Y680" s="149"/>
      <c r="Z680" s="150"/>
      <c r="AA680" s="150"/>
      <c r="AB680" s="151"/>
      <c r="AC680" s="150"/>
      <c r="AD680" s="150"/>
      <c r="AE680" s="150"/>
      <c r="AF680" s="150"/>
      <c r="AG680" s="150"/>
      <c r="AH680" s="150"/>
    </row>
    <row r="681" spans="5:34">
      <c r="E681" s="31"/>
      <c r="F681" s="32"/>
      <c r="G681" s="29"/>
      <c r="H681" s="25"/>
      <c r="I681" s="25"/>
      <c r="J681" s="25"/>
      <c r="K681" s="25"/>
      <c r="L681" s="29"/>
      <c r="M681" s="29"/>
      <c r="N681" s="28"/>
      <c r="O681" s="30"/>
      <c r="P681" s="30"/>
      <c r="Q681" s="30"/>
      <c r="R681" s="30"/>
      <c r="S681" s="30"/>
      <c r="T681" s="30"/>
      <c r="U681" s="30"/>
      <c r="V681" s="29"/>
      <c r="W681" s="125"/>
      <c r="X681" s="149"/>
      <c r="Y681" s="149"/>
      <c r="Z681" s="150"/>
      <c r="AA681" s="150"/>
      <c r="AB681" s="151"/>
      <c r="AC681" s="150"/>
      <c r="AD681" s="150"/>
      <c r="AE681" s="150"/>
      <c r="AF681" s="150"/>
      <c r="AG681" s="150"/>
      <c r="AH681" s="150"/>
    </row>
    <row r="682" spans="5:34">
      <c r="E682" s="31"/>
      <c r="F682" s="32"/>
      <c r="G682" s="29"/>
      <c r="H682" s="25"/>
      <c r="I682" s="25"/>
      <c r="J682" s="25"/>
      <c r="K682" s="25"/>
      <c r="L682" s="29"/>
      <c r="M682" s="29"/>
      <c r="N682" s="28"/>
      <c r="O682" s="30"/>
      <c r="P682" s="30"/>
      <c r="Q682" s="30"/>
      <c r="R682" s="30"/>
      <c r="S682" s="30"/>
      <c r="T682" s="30"/>
      <c r="U682" s="30"/>
      <c r="V682" s="29"/>
      <c r="W682" s="125"/>
      <c r="X682" s="149"/>
      <c r="Y682" s="149"/>
      <c r="Z682" s="150"/>
      <c r="AA682" s="150"/>
      <c r="AB682" s="151"/>
      <c r="AC682" s="150"/>
      <c r="AD682" s="150"/>
      <c r="AE682" s="150"/>
      <c r="AF682" s="150"/>
      <c r="AG682" s="150"/>
      <c r="AH682" s="150"/>
    </row>
    <row r="683" spans="5:34">
      <c r="E683" s="31"/>
      <c r="F683" s="32"/>
      <c r="G683" s="29"/>
      <c r="H683" s="25"/>
      <c r="I683" s="25"/>
      <c r="J683" s="25"/>
      <c r="K683" s="25"/>
      <c r="L683" s="29"/>
      <c r="M683" s="29"/>
      <c r="N683" s="28"/>
      <c r="O683" s="30"/>
      <c r="P683" s="30"/>
      <c r="Q683" s="30"/>
      <c r="R683" s="30"/>
      <c r="S683" s="30"/>
      <c r="T683" s="30"/>
      <c r="U683" s="30"/>
      <c r="V683" s="29"/>
      <c r="W683" s="125"/>
      <c r="X683" s="149"/>
      <c r="Y683" s="149"/>
      <c r="Z683" s="150"/>
      <c r="AA683" s="150"/>
      <c r="AB683" s="151"/>
      <c r="AC683" s="150"/>
      <c r="AD683" s="150"/>
      <c r="AE683" s="150"/>
      <c r="AF683" s="150"/>
      <c r="AG683" s="150"/>
      <c r="AH683" s="150"/>
    </row>
    <row r="684" spans="5:34">
      <c r="E684" s="31"/>
      <c r="F684" s="32"/>
      <c r="G684" s="29"/>
      <c r="H684" s="25"/>
      <c r="I684" s="25"/>
      <c r="J684" s="25"/>
      <c r="K684" s="25"/>
      <c r="L684" s="29"/>
      <c r="M684" s="29"/>
      <c r="N684" s="28"/>
      <c r="O684" s="30"/>
      <c r="P684" s="30"/>
      <c r="Q684" s="30"/>
      <c r="R684" s="30"/>
      <c r="S684" s="30"/>
      <c r="T684" s="30"/>
      <c r="U684" s="30"/>
      <c r="V684" s="29"/>
      <c r="W684" s="125"/>
      <c r="X684" s="149"/>
      <c r="Y684" s="149"/>
      <c r="Z684" s="150"/>
      <c r="AA684" s="150"/>
      <c r="AB684" s="151"/>
      <c r="AC684" s="150"/>
      <c r="AD684" s="150"/>
      <c r="AE684" s="150"/>
      <c r="AF684" s="150"/>
      <c r="AG684" s="150"/>
      <c r="AH684" s="150"/>
    </row>
    <row r="685" spans="5:34">
      <c r="E685" s="31"/>
      <c r="F685" s="32"/>
      <c r="G685" s="29"/>
      <c r="H685" s="25"/>
      <c r="I685" s="25"/>
      <c r="J685" s="25"/>
      <c r="K685" s="25"/>
      <c r="L685" s="29"/>
      <c r="M685" s="29"/>
      <c r="N685" s="28"/>
      <c r="O685" s="30"/>
      <c r="P685" s="30"/>
      <c r="Q685" s="30"/>
      <c r="R685" s="30"/>
      <c r="S685" s="30"/>
      <c r="T685" s="30"/>
      <c r="U685" s="30"/>
      <c r="V685" s="29"/>
      <c r="W685" s="125"/>
      <c r="X685" s="149"/>
      <c r="Y685" s="149"/>
      <c r="Z685" s="150"/>
      <c r="AA685" s="150"/>
      <c r="AB685" s="151"/>
      <c r="AC685" s="150"/>
      <c r="AD685" s="150"/>
      <c r="AE685" s="150"/>
      <c r="AF685" s="150"/>
      <c r="AG685" s="150"/>
      <c r="AH685" s="150"/>
    </row>
    <row r="686" spans="5:34">
      <c r="E686" s="31"/>
      <c r="F686" s="32"/>
      <c r="G686" s="29"/>
      <c r="H686" s="25"/>
      <c r="I686" s="25"/>
      <c r="J686" s="25"/>
      <c r="K686" s="25"/>
      <c r="L686" s="29"/>
      <c r="M686" s="29"/>
      <c r="N686" s="28"/>
      <c r="O686" s="30"/>
      <c r="P686" s="30"/>
      <c r="Q686" s="30"/>
      <c r="R686" s="30"/>
      <c r="S686" s="30"/>
      <c r="T686" s="30"/>
      <c r="U686" s="30"/>
      <c r="V686" s="29"/>
      <c r="W686" s="125"/>
      <c r="X686" s="149"/>
      <c r="Y686" s="149"/>
      <c r="Z686" s="150"/>
      <c r="AA686" s="150"/>
      <c r="AB686" s="151"/>
      <c r="AC686" s="150"/>
      <c r="AD686" s="150"/>
      <c r="AE686" s="150"/>
      <c r="AF686" s="150"/>
      <c r="AG686" s="150"/>
      <c r="AH686" s="150"/>
    </row>
    <row r="687" spans="5:34">
      <c r="E687" s="31"/>
      <c r="F687" s="32"/>
      <c r="G687" s="29"/>
      <c r="H687" s="25"/>
      <c r="I687" s="25"/>
      <c r="J687" s="25"/>
      <c r="K687" s="25"/>
      <c r="L687" s="29"/>
      <c r="M687" s="29"/>
      <c r="N687" s="28"/>
      <c r="O687" s="30"/>
      <c r="P687" s="30"/>
      <c r="Q687" s="30"/>
      <c r="R687" s="30"/>
      <c r="S687" s="30"/>
      <c r="T687" s="30"/>
      <c r="U687" s="30"/>
      <c r="V687" s="29"/>
      <c r="W687" s="125"/>
      <c r="X687" s="149"/>
      <c r="Y687" s="149"/>
      <c r="Z687" s="150"/>
      <c r="AA687" s="150"/>
      <c r="AB687" s="151"/>
      <c r="AC687" s="150"/>
      <c r="AD687" s="150"/>
      <c r="AE687" s="150"/>
      <c r="AF687" s="150"/>
      <c r="AG687" s="150"/>
      <c r="AH687" s="150"/>
    </row>
    <row r="688" spans="5:34">
      <c r="E688" s="31"/>
      <c r="F688" s="32"/>
      <c r="G688" s="29"/>
      <c r="H688" s="25"/>
      <c r="I688" s="25"/>
      <c r="J688" s="25"/>
      <c r="K688" s="25"/>
      <c r="L688" s="29"/>
      <c r="M688" s="29"/>
      <c r="N688" s="28"/>
      <c r="O688" s="30"/>
      <c r="P688" s="30"/>
      <c r="Q688" s="30"/>
      <c r="R688" s="30"/>
      <c r="S688" s="30"/>
      <c r="T688" s="30"/>
      <c r="U688" s="30"/>
      <c r="V688" s="29"/>
      <c r="W688" s="125"/>
      <c r="X688" s="149"/>
      <c r="Y688" s="149"/>
      <c r="Z688" s="150"/>
      <c r="AA688" s="150"/>
      <c r="AB688" s="151"/>
      <c r="AC688" s="150"/>
      <c r="AD688" s="150"/>
      <c r="AE688" s="150"/>
      <c r="AF688" s="150"/>
      <c r="AG688" s="150"/>
      <c r="AH688" s="150"/>
    </row>
    <row r="689" spans="5:34">
      <c r="E689" s="31"/>
      <c r="F689" s="32"/>
      <c r="G689" s="29"/>
      <c r="H689" s="25"/>
      <c r="I689" s="25"/>
      <c r="J689" s="25"/>
      <c r="K689" s="25"/>
      <c r="L689" s="29"/>
      <c r="M689" s="29"/>
      <c r="N689" s="28"/>
      <c r="O689" s="30"/>
      <c r="P689" s="30"/>
      <c r="Q689" s="30"/>
      <c r="R689" s="30"/>
      <c r="S689" s="30"/>
      <c r="T689" s="30"/>
      <c r="U689" s="30"/>
      <c r="V689" s="29"/>
      <c r="W689" s="125"/>
      <c r="X689" s="149"/>
      <c r="Y689" s="149"/>
      <c r="Z689" s="150"/>
      <c r="AA689" s="150"/>
      <c r="AB689" s="151"/>
      <c r="AC689" s="150"/>
      <c r="AD689" s="150"/>
      <c r="AE689" s="150"/>
      <c r="AF689" s="150"/>
      <c r="AG689" s="150"/>
      <c r="AH689" s="150"/>
    </row>
    <row r="690" spans="5:34">
      <c r="E690" s="31"/>
      <c r="F690" s="32"/>
      <c r="G690" s="29"/>
      <c r="H690" s="25"/>
      <c r="I690" s="25"/>
      <c r="J690" s="25"/>
      <c r="K690" s="25"/>
      <c r="L690" s="29"/>
      <c r="M690" s="29"/>
      <c r="N690" s="28"/>
      <c r="O690" s="30"/>
      <c r="P690" s="30"/>
      <c r="Q690" s="30"/>
      <c r="R690" s="30"/>
      <c r="S690" s="30"/>
      <c r="T690" s="30"/>
      <c r="U690" s="30"/>
      <c r="V690" s="29"/>
      <c r="W690" s="125"/>
      <c r="X690" s="149"/>
      <c r="Y690" s="149"/>
      <c r="Z690" s="150"/>
      <c r="AA690" s="150"/>
      <c r="AB690" s="151"/>
      <c r="AC690" s="150"/>
      <c r="AD690" s="150"/>
      <c r="AE690" s="150"/>
      <c r="AF690" s="150"/>
      <c r="AG690" s="150"/>
      <c r="AH690" s="150"/>
    </row>
    <row r="691" spans="5:34">
      <c r="E691" s="31"/>
      <c r="F691" s="32"/>
      <c r="G691" s="29"/>
      <c r="H691" s="25"/>
      <c r="I691" s="25"/>
      <c r="J691" s="25"/>
      <c r="K691" s="25"/>
      <c r="L691" s="29"/>
      <c r="M691" s="29"/>
      <c r="N691" s="28"/>
      <c r="O691" s="30"/>
      <c r="P691" s="30"/>
      <c r="Q691" s="30"/>
      <c r="R691" s="30"/>
      <c r="S691" s="30"/>
      <c r="T691" s="30"/>
      <c r="U691" s="30"/>
      <c r="V691" s="29"/>
      <c r="W691" s="125"/>
      <c r="X691" s="149"/>
      <c r="Y691" s="149"/>
      <c r="Z691" s="150"/>
      <c r="AA691" s="150"/>
      <c r="AB691" s="151"/>
      <c r="AC691" s="150"/>
      <c r="AD691" s="150"/>
      <c r="AE691" s="150"/>
      <c r="AF691" s="150"/>
      <c r="AG691" s="150"/>
      <c r="AH691" s="150"/>
    </row>
    <row r="692" spans="5:34">
      <c r="E692" s="31"/>
      <c r="F692" s="32"/>
      <c r="G692" s="29"/>
      <c r="H692" s="25"/>
      <c r="I692" s="25"/>
      <c r="J692" s="25"/>
      <c r="K692" s="25"/>
      <c r="L692" s="29"/>
      <c r="M692" s="29"/>
      <c r="N692" s="28"/>
      <c r="O692" s="30"/>
      <c r="P692" s="30"/>
      <c r="Q692" s="30"/>
      <c r="R692" s="30"/>
      <c r="S692" s="30"/>
      <c r="T692" s="30"/>
      <c r="U692" s="30"/>
      <c r="V692" s="29"/>
      <c r="W692" s="125"/>
      <c r="X692" s="149"/>
      <c r="Y692" s="149"/>
      <c r="Z692" s="150"/>
      <c r="AA692" s="150"/>
      <c r="AB692" s="151"/>
      <c r="AC692" s="150"/>
      <c r="AD692" s="150"/>
      <c r="AE692" s="150"/>
      <c r="AF692" s="150"/>
      <c r="AG692" s="150"/>
      <c r="AH692" s="150"/>
    </row>
    <row r="693" spans="5:34">
      <c r="E693" s="31"/>
      <c r="F693" s="32"/>
      <c r="G693" s="29"/>
      <c r="H693" s="25"/>
      <c r="I693" s="25"/>
      <c r="J693" s="25"/>
      <c r="K693" s="25"/>
      <c r="L693" s="29"/>
      <c r="M693" s="29"/>
      <c r="N693" s="28"/>
      <c r="O693" s="30"/>
      <c r="P693" s="30"/>
      <c r="Q693" s="30"/>
      <c r="R693" s="30"/>
      <c r="S693" s="30"/>
      <c r="T693" s="30"/>
      <c r="U693" s="30"/>
      <c r="V693" s="29"/>
      <c r="W693" s="125"/>
      <c r="X693" s="149"/>
      <c r="Y693" s="149"/>
      <c r="Z693" s="150"/>
      <c r="AA693" s="150"/>
      <c r="AB693" s="151"/>
      <c r="AC693" s="150"/>
      <c r="AD693" s="150"/>
      <c r="AE693" s="150"/>
      <c r="AF693" s="150"/>
      <c r="AG693" s="150"/>
      <c r="AH693" s="150"/>
    </row>
    <row r="694" spans="5:34">
      <c r="E694" s="31"/>
      <c r="F694" s="32"/>
      <c r="G694" s="29"/>
      <c r="H694" s="25"/>
      <c r="I694" s="25"/>
      <c r="J694" s="25"/>
      <c r="K694" s="25"/>
      <c r="L694" s="29"/>
      <c r="M694" s="29"/>
      <c r="N694" s="28"/>
      <c r="O694" s="30"/>
      <c r="P694" s="30"/>
      <c r="Q694" s="30"/>
      <c r="R694" s="30"/>
      <c r="S694" s="30"/>
      <c r="T694" s="30"/>
      <c r="U694" s="30"/>
      <c r="V694" s="29"/>
      <c r="W694" s="125"/>
      <c r="X694" s="149"/>
      <c r="Y694" s="149"/>
      <c r="Z694" s="150"/>
      <c r="AA694" s="150"/>
      <c r="AB694" s="151"/>
      <c r="AC694" s="150"/>
      <c r="AD694" s="150"/>
      <c r="AE694" s="150"/>
      <c r="AF694" s="150"/>
      <c r="AG694" s="150"/>
      <c r="AH694" s="150"/>
    </row>
    <row r="695" spans="5:34">
      <c r="E695" s="31"/>
      <c r="F695" s="32"/>
      <c r="G695" s="29"/>
      <c r="H695" s="25"/>
      <c r="I695" s="25"/>
      <c r="J695" s="25"/>
      <c r="K695" s="25"/>
      <c r="L695" s="29"/>
      <c r="M695" s="29"/>
      <c r="N695" s="28"/>
      <c r="O695" s="30"/>
      <c r="P695" s="30"/>
      <c r="Q695" s="30"/>
      <c r="R695" s="30"/>
      <c r="S695" s="30"/>
      <c r="T695" s="30"/>
      <c r="U695" s="30"/>
      <c r="V695" s="29"/>
      <c r="W695" s="125"/>
      <c r="X695" s="149"/>
      <c r="Y695" s="149"/>
      <c r="Z695" s="150"/>
      <c r="AA695" s="150"/>
      <c r="AB695" s="151"/>
      <c r="AC695" s="150"/>
      <c r="AD695" s="150"/>
      <c r="AE695" s="150"/>
      <c r="AF695" s="150"/>
      <c r="AG695" s="150"/>
      <c r="AH695" s="150"/>
    </row>
    <row r="696" spans="5:34">
      <c r="E696" s="31"/>
      <c r="F696" s="32"/>
      <c r="G696" s="29"/>
      <c r="H696" s="25"/>
      <c r="I696" s="25"/>
      <c r="J696" s="25"/>
      <c r="K696" s="25"/>
      <c r="L696" s="29"/>
      <c r="M696" s="29"/>
      <c r="N696" s="28"/>
      <c r="O696" s="30"/>
      <c r="P696" s="30"/>
      <c r="Q696" s="30"/>
      <c r="R696" s="30"/>
      <c r="S696" s="30"/>
      <c r="T696" s="30"/>
      <c r="U696" s="30"/>
      <c r="V696" s="29"/>
      <c r="W696" s="125"/>
      <c r="X696" s="149"/>
      <c r="Y696" s="149"/>
      <c r="Z696" s="150"/>
      <c r="AA696" s="150"/>
      <c r="AB696" s="151"/>
      <c r="AC696" s="150"/>
      <c r="AD696" s="150"/>
      <c r="AE696" s="150"/>
      <c r="AF696" s="150"/>
      <c r="AG696" s="150"/>
      <c r="AH696" s="150"/>
    </row>
    <row r="697" spans="5:34">
      <c r="E697" s="31"/>
      <c r="F697" s="32"/>
      <c r="G697" s="29"/>
      <c r="H697" s="25"/>
      <c r="I697" s="25"/>
      <c r="J697" s="25"/>
      <c r="K697" s="25"/>
      <c r="L697" s="29"/>
      <c r="M697" s="29"/>
      <c r="N697" s="28"/>
      <c r="O697" s="30"/>
      <c r="P697" s="30"/>
      <c r="Q697" s="30"/>
      <c r="R697" s="30"/>
      <c r="S697" s="30"/>
      <c r="T697" s="30"/>
      <c r="U697" s="30"/>
      <c r="V697" s="29"/>
      <c r="W697" s="125"/>
      <c r="X697" s="149"/>
      <c r="Y697" s="149"/>
      <c r="Z697" s="150"/>
      <c r="AA697" s="150"/>
      <c r="AB697" s="151"/>
      <c r="AC697" s="150"/>
      <c r="AD697" s="150"/>
      <c r="AE697" s="150"/>
      <c r="AF697" s="150"/>
      <c r="AG697" s="150"/>
      <c r="AH697" s="150"/>
    </row>
    <row r="698" spans="5:34">
      <c r="E698" s="31"/>
      <c r="F698" s="32"/>
      <c r="G698" s="29"/>
      <c r="H698" s="25"/>
      <c r="I698" s="25"/>
      <c r="J698" s="25"/>
      <c r="K698" s="25"/>
      <c r="L698" s="29"/>
      <c r="M698" s="29"/>
      <c r="N698" s="28"/>
      <c r="O698" s="30"/>
      <c r="P698" s="30"/>
      <c r="Q698" s="30"/>
      <c r="R698" s="30"/>
      <c r="S698" s="30"/>
      <c r="T698" s="30"/>
      <c r="U698" s="30"/>
      <c r="V698" s="29"/>
      <c r="W698" s="125"/>
      <c r="X698" s="149"/>
      <c r="Y698" s="149"/>
      <c r="Z698" s="150"/>
      <c r="AA698" s="150"/>
      <c r="AB698" s="151"/>
      <c r="AC698" s="150"/>
      <c r="AD698" s="150"/>
      <c r="AE698" s="150"/>
      <c r="AF698" s="150"/>
      <c r="AG698" s="150"/>
      <c r="AH698" s="150"/>
    </row>
    <row r="699" spans="5:34">
      <c r="E699" s="31"/>
      <c r="F699" s="32"/>
      <c r="G699" s="29"/>
      <c r="H699" s="25"/>
      <c r="I699" s="25"/>
      <c r="J699" s="25"/>
      <c r="K699" s="25"/>
      <c r="L699" s="29"/>
      <c r="M699" s="29"/>
      <c r="N699" s="28"/>
      <c r="O699" s="30"/>
      <c r="P699" s="30"/>
      <c r="Q699" s="30"/>
      <c r="R699" s="30"/>
      <c r="S699" s="30"/>
      <c r="T699" s="30"/>
      <c r="U699" s="30"/>
      <c r="V699" s="29"/>
      <c r="W699" s="125"/>
      <c r="X699" s="149"/>
      <c r="Y699" s="149"/>
      <c r="Z699" s="150"/>
      <c r="AA699" s="150"/>
      <c r="AB699" s="151"/>
      <c r="AC699" s="150"/>
      <c r="AD699" s="150"/>
      <c r="AE699" s="150"/>
      <c r="AF699" s="150"/>
      <c r="AG699" s="150"/>
      <c r="AH699" s="150"/>
    </row>
    <row r="700" spans="5:34">
      <c r="E700" s="31"/>
      <c r="F700" s="32"/>
      <c r="G700" s="29"/>
      <c r="H700" s="25"/>
      <c r="I700" s="25"/>
      <c r="J700" s="25"/>
      <c r="K700" s="25"/>
      <c r="L700" s="29"/>
      <c r="M700" s="29"/>
      <c r="N700" s="28"/>
      <c r="O700" s="30"/>
      <c r="P700" s="30"/>
      <c r="Q700" s="30"/>
      <c r="R700" s="30"/>
      <c r="S700" s="30"/>
      <c r="T700" s="30"/>
      <c r="U700" s="30"/>
      <c r="V700" s="29"/>
      <c r="W700" s="125"/>
      <c r="X700" s="149"/>
      <c r="Y700" s="149"/>
      <c r="Z700" s="150"/>
      <c r="AA700" s="150"/>
      <c r="AB700" s="151"/>
      <c r="AC700" s="150"/>
      <c r="AD700" s="150"/>
      <c r="AE700" s="150"/>
      <c r="AF700" s="150"/>
      <c r="AG700" s="150"/>
      <c r="AH700" s="150"/>
    </row>
    <row r="701" spans="5:34">
      <c r="E701" s="31"/>
      <c r="F701" s="32"/>
      <c r="G701" s="29"/>
      <c r="H701" s="25"/>
      <c r="I701" s="25"/>
      <c r="J701" s="25"/>
      <c r="K701" s="25"/>
      <c r="L701" s="29"/>
      <c r="M701" s="29"/>
      <c r="N701" s="28"/>
      <c r="O701" s="30"/>
      <c r="P701" s="30"/>
      <c r="Q701" s="30"/>
      <c r="R701" s="30"/>
      <c r="S701" s="30"/>
      <c r="T701" s="30"/>
      <c r="U701" s="30"/>
      <c r="V701" s="29"/>
      <c r="W701" s="125"/>
      <c r="X701" s="149"/>
      <c r="Y701" s="149"/>
      <c r="Z701" s="150"/>
      <c r="AA701" s="150"/>
      <c r="AB701" s="151"/>
      <c r="AC701" s="150"/>
      <c r="AD701" s="150"/>
      <c r="AE701" s="150"/>
      <c r="AF701" s="150"/>
      <c r="AG701" s="150"/>
      <c r="AH701" s="150"/>
    </row>
    <row r="702" spans="5:34">
      <c r="E702" s="31"/>
      <c r="F702" s="32"/>
      <c r="G702" s="29"/>
      <c r="H702" s="25"/>
      <c r="I702" s="25"/>
      <c r="J702" s="25"/>
      <c r="K702" s="25"/>
      <c r="L702" s="29"/>
      <c r="M702" s="29"/>
      <c r="N702" s="28"/>
      <c r="O702" s="30"/>
      <c r="P702" s="30"/>
      <c r="Q702" s="30"/>
      <c r="R702" s="30"/>
      <c r="S702" s="30"/>
      <c r="T702" s="30"/>
      <c r="U702" s="30"/>
      <c r="V702" s="29"/>
      <c r="W702" s="125"/>
      <c r="X702" s="149"/>
      <c r="Y702" s="149"/>
      <c r="Z702" s="150"/>
      <c r="AA702" s="150"/>
      <c r="AB702" s="151"/>
      <c r="AC702" s="150"/>
      <c r="AD702" s="150"/>
      <c r="AE702" s="150"/>
      <c r="AF702" s="150"/>
      <c r="AG702" s="150"/>
      <c r="AH702" s="150"/>
    </row>
    <row r="703" spans="5:34">
      <c r="E703" s="31"/>
      <c r="F703" s="32"/>
      <c r="G703" s="29"/>
      <c r="H703" s="25"/>
      <c r="I703" s="25"/>
      <c r="J703" s="25"/>
      <c r="K703" s="25"/>
      <c r="L703" s="29"/>
      <c r="M703" s="29"/>
      <c r="N703" s="28"/>
      <c r="O703" s="30"/>
      <c r="P703" s="30"/>
      <c r="Q703" s="30"/>
      <c r="R703" s="30"/>
      <c r="S703" s="30"/>
      <c r="T703" s="30"/>
      <c r="U703" s="30"/>
      <c r="V703" s="29"/>
      <c r="W703" s="125"/>
      <c r="X703" s="149"/>
      <c r="Y703" s="149"/>
      <c r="Z703" s="150"/>
      <c r="AA703" s="150"/>
      <c r="AB703" s="151"/>
      <c r="AC703" s="150"/>
      <c r="AD703" s="150"/>
      <c r="AE703" s="150"/>
      <c r="AF703" s="150"/>
      <c r="AG703" s="150"/>
      <c r="AH703" s="150"/>
    </row>
    <row r="704" spans="5:34">
      <c r="E704" s="31"/>
      <c r="F704" s="32"/>
      <c r="G704" s="29"/>
      <c r="H704" s="25"/>
      <c r="I704" s="25"/>
      <c r="J704" s="25"/>
      <c r="K704" s="25"/>
      <c r="L704" s="29"/>
      <c r="M704" s="29"/>
      <c r="N704" s="28"/>
      <c r="O704" s="30"/>
      <c r="P704" s="30"/>
      <c r="Q704" s="30"/>
      <c r="R704" s="30"/>
      <c r="S704" s="30"/>
      <c r="T704" s="30"/>
      <c r="U704" s="30"/>
      <c r="V704" s="29"/>
      <c r="W704" s="125"/>
      <c r="X704" s="149"/>
      <c r="Y704" s="149"/>
      <c r="Z704" s="150"/>
      <c r="AA704" s="150"/>
      <c r="AB704" s="151"/>
      <c r="AC704" s="150"/>
      <c r="AD704" s="150"/>
      <c r="AE704" s="150"/>
      <c r="AF704" s="150"/>
      <c r="AG704" s="150"/>
      <c r="AH704" s="150"/>
    </row>
    <row r="705" spans="5:34">
      <c r="E705" s="31"/>
      <c r="F705" s="32"/>
      <c r="G705" s="29"/>
      <c r="H705" s="25"/>
      <c r="I705" s="25"/>
      <c r="J705" s="25"/>
      <c r="K705" s="25"/>
      <c r="L705" s="29"/>
      <c r="M705" s="29"/>
      <c r="N705" s="28"/>
      <c r="O705" s="30"/>
      <c r="P705" s="30"/>
      <c r="Q705" s="30"/>
      <c r="R705" s="30"/>
      <c r="S705" s="30"/>
      <c r="T705" s="30"/>
      <c r="U705" s="30"/>
      <c r="V705" s="29"/>
      <c r="W705" s="125"/>
      <c r="X705" s="149"/>
      <c r="Y705" s="149"/>
      <c r="Z705" s="150"/>
      <c r="AA705" s="150"/>
      <c r="AB705" s="151"/>
      <c r="AC705" s="150"/>
      <c r="AD705" s="150"/>
      <c r="AE705" s="150"/>
      <c r="AF705" s="150"/>
      <c r="AG705" s="150"/>
      <c r="AH705" s="150"/>
    </row>
    <row r="706" spans="5:34">
      <c r="E706" s="31"/>
      <c r="F706" s="32"/>
      <c r="G706" s="29"/>
      <c r="H706" s="25"/>
      <c r="I706" s="25"/>
      <c r="J706" s="25"/>
      <c r="K706" s="25"/>
      <c r="L706" s="29"/>
      <c r="M706" s="29"/>
      <c r="N706" s="28"/>
      <c r="O706" s="30"/>
      <c r="P706" s="30"/>
      <c r="Q706" s="30"/>
      <c r="R706" s="30"/>
      <c r="S706" s="30"/>
      <c r="T706" s="30"/>
      <c r="U706" s="30"/>
      <c r="V706" s="29"/>
      <c r="W706" s="125"/>
      <c r="X706" s="149"/>
      <c r="Y706" s="149"/>
      <c r="Z706" s="150"/>
      <c r="AA706" s="150"/>
      <c r="AB706" s="151"/>
      <c r="AC706" s="150"/>
      <c r="AD706" s="150"/>
      <c r="AE706" s="150"/>
      <c r="AF706" s="150"/>
      <c r="AG706" s="150"/>
      <c r="AH706" s="150"/>
    </row>
    <row r="707" spans="5:34">
      <c r="E707" s="31"/>
      <c r="F707" s="32"/>
      <c r="G707" s="29"/>
      <c r="H707" s="25"/>
      <c r="I707" s="25"/>
      <c r="J707" s="25"/>
      <c r="K707" s="25"/>
      <c r="L707" s="29"/>
      <c r="M707" s="29"/>
      <c r="N707" s="28"/>
      <c r="O707" s="30"/>
      <c r="P707" s="30"/>
      <c r="Q707" s="30"/>
      <c r="R707" s="30"/>
      <c r="S707" s="30"/>
      <c r="T707" s="30"/>
      <c r="U707" s="30"/>
      <c r="V707" s="29"/>
      <c r="W707" s="125"/>
      <c r="X707" s="149"/>
      <c r="Y707" s="149"/>
      <c r="Z707" s="150"/>
      <c r="AA707" s="150"/>
      <c r="AB707" s="151"/>
      <c r="AC707" s="150"/>
      <c r="AD707" s="150"/>
      <c r="AE707" s="150"/>
      <c r="AF707" s="150"/>
      <c r="AG707" s="150"/>
      <c r="AH707" s="150"/>
    </row>
    <row r="708" spans="5:34">
      <c r="E708" s="31"/>
      <c r="F708" s="32"/>
      <c r="G708" s="29"/>
      <c r="H708" s="25"/>
      <c r="I708" s="25"/>
      <c r="J708" s="25"/>
      <c r="K708" s="25"/>
      <c r="L708" s="29"/>
      <c r="M708" s="29"/>
      <c r="N708" s="28"/>
      <c r="O708" s="30"/>
      <c r="P708" s="30"/>
      <c r="Q708" s="30"/>
      <c r="R708" s="30"/>
      <c r="S708" s="30"/>
      <c r="T708" s="30"/>
      <c r="U708" s="30"/>
      <c r="V708" s="29"/>
      <c r="W708" s="125"/>
      <c r="X708" s="149"/>
      <c r="Y708" s="149"/>
      <c r="Z708" s="150"/>
      <c r="AA708" s="150"/>
      <c r="AB708" s="151"/>
      <c r="AC708" s="150"/>
      <c r="AD708" s="150"/>
      <c r="AE708" s="150"/>
      <c r="AF708" s="150"/>
      <c r="AG708" s="150"/>
      <c r="AH708" s="150"/>
    </row>
    <row r="709" spans="5:34">
      <c r="E709" s="31"/>
      <c r="F709" s="32"/>
      <c r="G709" s="29"/>
      <c r="H709" s="25"/>
      <c r="I709" s="25"/>
      <c r="J709" s="25"/>
      <c r="K709" s="25"/>
      <c r="L709" s="29"/>
      <c r="M709" s="29"/>
      <c r="N709" s="28"/>
      <c r="O709" s="30"/>
      <c r="P709" s="30"/>
      <c r="Q709" s="30"/>
      <c r="R709" s="30"/>
      <c r="S709" s="30"/>
      <c r="T709" s="30"/>
      <c r="U709" s="30"/>
      <c r="V709" s="29"/>
      <c r="W709" s="125"/>
      <c r="X709" s="149"/>
      <c r="Y709" s="149"/>
      <c r="Z709" s="150"/>
      <c r="AA709" s="150"/>
      <c r="AB709" s="151"/>
      <c r="AC709" s="150"/>
      <c r="AD709" s="150"/>
      <c r="AE709" s="150"/>
      <c r="AF709" s="150"/>
      <c r="AG709" s="150"/>
      <c r="AH709" s="150"/>
    </row>
    <row r="710" spans="5:34">
      <c r="E710" s="31"/>
      <c r="F710" s="32"/>
      <c r="G710" s="29"/>
      <c r="H710" s="25"/>
      <c r="I710" s="25"/>
      <c r="J710" s="25"/>
      <c r="K710" s="25"/>
      <c r="L710" s="29"/>
      <c r="M710" s="29"/>
      <c r="N710" s="28"/>
      <c r="O710" s="30"/>
      <c r="P710" s="30"/>
      <c r="Q710" s="30"/>
      <c r="R710" s="30"/>
      <c r="S710" s="30"/>
      <c r="T710" s="30"/>
      <c r="U710" s="30"/>
      <c r="V710" s="29"/>
      <c r="W710" s="125"/>
      <c r="X710" s="149"/>
      <c r="Y710" s="149"/>
      <c r="Z710" s="150"/>
      <c r="AA710" s="150"/>
      <c r="AB710" s="151"/>
      <c r="AC710" s="150"/>
      <c r="AD710" s="150"/>
      <c r="AE710" s="150"/>
      <c r="AF710" s="150"/>
      <c r="AG710" s="150"/>
      <c r="AH710" s="150"/>
    </row>
    <row r="711" spans="5:34">
      <c r="E711" s="31"/>
      <c r="F711" s="32"/>
      <c r="G711" s="29"/>
      <c r="H711" s="25"/>
      <c r="I711" s="25"/>
      <c r="J711" s="25"/>
      <c r="K711" s="25"/>
      <c r="L711" s="29"/>
      <c r="M711" s="29"/>
      <c r="N711" s="28"/>
      <c r="O711" s="30"/>
      <c r="P711" s="30"/>
      <c r="Q711" s="30"/>
      <c r="R711" s="30"/>
      <c r="S711" s="30"/>
      <c r="T711" s="30"/>
      <c r="U711" s="30"/>
      <c r="V711" s="29"/>
      <c r="W711" s="125"/>
      <c r="X711" s="149"/>
      <c r="Y711" s="149"/>
      <c r="Z711" s="150"/>
      <c r="AA711" s="150"/>
      <c r="AB711" s="151"/>
      <c r="AC711" s="150"/>
      <c r="AD711" s="150"/>
      <c r="AE711" s="150"/>
      <c r="AF711" s="150"/>
      <c r="AG711" s="150"/>
      <c r="AH711" s="150"/>
    </row>
    <row r="712" spans="5:34">
      <c r="E712" s="31"/>
      <c r="F712" s="32"/>
      <c r="G712" s="29"/>
      <c r="H712" s="25"/>
      <c r="I712" s="25"/>
      <c r="J712" s="25"/>
      <c r="K712" s="25"/>
      <c r="L712" s="29"/>
      <c r="M712" s="29"/>
      <c r="N712" s="28"/>
      <c r="O712" s="30"/>
      <c r="P712" s="30"/>
      <c r="Q712" s="30"/>
      <c r="R712" s="30"/>
      <c r="S712" s="30"/>
      <c r="T712" s="30"/>
      <c r="U712" s="30"/>
      <c r="V712" s="29"/>
      <c r="W712" s="125"/>
      <c r="X712" s="149"/>
      <c r="Y712" s="149"/>
      <c r="Z712" s="150"/>
      <c r="AA712" s="150"/>
      <c r="AB712" s="151"/>
      <c r="AC712" s="150"/>
      <c r="AD712" s="150"/>
      <c r="AE712" s="150"/>
      <c r="AF712" s="150"/>
      <c r="AG712" s="150"/>
      <c r="AH712" s="150"/>
    </row>
    <row r="713" spans="5:34">
      <c r="E713" s="31"/>
      <c r="F713" s="32"/>
      <c r="G713" s="29"/>
      <c r="H713" s="25"/>
      <c r="I713" s="25"/>
      <c r="J713" s="25"/>
      <c r="K713" s="25"/>
      <c r="L713" s="29"/>
      <c r="M713" s="29"/>
      <c r="N713" s="28"/>
      <c r="O713" s="30"/>
      <c r="P713" s="30"/>
      <c r="Q713" s="30"/>
      <c r="R713" s="30"/>
      <c r="S713" s="30"/>
      <c r="T713" s="30"/>
      <c r="U713" s="30"/>
      <c r="V713" s="29"/>
      <c r="W713" s="125"/>
      <c r="X713" s="149"/>
      <c r="Y713" s="149"/>
      <c r="Z713" s="150"/>
      <c r="AA713" s="150"/>
      <c r="AB713" s="151"/>
      <c r="AC713" s="150"/>
      <c r="AD713" s="150"/>
      <c r="AE713" s="150"/>
      <c r="AF713" s="150"/>
      <c r="AG713" s="150"/>
      <c r="AH713" s="150"/>
    </row>
    <row r="714" spans="5:34">
      <c r="E714" s="31"/>
      <c r="F714" s="32"/>
      <c r="G714" s="29"/>
      <c r="H714" s="25"/>
      <c r="I714" s="25"/>
      <c r="J714" s="25"/>
      <c r="K714" s="25"/>
      <c r="L714" s="29"/>
      <c r="M714" s="29"/>
      <c r="N714" s="28"/>
      <c r="O714" s="30"/>
      <c r="P714" s="30"/>
      <c r="Q714" s="30"/>
      <c r="R714" s="30"/>
      <c r="S714" s="30"/>
      <c r="T714" s="30"/>
      <c r="U714" s="30"/>
      <c r="V714" s="29"/>
      <c r="W714" s="125"/>
      <c r="X714" s="149"/>
      <c r="Y714" s="149"/>
      <c r="Z714" s="150"/>
      <c r="AA714" s="150"/>
      <c r="AB714" s="151"/>
      <c r="AC714" s="150"/>
      <c r="AD714" s="150"/>
      <c r="AE714" s="150"/>
      <c r="AF714" s="150"/>
      <c r="AG714" s="150"/>
      <c r="AH714" s="150"/>
    </row>
    <row r="715" spans="5:34">
      <c r="E715" s="31"/>
      <c r="F715" s="32"/>
      <c r="G715" s="29"/>
      <c r="H715" s="25"/>
      <c r="I715" s="25"/>
      <c r="J715" s="25"/>
      <c r="K715" s="25"/>
      <c r="L715" s="29"/>
      <c r="M715" s="29"/>
      <c r="N715" s="28"/>
      <c r="O715" s="30"/>
      <c r="P715" s="30"/>
      <c r="Q715" s="30"/>
      <c r="R715" s="30"/>
      <c r="S715" s="30"/>
      <c r="T715" s="30"/>
      <c r="U715" s="30"/>
      <c r="V715" s="29"/>
      <c r="W715" s="125"/>
      <c r="X715" s="149"/>
      <c r="Y715" s="149"/>
      <c r="Z715" s="150"/>
      <c r="AA715" s="150"/>
      <c r="AB715" s="151"/>
      <c r="AC715" s="150"/>
      <c r="AD715" s="150"/>
      <c r="AE715" s="150"/>
      <c r="AF715" s="150"/>
      <c r="AG715" s="150"/>
      <c r="AH715" s="150"/>
    </row>
    <row r="716" spans="5:34">
      <c r="E716" s="31"/>
      <c r="F716" s="32"/>
      <c r="G716" s="29"/>
      <c r="H716" s="25"/>
      <c r="I716" s="25"/>
      <c r="J716" s="25"/>
      <c r="K716" s="25"/>
      <c r="L716" s="29"/>
      <c r="M716" s="29"/>
      <c r="N716" s="28"/>
      <c r="O716" s="30"/>
      <c r="P716" s="30"/>
      <c r="Q716" s="30"/>
      <c r="R716" s="30"/>
      <c r="S716" s="30"/>
      <c r="T716" s="30"/>
      <c r="U716" s="30"/>
      <c r="V716" s="29"/>
      <c r="W716" s="125"/>
      <c r="X716" s="149"/>
      <c r="Y716" s="149"/>
      <c r="Z716" s="150"/>
      <c r="AA716" s="150"/>
      <c r="AB716" s="151"/>
      <c r="AC716" s="150"/>
      <c r="AD716" s="150"/>
      <c r="AE716" s="150"/>
      <c r="AF716" s="150"/>
      <c r="AG716" s="150"/>
      <c r="AH716" s="150"/>
    </row>
    <row r="717" spans="5:34">
      <c r="E717" s="31"/>
      <c r="F717" s="32"/>
      <c r="G717" s="29"/>
      <c r="H717" s="25"/>
      <c r="I717" s="25"/>
      <c r="J717" s="25"/>
      <c r="K717" s="25"/>
      <c r="L717" s="29"/>
      <c r="M717" s="29"/>
      <c r="N717" s="28"/>
      <c r="O717" s="30"/>
      <c r="P717" s="30"/>
      <c r="Q717" s="30"/>
      <c r="R717" s="30"/>
      <c r="S717" s="30"/>
      <c r="T717" s="30"/>
      <c r="U717" s="30"/>
      <c r="V717" s="29"/>
      <c r="W717" s="125"/>
      <c r="X717" s="149"/>
      <c r="Y717" s="149"/>
      <c r="Z717" s="150"/>
      <c r="AA717" s="150"/>
      <c r="AB717" s="151"/>
      <c r="AC717" s="150"/>
      <c r="AD717" s="150"/>
      <c r="AE717" s="150"/>
      <c r="AF717" s="150"/>
      <c r="AG717" s="150"/>
      <c r="AH717" s="150"/>
    </row>
    <row r="718" spans="5:34">
      <c r="E718" s="31"/>
      <c r="F718" s="32"/>
      <c r="G718" s="29"/>
      <c r="H718" s="25"/>
      <c r="I718" s="25"/>
      <c r="J718" s="25"/>
      <c r="K718" s="25"/>
      <c r="L718" s="29"/>
      <c r="M718" s="29"/>
      <c r="N718" s="28"/>
      <c r="O718" s="30"/>
      <c r="P718" s="30"/>
      <c r="Q718" s="30"/>
      <c r="R718" s="30"/>
      <c r="S718" s="30"/>
      <c r="T718" s="30"/>
      <c r="U718" s="30"/>
      <c r="V718" s="29"/>
      <c r="W718" s="125"/>
      <c r="X718" s="149"/>
      <c r="Y718" s="149"/>
      <c r="Z718" s="150"/>
      <c r="AA718" s="150"/>
      <c r="AB718" s="151"/>
      <c r="AC718" s="150"/>
      <c r="AD718" s="150"/>
      <c r="AE718" s="150"/>
      <c r="AF718" s="150"/>
      <c r="AG718" s="150"/>
      <c r="AH718" s="150"/>
    </row>
    <row r="719" spans="5:34">
      <c r="E719" s="31"/>
      <c r="F719" s="32"/>
      <c r="G719" s="29"/>
      <c r="H719" s="25"/>
      <c r="I719" s="25"/>
      <c r="J719" s="25"/>
      <c r="K719" s="25"/>
      <c r="L719" s="29"/>
      <c r="M719" s="29"/>
      <c r="N719" s="28"/>
      <c r="O719" s="30"/>
      <c r="P719" s="30"/>
      <c r="Q719" s="30"/>
      <c r="R719" s="30"/>
      <c r="S719" s="30"/>
      <c r="T719" s="30"/>
      <c r="U719" s="30"/>
      <c r="V719" s="29"/>
      <c r="W719" s="125"/>
      <c r="X719" s="149"/>
      <c r="Y719" s="149"/>
      <c r="Z719" s="150"/>
      <c r="AA719" s="150"/>
      <c r="AB719" s="151"/>
      <c r="AC719" s="150"/>
      <c r="AD719" s="150"/>
      <c r="AE719" s="150"/>
      <c r="AF719" s="150"/>
      <c r="AG719" s="150"/>
      <c r="AH719" s="150"/>
    </row>
    <row r="720" spans="5:34">
      <c r="E720" s="31"/>
      <c r="F720" s="32"/>
      <c r="G720" s="29"/>
      <c r="H720" s="25"/>
      <c r="I720" s="25"/>
      <c r="J720" s="25"/>
      <c r="K720" s="25"/>
      <c r="L720" s="29"/>
      <c r="M720" s="29"/>
      <c r="N720" s="28"/>
      <c r="O720" s="30"/>
      <c r="P720" s="30"/>
      <c r="Q720" s="30"/>
      <c r="R720" s="30"/>
      <c r="S720" s="30"/>
      <c r="T720" s="30"/>
      <c r="U720" s="30"/>
      <c r="V720" s="29"/>
      <c r="W720" s="125"/>
      <c r="X720" s="149"/>
      <c r="Y720" s="149"/>
      <c r="Z720" s="150"/>
      <c r="AA720" s="150"/>
      <c r="AB720" s="151"/>
      <c r="AC720" s="150"/>
      <c r="AD720" s="150"/>
      <c r="AE720" s="150"/>
      <c r="AF720" s="150"/>
      <c r="AG720" s="150"/>
      <c r="AH720" s="150"/>
    </row>
    <row r="721" spans="5:34">
      <c r="E721" s="31"/>
      <c r="F721" s="32"/>
      <c r="G721" s="29"/>
      <c r="H721" s="25"/>
      <c r="I721" s="25"/>
      <c r="J721" s="25"/>
      <c r="K721" s="25"/>
      <c r="L721" s="29"/>
      <c r="M721" s="29"/>
      <c r="N721" s="28"/>
      <c r="O721" s="30"/>
      <c r="P721" s="30"/>
      <c r="Q721" s="30"/>
      <c r="R721" s="30"/>
      <c r="S721" s="30"/>
      <c r="T721" s="30"/>
      <c r="U721" s="30"/>
      <c r="V721" s="29"/>
      <c r="W721" s="125"/>
      <c r="X721" s="149"/>
      <c r="Y721" s="149"/>
      <c r="Z721" s="150"/>
      <c r="AA721" s="150"/>
      <c r="AB721" s="151"/>
      <c r="AC721" s="150"/>
      <c r="AD721" s="150"/>
      <c r="AE721" s="150"/>
      <c r="AF721" s="150"/>
      <c r="AG721" s="150"/>
      <c r="AH721" s="150"/>
    </row>
    <row r="722" spans="5:34">
      <c r="E722" s="31"/>
      <c r="F722" s="32"/>
      <c r="G722" s="29"/>
      <c r="H722" s="25"/>
      <c r="I722" s="25"/>
      <c r="J722" s="25"/>
      <c r="K722" s="25"/>
      <c r="L722" s="29"/>
      <c r="M722" s="29"/>
      <c r="N722" s="28"/>
      <c r="O722" s="30"/>
      <c r="P722" s="30"/>
      <c r="Q722" s="30"/>
      <c r="R722" s="30"/>
      <c r="S722" s="30"/>
      <c r="T722" s="30"/>
      <c r="U722" s="30"/>
      <c r="V722" s="29"/>
      <c r="W722" s="125"/>
      <c r="X722" s="149"/>
      <c r="Y722" s="149"/>
      <c r="Z722" s="150"/>
      <c r="AA722" s="150"/>
      <c r="AB722" s="151"/>
      <c r="AC722" s="150"/>
      <c r="AD722" s="150"/>
      <c r="AE722" s="150"/>
      <c r="AF722" s="150"/>
      <c r="AG722" s="150"/>
      <c r="AH722" s="150"/>
    </row>
    <row r="723" spans="5:34">
      <c r="E723" s="31"/>
      <c r="F723" s="32"/>
      <c r="G723" s="29"/>
      <c r="H723" s="25"/>
      <c r="I723" s="25"/>
      <c r="J723" s="25"/>
      <c r="K723" s="25"/>
      <c r="L723" s="29"/>
      <c r="M723" s="29"/>
      <c r="N723" s="28"/>
      <c r="O723" s="30"/>
      <c r="P723" s="30"/>
      <c r="Q723" s="30"/>
      <c r="R723" s="30"/>
      <c r="S723" s="30"/>
      <c r="T723" s="30"/>
      <c r="U723" s="30"/>
      <c r="V723" s="29"/>
      <c r="W723" s="125"/>
      <c r="X723" s="149"/>
      <c r="Y723" s="149"/>
      <c r="Z723" s="150"/>
      <c r="AA723" s="150"/>
      <c r="AB723" s="151"/>
      <c r="AC723" s="150"/>
      <c r="AD723" s="150"/>
      <c r="AE723" s="150"/>
      <c r="AF723" s="150"/>
      <c r="AG723" s="150"/>
      <c r="AH723" s="150"/>
    </row>
    <row r="724" spans="5:34">
      <c r="E724" s="31"/>
      <c r="F724" s="32"/>
      <c r="G724" s="29"/>
      <c r="H724" s="25"/>
      <c r="I724" s="25"/>
      <c r="J724" s="25"/>
      <c r="K724" s="25"/>
      <c r="L724" s="29"/>
      <c r="M724" s="29"/>
      <c r="N724" s="28"/>
      <c r="O724" s="30"/>
      <c r="P724" s="30"/>
      <c r="Q724" s="30"/>
      <c r="R724" s="30"/>
      <c r="S724" s="30"/>
      <c r="T724" s="30"/>
      <c r="U724" s="30"/>
      <c r="V724" s="29"/>
      <c r="W724" s="125"/>
      <c r="X724" s="149"/>
      <c r="Y724" s="149"/>
      <c r="Z724" s="150"/>
      <c r="AA724" s="150"/>
      <c r="AB724" s="151"/>
      <c r="AC724" s="150"/>
      <c r="AD724" s="150"/>
      <c r="AE724" s="150"/>
      <c r="AF724" s="150"/>
      <c r="AG724" s="150"/>
      <c r="AH724" s="150"/>
    </row>
    <row r="725" spans="5:34">
      <c r="E725" s="31"/>
      <c r="F725" s="32"/>
      <c r="G725" s="29"/>
      <c r="H725" s="25"/>
      <c r="I725" s="25"/>
      <c r="J725" s="25"/>
      <c r="K725" s="25"/>
      <c r="L725" s="29"/>
      <c r="M725" s="29"/>
      <c r="N725" s="28"/>
      <c r="O725" s="30"/>
      <c r="P725" s="30"/>
      <c r="Q725" s="30"/>
      <c r="R725" s="30"/>
      <c r="S725" s="30"/>
      <c r="T725" s="30"/>
      <c r="U725" s="30"/>
      <c r="V725" s="29"/>
      <c r="W725" s="125"/>
      <c r="X725" s="149"/>
      <c r="Y725" s="149"/>
      <c r="Z725" s="150"/>
      <c r="AA725" s="150"/>
      <c r="AB725" s="151"/>
      <c r="AC725" s="150"/>
      <c r="AD725" s="150"/>
      <c r="AE725" s="150"/>
      <c r="AF725" s="150"/>
      <c r="AG725" s="150"/>
      <c r="AH725" s="150"/>
    </row>
    <row r="726" spans="5:34">
      <c r="E726" s="31"/>
      <c r="F726" s="32"/>
      <c r="G726" s="29"/>
      <c r="H726" s="25"/>
      <c r="I726" s="25"/>
      <c r="J726" s="25"/>
      <c r="K726" s="25"/>
      <c r="L726" s="29"/>
      <c r="M726" s="29"/>
      <c r="N726" s="28"/>
      <c r="O726" s="30"/>
      <c r="P726" s="30"/>
      <c r="Q726" s="30"/>
      <c r="R726" s="30"/>
      <c r="S726" s="30"/>
      <c r="T726" s="30"/>
      <c r="U726" s="30"/>
      <c r="V726" s="29"/>
      <c r="W726" s="125"/>
      <c r="X726" s="149"/>
      <c r="Y726" s="149"/>
      <c r="Z726" s="150"/>
      <c r="AA726" s="150"/>
      <c r="AB726" s="151"/>
      <c r="AC726" s="150"/>
      <c r="AD726" s="150"/>
      <c r="AE726" s="150"/>
      <c r="AF726" s="150"/>
      <c r="AG726" s="150"/>
      <c r="AH726" s="150"/>
    </row>
    <row r="727" spans="5:34">
      <c r="E727" s="31"/>
      <c r="F727" s="32"/>
      <c r="G727" s="29"/>
      <c r="H727" s="25"/>
      <c r="I727" s="25"/>
      <c r="J727" s="25"/>
      <c r="K727" s="25"/>
      <c r="L727" s="29"/>
      <c r="M727" s="29"/>
      <c r="N727" s="28"/>
      <c r="O727" s="30"/>
      <c r="P727" s="30"/>
      <c r="Q727" s="30"/>
      <c r="R727" s="30"/>
      <c r="S727" s="30"/>
      <c r="T727" s="30"/>
      <c r="U727" s="30"/>
      <c r="V727" s="29"/>
      <c r="W727" s="125"/>
      <c r="X727" s="149"/>
      <c r="Y727" s="149"/>
      <c r="Z727" s="150"/>
      <c r="AA727" s="150"/>
      <c r="AB727" s="151"/>
      <c r="AC727" s="150"/>
      <c r="AD727" s="150"/>
      <c r="AE727" s="150"/>
      <c r="AF727" s="150"/>
      <c r="AG727" s="150"/>
      <c r="AH727" s="150"/>
    </row>
    <row r="728" spans="5:34">
      <c r="E728" s="31"/>
      <c r="F728" s="32"/>
      <c r="G728" s="29"/>
      <c r="H728" s="25"/>
      <c r="I728" s="25"/>
      <c r="J728" s="25"/>
      <c r="K728" s="25"/>
      <c r="L728" s="29"/>
      <c r="M728" s="29"/>
      <c r="N728" s="28"/>
      <c r="O728" s="30"/>
      <c r="P728" s="30"/>
      <c r="Q728" s="30"/>
      <c r="R728" s="30"/>
      <c r="S728" s="30"/>
      <c r="T728" s="30"/>
      <c r="U728" s="30"/>
      <c r="V728" s="29"/>
      <c r="W728" s="125"/>
      <c r="X728" s="149"/>
      <c r="Y728" s="149"/>
      <c r="Z728" s="150"/>
      <c r="AA728" s="150"/>
      <c r="AB728" s="151"/>
      <c r="AC728" s="150"/>
      <c r="AD728" s="150"/>
      <c r="AE728" s="150"/>
      <c r="AF728" s="150"/>
      <c r="AG728" s="150"/>
      <c r="AH728" s="150"/>
    </row>
    <row r="729" spans="5:34">
      <c r="E729" s="31"/>
      <c r="F729" s="32"/>
      <c r="G729" s="29"/>
      <c r="H729" s="25"/>
      <c r="I729" s="25"/>
      <c r="J729" s="25"/>
      <c r="K729" s="25"/>
      <c r="L729" s="29"/>
      <c r="M729" s="29"/>
      <c r="N729" s="28"/>
      <c r="O729" s="30"/>
      <c r="P729" s="30"/>
      <c r="Q729" s="30"/>
      <c r="R729" s="30"/>
      <c r="S729" s="30"/>
      <c r="T729" s="30"/>
      <c r="U729" s="30"/>
      <c r="V729" s="29"/>
      <c r="W729" s="125"/>
      <c r="X729" s="149"/>
      <c r="Y729" s="149"/>
      <c r="Z729" s="150"/>
      <c r="AA729" s="150"/>
      <c r="AB729" s="151"/>
      <c r="AC729" s="150"/>
      <c r="AD729" s="150"/>
      <c r="AE729" s="150"/>
      <c r="AF729" s="150"/>
      <c r="AG729" s="150"/>
      <c r="AH729" s="150"/>
    </row>
    <row r="730" spans="5:34">
      <c r="E730" s="31"/>
      <c r="F730" s="32"/>
      <c r="G730" s="29"/>
      <c r="H730" s="25"/>
      <c r="I730" s="25"/>
      <c r="J730" s="25"/>
      <c r="K730" s="25"/>
      <c r="L730" s="29"/>
      <c r="M730" s="29"/>
      <c r="N730" s="28"/>
      <c r="O730" s="30"/>
      <c r="P730" s="30"/>
      <c r="Q730" s="30"/>
      <c r="R730" s="30"/>
      <c r="S730" s="30"/>
      <c r="T730" s="30"/>
      <c r="U730" s="30"/>
      <c r="V730" s="29"/>
      <c r="W730" s="125"/>
      <c r="X730" s="149"/>
      <c r="Y730" s="149"/>
      <c r="Z730" s="150"/>
      <c r="AA730" s="150"/>
      <c r="AB730" s="151"/>
      <c r="AC730" s="150"/>
      <c r="AD730" s="150"/>
      <c r="AE730" s="150"/>
      <c r="AF730" s="150"/>
      <c r="AG730" s="150"/>
      <c r="AH730" s="150"/>
    </row>
    <row r="731" spans="5:34">
      <c r="E731" s="31"/>
      <c r="F731" s="32"/>
      <c r="G731" s="29"/>
      <c r="H731" s="25"/>
      <c r="I731" s="25"/>
      <c r="J731" s="25"/>
      <c r="K731" s="25"/>
      <c r="L731" s="29"/>
      <c r="M731" s="29"/>
      <c r="N731" s="28"/>
      <c r="O731" s="30"/>
      <c r="P731" s="30"/>
      <c r="Q731" s="30"/>
      <c r="R731" s="30"/>
      <c r="S731" s="30"/>
      <c r="T731" s="30"/>
      <c r="U731" s="30"/>
      <c r="V731" s="29"/>
      <c r="W731" s="125"/>
      <c r="X731" s="149"/>
      <c r="Y731" s="149"/>
      <c r="Z731" s="150"/>
      <c r="AA731" s="150"/>
      <c r="AB731" s="151"/>
      <c r="AC731" s="150"/>
      <c r="AD731" s="150"/>
      <c r="AE731" s="150"/>
      <c r="AF731" s="150"/>
      <c r="AG731" s="150"/>
      <c r="AH731" s="150"/>
    </row>
    <row r="732" spans="5:34">
      <c r="E732" s="31"/>
      <c r="F732" s="32"/>
      <c r="G732" s="29"/>
      <c r="H732" s="25"/>
      <c r="I732" s="25"/>
      <c r="J732" s="25"/>
      <c r="K732" s="25"/>
      <c r="L732" s="29"/>
      <c r="M732" s="29"/>
      <c r="N732" s="28"/>
      <c r="O732" s="30"/>
      <c r="P732" s="30"/>
      <c r="Q732" s="30"/>
      <c r="R732" s="30"/>
      <c r="S732" s="30"/>
      <c r="T732" s="30"/>
      <c r="U732" s="30"/>
      <c r="V732" s="29"/>
      <c r="W732" s="125"/>
      <c r="X732" s="149"/>
      <c r="Y732" s="149"/>
      <c r="Z732" s="150"/>
      <c r="AA732" s="150"/>
      <c r="AB732" s="151"/>
      <c r="AC732" s="150"/>
      <c r="AD732" s="150"/>
      <c r="AE732" s="150"/>
      <c r="AF732" s="150"/>
      <c r="AG732" s="150"/>
      <c r="AH732" s="150"/>
    </row>
    <row r="733" spans="5:34">
      <c r="E733" s="31"/>
      <c r="F733" s="32"/>
      <c r="G733" s="29"/>
      <c r="H733" s="25"/>
      <c r="I733" s="25"/>
      <c r="J733" s="25"/>
      <c r="K733" s="25"/>
      <c r="L733" s="29"/>
      <c r="M733" s="29"/>
      <c r="N733" s="28"/>
      <c r="O733" s="30"/>
      <c r="P733" s="30"/>
      <c r="Q733" s="30"/>
      <c r="R733" s="30"/>
      <c r="S733" s="30"/>
      <c r="T733" s="30"/>
      <c r="U733" s="30"/>
      <c r="V733" s="29"/>
      <c r="W733" s="125"/>
      <c r="X733" s="149"/>
      <c r="Y733" s="149"/>
      <c r="Z733" s="150"/>
      <c r="AA733" s="150"/>
      <c r="AB733" s="151"/>
      <c r="AC733" s="150"/>
      <c r="AD733" s="150"/>
      <c r="AE733" s="150"/>
      <c r="AF733" s="150"/>
      <c r="AG733" s="150"/>
      <c r="AH733" s="150"/>
    </row>
    <row r="734" spans="5:34">
      <c r="E734" s="31"/>
      <c r="F734" s="32"/>
      <c r="G734" s="29"/>
      <c r="H734" s="25"/>
      <c r="I734" s="25"/>
      <c r="J734" s="25"/>
      <c r="K734" s="25"/>
      <c r="L734" s="29"/>
      <c r="M734" s="29"/>
      <c r="N734" s="28"/>
      <c r="O734" s="30"/>
      <c r="P734" s="30"/>
      <c r="Q734" s="30"/>
      <c r="R734" s="30"/>
      <c r="S734" s="30"/>
      <c r="T734" s="30"/>
      <c r="U734" s="30"/>
      <c r="V734" s="29"/>
      <c r="W734" s="125"/>
      <c r="X734" s="149"/>
      <c r="Y734" s="149"/>
      <c r="Z734" s="150"/>
      <c r="AA734" s="150"/>
      <c r="AB734" s="151"/>
      <c r="AC734" s="150"/>
      <c r="AD734" s="150"/>
      <c r="AE734" s="150"/>
      <c r="AF734" s="150"/>
      <c r="AG734" s="150"/>
      <c r="AH734" s="150"/>
    </row>
    <row r="735" spans="5:34">
      <c r="E735" s="31"/>
      <c r="F735" s="32"/>
      <c r="G735" s="29"/>
      <c r="H735" s="25"/>
      <c r="I735" s="25"/>
      <c r="J735" s="25"/>
      <c r="K735" s="25"/>
      <c r="L735" s="29"/>
      <c r="M735" s="29"/>
      <c r="N735" s="28"/>
      <c r="O735" s="30"/>
      <c r="P735" s="30"/>
      <c r="Q735" s="30"/>
      <c r="R735" s="30"/>
      <c r="S735" s="30"/>
      <c r="T735" s="30"/>
      <c r="U735" s="30"/>
      <c r="V735" s="29"/>
      <c r="W735" s="125"/>
      <c r="X735" s="149"/>
      <c r="Y735" s="149"/>
      <c r="Z735" s="150"/>
      <c r="AA735" s="150"/>
      <c r="AB735" s="151"/>
      <c r="AC735" s="150"/>
      <c r="AD735" s="150"/>
      <c r="AE735" s="150"/>
      <c r="AF735" s="150"/>
      <c r="AG735" s="150"/>
      <c r="AH735" s="150"/>
    </row>
    <row r="736" spans="5:34">
      <c r="E736" s="31"/>
      <c r="F736" s="32"/>
      <c r="G736" s="29"/>
      <c r="H736" s="25"/>
      <c r="I736" s="25"/>
      <c r="J736" s="25"/>
      <c r="K736" s="25"/>
      <c r="L736" s="29"/>
      <c r="M736" s="29"/>
      <c r="N736" s="28"/>
      <c r="O736" s="30"/>
      <c r="P736" s="30"/>
      <c r="Q736" s="30"/>
      <c r="R736" s="30"/>
      <c r="S736" s="30"/>
      <c r="T736" s="30"/>
      <c r="U736" s="30"/>
      <c r="V736" s="29"/>
      <c r="W736" s="125"/>
      <c r="X736" s="149"/>
      <c r="Y736" s="149"/>
      <c r="Z736" s="150"/>
      <c r="AA736" s="150"/>
      <c r="AB736" s="151"/>
      <c r="AC736" s="150"/>
      <c r="AD736" s="150"/>
      <c r="AE736" s="150"/>
      <c r="AF736" s="150"/>
      <c r="AG736" s="150"/>
      <c r="AH736" s="150"/>
    </row>
    <row r="737" spans="5:34">
      <c r="E737" s="31"/>
      <c r="F737" s="32"/>
      <c r="G737" s="29"/>
      <c r="H737" s="25"/>
      <c r="I737" s="25"/>
      <c r="J737" s="25"/>
      <c r="K737" s="25"/>
      <c r="L737" s="29"/>
      <c r="M737" s="29"/>
      <c r="N737" s="28"/>
      <c r="O737" s="30"/>
      <c r="P737" s="30"/>
      <c r="Q737" s="30"/>
      <c r="R737" s="30"/>
      <c r="S737" s="30"/>
      <c r="T737" s="30"/>
      <c r="U737" s="30"/>
      <c r="V737" s="29"/>
      <c r="W737" s="125"/>
      <c r="X737" s="149"/>
      <c r="Y737" s="149"/>
      <c r="Z737" s="150"/>
      <c r="AA737" s="150"/>
      <c r="AB737" s="151"/>
      <c r="AC737" s="150"/>
      <c r="AD737" s="150"/>
      <c r="AE737" s="150"/>
      <c r="AF737" s="150"/>
      <c r="AG737" s="150"/>
      <c r="AH737" s="150"/>
    </row>
    <row r="738" spans="5:34">
      <c r="E738" s="31"/>
      <c r="F738" s="32"/>
      <c r="G738" s="29"/>
      <c r="H738" s="25"/>
      <c r="I738" s="25"/>
      <c r="J738" s="25"/>
      <c r="K738" s="25"/>
      <c r="L738" s="29"/>
      <c r="M738" s="29"/>
      <c r="N738" s="28"/>
      <c r="O738" s="30"/>
      <c r="P738" s="30"/>
      <c r="Q738" s="30"/>
      <c r="R738" s="30"/>
      <c r="S738" s="30"/>
      <c r="T738" s="30"/>
      <c r="U738" s="30"/>
      <c r="V738" s="29"/>
      <c r="W738" s="125"/>
      <c r="X738" s="149"/>
      <c r="Y738" s="149"/>
      <c r="Z738" s="150"/>
      <c r="AA738" s="150"/>
      <c r="AB738" s="151"/>
      <c r="AC738" s="150"/>
      <c r="AD738" s="150"/>
      <c r="AE738" s="150"/>
      <c r="AF738" s="150"/>
      <c r="AG738" s="150"/>
      <c r="AH738" s="150"/>
    </row>
    <row r="739" spans="5:34">
      <c r="E739" s="31"/>
      <c r="F739" s="32"/>
      <c r="G739" s="29"/>
      <c r="H739" s="25"/>
      <c r="I739" s="25"/>
      <c r="J739" s="25"/>
      <c r="K739" s="25"/>
      <c r="L739" s="29"/>
      <c r="M739" s="29"/>
      <c r="N739" s="28"/>
      <c r="O739" s="30"/>
      <c r="P739" s="30"/>
      <c r="Q739" s="30"/>
      <c r="R739" s="30"/>
      <c r="S739" s="30"/>
      <c r="T739" s="30"/>
      <c r="U739" s="30"/>
      <c r="V739" s="29"/>
      <c r="W739" s="125"/>
      <c r="X739" s="149"/>
      <c r="Y739" s="149"/>
      <c r="Z739" s="150"/>
      <c r="AA739" s="150"/>
      <c r="AB739" s="151"/>
      <c r="AC739" s="150"/>
      <c r="AD739" s="150"/>
      <c r="AE739" s="150"/>
      <c r="AF739" s="150"/>
      <c r="AG739" s="150"/>
      <c r="AH739" s="150"/>
    </row>
    <row r="740" spans="5:34">
      <c r="E740" s="31"/>
      <c r="F740" s="32"/>
      <c r="G740" s="29"/>
      <c r="H740" s="25"/>
      <c r="I740" s="25"/>
      <c r="J740" s="25"/>
      <c r="K740" s="25"/>
      <c r="L740" s="29"/>
      <c r="M740" s="29"/>
      <c r="N740" s="28"/>
      <c r="O740" s="30"/>
      <c r="P740" s="30"/>
      <c r="Q740" s="30"/>
      <c r="R740" s="30"/>
      <c r="S740" s="30"/>
      <c r="T740" s="30"/>
      <c r="U740" s="30"/>
      <c r="V740" s="29"/>
      <c r="W740" s="125"/>
      <c r="X740" s="149"/>
      <c r="Y740" s="149"/>
      <c r="Z740" s="150"/>
      <c r="AA740" s="150"/>
      <c r="AB740" s="151"/>
      <c r="AC740" s="150"/>
      <c r="AD740" s="150"/>
      <c r="AE740" s="150"/>
      <c r="AF740" s="150"/>
      <c r="AG740" s="150"/>
      <c r="AH740" s="150"/>
    </row>
    <row r="741" spans="5:34">
      <c r="E741" s="31"/>
      <c r="F741" s="32"/>
      <c r="G741" s="29"/>
      <c r="H741" s="25"/>
      <c r="I741" s="25"/>
      <c r="J741" s="25"/>
      <c r="K741" s="25"/>
      <c r="L741" s="29"/>
      <c r="M741" s="29"/>
      <c r="N741" s="28"/>
      <c r="O741" s="30"/>
      <c r="P741" s="30"/>
      <c r="Q741" s="30"/>
      <c r="R741" s="30"/>
      <c r="S741" s="30"/>
      <c r="T741" s="30"/>
      <c r="U741" s="30"/>
      <c r="V741" s="29"/>
      <c r="W741" s="125"/>
      <c r="X741" s="149"/>
      <c r="Y741" s="149"/>
      <c r="Z741" s="150"/>
      <c r="AA741" s="150"/>
      <c r="AB741" s="151"/>
      <c r="AC741" s="150"/>
      <c r="AD741" s="150"/>
      <c r="AE741" s="150"/>
      <c r="AF741" s="150"/>
      <c r="AG741" s="150"/>
      <c r="AH741" s="150"/>
    </row>
    <row r="742" spans="5:34">
      <c r="E742" s="31"/>
      <c r="F742" s="32"/>
      <c r="G742" s="29"/>
      <c r="H742" s="25"/>
      <c r="I742" s="25"/>
      <c r="J742" s="25"/>
      <c r="K742" s="25"/>
      <c r="L742" s="29"/>
      <c r="M742" s="29"/>
      <c r="N742" s="28"/>
      <c r="O742" s="30"/>
      <c r="P742" s="30"/>
      <c r="Q742" s="30"/>
      <c r="R742" s="30"/>
      <c r="S742" s="30"/>
      <c r="T742" s="30"/>
      <c r="U742" s="30"/>
      <c r="V742" s="29"/>
      <c r="W742" s="125"/>
      <c r="X742" s="149"/>
      <c r="Y742" s="149"/>
      <c r="Z742" s="150"/>
      <c r="AA742" s="150"/>
      <c r="AB742" s="151"/>
      <c r="AC742" s="150"/>
      <c r="AD742" s="150"/>
      <c r="AE742" s="150"/>
      <c r="AF742" s="150"/>
      <c r="AG742" s="150"/>
      <c r="AH742" s="150"/>
    </row>
    <row r="743" spans="5:34">
      <c r="E743" s="31"/>
      <c r="F743" s="32"/>
      <c r="G743" s="29"/>
      <c r="H743" s="25"/>
      <c r="I743" s="25"/>
      <c r="J743" s="25"/>
      <c r="K743" s="25"/>
      <c r="L743" s="29"/>
      <c r="M743" s="29"/>
      <c r="N743" s="28"/>
      <c r="O743" s="30"/>
      <c r="P743" s="30"/>
      <c r="Q743" s="30"/>
      <c r="R743" s="30"/>
      <c r="S743" s="30"/>
      <c r="T743" s="30"/>
      <c r="U743" s="30"/>
      <c r="V743" s="29"/>
      <c r="W743" s="125"/>
      <c r="X743" s="149"/>
      <c r="Y743" s="149"/>
      <c r="Z743" s="150"/>
      <c r="AA743" s="150"/>
      <c r="AB743" s="151"/>
      <c r="AC743" s="150"/>
      <c r="AD743" s="150"/>
      <c r="AE743" s="150"/>
      <c r="AF743" s="150"/>
      <c r="AG743" s="150"/>
      <c r="AH743" s="150"/>
    </row>
    <row r="744" spans="5:34">
      <c r="E744" s="31"/>
      <c r="F744" s="32"/>
      <c r="G744" s="29"/>
      <c r="H744" s="25"/>
      <c r="I744" s="25"/>
      <c r="J744" s="25"/>
      <c r="K744" s="25"/>
      <c r="L744" s="29"/>
      <c r="M744" s="29"/>
      <c r="N744" s="28"/>
      <c r="O744" s="30"/>
      <c r="P744" s="30"/>
      <c r="Q744" s="30"/>
      <c r="R744" s="30"/>
      <c r="S744" s="30"/>
      <c r="T744" s="30"/>
      <c r="U744" s="30"/>
      <c r="V744" s="29"/>
      <c r="W744" s="125"/>
      <c r="X744" s="149"/>
      <c r="Y744" s="149"/>
      <c r="Z744" s="150"/>
      <c r="AA744" s="150"/>
      <c r="AB744" s="151"/>
      <c r="AC744" s="150"/>
      <c r="AD744" s="150"/>
      <c r="AE744" s="150"/>
      <c r="AF744" s="150"/>
      <c r="AG744" s="150"/>
      <c r="AH744" s="150"/>
    </row>
    <row r="745" spans="5:34">
      <c r="E745" s="31"/>
      <c r="F745" s="32"/>
      <c r="G745" s="29"/>
      <c r="H745" s="25"/>
      <c r="I745" s="25"/>
      <c r="J745" s="25"/>
      <c r="K745" s="25"/>
      <c r="L745" s="29"/>
      <c r="M745" s="29"/>
      <c r="N745" s="28"/>
      <c r="O745" s="30"/>
      <c r="P745" s="30"/>
      <c r="Q745" s="30"/>
      <c r="R745" s="30"/>
      <c r="S745" s="30"/>
      <c r="T745" s="30"/>
      <c r="U745" s="30"/>
      <c r="V745" s="29"/>
      <c r="W745" s="125"/>
      <c r="X745" s="149"/>
      <c r="Y745" s="149"/>
      <c r="Z745" s="150"/>
      <c r="AA745" s="150"/>
      <c r="AB745" s="151"/>
      <c r="AC745" s="150"/>
      <c r="AD745" s="150"/>
      <c r="AE745" s="150"/>
      <c r="AF745" s="150"/>
      <c r="AG745" s="150"/>
      <c r="AH745" s="150"/>
    </row>
    <row r="746" spans="5:34">
      <c r="E746" s="31"/>
      <c r="F746" s="32"/>
      <c r="G746" s="29"/>
      <c r="H746" s="25"/>
      <c r="I746" s="25"/>
      <c r="J746" s="25"/>
      <c r="K746" s="25"/>
      <c r="L746" s="29"/>
      <c r="M746" s="29"/>
      <c r="N746" s="28"/>
      <c r="O746" s="30"/>
      <c r="P746" s="30"/>
      <c r="Q746" s="30"/>
      <c r="R746" s="30"/>
      <c r="S746" s="30"/>
      <c r="T746" s="30"/>
      <c r="U746" s="30"/>
      <c r="V746" s="29"/>
      <c r="W746" s="125"/>
      <c r="X746" s="149"/>
      <c r="Y746" s="149"/>
      <c r="Z746" s="150"/>
      <c r="AA746" s="150"/>
      <c r="AB746" s="151"/>
      <c r="AC746" s="150"/>
      <c r="AD746" s="150"/>
      <c r="AE746" s="150"/>
      <c r="AF746" s="150"/>
      <c r="AG746" s="150"/>
      <c r="AH746" s="150"/>
    </row>
    <row r="747" spans="5:34">
      <c r="E747" s="31"/>
      <c r="F747" s="32"/>
      <c r="G747" s="29"/>
      <c r="H747" s="25"/>
      <c r="I747" s="25"/>
      <c r="J747" s="25"/>
      <c r="K747" s="25"/>
      <c r="L747" s="29"/>
      <c r="M747" s="29"/>
      <c r="N747" s="28"/>
      <c r="O747" s="30"/>
      <c r="P747" s="30"/>
      <c r="Q747" s="30"/>
      <c r="R747" s="30"/>
      <c r="S747" s="30"/>
      <c r="T747" s="30"/>
      <c r="U747" s="30"/>
      <c r="V747" s="29"/>
      <c r="W747" s="125"/>
      <c r="X747" s="149"/>
      <c r="Y747" s="149"/>
      <c r="Z747" s="150"/>
      <c r="AA747" s="150"/>
      <c r="AB747" s="151"/>
      <c r="AC747" s="150"/>
      <c r="AD747" s="150"/>
      <c r="AE747" s="150"/>
      <c r="AF747" s="150"/>
      <c r="AG747" s="150"/>
      <c r="AH747" s="150"/>
    </row>
    <row r="748" spans="5:34">
      <c r="E748" s="31"/>
      <c r="F748" s="32"/>
      <c r="G748" s="29"/>
      <c r="H748" s="25"/>
      <c r="I748" s="25"/>
      <c r="J748" s="25"/>
      <c r="K748" s="25"/>
      <c r="L748" s="29"/>
      <c r="M748" s="29"/>
      <c r="N748" s="28"/>
      <c r="O748" s="30"/>
      <c r="P748" s="30"/>
      <c r="Q748" s="30"/>
      <c r="R748" s="30"/>
      <c r="S748" s="30"/>
      <c r="T748" s="30"/>
      <c r="U748" s="30"/>
      <c r="V748" s="29"/>
      <c r="W748" s="125"/>
      <c r="X748" s="149"/>
      <c r="Y748" s="149"/>
      <c r="Z748" s="150"/>
      <c r="AA748" s="150"/>
      <c r="AB748" s="151"/>
      <c r="AC748" s="150"/>
      <c r="AD748" s="150"/>
      <c r="AE748" s="150"/>
      <c r="AF748" s="150"/>
      <c r="AG748" s="150"/>
      <c r="AH748" s="150"/>
    </row>
    <row r="749" spans="5:34">
      <c r="E749" s="31"/>
      <c r="F749" s="32"/>
      <c r="G749" s="29"/>
      <c r="H749" s="25"/>
      <c r="I749" s="25"/>
      <c r="J749" s="25"/>
      <c r="K749" s="25"/>
      <c r="L749" s="29"/>
      <c r="M749" s="29"/>
      <c r="N749" s="28"/>
      <c r="O749" s="30"/>
      <c r="P749" s="30"/>
      <c r="Q749" s="30"/>
      <c r="R749" s="30"/>
      <c r="S749" s="30"/>
      <c r="T749" s="30"/>
      <c r="U749" s="30"/>
      <c r="V749" s="29"/>
      <c r="W749" s="125"/>
      <c r="X749" s="149"/>
      <c r="Y749" s="149"/>
      <c r="Z749" s="150"/>
      <c r="AA749" s="150"/>
      <c r="AB749" s="151"/>
      <c r="AC749" s="150"/>
      <c r="AD749" s="150"/>
      <c r="AE749" s="150"/>
      <c r="AF749" s="150"/>
      <c r="AG749" s="150"/>
      <c r="AH749" s="150"/>
    </row>
    <row r="750" spans="5:34">
      <c r="E750" s="31"/>
      <c r="F750" s="32"/>
      <c r="G750" s="29"/>
      <c r="H750" s="25"/>
      <c r="I750" s="25"/>
      <c r="J750" s="25"/>
      <c r="K750" s="25"/>
      <c r="L750" s="29"/>
      <c r="M750" s="29"/>
      <c r="N750" s="28"/>
      <c r="O750" s="30"/>
      <c r="P750" s="30"/>
      <c r="Q750" s="30"/>
      <c r="R750" s="30"/>
      <c r="S750" s="30"/>
      <c r="T750" s="30"/>
      <c r="U750" s="30"/>
      <c r="V750" s="29"/>
      <c r="W750" s="125"/>
      <c r="X750" s="149"/>
      <c r="Y750" s="149"/>
      <c r="Z750" s="150"/>
      <c r="AA750" s="150"/>
      <c r="AB750" s="151"/>
      <c r="AC750" s="150"/>
      <c r="AD750" s="150"/>
      <c r="AE750" s="150"/>
      <c r="AF750" s="150"/>
      <c r="AG750" s="150"/>
      <c r="AH750" s="150"/>
    </row>
    <row r="751" spans="5:34">
      <c r="E751" s="31"/>
      <c r="F751" s="32"/>
      <c r="G751" s="29"/>
      <c r="H751" s="25"/>
      <c r="I751" s="25"/>
      <c r="J751" s="25"/>
      <c r="K751" s="25"/>
      <c r="L751" s="29"/>
      <c r="M751" s="29"/>
      <c r="N751" s="28"/>
      <c r="O751" s="30"/>
      <c r="P751" s="30"/>
      <c r="Q751" s="30"/>
      <c r="R751" s="30"/>
      <c r="S751" s="30"/>
      <c r="T751" s="30"/>
      <c r="U751" s="30"/>
      <c r="V751" s="29"/>
      <c r="W751" s="125"/>
      <c r="X751" s="149"/>
      <c r="Y751" s="149"/>
      <c r="Z751" s="150"/>
      <c r="AA751" s="150"/>
      <c r="AB751" s="151"/>
      <c r="AC751" s="150"/>
      <c r="AD751" s="150"/>
      <c r="AE751" s="150"/>
      <c r="AF751" s="150"/>
      <c r="AG751" s="150"/>
      <c r="AH751" s="150"/>
    </row>
    <row r="752" spans="5:34">
      <c r="E752" s="31"/>
      <c r="F752" s="32"/>
      <c r="G752" s="29"/>
      <c r="H752" s="25"/>
      <c r="I752" s="25"/>
      <c r="J752" s="25"/>
      <c r="K752" s="25"/>
      <c r="L752" s="29"/>
      <c r="M752" s="29"/>
      <c r="N752" s="28"/>
      <c r="O752" s="30"/>
      <c r="P752" s="30"/>
      <c r="Q752" s="30"/>
      <c r="R752" s="30"/>
      <c r="S752" s="30"/>
      <c r="T752" s="30"/>
      <c r="U752" s="30"/>
      <c r="V752" s="29"/>
      <c r="W752" s="125"/>
      <c r="X752" s="149"/>
      <c r="Y752" s="149"/>
      <c r="Z752" s="150"/>
      <c r="AA752" s="150"/>
      <c r="AB752" s="151"/>
      <c r="AC752" s="150"/>
      <c r="AD752" s="150"/>
      <c r="AE752" s="150"/>
      <c r="AF752" s="150"/>
      <c r="AG752" s="150"/>
      <c r="AH752" s="150"/>
    </row>
    <row r="753" spans="5:34">
      <c r="E753" s="31"/>
      <c r="F753" s="32"/>
      <c r="G753" s="29"/>
      <c r="H753" s="25"/>
      <c r="I753" s="25"/>
      <c r="J753" s="25"/>
      <c r="K753" s="25"/>
      <c r="L753" s="29"/>
      <c r="M753" s="29"/>
      <c r="N753" s="28"/>
      <c r="O753" s="30"/>
      <c r="P753" s="30"/>
      <c r="Q753" s="30"/>
      <c r="R753" s="30"/>
      <c r="S753" s="30"/>
      <c r="T753" s="30"/>
      <c r="U753" s="30"/>
      <c r="V753" s="29"/>
      <c r="W753" s="125"/>
      <c r="X753" s="149"/>
      <c r="Y753" s="149"/>
      <c r="Z753" s="150"/>
      <c r="AA753" s="150"/>
      <c r="AB753" s="151"/>
      <c r="AC753" s="150"/>
      <c r="AD753" s="150"/>
      <c r="AE753" s="150"/>
      <c r="AF753" s="150"/>
      <c r="AG753" s="150"/>
      <c r="AH753" s="150"/>
    </row>
    <row r="754" spans="5:34">
      <c r="E754" s="31"/>
      <c r="F754" s="32"/>
      <c r="G754" s="29"/>
      <c r="H754" s="25"/>
      <c r="I754" s="25"/>
      <c r="J754" s="25"/>
      <c r="K754" s="25"/>
      <c r="L754" s="29"/>
      <c r="M754" s="29"/>
      <c r="N754" s="28"/>
      <c r="O754" s="30"/>
      <c r="P754" s="30"/>
      <c r="Q754" s="30"/>
      <c r="R754" s="30"/>
      <c r="S754" s="30"/>
      <c r="T754" s="30"/>
      <c r="U754" s="30"/>
      <c r="V754" s="29"/>
      <c r="W754" s="125"/>
      <c r="X754" s="149"/>
      <c r="Y754" s="149"/>
      <c r="Z754" s="150"/>
      <c r="AA754" s="150"/>
      <c r="AB754" s="151"/>
      <c r="AC754" s="150"/>
      <c r="AD754" s="150"/>
      <c r="AE754" s="150"/>
      <c r="AF754" s="150"/>
      <c r="AG754" s="150"/>
      <c r="AH754" s="150"/>
    </row>
    <row r="755" spans="5:34">
      <c r="E755" s="31"/>
      <c r="F755" s="32"/>
      <c r="G755" s="29"/>
      <c r="H755" s="25"/>
      <c r="I755" s="25"/>
      <c r="J755" s="25"/>
      <c r="K755" s="25"/>
      <c r="L755" s="29"/>
      <c r="M755" s="29"/>
      <c r="N755" s="28"/>
      <c r="O755" s="30"/>
      <c r="P755" s="30"/>
      <c r="Q755" s="30"/>
      <c r="R755" s="30"/>
      <c r="S755" s="30"/>
      <c r="T755" s="30"/>
      <c r="U755" s="30"/>
      <c r="V755" s="29"/>
      <c r="W755" s="125"/>
      <c r="X755" s="149"/>
      <c r="Y755" s="149"/>
      <c r="Z755" s="150"/>
      <c r="AA755" s="150"/>
      <c r="AB755" s="151"/>
      <c r="AC755" s="150"/>
      <c r="AD755" s="150"/>
      <c r="AE755" s="150"/>
      <c r="AF755" s="150"/>
      <c r="AG755" s="150"/>
      <c r="AH755" s="150"/>
    </row>
    <row r="756" spans="5:34">
      <c r="E756" s="31"/>
      <c r="F756" s="32"/>
      <c r="G756" s="29"/>
      <c r="H756" s="25"/>
      <c r="I756" s="25"/>
      <c r="J756" s="25"/>
      <c r="K756" s="25"/>
      <c r="L756" s="29"/>
      <c r="M756" s="29"/>
      <c r="N756" s="28"/>
      <c r="O756" s="30"/>
      <c r="P756" s="30"/>
      <c r="Q756" s="30"/>
      <c r="R756" s="30"/>
      <c r="S756" s="30"/>
      <c r="T756" s="30"/>
      <c r="U756" s="30"/>
      <c r="V756" s="29"/>
      <c r="W756" s="125"/>
      <c r="X756" s="149"/>
      <c r="Y756" s="149"/>
      <c r="Z756" s="150"/>
      <c r="AA756" s="150"/>
      <c r="AB756" s="151"/>
      <c r="AC756" s="150"/>
      <c r="AD756" s="150"/>
      <c r="AE756" s="150"/>
      <c r="AF756" s="150"/>
      <c r="AG756" s="150"/>
      <c r="AH756" s="150"/>
    </row>
    <row r="757" spans="5:34">
      <c r="E757" s="31"/>
      <c r="F757" s="32"/>
      <c r="G757" s="29"/>
      <c r="H757" s="25"/>
      <c r="I757" s="25"/>
      <c r="J757" s="25"/>
      <c r="K757" s="25"/>
      <c r="L757" s="29"/>
      <c r="M757" s="29"/>
      <c r="N757" s="28"/>
      <c r="O757" s="30"/>
      <c r="P757" s="30"/>
      <c r="Q757" s="30"/>
      <c r="R757" s="30"/>
      <c r="S757" s="30"/>
      <c r="T757" s="30"/>
      <c r="U757" s="30"/>
      <c r="V757" s="29"/>
      <c r="W757" s="125"/>
      <c r="X757" s="149"/>
      <c r="Y757" s="149"/>
      <c r="Z757" s="150"/>
      <c r="AA757" s="150"/>
      <c r="AB757" s="151"/>
      <c r="AC757" s="150"/>
      <c r="AD757" s="150"/>
      <c r="AE757" s="150"/>
      <c r="AF757" s="150"/>
      <c r="AG757" s="150"/>
      <c r="AH757" s="150"/>
    </row>
    <row r="758" spans="5:34">
      <c r="E758" s="31"/>
      <c r="F758" s="32"/>
      <c r="G758" s="29"/>
      <c r="H758" s="25"/>
      <c r="I758" s="25"/>
      <c r="J758" s="25"/>
      <c r="K758" s="25"/>
      <c r="L758" s="29"/>
      <c r="M758" s="29"/>
      <c r="N758" s="28"/>
      <c r="O758" s="30"/>
      <c r="P758" s="30"/>
      <c r="Q758" s="30"/>
      <c r="R758" s="30"/>
      <c r="S758" s="30"/>
      <c r="T758" s="30"/>
      <c r="U758" s="30"/>
      <c r="V758" s="29"/>
      <c r="W758" s="125"/>
      <c r="X758" s="149"/>
      <c r="Y758" s="149"/>
      <c r="Z758" s="150"/>
      <c r="AA758" s="150"/>
      <c r="AB758" s="151"/>
      <c r="AC758" s="150"/>
      <c r="AD758" s="150"/>
      <c r="AE758" s="150"/>
      <c r="AF758" s="150"/>
      <c r="AG758" s="150"/>
      <c r="AH758" s="150"/>
    </row>
    <row r="759" spans="5:34">
      <c r="E759" s="31"/>
      <c r="F759" s="32"/>
      <c r="G759" s="29"/>
      <c r="H759" s="25"/>
      <c r="I759" s="25"/>
      <c r="J759" s="25"/>
      <c r="K759" s="25"/>
      <c r="L759" s="29"/>
      <c r="M759" s="29"/>
      <c r="N759" s="28"/>
      <c r="O759" s="30"/>
      <c r="P759" s="30"/>
      <c r="Q759" s="30"/>
      <c r="R759" s="30"/>
      <c r="S759" s="30"/>
      <c r="T759" s="30"/>
      <c r="U759" s="30"/>
      <c r="V759" s="29"/>
      <c r="W759" s="125"/>
      <c r="X759" s="149"/>
      <c r="Y759" s="149"/>
      <c r="Z759" s="150"/>
      <c r="AA759" s="150"/>
      <c r="AB759" s="151"/>
      <c r="AC759" s="150"/>
      <c r="AD759" s="150"/>
      <c r="AE759" s="150"/>
      <c r="AF759" s="150"/>
      <c r="AG759" s="150"/>
      <c r="AH759" s="150"/>
    </row>
    <row r="760" spans="5:34">
      <c r="E760" s="31"/>
      <c r="F760" s="32"/>
      <c r="G760" s="29"/>
      <c r="H760" s="25"/>
      <c r="I760" s="25"/>
      <c r="J760" s="25"/>
      <c r="K760" s="25"/>
      <c r="L760" s="29"/>
      <c r="M760" s="29"/>
      <c r="N760" s="28"/>
      <c r="O760" s="30"/>
      <c r="P760" s="30"/>
      <c r="Q760" s="30"/>
      <c r="R760" s="30"/>
      <c r="S760" s="30"/>
      <c r="T760" s="30"/>
      <c r="U760" s="30"/>
      <c r="V760" s="29"/>
      <c r="W760" s="125"/>
      <c r="X760" s="149"/>
      <c r="Y760" s="149"/>
      <c r="Z760" s="150"/>
      <c r="AA760" s="150"/>
      <c r="AB760" s="151"/>
      <c r="AC760" s="150"/>
      <c r="AD760" s="150"/>
      <c r="AE760" s="150"/>
      <c r="AF760" s="150"/>
      <c r="AG760" s="150"/>
      <c r="AH760" s="150"/>
    </row>
    <row r="761" spans="5:34">
      <c r="E761" s="31"/>
      <c r="F761" s="32"/>
      <c r="G761" s="29"/>
      <c r="H761" s="25"/>
      <c r="I761" s="25"/>
      <c r="J761" s="25"/>
      <c r="K761" s="25"/>
      <c r="L761" s="29"/>
      <c r="M761" s="29"/>
      <c r="N761" s="28"/>
      <c r="O761" s="30"/>
      <c r="P761" s="30"/>
      <c r="Q761" s="30"/>
      <c r="R761" s="30"/>
      <c r="S761" s="30"/>
      <c r="T761" s="30"/>
      <c r="U761" s="30"/>
      <c r="V761" s="29"/>
      <c r="W761" s="125"/>
      <c r="X761" s="149"/>
      <c r="Y761" s="149"/>
      <c r="Z761" s="150"/>
      <c r="AA761" s="150"/>
      <c r="AB761" s="151"/>
      <c r="AC761" s="150"/>
      <c r="AD761" s="150"/>
      <c r="AE761" s="150"/>
      <c r="AF761" s="150"/>
      <c r="AG761" s="150"/>
      <c r="AH761" s="150"/>
    </row>
    <row r="762" spans="5:34">
      <c r="E762" s="31"/>
      <c r="F762" s="32"/>
      <c r="G762" s="29"/>
      <c r="H762" s="25"/>
      <c r="I762" s="25"/>
      <c r="J762" s="25"/>
      <c r="K762" s="25"/>
      <c r="L762" s="29"/>
      <c r="M762" s="29"/>
      <c r="N762" s="28"/>
      <c r="O762" s="30"/>
      <c r="P762" s="30"/>
      <c r="Q762" s="30"/>
      <c r="R762" s="30"/>
      <c r="S762" s="30"/>
      <c r="T762" s="30"/>
      <c r="U762" s="30"/>
      <c r="V762" s="29"/>
      <c r="W762" s="125"/>
      <c r="X762" s="149"/>
      <c r="Y762" s="149"/>
      <c r="Z762" s="150"/>
      <c r="AA762" s="150"/>
      <c r="AB762" s="151"/>
      <c r="AC762" s="150"/>
      <c r="AD762" s="150"/>
      <c r="AE762" s="150"/>
      <c r="AF762" s="150"/>
      <c r="AG762" s="150"/>
      <c r="AH762" s="150"/>
    </row>
    <row r="763" spans="5:34">
      <c r="E763" s="31"/>
      <c r="F763" s="32"/>
      <c r="G763" s="29"/>
      <c r="H763" s="25"/>
      <c r="I763" s="25"/>
      <c r="J763" s="25"/>
      <c r="K763" s="25"/>
      <c r="L763" s="29"/>
      <c r="M763" s="29"/>
      <c r="N763" s="28"/>
      <c r="O763" s="30"/>
      <c r="P763" s="30"/>
      <c r="Q763" s="30"/>
      <c r="R763" s="30"/>
      <c r="S763" s="30"/>
      <c r="T763" s="30"/>
      <c r="U763" s="30"/>
      <c r="V763" s="29"/>
      <c r="W763" s="125"/>
      <c r="X763" s="149"/>
      <c r="Y763" s="149"/>
      <c r="Z763" s="150"/>
      <c r="AA763" s="150"/>
      <c r="AB763" s="151"/>
      <c r="AC763" s="150"/>
      <c r="AD763" s="150"/>
      <c r="AE763" s="150"/>
      <c r="AF763" s="150"/>
      <c r="AG763" s="150"/>
      <c r="AH763" s="150"/>
    </row>
    <row r="764" spans="5:34">
      <c r="E764" s="31"/>
      <c r="F764" s="32"/>
      <c r="G764" s="29"/>
      <c r="H764" s="25"/>
      <c r="I764" s="25"/>
      <c r="J764" s="25"/>
      <c r="K764" s="25"/>
      <c r="L764" s="29"/>
      <c r="M764" s="29"/>
      <c r="N764" s="28"/>
      <c r="O764" s="30"/>
      <c r="P764" s="30"/>
      <c r="Q764" s="30"/>
      <c r="R764" s="30"/>
      <c r="S764" s="30"/>
      <c r="T764" s="30"/>
      <c r="U764" s="30"/>
      <c r="V764" s="29"/>
      <c r="W764" s="125"/>
      <c r="X764" s="149"/>
      <c r="Y764" s="149"/>
      <c r="Z764" s="150"/>
      <c r="AA764" s="150"/>
      <c r="AB764" s="151"/>
      <c r="AC764" s="150"/>
      <c r="AD764" s="150"/>
      <c r="AE764" s="150"/>
      <c r="AF764" s="150"/>
      <c r="AG764" s="150"/>
      <c r="AH764" s="150"/>
    </row>
    <row r="765" spans="5:34">
      <c r="E765" s="31"/>
      <c r="F765" s="32"/>
      <c r="G765" s="29"/>
      <c r="H765" s="25"/>
      <c r="I765" s="25"/>
      <c r="J765" s="25"/>
      <c r="K765" s="25"/>
      <c r="L765" s="29"/>
      <c r="M765" s="29"/>
      <c r="N765" s="28"/>
      <c r="O765" s="30"/>
      <c r="P765" s="30"/>
      <c r="Q765" s="30"/>
      <c r="R765" s="30"/>
      <c r="S765" s="30"/>
      <c r="T765" s="30"/>
      <c r="U765" s="30"/>
      <c r="V765" s="29"/>
      <c r="W765" s="125"/>
      <c r="X765" s="149"/>
      <c r="Y765" s="149"/>
      <c r="Z765" s="150"/>
      <c r="AA765" s="150"/>
      <c r="AB765" s="151"/>
      <c r="AC765" s="150"/>
      <c r="AD765" s="150"/>
      <c r="AE765" s="150"/>
      <c r="AF765" s="150"/>
      <c r="AG765" s="150"/>
      <c r="AH765" s="150"/>
    </row>
    <row r="766" spans="5:34">
      <c r="E766" s="31"/>
      <c r="F766" s="32"/>
      <c r="G766" s="29"/>
      <c r="H766" s="25"/>
      <c r="I766" s="25"/>
      <c r="J766" s="25"/>
      <c r="K766" s="25"/>
      <c r="L766" s="29"/>
      <c r="M766" s="29"/>
      <c r="N766" s="28"/>
      <c r="O766" s="30"/>
      <c r="P766" s="30"/>
      <c r="Q766" s="30"/>
      <c r="R766" s="30"/>
      <c r="S766" s="30"/>
      <c r="T766" s="30"/>
      <c r="U766" s="30"/>
      <c r="V766" s="29"/>
      <c r="W766" s="125"/>
      <c r="X766" s="149"/>
      <c r="Y766" s="149"/>
      <c r="Z766" s="150"/>
      <c r="AA766" s="150"/>
      <c r="AB766" s="151"/>
      <c r="AC766" s="150"/>
      <c r="AD766" s="150"/>
      <c r="AE766" s="150"/>
      <c r="AF766" s="150"/>
      <c r="AG766" s="150"/>
      <c r="AH766" s="150"/>
    </row>
    <row r="767" spans="5:34">
      <c r="E767" s="31"/>
      <c r="F767" s="32"/>
      <c r="G767" s="29"/>
      <c r="H767" s="25"/>
      <c r="I767" s="25"/>
      <c r="J767" s="25"/>
      <c r="K767" s="25"/>
      <c r="L767" s="29"/>
      <c r="M767" s="29"/>
      <c r="N767" s="28"/>
      <c r="O767" s="30"/>
      <c r="P767" s="30"/>
      <c r="Q767" s="30"/>
      <c r="R767" s="30"/>
      <c r="S767" s="30"/>
      <c r="T767" s="30"/>
      <c r="U767" s="30"/>
      <c r="V767" s="29"/>
      <c r="W767" s="125"/>
      <c r="X767" s="149"/>
      <c r="Y767" s="149"/>
      <c r="Z767" s="150"/>
      <c r="AA767" s="150"/>
      <c r="AB767" s="151"/>
      <c r="AC767" s="150"/>
      <c r="AD767" s="150"/>
      <c r="AE767" s="150"/>
      <c r="AF767" s="150"/>
      <c r="AG767" s="150"/>
      <c r="AH767" s="150"/>
    </row>
    <row r="768" spans="5:34">
      <c r="E768" s="31"/>
      <c r="F768" s="32"/>
      <c r="G768" s="29"/>
      <c r="H768" s="25"/>
      <c r="I768" s="25"/>
      <c r="J768" s="25"/>
      <c r="K768" s="25"/>
      <c r="L768" s="29"/>
      <c r="M768" s="29"/>
      <c r="N768" s="28"/>
      <c r="O768" s="30"/>
      <c r="P768" s="30"/>
      <c r="Q768" s="30"/>
      <c r="R768" s="30"/>
      <c r="S768" s="30"/>
      <c r="T768" s="30"/>
      <c r="U768" s="30"/>
      <c r="V768" s="29"/>
      <c r="W768" s="125"/>
      <c r="X768" s="149"/>
      <c r="Y768" s="149"/>
      <c r="Z768" s="150"/>
      <c r="AA768" s="150"/>
      <c r="AB768" s="151"/>
      <c r="AC768" s="150"/>
      <c r="AD768" s="150"/>
      <c r="AE768" s="150"/>
      <c r="AF768" s="150"/>
      <c r="AG768" s="150"/>
      <c r="AH768" s="150"/>
    </row>
    <row r="769" spans="5:34">
      <c r="E769" s="31"/>
      <c r="F769" s="32"/>
      <c r="G769" s="29"/>
      <c r="H769" s="25"/>
      <c r="I769" s="25"/>
      <c r="J769" s="25"/>
      <c r="K769" s="25"/>
      <c r="L769" s="29"/>
      <c r="M769" s="29"/>
      <c r="N769" s="28"/>
      <c r="O769" s="30"/>
      <c r="P769" s="30"/>
      <c r="Q769" s="30"/>
      <c r="R769" s="30"/>
      <c r="S769" s="30"/>
      <c r="T769" s="30"/>
      <c r="U769" s="30"/>
      <c r="V769" s="29"/>
      <c r="W769" s="125"/>
      <c r="X769" s="149"/>
      <c r="Y769" s="149"/>
      <c r="Z769" s="150"/>
      <c r="AA769" s="150"/>
      <c r="AB769" s="151"/>
      <c r="AC769" s="150"/>
      <c r="AD769" s="150"/>
      <c r="AE769" s="150"/>
      <c r="AF769" s="150"/>
      <c r="AG769" s="150"/>
      <c r="AH769" s="150"/>
    </row>
    <row r="770" spans="5:34">
      <c r="E770" s="31"/>
      <c r="F770" s="32"/>
      <c r="G770" s="29"/>
      <c r="H770" s="25"/>
      <c r="I770" s="25"/>
      <c r="J770" s="25"/>
      <c r="K770" s="25"/>
      <c r="L770" s="29"/>
      <c r="M770" s="29"/>
      <c r="N770" s="28"/>
      <c r="O770" s="30"/>
      <c r="P770" s="30"/>
      <c r="Q770" s="30"/>
      <c r="R770" s="30"/>
      <c r="S770" s="30"/>
      <c r="T770" s="30"/>
      <c r="U770" s="30"/>
      <c r="V770" s="29"/>
      <c r="W770" s="125"/>
      <c r="X770" s="149"/>
      <c r="Y770" s="149"/>
      <c r="Z770" s="150"/>
      <c r="AA770" s="150"/>
      <c r="AB770" s="151"/>
      <c r="AC770" s="150"/>
      <c r="AD770" s="150"/>
      <c r="AE770" s="150"/>
      <c r="AF770" s="150"/>
      <c r="AG770" s="150"/>
      <c r="AH770" s="150"/>
    </row>
    <row r="771" spans="5:34">
      <c r="E771" s="31"/>
      <c r="F771" s="32"/>
      <c r="G771" s="29"/>
      <c r="H771" s="25"/>
      <c r="I771" s="25"/>
      <c r="J771" s="25"/>
      <c r="K771" s="25"/>
      <c r="L771" s="29"/>
      <c r="M771" s="29"/>
      <c r="N771" s="28"/>
      <c r="O771" s="30"/>
      <c r="P771" s="30"/>
      <c r="Q771" s="30"/>
      <c r="R771" s="30"/>
      <c r="S771" s="30"/>
      <c r="T771" s="30"/>
      <c r="U771" s="30"/>
      <c r="V771" s="29"/>
      <c r="W771" s="125"/>
      <c r="X771" s="149"/>
      <c r="Y771" s="149"/>
      <c r="Z771" s="150"/>
      <c r="AA771" s="150"/>
      <c r="AB771" s="151"/>
      <c r="AC771" s="150"/>
      <c r="AD771" s="150"/>
      <c r="AE771" s="150"/>
      <c r="AF771" s="150"/>
      <c r="AG771" s="150"/>
      <c r="AH771" s="150"/>
    </row>
    <row r="772" spans="5:34">
      <c r="E772" s="31"/>
      <c r="F772" s="32"/>
      <c r="G772" s="29"/>
      <c r="H772" s="25"/>
      <c r="I772" s="25"/>
      <c r="J772" s="25"/>
      <c r="K772" s="25"/>
      <c r="L772" s="29"/>
      <c r="M772" s="29"/>
      <c r="N772" s="28"/>
      <c r="O772" s="30"/>
      <c r="P772" s="30"/>
      <c r="Q772" s="30"/>
      <c r="R772" s="30"/>
      <c r="S772" s="30"/>
      <c r="T772" s="30"/>
      <c r="U772" s="30"/>
      <c r="V772" s="29"/>
      <c r="W772" s="125"/>
      <c r="X772" s="149"/>
      <c r="Y772" s="149"/>
      <c r="Z772" s="150"/>
      <c r="AA772" s="150"/>
      <c r="AB772" s="151"/>
      <c r="AC772" s="150"/>
      <c r="AD772" s="150"/>
      <c r="AE772" s="150"/>
      <c r="AF772" s="150"/>
      <c r="AG772" s="150"/>
      <c r="AH772" s="150"/>
    </row>
    <row r="773" spans="5:34">
      <c r="E773" s="31"/>
      <c r="F773" s="32"/>
      <c r="G773" s="29"/>
      <c r="H773" s="25"/>
      <c r="I773" s="25"/>
      <c r="J773" s="25"/>
      <c r="K773" s="25"/>
      <c r="L773" s="29"/>
      <c r="M773" s="29"/>
      <c r="N773" s="28"/>
      <c r="O773" s="30"/>
      <c r="P773" s="30"/>
      <c r="Q773" s="30"/>
      <c r="R773" s="30"/>
      <c r="S773" s="30"/>
      <c r="T773" s="30"/>
      <c r="U773" s="30"/>
      <c r="V773" s="29"/>
      <c r="W773" s="125"/>
      <c r="X773" s="149"/>
      <c r="Y773" s="149"/>
      <c r="Z773" s="150"/>
      <c r="AA773" s="150"/>
      <c r="AB773" s="151"/>
      <c r="AC773" s="150"/>
      <c r="AD773" s="150"/>
      <c r="AE773" s="150"/>
      <c r="AF773" s="150"/>
      <c r="AG773" s="150"/>
      <c r="AH773" s="150"/>
    </row>
    <row r="774" spans="5:34">
      <c r="E774" s="31"/>
      <c r="F774" s="32"/>
      <c r="G774" s="29"/>
      <c r="H774" s="25"/>
      <c r="I774" s="25"/>
      <c r="J774" s="25"/>
      <c r="K774" s="25"/>
      <c r="L774" s="29"/>
      <c r="M774" s="29"/>
      <c r="N774" s="28"/>
      <c r="O774" s="30"/>
      <c r="P774" s="30"/>
      <c r="Q774" s="30"/>
      <c r="R774" s="30"/>
      <c r="S774" s="30"/>
      <c r="T774" s="30"/>
      <c r="U774" s="30"/>
      <c r="V774" s="29"/>
      <c r="W774" s="125"/>
      <c r="X774" s="149"/>
      <c r="Y774" s="149"/>
      <c r="Z774" s="150"/>
      <c r="AA774" s="150"/>
      <c r="AB774" s="151"/>
      <c r="AC774" s="150"/>
      <c r="AD774" s="150"/>
      <c r="AE774" s="150"/>
      <c r="AF774" s="150"/>
      <c r="AG774" s="150"/>
      <c r="AH774" s="150"/>
    </row>
    <row r="775" spans="5:34">
      <c r="E775" s="31"/>
      <c r="F775" s="32"/>
      <c r="G775" s="29"/>
      <c r="H775" s="25"/>
      <c r="I775" s="25"/>
      <c r="J775" s="25"/>
      <c r="K775" s="25"/>
      <c r="L775" s="29"/>
      <c r="M775" s="29"/>
      <c r="N775" s="28"/>
      <c r="O775" s="30"/>
      <c r="P775" s="30"/>
      <c r="Q775" s="30"/>
      <c r="R775" s="30"/>
      <c r="S775" s="30"/>
      <c r="T775" s="30"/>
      <c r="U775" s="30"/>
      <c r="V775" s="29"/>
      <c r="W775" s="125"/>
      <c r="X775" s="149"/>
      <c r="Y775" s="149"/>
      <c r="Z775" s="150"/>
      <c r="AA775" s="150"/>
      <c r="AB775" s="151"/>
      <c r="AC775" s="150"/>
      <c r="AD775" s="150"/>
      <c r="AE775" s="150"/>
      <c r="AF775" s="150"/>
      <c r="AG775" s="150"/>
      <c r="AH775" s="150"/>
    </row>
    <row r="776" spans="5:34">
      <c r="E776" s="31"/>
      <c r="F776" s="32"/>
      <c r="G776" s="29"/>
      <c r="H776" s="25"/>
      <c r="I776" s="25"/>
      <c r="J776" s="25"/>
      <c r="K776" s="25"/>
      <c r="L776" s="29"/>
      <c r="M776" s="29"/>
      <c r="N776" s="28"/>
      <c r="O776" s="30"/>
      <c r="P776" s="30"/>
      <c r="Q776" s="30"/>
      <c r="R776" s="30"/>
      <c r="S776" s="30"/>
      <c r="T776" s="30"/>
      <c r="U776" s="30"/>
      <c r="V776" s="29"/>
      <c r="W776" s="125"/>
      <c r="X776" s="149"/>
      <c r="Y776" s="149"/>
      <c r="Z776" s="150"/>
      <c r="AA776" s="150"/>
      <c r="AB776" s="151"/>
      <c r="AC776" s="150"/>
      <c r="AD776" s="150"/>
      <c r="AE776" s="150"/>
      <c r="AF776" s="150"/>
      <c r="AG776" s="150"/>
      <c r="AH776" s="150"/>
    </row>
    <row r="777" spans="5:34">
      <c r="E777" s="31"/>
      <c r="F777" s="32"/>
      <c r="G777" s="29"/>
      <c r="H777" s="25"/>
      <c r="I777" s="25"/>
      <c r="J777" s="25"/>
      <c r="K777" s="25"/>
      <c r="L777" s="29"/>
      <c r="M777" s="29"/>
      <c r="N777" s="28"/>
      <c r="O777" s="30"/>
      <c r="P777" s="30"/>
      <c r="Q777" s="30"/>
      <c r="R777" s="30"/>
      <c r="S777" s="30"/>
      <c r="T777" s="30"/>
      <c r="U777" s="30"/>
      <c r="V777" s="29"/>
      <c r="W777" s="125"/>
      <c r="X777" s="149"/>
      <c r="Y777" s="149"/>
      <c r="Z777" s="150"/>
      <c r="AA777" s="150"/>
      <c r="AB777" s="151"/>
      <c r="AC777" s="150"/>
      <c r="AD777" s="150"/>
      <c r="AE777" s="150"/>
      <c r="AF777" s="150"/>
      <c r="AG777" s="150"/>
      <c r="AH777" s="150"/>
    </row>
    <row r="778" spans="5:34">
      <c r="E778" s="31"/>
      <c r="F778" s="32"/>
      <c r="G778" s="29"/>
      <c r="H778" s="25"/>
      <c r="I778" s="25"/>
      <c r="J778" s="25"/>
      <c r="K778" s="25"/>
      <c r="L778" s="29"/>
      <c r="M778" s="29"/>
      <c r="N778" s="28"/>
      <c r="O778" s="30"/>
      <c r="P778" s="30"/>
      <c r="Q778" s="30"/>
      <c r="R778" s="30"/>
      <c r="S778" s="30"/>
      <c r="T778" s="30"/>
      <c r="U778" s="30"/>
      <c r="V778" s="29"/>
      <c r="W778" s="125"/>
      <c r="X778" s="149"/>
      <c r="Y778" s="149"/>
      <c r="Z778" s="150"/>
      <c r="AA778" s="150"/>
      <c r="AB778" s="151"/>
      <c r="AC778" s="150"/>
      <c r="AD778" s="150"/>
      <c r="AE778" s="150"/>
      <c r="AF778" s="150"/>
      <c r="AG778" s="150"/>
      <c r="AH778" s="150"/>
    </row>
    <row r="779" spans="5:34">
      <c r="E779" s="31"/>
      <c r="F779" s="32"/>
      <c r="G779" s="29"/>
      <c r="H779" s="25"/>
      <c r="I779" s="25"/>
      <c r="J779" s="25"/>
      <c r="K779" s="25"/>
      <c r="L779" s="29"/>
      <c r="M779" s="29"/>
      <c r="N779" s="28"/>
      <c r="O779" s="30"/>
      <c r="P779" s="30"/>
      <c r="Q779" s="30"/>
      <c r="R779" s="30"/>
      <c r="S779" s="30"/>
      <c r="T779" s="30"/>
      <c r="U779" s="30"/>
      <c r="V779" s="29"/>
      <c r="W779" s="125"/>
      <c r="X779" s="149"/>
      <c r="Y779" s="149"/>
      <c r="Z779" s="150"/>
      <c r="AA779" s="150"/>
      <c r="AB779" s="151"/>
      <c r="AC779" s="150"/>
      <c r="AD779" s="150"/>
      <c r="AE779" s="150"/>
      <c r="AF779" s="150"/>
      <c r="AG779" s="150"/>
      <c r="AH779" s="150"/>
    </row>
    <row r="780" spans="5:34">
      <c r="E780" s="31"/>
      <c r="F780" s="32"/>
      <c r="G780" s="29"/>
      <c r="H780" s="25"/>
      <c r="I780" s="25"/>
      <c r="J780" s="25"/>
      <c r="K780" s="25"/>
      <c r="L780" s="29"/>
      <c r="M780" s="29"/>
      <c r="N780" s="28"/>
      <c r="O780" s="30"/>
      <c r="P780" s="30"/>
      <c r="Q780" s="30"/>
      <c r="R780" s="30"/>
      <c r="S780" s="30"/>
      <c r="T780" s="30"/>
      <c r="U780" s="30"/>
      <c r="V780" s="29"/>
      <c r="W780" s="125"/>
      <c r="X780" s="149"/>
      <c r="Y780" s="149"/>
      <c r="Z780" s="150"/>
      <c r="AA780" s="150"/>
      <c r="AB780" s="151"/>
      <c r="AC780" s="150"/>
      <c r="AD780" s="150"/>
      <c r="AE780" s="150"/>
      <c r="AF780" s="150"/>
      <c r="AG780" s="150"/>
      <c r="AH780" s="150"/>
    </row>
    <row r="781" spans="5:34">
      <c r="E781" s="31"/>
      <c r="F781" s="32"/>
      <c r="G781" s="29"/>
      <c r="H781" s="25"/>
      <c r="I781" s="25"/>
      <c r="J781" s="25"/>
      <c r="K781" s="25"/>
      <c r="L781" s="29"/>
      <c r="M781" s="29"/>
      <c r="N781" s="28"/>
      <c r="O781" s="30"/>
      <c r="P781" s="30"/>
      <c r="Q781" s="30"/>
      <c r="R781" s="30"/>
      <c r="S781" s="30"/>
      <c r="T781" s="30"/>
      <c r="U781" s="30"/>
      <c r="V781" s="29"/>
      <c r="W781" s="125"/>
      <c r="X781" s="149"/>
      <c r="Y781" s="149"/>
      <c r="Z781" s="150"/>
      <c r="AA781" s="150"/>
      <c r="AB781" s="151"/>
      <c r="AC781" s="150"/>
      <c r="AD781" s="150"/>
      <c r="AE781" s="150"/>
      <c r="AF781" s="150"/>
      <c r="AG781" s="150"/>
      <c r="AH781" s="150"/>
    </row>
    <row r="782" spans="5:34">
      <c r="E782" s="31"/>
      <c r="F782" s="32"/>
      <c r="G782" s="29"/>
      <c r="H782" s="25"/>
      <c r="I782" s="25"/>
      <c r="J782" s="25"/>
      <c r="K782" s="25"/>
      <c r="L782" s="29"/>
      <c r="M782" s="29"/>
      <c r="N782" s="28"/>
      <c r="O782" s="30"/>
      <c r="P782" s="30"/>
      <c r="Q782" s="30"/>
      <c r="R782" s="30"/>
      <c r="S782" s="30"/>
      <c r="T782" s="30"/>
      <c r="U782" s="30"/>
      <c r="V782" s="29"/>
      <c r="W782" s="125"/>
      <c r="X782" s="149"/>
      <c r="Y782" s="149"/>
      <c r="Z782" s="150"/>
      <c r="AA782" s="150"/>
      <c r="AB782" s="151"/>
      <c r="AC782" s="150"/>
      <c r="AD782" s="150"/>
      <c r="AE782" s="150"/>
      <c r="AF782" s="150"/>
      <c r="AG782" s="150"/>
      <c r="AH782" s="150"/>
    </row>
    <row r="783" spans="5:34">
      <c r="E783" s="31"/>
      <c r="F783" s="32"/>
      <c r="G783" s="29"/>
      <c r="H783" s="25"/>
      <c r="I783" s="25"/>
      <c r="J783" s="25"/>
      <c r="K783" s="25"/>
      <c r="L783" s="29"/>
      <c r="M783" s="29"/>
      <c r="N783" s="28"/>
      <c r="O783" s="30"/>
      <c r="P783" s="30"/>
      <c r="Q783" s="30"/>
      <c r="R783" s="30"/>
      <c r="S783" s="30"/>
      <c r="T783" s="30"/>
      <c r="U783" s="30"/>
      <c r="V783" s="29"/>
      <c r="W783" s="125"/>
      <c r="X783" s="149"/>
      <c r="Y783" s="149"/>
      <c r="Z783" s="150"/>
      <c r="AA783" s="150"/>
      <c r="AB783" s="151"/>
      <c r="AC783" s="150"/>
      <c r="AD783" s="150"/>
      <c r="AE783" s="150"/>
      <c r="AF783" s="150"/>
      <c r="AG783" s="150"/>
      <c r="AH783" s="150"/>
    </row>
    <row r="784" spans="5:34">
      <c r="E784" s="31"/>
      <c r="F784" s="32"/>
      <c r="G784" s="29"/>
      <c r="H784" s="25"/>
      <c r="I784" s="25"/>
      <c r="J784" s="25"/>
      <c r="K784" s="25"/>
      <c r="L784" s="29"/>
      <c r="M784" s="29"/>
      <c r="N784" s="28"/>
      <c r="O784" s="30"/>
      <c r="P784" s="30"/>
      <c r="Q784" s="30"/>
      <c r="R784" s="30"/>
      <c r="S784" s="30"/>
      <c r="T784" s="30"/>
      <c r="U784" s="30"/>
      <c r="V784" s="29"/>
      <c r="W784" s="125"/>
      <c r="X784" s="149"/>
      <c r="Y784" s="149"/>
      <c r="Z784" s="150"/>
      <c r="AA784" s="150"/>
      <c r="AB784" s="151"/>
      <c r="AC784" s="150"/>
      <c r="AD784" s="150"/>
      <c r="AE784" s="150"/>
      <c r="AF784" s="150"/>
      <c r="AG784" s="150"/>
      <c r="AH784" s="150"/>
    </row>
    <row r="785" spans="5:34">
      <c r="E785" s="31"/>
      <c r="F785" s="32"/>
      <c r="G785" s="29"/>
      <c r="H785" s="25"/>
      <c r="I785" s="25"/>
      <c r="J785" s="25"/>
      <c r="K785" s="25"/>
      <c r="L785" s="29"/>
      <c r="M785" s="29"/>
      <c r="N785" s="28"/>
      <c r="O785" s="30"/>
      <c r="P785" s="30"/>
      <c r="Q785" s="30"/>
      <c r="R785" s="30"/>
      <c r="S785" s="30"/>
      <c r="T785" s="30"/>
      <c r="U785" s="30"/>
      <c r="V785" s="29"/>
      <c r="W785" s="125"/>
      <c r="X785" s="149"/>
      <c r="Y785" s="149"/>
      <c r="Z785" s="150"/>
      <c r="AA785" s="150"/>
      <c r="AB785" s="151"/>
      <c r="AC785" s="150"/>
      <c r="AD785" s="150"/>
      <c r="AE785" s="150"/>
      <c r="AF785" s="150"/>
      <c r="AG785" s="150"/>
      <c r="AH785" s="150"/>
    </row>
    <row r="786" spans="5:34">
      <c r="E786" s="31"/>
      <c r="F786" s="32"/>
      <c r="G786" s="29"/>
      <c r="H786" s="25"/>
      <c r="I786" s="25"/>
      <c r="J786" s="25"/>
      <c r="K786" s="25"/>
      <c r="L786" s="29"/>
      <c r="M786" s="29"/>
      <c r="N786" s="28"/>
      <c r="O786" s="30"/>
      <c r="P786" s="30"/>
      <c r="Q786" s="30"/>
      <c r="R786" s="30"/>
      <c r="S786" s="30"/>
      <c r="T786" s="30"/>
      <c r="U786" s="30"/>
      <c r="V786" s="29"/>
      <c r="W786" s="125"/>
      <c r="X786" s="149"/>
      <c r="Y786" s="149"/>
      <c r="Z786" s="150"/>
      <c r="AA786" s="150"/>
      <c r="AB786" s="151"/>
      <c r="AC786" s="150"/>
      <c r="AD786" s="150"/>
      <c r="AE786" s="150"/>
      <c r="AF786" s="150"/>
      <c r="AG786" s="150"/>
      <c r="AH786" s="150"/>
    </row>
    <row r="787" spans="5:34">
      <c r="E787" s="31"/>
      <c r="F787" s="32"/>
      <c r="G787" s="29"/>
      <c r="H787" s="25"/>
      <c r="I787" s="25"/>
      <c r="J787" s="25"/>
      <c r="K787" s="25"/>
      <c r="L787" s="29"/>
      <c r="M787" s="29"/>
      <c r="N787" s="28"/>
      <c r="O787" s="30"/>
      <c r="P787" s="30"/>
      <c r="Q787" s="30"/>
      <c r="R787" s="30"/>
      <c r="S787" s="30"/>
      <c r="T787" s="30"/>
      <c r="U787" s="30"/>
      <c r="V787" s="29"/>
      <c r="W787" s="125"/>
      <c r="X787" s="149"/>
      <c r="Y787" s="149"/>
      <c r="Z787" s="150"/>
      <c r="AA787" s="150"/>
      <c r="AB787" s="151"/>
      <c r="AC787" s="150"/>
      <c r="AD787" s="150"/>
      <c r="AE787" s="150"/>
      <c r="AF787" s="150"/>
      <c r="AG787" s="150"/>
      <c r="AH787" s="150"/>
    </row>
    <row r="788" spans="5:34">
      <c r="E788" s="31"/>
      <c r="F788" s="32"/>
      <c r="G788" s="29"/>
      <c r="H788" s="25"/>
      <c r="I788" s="25"/>
      <c r="J788" s="25"/>
      <c r="K788" s="25"/>
      <c r="L788" s="29"/>
      <c r="M788" s="29"/>
      <c r="N788" s="28"/>
      <c r="O788" s="30"/>
      <c r="P788" s="30"/>
      <c r="Q788" s="30"/>
      <c r="R788" s="30"/>
      <c r="S788" s="30"/>
      <c r="T788" s="30"/>
      <c r="U788" s="30"/>
      <c r="V788" s="29"/>
      <c r="W788" s="125"/>
      <c r="X788" s="149"/>
      <c r="Y788" s="149"/>
      <c r="Z788" s="150"/>
      <c r="AA788" s="150"/>
      <c r="AB788" s="151"/>
      <c r="AC788" s="150"/>
      <c r="AD788" s="150"/>
      <c r="AE788" s="150"/>
      <c r="AF788" s="150"/>
      <c r="AG788" s="150"/>
      <c r="AH788" s="150"/>
    </row>
    <row r="789" spans="5:34">
      <c r="E789" s="31"/>
      <c r="F789" s="32"/>
      <c r="G789" s="29"/>
      <c r="H789" s="25"/>
      <c r="I789" s="25"/>
      <c r="J789" s="25"/>
      <c r="K789" s="25"/>
      <c r="L789" s="29"/>
      <c r="M789" s="29"/>
      <c r="N789" s="28"/>
      <c r="O789" s="30"/>
      <c r="P789" s="30"/>
      <c r="Q789" s="30"/>
      <c r="R789" s="30"/>
      <c r="S789" s="30"/>
      <c r="T789" s="30"/>
      <c r="U789" s="30"/>
      <c r="V789" s="29"/>
      <c r="W789" s="125"/>
      <c r="X789" s="149"/>
      <c r="Y789" s="149"/>
      <c r="Z789" s="150"/>
      <c r="AA789" s="150"/>
      <c r="AB789" s="151"/>
      <c r="AC789" s="150"/>
      <c r="AD789" s="150"/>
      <c r="AE789" s="150"/>
      <c r="AF789" s="150"/>
      <c r="AG789" s="150"/>
      <c r="AH789" s="150"/>
    </row>
    <row r="790" spans="5:34">
      <c r="E790" s="31"/>
      <c r="F790" s="32"/>
      <c r="G790" s="29"/>
      <c r="H790" s="25"/>
      <c r="I790" s="25"/>
      <c r="J790" s="25"/>
      <c r="K790" s="25"/>
      <c r="L790" s="29"/>
      <c r="M790" s="29"/>
      <c r="N790" s="28"/>
      <c r="O790" s="30"/>
      <c r="P790" s="30"/>
      <c r="Q790" s="30"/>
      <c r="R790" s="30"/>
      <c r="S790" s="30"/>
      <c r="T790" s="30"/>
      <c r="U790" s="30"/>
      <c r="V790" s="29"/>
      <c r="W790" s="125"/>
      <c r="X790" s="149"/>
      <c r="Y790" s="149"/>
      <c r="Z790" s="150"/>
      <c r="AA790" s="150"/>
      <c r="AB790" s="151"/>
      <c r="AC790" s="150"/>
      <c r="AD790" s="150"/>
      <c r="AE790" s="150"/>
      <c r="AF790" s="150"/>
      <c r="AG790" s="150"/>
      <c r="AH790" s="150"/>
    </row>
    <row r="791" spans="5:34">
      <c r="E791" s="31"/>
      <c r="F791" s="32"/>
      <c r="G791" s="29"/>
      <c r="H791" s="25"/>
      <c r="I791" s="25"/>
      <c r="J791" s="25"/>
      <c r="K791" s="25"/>
      <c r="L791" s="29"/>
      <c r="M791" s="29"/>
      <c r="N791" s="28"/>
      <c r="O791" s="30"/>
      <c r="P791" s="30"/>
      <c r="Q791" s="30"/>
      <c r="R791" s="30"/>
      <c r="S791" s="30"/>
      <c r="T791" s="30"/>
      <c r="U791" s="30"/>
      <c r="V791" s="29"/>
      <c r="W791" s="125"/>
      <c r="X791" s="149"/>
      <c r="Y791" s="149"/>
      <c r="Z791" s="150"/>
      <c r="AA791" s="150"/>
      <c r="AB791" s="151"/>
      <c r="AC791" s="150"/>
      <c r="AD791" s="150"/>
      <c r="AE791" s="150"/>
      <c r="AF791" s="150"/>
      <c r="AG791" s="150"/>
      <c r="AH791" s="150"/>
    </row>
    <row r="792" spans="5:34">
      <c r="E792" s="31"/>
      <c r="F792" s="32"/>
      <c r="G792" s="29"/>
      <c r="H792" s="25"/>
      <c r="I792" s="25"/>
      <c r="J792" s="25"/>
      <c r="K792" s="25"/>
      <c r="L792" s="29"/>
      <c r="M792" s="29"/>
      <c r="N792" s="28"/>
      <c r="O792" s="30"/>
      <c r="P792" s="30"/>
      <c r="Q792" s="30"/>
      <c r="R792" s="30"/>
      <c r="S792" s="30"/>
      <c r="T792" s="30"/>
      <c r="U792" s="30"/>
      <c r="V792" s="29"/>
      <c r="W792" s="125"/>
      <c r="X792" s="149"/>
      <c r="Y792" s="149"/>
      <c r="Z792" s="150"/>
      <c r="AA792" s="150"/>
      <c r="AB792" s="151"/>
      <c r="AC792" s="150"/>
      <c r="AD792" s="150"/>
      <c r="AE792" s="150"/>
      <c r="AF792" s="150"/>
      <c r="AG792" s="150"/>
      <c r="AH792" s="150"/>
    </row>
    <row r="793" spans="5:34">
      <c r="E793" s="31"/>
      <c r="F793" s="32"/>
      <c r="G793" s="29"/>
      <c r="H793" s="25"/>
      <c r="I793" s="25"/>
      <c r="J793" s="25"/>
      <c r="K793" s="25"/>
      <c r="L793" s="29"/>
      <c r="M793" s="29"/>
      <c r="N793" s="28"/>
      <c r="O793" s="30"/>
      <c r="P793" s="30"/>
      <c r="Q793" s="30"/>
      <c r="R793" s="30"/>
      <c r="S793" s="30"/>
      <c r="T793" s="30"/>
      <c r="U793" s="30"/>
      <c r="V793" s="29"/>
      <c r="W793" s="125"/>
      <c r="X793" s="149"/>
      <c r="Y793" s="149"/>
      <c r="Z793" s="150"/>
      <c r="AA793" s="150"/>
      <c r="AB793" s="151"/>
      <c r="AC793" s="150"/>
      <c r="AD793" s="150"/>
      <c r="AE793" s="150"/>
      <c r="AF793" s="150"/>
      <c r="AG793" s="150"/>
      <c r="AH793" s="150"/>
    </row>
    <row r="794" spans="5:34">
      <c r="E794" s="31"/>
      <c r="F794" s="32"/>
      <c r="G794" s="29"/>
      <c r="H794" s="25"/>
      <c r="I794" s="25"/>
      <c r="J794" s="25"/>
      <c r="K794" s="25"/>
      <c r="L794" s="29"/>
      <c r="M794" s="29"/>
      <c r="N794" s="28"/>
      <c r="O794" s="30"/>
      <c r="P794" s="30"/>
      <c r="Q794" s="30"/>
      <c r="R794" s="30"/>
      <c r="S794" s="30"/>
      <c r="T794" s="30"/>
      <c r="U794" s="30"/>
      <c r="V794" s="29"/>
      <c r="W794" s="125"/>
      <c r="X794" s="149"/>
      <c r="Y794" s="149"/>
      <c r="Z794" s="150"/>
      <c r="AA794" s="150"/>
      <c r="AB794" s="151"/>
      <c r="AC794" s="150"/>
      <c r="AD794" s="150"/>
      <c r="AE794" s="150"/>
      <c r="AF794" s="150"/>
      <c r="AG794" s="150"/>
      <c r="AH794" s="150"/>
    </row>
    <row r="795" spans="5:34">
      <c r="E795" s="31"/>
      <c r="F795" s="32"/>
      <c r="G795" s="29"/>
      <c r="H795" s="25"/>
      <c r="I795" s="25"/>
      <c r="J795" s="25"/>
      <c r="K795" s="25"/>
      <c r="L795" s="29"/>
      <c r="M795" s="29"/>
      <c r="N795" s="28"/>
      <c r="O795" s="30"/>
      <c r="P795" s="30"/>
      <c r="Q795" s="30"/>
      <c r="R795" s="30"/>
      <c r="S795" s="30"/>
      <c r="T795" s="30"/>
      <c r="U795" s="30"/>
      <c r="V795" s="29"/>
      <c r="W795" s="125"/>
      <c r="X795" s="149"/>
      <c r="Y795" s="149"/>
      <c r="Z795" s="150"/>
      <c r="AA795" s="150"/>
      <c r="AB795" s="151"/>
      <c r="AC795" s="150"/>
      <c r="AD795" s="150"/>
      <c r="AE795" s="150"/>
      <c r="AF795" s="150"/>
      <c r="AG795" s="150"/>
      <c r="AH795" s="150"/>
    </row>
    <row r="796" spans="5:34">
      <c r="E796" s="31"/>
      <c r="F796" s="32"/>
      <c r="G796" s="29"/>
      <c r="H796" s="25"/>
      <c r="I796" s="25"/>
      <c r="J796" s="25"/>
      <c r="K796" s="25"/>
      <c r="L796" s="29"/>
      <c r="M796" s="29"/>
      <c r="N796" s="28"/>
      <c r="O796" s="30"/>
      <c r="P796" s="30"/>
      <c r="Q796" s="30"/>
      <c r="R796" s="30"/>
      <c r="S796" s="30"/>
      <c r="T796" s="30"/>
      <c r="U796" s="30"/>
      <c r="V796" s="29"/>
      <c r="W796" s="125"/>
      <c r="X796" s="149"/>
      <c r="Y796" s="149"/>
      <c r="Z796" s="150"/>
      <c r="AA796" s="150"/>
      <c r="AB796" s="151"/>
      <c r="AC796" s="150"/>
      <c r="AD796" s="150"/>
      <c r="AE796" s="150"/>
      <c r="AF796" s="150"/>
      <c r="AG796" s="150"/>
      <c r="AH796" s="150"/>
    </row>
    <row r="797" spans="5:34">
      <c r="E797" s="31"/>
      <c r="F797" s="32"/>
      <c r="G797" s="29"/>
      <c r="H797" s="25"/>
      <c r="I797" s="25"/>
      <c r="J797" s="25"/>
      <c r="K797" s="25"/>
      <c r="L797" s="29"/>
      <c r="M797" s="29"/>
      <c r="N797" s="28"/>
      <c r="O797" s="30"/>
      <c r="P797" s="30"/>
      <c r="Q797" s="30"/>
      <c r="R797" s="30"/>
      <c r="S797" s="30"/>
      <c r="T797" s="30"/>
      <c r="U797" s="30"/>
      <c r="V797" s="29"/>
      <c r="W797" s="125"/>
      <c r="X797" s="149"/>
      <c r="Y797" s="149"/>
      <c r="Z797" s="150"/>
      <c r="AA797" s="150"/>
      <c r="AB797" s="151"/>
      <c r="AC797" s="150"/>
      <c r="AD797" s="150"/>
      <c r="AE797" s="150"/>
      <c r="AF797" s="150"/>
      <c r="AG797" s="150"/>
      <c r="AH797" s="150"/>
    </row>
    <row r="798" spans="5:34">
      <c r="E798" s="31"/>
      <c r="F798" s="32"/>
      <c r="G798" s="29"/>
      <c r="H798" s="25"/>
      <c r="I798" s="25"/>
      <c r="J798" s="25"/>
      <c r="K798" s="25"/>
      <c r="L798" s="29"/>
      <c r="M798" s="29"/>
      <c r="N798" s="28"/>
      <c r="O798" s="30"/>
      <c r="P798" s="30"/>
      <c r="Q798" s="30"/>
      <c r="R798" s="30"/>
      <c r="S798" s="30"/>
      <c r="T798" s="30"/>
      <c r="U798" s="30"/>
      <c r="V798" s="29"/>
      <c r="W798" s="125"/>
      <c r="X798" s="149"/>
      <c r="Y798" s="149"/>
      <c r="Z798" s="150"/>
      <c r="AA798" s="150"/>
      <c r="AB798" s="151"/>
      <c r="AC798" s="150"/>
      <c r="AD798" s="150"/>
      <c r="AE798" s="150"/>
      <c r="AF798" s="150"/>
      <c r="AG798" s="150"/>
      <c r="AH798" s="150"/>
    </row>
    <row r="799" spans="5:34">
      <c r="E799" s="31"/>
      <c r="F799" s="32"/>
      <c r="G799" s="29"/>
      <c r="H799" s="25"/>
      <c r="I799" s="25"/>
      <c r="J799" s="25"/>
      <c r="K799" s="25"/>
      <c r="L799" s="29"/>
      <c r="M799" s="29"/>
      <c r="N799" s="28"/>
      <c r="O799" s="30"/>
      <c r="P799" s="30"/>
      <c r="Q799" s="30"/>
      <c r="R799" s="30"/>
      <c r="S799" s="30"/>
      <c r="T799" s="30"/>
      <c r="U799" s="30"/>
      <c r="V799" s="29"/>
      <c r="W799" s="125"/>
      <c r="X799" s="149"/>
      <c r="Y799" s="149"/>
      <c r="Z799" s="150"/>
      <c r="AA799" s="150"/>
      <c r="AB799" s="151"/>
      <c r="AC799" s="150"/>
      <c r="AD799" s="150"/>
      <c r="AE799" s="150"/>
      <c r="AF799" s="150"/>
      <c r="AG799" s="150"/>
      <c r="AH799" s="150"/>
    </row>
    <row r="800" spans="5:34">
      <c r="E800" s="31"/>
      <c r="F800" s="32"/>
      <c r="G800" s="29"/>
      <c r="H800" s="25"/>
      <c r="I800" s="25"/>
      <c r="J800" s="25"/>
      <c r="K800" s="25"/>
      <c r="L800" s="29"/>
      <c r="M800" s="29"/>
      <c r="N800" s="28"/>
      <c r="O800" s="30"/>
      <c r="P800" s="30"/>
      <c r="Q800" s="30"/>
      <c r="R800" s="30"/>
      <c r="S800" s="30"/>
      <c r="T800" s="30"/>
      <c r="U800" s="30"/>
      <c r="V800" s="29"/>
      <c r="W800" s="125"/>
      <c r="X800" s="149"/>
      <c r="Y800" s="149"/>
      <c r="Z800" s="150"/>
      <c r="AA800" s="150"/>
      <c r="AB800" s="151"/>
      <c r="AC800" s="150"/>
      <c r="AD800" s="150"/>
      <c r="AE800" s="150"/>
      <c r="AF800" s="150"/>
      <c r="AG800" s="150"/>
      <c r="AH800" s="150"/>
    </row>
    <row r="801" spans="5:34">
      <c r="E801" s="31"/>
      <c r="F801" s="32"/>
      <c r="G801" s="29"/>
      <c r="H801" s="25"/>
      <c r="I801" s="25"/>
      <c r="J801" s="25"/>
      <c r="K801" s="25"/>
      <c r="L801" s="29"/>
      <c r="M801" s="29"/>
      <c r="N801" s="28"/>
      <c r="O801" s="30"/>
      <c r="P801" s="30"/>
      <c r="Q801" s="30"/>
      <c r="R801" s="30"/>
      <c r="S801" s="30"/>
      <c r="T801" s="30"/>
      <c r="U801" s="30"/>
      <c r="V801" s="29"/>
      <c r="W801" s="125"/>
      <c r="X801" s="149"/>
      <c r="Y801" s="149"/>
      <c r="Z801" s="150"/>
      <c r="AA801" s="150"/>
      <c r="AB801" s="151"/>
      <c r="AC801" s="150"/>
      <c r="AD801" s="150"/>
      <c r="AE801" s="150"/>
      <c r="AF801" s="150"/>
      <c r="AG801" s="150"/>
      <c r="AH801" s="150"/>
    </row>
    <row r="802" spans="5:34">
      <c r="E802" s="31"/>
      <c r="F802" s="32"/>
      <c r="G802" s="29"/>
      <c r="H802" s="25"/>
      <c r="I802" s="25"/>
      <c r="J802" s="25"/>
      <c r="K802" s="25"/>
      <c r="L802" s="29"/>
      <c r="M802" s="29"/>
      <c r="N802" s="28"/>
      <c r="O802" s="30"/>
      <c r="P802" s="30"/>
      <c r="Q802" s="30"/>
      <c r="R802" s="30"/>
      <c r="S802" s="30"/>
      <c r="T802" s="30"/>
      <c r="U802" s="30"/>
      <c r="V802" s="29"/>
      <c r="W802" s="125"/>
      <c r="X802" s="149"/>
      <c r="Y802" s="149"/>
      <c r="Z802" s="150"/>
      <c r="AA802" s="150"/>
      <c r="AB802" s="151"/>
      <c r="AC802" s="150"/>
      <c r="AD802" s="150"/>
      <c r="AE802" s="150"/>
      <c r="AF802" s="150"/>
      <c r="AG802" s="150"/>
      <c r="AH802" s="150"/>
    </row>
    <row r="803" spans="5:34">
      <c r="E803" s="31"/>
      <c r="F803" s="32"/>
      <c r="G803" s="29"/>
      <c r="H803" s="25"/>
      <c r="I803" s="25"/>
      <c r="J803" s="25"/>
      <c r="K803" s="25"/>
      <c r="L803" s="29"/>
      <c r="M803" s="29"/>
      <c r="N803" s="28"/>
      <c r="O803" s="30"/>
      <c r="P803" s="30"/>
      <c r="Q803" s="30"/>
      <c r="R803" s="30"/>
      <c r="S803" s="30"/>
      <c r="T803" s="30"/>
      <c r="U803" s="30"/>
      <c r="V803" s="29"/>
      <c r="W803" s="125"/>
      <c r="X803" s="149"/>
      <c r="Y803" s="149"/>
      <c r="Z803" s="150"/>
      <c r="AA803" s="150"/>
      <c r="AB803" s="151"/>
      <c r="AC803" s="150"/>
      <c r="AD803" s="150"/>
      <c r="AE803" s="150"/>
      <c r="AF803" s="150"/>
      <c r="AG803" s="150"/>
      <c r="AH803" s="150"/>
    </row>
    <row r="804" spans="5:34">
      <c r="E804" s="31"/>
      <c r="F804" s="32"/>
      <c r="G804" s="29"/>
      <c r="H804" s="25"/>
      <c r="I804" s="25"/>
      <c r="J804" s="25"/>
      <c r="K804" s="25"/>
      <c r="L804" s="29"/>
      <c r="M804" s="29"/>
      <c r="N804" s="28"/>
      <c r="O804" s="30"/>
      <c r="P804" s="30"/>
      <c r="Q804" s="30"/>
      <c r="R804" s="30"/>
      <c r="S804" s="30"/>
      <c r="T804" s="30"/>
      <c r="U804" s="30"/>
      <c r="V804" s="29"/>
      <c r="W804" s="125"/>
      <c r="X804" s="149"/>
      <c r="Y804" s="149"/>
      <c r="Z804" s="150"/>
      <c r="AA804" s="150"/>
      <c r="AB804" s="151"/>
      <c r="AC804" s="150"/>
      <c r="AD804" s="150"/>
      <c r="AE804" s="150"/>
      <c r="AF804" s="150"/>
      <c r="AG804" s="150"/>
      <c r="AH804" s="150"/>
    </row>
    <row r="805" spans="5:34">
      <c r="E805" s="31"/>
      <c r="F805" s="32"/>
      <c r="G805" s="29"/>
      <c r="H805" s="25"/>
      <c r="I805" s="25"/>
      <c r="J805" s="25"/>
      <c r="K805" s="25"/>
      <c r="L805" s="29"/>
      <c r="M805" s="29"/>
      <c r="N805" s="28"/>
      <c r="O805" s="30"/>
      <c r="P805" s="30"/>
      <c r="Q805" s="30"/>
      <c r="R805" s="30"/>
      <c r="S805" s="30"/>
      <c r="T805" s="30"/>
      <c r="U805" s="30"/>
      <c r="V805" s="29"/>
      <c r="W805" s="125"/>
      <c r="X805" s="149"/>
      <c r="Y805" s="149"/>
      <c r="Z805" s="150"/>
      <c r="AA805" s="150"/>
      <c r="AB805" s="151"/>
      <c r="AC805" s="150"/>
      <c r="AD805" s="150"/>
      <c r="AE805" s="150"/>
      <c r="AF805" s="150"/>
      <c r="AG805" s="150"/>
      <c r="AH805" s="150"/>
    </row>
    <row r="806" spans="5:34">
      <c r="E806" s="31"/>
      <c r="F806" s="32"/>
      <c r="G806" s="29"/>
      <c r="H806" s="25"/>
      <c r="I806" s="25"/>
      <c r="J806" s="25"/>
      <c r="K806" s="25"/>
      <c r="L806" s="29"/>
      <c r="M806" s="29"/>
      <c r="N806" s="28"/>
      <c r="O806" s="30"/>
      <c r="P806" s="30"/>
      <c r="Q806" s="30"/>
      <c r="R806" s="30"/>
      <c r="S806" s="30"/>
      <c r="T806" s="30"/>
      <c r="U806" s="30"/>
      <c r="V806" s="29"/>
      <c r="W806" s="125"/>
      <c r="X806" s="149"/>
      <c r="Y806" s="149"/>
      <c r="Z806" s="150"/>
      <c r="AA806" s="150"/>
      <c r="AB806" s="151"/>
      <c r="AC806" s="150"/>
      <c r="AD806" s="150"/>
      <c r="AE806" s="150"/>
      <c r="AF806" s="150"/>
      <c r="AG806" s="150"/>
      <c r="AH806" s="150"/>
    </row>
    <row r="807" spans="5:34">
      <c r="E807" s="31"/>
      <c r="F807" s="32"/>
      <c r="G807" s="29"/>
      <c r="H807" s="25"/>
      <c r="I807" s="25"/>
      <c r="J807" s="25"/>
      <c r="K807" s="25"/>
      <c r="L807" s="29"/>
      <c r="M807" s="29"/>
      <c r="N807" s="28"/>
      <c r="O807" s="30"/>
      <c r="P807" s="30"/>
      <c r="Q807" s="30"/>
      <c r="R807" s="30"/>
      <c r="S807" s="30"/>
      <c r="T807" s="30"/>
      <c r="U807" s="30"/>
      <c r="V807" s="29"/>
      <c r="W807" s="125"/>
      <c r="X807" s="149"/>
      <c r="Y807" s="149"/>
      <c r="Z807" s="150"/>
      <c r="AA807" s="150"/>
      <c r="AB807" s="151"/>
      <c r="AC807" s="150"/>
      <c r="AD807" s="150"/>
      <c r="AE807" s="150"/>
      <c r="AF807" s="150"/>
      <c r="AG807" s="150"/>
      <c r="AH807" s="150"/>
    </row>
    <row r="808" spans="5:34">
      <c r="E808" s="31"/>
      <c r="F808" s="32"/>
      <c r="G808" s="29"/>
      <c r="H808" s="25"/>
      <c r="I808" s="25"/>
      <c r="J808" s="25"/>
      <c r="K808" s="25"/>
      <c r="L808" s="29"/>
      <c r="M808" s="29"/>
      <c r="N808" s="28"/>
      <c r="O808" s="30"/>
      <c r="P808" s="30"/>
      <c r="Q808" s="30"/>
      <c r="R808" s="30"/>
      <c r="S808" s="30"/>
      <c r="T808" s="30"/>
      <c r="U808" s="30"/>
      <c r="V808" s="29"/>
      <c r="W808" s="125"/>
      <c r="X808" s="149"/>
      <c r="Y808" s="149"/>
      <c r="Z808" s="150"/>
      <c r="AA808" s="150"/>
      <c r="AB808" s="151"/>
      <c r="AC808" s="150"/>
      <c r="AD808" s="150"/>
      <c r="AE808" s="150"/>
      <c r="AF808" s="150"/>
      <c r="AG808" s="150"/>
      <c r="AH808" s="150"/>
    </row>
    <row r="809" spans="5:34">
      <c r="E809" s="31"/>
      <c r="F809" s="32"/>
      <c r="G809" s="29"/>
      <c r="H809" s="25"/>
      <c r="I809" s="25"/>
      <c r="J809" s="25"/>
      <c r="K809" s="25"/>
      <c r="L809" s="29"/>
      <c r="M809" s="29"/>
      <c r="N809" s="28"/>
      <c r="O809" s="30"/>
      <c r="P809" s="30"/>
      <c r="Q809" s="30"/>
      <c r="R809" s="30"/>
      <c r="S809" s="30"/>
      <c r="T809" s="30"/>
      <c r="U809" s="30"/>
      <c r="V809" s="29"/>
      <c r="W809" s="125"/>
      <c r="X809" s="149"/>
      <c r="Y809" s="149"/>
      <c r="Z809" s="150"/>
      <c r="AA809" s="150"/>
      <c r="AB809" s="151"/>
      <c r="AC809" s="150"/>
      <c r="AD809" s="150"/>
      <c r="AE809" s="150"/>
      <c r="AF809" s="150"/>
      <c r="AG809" s="150"/>
      <c r="AH809" s="150"/>
    </row>
    <row r="810" spans="5:34">
      <c r="E810" s="31"/>
      <c r="F810" s="32"/>
      <c r="G810" s="29"/>
      <c r="H810" s="25"/>
      <c r="I810" s="25"/>
      <c r="J810" s="25"/>
      <c r="K810" s="25"/>
      <c r="L810" s="29"/>
      <c r="M810" s="29"/>
      <c r="N810" s="28"/>
      <c r="O810" s="30"/>
      <c r="P810" s="30"/>
      <c r="Q810" s="30"/>
      <c r="R810" s="30"/>
      <c r="S810" s="30"/>
      <c r="T810" s="30"/>
      <c r="U810" s="30"/>
      <c r="V810" s="29"/>
      <c r="W810" s="125"/>
      <c r="X810" s="149"/>
      <c r="Y810" s="149"/>
      <c r="Z810" s="150"/>
      <c r="AA810" s="150"/>
      <c r="AB810" s="151"/>
      <c r="AC810" s="150"/>
      <c r="AD810" s="150"/>
      <c r="AE810" s="150"/>
      <c r="AF810" s="150"/>
      <c r="AG810" s="150"/>
      <c r="AH810" s="150"/>
    </row>
    <row r="811" spans="5:34">
      <c r="E811" s="31"/>
      <c r="F811" s="32"/>
      <c r="G811" s="29"/>
      <c r="H811" s="25"/>
      <c r="I811" s="25"/>
      <c r="J811" s="25"/>
      <c r="K811" s="25"/>
      <c r="L811" s="29"/>
      <c r="M811" s="29"/>
      <c r="N811" s="28"/>
      <c r="O811" s="30"/>
      <c r="P811" s="30"/>
      <c r="Q811" s="30"/>
      <c r="R811" s="30"/>
      <c r="S811" s="30"/>
      <c r="T811" s="30"/>
      <c r="U811" s="30"/>
      <c r="V811" s="29"/>
      <c r="W811" s="125"/>
      <c r="X811" s="149"/>
      <c r="Y811" s="149"/>
      <c r="Z811" s="150"/>
      <c r="AA811" s="150"/>
      <c r="AB811" s="151"/>
      <c r="AC811" s="150"/>
      <c r="AD811" s="150"/>
      <c r="AE811" s="150"/>
      <c r="AF811" s="150"/>
      <c r="AG811" s="150"/>
      <c r="AH811" s="150"/>
    </row>
    <row r="812" spans="5:34">
      <c r="E812" s="31"/>
      <c r="F812" s="32"/>
      <c r="G812" s="29"/>
      <c r="H812" s="25"/>
      <c r="I812" s="25"/>
      <c r="J812" s="25"/>
      <c r="K812" s="25"/>
      <c r="L812" s="29"/>
      <c r="M812" s="29"/>
      <c r="N812" s="28"/>
      <c r="O812" s="30"/>
      <c r="P812" s="30"/>
      <c r="Q812" s="30"/>
      <c r="R812" s="30"/>
      <c r="S812" s="30"/>
      <c r="T812" s="30"/>
      <c r="U812" s="30"/>
      <c r="V812" s="29"/>
      <c r="W812" s="125"/>
      <c r="X812" s="149"/>
      <c r="Y812" s="149"/>
      <c r="Z812" s="150"/>
      <c r="AA812" s="150"/>
      <c r="AB812" s="151"/>
      <c r="AC812" s="150"/>
      <c r="AD812" s="150"/>
      <c r="AE812" s="150"/>
      <c r="AF812" s="150"/>
      <c r="AG812" s="150"/>
      <c r="AH812" s="150"/>
    </row>
    <row r="813" spans="5:34">
      <c r="E813" s="31"/>
      <c r="F813" s="32"/>
      <c r="G813" s="29"/>
      <c r="H813" s="25"/>
      <c r="I813" s="25"/>
      <c r="J813" s="25"/>
      <c r="K813" s="25"/>
      <c r="L813" s="29"/>
      <c r="M813" s="29"/>
      <c r="N813" s="28"/>
      <c r="O813" s="30"/>
      <c r="P813" s="30"/>
      <c r="Q813" s="30"/>
      <c r="R813" s="30"/>
      <c r="S813" s="30"/>
      <c r="T813" s="30"/>
      <c r="U813" s="30"/>
      <c r="V813" s="29"/>
      <c r="W813" s="125"/>
      <c r="X813" s="149"/>
      <c r="Y813" s="149"/>
      <c r="Z813" s="150"/>
      <c r="AA813" s="150"/>
      <c r="AB813" s="151"/>
      <c r="AC813" s="150"/>
      <c r="AD813" s="150"/>
      <c r="AE813" s="150"/>
      <c r="AF813" s="150"/>
      <c r="AG813" s="150"/>
      <c r="AH813" s="150"/>
    </row>
    <row r="814" spans="5:34">
      <c r="E814" s="31"/>
      <c r="F814" s="32"/>
      <c r="G814" s="29"/>
      <c r="H814" s="25"/>
      <c r="I814" s="25"/>
      <c r="J814" s="25"/>
      <c r="K814" s="25"/>
      <c r="L814" s="29"/>
      <c r="M814" s="29"/>
      <c r="N814" s="28"/>
      <c r="O814" s="30"/>
      <c r="P814" s="30"/>
      <c r="Q814" s="30"/>
      <c r="R814" s="30"/>
      <c r="S814" s="30"/>
      <c r="T814" s="30"/>
      <c r="U814" s="30"/>
      <c r="V814" s="29"/>
      <c r="W814" s="125"/>
      <c r="X814" s="149"/>
      <c r="Y814" s="149"/>
      <c r="Z814" s="150"/>
      <c r="AA814" s="150"/>
      <c r="AB814" s="151"/>
      <c r="AC814" s="150"/>
      <c r="AD814" s="150"/>
      <c r="AE814" s="150"/>
      <c r="AF814" s="150"/>
      <c r="AG814" s="150"/>
      <c r="AH814" s="150"/>
    </row>
    <row r="815" spans="5:34">
      <c r="E815" s="31"/>
      <c r="F815" s="32"/>
      <c r="G815" s="29"/>
      <c r="H815" s="25"/>
      <c r="I815" s="25"/>
      <c r="J815" s="25"/>
      <c r="K815" s="25"/>
      <c r="L815" s="29"/>
      <c r="M815" s="29"/>
      <c r="N815" s="28"/>
      <c r="O815" s="30"/>
      <c r="P815" s="30"/>
      <c r="Q815" s="30"/>
      <c r="R815" s="30"/>
      <c r="S815" s="30"/>
      <c r="T815" s="30"/>
      <c r="U815" s="30"/>
      <c r="V815" s="29"/>
      <c r="W815" s="125"/>
      <c r="X815" s="149"/>
      <c r="Y815" s="149"/>
      <c r="Z815" s="150"/>
      <c r="AA815" s="150"/>
      <c r="AB815" s="151"/>
      <c r="AC815" s="150"/>
      <c r="AD815" s="150"/>
      <c r="AE815" s="150"/>
      <c r="AF815" s="150"/>
      <c r="AG815" s="150"/>
      <c r="AH815" s="150"/>
    </row>
    <row r="816" spans="5:34">
      <c r="E816" s="31"/>
      <c r="F816" s="32"/>
      <c r="G816" s="29"/>
      <c r="H816" s="25"/>
      <c r="I816" s="25"/>
      <c r="J816" s="25"/>
      <c r="K816" s="25"/>
      <c r="L816" s="29"/>
      <c r="M816" s="29"/>
      <c r="N816" s="28"/>
      <c r="O816" s="30"/>
      <c r="P816" s="30"/>
      <c r="Q816" s="30"/>
      <c r="R816" s="30"/>
      <c r="S816" s="30"/>
      <c r="T816" s="30"/>
      <c r="U816" s="30"/>
      <c r="V816" s="29"/>
      <c r="W816" s="125"/>
      <c r="X816" s="149"/>
      <c r="Y816" s="149"/>
      <c r="Z816" s="150"/>
      <c r="AA816" s="150"/>
      <c r="AB816" s="151"/>
      <c r="AC816" s="150"/>
      <c r="AD816" s="150"/>
      <c r="AE816" s="150"/>
      <c r="AF816" s="150"/>
      <c r="AG816" s="150"/>
      <c r="AH816" s="150"/>
    </row>
    <row r="817" spans="5:34">
      <c r="E817" s="31"/>
      <c r="F817" s="32"/>
      <c r="G817" s="29"/>
      <c r="H817" s="25"/>
      <c r="I817" s="25"/>
      <c r="J817" s="25"/>
      <c r="K817" s="25"/>
      <c r="L817" s="29"/>
      <c r="M817" s="29"/>
      <c r="N817" s="28"/>
      <c r="O817" s="30"/>
      <c r="P817" s="30"/>
      <c r="Q817" s="30"/>
      <c r="R817" s="30"/>
      <c r="S817" s="30"/>
      <c r="T817" s="30"/>
      <c r="U817" s="30"/>
      <c r="V817" s="29"/>
      <c r="W817" s="125"/>
      <c r="X817" s="149"/>
      <c r="Y817" s="149"/>
      <c r="Z817" s="150"/>
      <c r="AA817" s="150"/>
      <c r="AB817" s="151"/>
      <c r="AC817" s="150"/>
      <c r="AD817" s="150"/>
      <c r="AE817" s="150"/>
      <c r="AF817" s="150"/>
      <c r="AG817" s="150"/>
      <c r="AH817" s="150"/>
    </row>
    <row r="818" spans="5:34">
      <c r="E818" s="31"/>
      <c r="F818" s="32"/>
      <c r="G818" s="29"/>
      <c r="H818" s="25"/>
      <c r="I818" s="25"/>
      <c r="J818" s="25"/>
      <c r="K818" s="25"/>
      <c r="L818" s="29"/>
      <c r="M818" s="29"/>
      <c r="N818" s="28"/>
      <c r="O818" s="30"/>
      <c r="P818" s="30"/>
      <c r="Q818" s="30"/>
      <c r="R818" s="30"/>
      <c r="S818" s="30"/>
      <c r="T818" s="30"/>
      <c r="U818" s="30"/>
      <c r="V818" s="29"/>
      <c r="W818" s="125"/>
      <c r="X818" s="149"/>
      <c r="Y818" s="149"/>
      <c r="Z818" s="150"/>
      <c r="AA818" s="150"/>
      <c r="AB818" s="151"/>
      <c r="AC818" s="150"/>
      <c r="AD818" s="150"/>
      <c r="AE818" s="150"/>
      <c r="AF818" s="150"/>
      <c r="AG818" s="150"/>
      <c r="AH818" s="150"/>
    </row>
    <row r="819" spans="5:34">
      <c r="E819" s="31"/>
      <c r="F819" s="32"/>
      <c r="G819" s="29"/>
      <c r="H819" s="25"/>
      <c r="I819" s="25"/>
      <c r="J819" s="25"/>
      <c r="K819" s="25"/>
      <c r="L819" s="29"/>
      <c r="M819" s="29"/>
      <c r="N819" s="28"/>
      <c r="O819" s="30"/>
      <c r="P819" s="30"/>
      <c r="Q819" s="30"/>
      <c r="R819" s="30"/>
      <c r="S819" s="30"/>
      <c r="T819" s="30"/>
      <c r="U819" s="30"/>
      <c r="V819" s="29"/>
      <c r="W819" s="125"/>
      <c r="X819" s="149"/>
      <c r="Y819" s="149"/>
      <c r="Z819" s="150"/>
      <c r="AA819" s="150"/>
      <c r="AB819" s="151"/>
      <c r="AC819" s="150"/>
      <c r="AD819" s="150"/>
      <c r="AE819" s="150"/>
      <c r="AF819" s="150"/>
      <c r="AG819" s="150"/>
      <c r="AH819" s="150"/>
    </row>
    <row r="820" spans="5:34">
      <c r="E820" s="31"/>
      <c r="F820" s="32"/>
      <c r="G820" s="29"/>
      <c r="H820" s="25"/>
      <c r="I820" s="25"/>
      <c r="J820" s="25"/>
      <c r="K820" s="25"/>
      <c r="L820" s="29"/>
      <c r="M820" s="29"/>
      <c r="N820" s="28"/>
      <c r="O820" s="30"/>
      <c r="P820" s="30"/>
      <c r="Q820" s="30"/>
      <c r="R820" s="30"/>
      <c r="S820" s="30"/>
      <c r="T820" s="30"/>
      <c r="U820" s="30"/>
      <c r="V820" s="29"/>
      <c r="W820" s="125"/>
      <c r="X820" s="149"/>
      <c r="Y820" s="149"/>
      <c r="Z820" s="150"/>
      <c r="AA820" s="150"/>
      <c r="AB820" s="151"/>
      <c r="AC820" s="150"/>
      <c r="AD820" s="150"/>
      <c r="AE820" s="150"/>
      <c r="AF820" s="150"/>
      <c r="AG820" s="150"/>
      <c r="AH820" s="150"/>
    </row>
    <row r="821" spans="5:34">
      <c r="E821" s="31"/>
      <c r="F821" s="32"/>
      <c r="G821" s="29"/>
      <c r="H821" s="25"/>
      <c r="I821" s="25"/>
      <c r="J821" s="25"/>
      <c r="K821" s="25"/>
      <c r="L821" s="29"/>
      <c r="M821" s="29"/>
      <c r="N821" s="28"/>
      <c r="O821" s="30"/>
      <c r="P821" s="30"/>
      <c r="Q821" s="30"/>
      <c r="R821" s="30"/>
      <c r="S821" s="30"/>
      <c r="T821" s="30"/>
      <c r="U821" s="30"/>
      <c r="V821" s="29"/>
      <c r="W821" s="125"/>
      <c r="X821" s="149"/>
      <c r="Y821" s="149"/>
      <c r="Z821" s="150"/>
      <c r="AA821" s="150"/>
      <c r="AB821" s="151"/>
      <c r="AC821" s="150"/>
      <c r="AD821" s="150"/>
      <c r="AE821" s="150"/>
      <c r="AF821" s="150"/>
      <c r="AG821" s="150"/>
      <c r="AH821" s="150"/>
    </row>
    <row r="822" spans="5:34">
      <c r="E822" s="31"/>
      <c r="F822" s="32"/>
      <c r="G822" s="29"/>
      <c r="H822" s="25"/>
      <c r="I822" s="25"/>
      <c r="J822" s="25"/>
      <c r="K822" s="25"/>
      <c r="L822" s="29"/>
      <c r="M822" s="29"/>
      <c r="N822" s="28"/>
      <c r="O822" s="30"/>
      <c r="P822" s="30"/>
      <c r="Q822" s="30"/>
      <c r="R822" s="30"/>
      <c r="S822" s="30"/>
      <c r="T822" s="30"/>
      <c r="U822" s="30"/>
      <c r="V822" s="29"/>
      <c r="W822" s="125"/>
      <c r="X822" s="149"/>
      <c r="Y822" s="149"/>
      <c r="Z822" s="150"/>
      <c r="AA822" s="150"/>
      <c r="AB822" s="151"/>
      <c r="AC822" s="150"/>
      <c r="AD822" s="150"/>
      <c r="AE822" s="150"/>
      <c r="AF822" s="150"/>
      <c r="AG822" s="150"/>
      <c r="AH822" s="150"/>
    </row>
    <row r="823" spans="5:34">
      <c r="E823" s="31"/>
      <c r="F823" s="32"/>
      <c r="G823" s="29"/>
      <c r="H823" s="25"/>
      <c r="I823" s="25"/>
      <c r="J823" s="25"/>
      <c r="K823" s="25"/>
      <c r="L823" s="29"/>
      <c r="M823" s="29"/>
      <c r="N823" s="28"/>
      <c r="O823" s="30"/>
      <c r="P823" s="30"/>
      <c r="Q823" s="30"/>
      <c r="R823" s="30"/>
      <c r="S823" s="30"/>
      <c r="T823" s="30"/>
      <c r="U823" s="30"/>
      <c r="V823" s="29"/>
      <c r="W823" s="125"/>
      <c r="X823" s="149"/>
      <c r="Y823" s="149"/>
      <c r="Z823" s="150"/>
      <c r="AA823" s="150"/>
      <c r="AB823" s="151"/>
      <c r="AC823" s="150"/>
      <c r="AD823" s="150"/>
      <c r="AE823" s="150"/>
      <c r="AF823" s="150"/>
      <c r="AG823" s="150"/>
      <c r="AH823" s="150"/>
    </row>
    <row r="824" spans="5:34">
      <c r="E824" s="31"/>
      <c r="F824" s="32"/>
      <c r="G824" s="29"/>
      <c r="H824" s="25"/>
      <c r="I824" s="25"/>
      <c r="J824" s="25"/>
      <c r="K824" s="25"/>
      <c r="L824" s="29"/>
      <c r="M824" s="29"/>
      <c r="N824" s="28"/>
      <c r="O824" s="30"/>
      <c r="P824" s="30"/>
      <c r="Q824" s="30"/>
      <c r="R824" s="30"/>
      <c r="S824" s="30"/>
      <c r="T824" s="30"/>
      <c r="U824" s="30"/>
      <c r="V824" s="29"/>
      <c r="W824" s="125"/>
      <c r="X824" s="149"/>
      <c r="Y824" s="149"/>
      <c r="Z824" s="150"/>
      <c r="AA824" s="150"/>
      <c r="AB824" s="151"/>
      <c r="AC824" s="150"/>
      <c r="AD824" s="150"/>
      <c r="AE824" s="150"/>
      <c r="AF824" s="150"/>
      <c r="AG824" s="150"/>
      <c r="AH824" s="150"/>
    </row>
    <row r="825" spans="5:34">
      <c r="E825" s="31"/>
      <c r="F825" s="32"/>
      <c r="G825" s="29"/>
      <c r="H825" s="25"/>
      <c r="I825" s="25"/>
      <c r="J825" s="25"/>
      <c r="K825" s="25"/>
      <c r="L825" s="29"/>
      <c r="M825" s="29"/>
      <c r="N825" s="28"/>
      <c r="O825" s="30"/>
      <c r="P825" s="30"/>
      <c r="Q825" s="30"/>
      <c r="R825" s="30"/>
      <c r="S825" s="30"/>
      <c r="T825" s="30"/>
      <c r="U825" s="30"/>
      <c r="V825" s="29"/>
      <c r="W825" s="125"/>
      <c r="X825" s="149"/>
      <c r="Y825" s="149"/>
      <c r="Z825" s="150"/>
      <c r="AA825" s="150"/>
      <c r="AB825" s="151"/>
      <c r="AC825" s="150"/>
      <c r="AD825" s="150"/>
      <c r="AE825" s="150"/>
      <c r="AF825" s="150"/>
      <c r="AG825" s="150"/>
      <c r="AH825" s="150"/>
    </row>
    <row r="826" spans="5:34">
      <c r="E826" s="31"/>
      <c r="F826" s="32"/>
      <c r="G826" s="29"/>
      <c r="H826" s="25"/>
      <c r="I826" s="25"/>
      <c r="J826" s="25"/>
      <c r="K826" s="25"/>
      <c r="L826" s="29"/>
      <c r="M826" s="29"/>
      <c r="N826" s="28"/>
      <c r="O826" s="30"/>
      <c r="P826" s="30"/>
      <c r="Q826" s="30"/>
      <c r="R826" s="30"/>
      <c r="S826" s="30"/>
      <c r="T826" s="30"/>
      <c r="U826" s="30"/>
      <c r="V826" s="29"/>
      <c r="W826" s="125"/>
      <c r="X826" s="149"/>
      <c r="Y826" s="149"/>
      <c r="Z826" s="150"/>
      <c r="AA826" s="150"/>
      <c r="AB826" s="151"/>
      <c r="AC826" s="150"/>
      <c r="AD826" s="150"/>
      <c r="AE826" s="150"/>
      <c r="AF826" s="150"/>
      <c r="AG826" s="150"/>
      <c r="AH826" s="150"/>
    </row>
    <row r="827" spans="5:34">
      <c r="E827" s="31"/>
      <c r="F827" s="32"/>
      <c r="G827" s="29"/>
      <c r="H827" s="25"/>
      <c r="I827" s="25"/>
      <c r="J827" s="25"/>
      <c r="K827" s="25"/>
      <c r="L827" s="29"/>
      <c r="M827" s="29"/>
      <c r="N827" s="28"/>
      <c r="O827" s="30"/>
      <c r="P827" s="30"/>
      <c r="Q827" s="30"/>
      <c r="R827" s="30"/>
      <c r="S827" s="30"/>
      <c r="T827" s="30"/>
      <c r="U827" s="30"/>
      <c r="V827" s="29"/>
      <c r="W827" s="125"/>
      <c r="X827" s="149"/>
      <c r="Y827" s="149"/>
      <c r="Z827" s="150"/>
      <c r="AA827" s="150"/>
      <c r="AB827" s="151"/>
      <c r="AC827" s="150"/>
      <c r="AD827" s="150"/>
      <c r="AE827" s="150"/>
      <c r="AF827" s="150"/>
      <c r="AG827" s="150"/>
      <c r="AH827" s="150"/>
    </row>
    <row r="828" spans="5:34">
      <c r="E828" s="31"/>
      <c r="F828" s="32"/>
      <c r="G828" s="29"/>
      <c r="H828" s="25"/>
      <c r="I828" s="25"/>
      <c r="J828" s="25"/>
      <c r="K828" s="25"/>
      <c r="L828" s="29"/>
      <c r="M828" s="29"/>
      <c r="N828" s="28"/>
      <c r="O828" s="30"/>
      <c r="P828" s="30"/>
      <c r="Q828" s="30"/>
      <c r="R828" s="30"/>
      <c r="S828" s="30"/>
      <c r="T828" s="30"/>
      <c r="U828" s="30"/>
      <c r="V828" s="29"/>
      <c r="W828" s="125"/>
      <c r="X828" s="149"/>
      <c r="Y828" s="149"/>
      <c r="Z828" s="150"/>
      <c r="AA828" s="150"/>
      <c r="AB828" s="151"/>
      <c r="AC828" s="150"/>
      <c r="AD828" s="150"/>
      <c r="AE828" s="150"/>
      <c r="AF828" s="150"/>
      <c r="AG828" s="150"/>
      <c r="AH828" s="150"/>
    </row>
    <row r="829" spans="5:34">
      <c r="E829" s="31"/>
      <c r="F829" s="32"/>
      <c r="G829" s="29"/>
      <c r="H829" s="25"/>
      <c r="I829" s="25"/>
      <c r="J829" s="25"/>
      <c r="K829" s="25"/>
      <c r="L829" s="29"/>
      <c r="M829" s="29"/>
      <c r="N829" s="28"/>
      <c r="O829" s="30"/>
      <c r="P829" s="30"/>
      <c r="Q829" s="30"/>
      <c r="R829" s="30"/>
      <c r="S829" s="30"/>
      <c r="T829" s="30"/>
      <c r="U829" s="30"/>
      <c r="V829" s="29"/>
      <c r="W829" s="125"/>
      <c r="X829" s="149"/>
      <c r="Y829" s="149"/>
      <c r="Z829" s="150"/>
      <c r="AA829" s="150"/>
      <c r="AB829" s="151"/>
      <c r="AC829" s="150"/>
      <c r="AD829" s="150"/>
      <c r="AE829" s="150"/>
      <c r="AF829" s="150"/>
      <c r="AG829" s="150"/>
      <c r="AH829" s="150"/>
    </row>
    <row r="830" spans="5:34">
      <c r="E830" s="31"/>
      <c r="F830" s="32"/>
      <c r="G830" s="29"/>
      <c r="H830" s="25"/>
      <c r="I830" s="25"/>
      <c r="J830" s="25"/>
      <c r="K830" s="25"/>
      <c r="L830" s="29"/>
      <c r="M830" s="29"/>
      <c r="N830" s="28"/>
      <c r="O830" s="30"/>
      <c r="P830" s="30"/>
      <c r="Q830" s="30"/>
      <c r="R830" s="30"/>
      <c r="S830" s="30"/>
      <c r="T830" s="30"/>
      <c r="U830" s="30"/>
      <c r="V830" s="29"/>
      <c r="W830" s="125"/>
      <c r="X830" s="149"/>
      <c r="Y830" s="149"/>
      <c r="Z830" s="150"/>
      <c r="AA830" s="150"/>
      <c r="AB830" s="151"/>
      <c r="AC830" s="150"/>
      <c r="AD830" s="150"/>
      <c r="AE830" s="150"/>
      <c r="AF830" s="150"/>
      <c r="AG830" s="150"/>
      <c r="AH830" s="150"/>
    </row>
    <row r="831" spans="5:34">
      <c r="E831" s="31"/>
      <c r="F831" s="32"/>
      <c r="G831" s="29"/>
      <c r="H831" s="25"/>
      <c r="I831" s="25"/>
      <c r="J831" s="25"/>
      <c r="K831" s="25"/>
      <c r="L831" s="29"/>
      <c r="M831" s="29"/>
      <c r="N831" s="28"/>
      <c r="O831" s="30"/>
      <c r="P831" s="30"/>
      <c r="Q831" s="30"/>
      <c r="R831" s="30"/>
      <c r="S831" s="30"/>
      <c r="T831" s="30"/>
      <c r="U831" s="30"/>
      <c r="V831" s="29"/>
      <c r="W831" s="125"/>
      <c r="X831" s="149"/>
      <c r="Y831" s="149"/>
      <c r="Z831" s="150"/>
      <c r="AA831" s="150"/>
      <c r="AB831" s="151"/>
      <c r="AC831" s="150"/>
      <c r="AD831" s="150"/>
      <c r="AE831" s="150"/>
      <c r="AF831" s="150"/>
      <c r="AG831" s="150"/>
      <c r="AH831" s="150"/>
    </row>
    <row r="832" spans="5:34">
      <c r="E832" s="31"/>
      <c r="F832" s="32"/>
      <c r="G832" s="29"/>
      <c r="H832" s="25"/>
      <c r="I832" s="25"/>
      <c r="J832" s="25"/>
      <c r="K832" s="25"/>
      <c r="L832" s="29"/>
      <c r="M832" s="29"/>
      <c r="N832" s="28"/>
      <c r="O832" s="30"/>
      <c r="P832" s="30"/>
      <c r="Q832" s="30"/>
      <c r="R832" s="30"/>
      <c r="S832" s="30"/>
      <c r="T832" s="30"/>
      <c r="U832" s="30"/>
      <c r="V832" s="29"/>
      <c r="W832" s="125"/>
      <c r="X832" s="149"/>
      <c r="Y832" s="149"/>
      <c r="Z832" s="150"/>
      <c r="AA832" s="150"/>
      <c r="AB832" s="151"/>
      <c r="AC832" s="150"/>
      <c r="AD832" s="150"/>
      <c r="AE832" s="150"/>
      <c r="AF832" s="150"/>
      <c r="AG832" s="150"/>
      <c r="AH832" s="150"/>
    </row>
    <row r="833" spans="5:34">
      <c r="E833" s="31"/>
      <c r="F833" s="32"/>
      <c r="G833" s="29"/>
      <c r="H833" s="25"/>
      <c r="I833" s="25"/>
      <c r="J833" s="25"/>
      <c r="K833" s="25"/>
      <c r="L833" s="29"/>
      <c r="M833" s="29"/>
      <c r="N833" s="28"/>
      <c r="O833" s="30"/>
      <c r="P833" s="30"/>
      <c r="Q833" s="30"/>
      <c r="R833" s="30"/>
      <c r="S833" s="30"/>
      <c r="T833" s="30"/>
      <c r="U833" s="30"/>
      <c r="V833" s="29"/>
      <c r="W833" s="125"/>
      <c r="X833" s="149"/>
      <c r="Y833" s="149"/>
      <c r="Z833" s="150"/>
      <c r="AA833" s="150"/>
      <c r="AB833" s="151"/>
      <c r="AC833" s="150"/>
      <c r="AD833" s="150"/>
      <c r="AE833" s="150"/>
      <c r="AF833" s="150"/>
      <c r="AG833" s="150"/>
      <c r="AH833" s="150"/>
    </row>
    <row r="834" spans="5:34">
      <c r="E834" s="31"/>
      <c r="F834" s="32"/>
      <c r="G834" s="29"/>
      <c r="H834" s="25"/>
      <c r="I834" s="25"/>
      <c r="J834" s="25"/>
      <c r="K834" s="25"/>
      <c r="L834" s="29"/>
      <c r="M834" s="29"/>
      <c r="N834" s="28"/>
      <c r="O834" s="30"/>
      <c r="P834" s="30"/>
      <c r="Q834" s="30"/>
      <c r="R834" s="30"/>
      <c r="S834" s="30"/>
      <c r="T834" s="30"/>
      <c r="U834" s="30"/>
      <c r="V834" s="29"/>
      <c r="W834" s="125"/>
      <c r="X834" s="149"/>
      <c r="Y834" s="149"/>
      <c r="Z834" s="150"/>
      <c r="AA834" s="150"/>
      <c r="AB834" s="151"/>
      <c r="AC834" s="150"/>
      <c r="AD834" s="150"/>
      <c r="AE834" s="150"/>
      <c r="AF834" s="150"/>
      <c r="AG834" s="150"/>
      <c r="AH834" s="150"/>
    </row>
    <row r="835" spans="5:34">
      <c r="E835" s="31"/>
      <c r="F835" s="32"/>
      <c r="G835" s="29"/>
      <c r="H835" s="25"/>
      <c r="I835" s="25"/>
      <c r="J835" s="25"/>
      <c r="K835" s="25"/>
      <c r="L835" s="29"/>
      <c r="M835" s="29"/>
      <c r="N835" s="28"/>
      <c r="O835" s="30"/>
      <c r="P835" s="30"/>
      <c r="Q835" s="30"/>
      <c r="R835" s="30"/>
      <c r="S835" s="30"/>
      <c r="T835" s="30"/>
      <c r="U835" s="30"/>
      <c r="V835" s="29"/>
      <c r="W835" s="125"/>
      <c r="X835" s="149"/>
      <c r="Y835" s="149"/>
      <c r="Z835" s="150"/>
      <c r="AA835" s="150"/>
      <c r="AB835" s="151"/>
      <c r="AC835" s="150"/>
      <c r="AD835" s="150"/>
      <c r="AE835" s="150"/>
      <c r="AF835" s="150"/>
      <c r="AG835" s="150"/>
      <c r="AH835" s="150"/>
    </row>
    <row r="836" spans="5:34">
      <c r="E836" s="31"/>
      <c r="F836" s="32"/>
      <c r="G836" s="29"/>
      <c r="H836" s="25"/>
      <c r="I836" s="25"/>
      <c r="J836" s="25"/>
      <c r="K836" s="25"/>
      <c r="L836" s="29"/>
      <c r="M836" s="29"/>
      <c r="N836" s="28"/>
      <c r="O836" s="30"/>
      <c r="P836" s="30"/>
      <c r="Q836" s="30"/>
      <c r="R836" s="30"/>
      <c r="S836" s="30"/>
      <c r="T836" s="30"/>
      <c r="U836" s="30"/>
      <c r="V836" s="29"/>
      <c r="W836" s="125"/>
      <c r="X836" s="149"/>
      <c r="Y836" s="149"/>
      <c r="Z836" s="150"/>
      <c r="AA836" s="150"/>
      <c r="AB836" s="151"/>
      <c r="AC836" s="150"/>
      <c r="AD836" s="150"/>
      <c r="AE836" s="150"/>
      <c r="AF836" s="150"/>
      <c r="AG836" s="150"/>
      <c r="AH836" s="150"/>
    </row>
    <row r="837" spans="5:34">
      <c r="E837" s="31"/>
      <c r="F837" s="32"/>
      <c r="G837" s="29"/>
      <c r="H837" s="25"/>
      <c r="I837" s="25"/>
      <c r="J837" s="25"/>
      <c r="K837" s="25"/>
      <c r="L837" s="29"/>
      <c r="M837" s="29"/>
      <c r="N837" s="28"/>
      <c r="O837" s="30"/>
      <c r="P837" s="30"/>
      <c r="Q837" s="30"/>
      <c r="R837" s="30"/>
      <c r="S837" s="30"/>
      <c r="T837" s="30"/>
      <c r="U837" s="30"/>
      <c r="V837" s="29"/>
      <c r="W837" s="125"/>
      <c r="X837" s="149"/>
      <c r="Y837" s="149"/>
      <c r="Z837" s="150"/>
      <c r="AA837" s="150"/>
      <c r="AB837" s="151"/>
      <c r="AC837" s="150"/>
      <c r="AD837" s="150"/>
      <c r="AE837" s="150"/>
      <c r="AF837" s="150"/>
      <c r="AG837" s="150"/>
      <c r="AH837" s="150"/>
    </row>
    <row r="838" spans="5:34">
      <c r="E838" s="31"/>
      <c r="F838" s="32"/>
      <c r="G838" s="29"/>
      <c r="H838" s="25"/>
      <c r="I838" s="25"/>
      <c r="J838" s="25"/>
      <c r="K838" s="25"/>
      <c r="L838" s="29"/>
      <c r="M838" s="29"/>
      <c r="N838" s="28"/>
      <c r="O838" s="30"/>
      <c r="P838" s="30"/>
      <c r="Q838" s="30"/>
      <c r="R838" s="30"/>
      <c r="S838" s="30"/>
      <c r="T838" s="30"/>
      <c r="U838" s="30"/>
      <c r="V838" s="29"/>
      <c r="W838" s="125"/>
      <c r="X838" s="149"/>
      <c r="Y838" s="149"/>
      <c r="Z838" s="150"/>
      <c r="AA838" s="150"/>
      <c r="AB838" s="151"/>
      <c r="AC838" s="150"/>
      <c r="AD838" s="150"/>
      <c r="AE838" s="150"/>
      <c r="AF838" s="150"/>
      <c r="AG838" s="150"/>
      <c r="AH838" s="150"/>
    </row>
    <row r="839" spans="5:34">
      <c r="E839" s="31"/>
      <c r="F839" s="32"/>
      <c r="G839" s="29"/>
      <c r="H839" s="25"/>
      <c r="I839" s="25"/>
      <c r="J839" s="25"/>
      <c r="K839" s="25"/>
      <c r="L839" s="29"/>
      <c r="M839" s="29"/>
      <c r="N839" s="28"/>
      <c r="O839" s="30"/>
      <c r="P839" s="30"/>
      <c r="Q839" s="30"/>
      <c r="R839" s="30"/>
      <c r="S839" s="30"/>
      <c r="T839" s="30"/>
      <c r="U839" s="30"/>
      <c r="V839" s="29"/>
      <c r="W839" s="125"/>
      <c r="X839" s="149"/>
      <c r="Y839" s="149"/>
      <c r="Z839" s="150"/>
      <c r="AA839" s="150"/>
      <c r="AB839" s="151"/>
      <c r="AC839" s="150"/>
      <c r="AD839" s="150"/>
      <c r="AE839" s="150"/>
      <c r="AF839" s="150"/>
      <c r="AG839" s="150"/>
      <c r="AH839" s="150"/>
    </row>
    <row r="840" spans="5:34">
      <c r="E840" s="31"/>
      <c r="F840" s="32"/>
      <c r="G840" s="29"/>
      <c r="H840" s="25"/>
      <c r="I840" s="25"/>
      <c r="J840" s="25"/>
      <c r="K840" s="25"/>
      <c r="L840" s="29"/>
      <c r="M840" s="29"/>
      <c r="N840" s="28"/>
      <c r="O840" s="30"/>
      <c r="P840" s="30"/>
      <c r="Q840" s="30"/>
      <c r="R840" s="30"/>
      <c r="S840" s="30"/>
      <c r="T840" s="30"/>
      <c r="U840" s="30"/>
      <c r="V840" s="29"/>
      <c r="W840" s="125"/>
      <c r="X840" s="149"/>
      <c r="Y840" s="149"/>
      <c r="Z840" s="150"/>
      <c r="AA840" s="150"/>
      <c r="AB840" s="151"/>
      <c r="AC840" s="150"/>
      <c r="AD840" s="150"/>
      <c r="AE840" s="150"/>
      <c r="AF840" s="150"/>
      <c r="AG840" s="150"/>
      <c r="AH840" s="150"/>
    </row>
    <row r="841" spans="5:34">
      <c r="E841" s="31"/>
      <c r="F841" s="32"/>
      <c r="G841" s="29"/>
      <c r="H841" s="25"/>
      <c r="I841" s="25"/>
      <c r="J841" s="25"/>
      <c r="K841" s="25"/>
      <c r="L841" s="29"/>
      <c r="M841" s="29"/>
      <c r="N841" s="28"/>
      <c r="O841" s="30"/>
      <c r="P841" s="30"/>
      <c r="Q841" s="30"/>
      <c r="R841" s="30"/>
      <c r="S841" s="30"/>
      <c r="T841" s="30"/>
      <c r="U841" s="30"/>
      <c r="V841" s="29"/>
      <c r="W841" s="125"/>
      <c r="X841" s="149"/>
      <c r="Y841" s="149"/>
      <c r="Z841" s="150"/>
      <c r="AA841" s="150"/>
      <c r="AB841" s="151"/>
      <c r="AC841" s="150"/>
      <c r="AD841" s="150"/>
      <c r="AE841" s="150"/>
      <c r="AF841" s="150"/>
      <c r="AG841" s="150"/>
      <c r="AH841" s="150"/>
    </row>
    <row r="842" spans="5:34">
      <c r="E842" s="31"/>
      <c r="F842" s="32"/>
      <c r="G842" s="29"/>
      <c r="H842" s="25"/>
      <c r="I842" s="25"/>
      <c r="J842" s="25"/>
      <c r="K842" s="25"/>
      <c r="L842" s="29"/>
      <c r="M842" s="29"/>
      <c r="N842" s="28"/>
      <c r="O842" s="30"/>
      <c r="P842" s="30"/>
      <c r="Q842" s="30"/>
      <c r="R842" s="30"/>
      <c r="S842" s="30"/>
      <c r="T842" s="30"/>
      <c r="U842" s="30"/>
      <c r="V842" s="29"/>
      <c r="W842" s="125"/>
      <c r="X842" s="149"/>
      <c r="Y842" s="149"/>
      <c r="Z842" s="150"/>
      <c r="AA842" s="150"/>
      <c r="AB842" s="151"/>
      <c r="AC842" s="150"/>
      <c r="AD842" s="150"/>
      <c r="AE842" s="150"/>
      <c r="AF842" s="150"/>
      <c r="AG842" s="150"/>
      <c r="AH842" s="150"/>
    </row>
    <row r="843" spans="5:34">
      <c r="E843" s="31"/>
      <c r="F843" s="32"/>
      <c r="G843" s="29"/>
      <c r="H843" s="25"/>
      <c r="I843" s="25"/>
      <c r="J843" s="25"/>
      <c r="K843" s="25"/>
      <c r="L843" s="29"/>
      <c r="M843" s="29"/>
      <c r="N843" s="28"/>
      <c r="O843" s="30"/>
      <c r="P843" s="30"/>
      <c r="Q843" s="30"/>
      <c r="R843" s="30"/>
      <c r="S843" s="30"/>
      <c r="T843" s="30"/>
      <c r="U843" s="30"/>
      <c r="V843" s="29"/>
      <c r="W843" s="125"/>
      <c r="X843" s="149"/>
      <c r="Y843" s="149"/>
      <c r="Z843" s="150"/>
      <c r="AA843" s="150"/>
      <c r="AB843" s="151"/>
      <c r="AC843" s="150"/>
      <c r="AD843" s="150"/>
      <c r="AE843" s="150"/>
      <c r="AF843" s="150"/>
      <c r="AG843" s="150"/>
      <c r="AH843" s="150"/>
    </row>
    <row r="844" spans="5:34">
      <c r="E844" s="31"/>
      <c r="F844" s="32"/>
      <c r="G844" s="29"/>
      <c r="H844" s="25"/>
      <c r="I844" s="25"/>
      <c r="J844" s="25"/>
      <c r="K844" s="25"/>
      <c r="L844" s="29"/>
      <c r="M844" s="29"/>
      <c r="N844" s="28"/>
      <c r="O844" s="30"/>
      <c r="P844" s="30"/>
      <c r="Q844" s="30"/>
      <c r="R844" s="30"/>
      <c r="S844" s="30"/>
      <c r="T844" s="30"/>
      <c r="U844" s="30"/>
      <c r="V844" s="29"/>
      <c r="W844" s="125"/>
      <c r="X844" s="149"/>
      <c r="Y844" s="149"/>
      <c r="Z844" s="150"/>
      <c r="AA844" s="150"/>
      <c r="AB844" s="151"/>
      <c r="AC844" s="150"/>
      <c r="AD844" s="150"/>
      <c r="AE844" s="150"/>
      <c r="AF844" s="150"/>
      <c r="AG844" s="150"/>
      <c r="AH844" s="150"/>
    </row>
    <row r="845" spans="5:34">
      <c r="E845" s="31"/>
      <c r="F845" s="32"/>
      <c r="G845" s="29"/>
      <c r="H845" s="25"/>
      <c r="I845" s="25"/>
      <c r="J845" s="25"/>
      <c r="K845" s="25"/>
      <c r="L845" s="29"/>
      <c r="M845" s="29"/>
      <c r="N845" s="28"/>
      <c r="O845" s="30"/>
      <c r="P845" s="30"/>
      <c r="Q845" s="30"/>
      <c r="R845" s="30"/>
      <c r="S845" s="30"/>
      <c r="T845" s="30"/>
      <c r="U845" s="30"/>
      <c r="V845" s="29"/>
      <c r="W845" s="125"/>
      <c r="X845" s="149"/>
      <c r="Y845" s="149"/>
      <c r="Z845" s="150"/>
      <c r="AA845" s="150"/>
      <c r="AB845" s="151"/>
      <c r="AC845" s="150"/>
      <c r="AD845" s="150"/>
      <c r="AE845" s="150"/>
      <c r="AF845" s="150"/>
      <c r="AG845" s="150"/>
      <c r="AH845" s="150"/>
    </row>
    <row r="846" spans="5:34">
      <c r="E846" s="31"/>
      <c r="F846" s="32"/>
      <c r="G846" s="29"/>
      <c r="H846" s="25"/>
      <c r="I846" s="25"/>
      <c r="J846" s="25"/>
      <c r="K846" s="25"/>
      <c r="L846" s="29"/>
      <c r="M846" s="29"/>
      <c r="N846" s="28"/>
      <c r="O846" s="30"/>
      <c r="P846" s="30"/>
      <c r="Q846" s="30"/>
      <c r="R846" s="30"/>
      <c r="S846" s="30"/>
      <c r="T846" s="30"/>
      <c r="U846" s="30"/>
      <c r="V846" s="29"/>
      <c r="W846" s="125"/>
      <c r="X846" s="149"/>
      <c r="Y846" s="149"/>
      <c r="Z846" s="150"/>
      <c r="AA846" s="150"/>
      <c r="AB846" s="151"/>
      <c r="AC846" s="150"/>
      <c r="AD846" s="150"/>
      <c r="AE846" s="150"/>
      <c r="AF846" s="150"/>
      <c r="AG846" s="150"/>
      <c r="AH846" s="150"/>
    </row>
    <row r="847" spans="5:34">
      <c r="E847" s="31"/>
      <c r="F847" s="32"/>
      <c r="G847" s="29"/>
      <c r="H847" s="25"/>
      <c r="I847" s="25"/>
      <c r="J847" s="25"/>
      <c r="K847" s="25"/>
      <c r="L847" s="29"/>
      <c r="M847" s="29"/>
      <c r="N847" s="28"/>
      <c r="O847" s="30"/>
      <c r="P847" s="30"/>
      <c r="Q847" s="30"/>
      <c r="R847" s="30"/>
      <c r="S847" s="30"/>
      <c r="T847" s="30"/>
      <c r="U847" s="30"/>
      <c r="V847" s="29"/>
      <c r="W847" s="125"/>
      <c r="X847" s="149"/>
      <c r="Y847" s="149"/>
      <c r="Z847" s="150"/>
      <c r="AA847" s="150"/>
      <c r="AB847" s="151"/>
      <c r="AC847" s="150"/>
      <c r="AD847" s="150"/>
      <c r="AE847" s="150"/>
      <c r="AF847" s="150"/>
      <c r="AG847" s="150"/>
      <c r="AH847" s="150"/>
    </row>
    <row r="848" spans="5:34">
      <c r="E848" s="31"/>
      <c r="F848" s="32"/>
      <c r="G848" s="29"/>
      <c r="H848" s="25"/>
      <c r="I848" s="25"/>
      <c r="J848" s="25"/>
      <c r="K848" s="25"/>
      <c r="L848" s="29"/>
      <c r="M848" s="29"/>
      <c r="N848" s="28"/>
      <c r="O848" s="30"/>
      <c r="P848" s="30"/>
      <c r="Q848" s="30"/>
      <c r="R848" s="30"/>
      <c r="S848" s="30"/>
      <c r="T848" s="30"/>
      <c r="U848" s="30"/>
      <c r="V848" s="29"/>
      <c r="W848" s="125"/>
      <c r="X848" s="149"/>
      <c r="Y848" s="149"/>
      <c r="Z848" s="150"/>
      <c r="AA848" s="150"/>
      <c r="AB848" s="151"/>
      <c r="AC848" s="150"/>
      <c r="AD848" s="150"/>
      <c r="AE848" s="150"/>
      <c r="AF848" s="150"/>
      <c r="AG848" s="150"/>
      <c r="AH848" s="150"/>
    </row>
    <row r="849" spans="5:34">
      <c r="E849" s="31"/>
      <c r="F849" s="32"/>
      <c r="G849" s="29"/>
      <c r="H849" s="25"/>
      <c r="I849" s="25"/>
      <c r="J849" s="25"/>
      <c r="K849" s="25"/>
      <c r="L849" s="29"/>
      <c r="M849" s="29"/>
      <c r="N849" s="28"/>
      <c r="O849" s="30"/>
      <c r="P849" s="30"/>
      <c r="Q849" s="30"/>
      <c r="R849" s="30"/>
      <c r="S849" s="30"/>
      <c r="T849" s="30"/>
      <c r="U849" s="30"/>
      <c r="V849" s="29"/>
      <c r="W849" s="125"/>
      <c r="X849" s="149"/>
      <c r="Y849" s="149"/>
      <c r="Z849" s="150"/>
      <c r="AA849" s="150"/>
      <c r="AB849" s="151"/>
      <c r="AC849" s="150"/>
      <c r="AD849" s="150"/>
      <c r="AE849" s="150"/>
      <c r="AF849" s="150"/>
      <c r="AG849" s="150"/>
      <c r="AH849" s="150"/>
    </row>
    <row r="850" spans="5:34">
      <c r="E850" s="31"/>
      <c r="F850" s="32"/>
      <c r="G850" s="29"/>
      <c r="H850" s="25"/>
      <c r="I850" s="25"/>
      <c r="J850" s="25"/>
      <c r="K850" s="25"/>
      <c r="L850" s="29"/>
      <c r="M850" s="29"/>
      <c r="N850" s="28"/>
      <c r="O850" s="30"/>
      <c r="P850" s="30"/>
      <c r="Q850" s="30"/>
      <c r="R850" s="30"/>
      <c r="S850" s="30"/>
      <c r="T850" s="30"/>
      <c r="U850" s="30"/>
      <c r="V850" s="29"/>
      <c r="W850" s="125"/>
      <c r="X850" s="149"/>
      <c r="Y850" s="149"/>
      <c r="Z850" s="150"/>
      <c r="AA850" s="150"/>
      <c r="AB850" s="151"/>
      <c r="AC850" s="150"/>
      <c r="AD850" s="150"/>
      <c r="AE850" s="150"/>
      <c r="AF850" s="150"/>
      <c r="AG850" s="150"/>
      <c r="AH850" s="150"/>
    </row>
    <row r="851" spans="5:34">
      <c r="E851" s="31"/>
      <c r="F851" s="32"/>
      <c r="G851" s="29"/>
      <c r="H851" s="25"/>
      <c r="I851" s="25"/>
      <c r="J851" s="25"/>
      <c r="K851" s="25"/>
      <c r="L851" s="29"/>
      <c r="M851" s="29"/>
      <c r="N851" s="28"/>
      <c r="O851" s="30"/>
      <c r="P851" s="30"/>
      <c r="Q851" s="30"/>
      <c r="R851" s="30"/>
      <c r="S851" s="30"/>
      <c r="T851" s="30"/>
      <c r="U851" s="30"/>
      <c r="V851" s="29"/>
      <c r="W851" s="125"/>
      <c r="X851" s="149"/>
      <c r="Y851" s="149"/>
      <c r="Z851" s="150"/>
      <c r="AA851" s="150"/>
      <c r="AB851" s="151"/>
      <c r="AC851" s="150"/>
      <c r="AD851" s="150"/>
      <c r="AE851" s="150"/>
      <c r="AF851" s="150"/>
      <c r="AG851" s="150"/>
      <c r="AH851" s="150"/>
    </row>
    <row r="852" spans="5:34">
      <c r="E852" s="31"/>
      <c r="F852" s="32"/>
      <c r="G852" s="29"/>
      <c r="H852" s="25"/>
      <c r="I852" s="25"/>
      <c r="J852" s="25"/>
      <c r="K852" s="25"/>
      <c r="L852" s="29"/>
      <c r="M852" s="29"/>
      <c r="N852" s="28"/>
      <c r="O852" s="30"/>
      <c r="P852" s="30"/>
      <c r="Q852" s="30"/>
      <c r="R852" s="30"/>
      <c r="S852" s="30"/>
      <c r="T852" s="30"/>
      <c r="U852" s="30"/>
      <c r="V852" s="29"/>
      <c r="W852" s="125"/>
      <c r="X852" s="149"/>
      <c r="Y852" s="149"/>
      <c r="Z852" s="150"/>
      <c r="AA852" s="150"/>
      <c r="AB852" s="151"/>
      <c r="AC852" s="150"/>
      <c r="AD852" s="150"/>
      <c r="AE852" s="150"/>
      <c r="AF852" s="150"/>
      <c r="AG852" s="150"/>
      <c r="AH852" s="150"/>
    </row>
    <row r="853" spans="5:34">
      <c r="E853" s="31"/>
      <c r="F853" s="32"/>
      <c r="G853" s="29"/>
      <c r="H853" s="25"/>
      <c r="I853" s="25"/>
      <c r="J853" s="25"/>
      <c r="K853" s="25"/>
      <c r="L853" s="29"/>
      <c r="M853" s="29"/>
      <c r="N853" s="28"/>
      <c r="O853" s="30"/>
      <c r="P853" s="30"/>
      <c r="Q853" s="30"/>
      <c r="R853" s="30"/>
      <c r="S853" s="30"/>
      <c r="T853" s="30"/>
      <c r="U853" s="30"/>
      <c r="V853" s="29"/>
      <c r="W853" s="125"/>
      <c r="X853" s="149"/>
      <c r="Y853" s="149"/>
      <c r="Z853" s="150"/>
      <c r="AA853" s="150"/>
      <c r="AB853" s="151"/>
      <c r="AC853" s="150"/>
      <c r="AD853" s="150"/>
      <c r="AE853" s="150"/>
      <c r="AF853" s="150"/>
      <c r="AG853" s="150"/>
      <c r="AH853" s="150"/>
    </row>
    <row r="854" spans="5:34">
      <c r="E854" s="31"/>
      <c r="F854" s="32"/>
      <c r="G854" s="29"/>
      <c r="H854" s="25"/>
      <c r="I854" s="25"/>
      <c r="J854" s="25"/>
      <c r="K854" s="25"/>
      <c r="L854" s="29"/>
      <c r="M854" s="29"/>
      <c r="N854" s="28"/>
      <c r="O854" s="30"/>
      <c r="P854" s="30"/>
      <c r="Q854" s="30"/>
      <c r="R854" s="30"/>
      <c r="S854" s="30"/>
      <c r="T854" s="30"/>
      <c r="U854" s="30"/>
      <c r="V854" s="29"/>
      <c r="W854" s="125"/>
      <c r="X854" s="149"/>
      <c r="Y854" s="149"/>
      <c r="Z854" s="150"/>
      <c r="AA854" s="150"/>
      <c r="AB854" s="151"/>
      <c r="AC854" s="150"/>
      <c r="AD854" s="150"/>
      <c r="AE854" s="150"/>
      <c r="AF854" s="150"/>
      <c r="AG854" s="150"/>
      <c r="AH854" s="150"/>
    </row>
    <row r="855" spans="5:34">
      <c r="E855" s="31"/>
      <c r="F855" s="32"/>
      <c r="G855" s="29"/>
      <c r="H855" s="25"/>
      <c r="I855" s="25"/>
      <c r="J855" s="25"/>
      <c r="K855" s="25"/>
      <c r="L855" s="29"/>
      <c r="M855" s="29"/>
      <c r="N855" s="28"/>
      <c r="O855" s="30"/>
      <c r="P855" s="30"/>
      <c r="Q855" s="30"/>
      <c r="R855" s="30"/>
      <c r="S855" s="30"/>
      <c r="T855" s="30"/>
      <c r="U855" s="30"/>
      <c r="V855" s="29"/>
      <c r="W855" s="125"/>
      <c r="X855" s="149"/>
      <c r="Y855" s="149"/>
      <c r="Z855" s="150"/>
      <c r="AA855" s="150"/>
      <c r="AB855" s="151"/>
      <c r="AC855" s="150"/>
      <c r="AD855" s="150"/>
      <c r="AE855" s="150"/>
      <c r="AF855" s="150"/>
      <c r="AG855" s="150"/>
      <c r="AH855" s="150"/>
    </row>
    <row r="856" spans="5:34">
      <c r="E856" s="31"/>
      <c r="F856" s="32"/>
      <c r="G856" s="29"/>
      <c r="H856" s="25"/>
      <c r="I856" s="25"/>
      <c r="J856" s="25"/>
      <c r="K856" s="25"/>
      <c r="L856" s="29"/>
      <c r="M856" s="29"/>
      <c r="N856" s="28"/>
      <c r="O856" s="30"/>
      <c r="P856" s="30"/>
      <c r="Q856" s="30"/>
      <c r="R856" s="30"/>
      <c r="S856" s="30"/>
      <c r="T856" s="30"/>
      <c r="U856" s="30"/>
      <c r="V856" s="29"/>
      <c r="W856" s="125"/>
      <c r="X856" s="149"/>
      <c r="Y856" s="149"/>
      <c r="Z856" s="150"/>
      <c r="AA856" s="150"/>
      <c r="AB856" s="151"/>
      <c r="AC856" s="150"/>
      <c r="AD856" s="150"/>
      <c r="AE856" s="150"/>
      <c r="AF856" s="150"/>
      <c r="AG856" s="150"/>
      <c r="AH856" s="150"/>
    </row>
    <row r="857" spans="5:34">
      <c r="E857" s="31"/>
      <c r="F857" s="32"/>
      <c r="G857" s="29"/>
      <c r="H857" s="25"/>
      <c r="I857" s="25"/>
      <c r="J857" s="25"/>
      <c r="K857" s="25"/>
      <c r="L857" s="29"/>
      <c r="M857" s="29"/>
      <c r="N857" s="28"/>
      <c r="O857" s="30"/>
      <c r="P857" s="30"/>
      <c r="Q857" s="30"/>
      <c r="R857" s="30"/>
      <c r="S857" s="30"/>
      <c r="T857" s="30"/>
      <c r="U857" s="30"/>
      <c r="V857" s="29"/>
      <c r="W857" s="125"/>
      <c r="X857" s="149"/>
      <c r="Y857" s="149"/>
      <c r="Z857" s="150"/>
      <c r="AA857" s="150"/>
      <c r="AB857" s="151"/>
      <c r="AC857" s="150"/>
      <c r="AD857" s="150"/>
      <c r="AE857" s="150"/>
      <c r="AF857" s="150"/>
      <c r="AG857" s="150"/>
      <c r="AH857" s="150"/>
    </row>
    <row r="858" spans="5:34">
      <c r="E858" s="31"/>
      <c r="F858" s="32"/>
      <c r="G858" s="29"/>
      <c r="H858" s="25"/>
      <c r="I858" s="25"/>
      <c r="J858" s="25"/>
      <c r="K858" s="25"/>
      <c r="L858" s="29"/>
      <c r="M858" s="29"/>
      <c r="N858" s="28"/>
      <c r="O858" s="30"/>
      <c r="P858" s="30"/>
      <c r="Q858" s="30"/>
      <c r="R858" s="30"/>
      <c r="S858" s="30"/>
      <c r="T858" s="30"/>
      <c r="U858" s="30"/>
      <c r="V858" s="29"/>
      <c r="W858" s="125"/>
      <c r="X858" s="149"/>
      <c r="Y858" s="149"/>
      <c r="Z858" s="150"/>
      <c r="AA858" s="150"/>
      <c r="AB858" s="151"/>
      <c r="AC858" s="150"/>
      <c r="AD858" s="150"/>
      <c r="AE858" s="150"/>
      <c r="AF858" s="150"/>
      <c r="AG858" s="150"/>
      <c r="AH858" s="150"/>
    </row>
    <row r="859" spans="5:34">
      <c r="E859" s="31"/>
      <c r="F859" s="32"/>
      <c r="G859" s="29"/>
      <c r="H859" s="25"/>
      <c r="I859" s="25"/>
      <c r="J859" s="25"/>
      <c r="K859" s="25"/>
      <c r="L859" s="29"/>
      <c r="M859" s="29"/>
      <c r="N859" s="28"/>
      <c r="O859" s="30"/>
      <c r="P859" s="30"/>
      <c r="Q859" s="30"/>
      <c r="R859" s="30"/>
      <c r="S859" s="30"/>
      <c r="T859" s="30"/>
      <c r="U859" s="30"/>
      <c r="V859" s="29"/>
      <c r="W859" s="125"/>
      <c r="X859" s="149"/>
      <c r="Y859" s="149"/>
      <c r="Z859" s="150"/>
      <c r="AA859" s="150"/>
      <c r="AB859" s="151"/>
      <c r="AC859" s="150"/>
      <c r="AD859" s="150"/>
      <c r="AE859" s="150"/>
      <c r="AF859" s="150"/>
      <c r="AG859" s="150"/>
      <c r="AH859" s="150"/>
    </row>
    <row r="860" spans="5:34">
      <c r="E860" s="31"/>
      <c r="F860" s="32"/>
      <c r="G860" s="29"/>
      <c r="H860" s="25"/>
      <c r="I860" s="25"/>
      <c r="J860" s="25"/>
      <c r="K860" s="25"/>
      <c r="L860" s="29"/>
      <c r="M860" s="29"/>
      <c r="N860" s="28"/>
      <c r="O860" s="30"/>
      <c r="P860" s="30"/>
      <c r="Q860" s="30"/>
      <c r="R860" s="30"/>
      <c r="S860" s="30"/>
      <c r="T860" s="30"/>
      <c r="U860" s="30"/>
      <c r="V860" s="29"/>
      <c r="W860" s="125"/>
      <c r="X860" s="149"/>
      <c r="Y860" s="149"/>
      <c r="Z860" s="150"/>
      <c r="AA860" s="150"/>
      <c r="AB860" s="151"/>
      <c r="AC860" s="150"/>
      <c r="AD860" s="150"/>
      <c r="AE860" s="150"/>
      <c r="AF860" s="150"/>
      <c r="AG860" s="150"/>
      <c r="AH860" s="150"/>
    </row>
    <row r="861" spans="5:34">
      <c r="E861" s="31"/>
      <c r="F861" s="32"/>
      <c r="G861" s="29"/>
      <c r="H861" s="25"/>
      <c r="I861" s="25"/>
      <c r="J861" s="25"/>
      <c r="K861" s="25"/>
      <c r="L861" s="29"/>
      <c r="M861" s="29"/>
      <c r="N861" s="28"/>
      <c r="O861" s="30"/>
      <c r="P861" s="30"/>
      <c r="Q861" s="30"/>
      <c r="R861" s="30"/>
      <c r="S861" s="30"/>
      <c r="T861" s="30"/>
      <c r="U861" s="30"/>
      <c r="V861" s="29"/>
      <c r="W861" s="125"/>
      <c r="X861" s="149"/>
      <c r="Y861" s="149"/>
      <c r="Z861" s="150"/>
      <c r="AA861" s="150"/>
      <c r="AB861" s="151"/>
      <c r="AC861" s="150"/>
      <c r="AD861" s="150"/>
      <c r="AE861" s="150"/>
      <c r="AF861" s="150"/>
      <c r="AG861" s="150"/>
      <c r="AH861" s="150"/>
    </row>
    <row r="862" spans="5:34">
      <c r="E862" s="31"/>
      <c r="F862" s="32"/>
      <c r="G862" s="29"/>
      <c r="H862" s="25"/>
      <c r="I862" s="25"/>
      <c r="J862" s="25"/>
      <c r="K862" s="25"/>
      <c r="L862" s="29"/>
      <c r="M862" s="29"/>
      <c r="N862" s="28"/>
      <c r="O862" s="30"/>
      <c r="P862" s="30"/>
      <c r="Q862" s="30"/>
      <c r="R862" s="30"/>
      <c r="S862" s="30"/>
      <c r="T862" s="30"/>
      <c r="U862" s="30"/>
      <c r="V862" s="29"/>
      <c r="W862" s="125"/>
      <c r="X862" s="149"/>
      <c r="Y862" s="149"/>
      <c r="Z862" s="150"/>
      <c r="AA862" s="150"/>
      <c r="AB862" s="151"/>
      <c r="AC862" s="150"/>
      <c r="AD862" s="150"/>
      <c r="AE862" s="150"/>
      <c r="AF862" s="150"/>
      <c r="AG862" s="150"/>
      <c r="AH862" s="150"/>
    </row>
    <row r="863" spans="5:34">
      <c r="E863" s="31"/>
      <c r="F863" s="32"/>
      <c r="G863" s="29"/>
      <c r="H863" s="25"/>
      <c r="I863" s="25"/>
      <c r="J863" s="25"/>
      <c r="K863" s="25"/>
      <c r="L863" s="29"/>
      <c r="M863" s="29"/>
      <c r="N863" s="28"/>
      <c r="O863" s="30"/>
      <c r="P863" s="30"/>
      <c r="Q863" s="30"/>
      <c r="R863" s="30"/>
      <c r="S863" s="30"/>
      <c r="T863" s="30"/>
      <c r="U863" s="30"/>
      <c r="V863" s="29"/>
      <c r="W863" s="125"/>
      <c r="X863" s="149"/>
      <c r="Y863" s="149"/>
      <c r="Z863" s="150"/>
      <c r="AA863" s="150"/>
      <c r="AB863" s="151"/>
      <c r="AC863" s="150"/>
      <c r="AD863" s="150"/>
      <c r="AE863" s="150"/>
      <c r="AF863" s="150"/>
      <c r="AG863" s="150"/>
      <c r="AH863" s="150"/>
    </row>
    <row r="864" spans="5:34">
      <c r="E864" s="31"/>
      <c r="F864" s="32"/>
      <c r="G864" s="29"/>
      <c r="H864" s="25"/>
      <c r="I864" s="25"/>
      <c r="J864" s="25"/>
      <c r="K864" s="25"/>
      <c r="L864" s="29"/>
      <c r="M864" s="29"/>
      <c r="N864" s="28"/>
      <c r="O864" s="30"/>
      <c r="P864" s="30"/>
      <c r="Q864" s="30"/>
      <c r="R864" s="30"/>
      <c r="S864" s="30"/>
      <c r="T864" s="30"/>
      <c r="U864" s="30"/>
      <c r="V864" s="29"/>
      <c r="W864" s="125"/>
      <c r="X864" s="149"/>
      <c r="Y864" s="149"/>
      <c r="Z864" s="150"/>
      <c r="AA864" s="150"/>
      <c r="AB864" s="151"/>
      <c r="AC864" s="150"/>
      <c r="AD864" s="150"/>
      <c r="AE864" s="150"/>
      <c r="AF864" s="150"/>
      <c r="AG864" s="150"/>
      <c r="AH864" s="150"/>
    </row>
    <row r="865" spans="5:34">
      <c r="E865" s="31"/>
      <c r="F865" s="32"/>
      <c r="G865" s="29"/>
      <c r="H865" s="25"/>
      <c r="I865" s="25"/>
      <c r="J865" s="25"/>
      <c r="K865" s="25"/>
      <c r="L865" s="29"/>
      <c r="M865" s="29"/>
      <c r="N865" s="28"/>
      <c r="O865" s="30"/>
      <c r="P865" s="30"/>
      <c r="Q865" s="30"/>
      <c r="R865" s="30"/>
      <c r="S865" s="30"/>
      <c r="T865" s="30"/>
      <c r="U865" s="30"/>
      <c r="V865" s="29"/>
      <c r="W865" s="125"/>
      <c r="X865" s="149"/>
      <c r="Y865" s="149"/>
      <c r="Z865" s="150"/>
      <c r="AA865" s="150"/>
      <c r="AB865" s="151"/>
      <c r="AC865" s="150"/>
      <c r="AD865" s="150"/>
      <c r="AE865" s="150"/>
      <c r="AF865" s="150"/>
      <c r="AG865" s="150"/>
      <c r="AH865" s="150"/>
    </row>
    <row r="866" spans="5:34">
      <c r="E866" s="31"/>
      <c r="F866" s="32"/>
      <c r="G866" s="29"/>
      <c r="H866" s="25"/>
      <c r="I866" s="25"/>
      <c r="J866" s="25"/>
      <c r="K866" s="25"/>
      <c r="L866" s="29"/>
      <c r="M866" s="29"/>
      <c r="N866" s="28"/>
      <c r="O866" s="30"/>
      <c r="P866" s="30"/>
      <c r="Q866" s="30"/>
      <c r="R866" s="30"/>
      <c r="S866" s="30"/>
      <c r="T866" s="30"/>
      <c r="U866" s="30"/>
      <c r="V866" s="29"/>
      <c r="W866" s="125"/>
      <c r="X866" s="149"/>
      <c r="Y866" s="149"/>
      <c r="Z866" s="150"/>
      <c r="AA866" s="150"/>
      <c r="AB866" s="151"/>
      <c r="AC866" s="150"/>
      <c r="AD866" s="150"/>
      <c r="AE866" s="150"/>
      <c r="AF866" s="150"/>
      <c r="AG866" s="150"/>
      <c r="AH866" s="150"/>
    </row>
    <row r="867" spans="5:34">
      <c r="E867" s="31"/>
      <c r="F867" s="32"/>
      <c r="G867" s="29"/>
      <c r="H867" s="25"/>
      <c r="I867" s="25"/>
      <c r="J867" s="25"/>
      <c r="K867" s="25"/>
      <c r="L867" s="29"/>
      <c r="M867" s="29"/>
      <c r="N867" s="28"/>
      <c r="O867" s="30"/>
      <c r="P867" s="30"/>
      <c r="Q867" s="30"/>
      <c r="R867" s="30"/>
      <c r="S867" s="30"/>
      <c r="T867" s="30"/>
      <c r="U867" s="30"/>
      <c r="V867" s="29"/>
      <c r="W867" s="125"/>
      <c r="X867" s="149"/>
      <c r="Y867" s="149"/>
      <c r="Z867" s="150"/>
      <c r="AA867" s="150"/>
      <c r="AB867" s="151"/>
      <c r="AC867" s="150"/>
      <c r="AD867" s="150"/>
      <c r="AE867" s="150"/>
      <c r="AF867" s="150"/>
      <c r="AG867" s="150"/>
      <c r="AH867" s="150"/>
    </row>
    <row r="868" spans="5:34">
      <c r="E868" s="31"/>
      <c r="F868" s="32"/>
      <c r="G868" s="29"/>
      <c r="H868" s="25"/>
      <c r="I868" s="25"/>
      <c r="J868" s="25"/>
      <c r="K868" s="25"/>
      <c r="L868" s="29"/>
      <c r="M868" s="29"/>
      <c r="N868" s="28"/>
      <c r="O868" s="30"/>
      <c r="P868" s="30"/>
      <c r="Q868" s="30"/>
      <c r="R868" s="30"/>
      <c r="S868" s="30"/>
      <c r="T868" s="30"/>
      <c r="U868" s="30"/>
      <c r="V868" s="29"/>
      <c r="W868" s="125"/>
      <c r="X868" s="149"/>
      <c r="Y868" s="149"/>
      <c r="Z868" s="150"/>
      <c r="AA868" s="150"/>
      <c r="AB868" s="151"/>
      <c r="AC868" s="150"/>
      <c r="AD868" s="150"/>
      <c r="AE868" s="150"/>
      <c r="AF868" s="150"/>
      <c r="AG868" s="150"/>
      <c r="AH868" s="150"/>
    </row>
    <row r="869" spans="5:34">
      <c r="E869" s="31"/>
      <c r="F869" s="32"/>
      <c r="G869" s="29"/>
      <c r="H869" s="25"/>
      <c r="I869" s="25"/>
      <c r="J869" s="25"/>
      <c r="K869" s="25"/>
      <c r="L869" s="29"/>
      <c r="M869" s="29"/>
      <c r="N869" s="28"/>
      <c r="O869" s="30"/>
      <c r="P869" s="30"/>
      <c r="Q869" s="30"/>
      <c r="R869" s="30"/>
      <c r="S869" s="30"/>
      <c r="T869" s="30"/>
      <c r="U869" s="30"/>
      <c r="V869" s="29"/>
      <c r="W869" s="125"/>
      <c r="X869" s="149"/>
      <c r="Y869" s="149"/>
      <c r="Z869" s="150"/>
      <c r="AA869" s="150"/>
      <c r="AB869" s="151"/>
      <c r="AC869" s="150"/>
      <c r="AD869" s="150"/>
      <c r="AE869" s="150"/>
      <c r="AF869" s="150"/>
      <c r="AG869" s="150"/>
      <c r="AH869" s="150"/>
    </row>
    <row r="870" spans="5:34">
      <c r="E870" s="31"/>
      <c r="F870" s="32"/>
      <c r="G870" s="29"/>
      <c r="H870" s="25"/>
      <c r="I870" s="25"/>
      <c r="J870" s="25"/>
      <c r="K870" s="25"/>
      <c r="L870" s="29"/>
      <c r="M870" s="29"/>
      <c r="N870" s="28"/>
      <c r="O870" s="30"/>
      <c r="P870" s="30"/>
      <c r="Q870" s="30"/>
      <c r="R870" s="30"/>
      <c r="S870" s="30"/>
      <c r="T870" s="30"/>
      <c r="U870" s="30"/>
      <c r="V870" s="29"/>
      <c r="W870" s="125"/>
      <c r="X870" s="149"/>
      <c r="Y870" s="149"/>
      <c r="Z870" s="150"/>
      <c r="AA870" s="150"/>
      <c r="AB870" s="151"/>
      <c r="AC870" s="150"/>
      <c r="AD870" s="150"/>
      <c r="AE870" s="150"/>
      <c r="AF870" s="150"/>
      <c r="AG870" s="150"/>
      <c r="AH870" s="150"/>
    </row>
    <row r="871" spans="5:34">
      <c r="E871" s="31"/>
      <c r="F871" s="32"/>
      <c r="G871" s="29"/>
      <c r="H871" s="25"/>
      <c r="I871" s="25"/>
      <c r="J871" s="25"/>
      <c r="K871" s="25"/>
      <c r="L871" s="29"/>
      <c r="M871" s="29"/>
      <c r="N871" s="28"/>
      <c r="O871" s="30"/>
      <c r="P871" s="30"/>
      <c r="Q871" s="30"/>
      <c r="R871" s="30"/>
      <c r="S871" s="30"/>
      <c r="T871" s="30"/>
      <c r="U871" s="30"/>
      <c r="V871" s="29"/>
      <c r="W871" s="125"/>
      <c r="X871" s="149"/>
      <c r="Y871" s="149"/>
      <c r="Z871" s="150"/>
      <c r="AA871" s="150"/>
      <c r="AB871" s="151"/>
      <c r="AC871" s="150"/>
      <c r="AD871" s="150"/>
      <c r="AE871" s="150"/>
      <c r="AF871" s="150"/>
      <c r="AG871" s="150"/>
      <c r="AH871" s="150"/>
    </row>
    <row r="872" spans="5:34">
      <c r="E872" s="31"/>
      <c r="F872" s="32"/>
      <c r="G872" s="29"/>
      <c r="H872" s="25"/>
      <c r="I872" s="25"/>
      <c r="J872" s="25"/>
      <c r="K872" s="25"/>
      <c r="L872" s="29"/>
      <c r="M872" s="29"/>
      <c r="N872" s="28"/>
      <c r="O872" s="30"/>
      <c r="P872" s="30"/>
      <c r="Q872" s="30"/>
      <c r="R872" s="30"/>
      <c r="S872" s="30"/>
      <c r="T872" s="30"/>
      <c r="U872" s="30"/>
      <c r="V872" s="29"/>
      <c r="W872" s="125"/>
      <c r="X872" s="149"/>
      <c r="Y872" s="149"/>
      <c r="Z872" s="150"/>
      <c r="AA872" s="150"/>
      <c r="AB872" s="151"/>
      <c r="AC872" s="150"/>
      <c r="AD872" s="150"/>
      <c r="AE872" s="150"/>
      <c r="AF872" s="150"/>
      <c r="AG872" s="150"/>
      <c r="AH872" s="150"/>
    </row>
    <row r="873" spans="5:34">
      <c r="E873" s="31"/>
      <c r="F873" s="32"/>
      <c r="G873" s="29"/>
      <c r="H873" s="25"/>
      <c r="I873" s="25"/>
      <c r="J873" s="25"/>
      <c r="K873" s="25"/>
      <c r="L873" s="29"/>
      <c r="M873" s="29"/>
      <c r="N873" s="28"/>
      <c r="O873" s="30"/>
      <c r="P873" s="30"/>
      <c r="Q873" s="30"/>
      <c r="R873" s="30"/>
      <c r="S873" s="30"/>
      <c r="T873" s="30"/>
      <c r="U873" s="30"/>
      <c r="V873" s="29"/>
      <c r="W873" s="125"/>
      <c r="X873" s="149"/>
      <c r="Y873" s="149"/>
      <c r="Z873" s="150"/>
      <c r="AA873" s="150"/>
      <c r="AB873" s="151"/>
      <c r="AC873" s="150"/>
      <c r="AD873" s="150"/>
      <c r="AE873" s="150"/>
      <c r="AF873" s="150"/>
      <c r="AG873" s="150"/>
      <c r="AH873" s="150"/>
    </row>
    <row r="874" spans="5:34">
      <c r="E874" s="31"/>
      <c r="F874" s="32"/>
      <c r="G874" s="29"/>
      <c r="H874" s="25"/>
      <c r="I874" s="25"/>
      <c r="J874" s="25"/>
      <c r="K874" s="25"/>
      <c r="L874" s="29"/>
      <c r="M874" s="29"/>
      <c r="N874" s="28"/>
      <c r="O874" s="30"/>
      <c r="P874" s="30"/>
      <c r="Q874" s="30"/>
      <c r="R874" s="30"/>
      <c r="S874" s="30"/>
      <c r="T874" s="30"/>
      <c r="U874" s="30"/>
      <c r="V874" s="29"/>
      <c r="W874" s="125"/>
      <c r="X874" s="149"/>
      <c r="Y874" s="149"/>
      <c r="Z874" s="150"/>
      <c r="AA874" s="150"/>
      <c r="AB874" s="151"/>
      <c r="AC874" s="150"/>
      <c r="AD874" s="150"/>
      <c r="AE874" s="150"/>
      <c r="AF874" s="150"/>
      <c r="AG874" s="150"/>
      <c r="AH874" s="150"/>
    </row>
    <row r="875" spans="5:34">
      <c r="E875" s="31"/>
      <c r="F875" s="32"/>
      <c r="G875" s="29"/>
      <c r="H875" s="25"/>
      <c r="I875" s="25"/>
      <c r="J875" s="25"/>
      <c r="K875" s="25"/>
      <c r="L875" s="29"/>
      <c r="M875" s="29"/>
      <c r="N875" s="28"/>
      <c r="O875" s="30"/>
      <c r="P875" s="30"/>
      <c r="Q875" s="30"/>
      <c r="R875" s="30"/>
      <c r="S875" s="30"/>
      <c r="T875" s="30"/>
      <c r="U875" s="30"/>
      <c r="V875" s="29"/>
      <c r="W875" s="125"/>
      <c r="X875" s="149"/>
      <c r="Y875" s="149"/>
      <c r="Z875" s="150"/>
      <c r="AA875" s="150"/>
      <c r="AB875" s="151"/>
      <c r="AC875" s="150"/>
      <c r="AD875" s="150"/>
      <c r="AE875" s="150"/>
      <c r="AF875" s="150"/>
      <c r="AG875" s="150"/>
      <c r="AH875" s="150"/>
    </row>
    <row r="876" spans="5:34">
      <c r="E876" s="31"/>
      <c r="F876" s="32"/>
      <c r="G876" s="29"/>
      <c r="H876" s="25"/>
      <c r="I876" s="25"/>
      <c r="J876" s="25"/>
      <c r="K876" s="25"/>
      <c r="L876" s="29"/>
      <c r="M876" s="29"/>
      <c r="N876" s="28"/>
      <c r="O876" s="30"/>
      <c r="P876" s="30"/>
      <c r="Q876" s="30"/>
      <c r="R876" s="30"/>
      <c r="S876" s="30"/>
      <c r="T876" s="30"/>
      <c r="U876" s="30"/>
      <c r="V876" s="29"/>
      <c r="W876" s="125"/>
      <c r="X876" s="149"/>
      <c r="Y876" s="149"/>
      <c r="Z876" s="150"/>
      <c r="AA876" s="150"/>
      <c r="AB876" s="151"/>
      <c r="AC876" s="150"/>
      <c r="AD876" s="150"/>
      <c r="AE876" s="150"/>
      <c r="AF876" s="150"/>
      <c r="AG876" s="150"/>
      <c r="AH876" s="150"/>
    </row>
    <row r="877" spans="5:34">
      <c r="E877" s="31"/>
      <c r="F877" s="32"/>
      <c r="G877" s="29"/>
      <c r="H877" s="25"/>
      <c r="I877" s="25"/>
      <c r="J877" s="25"/>
      <c r="K877" s="25"/>
      <c r="L877" s="29"/>
      <c r="M877" s="29"/>
      <c r="N877" s="28"/>
      <c r="O877" s="30"/>
      <c r="P877" s="30"/>
      <c r="Q877" s="30"/>
      <c r="R877" s="30"/>
      <c r="S877" s="30"/>
      <c r="T877" s="30"/>
      <c r="U877" s="30"/>
      <c r="V877" s="29"/>
      <c r="W877" s="125"/>
      <c r="X877" s="149"/>
      <c r="Y877" s="149"/>
      <c r="Z877" s="150"/>
      <c r="AA877" s="150"/>
      <c r="AB877" s="151"/>
      <c r="AC877" s="150"/>
      <c r="AD877" s="150"/>
      <c r="AE877" s="150"/>
      <c r="AF877" s="150"/>
      <c r="AG877" s="150"/>
      <c r="AH877" s="150"/>
    </row>
    <row r="878" spans="5:34">
      <c r="E878" s="31"/>
      <c r="F878" s="32"/>
      <c r="G878" s="29"/>
      <c r="H878" s="25"/>
      <c r="I878" s="25"/>
      <c r="J878" s="25"/>
      <c r="K878" s="25"/>
      <c r="L878" s="29"/>
      <c r="M878" s="29"/>
      <c r="N878" s="28"/>
      <c r="O878" s="30"/>
      <c r="P878" s="30"/>
      <c r="Q878" s="30"/>
      <c r="R878" s="30"/>
      <c r="S878" s="30"/>
      <c r="T878" s="30"/>
      <c r="U878" s="30"/>
      <c r="V878" s="29"/>
      <c r="W878" s="125"/>
      <c r="X878" s="149"/>
      <c r="Y878" s="149"/>
      <c r="Z878" s="150"/>
      <c r="AA878" s="150"/>
      <c r="AB878" s="151"/>
      <c r="AC878" s="150"/>
      <c r="AD878" s="150"/>
      <c r="AE878" s="150"/>
      <c r="AF878" s="150"/>
      <c r="AG878" s="150"/>
      <c r="AH878" s="150"/>
    </row>
    <row r="879" spans="5:34">
      <c r="E879" s="31"/>
      <c r="F879" s="32"/>
      <c r="G879" s="29"/>
      <c r="H879" s="25"/>
      <c r="I879" s="25"/>
      <c r="J879" s="25"/>
      <c r="K879" s="25"/>
      <c r="L879" s="29"/>
      <c r="M879" s="29"/>
      <c r="N879" s="28"/>
      <c r="O879" s="30"/>
      <c r="P879" s="30"/>
      <c r="Q879" s="30"/>
      <c r="R879" s="30"/>
      <c r="S879" s="30"/>
      <c r="T879" s="30"/>
      <c r="U879" s="30"/>
      <c r="V879" s="29"/>
      <c r="W879" s="125"/>
      <c r="X879" s="149"/>
      <c r="Y879" s="149"/>
      <c r="Z879" s="150"/>
      <c r="AA879" s="150"/>
      <c r="AB879" s="151"/>
      <c r="AC879" s="150"/>
      <c r="AD879" s="150"/>
      <c r="AE879" s="150"/>
      <c r="AF879" s="150"/>
      <c r="AG879" s="150"/>
      <c r="AH879" s="150"/>
    </row>
    <row r="880" spans="5:34">
      <c r="E880" s="31"/>
      <c r="F880" s="32"/>
      <c r="G880" s="29"/>
      <c r="H880" s="25"/>
      <c r="I880" s="25"/>
      <c r="J880" s="25"/>
      <c r="K880" s="25"/>
      <c r="L880" s="29"/>
      <c r="M880" s="29"/>
      <c r="N880" s="28"/>
      <c r="O880" s="30"/>
      <c r="P880" s="30"/>
      <c r="Q880" s="30"/>
      <c r="R880" s="30"/>
      <c r="S880" s="30"/>
      <c r="T880" s="30"/>
      <c r="U880" s="30"/>
      <c r="V880" s="29"/>
      <c r="W880" s="125"/>
      <c r="X880" s="149"/>
      <c r="Y880" s="149"/>
      <c r="Z880" s="150"/>
      <c r="AA880" s="150"/>
      <c r="AB880" s="151"/>
      <c r="AC880" s="150"/>
      <c r="AD880" s="150"/>
      <c r="AE880" s="150"/>
      <c r="AF880" s="150"/>
      <c r="AG880" s="150"/>
      <c r="AH880" s="150"/>
    </row>
    <row r="881" spans="5:34">
      <c r="E881" s="31"/>
      <c r="F881" s="32"/>
      <c r="G881" s="29"/>
      <c r="H881" s="25"/>
      <c r="I881" s="25"/>
      <c r="J881" s="25"/>
      <c r="K881" s="25"/>
      <c r="L881" s="29"/>
      <c r="M881" s="29"/>
      <c r="N881" s="28"/>
      <c r="O881" s="30"/>
      <c r="P881" s="30"/>
      <c r="Q881" s="30"/>
      <c r="R881" s="30"/>
      <c r="S881" s="30"/>
      <c r="T881" s="30"/>
      <c r="U881" s="30"/>
      <c r="V881" s="29"/>
      <c r="W881" s="125"/>
      <c r="X881" s="149"/>
      <c r="Y881" s="149"/>
      <c r="Z881" s="150"/>
      <c r="AA881" s="150"/>
      <c r="AB881" s="151"/>
      <c r="AC881" s="150"/>
      <c r="AD881" s="150"/>
      <c r="AE881" s="150"/>
      <c r="AF881" s="150"/>
      <c r="AG881" s="150"/>
      <c r="AH881" s="150"/>
    </row>
    <row r="882" spans="5:34">
      <c r="E882" s="31"/>
      <c r="F882" s="32"/>
      <c r="G882" s="29"/>
      <c r="H882" s="25"/>
      <c r="I882" s="25"/>
      <c r="J882" s="25"/>
      <c r="K882" s="25"/>
      <c r="L882" s="29"/>
      <c r="M882" s="29"/>
      <c r="N882" s="28"/>
      <c r="O882" s="30"/>
      <c r="P882" s="30"/>
      <c r="Q882" s="30"/>
      <c r="R882" s="30"/>
      <c r="S882" s="30"/>
      <c r="T882" s="30"/>
      <c r="U882" s="30"/>
      <c r="V882" s="29"/>
      <c r="W882" s="125"/>
      <c r="X882" s="149"/>
      <c r="Y882" s="149"/>
      <c r="Z882" s="150"/>
      <c r="AA882" s="150"/>
      <c r="AB882" s="151"/>
      <c r="AC882" s="150"/>
      <c r="AD882" s="150"/>
      <c r="AE882" s="150"/>
      <c r="AF882" s="150"/>
      <c r="AG882" s="150"/>
      <c r="AH882" s="150"/>
    </row>
    <row r="883" spans="5:34">
      <c r="E883" s="31"/>
      <c r="F883" s="32"/>
      <c r="G883" s="29"/>
      <c r="H883" s="25"/>
      <c r="I883" s="25"/>
      <c r="J883" s="25"/>
      <c r="K883" s="25"/>
      <c r="L883" s="29"/>
      <c r="M883" s="29"/>
      <c r="N883" s="28"/>
      <c r="O883" s="30"/>
      <c r="P883" s="30"/>
      <c r="Q883" s="30"/>
      <c r="R883" s="30"/>
      <c r="S883" s="30"/>
      <c r="T883" s="30"/>
      <c r="U883" s="30"/>
      <c r="V883" s="29"/>
      <c r="W883" s="125"/>
      <c r="X883" s="149"/>
      <c r="Y883" s="149"/>
      <c r="Z883" s="150"/>
      <c r="AA883" s="150"/>
      <c r="AB883" s="151"/>
      <c r="AC883" s="150"/>
      <c r="AD883" s="150"/>
      <c r="AE883" s="150"/>
      <c r="AF883" s="150"/>
      <c r="AG883" s="150"/>
      <c r="AH883" s="150"/>
    </row>
    <row r="884" spans="5:34">
      <c r="E884" s="31"/>
      <c r="F884" s="32"/>
      <c r="G884" s="29"/>
      <c r="H884" s="25"/>
      <c r="I884" s="25"/>
      <c r="J884" s="25"/>
      <c r="K884" s="25"/>
      <c r="L884" s="29"/>
      <c r="M884" s="29"/>
      <c r="N884" s="28"/>
      <c r="O884" s="30"/>
      <c r="P884" s="30"/>
      <c r="Q884" s="30"/>
      <c r="R884" s="30"/>
      <c r="S884" s="30"/>
      <c r="T884" s="30"/>
      <c r="U884" s="30"/>
      <c r="V884" s="29"/>
      <c r="W884" s="125"/>
      <c r="X884" s="149"/>
      <c r="Y884" s="149"/>
      <c r="Z884" s="150"/>
      <c r="AA884" s="150"/>
      <c r="AB884" s="151"/>
      <c r="AC884" s="150"/>
      <c r="AD884" s="150"/>
      <c r="AE884" s="150"/>
      <c r="AF884" s="150"/>
      <c r="AG884" s="150"/>
      <c r="AH884" s="150"/>
    </row>
    <row r="885" spans="5:34">
      <c r="E885" s="31"/>
      <c r="F885" s="32"/>
      <c r="G885" s="29"/>
      <c r="H885" s="25"/>
      <c r="I885" s="25"/>
      <c r="J885" s="25"/>
      <c r="K885" s="25"/>
      <c r="L885" s="29"/>
      <c r="M885" s="29"/>
      <c r="N885" s="28"/>
      <c r="O885" s="30"/>
      <c r="P885" s="30"/>
      <c r="Q885" s="30"/>
      <c r="R885" s="30"/>
      <c r="S885" s="30"/>
      <c r="T885" s="30"/>
      <c r="U885" s="30"/>
      <c r="V885" s="29"/>
      <c r="W885" s="125"/>
      <c r="X885" s="149"/>
      <c r="Y885" s="149"/>
      <c r="Z885" s="150"/>
      <c r="AA885" s="150"/>
      <c r="AB885" s="151"/>
      <c r="AC885" s="150"/>
      <c r="AD885" s="150"/>
      <c r="AE885" s="150"/>
      <c r="AF885" s="150"/>
      <c r="AG885" s="150"/>
      <c r="AH885" s="150"/>
    </row>
    <row r="886" spans="5:34">
      <c r="E886" s="31"/>
      <c r="F886" s="32"/>
      <c r="G886" s="29"/>
      <c r="H886" s="25"/>
      <c r="I886" s="25"/>
      <c r="J886" s="25"/>
      <c r="K886" s="25"/>
      <c r="L886" s="29"/>
      <c r="M886" s="29"/>
      <c r="N886" s="28"/>
      <c r="O886" s="30"/>
      <c r="P886" s="30"/>
      <c r="Q886" s="30"/>
      <c r="R886" s="30"/>
      <c r="S886" s="30"/>
      <c r="T886" s="30"/>
      <c r="U886" s="30"/>
      <c r="V886" s="29"/>
      <c r="W886" s="125"/>
      <c r="X886" s="149"/>
      <c r="Y886" s="149"/>
      <c r="Z886" s="150"/>
      <c r="AA886" s="150"/>
      <c r="AB886" s="151"/>
      <c r="AC886" s="150"/>
      <c r="AD886" s="150"/>
      <c r="AE886" s="150"/>
      <c r="AF886" s="150"/>
      <c r="AG886" s="150"/>
      <c r="AH886" s="150"/>
    </row>
    <row r="887" spans="5:34">
      <c r="E887" s="31"/>
      <c r="F887" s="32"/>
      <c r="G887" s="29"/>
      <c r="H887" s="25"/>
      <c r="I887" s="25"/>
      <c r="J887" s="25"/>
      <c r="K887" s="25"/>
      <c r="L887" s="29"/>
      <c r="M887" s="29"/>
      <c r="N887" s="28"/>
      <c r="O887" s="30"/>
      <c r="P887" s="30"/>
      <c r="Q887" s="30"/>
      <c r="R887" s="30"/>
      <c r="S887" s="30"/>
      <c r="T887" s="30"/>
      <c r="U887" s="30"/>
      <c r="V887" s="29"/>
      <c r="W887" s="125"/>
      <c r="X887" s="149"/>
      <c r="Y887" s="149"/>
      <c r="Z887" s="150"/>
      <c r="AA887" s="150"/>
      <c r="AB887" s="151"/>
      <c r="AC887" s="150"/>
      <c r="AD887" s="150"/>
      <c r="AE887" s="150"/>
      <c r="AF887" s="150"/>
      <c r="AG887" s="150"/>
      <c r="AH887" s="150"/>
    </row>
    <row r="888" spans="5:34">
      <c r="E888" s="31"/>
      <c r="F888" s="32"/>
      <c r="G888" s="29"/>
      <c r="H888" s="25"/>
      <c r="I888" s="25"/>
      <c r="J888" s="25"/>
      <c r="K888" s="25"/>
      <c r="L888" s="29"/>
      <c r="M888" s="29"/>
      <c r="N888" s="28"/>
      <c r="O888" s="30"/>
      <c r="P888" s="30"/>
      <c r="Q888" s="30"/>
      <c r="R888" s="30"/>
      <c r="S888" s="30"/>
      <c r="T888" s="30"/>
      <c r="U888" s="30"/>
      <c r="V888" s="29"/>
      <c r="W888" s="125"/>
      <c r="X888" s="149"/>
      <c r="Y888" s="149"/>
      <c r="Z888" s="150"/>
      <c r="AA888" s="150"/>
      <c r="AB888" s="151"/>
      <c r="AC888" s="150"/>
      <c r="AD888" s="150"/>
      <c r="AE888" s="150"/>
      <c r="AF888" s="150"/>
      <c r="AG888" s="150"/>
      <c r="AH888" s="150"/>
    </row>
    <row r="889" spans="5:34">
      <c r="E889" s="31"/>
      <c r="F889" s="32"/>
      <c r="G889" s="29"/>
      <c r="H889" s="25"/>
      <c r="I889" s="25"/>
      <c r="J889" s="25"/>
      <c r="K889" s="25"/>
      <c r="L889" s="29"/>
      <c r="M889" s="29"/>
      <c r="N889" s="28"/>
      <c r="O889" s="30"/>
      <c r="P889" s="30"/>
      <c r="Q889" s="30"/>
      <c r="R889" s="30"/>
      <c r="S889" s="30"/>
      <c r="T889" s="30"/>
      <c r="U889" s="30"/>
      <c r="V889" s="29"/>
      <c r="W889" s="125"/>
      <c r="X889" s="149"/>
      <c r="Y889" s="149"/>
      <c r="Z889" s="150"/>
      <c r="AA889" s="150"/>
      <c r="AB889" s="151"/>
      <c r="AC889" s="150"/>
      <c r="AD889" s="150"/>
      <c r="AE889" s="150"/>
      <c r="AF889" s="150"/>
      <c r="AG889" s="150"/>
      <c r="AH889" s="150"/>
    </row>
    <row r="890" spans="5:34">
      <c r="E890" s="31"/>
      <c r="F890" s="32"/>
      <c r="G890" s="29"/>
      <c r="H890" s="25"/>
      <c r="I890" s="25"/>
      <c r="J890" s="25"/>
      <c r="K890" s="25"/>
      <c r="L890" s="29"/>
      <c r="M890" s="29"/>
      <c r="N890" s="28"/>
      <c r="O890" s="30"/>
      <c r="P890" s="30"/>
      <c r="Q890" s="30"/>
      <c r="R890" s="30"/>
      <c r="S890" s="30"/>
      <c r="T890" s="30"/>
      <c r="U890" s="30"/>
      <c r="V890" s="29"/>
      <c r="W890" s="125"/>
      <c r="X890" s="149"/>
      <c r="Y890" s="149"/>
      <c r="Z890" s="150"/>
      <c r="AA890" s="150"/>
      <c r="AB890" s="151"/>
      <c r="AC890" s="150"/>
      <c r="AD890" s="150"/>
      <c r="AE890" s="150"/>
      <c r="AF890" s="150"/>
      <c r="AG890" s="150"/>
      <c r="AH890" s="150"/>
    </row>
    <row r="891" spans="5:34">
      <c r="E891" s="31"/>
      <c r="F891" s="32"/>
      <c r="G891" s="29"/>
      <c r="H891" s="25"/>
      <c r="I891" s="25"/>
      <c r="J891" s="25"/>
      <c r="K891" s="25"/>
      <c r="L891" s="29"/>
      <c r="M891" s="29"/>
      <c r="N891" s="28"/>
      <c r="O891" s="30"/>
      <c r="P891" s="30"/>
      <c r="Q891" s="30"/>
      <c r="R891" s="30"/>
      <c r="S891" s="30"/>
      <c r="T891" s="30"/>
      <c r="U891" s="30"/>
      <c r="V891" s="29"/>
      <c r="W891" s="125"/>
      <c r="X891" s="149"/>
      <c r="Y891" s="149"/>
      <c r="Z891" s="150"/>
      <c r="AA891" s="150"/>
      <c r="AB891" s="151"/>
      <c r="AC891" s="150"/>
      <c r="AD891" s="150"/>
      <c r="AE891" s="150"/>
      <c r="AF891" s="150"/>
      <c r="AG891" s="150"/>
      <c r="AH891" s="150"/>
    </row>
    <row r="892" spans="5:34">
      <c r="E892" s="31"/>
      <c r="F892" s="32"/>
      <c r="G892" s="29"/>
      <c r="H892" s="25"/>
      <c r="I892" s="25"/>
      <c r="J892" s="25"/>
      <c r="K892" s="25"/>
      <c r="L892" s="29"/>
      <c r="M892" s="29"/>
      <c r="N892" s="28"/>
      <c r="O892" s="30"/>
      <c r="P892" s="30"/>
      <c r="Q892" s="30"/>
      <c r="R892" s="30"/>
      <c r="S892" s="30"/>
      <c r="T892" s="30"/>
      <c r="U892" s="30"/>
      <c r="V892" s="29"/>
      <c r="W892" s="125"/>
      <c r="X892" s="149"/>
      <c r="Y892" s="149"/>
      <c r="Z892" s="150"/>
      <c r="AA892" s="150"/>
      <c r="AB892" s="151"/>
      <c r="AC892" s="150"/>
      <c r="AD892" s="150"/>
      <c r="AE892" s="150"/>
      <c r="AF892" s="150"/>
      <c r="AG892" s="150"/>
      <c r="AH892" s="150"/>
    </row>
    <row r="893" spans="5:34">
      <c r="E893" s="31"/>
      <c r="F893" s="32"/>
      <c r="G893" s="29"/>
      <c r="H893" s="25"/>
      <c r="I893" s="25"/>
      <c r="J893" s="25"/>
      <c r="K893" s="25"/>
      <c r="L893" s="29"/>
      <c r="M893" s="29"/>
      <c r="N893" s="28"/>
      <c r="O893" s="30"/>
      <c r="P893" s="30"/>
      <c r="Q893" s="30"/>
      <c r="R893" s="30"/>
      <c r="S893" s="30"/>
      <c r="T893" s="30"/>
      <c r="U893" s="30"/>
      <c r="V893" s="29"/>
      <c r="W893" s="125"/>
      <c r="X893" s="149"/>
      <c r="Y893" s="149"/>
      <c r="Z893" s="150"/>
      <c r="AA893" s="150"/>
      <c r="AB893" s="151"/>
      <c r="AC893" s="150"/>
      <c r="AD893" s="150"/>
      <c r="AE893" s="150"/>
      <c r="AF893" s="150"/>
      <c r="AG893" s="150"/>
      <c r="AH893" s="150"/>
    </row>
    <row r="894" spans="5:34">
      <c r="E894" s="31"/>
      <c r="F894" s="32"/>
      <c r="G894" s="29"/>
      <c r="H894" s="25"/>
      <c r="I894" s="25"/>
      <c r="J894" s="25"/>
      <c r="K894" s="25"/>
      <c r="L894" s="29"/>
      <c r="M894" s="29"/>
      <c r="N894" s="28"/>
      <c r="O894" s="30"/>
      <c r="P894" s="30"/>
      <c r="Q894" s="30"/>
      <c r="R894" s="30"/>
      <c r="S894" s="30"/>
      <c r="T894" s="30"/>
      <c r="U894" s="30"/>
      <c r="V894" s="29"/>
      <c r="W894" s="125"/>
      <c r="X894" s="149"/>
      <c r="Y894" s="149"/>
      <c r="Z894" s="150"/>
      <c r="AA894" s="150"/>
      <c r="AB894" s="151"/>
      <c r="AC894" s="150"/>
      <c r="AD894" s="150"/>
      <c r="AE894" s="150"/>
      <c r="AF894" s="150"/>
      <c r="AG894" s="150"/>
      <c r="AH894" s="150"/>
    </row>
    <row r="895" spans="5:34">
      <c r="E895" s="31"/>
      <c r="F895" s="32"/>
      <c r="G895" s="29"/>
      <c r="H895" s="25"/>
      <c r="I895" s="25"/>
      <c r="J895" s="25"/>
      <c r="K895" s="25"/>
      <c r="L895" s="29"/>
      <c r="M895" s="29"/>
      <c r="N895" s="28"/>
      <c r="O895" s="30"/>
      <c r="P895" s="30"/>
      <c r="Q895" s="30"/>
      <c r="R895" s="30"/>
      <c r="S895" s="30"/>
      <c r="T895" s="30"/>
      <c r="U895" s="30"/>
      <c r="V895" s="29"/>
      <c r="W895" s="125"/>
      <c r="X895" s="149"/>
      <c r="Y895" s="149"/>
      <c r="Z895" s="150"/>
      <c r="AA895" s="150"/>
      <c r="AB895" s="151"/>
      <c r="AC895" s="150"/>
      <c r="AD895" s="150"/>
      <c r="AE895" s="150"/>
      <c r="AF895" s="150"/>
      <c r="AG895" s="150"/>
      <c r="AH895" s="150"/>
    </row>
    <row r="896" spans="5:34">
      <c r="E896" s="31"/>
      <c r="F896" s="32"/>
      <c r="G896" s="29"/>
      <c r="H896" s="25"/>
      <c r="I896" s="25"/>
      <c r="J896" s="25"/>
      <c r="K896" s="25"/>
      <c r="L896" s="29"/>
      <c r="M896" s="29"/>
      <c r="N896" s="28"/>
      <c r="O896" s="30"/>
      <c r="P896" s="30"/>
      <c r="Q896" s="30"/>
      <c r="R896" s="30"/>
      <c r="S896" s="30"/>
      <c r="T896" s="30"/>
      <c r="U896" s="30"/>
      <c r="V896" s="29"/>
      <c r="W896" s="125"/>
      <c r="X896" s="149"/>
      <c r="Y896" s="149"/>
      <c r="Z896" s="150"/>
      <c r="AA896" s="150"/>
      <c r="AB896" s="151"/>
      <c r="AC896" s="150"/>
      <c r="AD896" s="150"/>
      <c r="AE896" s="150"/>
      <c r="AF896" s="150"/>
      <c r="AG896" s="150"/>
      <c r="AH896" s="150"/>
    </row>
    <row r="897" spans="5:34">
      <c r="E897" s="31"/>
      <c r="F897" s="32"/>
      <c r="G897" s="29"/>
      <c r="H897" s="25"/>
      <c r="I897" s="25"/>
      <c r="J897" s="25"/>
      <c r="K897" s="25"/>
      <c r="L897" s="29"/>
      <c r="M897" s="29"/>
      <c r="N897" s="28"/>
      <c r="O897" s="30"/>
      <c r="P897" s="30"/>
      <c r="Q897" s="30"/>
      <c r="R897" s="30"/>
      <c r="S897" s="30"/>
      <c r="T897" s="30"/>
      <c r="U897" s="30"/>
      <c r="V897" s="29"/>
      <c r="W897" s="125"/>
      <c r="X897" s="149"/>
      <c r="Y897" s="149"/>
      <c r="Z897" s="150"/>
      <c r="AA897" s="150"/>
      <c r="AB897" s="151"/>
      <c r="AC897" s="150"/>
      <c r="AD897" s="150"/>
      <c r="AE897" s="150"/>
      <c r="AF897" s="150"/>
      <c r="AG897" s="150"/>
      <c r="AH897" s="150"/>
    </row>
    <row r="898" spans="5:34">
      <c r="E898" s="31"/>
      <c r="F898" s="32"/>
      <c r="G898" s="29"/>
      <c r="H898" s="25"/>
      <c r="I898" s="25"/>
      <c r="J898" s="25"/>
      <c r="K898" s="25"/>
      <c r="L898" s="29"/>
      <c r="M898" s="29"/>
      <c r="N898" s="28"/>
      <c r="O898" s="30"/>
      <c r="P898" s="30"/>
      <c r="Q898" s="30"/>
      <c r="R898" s="30"/>
      <c r="S898" s="30"/>
      <c r="T898" s="30"/>
      <c r="U898" s="30"/>
      <c r="V898" s="29"/>
      <c r="W898" s="125"/>
      <c r="X898" s="149"/>
      <c r="Y898" s="149"/>
      <c r="Z898" s="150"/>
      <c r="AA898" s="150"/>
      <c r="AB898" s="151"/>
      <c r="AC898" s="150"/>
      <c r="AD898" s="150"/>
      <c r="AE898" s="150"/>
      <c r="AF898" s="150"/>
      <c r="AG898" s="150"/>
      <c r="AH898" s="150"/>
    </row>
    <row r="899" spans="5:34">
      <c r="E899" s="31"/>
      <c r="F899" s="32"/>
      <c r="G899" s="29"/>
      <c r="H899" s="25"/>
      <c r="I899" s="25"/>
      <c r="J899" s="25"/>
      <c r="K899" s="25"/>
      <c r="L899" s="29"/>
      <c r="M899" s="29"/>
      <c r="N899" s="28"/>
      <c r="O899" s="30"/>
      <c r="P899" s="30"/>
      <c r="Q899" s="30"/>
      <c r="R899" s="30"/>
      <c r="S899" s="30"/>
      <c r="T899" s="30"/>
      <c r="U899" s="30"/>
      <c r="V899" s="29"/>
      <c r="W899" s="125"/>
      <c r="X899" s="149"/>
      <c r="Y899" s="149"/>
      <c r="Z899" s="150"/>
      <c r="AA899" s="150"/>
      <c r="AB899" s="151"/>
      <c r="AC899" s="150"/>
      <c r="AD899" s="150"/>
      <c r="AE899" s="150"/>
      <c r="AF899" s="150"/>
      <c r="AG899" s="150"/>
      <c r="AH899" s="150"/>
    </row>
    <row r="900" spans="5:34">
      <c r="E900" s="31"/>
      <c r="F900" s="32"/>
      <c r="G900" s="29"/>
      <c r="H900" s="25"/>
      <c r="I900" s="25"/>
      <c r="J900" s="25"/>
      <c r="K900" s="25"/>
      <c r="L900" s="29"/>
      <c r="M900" s="29"/>
      <c r="N900" s="28"/>
      <c r="O900" s="30"/>
      <c r="P900" s="30"/>
      <c r="Q900" s="30"/>
      <c r="R900" s="30"/>
      <c r="S900" s="30"/>
      <c r="T900" s="30"/>
      <c r="U900" s="30"/>
      <c r="V900" s="29"/>
      <c r="W900" s="125"/>
      <c r="X900" s="149"/>
      <c r="Y900" s="149"/>
      <c r="Z900" s="150"/>
      <c r="AA900" s="150"/>
      <c r="AB900" s="151"/>
      <c r="AC900" s="150"/>
      <c r="AD900" s="150"/>
      <c r="AE900" s="150"/>
      <c r="AF900" s="150"/>
      <c r="AG900" s="150"/>
      <c r="AH900" s="150"/>
    </row>
    <row r="901" spans="5:34">
      <c r="E901" s="31"/>
      <c r="F901" s="32"/>
      <c r="G901" s="29"/>
      <c r="H901" s="25"/>
      <c r="I901" s="25"/>
      <c r="J901" s="25"/>
      <c r="K901" s="25"/>
      <c r="L901" s="29"/>
      <c r="M901" s="29"/>
      <c r="N901" s="28"/>
      <c r="O901" s="30"/>
      <c r="P901" s="30"/>
      <c r="Q901" s="30"/>
      <c r="R901" s="30"/>
      <c r="S901" s="30"/>
      <c r="T901" s="30"/>
      <c r="U901" s="30"/>
      <c r="V901" s="29"/>
      <c r="W901" s="125"/>
      <c r="X901" s="149"/>
      <c r="Y901" s="149"/>
      <c r="Z901" s="150"/>
      <c r="AA901" s="150"/>
      <c r="AB901" s="151"/>
      <c r="AC901" s="150"/>
      <c r="AD901" s="150"/>
      <c r="AE901" s="150"/>
      <c r="AF901" s="150"/>
      <c r="AG901" s="150"/>
      <c r="AH901" s="150"/>
    </row>
    <row r="902" spans="5:34">
      <c r="E902" s="31"/>
      <c r="F902" s="32"/>
      <c r="G902" s="29"/>
      <c r="H902" s="25"/>
      <c r="I902" s="25"/>
      <c r="J902" s="25"/>
      <c r="K902" s="25"/>
      <c r="L902" s="29"/>
      <c r="M902" s="29"/>
      <c r="N902" s="28"/>
      <c r="O902" s="30"/>
      <c r="P902" s="30"/>
      <c r="Q902" s="30"/>
      <c r="R902" s="30"/>
      <c r="S902" s="30"/>
      <c r="T902" s="30"/>
      <c r="U902" s="30"/>
      <c r="V902" s="29"/>
      <c r="W902" s="125"/>
      <c r="X902" s="149"/>
      <c r="Y902" s="149"/>
      <c r="Z902" s="150"/>
      <c r="AA902" s="150"/>
      <c r="AB902" s="151"/>
      <c r="AC902" s="150"/>
      <c r="AD902" s="150"/>
      <c r="AE902" s="150"/>
      <c r="AF902" s="150"/>
      <c r="AG902" s="150"/>
      <c r="AH902" s="150"/>
    </row>
    <row r="903" spans="5:34">
      <c r="E903" s="31"/>
      <c r="F903" s="32"/>
      <c r="G903" s="29"/>
      <c r="H903" s="25"/>
      <c r="I903" s="25"/>
      <c r="J903" s="25"/>
      <c r="K903" s="25"/>
      <c r="L903" s="29"/>
      <c r="M903" s="29"/>
      <c r="N903" s="28"/>
      <c r="O903" s="30"/>
      <c r="P903" s="30"/>
      <c r="Q903" s="30"/>
      <c r="R903" s="30"/>
      <c r="S903" s="30"/>
      <c r="T903" s="30"/>
      <c r="U903" s="30"/>
      <c r="V903" s="29"/>
      <c r="W903" s="125"/>
      <c r="X903" s="149"/>
      <c r="Y903" s="149"/>
      <c r="Z903" s="150"/>
      <c r="AA903" s="150"/>
      <c r="AB903" s="151"/>
      <c r="AC903" s="150"/>
      <c r="AD903" s="150"/>
      <c r="AE903" s="150"/>
      <c r="AF903" s="150"/>
      <c r="AG903" s="150"/>
      <c r="AH903" s="150"/>
    </row>
    <row r="904" spans="5:34">
      <c r="E904" s="31"/>
      <c r="F904" s="32"/>
      <c r="G904" s="29"/>
      <c r="H904" s="25"/>
      <c r="I904" s="25"/>
      <c r="J904" s="25"/>
      <c r="K904" s="25"/>
      <c r="L904" s="29"/>
      <c r="M904" s="29"/>
      <c r="N904" s="28"/>
      <c r="O904" s="30"/>
      <c r="P904" s="30"/>
      <c r="Q904" s="30"/>
      <c r="R904" s="30"/>
      <c r="S904" s="30"/>
      <c r="T904" s="30"/>
      <c r="U904" s="30"/>
      <c r="V904" s="29"/>
      <c r="W904" s="125"/>
      <c r="X904" s="149"/>
      <c r="Y904" s="149"/>
      <c r="Z904" s="150"/>
      <c r="AA904" s="150"/>
      <c r="AB904" s="151"/>
      <c r="AC904" s="150"/>
      <c r="AD904" s="150"/>
      <c r="AE904" s="150"/>
      <c r="AF904" s="150"/>
      <c r="AG904" s="150"/>
      <c r="AH904" s="150"/>
    </row>
    <row r="905" spans="5:34">
      <c r="E905" s="31"/>
      <c r="F905" s="32"/>
      <c r="G905" s="29"/>
      <c r="H905" s="25"/>
      <c r="I905" s="25"/>
      <c r="J905" s="25"/>
      <c r="K905" s="25"/>
      <c r="L905" s="29"/>
      <c r="M905" s="29"/>
      <c r="N905" s="28"/>
      <c r="O905" s="30"/>
      <c r="P905" s="30"/>
      <c r="Q905" s="30"/>
      <c r="R905" s="30"/>
      <c r="S905" s="30"/>
      <c r="T905" s="30"/>
      <c r="U905" s="30"/>
      <c r="V905" s="29"/>
      <c r="W905" s="125"/>
      <c r="X905" s="149"/>
      <c r="Y905" s="149"/>
      <c r="Z905" s="150"/>
      <c r="AA905" s="150"/>
      <c r="AB905" s="151"/>
      <c r="AC905" s="150"/>
      <c r="AD905" s="150"/>
      <c r="AE905" s="150"/>
      <c r="AF905" s="150"/>
      <c r="AG905" s="150"/>
      <c r="AH905" s="150"/>
    </row>
    <row r="906" spans="5:34">
      <c r="E906" s="31"/>
      <c r="F906" s="32"/>
      <c r="G906" s="29"/>
      <c r="H906" s="25"/>
      <c r="I906" s="25"/>
      <c r="J906" s="25"/>
      <c r="K906" s="25"/>
      <c r="L906" s="29"/>
      <c r="M906" s="29"/>
      <c r="N906" s="28"/>
      <c r="O906" s="30"/>
      <c r="P906" s="30"/>
      <c r="Q906" s="30"/>
      <c r="R906" s="30"/>
      <c r="S906" s="30"/>
      <c r="T906" s="30"/>
      <c r="U906" s="30"/>
      <c r="V906" s="29"/>
      <c r="W906" s="125"/>
      <c r="X906" s="149"/>
      <c r="Y906" s="149"/>
      <c r="Z906" s="150"/>
      <c r="AA906" s="150"/>
      <c r="AB906" s="151"/>
      <c r="AC906" s="150"/>
      <c r="AD906" s="150"/>
      <c r="AE906" s="150"/>
      <c r="AF906" s="150"/>
      <c r="AG906" s="150"/>
      <c r="AH906" s="150"/>
    </row>
    <row r="907" spans="5:34">
      <c r="E907" s="31"/>
      <c r="F907" s="32"/>
      <c r="G907" s="29"/>
      <c r="H907" s="25"/>
      <c r="I907" s="25"/>
      <c r="J907" s="25"/>
      <c r="K907" s="25"/>
      <c r="L907" s="29"/>
      <c r="M907" s="29"/>
      <c r="N907" s="28"/>
      <c r="O907" s="30"/>
      <c r="P907" s="30"/>
      <c r="Q907" s="30"/>
      <c r="R907" s="30"/>
      <c r="S907" s="30"/>
      <c r="T907" s="30"/>
      <c r="U907" s="30"/>
      <c r="V907" s="29"/>
      <c r="W907" s="125"/>
      <c r="X907" s="149"/>
      <c r="Y907" s="149"/>
      <c r="Z907" s="150"/>
      <c r="AA907" s="150"/>
      <c r="AB907" s="151"/>
      <c r="AC907" s="150"/>
      <c r="AD907" s="150"/>
      <c r="AE907" s="150"/>
      <c r="AF907" s="150"/>
      <c r="AG907" s="150"/>
      <c r="AH907" s="150"/>
    </row>
    <row r="908" spans="5:34">
      <c r="E908" s="31"/>
      <c r="F908" s="32"/>
      <c r="G908" s="29"/>
      <c r="H908" s="25"/>
      <c r="I908" s="25"/>
      <c r="J908" s="25"/>
      <c r="K908" s="25"/>
      <c r="L908" s="29"/>
      <c r="M908" s="29"/>
      <c r="N908" s="28"/>
      <c r="O908" s="30"/>
      <c r="P908" s="30"/>
      <c r="Q908" s="30"/>
      <c r="R908" s="30"/>
      <c r="S908" s="30"/>
      <c r="T908" s="30"/>
      <c r="U908" s="30"/>
      <c r="V908" s="29"/>
      <c r="W908" s="125"/>
      <c r="X908" s="149"/>
      <c r="Y908" s="149"/>
      <c r="Z908" s="150"/>
      <c r="AA908" s="150"/>
      <c r="AB908" s="151"/>
      <c r="AC908" s="150"/>
      <c r="AD908" s="150"/>
      <c r="AE908" s="150"/>
      <c r="AF908" s="150"/>
      <c r="AG908" s="150"/>
      <c r="AH908" s="150"/>
    </row>
    <row r="909" spans="5:34">
      <c r="E909" s="31"/>
      <c r="F909" s="32"/>
      <c r="G909" s="29"/>
      <c r="H909" s="25"/>
      <c r="I909" s="25"/>
      <c r="J909" s="25"/>
      <c r="K909" s="25"/>
      <c r="L909" s="29"/>
      <c r="M909" s="29"/>
      <c r="N909" s="28"/>
      <c r="O909" s="30"/>
      <c r="P909" s="30"/>
      <c r="Q909" s="30"/>
      <c r="R909" s="30"/>
      <c r="S909" s="30"/>
      <c r="T909" s="30"/>
      <c r="U909" s="30"/>
      <c r="V909" s="29"/>
      <c r="W909" s="125"/>
      <c r="X909" s="149"/>
      <c r="Y909" s="149"/>
      <c r="Z909" s="150"/>
      <c r="AA909" s="150"/>
      <c r="AB909" s="151"/>
      <c r="AC909" s="150"/>
      <c r="AD909" s="150"/>
      <c r="AE909" s="150"/>
      <c r="AF909" s="150"/>
      <c r="AG909" s="150"/>
      <c r="AH909" s="150"/>
    </row>
    <row r="910" spans="5:34">
      <c r="E910" s="31"/>
      <c r="F910" s="32"/>
      <c r="G910" s="29"/>
      <c r="H910" s="25"/>
      <c r="I910" s="25"/>
      <c r="J910" s="25"/>
      <c r="K910" s="25"/>
      <c r="L910" s="29"/>
      <c r="M910" s="29"/>
      <c r="N910" s="28"/>
      <c r="O910" s="30"/>
      <c r="P910" s="30"/>
      <c r="Q910" s="30"/>
      <c r="R910" s="30"/>
      <c r="S910" s="30"/>
      <c r="T910" s="30"/>
      <c r="U910" s="30"/>
      <c r="V910" s="29"/>
      <c r="W910" s="125"/>
      <c r="X910" s="149"/>
      <c r="Y910" s="149"/>
      <c r="Z910" s="150"/>
      <c r="AA910" s="150"/>
      <c r="AB910" s="151"/>
      <c r="AC910" s="150"/>
      <c r="AD910" s="150"/>
      <c r="AE910" s="150"/>
      <c r="AF910" s="150"/>
      <c r="AG910" s="150"/>
      <c r="AH910" s="150"/>
    </row>
    <row r="911" spans="5:34">
      <c r="E911" s="31"/>
      <c r="F911" s="32"/>
      <c r="G911" s="29"/>
      <c r="H911" s="25"/>
      <c r="I911" s="25"/>
      <c r="J911" s="25"/>
      <c r="K911" s="25"/>
      <c r="L911" s="29"/>
      <c r="M911" s="29"/>
      <c r="N911" s="28"/>
      <c r="O911" s="30"/>
      <c r="P911" s="30"/>
      <c r="Q911" s="30"/>
      <c r="R911" s="30"/>
      <c r="S911" s="30"/>
      <c r="T911" s="30"/>
      <c r="U911" s="30"/>
      <c r="V911" s="29"/>
      <c r="W911" s="125"/>
      <c r="X911" s="149"/>
      <c r="Y911" s="149"/>
      <c r="Z911" s="150"/>
      <c r="AA911" s="150"/>
      <c r="AB911" s="151"/>
      <c r="AC911" s="150"/>
      <c r="AD911" s="150"/>
      <c r="AE911" s="150"/>
      <c r="AF911" s="150"/>
      <c r="AG911" s="150"/>
      <c r="AH911" s="150"/>
    </row>
    <row r="912" spans="5:34">
      <c r="E912" s="31"/>
      <c r="F912" s="32"/>
      <c r="G912" s="29"/>
      <c r="H912" s="25"/>
      <c r="I912" s="25"/>
      <c r="J912" s="25"/>
      <c r="K912" s="25"/>
      <c r="L912" s="29"/>
      <c r="M912" s="29"/>
      <c r="N912" s="28"/>
      <c r="O912" s="30"/>
      <c r="P912" s="30"/>
      <c r="Q912" s="30"/>
      <c r="R912" s="30"/>
      <c r="S912" s="30"/>
      <c r="T912" s="30"/>
      <c r="U912" s="30"/>
      <c r="V912" s="29"/>
      <c r="W912" s="125"/>
      <c r="X912" s="149"/>
      <c r="Y912" s="149"/>
      <c r="Z912" s="150"/>
      <c r="AA912" s="150"/>
      <c r="AB912" s="151"/>
      <c r="AC912" s="150"/>
      <c r="AD912" s="150"/>
      <c r="AE912" s="150"/>
      <c r="AF912" s="150"/>
      <c r="AG912" s="150"/>
      <c r="AH912" s="150"/>
    </row>
    <row r="913" spans="5:34">
      <c r="E913" s="31"/>
      <c r="F913" s="32"/>
      <c r="G913" s="29"/>
      <c r="H913" s="25"/>
      <c r="I913" s="25"/>
      <c r="J913" s="25"/>
      <c r="K913" s="25"/>
      <c r="L913" s="29"/>
      <c r="M913" s="29"/>
      <c r="N913" s="28"/>
      <c r="O913" s="30"/>
      <c r="P913" s="30"/>
      <c r="Q913" s="30"/>
      <c r="R913" s="30"/>
      <c r="S913" s="30"/>
      <c r="T913" s="30"/>
      <c r="U913" s="30"/>
      <c r="V913" s="29"/>
      <c r="W913" s="125"/>
      <c r="X913" s="149"/>
      <c r="Y913" s="149"/>
      <c r="Z913" s="150"/>
      <c r="AA913" s="150"/>
      <c r="AB913" s="151"/>
      <c r="AC913" s="150"/>
      <c r="AD913" s="150"/>
      <c r="AE913" s="150"/>
      <c r="AF913" s="150"/>
      <c r="AG913" s="150"/>
      <c r="AH913" s="150"/>
    </row>
    <row r="914" spans="5:34">
      <c r="E914" s="31"/>
      <c r="F914" s="32"/>
      <c r="G914" s="29"/>
      <c r="H914" s="25"/>
      <c r="I914" s="25"/>
      <c r="J914" s="25"/>
      <c r="K914" s="25"/>
      <c r="L914" s="29"/>
      <c r="M914" s="29"/>
      <c r="N914" s="28"/>
      <c r="O914" s="30"/>
      <c r="P914" s="30"/>
      <c r="Q914" s="30"/>
      <c r="R914" s="30"/>
      <c r="S914" s="30"/>
      <c r="T914" s="30"/>
      <c r="U914" s="30"/>
      <c r="V914" s="29"/>
      <c r="W914" s="125"/>
      <c r="X914" s="149"/>
      <c r="Y914" s="149"/>
      <c r="Z914" s="150"/>
      <c r="AA914" s="150"/>
      <c r="AB914" s="151"/>
      <c r="AC914" s="150"/>
      <c r="AD914" s="150"/>
      <c r="AE914" s="150"/>
      <c r="AF914" s="150"/>
      <c r="AG914" s="150"/>
      <c r="AH914" s="150"/>
    </row>
    <row r="915" spans="5:34">
      <c r="E915" s="31"/>
      <c r="F915" s="32"/>
      <c r="G915" s="29"/>
      <c r="H915" s="25"/>
      <c r="I915" s="25"/>
      <c r="J915" s="25"/>
      <c r="K915" s="25"/>
      <c r="L915" s="29"/>
      <c r="M915" s="29"/>
      <c r="N915" s="28"/>
      <c r="O915" s="30"/>
      <c r="P915" s="30"/>
      <c r="Q915" s="30"/>
      <c r="R915" s="30"/>
      <c r="S915" s="30"/>
      <c r="T915" s="30"/>
      <c r="U915" s="30"/>
      <c r="V915" s="29"/>
      <c r="W915" s="125"/>
      <c r="X915" s="149"/>
      <c r="Y915" s="149"/>
      <c r="Z915" s="150"/>
      <c r="AA915" s="150"/>
      <c r="AB915" s="151"/>
      <c r="AC915" s="150"/>
      <c r="AD915" s="150"/>
      <c r="AE915" s="150"/>
      <c r="AF915" s="150"/>
      <c r="AG915" s="150"/>
      <c r="AH915" s="150"/>
    </row>
    <row r="916" spans="5:34">
      <c r="E916" s="31"/>
      <c r="F916" s="32"/>
      <c r="G916" s="29"/>
      <c r="H916" s="25"/>
      <c r="I916" s="25"/>
      <c r="J916" s="25"/>
      <c r="K916" s="25"/>
      <c r="L916" s="29"/>
      <c r="M916" s="29"/>
      <c r="N916" s="28"/>
      <c r="O916" s="30"/>
      <c r="P916" s="30"/>
      <c r="Q916" s="30"/>
      <c r="R916" s="30"/>
      <c r="S916" s="30"/>
      <c r="T916" s="30"/>
      <c r="U916" s="30"/>
      <c r="V916" s="29"/>
      <c r="W916" s="125"/>
      <c r="X916" s="149"/>
      <c r="Y916" s="149"/>
      <c r="Z916" s="150"/>
      <c r="AA916" s="150"/>
      <c r="AB916" s="151"/>
      <c r="AC916" s="150"/>
      <c r="AD916" s="150"/>
      <c r="AE916" s="150"/>
      <c r="AF916" s="150"/>
      <c r="AG916" s="150"/>
      <c r="AH916" s="150"/>
    </row>
    <row r="917" spans="5:34">
      <c r="E917" s="31"/>
      <c r="F917" s="32"/>
      <c r="G917" s="29"/>
      <c r="H917" s="25"/>
      <c r="I917" s="25"/>
      <c r="J917" s="25"/>
      <c r="K917" s="25"/>
      <c r="L917" s="29"/>
      <c r="M917" s="29"/>
      <c r="N917" s="28"/>
      <c r="O917" s="30"/>
      <c r="P917" s="30"/>
      <c r="Q917" s="30"/>
      <c r="R917" s="30"/>
      <c r="S917" s="30"/>
      <c r="T917" s="30"/>
      <c r="U917" s="30"/>
      <c r="V917" s="29"/>
      <c r="W917" s="125"/>
      <c r="X917" s="149"/>
      <c r="Y917" s="149"/>
      <c r="Z917" s="150"/>
      <c r="AA917" s="150"/>
      <c r="AB917" s="151"/>
      <c r="AC917" s="150"/>
      <c r="AD917" s="150"/>
      <c r="AE917" s="150"/>
      <c r="AF917" s="150"/>
      <c r="AG917" s="150"/>
      <c r="AH917" s="150"/>
    </row>
    <row r="918" spans="5:34">
      <c r="E918" s="31"/>
      <c r="F918" s="32"/>
      <c r="G918" s="29"/>
      <c r="H918" s="25"/>
      <c r="I918" s="25"/>
      <c r="J918" s="25"/>
      <c r="K918" s="25"/>
      <c r="L918" s="29"/>
      <c r="M918" s="29"/>
      <c r="N918" s="28"/>
      <c r="O918" s="30"/>
      <c r="P918" s="30"/>
      <c r="Q918" s="30"/>
      <c r="R918" s="30"/>
      <c r="S918" s="30"/>
      <c r="T918" s="30"/>
      <c r="U918" s="30"/>
      <c r="V918" s="29"/>
      <c r="W918" s="125"/>
      <c r="X918" s="149"/>
      <c r="Y918" s="149"/>
      <c r="Z918" s="150"/>
      <c r="AA918" s="150"/>
      <c r="AB918" s="151"/>
      <c r="AC918" s="150"/>
      <c r="AD918" s="150"/>
      <c r="AE918" s="150"/>
      <c r="AF918" s="150"/>
      <c r="AG918" s="150"/>
      <c r="AH918" s="150"/>
    </row>
    <row r="919" spans="5:34">
      <c r="E919" s="31"/>
      <c r="F919" s="32"/>
      <c r="G919" s="29"/>
      <c r="H919" s="25"/>
      <c r="I919" s="25"/>
      <c r="J919" s="25"/>
      <c r="K919" s="25"/>
      <c r="L919" s="29"/>
      <c r="M919" s="29"/>
      <c r="N919" s="28"/>
      <c r="O919" s="30"/>
      <c r="P919" s="30"/>
      <c r="Q919" s="30"/>
      <c r="R919" s="30"/>
      <c r="S919" s="30"/>
      <c r="T919" s="30"/>
      <c r="U919" s="30"/>
      <c r="V919" s="29"/>
      <c r="W919" s="125"/>
      <c r="X919" s="149"/>
      <c r="Y919" s="149"/>
      <c r="Z919" s="150"/>
      <c r="AA919" s="150"/>
      <c r="AB919" s="151"/>
      <c r="AC919" s="150"/>
      <c r="AD919" s="150"/>
      <c r="AE919" s="150"/>
      <c r="AF919" s="150"/>
      <c r="AG919" s="150"/>
      <c r="AH919" s="150"/>
    </row>
    <row r="920" spans="5:34">
      <c r="E920" s="31"/>
      <c r="F920" s="32"/>
      <c r="G920" s="29"/>
      <c r="H920" s="25"/>
      <c r="I920" s="25"/>
      <c r="J920" s="25"/>
      <c r="K920" s="25"/>
      <c r="L920" s="29"/>
      <c r="M920" s="29"/>
      <c r="N920" s="28"/>
      <c r="O920" s="30"/>
      <c r="P920" s="30"/>
      <c r="Q920" s="30"/>
      <c r="R920" s="30"/>
      <c r="S920" s="30"/>
      <c r="T920" s="30"/>
      <c r="U920" s="30"/>
      <c r="V920" s="29"/>
      <c r="W920" s="125"/>
      <c r="X920" s="149"/>
      <c r="Y920" s="149"/>
      <c r="Z920" s="150"/>
      <c r="AA920" s="150"/>
      <c r="AB920" s="151"/>
      <c r="AC920" s="150"/>
      <c r="AD920" s="150"/>
      <c r="AE920" s="150"/>
      <c r="AF920" s="150"/>
      <c r="AG920" s="150"/>
      <c r="AH920" s="150"/>
    </row>
    <row r="921" spans="5:34">
      <c r="E921" s="31"/>
      <c r="F921" s="32"/>
      <c r="G921" s="29"/>
      <c r="H921" s="25"/>
      <c r="I921" s="25"/>
      <c r="J921" s="25"/>
      <c r="K921" s="25"/>
      <c r="L921" s="29"/>
      <c r="M921" s="29"/>
      <c r="N921" s="28"/>
      <c r="O921" s="30"/>
      <c r="P921" s="30"/>
      <c r="Q921" s="30"/>
      <c r="R921" s="30"/>
      <c r="S921" s="30"/>
      <c r="T921" s="30"/>
      <c r="U921" s="30"/>
      <c r="V921" s="29"/>
      <c r="W921" s="125"/>
      <c r="X921" s="149"/>
      <c r="Y921" s="149"/>
      <c r="Z921" s="150"/>
      <c r="AA921" s="150"/>
      <c r="AB921" s="151"/>
      <c r="AC921" s="150"/>
      <c r="AD921" s="150"/>
      <c r="AE921" s="150"/>
      <c r="AF921" s="150"/>
      <c r="AG921" s="150"/>
      <c r="AH921" s="150"/>
    </row>
    <row r="922" spans="5:34">
      <c r="E922" s="31"/>
      <c r="F922" s="32"/>
      <c r="G922" s="29"/>
      <c r="H922" s="25"/>
      <c r="I922" s="25"/>
      <c r="J922" s="25"/>
      <c r="K922" s="25"/>
      <c r="L922" s="29"/>
      <c r="M922" s="29"/>
      <c r="N922" s="28"/>
      <c r="O922" s="30"/>
      <c r="P922" s="30"/>
      <c r="Q922" s="30"/>
      <c r="R922" s="30"/>
      <c r="S922" s="30"/>
      <c r="T922" s="30"/>
      <c r="U922" s="30"/>
      <c r="V922" s="29"/>
      <c r="W922" s="125"/>
      <c r="X922" s="149"/>
      <c r="Y922" s="149"/>
      <c r="Z922" s="150"/>
      <c r="AA922" s="150"/>
      <c r="AB922" s="151"/>
      <c r="AC922" s="150"/>
      <c r="AD922" s="150"/>
      <c r="AE922" s="150"/>
      <c r="AF922" s="150"/>
      <c r="AG922" s="150"/>
      <c r="AH922" s="150"/>
    </row>
    <row r="923" spans="5:34">
      <c r="E923" s="31"/>
      <c r="F923" s="32"/>
      <c r="G923" s="29"/>
      <c r="H923" s="25"/>
      <c r="I923" s="25"/>
      <c r="J923" s="25"/>
      <c r="K923" s="25"/>
      <c r="L923" s="29"/>
      <c r="M923" s="29"/>
      <c r="N923" s="28"/>
      <c r="O923" s="30"/>
      <c r="P923" s="30"/>
      <c r="Q923" s="30"/>
      <c r="R923" s="30"/>
      <c r="S923" s="30"/>
      <c r="T923" s="30"/>
      <c r="U923" s="30"/>
      <c r="V923" s="29"/>
      <c r="W923" s="125"/>
      <c r="X923" s="149"/>
      <c r="Y923" s="149"/>
      <c r="Z923" s="150"/>
      <c r="AA923" s="150"/>
      <c r="AB923" s="151"/>
      <c r="AC923" s="150"/>
      <c r="AD923" s="150"/>
      <c r="AE923" s="150"/>
      <c r="AF923" s="150"/>
      <c r="AG923" s="150"/>
      <c r="AH923" s="150"/>
    </row>
    <row r="924" spans="5:34">
      <c r="E924" s="31"/>
      <c r="F924" s="32"/>
      <c r="G924" s="29"/>
      <c r="H924" s="25"/>
      <c r="I924" s="25"/>
      <c r="J924" s="25"/>
      <c r="K924" s="25"/>
      <c r="L924" s="29"/>
      <c r="M924" s="29"/>
      <c r="N924" s="28"/>
      <c r="O924" s="30"/>
      <c r="P924" s="30"/>
      <c r="Q924" s="30"/>
      <c r="R924" s="30"/>
      <c r="S924" s="30"/>
      <c r="T924" s="30"/>
      <c r="U924" s="30"/>
      <c r="V924" s="29"/>
      <c r="W924" s="125"/>
      <c r="X924" s="149"/>
      <c r="Y924" s="149"/>
      <c r="Z924" s="150"/>
      <c r="AA924" s="150"/>
      <c r="AB924" s="151"/>
      <c r="AC924" s="150"/>
      <c r="AD924" s="150"/>
      <c r="AE924" s="150"/>
      <c r="AF924" s="150"/>
      <c r="AG924" s="150"/>
      <c r="AH924" s="150"/>
    </row>
    <row r="925" spans="5:34">
      <c r="E925" s="31"/>
      <c r="F925" s="32"/>
      <c r="G925" s="29"/>
      <c r="H925" s="25"/>
      <c r="I925" s="25"/>
      <c r="J925" s="25"/>
      <c r="K925" s="25"/>
      <c r="L925" s="29"/>
      <c r="M925" s="29"/>
      <c r="N925" s="28"/>
      <c r="O925" s="30"/>
      <c r="P925" s="30"/>
      <c r="Q925" s="30"/>
      <c r="R925" s="30"/>
      <c r="S925" s="30"/>
      <c r="T925" s="30"/>
      <c r="U925" s="30"/>
      <c r="V925" s="29"/>
      <c r="W925" s="125"/>
      <c r="X925" s="149"/>
      <c r="Y925" s="149"/>
      <c r="Z925" s="150"/>
      <c r="AA925" s="150"/>
      <c r="AB925" s="151"/>
      <c r="AC925" s="150"/>
      <c r="AD925" s="150"/>
      <c r="AE925" s="150"/>
      <c r="AF925" s="150"/>
      <c r="AG925" s="150"/>
      <c r="AH925" s="150"/>
    </row>
    <row r="926" spans="5:34">
      <c r="E926" s="31"/>
      <c r="F926" s="32"/>
      <c r="G926" s="29"/>
      <c r="H926" s="25"/>
      <c r="I926" s="25"/>
      <c r="J926" s="25"/>
      <c r="K926" s="25"/>
      <c r="L926" s="29"/>
      <c r="M926" s="29"/>
      <c r="N926" s="28"/>
      <c r="O926" s="30"/>
      <c r="P926" s="30"/>
      <c r="Q926" s="30"/>
      <c r="R926" s="30"/>
      <c r="S926" s="30"/>
      <c r="T926" s="30"/>
      <c r="U926" s="30"/>
      <c r="V926" s="29"/>
      <c r="W926" s="125"/>
      <c r="X926" s="149"/>
      <c r="Y926" s="149"/>
      <c r="Z926" s="150"/>
      <c r="AA926" s="150"/>
      <c r="AB926" s="151"/>
      <c r="AC926" s="150"/>
      <c r="AD926" s="150"/>
      <c r="AE926" s="150"/>
      <c r="AF926" s="150"/>
      <c r="AG926" s="150"/>
      <c r="AH926" s="150"/>
    </row>
    <row r="927" spans="5:34">
      <c r="E927" s="31"/>
      <c r="F927" s="32"/>
      <c r="G927" s="29"/>
      <c r="H927" s="25"/>
      <c r="I927" s="25"/>
      <c r="J927" s="25"/>
      <c r="K927" s="25"/>
      <c r="L927" s="29"/>
      <c r="M927" s="29"/>
      <c r="N927" s="28"/>
      <c r="O927" s="30"/>
      <c r="P927" s="30"/>
      <c r="Q927" s="30"/>
      <c r="R927" s="30"/>
      <c r="S927" s="30"/>
      <c r="T927" s="30"/>
      <c r="U927" s="30"/>
      <c r="V927" s="29"/>
      <c r="W927" s="125"/>
      <c r="X927" s="149"/>
      <c r="Y927" s="149"/>
      <c r="Z927" s="150"/>
      <c r="AA927" s="150"/>
      <c r="AB927" s="151"/>
      <c r="AC927" s="150"/>
      <c r="AD927" s="150"/>
      <c r="AE927" s="150"/>
      <c r="AF927" s="150"/>
      <c r="AG927" s="150"/>
      <c r="AH927" s="150"/>
    </row>
    <row r="928" spans="5:34">
      <c r="E928" s="31"/>
      <c r="F928" s="32"/>
      <c r="G928" s="29"/>
      <c r="H928" s="25"/>
      <c r="I928" s="25"/>
      <c r="J928" s="25"/>
      <c r="K928" s="25"/>
      <c r="L928" s="29"/>
      <c r="M928" s="29"/>
      <c r="N928" s="28"/>
      <c r="O928" s="30"/>
      <c r="P928" s="30"/>
      <c r="Q928" s="30"/>
      <c r="R928" s="30"/>
      <c r="S928" s="30"/>
      <c r="T928" s="30"/>
      <c r="U928" s="30"/>
      <c r="V928" s="29"/>
      <c r="W928" s="125"/>
      <c r="X928" s="149"/>
      <c r="Y928" s="149"/>
      <c r="Z928" s="150"/>
      <c r="AA928" s="150"/>
      <c r="AB928" s="151"/>
      <c r="AC928" s="150"/>
      <c r="AD928" s="150"/>
      <c r="AE928" s="150"/>
      <c r="AF928" s="150"/>
      <c r="AG928" s="150"/>
      <c r="AH928" s="150"/>
    </row>
    <row r="929" spans="5:34">
      <c r="E929" s="31"/>
      <c r="F929" s="32"/>
      <c r="G929" s="29"/>
      <c r="H929" s="25"/>
      <c r="I929" s="25"/>
      <c r="J929" s="25"/>
      <c r="K929" s="25"/>
      <c r="L929" s="29"/>
      <c r="M929" s="29"/>
      <c r="N929" s="28"/>
      <c r="O929" s="30"/>
      <c r="P929" s="30"/>
      <c r="Q929" s="30"/>
      <c r="R929" s="30"/>
      <c r="S929" s="30"/>
      <c r="T929" s="30"/>
      <c r="U929" s="30"/>
      <c r="V929" s="29"/>
      <c r="W929" s="125"/>
      <c r="X929" s="149"/>
      <c r="Y929" s="149"/>
      <c r="Z929" s="150"/>
      <c r="AA929" s="150"/>
      <c r="AB929" s="151"/>
      <c r="AC929" s="150"/>
      <c r="AD929" s="150"/>
      <c r="AE929" s="150"/>
      <c r="AF929" s="150"/>
      <c r="AG929" s="150"/>
      <c r="AH929" s="150"/>
    </row>
    <row r="930" spans="5:34">
      <c r="E930" s="31"/>
      <c r="F930" s="32"/>
      <c r="G930" s="29"/>
      <c r="H930" s="25"/>
      <c r="I930" s="25"/>
      <c r="J930" s="25"/>
      <c r="K930" s="25"/>
      <c r="L930" s="29"/>
      <c r="M930" s="29"/>
      <c r="N930" s="28"/>
      <c r="O930" s="30"/>
      <c r="P930" s="30"/>
      <c r="Q930" s="30"/>
      <c r="R930" s="30"/>
      <c r="S930" s="30"/>
      <c r="T930" s="30"/>
      <c r="U930" s="30"/>
      <c r="V930" s="29"/>
      <c r="W930" s="125"/>
      <c r="X930" s="149"/>
      <c r="Y930" s="149"/>
      <c r="Z930" s="150"/>
      <c r="AA930" s="150"/>
      <c r="AB930" s="151"/>
      <c r="AC930" s="150"/>
      <c r="AD930" s="150"/>
      <c r="AE930" s="150"/>
      <c r="AF930" s="150"/>
      <c r="AG930" s="150"/>
      <c r="AH930" s="150"/>
    </row>
    <row r="931" spans="5:34">
      <c r="E931" s="31"/>
      <c r="F931" s="32"/>
      <c r="G931" s="29"/>
      <c r="H931" s="25"/>
      <c r="I931" s="25"/>
      <c r="J931" s="25"/>
      <c r="K931" s="25"/>
      <c r="L931" s="29"/>
      <c r="M931" s="29"/>
      <c r="N931" s="28"/>
      <c r="O931" s="30"/>
      <c r="P931" s="30"/>
      <c r="Q931" s="30"/>
      <c r="R931" s="30"/>
      <c r="S931" s="30"/>
      <c r="T931" s="30"/>
      <c r="U931" s="30"/>
      <c r="V931" s="29"/>
      <c r="W931" s="125"/>
      <c r="X931" s="149"/>
      <c r="Y931" s="149"/>
      <c r="Z931" s="150"/>
      <c r="AA931" s="150"/>
      <c r="AB931" s="151"/>
      <c r="AC931" s="150"/>
      <c r="AD931" s="150"/>
      <c r="AE931" s="150"/>
      <c r="AF931" s="150"/>
      <c r="AG931" s="150"/>
      <c r="AH931" s="150"/>
    </row>
    <row r="932" spans="5:34">
      <c r="E932" s="31"/>
      <c r="F932" s="32"/>
      <c r="G932" s="29"/>
      <c r="H932" s="25"/>
      <c r="I932" s="25"/>
      <c r="J932" s="25"/>
      <c r="K932" s="25"/>
      <c r="L932" s="29"/>
      <c r="M932" s="29"/>
      <c r="N932" s="28"/>
      <c r="O932" s="30"/>
      <c r="P932" s="30"/>
      <c r="Q932" s="30"/>
      <c r="R932" s="30"/>
      <c r="S932" s="30"/>
      <c r="T932" s="30"/>
      <c r="U932" s="30"/>
      <c r="V932" s="29"/>
      <c r="W932" s="125"/>
      <c r="X932" s="149"/>
      <c r="Y932" s="149"/>
      <c r="Z932" s="150"/>
      <c r="AA932" s="150"/>
      <c r="AB932" s="151"/>
      <c r="AC932" s="150"/>
      <c r="AD932" s="150"/>
      <c r="AE932" s="150"/>
      <c r="AF932" s="150"/>
      <c r="AG932" s="150"/>
      <c r="AH932" s="150"/>
    </row>
    <row r="933" spans="5:34">
      <c r="E933" s="31"/>
      <c r="F933" s="32"/>
      <c r="G933" s="29"/>
      <c r="H933" s="25"/>
      <c r="I933" s="25"/>
      <c r="J933" s="25"/>
      <c r="K933" s="25"/>
      <c r="L933" s="29"/>
      <c r="M933" s="29"/>
      <c r="N933" s="28"/>
      <c r="O933" s="30"/>
      <c r="P933" s="30"/>
      <c r="Q933" s="30"/>
      <c r="R933" s="30"/>
      <c r="S933" s="30"/>
      <c r="T933" s="30"/>
      <c r="U933" s="30"/>
      <c r="V933" s="29"/>
      <c r="W933" s="125"/>
      <c r="X933" s="149"/>
      <c r="Y933" s="149"/>
      <c r="Z933" s="150"/>
      <c r="AA933" s="150"/>
      <c r="AB933" s="151"/>
      <c r="AC933" s="150"/>
      <c r="AD933" s="150"/>
      <c r="AE933" s="150"/>
      <c r="AF933" s="150"/>
      <c r="AG933" s="150"/>
      <c r="AH933" s="150"/>
    </row>
    <row r="934" spans="5:34">
      <c r="E934" s="31"/>
      <c r="F934" s="32"/>
      <c r="G934" s="29"/>
      <c r="H934" s="25"/>
      <c r="I934" s="25"/>
      <c r="J934" s="25"/>
      <c r="K934" s="25"/>
      <c r="L934" s="29"/>
      <c r="M934" s="29"/>
      <c r="N934" s="28"/>
      <c r="O934" s="30"/>
      <c r="P934" s="30"/>
      <c r="Q934" s="30"/>
      <c r="R934" s="30"/>
      <c r="S934" s="30"/>
      <c r="T934" s="30"/>
      <c r="U934" s="30"/>
      <c r="V934" s="29"/>
      <c r="W934" s="125"/>
      <c r="X934" s="149"/>
      <c r="Y934" s="149"/>
      <c r="Z934" s="150"/>
      <c r="AA934" s="150"/>
      <c r="AB934" s="151"/>
      <c r="AC934" s="150"/>
      <c r="AD934" s="150"/>
      <c r="AE934" s="150"/>
      <c r="AF934" s="150"/>
      <c r="AG934" s="150"/>
      <c r="AH934" s="150"/>
    </row>
    <row r="935" spans="5:34">
      <c r="E935" s="31"/>
      <c r="F935" s="32"/>
      <c r="G935" s="29"/>
      <c r="H935" s="25"/>
      <c r="I935" s="25"/>
      <c r="J935" s="25"/>
      <c r="K935" s="25"/>
      <c r="L935" s="29"/>
      <c r="M935" s="29"/>
      <c r="N935" s="28"/>
      <c r="O935" s="30"/>
      <c r="P935" s="30"/>
      <c r="Q935" s="30"/>
      <c r="R935" s="30"/>
      <c r="S935" s="30"/>
      <c r="T935" s="30"/>
      <c r="U935" s="30"/>
      <c r="V935" s="29"/>
      <c r="W935" s="125"/>
      <c r="X935" s="149"/>
      <c r="Y935" s="149"/>
      <c r="Z935" s="150"/>
      <c r="AA935" s="150"/>
      <c r="AB935" s="151"/>
      <c r="AC935" s="150"/>
      <c r="AD935" s="150"/>
      <c r="AE935" s="150"/>
      <c r="AF935" s="150"/>
      <c r="AG935" s="150"/>
      <c r="AH935" s="150"/>
    </row>
    <row r="936" spans="5:34">
      <c r="E936" s="31"/>
      <c r="F936" s="32"/>
      <c r="G936" s="29"/>
      <c r="H936" s="25"/>
      <c r="I936" s="25"/>
      <c r="J936" s="25"/>
      <c r="K936" s="25"/>
      <c r="L936" s="29"/>
      <c r="M936" s="29"/>
      <c r="N936" s="28"/>
      <c r="O936" s="30"/>
      <c r="P936" s="30"/>
      <c r="Q936" s="30"/>
      <c r="R936" s="30"/>
      <c r="S936" s="30"/>
      <c r="T936" s="30"/>
      <c r="U936" s="30"/>
      <c r="V936" s="29"/>
      <c r="W936" s="125"/>
      <c r="X936" s="149"/>
      <c r="Y936" s="149"/>
      <c r="Z936" s="150"/>
      <c r="AA936" s="150"/>
      <c r="AB936" s="151"/>
      <c r="AC936" s="150"/>
      <c r="AD936" s="150"/>
      <c r="AE936" s="150"/>
      <c r="AF936" s="150"/>
      <c r="AG936" s="150"/>
      <c r="AH936" s="150"/>
    </row>
    <row r="937" spans="5:34">
      <c r="E937" s="31"/>
      <c r="F937" s="32"/>
      <c r="G937" s="29"/>
      <c r="H937" s="25"/>
      <c r="I937" s="25"/>
      <c r="J937" s="25"/>
      <c r="K937" s="25"/>
      <c r="L937" s="29"/>
      <c r="M937" s="29"/>
      <c r="N937" s="28"/>
      <c r="O937" s="30"/>
      <c r="P937" s="30"/>
      <c r="Q937" s="30"/>
      <c r="R937" s="30"/>
      <c r="S937" s="30"/>
      <c r="T937" s="30"/>
      <c r="U937" s="30"/>
      <c r="V937" s="29"/>
      <c r="W937" s="125"/>
      <c r="X937" s="149"/>
      <c r="Y937" s="149"/>
      <c r="Z937" s="150"/>
      <c r="AA937" s="150"/>
      <c r="AB937" s="151"/>
      <c r="AC937" s="150"/>
      <c r="AD937" s="150"/>
      <c r="AE937" s="150"/>
      <c r="AF937" s="150"/>
      <c r="AG937" s="150"/>
      <c r="AH937" s="150"/>
    </row>
    <row r="938" spans="5:34">
      <c r="E938" s="31"/>
      <c r="F938" s="32"/>
      <c r="G938" s="29"/>
      <c r="H938" s="25"/>
      <c r="I938" s="25"/>
      <c r="J938" s="25"/>
      <c r="K938" s="25"/>
      <c r="L938" s="29"/>
      <c r="M938" s="29"/>
      <c r="N938" s="28"/>
      <c r="O938" s="30"/>
      <c r="P938" s="30"/>
      <c r="Q938" s="30"/>
      <c r="R938" s="30"/>
      <c r="S938" s="30"/>
      <c r="T938" s="30"/>
      <c r="U938" s="30"/>
      <c r="V938" s="29"/>
      <c r="W938" s="125"/>
      <c r="X938" s="149"/>
      <c r="Y938" s="149"/>
      <c r="Z938" s="150"/>
      <c r="AA938" s="150"/>
      <c r="AB938" s="151"/>
      <c r="AC938" s="150"/>
      <c r="AD938" s="150"/>
      <c r="AE938" s="150"/>
      <c r="AF938" s="150"/>
      <c r="AG938" s="150"/>
      <c r="AH938" s="150"/>
    </row>
    <row r="939" spans="5:34">
      <c r="E939" s="31"/>
      <c r="F939" s="32"/>
      <c r="G939" s="29"/>
      <c r="H939" s="25"/>
      <c r="I939" s="25"/>
      <c r="J939" s="25"/>
      <c r="K939" s="25"/>
      <c r="L939" s="29"/>
      <c r="M939" s="29"/>
      <c r="N939" s="28"/>
      <c r="O939" s="30"/>
      <c r="P939" s="30"/>
      <c r="Q939" s="30"/>
      <c r="R939" s="30"/>
      <c r="S939" s="30"/>
      <c r="T939" s="30"/>
      <c r="U939" s="30"/>
      <c r="V939" s="29"/>
      <c r="W939" s="125"/>
      <c r="X939" s="149"/>
      <c r="Y939" s="149"/>
      <c r="Z939" s="150"/>
      <c r="AA939" s="150"/>
      <c r="AB939" s="151"/>
      <c r="AC939" s="150"/>
      <c r="AD939" s="150"/>
      <c r="AE939" s="150"/>
      <c r="AF939" s="150"/>
      <c r="AG939" s="150"/>
      <c r="AH939" s="150"/>
    </row>
    <row r="940" spans="5:34">
      <c r="E940" s="31"/>
      <c r="F940" s="32"/>
      <c r="G940" s="29"/>
      <c r="H940" s="25"/>
      <c r="I940" s="25"/>
      <c r="J940" s="25"/>
      <c r="K940" s="25"/>
      <c r="L940" s="29"/>
      <c r="M940" s="29"/>
      <c r="N940" s="28"/>
      <c r="O940" s="30"/>
      <c r="P940" s="30"/>
      <c r="Q940" s="30"/>
      <c r="R940" s="30"/>
      <c r="S940" s="30"/>
      <c r="T940" s="30"/>
      <c r="U940" s="30"/>
      <c r="V940" s="29"/>
      <c r="W940" s="125"/>
      <c r="X940" s="149"/>
      <c r="Y940" s="149"/>
      <c r="Z940" s="150"/>
      <c r="AA940" s="150"/>
      <c r="AB940" s="151"/>
      <c r="AC940" s="150"/>
      <c r="AD940" s="150"/>
      <c r="AE940" s="150"/>
      <c r="AF940" s="150"/>
      <c r="AG940" s="150"/>
      <c r="AH940" s="150"/>
    </row>
    <row r="941" spans="5:34">
      <c r="E941" s="31"/>
      <c r="F941" s="32"/>
      <c r="G941" s="29"/>
      <c r="H941" s="25"/>
      <c r="I941" s="25"/>
      <c r="J941" s="25"/>
      <c r="K941" s="25"/>
      <c r="L941" s="29"/>
      <c r="M941" s="29"/>
      <c r="N941" s="28"/>
      <c r="O941" s="30"/>
      <c r="P941" s="30"/>
      <c r="Q941" s="30"/>
      <c r="R941" s="30"/>
      <c r="S941" s="30"/>
      <c r="T941" s="30"/>
      <c r="U941" s="30"/>
      <c r="V941" s="29"/>
      <c r="W941" s="125"/>
      <c r="X941" s="149"/>
      <c r="Y941" s="149"/>
      <c r="Z941" s="150"/>
      <c r="AA941" s="150"/>
      <c r="AB941" s="151"/>
      <c r="AC941" s="150"/>
      <c r="AD941" s="150"/>
      <c r="AE941" s="150"/>
      <c r="AF941" s="150"/>
      <c r="AG941" s="150"/>
      <c r="AH941" s="150"/>
    </row>
    <row r="942" spans="5:34">
      <c r="E942" s="31"/>
      <c r="F942" s="32"/>
      <c r="G942" s="29"/>
      <c r="H942" s="25"/>
      <c r="I942" s="25"/>
      <c r="J942" s="25"/>
      <c r="K942" s="25"/>
      <c r="L942" s="29"/>
      <c r="M942" s="29"/>
      <c r="N942" s="28"/>
      <c r="O942" s="30"/>
      <c r="P942" s="30"/>
      <c r="Q942" s="30"/>
      <c r="R942" s="30"/>
      <c r="S942" s="30"/>
      <c r="T942" s="30"/>
      <c r="U942" s="30"/>
      <c r="V942" s="29"/>
      <c r="W942" s="125"/>
      <c r="X942" s="149"/>
      <c r="Y942" s="149"/>
      <c r="Z942" s="150"/>
      <c r="AA942" s="150"/>
      <c r="AB942" s="151"/>
      <c r="AC942" s="150"/>
      <c r="AD942" s="150"/>
      <c r="AE942" s="150"/>
      <c r="AF942" s="150"/>
      <c r="AG942" s="150"/>
      <c r="AH942" s="150"/>
    </row>
    <row r="943" spans="5:34">
      <c r="E943" s="31"/>
      <c r="F943" s="32"/>
      <c r="G943" s="29"/>
      <c r="H943" s="25"/>
      <c r="I943" s="25"/>
      <c r="J943" s="25"/>
      <c r="K943" s="25"/>
      <c r="L943" s="29"/>
      <c r="M943" s="29"/>
      <c r="N943" s="28"/>
      <c r="O943" s="30"/>
      <c r="P943" s="30"/>
      <c r="Q943" s="30"/>
      <c r="R943" s="30"/>
      <c r="S943" s="30"/>
      <c r="T943" s="30"/>
      <c r="U943" s="30"/>
      <c r="V943" s="29"/>
      <c r="W943" s="125"/>
      <c r="X943" s="149"/>
      <c r="Y943" s="149"/>
      <c r="Z943" s="150"/>
      <c r="AA943" s="150"/>
      <c r="AB943" s="151"/>
      <c r="AC943" s="150"/>
      <c r="AD943" s="150"/>
      <c r="AE943" s="150"/>
      <c r="AF943" s="150"/>
      <c r="AG943" s="150"/>
      <c r="AH943" s="150"/>
    </row>
    <row r="944" spans="5:34">
      <c r="E944" s="31"/>
      <c r="F944" s="32"/>
      <c r="G944" s="29"/>
      <c r="H944" s="25"/>
      <c r="I944" s="25"/>
      <c r="J944" s="25"/>
      <c r="K944" s="25"/>
      <c r="L944" s="29"/>
      <c r="M944" s="29"/>
      <c r="N944" s="28"/>
      <c r="O944" s="30"/>
      <c r="P944" s="30"/>
      <c r="Q944" s="30"/>
      <c r="R944" s="30"/>
      <c r="S944" s="30"/>
      <c r="T944" s="30"/>
      <c r="U944" s="30"/>
      <c r="V944" s="29"/>
      <c r="W944" s="125"/>
      <c r="X944" s="149"/>
      <c r="Y944" s="149"/>
      <c r="Z944" s="150"/>
      <c r="AA944" s="150"/>
      <c r="AB944" s="151"/>
      <c r="AC944" s="150"/>
      <c r="AD944" s="150"/>
      <c r="AE944" s="150"/>
      <c r="AF944" s="150"/>
      <c r="AG944" s="150"/>
      <c r="AH944" s="150"/>
    </row>
    <row r="945" spans="5:34">
      <c r="E945" s="31"/>
      <c r="F945" s="32"/>
      <c r="G945" s="29"/>
      <c r="H945" s="25"/>
      <c r="I945" s="25"/>
      <c r="J945" s="25"/>
      <c r="K945" s="25"/>
      <c r="L945" s="29"/>
      <c r="M945" s="29"/>
      <c r="N945" s="28"/>
      <c r="O945" s="30"/>
      <c r="P945" s="30"/>
      <c r="Q945" s="30"/>
      <c r="R945" s="30"/>
      <c r="S945" s="30"/>
      <c r="T945" s="30"/>
      <c r="U945" s="30"/>
      <c r="V945" s="29"/>
      <c r="W945" s="125"/>
      <c r="X945" s="149"/>
      <c r="Y945" s="149"/>
      <c r="Z945" s="150"/>
      <c r="AA945" s="150"/>
      <c r="AB945" s="151"/>
      <c r="AC945" s="150"/>
      <c r="AD945" s="150"/>
      <c r="AE945" s="150"/>
      <c r="AF945" s="150"/>
      <c r="AG945" s="150"/>
      <c r="AH945" s="150"/>
    </row>
    <row r="946" spans="5:34">
      <c r="E946" s="31"/>
      <c r="F946" s="32"/>
      <c r="G946" s="29"/>
      <c r="H946" s="25"/>
      <c r="I946" s="25"/>
      <c r="J946" s="25"/>
      <c r="K946" s="25"/>
      <c r="L946" s="29"/>
      <c r="M946" s="29"/>
      <c r="N946" s="28"/>
      <c r="O946" s="30"/>
      <c r="P946" s="30"/>
      <c r="Q946" s="30"/>
      <c r="R946" s="30"/>
      <c r="S946" s="30"/>
      <c r="T946" s="30"/>
      <c r="U946" s="30"/>
      <c r="V946" s="29"/>
      <c r="W946" s="125"/>
      <c r="X946" s="149"/>
      <c r="Y946" s="149"/>
      <c r="Z946" s="150"/>
      <c r="AA946" s="150"/>
      <c r="AB946" s="151"/>
      <c r="AC946" s="150"/>
      <c r="AD946" s="150"/>
      <c r="AE946" s="150"/>
      <c r="AF946" s="150"/>
      <c r="AG946" s="150"/>
      <c r="AH946" s="150"/>
    </row>
    <row r="947" spans="5:34">
      <c r="E947" s="31"/>
      <c r="F947" s="32"/>
      <c r="G947" s="29"/>
      <c r="H947" s="25"/>
      <c r="I947" s="25"/>
      <c r="J947" s="25"/>
      <c r="K947" s="25"/>
      <c r="L947" s="29"/>
      <c r="M947" s="29"/>
      <c r="N947" s="28"/>
      <c r="O947" s="30"/>
      <c r="P947" s="30"/>
      <c r="Q947" s="30"/>
      <c r="R947" s="30"/>
      <c r="S947" s="30"/>
      <c r="T947" s="30"/>
      <c r="U947" s="30"/>
      <c r="V947" s="29"/>
      <c r="W947" s="125"/>
      <c r="X947" s="149"/>
      <c r="Y947" s="149"/>
      <c r="Z947" s="150"/>
      <c r="AA947" s="150"/>
      <c r="AB947" s="151"/>
      <c r="AC947" s="150"/>
      <c r="AD947" s="150"/>
      <c r="AE947" s="150"/>
      <c r="AF947" s="150"/>
      <c r="AG947" s="150"/>
      <c r="AH947" s="150"/>
    </row>
    <row r="948" spans="5:34">
      <c r="E948" s="31"/>
      <c r="F948" s="32"/>
      <c r="G948" s="29"/>
      <c r="H948" s="25"/>
      <c r="I948" s="25"/>
      <c r="J948" s="25"/>
      <c r="K948" s="25"/>
      <c r="L948" s="29"/>
      <c r="M948" s="29"/>
      <c r="N948" s="28"/>
      <c r="O948" s="30"/>
      <c r="P948" s="30"/>
      <c r="Q948" s="30"/>
      <c r="R948" s="30"/>
      <c r="S948" s="30"/>
      <c r="T948" s="30"/>
      <c r="U948" s="30"/>
      <c r="V948" s="29"/>
      <c r="W948" s="125"/>
      <c r="X948" s="149"/>
      <c r="Y948" s="149"/>
      <c r="Z948" s="150"/>
      <c r="AA948" s="150"/>
      <c r="AB948" s="151"/>
      <c r="AC948" s="150"/>
      <c r="AD948" s="150"/>
      <c r="AE948" s="150"/>
      <c r="AF948" s="150"/>
      <c r="AG948" s="150"/>
      <c r="AH948" s="150"/>
    </row>
    <row r="949" spans="5:34">
      <c r="E949" s="31"/>
      <c r="F949" s="32"/>
      <c r="G949" s="29"/>
      <c r="H949" s="25"/>
      <c r="I949" s="25"/>
      <c r="J949" s="25"/>
      <c r="K949" s="25"/>
      <c r="L949" s="29"/>
      <c r="M949" s="29"/>
      <c r="N949" s="28"/>
      <c r="O949" s="30"/>
      <c r="P949" s="30"/>
      <c r="Q949" s="30"/>
      <c r="R949" s="30"/>
      <c r="S949" s="30"/>
      <c r="T949" s="30"/>
      <c r="U949" s="30"/>
      <c r="V949" s="29"/>
      <c r="W949" s="125"/>
      <c r="X949" s="149"/>
      <c r="Y949" s="149"/>
      <c r="Z949" s="150"/>
      <c r="AA949" s="150"/>
      <c r="AB949" s="151"/>
      <c r="AC949" s="150"/>
      <c r="AD949" s="150"/>
      <c r="AE949" s="150"/>
      <c r="AF949" s="150"/>
      <c r="AG949" s="150"/>
      <c r="AH949" s="150"/>
    </row>
    <row r="950" spans="5:34">
      <c r="E950" s="31"/>
      <c r="F950" s="32"/>
      <c r="G950" s="29"/>
      <c r="H950" s="25"/>
      <c r="I950" s="25"/>
      <c r="J950" s="25"/>
      <c r="K950" s="25"/>
      <c r="L950" s="29"/>
      <c r="M950" s="29"/>
      <c r="N950" s="28"/>
      <c r="O950" s="30"/>
      <c r="P950" s="30"/>
      <c r="Q950" s="30"/>
      <c r="R950" s="30"/>
      <c r="S950" s="30"/>
      <c r="T950" s="30"/>
      <c r="U950" s="30"/>
      <c r="V950" s="29"/>
      <c r="W950" s="125"/>
      <c r="X950" s="149"/>
      <c r="Y950" s="149"/>
      <c r="Z950" s="150"/>
      <c r="AA950" s="150"/>
      <c r="AB950" s="151"/>
      <c r="AC950" s="150"/>
      <c r="AD950" s="150"/>
      <c r="AE950" s="150"/>
      <c r="AF950" s="150"/>
      <c r="AG950" s="150"/>
      <c r="AH950" s="150"/>
    </row>
    <row r="951" spans="5:34">
      <c r="E951" s="31"/>
      <c r="F951" s="32"/>
      <c r="G951" s="29"/>
      <c r="H951" s="25"/>
      <c r="I951" s="25"/>
      <c r="J951" s="25"/>
      <c r="K951" s="25"/>
      <c r="L951" s="29"/>
      <c r="M951" s="29"/>
      <c r="N951" s="28"/>
      <c r="O951" s="30"/>
      <c r="P951" s="30"/>
      <c r="Q951" s="30"/>
      <c r="R951" s="30"/>
      <c r="S951" s="30"/>
      <c r="T951" s="30"/>
      <c r="U951" s="30"/>
      <c r="V951" s="29"/>
      <c r="W951" s="125"/>
      <c r="X951" s="149"/>
      <c r="Y951" s="149"/>
      <c r="Z951" s="150"/>
      <c r="AA951" s="150"/>
      <c r="AB951" s="151"/>
      <c r="AC951" s="150"/>
      <c r="AD951" s="150"/>
      <c r="AE951" s="150"/>
      <c r="AF951" s="150"/>
      <c r="AG951" s="150"/>
      <c r="AH951" s="150"/>
    </row>
    <row r="952" spans="5:34">
      <c r="E952" s="31"/>
      <c r="F952" s="32"/>
      <c r="G952" s="29"/>
      <c r="H952" s="25"/>
      <c r="I952" s="25"/>
      <c r="J952" s="25"/>
      <c r="K952" s="25"/>
      <c r="L952" s="29"/>
      <c r="M952" s="29"/>
      <c r="N952" s="28"/>
      <c r="O952" s="30"/>
      <c r="P952" s="30"/>
      <c r="Q952" s="30"/>
      <c r="R952" s="30"/>
      <c r="S952" s="30"/>
      <c r="T952" s="30"/>
      <c r="U952" s="30"/>
      <c r="V952" s="29"/>
      <c r="W952" s="125"/>
      <c r="X952" s="149"/>
      <c r="Y952" s="149"/>
      <c r="Z952" s="150"/>
      <c r="AA952" s="150"/>
      <c r="AB952" s="151"/>
      <c r="AC952" s="150"/>
      <c r="AD952" s="150"/>
      <c r="AE952" s="150"/>
      <c r="AF952" s="150"/>
      <c r="AG952" s="150"/>
      <c r="AH952" s="150"/>
    </row>
    <row r="953" spans="5:34">
      <c r="E953" s="31"/>
      <c r="F953" s="32"/>
      <c r="G953" s="29"/>
      <c r="H953" s="25"/>
      <c r="I953" s="25"/>
      <c r="J953" s="25"/>
      <c r="K953" s="25"/>
      <c r="L953" s="29"/>
      <c r="M953" s="29"/>
      <c r="N953" s="28"/>
      <c r="O953" s="30"/>
      <c r="P953" s="30"/>
      <c r="Q953" s="30"/>
      <c r="R953" s="30"/>
      <c r="S953" s="30"/>
      <c r="T953" s="30"/>
      <c r="U953" s="30"/>
      <c r="V953" s="29"/>
      <c r="W953" s="125"/>
      <c r="X953" s="149"/>
      <c r="Y953" s="149"/>
      <c r="Z953" s="150"/>
      <c r="AA953" s="150"/>
      <c r="AB953" s="151"/>
      <c r="AC953" s="150"/>
      <c r="AD953" s="150"/>
      <c r="AE953" s="150"/>
      <c r="AF953" s="150"/>
      <c r="AG953" s="150"/>
      <c r="AH953" s="150"/>
    </row>
    <row r="954" spans="5:34">
      <c r="E954" s="31"/>
      <c r="F954" s="32"/>
      <c r="G954" s="29"/>
      <c r="H954" s="25"/>
      <c r="I954" s="25"/>
      <c r="J954" s="25"/>
      <c r="K954" s="25"/>
      <c r="L954" s="29"/>
      <c r="M954" s="29"/>
      <c r="N954" s="28"/>
      <c r="O954" s="30"/>
      <c r="P954" s="30"/>
      <c r="Q954" s="30"/>
      <c r="R954" s="30"/>
      <c r="S954" s="30"/>
      <c r="T954" s="30"/>
      <c r="U954" s="30"/>
      <c r="V954" s="29"/>
      <c r="W954" s="125"/>
      <c r="X954" s="149"/>
      <c r="Y954" s="149"/>
      <c r="Z954" s="150"/>
      <c r="AA954" s="150"/>
      <c r="AB954" s="151"/>
      <c r="AC954" s="150"/>
      <c r="AD954" s="150"/>
      <c r="AE954" s="150"/>
      <c r="AF954" s="150"/>
      <c r="AG954" s="150"/>
      <c r="AH954" s="150"/>
    </row>
    <row r="955" spans="5:34">
      <c r="E955" s="31"/>
      <c r="F955" s="32"/>
      <c r="G955" s="29"/>
      <c r="H955" s="25"/>
      <c r="I955" s="25"/>
      <c r="J955" s="25"/>
      <c r="K955" s="25"/>
      <c r="L955" s="29"/>
      <c r="M955" s="29"/>
      <c r="N955" s="28"/>
      <c r="O955" s="30"/>
      <c r="P955" s="30"/>
      <c r="Q955" s="30"/>
      <c r="R955" s="30"/>
      <c r="S955" s="30"/>
      <c r="T955" s="30"/>
      <c r="U955" s="30"/>
      <c r="V955" s="29"/>
      <c r="W955" s="125"/>
      <c r="X955" s="149"/>
      <c r="Y955" s="149"/>
      <c r="Z955" s="150"/>
      <c r="AA955" s="150"/>
      <c r="AB955" s="151"/>
      <c r="AC955" s="150"/>
      <c r="AD955" s="150"/>
      <c r="AE955" s="150"/>
      <c r="AF955" s="150"/>
      <c r="AG955" s="150"/>
      <c r="AH955" s="150"/>
    </row>
    <row r="956" spans="5:34">
      <c r="E956" s="31"/>
      <c r="F956" s="32"/>
      <c r="G956" s="29"/>
      <c r="H956" s="25"/>
      <c r="I956" s="25"/>
      <c r="J956" s="25"/>
      <c r="K956" s="25"/>
      <c r="L956" s="29"/>
      <c r="M956" s="29"/>
      <c r="N956" s="28"/>
      <c r="O956" s="30"/>
      <c r="P956" s="30"/>
      <c r="Q956" s="30"/>
      <c r="R956" s="30"/>
      <c r="S956" s="30"/>
      <c r="T956" s="30"/>
      <c r="U956" s="30"/>
      <c r="V956" s="29"/>
      <c r="W956" s="125"/>
      <c r="X956" s="149"/>
      <c r="Y956" s="149"/>
      <c r="Z956" s="150"/>
      <c r="AA956" s="150"/>
      <c r="AB956" s="151"/>
      <c r="AC956" s="150"/>
      <c r="AD956" s="150"/>
      <c r="AE956" s="150"/>
      <c r="AF956" s="150"/>
      <c r="AG956" s="150"/>
      <c r="AH956" s="150"/>
    </row>
    <row r="957" spans="5:34">
      <c r="E957" s="31"/>
      <c r="F957" s="32"/>
      <c r="G957" s="29"/>
      <c r="H957" s="25"/>
      <c r="I957" s="25"/>
      <c r="J957" s="25"/>
      <c r="K957" s="25"/>
      <c r="L957" s="29"/>
      <c r="M957" s="29"/>
      <c r="N957" s="28"/>
      <c r="O957" s="30"/>
      <c r="P957" s="30"/>
      <c r="Q957" s="30"/>
      <c r="R957" s="30"/>
      <c r="S957" s="30"/>
      <c r="T957" s="30"/>
      <c r="U957" s="30"/>
      <c r="V957" s="29"/>
      <c r="W957" s="125"/>
      <c r="X957" s="149"/>
      <c r="Y957" s="149"/>
      <c r="Z957" s="150"/>
      <c r="AA957" s="150"/>
      <c r="AB957" s="151"/>
      <c r="AC957" s="150"/>
      <c r="AD957" s="150"/>
      <c r="AE957" s="150"/>
      <c r="AF957" s="150"/>
      <c r="AG957" s="150"/>
      <c r="AH957" s="150"/>
    </row>
    <row r="958" spans="5:34">
      <c r="E958" s="31"/>
      <c r="F958" s="32"/>
      <c r="G958" s="29"/>
      <c r="H958" s="25"/>
      <c r="I958" s="25"/>
      <c r="J958" s="25"/>
      <c r="K958" s="25"/>
      <c r="L958" s="29"/>
      <c r="M958" s="29"/>
      <c r="N958" s="28"/>
      <c r="O958" s="30"/>
      <c r="P958" s="30"/>
      <c r="Q958" s="30"/>
      <c r="R958" s="30"/>
      <c r="S958" s="30"/>
      <c r="T958" s="30"/>
      <c r="U958" s="30"/>
      <c r="V958" s="29"/>
      <c r="W958" s="125"/>
      <c r="X958" s="149"/>
      <c r="Y958" s="149"/>
      <c r="Z958" s="150"/>
      <c r="AA958" s="150"/>
      <c r="AB958" s="151"/>
      <c r="AC958" s="150"/>
      <c r="AD958" s="150"/>
      <c r="AE958" s="150"/>
      <c r="AF958" s="150"/>
      <c r="AG958" s="150"/>
      <c r="AH958" s="150"/>
    </row>
    <row r="959" spans="5:34">
      <c r="E959" s="31"/>
      <c r="F959" s="32"/>
      <c r="G959" s="29"/>
      <c r="H959" s="25"/>
      <c r="I959" s="25"/>
      <c r="J959" s="25"/>
      <c r="K959" s="25"/>
      <c r="L959" s="29"/>
      <c r="M959" s="29"/>
      <c r="N959" s="28"/>
      <c r="O959" s="30"/>
      <c r="P959" s="30"/>
      <c r="Q959" s="30"/>
      <c r="R959" s="30"/>
      <c r="S959" s="30"/>
      <c r="T959" s="30"/>
      <c r="U959" s="30"/>
      <c r="V959" s="29"/>
      <c r="W959" s="125"/>
      <c r="X959" s="149"/>
      <c r="Y959" s="149"/>
      <c r="Z959" s="150"/>
      <c r="AA959" s="150"/>
      <c r="AB959" s="151"/>
      <c r="AC959" s="150"/>
      <c r="AD959" s="150"/>
      <c r="AE959" s="150"/>
      <c r="AF959" s="150"/>
      <c r="AG959" s="150"/>
      <c r="AH959" s="150"/>
    </row>
    <row r="960" spans="5:34">
      <c r="E960" s="31"/>
      <c r="F960" s="32"/>
      <c r="G960" s="29"/>
      <c r="H960" s="25"/>
      <c r="I960" s="25"/>
      <c r="J960" s="25"/>
      <c r="K960" s="25"/>
      <c r="L960" s="29"/>
      <c r="M960" s="29"/>
      <c r="N960" s="28"/>
      <c r="O960" s="30"/>
      <c r="P960" s="30"/>
      <c r="Q960" s="30"/>
      <c r="R960" s="30"/>
      <c r="S960" s="30"/>
      <c r="T960" s="30"/>
      <c r="U960" s="30"/>
      <c r="V960" s="29"/>
      <c r="W960" s="125"/>
      <c r="X960" s="149"/>
      <c r="Y960" s="149"/>
      <c r="Z960" s="150"/>
      <c r="AA960" s="150"/>
      <c r="AB960" s="151"/>
      <c r="AC960" s="150"/>
      <c r="AD960" s="150"/>
      <c r="AE960" s="150"/>
      <c r="AF960" s="150"/>
      <c r="AG960" s="150"/>
      <c r="AH960" s="150"/>
    </row>
    <row r="961" spans="5:34">
      <c r="E961" s="31"/>
      <c r="F961" s="32"/>
      <c r="G961" s="29"/>
      <c r="H961" s="25"/>
      <c r="I961" s="25"/>
      <c r="J961" s="25"/>
      <c r="K961" s="25"/>
      <c r="L961" s="29"/>
      <c r="M961" s="29"/>
      <c r="N961" s="28"/>
      <c r="O961" s="30"/>
      <c r="P961" s="30"/>
      <c r="Q961" s="30"/>
      <c r="R961" s="30"/>
      <c r="S961" s="30"/>
      <c r="T961" s="30"/>
      <c r="U961" s="30"/>
      <c r="V961" s="29"/>
      <c r="W961" s="125"/>
      <c r="X961" s="149"/>
      <c r="Y961" s="149"/>
      <c r="Z961" s="150"/>
      <c r="AA961" s="150"/>
      <c r="AB961" s="151"/>
      <c r="AC961" s="150"/>
      <c r="AD961" s="150"/>
      <c r="AE961" s="150"/>
      <c r="AF961" s="150"/>
      <c r="AG961" s="150"/>
      <c r="AH961" s="150"/>
    </row>
    <row r="962" spans="5:34">
      <c r="E962" s="31"/>
      <c r="F962" s="32"/>
      <c r="G962" s="29"/>
      <c r="H962" s="25"/>
      <c r="I962" s="25"/>
      <c r="J962" s="25"/>
      <c r="K962" s="25"/>
      <c r="L962" s="29"/>
      <c r="M962" s="29"/>
      <c r="N962" s="28"/>
      <c r="O962" s="30"/>
      <c r="P962" s="30"/>
      <c r="Q962" s="30"/>
      <c r="R962" s="30"/>
      <c r="S962" s="30"/>
      <c r="T962" s="30"/>
      <c r="U962" s="30"/>
      <c r="V962" s="29"/>
      <c r="W962" s="125"/>
      <c r="X962" s="149"/>
      <c r="Y962" s="149"/>
      <c r="Z962" s="150"/>
      <c r="AA962" s="150"/>
      <c r="AB962" s="151"/>
      <c r="AC962" s="150"/>
      <c r="AD962" s="150"/>
      <c r="AE962" s="150"/>
      <c r="AF962" s="150"/>
      <c r="AG962" s="150"/>
      <c r="AH962" s="150"/>
    </row>
    <row r="963" spans="5:34">
      <c r="E963" s="31"/>
      <c r="F963" s="32"/>
      <c r="G963" s="29"/>
      <c r="H963" s="25"/>
      <c r="I963" s="25"/>
      <c r="J963" s="25"/>
      <c r="K963" s="25"/>
      <c r="L963" s="29"/>
      <c r="M963" s="29"/>
      <c r="N963" s="28"/>
      <c r="O963" s="30"/>
      <c r="P963" s="30"/>
      <c r="Q963" s="30"/>
      <c r="R963" s="30"/>
      <c r="S963" s="30"/>
      <c r="T963" s="30"/>
      <c r="U963" s="30"/>
      <c r="V963" s="29"/>
      <c r="W963" s="125"/>
      <c r="X963" s="149"/>
      <c r="Y963" s="149"/>
      <c r="Z963" s="150"/>
      <c r="AA963" s="150"/>
      <c r="AB963" s="151"/>
      <c r="AC963" s="150"/>
      <c r="AD963" s="150"/>
      <c r="AE963" s="150"/>
      <c r="AF963" s="150"/>
      <c r="AG963" s="150"/>
      <c r="AH963" s="150"/>
    </row>
    <row r="964" spans="5:34">
      <c r="E964" s="31"/>
      <c r="F964" s="32"/>
      <c r="G964" s="29"/>
      <c r="H964" s="25"/>
      <c r="I964" s="25"/>
      <c r="J964" s="25"/>
      <c r="K964" s="25"/>
      <c r="L964" s="29"/>
      <c r="M964" s="29"/>
      <c r="N964" s="28"/>
      <c r="O964" s="30"/>
      <c r="P964" s="30"/>
      <c r="Q964" s="30"/>
      <c r="R964" s="30"/>
      <c r="S964" s="30"/>
      <c r="T964" s="30"/>
      <c r="U964" s="30"/>
      <c r="V964" s="29"/>
      <c r="W964" s="125"/>
      <c r="X964" s="149"/>
      <c r="Y964" s="149"/>
      <c r="Z964" s="150"/>
      <c r="AA964" s="150"/>
      <c r="AB964" s="151"/>
      <c r="AC964" s="150"/>
      <c r="AD964" s="150"/>
      <c r="AE964" s="150"/>
      <c r="AF964" s="150"/>
      <c r="AG964" s="150"/>
      <c r="AH964" s="150"/>
    </row>
    <row r="965" spans="5:34">
      <c r="E965" s="31"/>
      <c r="F965" s="32"/>
      <c r="G965" s="29"/>
      <c r="H965" s="25"/>
      <c r="I965" s="25"/>
      <c r="J965" s="25"/>
      <c r="K965" s="25"/>
      <c r="L965" s="29"/>
      <c r="M965" s="29"/>
      <c r="N965" s="28"/>
      <c r="O965" s="30"/>
      <c r="P965" s="30"/>
      <c r="Q965" s="30"/>
      <c r="R965" s="30"/>
      <c r="S965" s="30"/>
      <c r="T965" s="30"/>
      <c r="U965" s="30"/>
      <c r="V965" s="29"/>
      <c r="W965" s="125"/>
      <c r="X965" s="149"/>
      <c r="Y965" s="149"/>
      <c r="Z965" s="150"/>
      <c r="AA965" s="150"/>
      <c r="AB965" s="151"/>
      <c r="AC965" s="150"/>
      <c r="AD965" s="150"/>
      <c r="AE965" s="150"/>
      <c r="AF965" s="150"/>
      <c r="AG965" s="150"/>
      <c r="AH965" s="150"/>
    </row>
    <row r="966" spans="5:34">
      <c r="E966" s="31"/>
      <c r="F966" s="32"/>
      <c r="G966" s="29"/>
      <c r="H966" s="25"/>
      <c r="I966" s="25"/>
      <c r="J966" s="25"/>
      <c r="K966" s="25"/>
      <c r="L966" s="29"/>
      <c r="M966" s="29"/>
      <c r="N966" s="28"/>
      <c r="O966" s="30"/>
      <c r="P966" s="30"/>
      <c r="Q966" s="30"/>
      <c r="R966" s="30"/>
      <c r="S966" s="30"/>
      <c r="T966" s="30"/>
      <c r="U966" s="30"/>
      <c r="V966" s="29"/>
      <c r="W966" s="125"/>
      <c r="X966" s="149"/>
      <c r="Y966" s="149"/>
      <c r="Z966" s="150"/>
      <c r="AA966" s="150"/>
      <c r="AB966" s="151"/>
      <c r="AC966" s="150"/>
      <c r="AD966" s="150"/>
      <c r="AE966" s="150"/>
      <c r="AF966" s="150"/>
      <c r="AG966" s="150"/>
      <c r="AH966" s="150"/>
    </row>
    <row r="967" spans="5:34">
      <c r="E967" s="31"/>
      <c r="F967" s="32"/>
      <c r="G967" s="29"/>
      <c r="H967" s="25"/>
      <c r="I967" s="25"/>
      <c r="J967" s="25"/>
      <c r="K967" s="25"/>
      <c r="L967" s="29"/>
      <c r="M967" s="29"/>
      <c r="N967" s="28"/>
      <c r="O967" s="30"/>
      <c r="P967" s="30"/>
      <c r="Q967" s="30"/>
      <c r="R967" s="30"/>
      <c r="S967" s="30"/>
      <c r="T967" s="30"/>
      <c r="U967" s="30"/>
      <c r="V967" s="29"/>
      <c r="W967" s="125"/>
      <c r="X967" s="149"/>
      <c r="Y967" s="149"/>
      <c r="Z967" s="150"/>
      <c r="AA967" s="150"/>
      <c r="AB967" s="151"/>
      <c r="AC967" s="150"/>
      <c r="AD967" s="150"/>
      <c r="AE967" s="150"/>
      <c r="AF967" s="150"/>
      <c r="AG967" s="150"/>
      <c r="AH967" s="150"/>
    </row>
    <row r="968" spans="5:34">
      <c r="E968" s="31"/>
      <c r="F968" s="32"/>
      <c r="G968" s="29"/>
      <c r="H968" s="25"/>
      <c r="I968" s="25"/>
      <c r="J968" s="25"/>
      <c r="K968" s="25"/>
      <c r="L968" s="29"/>
      <c r="M968" s="29"/>
      <c r="N968" s="28"/>
      <c r="O968" s="30"/>
      <c r="P968" s="30"/>
      <c r="Q968" s="30"/>
      <c r="R968" s="30"/>
      <c r="S968" s="30"/>
      <c r="T968" s="30"/>
      <c r="U968" s="30"/>
      <c r="V968" s="29"/>
      <c r="W968" s="125"/>
      <c r="X968" s="149"/>
      <c r="Y968" s="149"/>
      <c r="Z968" s="150"/>
      <c r="AA968" s="150"/>
      <c r="AB968" s="151"/>
      <c r="AC968" s="150"/>
      <c r="AD968" s="150"/>
      <c r="AE968" s="150"/>
      <c r="AF968" s="150"/>
      <c r="AG968" s="150"/>
      <c r="AH968" s="150"/>
    </row>
    <row r="969" spans="5:34">
      <c r="E969" s="31"/>
      <c r="F969" s="32"/>
      <c r="G969" s="29"/>
      <c r="H969" s="25"/>
      <c r="I969" s="25"/>
      <c r="J969" s="25"/>
      <c r="K969" s="25"/>
      <c r="L969" s="29"/>
      <c r="M969" s="29"/>
      <c r="N969" s="28"/>
      <c r="O969" s="30"/>
      <c r="P969" s="30"/>
      <c r="Q969" s="30"/>
      <c r="R969" s="30"/>
      <c r="S969" s="30"/>
      <c r="T969" s="30"/>
      <c r="U969" s="30"/>
      <c r="V969" s="29"/>
      <c r="W969" s="125"/>
      <c r="X969" s="149"/>
      <c r="Y969" s="149"/>
      <c r="Z969" s="150"/>
      <c r="AA969" s="150"/>
      <c r="AB969" s="151"/>
      <c r="AC969" s="150"/>
      <c r="AD969" s="150"/>
      <c r="AE969" s="150"/>
      <c r="AF969" s="150"/>
      <c r="AG969" s="150"/>
      <c r="AH969" s="150"/>
    </row>
    <row r="970" spans="5:34">
      <c r="E970" s="31"/>
      <c r="F970" s="32"/>
      <c r="G970" s="29"/>
      <c r="H970" s="25"/>
      <c r="I970" s="25"/>
      <c r="J970" s="25"/>
      <c r="K970" s="25"/>
      <c r="L970" s="29"/>
      <c r="M970" s="29"/>
      <c r="N970" s="28"/>
      <c r="O970" s="30"/>
      <c r="P970" s="30"/>
      <c r="Q970" s="30"/>
      <c r="R970" s="30"/>
      <c r="S970" s="30"/>
      <c r="T970" s="30"/>
      <c r="U970" s="30"/>
      <c r="V970" s="29"/>
      <c r="W970" s="125"/>
      <c r="X970" s="149"/>
      <c r="Y970" s="149"/>
      <c r="Z970" s="150"/>
      <c r="AA970" s="150"/>
      <c r="AB970" s="151"/>
      <c r="AC970" s="150"/>
      <c r="AD970" s="150"/>
      <c r="AE970" s="150"/>
      <c r="AF970" s="150"/>
      <c r="AG970" s="150"/>
      <c r="AH970" s="150"/>
    </row>
    <row r="971" spans="5:34">
      <c r="E971" s="31"/>
      <c r="F971" s="32"/>
      <c r="G971" s="29"/>
      <c r="H971" s="25"/>
      <c r="I971" s="25"/>
      <c r="J971" s="25"/>
      <c r="K971" s="25"/>
      <c r="L971" s="29"/>
      <c r="M971" s="29"/>
      <c r="N971" s="28"/>
      <c r="O971" s="30"/>
      <c r="P971" s="30"/>
      <c r="Q971" s="30"/>
      <c r="R971" s="30"/>
      <c r="S971" s="30"/>
      <c r="T971" s="30"/>
      <c r="U971" s="30"/>
      <c r="V971" s="29"/>
      <c r="W971" s="125"/>
      <c r="X971" s="149"/>
      <c r="Y971" s="149"/>
      <c r="Z971" s="150"/>
      <c r="AA971" s="150"/>
      <c r="AB971" s="151"/>
      <c r="AC971" s="150"/>
      <c r="AD971" s="150"/>
      <c r="AE971" s="150"/>
      <c r="AF971" s="150"/>
      <c r="AG971" s="150"/>
      <c r="AH971" s="150"/>
    </row>
    <row r="972" spans="5:34">
      <c r="E972" s="31"/>
      <c r="F972" s="32"/>
      <c r="G972" s="29"/>
      <c r="H972" s="25"/>
      <c r="I972" s="25"/>
      <c r="J972" s="25"/>
      <c r="K972" s="25"/>
      <c r="L972" s="29"/>
      <c r="M972" s="29"/>
      <c r="N972" s="28"/>
      <c r="O972" s="30"/>
      <c r="P972" s="30"/>
      <c r="Q972" s="30"/>
      <c r="R972" s="30"/>
      <c r="S972" s="30"/>
      <c r="T972" s="30"/>
      <c r="U972" s="30"/>
      <c r="V972" s="29"/>
      <c r="W972" s="125"/>
      <c r="X972" s="149"/>
      <c r="Y972" s="149"/>
      <c r="Z972" s="150"/>
      <c r="AA972" s="150"/>
      <c r="AB972" s="151"/>
      <c r="AC972" s="150"/>
      <c r="AD972" s="150"/>
      <c r="AE972" s="150"/>
      <c r="AF972" s="150"/>
      <c r="AG972" s="150"/>
      <c r="AH972" s="150"/>
    </row>
    <row r="973" spans="5:34">
      <c r="E973" s="31"/>
      <c r="F973" s="32"/>
      <c r="G973" s="29"/>
      <c r="H973" s="25"/>
      <c r="I973" s="25"/>
      <c r="J973" s="25"/>
      <c r="K973" s="25"/>
      <c r="L973" s="29"/>
      <c r="M973" s="29"/>
      <c r="N973" s="28"/>
      <c r="O973" s="30"/>
      <c r="P973" s="30"/>
      <c r="Q973" s="30"/>
      <c r="R973" s="30"/>
      <c r="S973" s="30"/>
      <c r="T973" s="30"/>
      <c r="U973" s="30"/>
      <c r="V973" s="29"/>
      <c r="W973" s="125"/>
      <c r="X973" s="149"/>
      <c r="Y973" s="149"/>
      <c r="Z973" s="150"/>
      <c r="AA973" s="150"/>
      <c r="AB973" s="151"/>
      <c r="AC973" s="150"/>
      <c r="AD973" s="150"/>
      <c r="AE973" s="150"/>
      <c r="AF973" s="150"/>
      <c r="AG973" s="150"/>
      <c r="AH973" s="150"/>
    </row>
    <row r="974" spans="5:34">
      <c r="E974" s="31"/>
      <c r="F974" s="32"/>
      <c r="G974" s="29"/>
      <c r="H974" s="25"/>
      <c r="I974" s="25"/>
      <c r="J974" s="25"/>
      <c r="K974" s="25"/>
      <c r="L974" s="29"/>
      <c r="M974" s="29"/>
      <c r="N974" s="28"/>
      <c r="O974" s="30"/>
      <c r="P974" s="30"/>
      <c r="Q974" s="30"/>
      <c r="R974" s="30"/>
      <c r="S974" s="30"/>
      <c r="T974" s="30"/>
      <c r="U974" s="30"/>
      <c r="V974" s="29"/>
      <c r="W974" s="125"/>
      <c r="X974" s="149"/>
      <c r="Y974" s="149"/>
      <c r="Z974" s="150"/>
      <c r="AA974" s="150"/>
      <c r="AB974" s="151"/>
      <c r="AC974" s="150"/>
      <c r="AD974" s="150"/>
      <c r="AE974" s="150"/>
      <c r="AF974" s="150"/>
      <c r="AG974" s="150"/>
      <c r="AH974" s="150"/>
    </row>
    <row r="975" spans="5:34">
      <c r="E975" s="31"/>
      <c r="F975" s="32"/>
      <c r="G975" s="29"/>
      <c r="H975" s="25"/>
      <c r="I975" s="25"/>
      <c r="J975" s="25"/>
      <c r="K975" s="25"/>
      <c r="L975" s="29"/>
      <c r="M975" s="29"/>
      <c r="N975" s="28"/>
      <c r="O975" s="30"/>
      <c r="P975" s="30"/>
      <c r="Q975" s="30"/>
      <c r="R975" s="30"/>
      <c r="S975" s="30"/>
      <c r="T975" s="30"/>
      <c r="U975" s="30"/>
      <c r="V975" s="29"/>
      <c r="W975" s="125"/>
      <c r="X975" s="149"/>
      <c r="Y975" s="149"/>
      <c r="Z975" s="150"/>
      <c r="AA975" s="150"/>
      <c r="AB975" s="151"/>
      <c r="AC975" s="150"/>
      <c r="AD975" s="150"/>
      <c r="AE975" s="150"/>
      <c r="AF975" s="150"/>
      <c r="AG975" s="150"/>
      <c r="AH975" s="150"/>
    </row>
    <row r="976" spans="5:34">
      <c r="E976" s="31"/>
      <c r="F976" s="32"/>
      <c r="G976" s="29"/>
      <c r="H976" s="25"/>
      <c r="I976" s="25"/>
      <c r="J976" s="25"/>
      <c r="K976" s="25"/>
      <c r="L976" s="29"/>
      <c r="M976" s="29"/>
      <c r="N976" s="28"/>
      <c r="O976" s="30"/>
      <c r="P976" s="30"/>
      <c r="Q976" s="30"/>
      <c r="R976" s="30"/>
      <c r="S976" s="30"/>
      <c r="T976" s="30"/>
      <c r="U976" s="30"/>
      <c r="V976" s="29"/>
      <c r="W976" s="125"/>
      <c r="X976" s="149"/>
      <c r="Y976" s="149"/>
      <c r="Z976" s="150"/>
      <c r="AA976" s="150"/>
      <c r="AB976" s="151"/>
      <c r="AC976" s="150"/>
      <c r="AD976" s="150"/>
      <c r="AE976" s="150"/>
      <c r="AF976" s="150"/>
      <c r="AG976" s="150"/>
      <c r="AH976" s="150"/>
    </row>
    <row r="977" spans="5:34">
      <c r="E977" s="31"/>
      <c r="F977" s="32"/>
      <c r="G977" s="29"/>
      <c r="H977" s="25"/>
      <c r="I977" s="25"/>
      <c r="J977" s="25"/>
      <c r="K977" s="25"/>
      <c r="L977" s="29"/>
      <c r="M977" s="29"/>
      <c r="N977" s="28"/>
      <c r="O977" s="30"/>
      <c r="P977" s="30"/>
      <c r="Q977" s="30"/>
      <c r="R977" s="30"/>
      <c r="S977" s="30"/>
      <c r="T977" s="30"/>
      <c r="U977" s="30"/>
      <c r="V977" s="29"/>
      <c r="W977" s="125"/>
      <c r="X977" s="149"/>
      <c r="Y977" s="149"/>
      <c r="Z977" s="150"/>
      <c r="AA977" s="150"/>
      <c r="AB977" s="151"/>
      <c r="AC977" s="150"/>
      <c r="AD977" s="150"/>
      <c r="AE977" s="150"/>
      <c r="AF977" s="150"/>
      <c r="AG977" s="150"/>
      <c r="AH977" s="150"/>
    </row>
    <row r="978" spans="5:34">
      <c r="E978" s="31"/>
      <c r="F978" s="32"/>
      <c r="G978" s="29"/>
      <c r="H978" s="25"/>
      <c r="I978" s="25"/>
      <c r="J978" s="25"/>
      <c r="K978" s="25"/>
      <c r="L978" s="29"/>
      <c r="M978" s="29"/>
      <c r="N978" s="28"/>
      <c r="O978" s="30"/>
      <c r="P978" s="30"/>
      <c r="Q978" s="30"/>
      <c r="R978" s="30"/>
      <c r="S978" s="30"/>
      <c r="T978" s="30"/>
      <c r="U978" s="30"/>
      <c r="V978" s="29"/>
      <c r="W978" s="125"/>
      <c r="X978" s="149"/>
      <c r="Y978" s="149"/>
      <c r="Z978" s="150"/>
      <c r="AA978" s="150"/>
      <c r="AB978" s="151"/>
      <c r="AC978" s="150"/>
      <c r="AD978" s="150"/>
      <c r="AE978" s="150"/>
      <c r="AF978" s="150"/>
      <c r="AG978" s="150"/>
      <c r="AH978" s="150"/>
    </row>
    <row r="979" spans="5:34">
      <c r="E979" s="31"/>
      <c r="F979" s="32"/>
      <c r="G979" s="29"/>
      <c r="H979" s="25"/>
      <c r="I979" s="25"/>
      <c r="J979" s="25"/>
      <c r="K979" s="25"/>
      <c r="L979" s="29"/>
      <c r="M979" s="29"/>
      <c r="N979" s="28"/>
      <c r="O979" s="30"/>
      <c r="P979" s="30"/>
      <c r="Q979" s="30"/>
      <c r="R979" s="30"/>
      <c r="S979" s="30"/>
      <c r="T979" s="30"/>
      <c r="U979" s="30"/>
      <c r="V979" s="29"/>
      <c r="W979" s="125"/>
      <c r="X979" s="149"/>
      <c r="Y979" s="149"/>
      <c r="Z979" s="150"/>
      <c r="AA979" s="150"/>
      <c r="AB979" s="151"/>
      <c r="AC979" s="150"/>
      <c r="AD979" s="150"/>
      <c r="AE979" s="150"/>
      <c r="AF979" s="150"/>
      <c r="AG979" s="150"/>
      <c r="AH979" s="150"/>
    </row>
    <row r="980" spans="5:34">
      <c r="E980" s="31"/>
      <c r="F980" s="32"/>
      <c r="G980" s="29"/>
      <c r="H980" s="25"/>
      <c r="I980" s="25"/>
      <c r="J980" s="25"/>
      <c r="K980" s="25"/>
      <c r="L980" s="29"/>
      <c r="M980" s="29"/>
      <c r="N980" s="28"/>
      <c r="O980" s="30"/>
      <c r="P980" s="30"/>
      <c r="Q980" s="30"/>
      <c r="R980" s="30"/>
      <c r="S980" s="30"/>
      <c r="T980" s="30"/>
      <c r="U980" s="30"/>
      <c r="V980" s="29"/>
      <c r="W980" s="125"/>
      <c r="X980" s="149"/>
      <c r="Y980" s="149"/>
      <c r="Z980" s="150"/>
      <c r="AA980" s="150"/>
      <c r="AB980" s="151"/>
      <c r="AC980" s="150"/>
      <c r="AD980" s="150"/>
      <c r="AE980" s="150"/>
      <c r="AF980" s="150"/>
      <c r="AG980" s="150"/>
      <c r="AH980" s="150"/>
    </row>
    <row r="981" spans="5:34">
      <c r="E981" s="31"/>
      <c r="F981" s="32"/>
      <c r="G981" s="29"/>
      <c r="H981" s="25"/>
      <c r="I981" s="25"/>
      <c r="J981" s="25"/>
      <c r="K981" s="25"/>
      <c r="L981" s="29"/>
      <c r="M981" s="29"/>
      <c r="N981" s="28"/>
      <c r="O981" s="30"/>
      <c r="P981" s="30"/>
      <c r="Q981" s="30"/>
      <c r="R981" s="30"/>
      <c r="S981" s="30"/>
      <c r="T981" s="30"/>
      <c r="U981" s="30"/>
      <c r="V981" s="29"/>
      <c r="W981" s="125"/>
      <c r="X981" s="149"/>
      <c r="Y981" s="149"/>
      <c r="Z981" s="150"/>
      <c r="AA981" s="150"/>
      <c r="AB981" s="151"/>
      <c r="AC981" s="150"/>
      <c r="AD981" s="150"/>
      <c r="AE981" s="150"/>
      <c r="AF981" s="150"/>
      <c r="AG981" s="150"/>
      <c r="AH981" s="150"/>
    </row>
    <row r="982" spans="5:34">
      <c r="E982" s="31"/>
      <c r="F982" s="32"/>
      <c r="G982" s="29"/>
      <c r="H982" s="25"/>
      <c r="I982" s="25"/>
      <c r="J982" s="25"/>
      <c r="K982" s="25"/>
      <c r="L982" s="29"/>
      <c r="M982" s="29"/>
      <c r="N982" s="28"/>
      <c r="O982" s="30"/>
      <c r="P982" s="30"/>
      <c r="Q982" s="30"/>
      <c r="R982" s="30"/>
      <c r="S982" s="30"/>
      <c r="T982" s="30"/>
      <c r="U982" s="30"/>
      <c r="V982" s="29"/>
      <c r="W982" s="125"/>
      <c r="X982" s="149"/>
      <c r="Y982" s="149"/>
      <c r="Z982" s="150"/>
      <c r="AA982" s="150"/>
      <c r="AB982" s="151"/>
      <c r="AC982" s="150"/>
      <c r="AD982" s="150"/>
      <c r="AE982" s="150"/>
      <c r="AF982" s="150"/>
      <c r="AG982" s="150"/>
      <c r="AH982" s="150"/>
    </row>
    <row r="983" spans="5:34">
      <c r="E983" s="31"/>
      <c r="F983" s="32"/>
      <c r="G983" s="29"/>
      <c r="H983" s="25"/>
      <c r="I983" s="25"/>
      <c r="J983" s="25"/>
      <c r="K983" s="25"/>
      <c r="L983" s="29"/>
      <c r="M983" s="29"/>
      <c r="N983" s="28"/>
      <c r="O983" s="30"/>
      <c r="P983" s="30"/>
      <c r="Q983" s="30"/>
      <c r="R983" s="30"/>
      <c r="S983" s="30"/>
      <c r="T983" s="30"/>
      <c r="U983" s="30"/>
      <c r="V983" s="29"/>
      <c r="W983" s="125"/>
      <c r="X983" s="149"/>
      <c r="Y983" s="149"/>
      <c r="Z983" s="150"/>
      <c r="AA983" s="150"/>
      <c r="AB983" s="151"/>
      <c r="AC983" s="150"/>
      <c r="AD983" s="150"/>
      <c r="AE983" s="150"/>
      <c r="AF983" s="150"/>
      <c r="AG983" s="150"/>
      <c r="AH983" s="150"/>
    </row>
    <row r="984" spans="5:34">
      <c r="E984" s="31"/>
      <c r="F984" s="32"/>
      <c r="G984" s="29"/>
      <c r="H984" s="25"/>
      <c r="I984" s="25"/>
      <c r="J984" s="25"/>
      <c r="K984" s="25"/>
      <c r="L984" s="29"/>
      <c r="M984" s="29"/>
      <c r="N984" s="28"/>
      <c r="O984" s="30"/>
      <c r="P984" s="30"/>
      <c r="Q984" s="30"/>
      <c r="R984" s="30"/>
      <c r="S984" s="30"/>
      <c r="T984" s="30"/>
      <c r="U984" s="30"/>
      <c r="V984" s="29"/>
      <c r="W984" s="125"/>
      <c r="X984" s="149"/>
      <c r="Y984" s="149"/>
      <c r="Z984" s="150"/>
      <c r="AA984" s="150"/>
      <c r="AB984" s="151"/>
      <c r="AC984" s="150"/>
      <c r="AD984" s="150"/>
      <c r="AE984" s="150"/>
      <c r="AF984" s="150"/>
      <c r="AG984" s="150"/>
      <c r="AH984" s="150"/>
    </row>
    <row r="985" spans="5:34">
      <c r="E985" s="31"/>
      <c r="F985" s="32"/>
      <c r="G985" s="29"/>
      <c r="H985" s="25"/>
      <c r="I985" s="25"/>
      <c r="J985" s="25"/>
      <c r="K985" s="25"/>
      <c r="L985" s="29"/>
      <c r="M985" s="29"/>
      <c r="N985" s="28"/>
      <c r="O985" s="30"/>
      <c r="P985" s="30"/>
      <c r="Q985" s="30"/>
      <c r="R985" s="30"/>
      <c r="S985" s="30"/>
      <c r="T985" s="30"/>
      <c r="U985" s="30"/>
      <c r="V985" s="29"/>
      <c r="W985" s="125"/>
      <c r="X985" s="149"/>
      <c r="Y985" s="149"/>
      <c r="Z985" s="150"/>
      <c r="AA985" s="150"/>
      <c r="AB985" s="151"/>
      <c r="AC985" s="150"/>
      <c r="AD985" s="150"/>
      <c r="AE985" s="150"/>
      <c r="AF985" s="150"/>
      <c r="AG985" s="150"/>
      <c r="AH985" s="150"/>
    </row>
    <row r="986" spans="5:34">
      <c r="E986" s="31"/>
      <c r="F986" s="32"/>
      <c r="G986" s="29"/>
      <c r="H986" s="25"/>
      <c r="I986" s="25"/>
      <c r="J986" s="25"/>
      <c r="K986" s="25"/>
      <c r="L986" s="29"/>
      <c r="M986" s="29"/>
      <c r="N986" s="28"/>
      <c r="O986" s="30"/>
      <c r="P986" s="30"/>
      <c r="Q986" s="30"/>
      <c r="R986" s="30"/>
      <c r="S986" s="30"/>
      <c r="T986" s="30"/>
      <c r="U986" s="30"/>
      <c r="V986" s="29"/>
      <c r="W986" s="125"/>
      <c r="X986" s="149"/>
      <c r="Y986" s="149"/>
      <c r="Z986" s="150"/>
      <c r="AA986" s="150"/>
      <c r="AB986" s="151"/>
      <c r="AC986" s="150"/>
      <c r="AD986" s="150"/>
      <c r="AE986" s="150"/>
      <c r="AF986" s="150"/>
      <c r="AG986" s="150"/>
      <c r="AH986" s="150"/>
    </row>
    <row r="987" spans="5:34">
      <c r="E987" s="31"/>
      <c r="F987" s="32"/>
      <c r="G987" s="29"/>
      <c r="H987" s="25"/>
      <c r="I987" s="25"/>
      <c r="J987" s="25"/>
      <c r="K987" s="25"/>
      <c r="L987" s="29"/>
      <c r="M987" s="29"/>
      <c r="N987" s="28"/>
      <c r="O987" s="30"/>
      <c r="P987" s="30"/>
      <c r="Q987" s="30"/>
      <c r="R987" s="30"/>
      <c r="S987" s="30"/>
      <c r="T987" s="30"/>
      <c r="U987" s="30"/>
      <c r="V987" s="29"/>
      <c r="W987" s="125"/>
      <c r="X987" s="149"/>
      <c r="Y987" s="149"/>
      <c r="Z987" s="150"/>
      <c r="AA987" s="150"/>
      <c r="AB987" s="151"/>
      <c r="AC987" s="150"/>
      <c r="AD987" s="150"/>
      <c r="AE987" s="150"/>
      <c r="AF987" s="150"/>
      <c r="AG987" s="150"/>
      <c r="AH987" s="150"/>
    </row>
    <row r="988" spans="5:34">
      <c r="E988" s="31"/>
      <c r="F988" s="32"/>
      <c r="G988" s="29"/>
      <c r="H988" s="25"/>
      <c r="I988" s="25"/>
      <c r="J988" s="25"/>
      <c r="K988" s="25"/>
      <c r="L988" s="29"/>
      <c r="M988" s="29"/>
      <c r="N988" s="28"/>
      <c r="O988" s="30"/>
      <c r="P988" s="30"/>
      <c r="Q988" s="30"/>
      <c r="R988" s="30"/>
      <c r="S988" s="30"/>
      <c r="T988" s="30"/>
      <c r="U988" s="30"/>
      <c r="V988" s="29"/>
      <c r="W988" s="125"/>
      <c r="X988" s="149"/>
      <c r="Y988" s="149"/>
      <c r="Z988" s="150"/>
      <c r="AA988" s="150"/>
      <c r="AB988" s="151"/>
      <c r="AC988" s="150"/>
      <c r="AD988" s="150"/>
      <c r="AE988" s="150"/>
      <c r="AF988" s="150"/>
      <c r="AG988" s="150"/>
      <c r="AH988" s="150"/>
    </row>
    <row r="989" spans="5:34">
      <c r="E989" s="31"/>
      <c r="F989" s="32"/>
      <c r="G989" s="29"/>
      <c r="H989" s="25"/>
      <c r="I989" s="25"/>
      <c r="J989" s="25"/>
      <c r="K989" s="25"/>
      <c r="L989" s="29"/>
      <c r="M989" s="29"/>
      <c r="N989" s="28"/>
      <c r="O989" s="30"/>
      <c r="P989" s="30"/>
      <c r="Q989" s="30"/>
      <c r="R989" s="30"/>
      <c r="S989" s="30"/>
      <c r="T989" s="30"/>
      <c r="U989" s="30"/>
      <c r="V989" s="29"/>
      <c r="W989" s="125"/>
      <c r="X989" s="149"/>
      <c r="Y989" s="149"/>
      <c r="Z989" s="150"/>
      <c r="AA989" s="150"/>
      <c r="AB989" s="151"/>
      <c r="AC989" s="150"/>
      <c r="AD989" s="150"/>
      <c r="AE989" s="150"/>
      <c r="AF989" s="150"/>
      <c r="AG989" s="150"/>
      <c r="AH989" s="150"/>
    </row>
    <row r="990" spans="5:34">
      <c r="E990" s="31"/>
      <c r="F990" s="32"/>
      <c r="G990" s="29"/>
      <c r="H990" s="25"/>
      <c r="I990" s="25"/>
      <c r="J990" s="25"/>
      <c r="K990" s="25"/>
      <c r="L990" s="29"/>
      <c r="M990" s="29"/>
      <c r="N990" s="28"/>
      <c r="O990" s="30"/>
      <c r="P990" s="30"/>
      <c r="Q990" s="30"/>
      <c r="R990" s="30"/>
      <c r="S990" s="30"/>
      <c r="T990" s="30"/>
      <c r="U990" s="30"/>
      <c r="V990" s="29"/>
      <c r="W990" s="125"/>
      <c r="X990" s="149"/>
      <c r="Y990" s="149"/>
      <c r="Z990" s="150"/>
      <c r="AA990" s="150"/>
      <c r="AB990" s="151"/>
      <c r="AC990" s="150"/>
      <c r="AD990" s="150"/>
      <c r="AE990" s="150"/>
      <c r="AF990" s="150"/>
      <c r="AG990" s="150"/>
      <c r="AH990" s="150"/>
    </row>
    <row r="991" spans="5:34">
      <c r="E991" s="31"/>
      <c r="F991" s="32"/>
      <c r="G991" s="29"/>
      <c r="H991" s="25"/>
      <c r="I991" s="25"/>
      <c r="J991" s="25"/>
      <c r="K991" s="25"/>
      <c r="L991" s="29"/>
      <c r="M991" s="29"/>
      <c r="N991" s="28"/>
      <c r="O991" s="30"/>
      <c r="P991" s="30"/>
      <c r="Q991" s="30"/>
      <c r="R991" s="30"/>
      <c r="S991" s="30"/>
      <c r="T991" s="30"/>
      <c r="U991" s="30"/>
      <c r="V991" s="29"/>
      <c r="W991" s="125"/>
      <c r="X991" s="149"/>
      <c r="Y991" s="149"/>
      <c r="Z991" s="150"/>
      <c r="AA991" s="150"/>
      <c r="AB991" s="151"/>
      <c r="AC991" s="150"/>
      <c r="AD991" s="150"/>
      <c r="AE991" s="150"/>
      <c r="AF991" s="150"/>
      <c r="AG991" s="150"/>
      <c r="AH991" s="150"/>
    </row>
    <row r="992" spans="5:34">
      <c r="E992" s="31"/>
      <c r="F992" s="32"/>
      <c r="G992" s="29"/>
      <c r="H992" s="25"/>
      <c r="I992" s="25"/>
      <c r="J992" s="25"/>
      <c r="K992" s="25"/>
      <c r="L992" s="29"/>
      <c r="M992" s="29"/>
      <c r="N992" s="28"/>
      <c r="O992" s="30"/>
      <c r="P992" s="30"/>
      <c r="Q992" s="30"/>
      <c r="R992" s="30"/>
      <c r="S992" s="30"/>
      <c r="T992" s="30"/>
      <c r="U992" s="30"/>
      <c r="V992" s="29"/>
      <c r="W992" s="125"/>
      <c r="X992" s="149"/>
      <c r="Y992" s="149"/>
      <c r="Z992" s="150"/>
      <c r="AA992" s="150"/>
      <c r="AB992" s="151"/>
      <c r="AC992" s="150"/>
      <c r="AD992" s="150"/>
      <c r="AE992" s="150"/>
      <c r="AF992" s="150"/>
      <c r="AG992" s="150"/>
      <c r="AH992" s="150"/>
    </row>
    <row r="993" spans="5:34">
      <c r="E993" s="31"/>
      <c r="F993" s="32"/>
      <c r="G993" s="29"/>
      <c r="H993" s="25"/>
      <c r="I993" s="25"/>
      <c r="J993" s="25"/>
      <c r="K993" s="25"/>
      <c r="L993" s="29"/>
      <c r="M993" s="29"/>
      <c r="N993" s="28"/>
      <c r="O993" s="30"/>
      <c r="P993" s="30"/>
      <c r="Q993" s="30"/>
      <c r="R993" s="30"/>
      <c r="S993" s="30"/>
      <c r="T993" s="30"/>
      <c r="U993" s="30"/>
      <c r="V993" s="29"/>
      <c r="W993" s="125"/>
      <c r="X993" s="149"/>
      <c r="Y993" s="149"/>
      <c r="Z993" s="150"/>
      <c r="AA993" s="150"/>
      <c r="AB993" s="151"/>
      <c r="AC993" s="150"/>
      <c r="AD993" s="150"/>
      <c r="AE993" s="150"/>
      <c r="AF993" s="150"/>
      <c r="AG993" s="150"/>
      <c r="AH993" s="150"/>
    </row>
    <row r="994" spans="5:34">
      <c r="E994" s="31"/>
      <c r="F994" s="32"/>
      <c r="G994" s="29"/>
      <c r="H994" s="25"/>
      <c r="I994" s="25"/>
      <c r="J994" s="25"/>
      <c r="K994" s="25"/>
      <c r="L994" s="29"/>
      <c r="M994" s="29"/>
      <c r="N994" s="28"/>
      <c r="O994" s="30"/>
      <c r="P994" s="30"/>
      <c r="Q994" s="30"/>
      <c r="R994" s="30"/>
      <c r="S994" s="30"/>
      <c r="T994" s="30"/>
      <c r="U994" s="30"/>
      <c r="V994" s="29"/>
      <c r="W994" s="125"/>
      <c r="X994" s="149"/>
      <c r="Y994" s="149"/>
      <c r="Z994" s="150"/>
      <c r="AA994" s="150"/>
      <c r="AB994" s="151"/>
      <c r="AC994" s="150"/>
      <c r="AD994" s="150"/>
      <c r="AE994" s="150"/>
      <c r="AF994" s="150"/>
      <c r="AG994" s="150"/>
      <c r="AH994" s="150"/>
    </row>
    <row r="995" spans="5:34">
      <c r="E995" s="31"/>
      <c r="F995" s="32"/>
      <c r="G995" s="29"/>
      <c r="H995" s="25"/>
      <c r="I995" s="25"/>
      <c r="J995" s="25"/>
      <c r="K995" s="25"/>
      <c r="L995" s="29"/>
      <c r="M995" s="29"/>
      <c r="N995" s="28"/>
      <c r="O995" s="30"/>
      <c r="P995" s="30"/>
      <c r="Q995" s="30"/>
      <c r="R995" s="30"/>
      <c r="S995" s="30"/>
      <c r="T995" s="30"/>
      <c r="U995" s="30"/>
      <c r="V995" s="29"/>
      <c r="W995" s="125"/>
      <c r="X995" s="149"/>
      <c r="Y995" s="149"/>
      <c r="Z995" s="150"/>
      <c r="AA995" s="150"/>
      <c r="AB995" s="151"/>
      <c r="AC995" s="150"/>
      <c r="AD995" s="150"/>
      <c r="AE995" s="150"/>
      <c r="AF995" s="150"/>
      <c r="AG995" s="150"/>
      <c r="AH995" s="150"/>
    </row>
    <row r="996" spans="5:34">
      <c r="E996" s="31"/>
      <c r="F996" s="32"/>
      <c r="G996" s="29"/>
      <c r="H996" s="25"/>
      <c r="I996" s="25"/>
      <c r="J996" s="25"/>
      <c r="K996" s="25"/>
      <c r="L996" s="29"/>
      <c r="M996" s="29"/>
      <c r="N996" s="28"/>
      <c r="O996" s="30"/>
      <c r="P996" s="30"/>
      <c r="Q996" s="30"/>
      <c r="R996" s="30"/>
      <c r="S996" s="30"/>
      <c r="T996" s="30"/>
      <c r="U996" s="30"/>
      <c r="V996" s="29"/>
      <c r="W996" s="125"/>
      <c r="X996" s="149"/>
      <c r="Y996" s="149"/>
      <c r="Z996" s="150"/>
      <c r="AA996" s="150"/>
      <c r="AB996" s="151"/>
      <c r="AC996" s="150"/>
      <c r="AD996" s="150"/>
      <c r="AE996" s="150"/>
      <c r="AF996" s="150"/>
      <c r="AG996" s="150"/>
      <c r="AH996" s="150"/>
    </row>
    <row r="997" spans="5:34">
      <c r="E997" s="1"/>
      <c r="F997" s="1"/>
      <c r="G997" s="1"/>
      <c r="H997" s="26"/>
      <c r="I997" s="26"/>
      <c r="J997" s="26"/>
      <c r="K997" s="26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34">
      <c r="E998" s="1"/>
      <c r="F998" s="1"/>
      <c r="G998" s="1"/>
      <c r="H998" s="26"/>
      <c r="I998" s="26"/>
      <c r="J998" s="26"/>
      <c r="K998" s="26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34">
      <c r="E999" s="1"/>
      <c r="F999" s="1"/>
      <c r="G999" s="1"/>
      <c r="H999" s="26"/>
      <c r="I999" s="26"/>
      <c r="J999" s="26"/>
      <c r="K999" s="26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34">
      <c r="E1000" s="1"/>
      <c r="F1000" s="1"/>
      <c r="G1000" s="1"/>
      <c r="H1000" s="26"/>
      <c r="I1000" s="26"/>
      <c r="J1000" s="26"/>
      <c r="K1000" s="26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34">
      <c r="E1001" s="1"/>
      <c r="F1001" s="1"/>
      <c r="G1001" s="1"/>
      <c r="H1001" s="26"/>
      <c r="I1001" s="26"/>
      <c r="J1001" s="26"/>
      <c r="K1001" s="26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34">
      <c r="E1002" s="1"/>
      <c r="F1002" s="1"/>
      <c r="G1002" s="1"/>
      <c r="H1002" s="26"/>
      <c r="I1002" s="26"/>
      <c r="J1002" s="26"/>
      <c r="K1002" s="26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34">
      <c r="E1003" s="1"/>
      <c r="F1003" s="1"/>
      <c r="G1003" s="1"/>
      <c r="H1003" s="26"/>
      <c r="I1003" s="26"/>
      <c r="J1003" s="26"/>
      <c r="K1003" s="26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34">
      <c r="E1004" s="1"/>
      <c r="F1004" s="1"/>
      <c r="G1004" s="1"/>
      <c r="H1004" s="26"/>
      <c r="I1004" s="26"/>
      <c r="J1004" s="26"/>
      <c r="K1004" s="26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34">
      <c r="E1005" s="1"/>
      <c r="F1005" s="1"/>
      <c r="G1005" s="1"/>
      <c r="H1005" s="26"/>
      <c r="I1005" s="26"/>
      <c r="J1005" s="26"/>
      <c r="K1005" s="26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34">
      <c r="E1006" s="1"/>
      <c r="F1006" s="1"/>
      <c r="G1006" s="1"/>
      <c r="H1006" s="26"/>
      <c r="I1006" s="26"/>
      <c r="J1006" s="26"/>
      <c r="K1006" s="26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34">
      <c r="E1007" s="1"/>
      <c r="F1007" s="1"/>
      <c r="G1007" s="1"/>
      <c r="H1007" s="26"/>
      <c r="I1007" s="26"/>
      <c r="J1007" s="26"/>
      <c r="K1007" s="26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34">
      <c r="E1008" s="1"/>
      <c r="F1008" s="1"/>
      <c r="G1008" s="1"/>
      <c r="H1008" s="26"/>
      <c r="I1008" s="26"/>
      <c r="J1008" s="26"/>
      <c r="K1008" s="26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6"/>
      <c r="I1009" s="26"/>
      <c r="J1009" s="26"/>
      <c r="K1009" s="26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6"/>
      <c r="I1010" s="26"/>
      <c r="J1010" s="26"/>
      <c r="K1010" s="26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6"/>
      <c r="I1011" s="26"/>
      <c r="J1011" s="26"/>
      <c r="K1011" s="26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6"/>
      <c r="I1012" s="26"/>
      <c r="J1012" s="26"/>
      <c r="K1012" s="26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6"/>
      <c r="I1013" s="26"/>
      <c r="J1013" s="26"/>
      <c r="K1013" s="26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6"/>
      <c r="I1014" s="26"/>
      <c r="J1014" s="26"/>
      <c r="K1014" s="26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6"/>
      <c r="I1015" s="26"/>
      <c r="J1015" s="26"/>
      <c r="K1015" s="26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6"/>
      <c r="I1016" s="26"/>
      <c r="J1016" s="26"/>
      <c r="K1016" s="26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6"/>
      <c r="I1017" s="26"/>
      <c r="J1017" s="26"/>
      <c r="K1017" s="26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6"/>
      <c r="I1018" s="26"/>
      <c r="J1018" s="26"/>
      <c r="K1018" s="26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6"/>
      <c r="I1019" s="26"/>
      <c r="J1019" s="26"/>
      <c r="K1019" s="26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6"/>
      <c r="I1020" s="26"/>
      <c r="J1020" s="26"/>
      <c r="K1020" s="26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6"/>
      <c r="I1021" s="26"/>
      <c r="J1021" s="26"/>
      <c r="K1021" s="26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6"/>
      <c r="I1022" s="26"/>
      <c r="J1022" s="26"/>
      <c r="K1022" s="26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6"/>
      <c r="I1023" s="26"/>
      <c r="J1023" s="26"/>
      <c r="K1023" s="26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6"/>
      <c r="I1024" s="26"/>
      <c r="J1024" s="26"/>
      <c r="K1024" s="26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6"/>
      <c r="I1025" s="26"/>
      <c r="J1025" s="26"/>
      <c r="K1025" s="26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6"/>
      <c r="I1026" s="26"/>
      <c r="J1026" s="26"/>
      <c r="K1026" s="26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6"/>
      <c r="I1027" s="26"/>
      <c r="J1027" s="26"/>
      <c r="K1027" s="26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6"/>
      <c r="I1028" s="26"/>
      <c r="J1028" s="26"/>
      <c r="K1028" s="26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6"/>
      <c r="I1029" s="26"/>
      <c r="J1029" s="26"/>
      <c r="K1029" s="26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6"/>
      <c r="I1030" s="26"/>
      <c r="J1030" s="26"/>
      <c r="K1030" s="26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6"/>
      <c r="I1031" s="26"/>
      <c r="J1031" s="26"/>
      <c r="K1031" s="26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6"/>
      <c r="I1032" s="26"/>
      <c r="J1032" s="26"/>
      <c r="K1032" s="26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6"/>
      <c r="I1033" s="26"/>
      <c r="J1033" s="26"/>
      <c r="K1033" s="26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6"/>
      <c r="I1034" s="26"/>
      <c r="J1034" s="26"/>
      <c r="K1034" s="26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6"/>
      <c r="I1035" s="26"/>
      <c r="J1035" s="26"/>
      <c r="K1035" s="26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6"/>
      <c r="I1036" s="26"/>
      <c r="J1036" s="26"/>
      <c r="K1036" s="26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6"/>
      <c r="I1037" s="26"/>
      <c r="J1037" s="26"/>
      <c r="K1037" s="26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6"/>
      <c r="I1038" s="26"/>
      <c r="J1038" s="26"/>
      <c r="K1038" s="26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6"/>
      <c r="I1039" s="26"/>
      <c r="J1039" s="26"/>
      <c r="K1039" s="26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6"/>
      <c r="I1040" s="26"/>
      <c r="J1040" s="26"/>
      <c r="K1040" s="26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6"/>
      <c r="I1041" s="26"/>
      <c r="J1041" s="26"/>
      <c r="K1041" s="26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6"/>
      <c r="I1042" s="26"/>
      <c r="J1042" s="26"/>
      <c r="K1042" s="26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6"/>
      <c r="I1043" s="26"/>
      <c r="J1043" s="26"/>
      <c r="K1043" s="26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6"/>
      <c r="I1044" s="26"/>
      <c r="J1044" s="26"/>
      <c r="K1044" s="26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6"/>
      <c r="I1045" s="26"/>
      <c r="J1045" s="26"/>
      <c r="K1045" s="26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6"/>
      <c r="I1046" s="26"/>
      <c r="J1046" s="26"/>
      <c r="K1046" s="26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6"/>
      <c r="I1047" s="26"/>
      <c r="J1047" s="26"/>
      <c r="K1047" s="26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6"/>
      <c r="I1048" s="26"/>
      <c r="J1048" s="26"/>
      <c r="K1048" s="26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6"/>
      <c r="I1049" s="26"/>
      <c r="J1049" s="26"/>
      <c r="K1049" s="26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6"/>
      <c r="I1050" s="26"/>
      <c r="J1050" s="26"/>
      <c r="K1050" s="26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6"/>
      <c r="I1051" s="26"/>
      <c r="J1051" s="26"/>
      <c r="K1051" s="26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6"/>
      <c r="I1052" s="26"/>
      <c r="J1052" s="26"/>
      <c r="K1052" s="26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6"/>
      <c r="I1053" s="26"/>
      <c r="J1053" s="26"/>
      <c r="K1053" s="26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6"/>
      <c r="I1054" s="26"/>
      <c r="J1054" s="26"/>
      <c r="K1054" s="26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6"/>
      <c r="I1055" s="26"/>
      <c r="J1055" s="26"/>
      <c r="K1055" s="26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6"/>
      <c r="I1056" s="26"/>
      <c r="J1056" s="26"/>
      <c r="K1056" s="26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6"/>
      <c r="I1057" s="26"/>
      <c r="J1057" s="26"/>
      <c r="K1057" s="26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6"/>
      <c r="I1058" s="26"/>
      <c r="J1058" s="26"/>
      <c r="K1058" s="26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6"/>
      <c r="I1059" s="26"/>
      <c r="J1059" s="26"/>
      <c r="K1059" s="26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6"/>
      <c r="I1060" s="26"/>
      <c r="J1060" s="26"/>
      <c r="K1060" s="26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6"/>
      <c r="I1061" s="26"/>
      <c r="J1061" s="26"/>
      <c r="K1061" s="26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6"/>
      <c r="I1062" s="26"/>
      <c r="J1062" s="26"/>
      <c r="K1062" s="26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6"/>
      <c r="I1063" s="26"/>
      <c r="J1063" s="26"/>
      <c r="K1063" s="26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6"/>
      <c r="I1064" s="26"/>
      <c r="J1064" s="26"/>
      <c r="K1064" s="26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6"/>
      <c r="I1065" s="26"/>
      <c r="J1065" s="26"/>
      <c r="K1065" s="26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6"/>
      <c r="I1066" s="26"/>
      <c r="J1066" s="26"/>
      <c r="K1066" s="26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6"/>
      <c r="I1067" s="26"/>
      <c r="J1067" s="26"/>
      <c r="K1067" s="26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6"/>
      <c r="I1068" s="26"/>
      <c r="J1068" s="26"/>
      <c r="K1068" s="26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6"/>
      <c r="I1069" s="26"/>
      <c r="J1069" s="26"/>
      <c r="K1069" s="26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6"/>
      <c r="I1070" s="26"/>
      <c r="J1070" s="26"/>
      <c r="K1070" s="26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6"/>
      <c r="I1071" s="26"/>
      <c r="J1071" s="26"/>
      <c r="K1071" s="26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6"/>
      <c r="I1072" s="26"/>
      <c r="J1072" s="26"/>
      <c r="K1072" s="26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6"/>
      <c r="I1073" s="26"/>
      <c r="J1073" s="26"/>
      <c r="K1073" s="26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6"/>
      <c r="I1074" s="26"/>
      <c r="J1074" s="26"/>
      <c r="K1074" s="26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6"/>
      <c r="I1075" s="26"/>
      <c r="J1075" s="26"/>
      <c r="K1075" s="26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6"/>
      <c r="I1076" s="26"/>
      <c r="J1076" s="26"/>
      <c r="K1076" s="26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6"/>
      <c r="I1077" s="26"/>
      <c r="J1077" s="26"/>
      <c r="K1077" s="26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6"/>
      <c r="I1078" s="26"/>
      <c r="J1078" s="26"/>
      <c r="K1078" s="26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6"/>
      <c r="I1079" s="26"/>
      <c r="J1079" s="26"/>
      <c r="K1079" s="26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6"/>
      <c r="I1080" s="26"/>
      <c r="J1080" s="26"/>
      <c r="K1080" s="26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6"/>
      <c r="I1081" s="26"/>
      <c r="J1081" s="26"/>
      <c r="K1081" s="26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6"/>
      <c r="I1082" s="26"/>
      <c r="J1082" s="26"/>
      <c r="K1082" s="26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6"/>
      <c r="I1083" s="26"/>
      <c r="J1083" s="26"/>
      <c r="K1083" s="26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6"/>
      <c r="I1084" s="26"/>
      <c r="J1084" s="26"/>
      <c r="K1084" s="26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6"/>
      <c r="I1085" s="26"/>
      <c r="J1085" s="26"/>
      <c r="K1085" s="26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6"/>
      <c r="I1086" s="26"/>
      <c r="J1086" s="26"/>
      <c r="K1086" s="26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6"/>
      <c r="I1087" s="26"/>
      <c r="J1087" s="26"/>
      <c r="K1087" s="26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6"/>
      <c r="I1088" s="26"/>
      <c r="J1088" s="26"/>
      <c r="K1088" s="26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6"/>
      <c r="I1089" s="26"/>
      <c r="J1089" s="26"/>
      <c r="K1089" s="26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6"/>
      <c r="I1090" s="26"/>
      <c r="J1090" s="26"/>
      <c r="K1090" s="26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6"/>
      <c r="I1091" s="26"/>
      <c r="J1091" s="26"/>
      <c r="K1091" s="26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6"/>
      <c r="I1092" s="26"/>
      <c r="J1092" s="26"/>
      <c r="K1092" s="26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6"/>
      <c r="I1093" s="26"/>
      <c r="J1093" s="26"/>
      <c r="K1093" s="26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6"/>
      <c r="I1094" s="26"/>
      <c r="J1094" s="26"/>
      <c r="K1094" s="26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6"/>
      <c r="I1095" s="26"/>
      <c r="J1095" s="26"/>
      <c r="K1095" s="26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6"/>
      <c r="I1096" s="26"/>
      <c r="J1096" s="26"/>
      <c r="K1096" s="26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6"/>
      <c r="I1097" s="26"/>
      <c r="J1097" s="26"/>
      <c r="K1097" s="26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6"/>
      <c r="I1098" s="26"/>
      <c r="J1098" s="26"/>
      <c r="K1098" s="26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6"/>
      <c r="I1099" s="26"/>
      <c r="J1099" s="26"/>
      <c r="K1099" s="26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6"/>
      <c r="I1100" s="26"/>
      <c r="J1100" s="26"/>
      <c r="K1100" s="26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6"/>
      <c r="I1101" s="26"/>
      <c r="J1101" s="26"/>
      <c r="K1101" s="26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6"/>
      <c r="I1102" s="26"/>
      <c r="J1102" s="26"/>
      <c r="K1102" s="26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6"/>
      <c r="I1103" s="26"/>
      <c r="J1103" s="26"/>
      <c r="K1103" s="26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6"/>
      <c r="I1104" s="26"/>
      <c r="J1104" s="26"/>
      <c r="K1104" s="26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6"/>
      <c r="I1105" s="26"/>
      <c r="J1105" s="26"/>
      <c r="K1105" s="26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6"/>
      <c r="I1106" s="26"/>
      <c r="J1106" s="26"/>
      <c r="K1106" s="26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6"/>
      <c r="I1107" s="26"/>
      <c r="J1107" s="26"/>
      <c r="K1107" s="26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6"/>
      <c r="I1108" s="26"/>
      <c r="J1108" s="26"/>
      <c r="K1108" s="26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6"/>
      <c r="I1109" s="26"/>
      <c r="J1109" s="26"/>
      <c r="K1109" s="26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6"/>
      <c r="I1110" s="26"/>
      <c r="J1110" s="26"/>
      <c r="K1110" s="26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6"/>
      <c r="I1111" s="26"/>
      <c r="J1111" s="26"/>
      <c r="K1111" s="26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6"/>
      <c r="I1112" s="26"/>
      <c r="J1112" s="26"/>
      <c r="K1112" s="26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6"/>
      <c r="I1113" s="26"/>
      <c r="J1113" s="26"/>
      <c r="K1113" s="26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6"/>
      <c r="I1114" s="26"/>
      <c r="J1114" s="26"/>
      <c r="K1114" s="26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6"/>
      <c r="I1115" s="26"/>
      <c r="J1115" s="26"/>
      <c r="K1115" s="26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6"/>
      <c r="I1116" s="26"/>
      <c r="J1116" s="26"/>
      <c r="K1116" s="26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6"/>
      <c r="I1117" s="26"/>
      <c r="J1117" s="26"/>
      <c r="K1117" s="26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6"/>
      <c r="I1118" s="26"/>
      <c r="J1118" s="26"/>
      <c r="K1118" s="26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6"/>
      <c r="I1119" s="26"/>
      <c r="J1119" s="26"/>
      <c r="K1119" s="26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6"/>
      <c r="I1120" s="26"/>
      <c r="J1120" s="26"/>
      <c r="K1120" s="26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6"/>
      <c r="I1121" s="26"/>
      <c r="J1121" s="26"/>
      <c r="K1121" s="26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6"/>
      <c r="I1122" s="26"/>
      <c r="J1122" s="26"/>
      <c r="K1122" s="26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6"/>
      <c r="I1123" s="26"/>
      <c r="J1123" s="26"/>
      <c r="K1123" s="26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6"/>
      <c r="I1124" s="26"/>
      <c r="J1124" s="26"/>
      <c r="K1124" s="26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6"/>
      <c r="I1125" s="26"/>
      <c r="J1125" s="26"/>
      <c r="K1125" s="26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6"/>
      <c r="I1126" s="26"/>
      <c r="J1126" s="26"/>
      <c r="K1126" s="26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6"/>
      <c r="I1127" s="26"/>
      <c r="J1127" s="26"/>
      <c r="K1127" s="26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6"/>
      <c r="I1128" s="26"/>
      <c r="J1128" s="26"/>
      <c r="K1128" s="26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6"/>
      <c r="I1129" s="26"/>
      <c r="J1129" s="26"/>
      <c r="K1129" s="26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6"/>
      <c r="I1130" s="26"/>
      <c r="J1130" s="26"/>
      <c r="K1130" s="26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6"/>
      <c r="I1131" s="26"/>
      <c r="J1131" s="26"/>
      <c r="K1131" s="26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6"/>
      <c r="I1132" s="26"/>
      <c r="J1132" s="26"/>
      <c r="K1132" s="26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6"/>
      <c r="I1133" s="26"/>
      <c r="J1133" s="26"/>
      <c r="K1133" s="26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6"/>
      <c r="I1134" s="26"/>
      <c r="J1134" s="26"/>
      <c r="K1134" s="26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6"/>
      <c r="I1135" s="26"/>
      <c r="J1135" s="26"/>
      <c r="K1135" s="26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6"/>
      <c r="I1136" s="26"/>
      <c r="J1136" s="26"/>
      <c r="K1136" s="26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6"/>
      <c r="I1137" s="26"/>
      <c r="J1137" s="26"/>
      <c r="K1137" s="26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6"/>
      <c r="I1138" s="26"/>
      <c r="J1138" s="26"/>
      <c r="K1138" s="26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6"/>
      <c r="I1139" s="26"/>
      <c r="J1139" s="26"/>
      <c r="K1139" s="26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6"/>
      <c r="I1140" s="26"/>
      <c r="J1140" s="26"/>
      <c r="K1140" s="26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6"/>
      <c r="I1141" s="26"/>
      <c r="J1141" s="26"/>
      <c r="K1141" s="26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6"/>
      <c r="I1142" s="26"/>
      <c r="J1142" s="26"/>
      <c r="K1142" s="26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6"/>
      <c r="I1143" s="26"/>
      <c r="J1143" s="26"/>
      <c r="K1143" s="26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6"/>
      <c r="I1144" s="26"/>
      <c r="J1144" s="26"/>
      <c r="K1144" s="26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6"/>
      <c r="I1145" s="26"/>
      <c r="J1145" s="26"/>
      <c r="K1145" s="26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6"/>
      <c r="I1146" s="26"/>
      <c r="J1146" s="26"/>
      <c r="K1146" s="26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6"/>
      <c r="I1147" s="26"/>
      <c r="J1147" s="26"/>
      <c r="K1147" s="26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6"/>
      <c r="I1148" s="26"/>
      <c r="J1148" s="26"/>
      <c r="K1148" s="26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6"/>
      <c r="I1149" s="26"/>
      <c r="J1149" s="26"/>
      <c r="K1149" s="26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6"/>
      <c r="I1150" s="26"/>
      <c r="J1150" s="26"/>
      <c r="K1150" s="26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6"/>
      <c r="I1151" s="26"/>
      <c r="J1151" s="26"/>
      <c r="K1151" s="26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6"/>
      <c r="I1152" s="26"/>
      <c r="J1152" s="26"/>
      <c r="K1152" s="26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6"/>
      <c r="I1153" s="26"/>
      <c r="J1153" s="26"/>
      <c r="K1153" s="26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6"/>
      <c r="I1154" s="26"/>
      <c r="J1154" s="26"/>
      <c r="K1154" s="26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6"/>
      <c r="I1155" s="26"/>
      <c r="J1155" s="26"/>
      <c r="K1155" s="26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6"/>
      <c r="I1156" s="26"/>
      <c r="J1156" s="26"/>
      <c r="K1156" s="26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6"/>
      <c r="I1157" s="26"/>
      <c r="J1157" s="26"/>
      <c r="K1157" s="26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6"/>
      <c r="I1158" s="26"/>
      <c r="J1158" s="26"/>
      <c r="K1158" s="26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6"/>
      <c r="I1159" s="26"/>
      <c r="J1159" s="26"/>
      <c r="K1159" s="26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6"/>
      <c r="I1160" s="26"/>
      <c r="J1160" s="26"/>
      <c r="K1160" s="26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6"/>
      <c r="I1161" s="26"/>
      <c r="J1161" s="26"/>
      <c r="K1161" s="26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6"/>
      <c r="I1162" s="26"/>
      <c r="J1162" s="26"/>
      <c r="K1162" s="26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6"/>
      <c r="I1163" s="26"/>
      <c r="J1163" s="26"/>
      <c r="K1163" s="26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6"/>
      <c r="I1164" s="26"/>
      <c r="J1164" s="26"/>
      <c r="K1164" s="26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6"/>
      <c r="I1165" s="26"/>
      <c r="J1165" s="26"/>
      <c r="K1165" s="26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6"/>
      <c r="I1166" s="26"/>
      <c r="J1166" s="26"/>
      <c r="K1166" s="26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6"/>
      <c r="I1167" s="26"/>
      <c r="J1167" s="26"/>
      <c r="K1167" s="26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6"/>
      <c r="I1168" s="26"/>
      <c r="J1168" s="26"/>
      <c r="K1168" s="26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6"/>
      <c r="I1169" s="26"/>
      <c r="J1169" s="26"/>
      <c r="K1169" s="26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6"/>
      <c r="I1170" s="26"/>
      <c r="J1170" s="26"/>
      <c r="K1170" s="26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6"/>
      <c r="I1171" s="26"/>
      <c r="J1171" s="26"/>
      <c r="K1171" s="26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6"/>
      <c r="I1172" s="26"/>
      <c r="J1172" s="26"/>
      <c r="K1172" s="26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6"/>
      <c r="I1173" s="26"/>
      <c r="J1173" s="26"/>
      <c r="K1173" s="26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6"/>
      <c r="I1174" s="26"/>
      <c r="J1174" s="26"/>
      <c r="K1174" s="26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6"/>
      <c r="I1175" s="26"/>
      <c r="J1175" s="26"/>
      <c r="K1175" s="26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6"/>
      <c r="I1176" s="26"/>
      <c r="J1176" s="26"/>
      <c r="K1176" s="26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6"/>
      <c r="I1177" s="26"/>
      <c r="J1177" s="26"/>
      <c r="K1177" s="26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6"/>
      <c r="I1178" s="26"/>
      <c r="J1178" s="26"/>
      <c r="K1178" s="26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6"/>
      <c r="I1179" s="26"/>
      <c r="J1179" s="26"/>
      <c r="K1179" s="26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6"/>
      <c r="I1180" s="26"/>
      <c r="J1180" s="26"/>
      <c r="K1180" s="26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6"/>
      <c r="I1181" s="26"/>
      <c r="J1181" s="26"/>
      <c r="K1181" s="26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6"/>
      <c r="I1182" s="26"/>
      <c r="J1182" s="26"/>
      <c r="K1182" s="26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6"/>
      <c r="I1183" s="26"/>
      <c r="J1183" s="26"/>
      <c r="K1183" s="26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6"/>
      <c r="I1184" s="26"/>
      <c r="J1184" s="26"/>
      <c r="K1184" s="26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6"/>
      <c r="I1185" s="26"/>
      <c r="J1185" s="26"/>
      <c r="K1185" s="26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6"/>
      <c r="I1186" s="26"/>
      <c r="J1186" s="26"/>
      <c r="K1186" s="26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6"/>
      <c r="I1187" s="26"/>
      <c r="J1187" s="26"/>
      <c r="K1187" s="26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6"/>
      <c r="I1188" s="26"/>
      <c r="J1188" s="26"/>
      <c r="K1188" s="26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6"/>
      <c r="I1189" s="26"/>
      <c r="J1189" s="26"/>
      <c r="K1189" s="26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6"/>
      <c r="I1190" s="26"/>
      <c r="J1190" s="26"/>
      <c r="K1190" s="26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6"/>
      <c r="I1191" s="26"/>
      <c r="J1191" s="26"/>
      <c r="K1191" s="26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6"/>
      <c r="I1192" s="26"/>
      <c r="J1192" s="26"/>
      <c r="K1192" s="26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6"/>
      <c r="I1193" s="26"/>
      <c r="J1193" s="26"/>
      <c r="K1193" s="26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6"/>
      <c r="I1194" s="26"/>
      <c r="J1194" s="26"/>
      <c r="K1194" s="26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6"/>
      <c r="I1195" s="26"/>
      <c r="J1195" s="26"/>
      <c r="K1195" s="26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6"/>
      <c r="I1196" s="26"/>
      <c r="J1196" s="26"/>
      <c r="K1196" s="26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6"/>
      <c r="I1197" s="26"/>
      <c r="J1197" s="26"/>
      <c r="K1197" s="26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6"/>
      <c r="I1198" s="26"/>
      <c r="J1198" s="26"/>
      <c r="K1198" s="26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6"/>
      <c r="I1199" s="26"/>
      <c r="J1199" s="26"/>
      <c r="K1199" s="26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6"/>
      <c r="I1200" s="26"/>
      <c r="J1200" s="26"/>
      <c r="K1200" s="26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6"/>
      <c r="I1201" s="26"/>
      <c r="J1201" s="26"/>
      <c r="K1201" s="26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6"/>
      <c r="I1202" s="26"/>
      <c r="J1202" s="26"/>
      <c r="K1202" s="26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6"/>
      <c r="I1203" s="26"/>
      <c r="J1203" s="26"/>
      <c r="K1203" s="26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6"/>
      <c r="I1204" s="26"/>
      <c r="J1204" s="26"/>
      <c r="K1204" s="26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6"/>
      <c r="I1205" s="26"/>
      <c r="J1205" s="26"/>
      <c r="K1205" s="26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6"/>
      <c r="I1206" s="26"/>
      <c r="J1206" s="26"/>
      <c r="K1206" s="26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6"/>
      <c r="I1207" s="26"/>
      <c r="J1207" s="26"/>
      <c r="K1207" s="26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6"/>
      <c r="I1208" s="26"/>
      <c r="J1208" s="26"/>
      <c r="K1208" s="26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6"/>
      <c r="I1209" s="26"/>
      <c r="J1209" s="26"/>
      <c r="K1209" s="26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6"/>
      <c r="I1210" s="26"/>
      <c r="J1210" s="26"/>
      <c r="K1210" s="26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6"/>
      <c r="I1211" s="26"/>
      <c r="J1211" s="26"/>
      <c r="K1211" s="26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6"/>
      <c r="I1212" s="26"/>
      <c r="J1212" s="26"/>
      <c r="K1212" s="26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6"/>
      <c r="I1213" s="26"/>
      <c r="J1213" s="26"/>
      <c r="K1213" s="26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6"/>
      <c r="I1214" s="26"/>
      <c r="J1214" s="26"/>
      <c r="K1214" s="26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6"/>
      <c r="I1215" s="26"/>
      <c r="J1215" s="26"/>
      <c r="K1215" s="26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6"/>
      <c r="I1216" s="26"/>
      <c r="J1216" s="26"/>
      <c r="K1216" s="26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6"/>
      <c r="I1217" s="26"/>
      <c r="J1217" s="26"/>
      <c r="K1217" s="26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6"/>
      <c r="I1218" s="26"/>
      <c r="J1218" s="26"/>
      <c r="K1218" s="26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6"/>
      <c r="I1219" s="26"/>
      <c r="J1219" s="26"/>
      <c r="K1219" s="26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6"/>
      <c r="I1220" s="26"/>
      <c r="J1220" s="26"/>
      <c r="K1220" s="26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6"/>
      <c r="I1221" s="26"/>
      <c r="J1221" s="26"/>
      <c r="K1221" s="26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6"/>
      <c r="I1222" s="26"/>
      <c r="J1222" s="26"/>
      <c r="K1222" s="26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6"/>
      <c r="I1223" s="26"/>
      <c r="J1223" s="26"/>
      <c r="K1223" s="26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6"/>
      <c r="I1224" s="26"/>
      <c r="J1224" s="26"/>
      <c r="K1224" s="26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6"/>
      <c r="I1225" s="26"/>
      <c r="J1225" s="26"/>
      <c r="K1225" s="26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6"/>
      <c r="I1226" s="26"/>
      <c r="J1226" s="26"/>
      <c r="K1226" s="26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6"/>
      <c r="I1227" s="26"/>
      <c r="J1227" s="26"/>
      <c r="K1227" s="26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6"/>
      <c r="I1228" s="26"/>
      <c r="J1228" s="26"/>
      <c r="K1228" s="26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6"/>
      <c r="I1229" s="26"/>
      <c r="J1229" s="26"/>
      <c r="K1229" s="26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6"/>
      <c r="I1230" s="26"/>
      <c r="J1230" s="26"/>
      <c r="K1230" s="26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6"/>
      <c r="I1231" s="26"/>
      <c r="J1231" s="26"/>
      <c r="K1231" s="26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6"/>
      <c r="I1232" s="26"/>
      <c r="J1232" s="26"/>
      <c r="K1232" s="26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6"/>
      <c r="I1233" s="26"/>
      <c r="J1233" s="26"/>
      <c r="K1233" s="26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6"/>
      <c r="I1234" s="26"/>
      <c r="J1234" s="26"/>
      <c r="K1234" s="26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6"/>
      <c r="I1235" s="26"/>
      <c r="J1235" s="26"/>
      <c r="K1235" s="26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6"/>
      <c r="I1236" s="26"/>
      <c r="J1236" s="26"/>
      <c r="K1236" s="26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6"/>
      <c r="I1237" s="26"/>
      <c r="J1237" s="26"/>
      <c r="K1237" s="26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6"/>
      <c r="I1238" s="26"/>
      <c r="J1238" s="26"/>
      <c r="K1238" s="26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6"/>
      <c r="I1239" s="26"/>
      <c r="J1239" s="26"/>
      <c r="K1239" s="26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6"/>
      <c r="I1240" s="26"/>
      <c r="J1240" s="26"/>
      <c r="K1240" s="26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6"/>
      <c r="I1241" s="26"/>
      <c r="J1241" s="26"/>
      <c r="K1241" s="26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6"/>
      <c r="I1242" s="26"/>
      <c r="J1242" s="26"/>
      <c r="K1242" s="26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6"/>
      <c r="I1243" s="26"/>
      <c r="J1243" s="26"/>
      <c r="K1243" s="26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6"/>
      <c r="I1244" s="26"/>
      <c r="J1244" s="26"/>
      <c r="K1244" s="26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6"/>
      <c r="I1245" s="26"/>
      <c r="J1245" s="26"/>
      <c r="K1245" s="26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6"/>
      <c r="I1246" s="26"/>
      <c r="J1246" s="26"/>
      <c r="K1246" s="26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6"/>
      <c r="I1247" s="26"/>
      <c r="J1247" s="26"/>
      <c r="K1247" s="26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6"/>
      <c r="I1248" s="26"/>
      <c r="J1248" s="26"/>
      <c r="K1248" s="26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6"/>
      <c r="I1249" s="26"/>
      <c r="J1249" s="26"/>
      <c r="K1249" s="26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6"/>
      <c r="I1250" s="26"/>
      <c r="J1250" s="26"/>
      <c r="K1250" s="26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6"/>
      <c r="I1251" s="26"/>
      <c r="J1251" s="26"/>
      <c r="K1251" s="26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6"/>
      <c r="I1252" s="26"/>
      <c r="J1252" s="26"/>
      <c r="K1252" s="26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6"/>
      <c r="I1253" s="26"/>
      <c r="J1253" s="26"/>
      <c r="K1253" s="26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6"/>
      <c r="I1254" s="26"/>
      <c r="J1254" s="26"/>
      <c r="K1254" s="26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6"/>
      <c r="I1255" s="26"/>
      <c r="J1255" s="26"/>
      <c r="K1255" s="26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6"/>
      <c r="I1256" s="26"/>
      <c r="J1256" s="26"/>
      <c r="K1256" s="26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6"/>
      <c r="I1257" s="26"/>
      <c r="J1257" s="26"/>
      <c r="K1257" s="26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6"/>
      <c r="I1258" s="26"/>
      <c r="J1258" s="26"/>
      <c r="K1258" s="26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6"/>
      <c r="I1259" s="26"/>
      <c r="J1259" s="26"/>
      <c r="K1259" s="26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6"/>
      <c r="I1260" s="26"/>
      <c r="J1260" s="26"/>
      <c r="K1260" s="26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6"/>
      <c r="I1261" s="26"/>
      <c r="J1261" s="26"/>
      <c r="K1261" s="26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6"/>
      <c r="I1262" s="26"/>
      <c r="J1262" s="26"/>
      <c r="K1262" s="26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6"/>
      <c r="I1263" s="26"/>
      <c r="J1263" s="26"/>
      <c r="K1263" s="26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6"/>
      <c r="I1264" s="26"/>
      <c r="J1264" s="26"/>
      <c r="K1264" s="26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6"/>
      <c r="I1265" s="26"/>
      <c r="J1265" s="26"/>
      <c r="K1265" s="26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6"/>
      <c r="I1266" s="26"/>
      <c r="J1266" s="26"/>
      <c r="K1266" s="26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6"/>
      <c r="I1267" s="26"/>
      <c r="J1267" s="26"/>
      <c r="K1267" s="26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6"/>
      <c r="I1268" s="26"/>
      <c r="J1268" s="26"/>
      <c r="K1268" s="26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6"/>
      <c r="I1269" s="26"/>
      <c r="J1269" s="26"/>
      <c r="K1269" s="26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6"/>
      <c r="I1270" s="26"/>
      <c r="J1270" s="26"/>
      <c r="K1270" s="26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6"/>
      <c r="I1271" s="26"/>
      <c r="J1271" s="26"/>
      <c r="K1271" s="26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6"/>
      <c r="I1272" s="26"/>
      <c r="J1272" s="26"/>
      <c r="K1272" s="26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6"/>
      <c r="I1273" s="26"/>
      <c r="J1273" s="26"/>
      <c r="K1273" s="26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6"/>
      <c r="I1274" s="26"/>
      <c r="J1274" s="26"/>
      <c r="K1274" s="26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6"/>
      <c r="I1275" s="26"/>
      <c r="J1275" s="26"/>
      <c r="K1275" s="26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6"/>
      <c r="I1276" s="26"/>
      <c r="J1276" s="26"/>
      <c r="K1276" s="26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6"/>
      <c r="I1277" s="26"/>
      <c r="J1277" s="26"/>
      <c r="K1277" s="26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6"/>
      <c r="I1278" s="26"/>
      <c r="J1278" s="26"/>
      <c r="K1278" s="26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6"/>
      <c r="I1279" s="26"/>
      <c r="J1279" s="26"/>
      <c r="K1279" s="26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6"/>
      <c r="I1280" s="26"/>
      <c r="J1280" s="26"/>
      <c r="K1280" s="26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6"/>
      <c r="I1281" s="26"/>
      <c r="J1281" s="26"/>
      <c r="K1281" s="26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6"/>
      <c r="I1282" s="26"/>
      <c r="J1282" s="26"/>
      <c r="K1282" s="26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6"/>
      <c r="I1283" s="26"/>
      <c r="J1283" s="26"/>
      <c r="K1283" s="26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6"/>
      <c r="I1284" s="26"/>
      <c r="J1284" s="26"/>
      <c r="K1284" s="26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6"/>
      <c r="I1285" s="26"/>
      <c r="J1285" s="26"/>
      <c r="K1285" s="26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6"/>
      <c r="I1286" s="26"/>
      <c r="J1286" s="26"/>
      <c r="K1286" s="26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6"/>
      <c r="I1287" s="26"/>
      <c r="J1287" s="26"/>
      <c r="K1287" s="26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6"/>
      <c r="I1288" s="26"/>
      <c r="J1288" s="26"/>
      <c r="K1288" s="26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6"/>
      <c r="I1289" s="26"/>
      <c r="J1289" s="26"/>
      <c r="K1289" s="26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6"/>
      <c r="I1290" s="26"/>
      <c r="J1290" s="26"/>
      <c r="K1290" s="26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6"/>
      <c r="I1291" s="26"/>
      <c r="J1291" s="26"/>
      <c r="K1291" s="26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6"/>
      <c r="I1292" s="26"/>
      <c r="J1292" s="26"/>
      <c r="K1292" s="26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6"/>
      <c r="I1293" s="26"/>
      <c r="J1293" s="26"/>
      <c r="K1293" s="26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6"/>
      <c r="I1294" s="26"/>
      <c r="J1294" s="26"/>
      <c r="K1294" s="26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6"/>
      <c r="I1295" s="26"/>
      <c r="J1295" s="26"/>
      <c r="K1295" s="26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6"/>
      <c r="I1296" s="26"/>
      <c r="J1296" s="26"/>
      <c r="K1296" s="26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6"/>
      <c r="I1297" s="26"/>
      <c r="J1297" s="26"/>
      <c r="K1297" s="26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6"/>
      <c r="I1298" s="26"/>
      <c r="J1298" s="26"/>
      <c r="K1298" s="26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6"/>
      <c r="I1299" s="26"/>
      <c r="J1299" s="26"/>
      <c r="K1299" s="26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6"/>
      <c r="I1300" s="26"/>
      <c r="J1300" s="26"/>
      <c r="K1300" s="26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6"/>
      <c r="I1301" s="26"/>
      <c r="J1301" s="26"/>
      <c r="K1301" s="26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6"/>
      <c r="I1302" s="26"/>
      <c r="J1302" s="26"/>
      <c r="K1302" s="26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6"/>
      <c r="I1303" s="26"/>
      <c r="J1303" s="26"/>
      <c r="K1303" s="26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6"/>
      <c r="I1304" s="26"/>
      <c r="J1304" s="26"/>
      <c r="K1304" s="26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6"/>
      <c r="I1305" s="26"/>
      <c r="J1305" s="26"/>
      <c r="K1305" s="26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6"/>
      <c r="I1306" s="26"/>
      <c r="J1306" s="26"/>
      <c r="K1306" s="26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6"/>
      <c r="I1307" s="26"/>
      <c r="J1307" s="26"/>
      <c r="K1307" s="26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6"/>
      <c r="I1308" s="26"/>
      <c r="J1308" s="26"/>
      <c r="K1308" s="26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6"/>
      <c r="I1309" s="26"/>
      <c r="J1309" s="26"/>
      <c r="K1309" s="26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6"/>
      <c r="I1310" s="26"/>
      <c r="J1310" s="26"/>
      <c r="K1310" s="26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6"/>
      <c r="I1311" s="26"/>
      <c r="J1311" s="26"/>
      <c r="K1311" s="26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6"/>
      <c r="I1312" s="26"/>
      <c r="J1312" s="26"/>
      <c r="K1312" s="26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6"/>
      <c r="I1313" s="26"/>
      <c r="J1313" s="26"/>
      <c r="K1313" s="26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6"/>
      <c r="I1314" s="26"/>
      <c r="J1314" s="26"/>
      <c r="K1314" s="26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6"/>
      <c r="I1315" s="26"/>
      <c r="J1315" s="26"/>
      <c r="K1315" s="26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6"/>
      <c r="I1316" s="26"/>
      <c r="J1316" s="26"/>
      <c r="K1316" s="26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6"/>
      <c r="I1317" s="26"/>
      <c r="J1317" s="26"/>
      <c r="K1317" s="26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6"/>
      <c r="I1318" s="26"/>
      <c r="J1318" s="26"/>
      <c r="K1318" s="26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6"/>
      <c r="I1319" s="26"/>
      <c r="J1319" s="26"/>
      <c r="K1319" s="26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6"/>
      <c r="I1320" s="26"/>
      <c r="J1320" s="26"/>
      <c r="K1320" s="26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6"/>
      <c r="I1321" s="26"/>
      <c r="J1321" s="26"/>
      <c r="K1321" s="26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6"/>
      <c r="I1322" s="26"/>
      <c r="J1322" s="26"/>
      <c r="K1322" s="26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6"/>
      <c r="I1323" s="26"/>
      <c r="J1323" s="26"/>
      <c r="K1323" s="26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6"/>
      <c r="I1324" s="26"/>
      <c r="J1324" s="26"/>
      <c r="K1324" s="26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6"/>
      <c r="I1325" s="26"/>
      <c r="J1325" s="26"/>
      <c r="K1325" s="26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6"/>
      <c r="I1326" s="26"/>
      <c r="J1326" s="26"/>
      <c r="K1326" s="26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6"/>
      <c r="I1327" s="26"/>
      <c r="J1327" s="26"/>
      <c r="K1327" s="26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6"/>
      <c r="I1328" s="26"/>
      <c r="J1328" s="26"/>
      <c r="K1328" s="26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6"/>
      <c r="I1329" s="26"/>
      <c r="J1329" s="26"/>
      <c r="K1329" s="26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6"/>
      <c r="I1330" s="26"/>
      <c r="J1330" s="26"/>
      <c r="K1330" s="26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6"/>
      <c r="I1331" s="26"/>
      <c r="J1331" s="26"/>
      <c r="K1331" s="26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6"/>
      <c r="I1332" s="26"/>
      <c r="J1332" s="26"/>
      <c r="K1332" s="26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6"/>
      <c r="I1333" s="26"/>
      <c r="J1333" s="26"/>
      <c r="K1333" s="26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6"/>
      <c r="I1334" s="26"/>
      <c r="J1334" s="26"/>
      <c r="K1334" s="26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6"/>
      <c r="I1335" s="26"/>
      <c r="J1335" s="26"/>
      <c r="K1335" s="26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6"/>
      <c r="I1336" s="26"/>
      <c r="J1336" s="26"/>
      <c r="K1336" s="26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6"/>
      <c r="I1337" s="26"/>
      <c r="J1337" s="26"/>
      <c r="K1337" s="26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6"/>
      <c r="I1338" s="26"/>
      <c r="J1338" s="26"/>
      <c r="K1338" s="26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6"/>
      <c r="I1339" s="26"/>
      <c r="J1339" s="26"/>
      <c r="K1339" s="26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6"/>
      <c r="I1340" s="26"/>
      <c r="J1340" s="26"/>
      <c r="K1340" s="26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6"/>
      <c r="I1341" s="26"/>
      <c r="J1341" s="26"/>
      <c r="K1341" s="26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6"/>
      <c r="I1342" s="26"/>
      <c r="J1342" s="26"/>
      <c r="K1342" s="26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6"/>
      <c r="I1343" s="26"/>
      <c r="J1343" s="26"/>
      <c r="K1343" s="26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6"/>
      <c r="I1344" s="26"/>
      <c r="J1344" s="26"/>
      <c r="K1344" s="26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6"/>
      <c r="I1345" s="26"/>
      <c r="J1345" s="26"/>
      <c r="K1345" s="26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6"/>
      <c r="I1346" s="26"/>
      <c r="J1346" s="26"/>
      <c r="K1346" s="26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6"/>
      <c r="I1347" s="26"/>
      <c r="J1347" s="26"/>
      <c r="K1347" s="26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6"/>
      <c r="I1348" s="26"/>
      <c r="J1348" s="26"/>
      <c r="K1348" s="26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6"/>
      <c r="I1349" s="26"/>
      <c r="J1349" s="26"/>
      <c r="K1349" s="26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6"/>
      <c r="I1350" s="26"/>
      <c r="J1350" s="26"/>
      <c r="K1350" s="26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6"/>
      <c r="I1351" s="26"/>
      <c r="J1351" s="26"/>
      <c r="K1351" s="26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6"/>
      <c r="I1352" s="26"/>
      <c r="J1352" s="26"/>
      <c r="K1352" s="26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6"/>
      <c r="I1353" s="26"/>
      <c r="J1353" s="26"/>
      <c r="K1353" s="26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6"/>
      <c r="I1354" s="26"/>
      <c r="J1354" s="26"/>
      <c r="K1354" s="26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6"/>
      <c r="I1355" s="26"/>
      <c r="J1355" s="26"/>
      <c r="K1355" s="26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6"/>
      <c r="I1356" s="26"/>
      <c r="J1356" s="26"/>
      <c r="K1356" s="26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6"/>
      <c r="I1357" s="26"/>
      <c r="J1357" s="26"/>
      <c r="K1357" s="26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6"/>
      <c r="I1358" s="26"/>
      <c r="J1358" s="26"/>
      <c r="K1358" s="26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6"/>
      <c r="I1359" s="26"/>
      <c r="J1359" s="26"/>
      <c r="K1359" s="26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6"/>
      <c r="I1360" s="26"/>
      <c r="J1360" s="26"/>
      <c r="K1360" s="26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6"/>
      <c r="I1361" s="26"/>
      <c r="J1361" s="26"/>
      <c r="K1361" s="26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6"/>
      <c r="I1362" s="26"/>
      <c r="J1362" s="26"/>
      <c r="K1362" s="26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6"/>
      <c r="I1363" s="26"/>
      <c r="J1363" s="26"/>
      <c r="K1363" s="26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6"/>
      <c r="I1364" s="26"/>
      <c r="J1364" s="26"/>
      <c r="K1364" s="26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6"/>
      <c r="I1365" s="26"/>
      <c r="J1365" s="26"/>
      <c r="K1365" s="26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6"/>
      <c r="I1366" s="26"/>
      <c r="J1366" s="26"/>
      <c r="K1366" s="26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6"/>
      <c r="I1367" s="26"/>
      <c r="J1367" s="26"/>
      <c r="K1367" s="26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6"/>
      <c r="I1368" s="26"/>
      <c r="J1368" s="26"/>
      <c r="K1368" s="26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6"/>
      <c r="I1369" s="26"/>
      <c r="J1369" s="26"/>
      <c r="K1369" s="26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6"/>
      <c r="I1370" s="26"/>
      <c r="J1370" s="26"/>
      <c r="K1370" s="26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6"/>
      <c r="I1371" s="26"/>
      <c r="J1371" s="26"/>
      <c r="K1371" s="26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6"/>
      <c r="I1372" s="26"/>
      <c r="J1372" s="26"/>
      <c r="K1372" s="26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6"/>
      <c r="I1373" s="26"/>
      <c r="J1373" s="26"/>
      <c r="K1373" s="26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6"/>
      <c r="I1374" s="26"/>
      <c r="J1374" s="26"/>
      <c r="K1374" s="26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6"/>
      <c r="I1375" s="26"/>
      <c r="J1375" s="26"/>
      <c r="K1375" s="26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6"/>
      <c r="I1376" s="26"/>
      <c r="J1376" s="26"/>
      <c r="K1376" s="26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6"/>
      <c r="I1377" s="26"/>
      <c r="J1377" s="26"/>
      <c r="K1377" s="26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6"/>
      <c r="I1378" s="26"/>
      <c r="J1378" s="26"/>
      <c r="K1378" s="26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6"/>
      <c r="I1379" s="26"/>
      <c r="J1379" s="26"/>
      <c r="K1379" s="26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6"/>
      <c r="I1380" s="26"/>
      <c r="J1380" s="26"/>
      <c r="K1380" s="26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6"/>
      <c r="I1381" s="26"/>
      <c r="J1381" s="26"/>
      <c r="K1381" s="26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6"/>
      <c r="I1382" s="26"/>
      <c r="J1382" s="26"/>
      <c r="K1382" s="26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6"/>
      <c r="I1383" s="26"/>
      <c r="J1383" s="26"/>
      <c r="K1383" s="26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6"/>
      <c r="I1384" s="26"/>
      <c r="J1384" s="26"/>
      <c r="K1384" s="26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6"/>
      <c r="I1385" s="26"/>
      <c r="J1385" s="26"/>
      <c r="K1385" s="26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6"/>
      <c r="I1386" s="26"/>
      <c r="J1386" s="26"/>
      <c r="K1386" s="26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6"/>
      <c r="I1387" s="26"/>
      <c r="J1387" s="26"/>
      <c r="K1387" s="26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6"/>
      <c r="I1388" s="26"/>
      <c r="J1388" s="26"/>
      <c r="K1388" s="26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6"/>
      <c r="I1389" s="26"/>
      <c r="J1389" s="26"/>
      <c r="K1389" s="26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6"/>
      <c r="I1390" s="26"/>
      <c r="J1390" s="26"/>
      <c r="K1390" s="26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6"/>
      <c r="I1391" s="26"/>
      <c r="J1391" s="26"/>
      <c r="K1391" s="26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6"/>
      <c r="I1392" s="26"/>
      <c r="J1392" s="26"/>
      <c r="K1392" s="26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6"/>
      <c r="I1393" s="26"/>
      <c r="J1393" s="26"/>
      <c r="K1393" s="26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6"/>
      <c r="I1394" s="26"/>
      <c r="J1394" s="26"/>
      <c r="K1394" s="26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6"/>
      <c r="I1395" s="26"/>
      <c r="J1395" s="26"/>
      <c r="K1395" s="26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6"/>
      <c r="I1396" s="26"/>
      <c r="J1396" s="26"/>
      <c r="K1396" s="26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6"/>
      <c r="I1397" s="26"/>
      <c r="J1397" s="26"/>
      <c r="K1397" s="26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6"/>
      <c r="I1398" s="26"/>
      <c r="J1398" s="26"/>
      <c r="K1398" s="26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6"/>
      <c r="I1399" s="26"/>
      <c r="J1399" s="26"/>
      <c r="K1399" s="26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6"/>
      <c r="I1400" s="26"/>
      <c r="J1400" s="26"/>
      <c r="K1400" s="26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6"/>
      <c r="I1401" s="26"/>
      <c r="J1401" s="26"/>
      <c r="K1401" s="26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6"/>
      <c r="I1402" s="26"/>
      <c r="J1402" s="26"/>
      <c r="K1402" s="26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6"/>
      <c r="I1403" s="26"/>
      <c r="J1403" s="26"/>
      <c r="K1403" s="26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6"/>
      <c r="I1404" s="26"/>
      <c r="J1404" s="26"/>
      <c r="K1404" s="26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6"/>
      <c r="I1405" s="26"/>
      <c r="J1405" s="26"/>
      <c r="K1405" s="26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6"/>
      <c r="I1406" s="26"/>
      <c r="J1406" s="26"/>
      <c r="K1406" s="26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6"/>
      <c r="I1407" s="26"/>
      <c r="J1407" s="26"/>
      <c r="K1407" s="26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6"/>
      <c r="I1408" s="26"/>
      <c r="J1408" s="26"/>
      <c r="K1408" s="26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6"/>
      <c r="I1409" s="26"/>
      <c r="J1409" s="26"/>
      <c r="K1409" s="26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6"/>
      <c r="I1410" s="26"/>
      <c r="J1410" s="26"/>
      <c r="K1410" s="26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6"/>
      <c r="I1411" s="26"/>
      <c r="J1411" s="26"/>
      <c r="K1411" s="26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6"/>
      <c r="I1412" s="26"/>
      <c r="J1412" s="26"/>
      <c r="K1412" s="26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6"/>
      <c r="I1413" s="26"/>
      <c r="J1413" s="26"/>
      <c r="K1413" s="26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6"/>
      <c r="I1414" s="26"/>
      <c r="J1414" s="26"/>
      <c r="K1414" s="26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6"/>
      <c r="I1415" s="26"/>
      <c r="J1415" s="26"/>
      <c r="K1415" s="26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6"/>
      <c r="I1416" s="26"/>
      <c r="J1416" s="26"/>
      <c r="K1416" s="26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6"/>
      <c r="I1417" s="26"/>
      <c r="J1417" s="26"/>
      <c r="K1417" s="26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6"/>
      <c r="I1418" s="26"/>
      <c r="J1418" s="26"/>
      <c r="K1418" s="26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6"/>
      <c r="I1419" s="26"/>
      <c r="J1419" s="26"/>
      <c r="K1419" s="26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6"/>
      <c r="I1420" s="26"/>
      <c r="J1420" s="26"/>
      <c r="K1420" s="26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6"/>
      <c r="I1421" s="26"/>
      <c r="J1421" s="26"/>
      <c r="K1421" s="26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6"/>
      <c r="I1422" s="26"/>
      <c r="J1422" s="26"/>
      <c r="K1422" s="26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6"/>
      <c r="I1423" s="26"/>
      <c r="J1423" s="26"/>
      <c r="K1423" s="26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6"/>
      <c r="I1424" s="26"/>
      <c r="J1424" s="26"/>
      <c r="K1424" s="26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6"/>
      <c r="I1425" s="26"/>
      <c r="J1425" s="26"/>
      <c r="K1425" s="26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6"/>
      <c r="I1426" s="26"/>
      <c r="J1426" s="26"/>
      <c r="K1426" s="26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6"/>
      <c r="I1427" s="26"/>
      <c r="J1427" s="26"/>
      <c r="K1427" s="26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6"/>
      <c r="I1428" s="26"/>
      <c r="J1428" s="26"/>
      <c r="K1428" s="26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6"/>
      <c r="I1429" s="26"/>
      <c r="J1429" s="26"/>
      <c r="K1429" s="26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6"/>
      <c r="I1430" s="26"/>
      <c r="J1430" s="26"/>
      <c r="K1430" s="26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6"/>
      <c r="I1431" s="26"/>
      <c r="J1431" s="26"/>
      <c r="K1431" s="26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6"/>
      <c r="I1432" s="26"/>
      <c r="J1432" s="26"/>
      <c r="K1432" s="26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6"/>
      <c r="I1433" s="26"/>
      <c r="J1433" s="26"/>
      <c r="K1433" s="26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6"/>
      <c r="I1434" s="26"/>
      <c r="J1434" s="26"/>
      <c r="K1434" s="26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6"/>
      <c r="I1435" s="26"/>
      <c r="J1435" s="26"/>
      <c r="K1435" s="26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6"/>
      <c r="I1436" s="26"/>
      <c r="J1436" s="26"/>
      <c r="K1436" s="26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6"/>
      <c r="I1437" s="26"/>
      <c r="J1437" s="26"/>
      <c r="K1437" s="26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6"/>
      <c r="I1438" s="26"/>
      <c r="J1438" s="26"/>
      <c r="K1438" s="26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6"/>
      <c r="I1439" s="26"/>
      <c r="J1439" s="26"/>
      <c r="K1439" s="26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6"/>
      <c r="I1440" s="26"/>
      <c r="J1440" s="26"/>
      <c r="K1440" s="26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6"/>
      <c r="I1441" s="26"/>
      <c r="J1441" s="26"/>
      <c r="K1441" s="26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6"/>
      <c r="I1442" s="26"/>
      <c r="J1442" s="26"/>
      <c r="K1442" s="26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6"/>
      <c r="I1443" s="26"/>
      <c r="J1443" s="26"/>
      <c r="K1443" s="26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6"/>
      <c r="I1444" s="26"/>
      <c r="J1444" s="26"/>
      <c r="K1444" s="26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6"/>
      <c r="I1445" s="26"/>
      <c r="J1445" s="26"/>
      <c r="K1445" s="26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6"/>
      <c r="I1446" s="26"/>
      <c r="J1446" s="26"/>
      <c r="K1446" s="26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6"/>
      <c r="I1447" s="26"/>
      <c r="J1447" s="26"/>
      <c r="K1447" s="26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6"/>
      <c r="I1448" s="26"/>
      <c r="J1448" s="26"/>
      <c r="K1448" s="26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6"/>
      <c r="I1449" s="26"/>
      <c r="J1449" s="26"/>
      <c r="K1449" s="26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6"/>
      <c r="I1450" s="26"/>
      <c r="J1450" s="26"/>
      <c r="K1450" s="26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6"/>
      <c r="I1451" s="26"/>
      <c r="J1451" s="26"/>
      <c r="K1451" s="26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6"/>
      <c r="I1452" s="26"/>
      <c r="J1452" s="26"/>
      <c r="K1452" s="26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6"/>
      <c r="I1453" s="26"/>
      <c r="J1453" s="26"/>
      <c r="K1453" s="26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6"/>
      <c r="I1454" s="26"/>
      <c r="J1454" s="26"/>
      <c r="K1454" s="26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6"/>
      <c r="I1455" s="26"/>
      <c r="J1455" s="26"/>
      <c r="K1455" s="26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6"/>
      <c r="I1456" s="26"/>
      <c r="J1456" s="26"/>
      <c r="K1456" s="26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6"/>
      <c r="I1457" s="26"/>
      <c r="J1457" s="26"/>
      <c r="K1457" s="26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6"/>
      <c r="I1458" s="26"/>
      <c r="J1458" s="26"/>
      <c r="K1458" s="26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6"/>
      <c r="I1459" s="26"/>
      <c r="J1459" s="26"/>
      <c r="K1459" s="26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6"/>
      <c r="I1460" s="26"/>
      <c r="J1460" s="26"/>
      <c r="K1460" s="26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6"/>
      <c r="I1461" s="26"/>
      <c r="J1461" s="26"/>
      <c r="K1461" s="26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6"/>
      <c r="I1462" s="26"/>
      <c r="J1462" s="26"/>
      <c r="K1462" s="26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6"/>
      <c r="I1463" s="26"/>
      <c r="J1463" s="26"/>
      <c r="K1463" s="26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6"/>
      <c r="I1464" s="26"/>
      <c r="J1464" s="26"/>
      <c r="K1464" s="26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6"/>
      <c r="I1465" s="26"/>
      <c r="J1465" s="26"/>
      <c r="K1465" s="26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6"/>
      <c r="I1466" s="26"/>
      <c r="J1466" s="26"/>
      <c r="K1466" s="26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6"/>
      <c r="I1467" s="26"/>
      <c r="J1467" s="26"/>
      <c r="K1467" s="26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6"/>
      <c r="I1468" s="26"/>
      <c r="J1468" s="26"/>
      <c r="K1468" s="26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6"/>
      <c r="I1469" s="26"/>
      <c r="J1469" s="26"/>
      <c r="K1469" s="26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6"/>
      <c r="I1470" s="26"/>
      <c r="J1470" s="26"/>
      <c r="K1470" s="26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6"/>
      <c r="I1471" s="26"/>
      <c r="J1471" s="26"/>
      <c r="K1471" s="26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6"/>
      <c r="I1472" s="26"/>
      <c r="J1472" s="26"/>
      <c r="K1472" s="26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6"/>
      <c r="I1473" s="26"/>
      <c r="J1473" s="26"/>
      <c r="K1473" s="26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6"/>
      <c r="I1474" s="26"/>
      <c r="J1474" s="26"/>
      <c r="K1474" s="26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6"/>
      <c r="I1475" s="26"/>
      <c r="J1475" s="26"/>
      <c r="K1475" s="26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6"/>
      <c r="I1476" s="26"/>
      <c r="J1476" s="26"/>
      <c r="K1476" s="26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6"/>
      <c r="I1477" s="26"/>
      <c r="J1477" s="26"/>
      <c r="K1477" s="26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6"/>
      <c r="I1478" s="26"/>
      <c r="J1478" s="26"/>
      <c r="K1478" s="26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6"/>
      <c r="I1479" s="26"/>
      <c r="J1479" s="26"/>
      <c r="K1479" s="26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6"/>
      <c r="I1480" s="26"/>
      <c r="J1480" s="26"/>
      <c r="K1480" s="26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6"/>
      <c r="I1481" s="26"/>
      <c r="J1481" s="26"/>
      <c r="K1481" s="26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6"/>
      <c r="I1482" s="26"/>
      <c r="J1482" s="26"/>
      <c r="K1482" s="26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6"/>
      <c r="I1483" s="26"/>
      <c r="J1483" s="26"/>
      <c r="K1483" s="26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6"/>
      <c r="I1484" s="26"/>
      <c r="J1484" s="26"/>
      <c r="K1484" s="26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6"/>
      <c r="I1485" s="26"/>
      <c r="J1485" s="26"/>
      <c r="K1485" s="26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6"/>
      <c r="I1486" s="26"/>
      <c r="J1486" s="26"/>
      <c r="K1486" s="26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6"/>
      <c r="I1487" s="26"/>
      <c r="J1487" s="26"/>
      <c r="K1487" s="26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6"/>
      <c r="I1488" s="26"/>
      <c r="J1488" s="26"/>
      <c r="K1488" s="26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6"/>
      <c r="I1489" s="26"/>
      <c r="J1489" s="26"/>
      <c r="K1489" s="26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6"/>
      <c r="I1490" s="26"/>
      <c r="J1490" s="26"/>
      <c r="K1490" s="26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6"/>
      <c r="I1491" s="26"/>
      <c r="J1491" s="26"/>
      <c r="K1491" s="26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6"/>
      <c r="I1492" s="26"/>
      <c r="J1492" s="26"/>
      <c r="K1492" s="26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6"/>
      <c r="I1493" s="26"/>
      <c r="J1493" s="26"/>
      <c r="K1493" s="26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6"/>
      <c r="I1494" s="26"/>
      <c r="J1494" s="26"/>
      <c r="K1494" s="26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6"/>
      <c r="I1495" s="26"/>
      <c r="J1495" s="26"/>
      <c r="K1495" s="26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6"/>
      <c r="I1496" s="26"/>
      <c r="J1496" s="26"/>
      <c r="K1496" s="26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6"/>
      <c r="I1497" s="26"/>
      <c r="J1497" s="26"/>
      <c r="K1497" s="26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6"/>
      <c r="I1498" s="26"/>
      <c r="J1498" s="26"/>
      <c r="K1498" s="26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6"/>
      <c r="I1499" s="26"/>
      <c r="J1499" s="26"/>
      <c r="K1499" s="26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6"/>
      <c r="I1500" s="26"/>
      <c r="J1500" s="26"/>
      <c r="K1500" s="26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6"/>
      <c r="I1501" s="26"/>
      <c r="J1501" s="26"/>
      <c r="K1501" s="26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6"/>
      <c r="I1502" s="26"/>
      <c r="J1502" s="26"/>
      <c r="K1502" s="26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6"/>
      <c r="I1503" s="26"/>
      <c r="J1503" s="26"/>
      <c r="K1503" s="26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6"/>
      <c r="I1504" s="26"/>
      <c r="J1504" s="26"/>
      <c r="K1504" s="26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6"/>
      <c r="I1505" s="26"/>
      <c r="J1505" s="26"/>
      <c r="K1505" s="26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6"/>
      <c r="I1506" s="26"/>
      <c r="J1506" s="26"/>
      <c r="K1506" s="26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6"/>
      <c r="I1507" s="26"/>
      <c r="J1507" s="26"/>
      <c r="K1507" s="26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6"/>
      <c r="I1508" s="26"/>
      <c r="J1508" s="26"/>
      <c r="K1508" s="26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6"/>
      <c r="I1509" s="26"/>
      <c r="J1509" s="26"/>
      <c r="K1509" s="26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6"/>
      <c r="I1510" s="26"/>
      <c r="J1510" s="26"/>
      <c r="K1510" s="26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6"/>
      <c r="I1511" s="26"/>
      <c r="J1511" s="26"/>
      <c r="K1511" s="26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6"/>
      <c r="I1512" s="26"/>
      <c r="J1512" s="26"/>
      <c r="K1512" s="26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6"/>
      <c r="I1513" s="26"/>
      <c r="J1513" s="26"/>
      <c r="K1513" s="26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6"/>
      <c r="I1514" s="26"/>
      <c r="J1514" s="26"/>
      <c r="K1514" s="26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6"/>
      <c r="I1515" s="26"/>
      <c r="J1515" s="26"/>
      <c r="K1515" s="26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6"/>
      <c r="I1516" s="26"/>
      <c r="J1516" s="26"/>
      <c r="K1516" s="26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6"/>
      <c r="I1517" s="26"/>
      <c r="J1517" s="26"/>
      <c r="K1517" s="26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6"/>
      <c r="I1518" s="26"/>
      <c r="J1518" s="26"/>
      <c r="K1518" s="26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6"/>
      <c r="I1519" s="26"/>
      <c r="J1519" s="26"/>
      <c r="K1519" s="26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6"/>
      <c r="I1520" s="26"/>
      <c r="J1520" s="26"/>
      <c r="K1520" s="26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6"/>
      <c r="I1521" s="26"/>
      <c r="J1521" s="26"/>
      <c r="K1521" s="26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6"/>
      <c r="I1522" s="26"/>
      <c r="J1522" s="26"/>
      <c r="K1522" s="26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6"/>
      <c r="I1523" s="26"/>
      <c r="J1523" s="26"/>
      <c r="K1523" s="26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6"/>
      <c r="I1524" s="26"/>
      <c r="J1524" s="26"/>
      <c r="K1524" s="26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6"/>
      <c r="I1525" s="26"/>
      <c r="J1525" s="26"/>
      <c r="K1525" s="26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6"/>
      <c r="I1526" s="26"/>
      <c r="J1526" s="26"/>
      <c r="K1526" s="26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6"/>
      <c r="I1527" s="26"/>
      <c r="J1527" s="26"/>
      <c r="K1527" s="26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6"/>
      <c r="I1528" s="26"/>
      <c r="J1528" s="26"/>
      <c r="K1528" s="26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6"/>
      <c r="I1529" s="26"/>
      <c r="J1529" s="26"/>
      <c r="K1529" s="26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6"/>
      <c r="I1530" s="26"/>
      <c r="J1530" s="26"/>
      <c r="K1530" s="26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6"/>
      <c r="I1531" s="26"/>
      <c r="J1531" s="26"/>
      <c r="K1531" s="26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6"/>
      <c r="I1532" s="26"/>
      <c r="J1532" s="26"/>
      <c r="K1532" s="26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6"/>
      <c r="I1533" s="26"/>
      <c r="J1533" s="26"/>
      <c r="K1533" s="26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6"/>
      <c r="I1534" s="26"/>
      <c r="J1534" s="26"/>
      <c r="K1534" s="26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6"/>
      <c r="I1535" s="26"/>
      <c r="J1535" s="26"/>
      <c r="K1535" s="26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6"/>
      <c r="I1536" s="26"/>
      <c r="J1536" s="26"/>
      <c r="K1536" s="26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6"/>
      <c r="I1537" s="26"/>
      <c r="J1537" s="26"/>
      <c r="K1537" s="26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6"/>
      <c r="I1538" s="26"/>
      <c r="J1538" s="26"/>
      <c r="K1538" s="26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6"/>
      <c r="I1539" s="26"/>
      <c r="J1539" s="26"/>
      <c r="K1539" s="26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6"/>
      <c r="I1540" s="26"/>
      <c r="J1540" s="26"/>
      <c r="K1540" s="26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6"/>
      <c r="I1541" s="26"/>
      <c r="J1541" s="26"/>
      <c r="K1541" s="26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6"/>
      <c r="I1542" s="26"/>
      <c r="J1542" s="26"/>
      <c r="K1542" s="26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6"/>
      <c r="I1543" s="26"/>
      <c r="J1543" s="26"/>
      <c r="K1543" s="26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6"/>
      <c r="I1544" s="26"/>
      <c r="J1544" s="26"/>
      <c r="K1544" s="26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6"/>
      <c r="I1545" s="26"/>
      <c r="J1545" s="26"/>
      <c r="K1545" s="26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6"/>
      <c r="I1546" s="26"/>
      <c r="J1546" s="26"/>
      <c r="K1546" s="26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6"/>
      <c r="I1547" s="26"/>
      <c r="J1547" s="26"/>
      <c r="K1547" s="26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6"/>
      <c r="I1548" s="26"/>
      <c r="J1548" s="26"/>
      <c r="K1548" s="26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6"/>
      <c r="I1549" s="26"/>
      <c r="J1549" s="26"/>
      <c r="K1549" s="26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6"/>
      <c r="I1550" s="26"/>
      <c r="J1550" s="26"/>
      <c r="K1550" s="26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6"/>
      <c r="I1551" s="26"/>
      <c r="J1551" s="26"/>
      <c r="K1551" s="26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6"/>
      <c r="I1552" s="26"/>
      <c r="J1552" s="26"/>
      <c r="K1552" s="26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6"/>
      <c r="I1553" s="26"/>
      <c r="J1553" s="26"/>
      <c r="K1553" s="26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6"/>
      <c r="I1554" s="26"/>
      <c r="J1554" s="26"/>
      <c r="K1554" s="26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6"/>
      <c r="I1555" s="26"/>
      <c r="J1555" s="26"/>
      <c r="K1555" s="26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6"/>
      <c r="I1556" s="26"/>
      <c r="J1556" s="26"/>
      <c r="K1556" s="26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6"/>
      <c r="I1557" s="26"/>
      <c r="J1557" s="26"/>
      <c r="K1557" s="26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6"/>
      <c r="I1558" s="26"/>
      <c r="J1558" s="26"/>
      <c r="K1558" s="26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6"/>
      <c r="I1559" s="26"/>
      <c r="J1559" s="26"/>
      <c r="K1559" s="26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6"/>
      <c r="I1560" s="26"/>
      <c r="J1560" s="26"/>
      <c r="K1560" s="26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6"/>
      <c r="I1561" s="26"/>
      <c r="J1561" s="26"/>
      <c r="K1561" s="26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6"/>
      <c r="I1562" s="26"/>
      <c r="J1562" s="26"/>
      <c r="K1562" s="26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6"/>
      <c r="I1563" s="26"/>
      <c r="J1563" s="26"/>
      <c r="K1563" s="26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6"/>
      <c r="I1564" s="26"/>
      <c r="J1564" s="26"/>
      <c r="K1564" s="26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6"/>
      <c r="I1565" s="26"/>
      <c r="J1565" s="26"/>
      <c r="K1565" s="26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6"/>
      <c r="I1566" s="26"/>
      <c r="J1566" s="26"/>
      <c r="K1566" s="26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6"/>
      <c r="I1567" s="26"/>
      <c r="J1567" s="26"/>
      <c r="K1567" s="26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6"/>
      <c r="I1568" s="26"/>
      <c r="J1568" s="26"/>
      <c r="K1568" s="26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6"/>
      <c r="I1569" s="26"/>
      <c r="J1569" s="26"/>
      <c r="K1569" s="26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6"/>
      <c r="I1570" s="26"/>
      <c r="J1570" s="26"/>
      <c r="K1570" s="26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6"/>
      <c r="I1571" s="26"/>
      <c r="J1571" s="26"/>
      <c r="K1571" s="26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6"/>
      <c r="I1572" s="26"/>
      <c r="J1572" s="26"/>
      <c r="K1572" s="26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6"/>
      <c r="I1573" s="26"/>
      <c r="J1573" s="26"/>
      <c r="K1573" s="26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6"/>
      <c r="I1574" s="26"/>
      <c r="J1574" s="26"/>
      <c r="K1574" s="26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6"/>
      <c r="I1575" s="26"/>
      <c r="J1575" s="26"/>
      <c r="K1575" s="26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6"/>
      <c r="I1576" s="26"/>
      <c r="J1576" s="26"/>
      <c r="K1576" s="26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6"/>
      <c r="I1577" s="26"/>
      <c r="J1577" s="26"/>
      <c r="K1577" s="26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6"/>
      <c r="I1578" s="26"/>
      <c r="J1578" s="26"/>
      <c r="K1578" s="26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6"/>
      <c r="I1579" s="26"/>
      <c r="J1579" s="26"/>
      <c r="K1579" s="26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6"/>
      <c r="I1580" s="26"/>
      <c r="J1580" s="26"/>
      <c r="K1580" s="26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6"/>
      <c r="I1581" s="26"/>
      <c r="J1581" s="26"/>
      <c r="K1581" s="26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6"/>
      <c r="I1582" s="26"/>
      <c r="J1582" s="26"/>
      <c r="K1582" s="26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6"/>
      <c r="I1583" s="26"/>
      <c r="J1583" s="26"/>
      <c r="K1583" s="26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6"/>
      <c r="I1584" s="26"/>
      <c r="J1584" s="26"/>
      <c r="K1584" s="26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6"/>
      <c r="I1585" s="26"/>
      <c r="J1585" s="26"/>
      <c r="K1585" s="26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6"/>
      <c r="I1586" s="26"/>
      <c r="J1586" s="26"/>
      <c r="K1586" s="26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6"/>
      <c r="I1587" s="26"/>
      <c r="J1587" s="26"/>
      <c r="K1587" s="26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6"/>
      <c r="I1588" s="26"/>
      <c r="J1588" s="26"/>
      <c r="K1588" s="26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6"/>
      <c r="I1589" s="26"/>
      <c r="J1589" s="26"/>
      <c r="K1589" s="26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6"/>
      <c r="I1590" s="26"/>
      <c r="J1590" s="26"/>
      <c r="K1590" s="26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6"/>
      <c r="I1591" s="26"/>
      <c r="J1591" s="26"/>
      <c r="K1591" s="26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6"/>
      <c r="I1592" s="26"/>
      <c r="J1592" s="26"/>
      <c r="K1592" s="26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6"/>
      <c r="I1593" s="26"/>
      <c r="J1593" s="26"/>
      <c r="K1593" s="26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6"/>
      <c r="I1594" s="26"/>
      <c r="J1594" s="26"/>
      <c r="K1594" s="26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26"/>
      <c r="I1595" s="26"/>
      <c r="J1595" s="26"/>
      <c r="K1595" s="26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26"/>
      <c r="I1596" s="26"/>
      <c r="J1596" s="26"/>
      <c r="K1596" s="26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26"/>
      <c r="I1597" s="26"/>
      <c r="J1597" s="26"/>
      <c r="K1597" s="26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26"/>
      <c r="I1598" s="26"/>
      <c r="J1598" s="26"/>
      <c r="K1598" s="26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26"/>
      <c r="I1599" s="26"/>
      <c r="J1599" s="26"/>
      <c r="K1599" s="26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26"/>
      <c r="I1600" s="26"/>
      <c r="J1600" s="26"/>
      <c r="K1600" s="26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5:23">
      <c r="E1601" s="1"/>
      <c r="F1601" s="1"/>
      <c r="G1601" s="1"/>
      <c r="H1601" s="26"/>
      <c r="I1601" s="26"/>
      <c r="J1601" s="26"/>
      <c r="K1601" s="26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</row>
    <row r="1602" spans="5:23">
      <c r="E1602" s="1"/>
      <c r="F1602" s="1"/>
      <c r="G1602" s="1"/>
      <c r="H1602" s="26"/>
      <c r="I1602" s="26"/>
      <c r="J1602" s="26"/>
      <c r="K1602" s="26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</row>
    <row r="1603" spans="5:23">
      <c r="E1603" s="1"/>
      <c r="F1603" s="1"/>
      <c r="G1603" s="1"/>
      <c r="H1603" s="26"/>
      <c r="I1603" s="26"/>
      <c r="J1603" s="26"/>
      <c r="K1603" s="26"/>
      <c r="L1603" s="6"/>
      <c r="M1603" s="6"/>
      <c r="N1603" s="1"/>
      <c r="O1603" s="2"/>
      <c r="P1603" s="2"/>
      <c r="Q1603" s="2"/>
      <c r="R1603" s="2"/>
      <c r="S1603" s="2"/>
      <c r="T1603" s="2"/>
      <c r="U1603" s="2"/>
      <c r="V1603" s="1"/>
      <c r="W1603" s="1"/>
    </row>
    <row r="1604" spans="5:23">
      <c r="E1604" s="1"/>
      <c r="F1604" s="1"/>
      <c r="G1604" s="1"/>
      <c r="H1604" s="26"/>
      <c r="I1604" s="26"/>
      <c r="J1604" s="26"/>
      <c r="K1604" s="26"/>
      <c r="L1604" s="6"/>
      <c r="M1604" s="6"/>
      <c r="N1604" s="1"/>
      <c r="O1604" s="2"/>
      <c r="P1604" s="2"/>
      <c r="Q1604" s="2"/>
      <c r="R1604" s="2"/>
      <c r="S1604" s="2"/>
      <c r="T1604" s="2"/>
      <c r="U1604" s="2"/>
      <c r="V1604" s="1"/>
      <c r="W1604" s="1"/>
    </row>
    <row r="1605" spans="5:23">
      <c r="E1605" s="1"/>
      <c r="F1605" s="1"/>
      <c r="G1605" s="1"/>
      <c r="H1605" s="26"/>
      <c r="I1605" s="26"/>
      <c r="J1605" s="26"/>
      <c r="K1605" s="26"/>
      <c r="L1605" s="6"/>
      <c r="M1605" s="6"/>
      <c r="N1605" s="1"/>
      <c r="O1605" s="2"/>
      <c r="P1605" s="2"/>
      <c r="Q1605" s="2"/>
      <c r="R1605" s="2"/>
      <c r="S1605" s="2"/>
      <c r="T1605" s="2"/>
      <c r="U1605" s="2"/>
      <c r="V1605" s="1"/>
      <c r="W1605" s="1"/>
    </row>
    <row r="1606" spans="5:23">
      <c r="E1606" s="1"/>
      <c r="F1606" s="1"/>
      <c r="G1606" s="1"/>
      <c r="H1606" s="26"/>
      <c r="I1606" s="26"/>
      <c r="J1606" s="26"/>
      <c r="K1606" s="26"/>
      <c r="L1606" s="6"/>
      <c r="M1606" s="6"/>
      <c r="N1606" s="1"/>
      <c r="O1606" s="2"/>
      <c r="P1606" s="2"/>
      <c r="Q1606" s="2"/>
      <c r="R1606" s="2"/>
      <c r="S1606" s="2"/>
      <c r="T1606" s="2"/>
      <c r="U1606" s="2"/>
      <c r="V1606" s="1"/>
      <c r="W1606" s="1"/>
    </row>
    <row r="1607" spans="5:23">
      <c r="E1607" s="1"/>
      <c r="F1607" s="1"/>
      <c r="G1607" s="1"/>
      <c r="H1607" s="26"/>
      <c r="I1607" s="26"/>
      <c r="J1607" s="26"/>
      <c r="K1607" s="26"/>
      <c r="L1607" s="6"/>
      <c r="M1607" s="6"/>
      <c r="N1607" s="1"/>
      <c r="O1607" s="2"/>
      <c r="P1607" s="2"/>
      <c r="Q1607" s="2"/>
      <c r="R1607" s="2"/>
      <c r="S1607" s="2"/>
      <c r="T1607" s="2"/>
      <c r="U1607" s="2"/>
      <c r="V1607" s="1"/>
      <c r="W1607" s="1"/>
    </row>
    <row r="1608" spans="5:23">
      <c r="E1608" s="1"/>
      <c r="F1608" s="1"/>
      <c r="G1608" s="1"/>
      <c r="H1608" s="26"/>
      <c r="I1608" s="26"/>
      <c r="J1608" s="26"/>
      <c r="K1608" s="26"/>
      <c r="L1608" s="6"/>
      <c r="M1608" s="6"/>
      <c r="N1608" s="1"/>
      <c r="O1608" s="2"/>
      <c r="P1608" s="2"/>
      <c r="Q1608" s="2"/>
      <c r="R1608" s="2"/>
      <c r="S1608" s="2"/>
      <c r="T1608" s="2"/>
      <c r="U1608" s="2"/>
      <c r="V1608" s="1"/>
      <c r="W1608" s="1"/>
    </row>
    <row r="1609" spans="5:23">
      <c r="E1609" s="1"/>
      <c r="F1609" s="1"/>
      <c r="G1609" s="1"/>
      <c r="H1609" s="26"/>
      <c r="I1609" s="26"/>
      <c r="J1609" s="26"/>
      <c r="K1609" s="26"/>
      <c r="L1609" s="6"/>
      <c r="M1609" s="6"/>
      <c r="N1609" s="1"/>
      <c r="O1609" s="2"/>
      <c r="P1609" s="2"/>
      <c r="Q1609" s="2"/>
      <c r="R1609" s="2"/>
      <c r="S1609" s="2"/>
      <c r="T1609" s="2"/>
      <c r="U1609" s="2"/>
      <c r="V1609" s="1"/>
      <c r="W1609" s="1"/>
    </row>
    <row r="1610" spans="5:23">
      <c r="E1610" s="1"/>
      <c r="F1610" s="1"/>
      <c r="G1610" s="1"/>
      <c r="H1610" s="26"/>
      <c r="I1610" s="26"/>
      <c r="J1610" s="26"/>
      <c r="K1610" s="26"/>
      <c r="L1610" s="6"/>
      <c r="M1610" s="6"/>
      <c r="N1610" s="1"/>
      <c r="O1610" s="2"/>
      <c r="P1610" s="2"/>
      <c r="Q1610" s="2"/>
      <c r="R1610" s="2"/>
      <c r="S1610" s="2"/>
      <c r="T1610" s="2"/>
      <c r="U1610" s="2"/>
      <c r="V1610" s="1"/>
      <c r="W1610" s="1"/>
    </row>
    <row r="1611" spans="5:23">
      <c r="E1611" s="1"/>
      <c r="F1611" s="1"/>
      <c r="G1611" s="1"/>
      <c r="H1611" s="26"/>
      <c r="I1611" s="26"/>
      <c r="J1611" s="26"/>
      <c r="K1611" s="26"/>
      <c r="L1611" s="6"/>
      <c r="M1611" s="6"/>
      <c r="N1611" s="1"/>
      <c r="O1611" s="2"/>
      <c r="P1611" s="2"/>
      <c r="Q1611" s="2"/>
      <c r="R1611" s="2"/>
      <c r="S1611" s="2"/>
      <c r="T1611" s="2"/>
      <c r="U1611" s="2"/>
      <c r="V1611" s="1"/>
      <c r="W1611" s="1"/>
    </row>
    <row r="1612" spans="5:23">
      <c r="E1612" s="1"/>
      <c r="F1612" s="1"/>
      <c r="G1612" s="1"/>
      <c r="H1612" s="26"/>
      <c r="I1612" s="26"/>
      <c r="J1612" s="26"/>
      <c r="K1612" s="26"/>
      <c r="L1612" s="6"/>
      <c r="M1612" s="6"/>
      <c r="N1612" s="1"/>
      <c r="O1612" s="2"/>
      <c r="P1612" s="2"/>
      <c r="Q1612" s="2"/>
      <c r="R1612" s="2"/>
      <c r="S1612" s="2"/>
      <c r="T1612" s="2"/>
      <c r="U1612" s="2"/>
      <c r="V1612" s="1"/>
      <c r="W1612" s="1"/>
    </row>
    <row r="1613" spans="5:23">
      <c r="E1613" s="1"/>
      <c r="F1613" s="1"/>
      <c r="G1613" s="1"/>
      <c r="H1613" s="26"/>
      <c r="I1613" s="26"/>
      <c r="J1613" s="26"/>
      <c r="K1613" s="26"/>
      <c r="L1613" s="6"/>
      <c r="M1613" s="6"/>
      <c r="N1613" s="1"/>
      <c r="O1613" s="2"/>
      <c r="P1613" s="2"/>
      <c r="Q1613" s="2"/>
      <c r="R1613" s="2"/>
      <c r="S1613" s="2"/>
      <c r="T1613" s="2"/>
      <c r="U1613" s="2"/>
      <c r="V1613" s="1"/>
      <c r="W1613" s="1"/>
    </row>
    <row r="1614" spans="5:23">
      <c r="E1614" s="1"/>
      <c r="F1614" s="1"/>
      <c r="G1614" s="1"/>
      <c r="H1614" s="26"/>
      <c r="I1614" s="26"/>
      <c r="J1614" s="26"/>
      <c r="K1614" s="26"/>
      <c r="L1614" s="6"/>
      <c r="M1614" s="6"/>
      <c r="N1614" s="1"/>
      <c r="O1614" s="2"/>
      <c r="P1614" s="2"/>
      <c r="Q1614" s="2"/>
      <c r="R1614" s="2"/>
      <c r="S1614" s="2"/>
      <c r="T1614" s="2"/>
      <c r="U1614" s="2"/>
      <c r="V1614" s="1"/>
      <c r="W1614" s="1"/>
    </row>
    <row r="1615" spans="5:23">
      <c r="E1615" s="1"/>
      <c r="F1615" s="1"/>
      <c r="G1615" s="1"/>
      <c r="H1615" s="26"/>
      <c r="I1615" s="26"/>
      <c r="J1615" s="26"/>
      <c r="K1615" s="26"/>
      <c r="L1615" s="6"/>
      <c r="M1615" s="6"/>
      <c r="N1615" s="1"/>
      <c r="O1615" s="2"/>
      <c r="P1615" s="2"/>
      <c r="Q1615" s="2"/>
      <c r="R1615" s="2"/>
      <c r="S1615" s="2"/>
      <c r="T1615" s="2"/>
      <c r="U1615" s="2"/>
      <c r="V1615" s="1"/>
      <c r="W1615" s="1"/>
    </row>
    <row r="1616" spans="5:23">
      <c r="E1616" s="1"/>
      <c r="F1616" s="1"/>
      <c r="G1616" s="1"/>
      <c r="H1616" s="26"/>
      <c r="I1616" s="26"/>
      <c r="J1616" s="26"/>
      <c r="K1616" s="26"/>
      <c r="L1616" s="6"/>
      <c r="M1616" s="6"/>
      <c r="N1616" s="1"/>
      <c r="O1616" s="2"/>
      <c r="P1616" s="2"/>
      <c r="Q1616" s="2"/>
      <c r="R1616" s="2"/>
      <c r="S1616" s="2"/>
      <c r="T1616" s="2"/>
      <c r="U1616" s="2"/>
      <c r="V1616" s="1"/>
      <c r="W1616" s="1"/>
    </row>
    <row r="1617" spans="5:23">
      <c r="E1617" s="1"/>
      <c r="F1617" s="1"/>
      <c r="G1617" s="1"/>
      <c r="H1617" s="26"/>
      <c r="I1617" s="26"/>
      <c r="J1617" s="26"/>
      <c r="K1617" s="26"/>
      <c r="L1617" s="6"/>
      <c r="M1617" s="6"/>
      <c r="N1617" s="1"/>
      <c r="O1617" s="2"/>
      <c r="P1617" s="2"/>
      <c r="Q1617" s="2"/>
      <c r="R1617" s="2"/>
      <c r="S1617" s="2"/>
      <c r="T1617" s="2"/>
      <c r="U1617" s="2"/>
      <c r="V1617" s="1"/>
      <c r="W1617" s="1"/>
    </row>
    <row r="1618" spans="5:23">
      <c r="E1618" s="1"/>
      <c r="F1618" s="1"/>
      <c r="G1618" s="1"/>
      <c r="H1618" s="26"/>
      <c r="I1618" s="26"/>
      <c r="J1618" s="26"/>
      <c r="K1618" s="26"/>
      <c r="L1618" s="6"/>
      <c r="M1618" s="6"/>
      <c r="N1618" s="1"/>
      <c r="O1618" s="2"/>
      <c r="P1618" s="2"/>
      <c r="Q1618" s="2"/>
      <c r="R1618" s="2"/>
      <c r="S1618" s="2"/>
      <c r="T1618" s="2"/>
      <c r="U1618" s="2"/>
      <c r="V1618" s="1"/>
      <c r="W1618" s="1"/>
    </row>
    <row r="1619" spans="5:23">
      <c r="E1619" s="1"/>
      <c r="F1619" s="1"/>
      <c r="G1619" s="1"/>
      <c r="H1619" s="26"/>
      <c r="I1619" s="26"/>
      <c r="J1619" s="26"/>
      <c r="K1619" s="26"/>
      <c r="L1619" s="6"/>
      <c r="M1619" s="6"/>
      <c r="N1619" s="1"/>
      <c r="O1619" s="2"/>
      <c r="P1619" s="2"/>
      <c r="Q1619" s="2"/>
      <c r="R1619" s="2"/>
      <c r="S1619" s="2"/>
      <c r="T1619" s="2"/>
      <c r="U1619" s="2"/>
      <c r="V1619" s="1"/>
      <c r="W1619" s="1"/>
    </row>
    <row r="1620" spans="5:23">
      <c r="E1620" s="1"/>
      <c r="F1620" s="1"/>
      <c r="G1620" s="1"/>
      <c r="H1620" s="26"/>
      <c r="I1620" s="26"/>
      <c r="J1620" s="26"/>
      <c r="K1620" s="26"/>
      <c r="L1620" s="6"/>
      <c r="M1620" s="6"/>
      <c r="N1620" s="1"/>
      <c r="O1620" s="2"/>
      <c r="P1620" s="2"/>
      <c r="Q1620" s="2"/>
      <c r="R1620" s="2"/>
      <c r="S1620" s="2"/>
      <c r="T1620" s="2"/>
      <c r="U1620" s="2"/>
      <c r="V1620" s="1"/>
      <c r="W1620" s="1"/>
    </row>
    <row r="1621" spans="5:23">
      <c r="E1621" s="1"/>
      <c r="F1621" s="1"/>
      <c r="G1621" s="1"/>
      <c r="H1621" s="26"/>
      <c r="I1621" s="26"/>
      <c r="J1621" s="26"/>
      <c r="K1621" s="26"/>
      <c r="L1621" s="6"/>
      <c r="M1621" s="6"/>
      <c r="N1621" s="1"/>
      <c r="O1621" s="2"/>
      <c r="P1621" s="2"/>
      <c r="Q1621" s="2"/>
      <c r="R1621" s="2"/>
      <c r="S1621" s="2"/>
      <c r="T1621" s="2"/>
      <c r="U1621" s="2"/>
      <c r="V1621" s="1"/>
      <c r="W1621" s="1"/>
    </row>
    <row r="1622" spans="5:23">
      <c r="E1622" s="1"/>
      <c r="F1622" s="1"/>
      <c r="G1622" s="1"/>
      <c r="H1622" s="26"/>
      <c r="I1622" s="26"/>
      <c r="J1622" s="26"/>
      <c r="K1622" s="26"/>
      <c r="L1622" s="6"/>
      <c r="M1622" s="6"/>
      <c r="N1622" s="1"/>
      <c r="O1622" s="2"/>
      <c r="P1622" s="2"/>
      <c r="Q1622" s="2"/>
      <c r="R1622" s="2"/>
      <c r="S1622" s="2"/>
      <c r="T1622" s="2"/>
      <c r="U1622" s="2"/>
      <c r="V1622" s="1"/>
      <c r="W1622" s="1"/>
    </row>
    <row r="1623" spans="5:23">
      <c r="E1623" s="1"/>
      <c r="F1623" s="1"/>
      <c r="G1623" s="1"/>
      <c r="H1623" s="26"/>
      <c r="I1623" s="26"/>
      <c r="J1623" s="26"/>
      <c r="K1623" s="26"/>
      <c r="L1623" s="6"/>
      <c r="M1623" s="6"/>
      <c r="N1623" s="1"/>
      <c r="O1623" s="2"/>
      <c r="P1623" s="2"/>
      <c r="Q1623" s="2"/>
      <c r="R1623" s="2"/>
      <c r="S1623" s="2"/>
      <c r="T1623" s="2"/>
      <c r="U1623" s="2"/>
      <c r="V1623" s="1"/>
      <c r="W1623" s="1"/>
    </row>
    <row r="1624" spans="5:23">
      <c r="E1624" s="1"/>
      <c r="F1624" s="1"/>
      <c r="G1624" s="1"/>
      <c r="H1624" s="26"/>
      <c r="I1624" s="26"/>
      <c r="J1624" s="26"/>
      <c r="K1624" s="26"/>
      <c r="L1624" s="6"/>
      <c r="M1624" s="6"/>
      <c r="N1624" s="1"/>
      <c r="O1624" s="2"/>
      <c r="P1624" s="2"/>
      <c r="Q1624" s="2"/>
      <c r="R1624" s="2"/>
      <c r="S1624" s="2"/>
      <c r="T1624" s="2"/>
      <c r="U1624" s="2"/>
      <c r="V1624" s="1"/>
      <c r="W1624" s="1"/>
    </row>
    <row r="1625" spans="5:23">
      <c r="E1625" s="1"/>
      <c r="F1625" s="1"/>
      <c r="G1625" s="1"/>
      <c r="H1625" s="26"/>
      <c r="I1625" s="26"/>
      <c r="J1625" s="26"/>
      <c r="K1625" s="26"/>
      <c r="L1625" s="6"/>
      <c r="M1625" s="6"/>
      <c r="N1625" s="1"/>
      <c r="O1625" s="2"/>
      <c r="P1625" s="2"/>
      <c r="Q1625" s="2"/>
      <c r="R1625" s="2"/>
      <c r="S1625" s="2"/>
      <c r="T1625" s="2"/>
      <c r="U1625" s="2"/>
      <c r="V1625" s="1"/>
      <c r="W1625" s="1"/>
    </row>
    <row r="1626" spans="5:23">
      <c r="E1626" s="1"/>
      <c r="F1626" s="1"/>
      <c r="G1626" s="1"/>
      <c r="H1626" s="26"/>
      <c r="I1626" s="26"/>
      <c r="J1626" s="26"/>
      <c r="K1626" s="26"/>
      <c r="L1626" s="6"/>
      <c r="M1626" s="6"/>
      <c r="N1626" s="1"/>
      <c r="O1626" s="2"/>
      <c r="P1626" s="2"/>
      <c r="Q1626" s="2"/>
      <c r="R1626" s="2"/>
      <c r="S1626" s="2"/>
      <c r="T1626" s="2"/>
      <c r="U1626" s="2"/>
      <c r="V1626" s="1"/>
      <c r="W1626" s="1"/>
    </row>
    <row r="1627" spans="5:23">
      <c r="E1627" s="1"/>
      <c r="F1627" s="1"/>
      <c r="G1627" s="1"/>
      <c r="H1627" s="26"/>
      <c r="I1627" s="26"/>
      <c r="J1627" s="26"/>
      <c r="K1627" s="26"/>
      <c r="L1627" s="6"/>
      <c r="M1627" s="6"/>
      <c r="N1627" s="1"/>
      <c r="O1627" s="2"/>
      <c r="P1627" s="2"/>
      <c r="Q1627" s="2"/>
      <c r="R1627" s="2"/>
      <c r="S1627" s="2"/>
      <c r="T1627" s="2"/>
      <c r="U1627" s="2"/>
      <c r="V1627" s="1"/>
      <c r="W1627" s="1"/>
    </row>
    <row r="1628" spans="5:23">
      <c r="E1628" s="1"/>
      <c r="F1628" s="1"/>
      <c r="G1628" s="1"/>
      <c r="H1628" s="26"/>
      <c r="I1628" s="26"/>
      <c r="J1628" s="26"/>
      <c r="K1628" s="26"/>
      <c r="L1628" s="6"/>
      <c r="M1628" s="6"/>
      <c r="N1628" s="1"/>
      <c r="O1628" s="2"/>
      <c r="P1628" s="2"/>
      <c r="Q1628" s="2"/>
      <c r="R1628" s="2"/>
      <c r="S1628" s="2"/>
      <c r="T1628" s="2"/>
      <c r="U1628" s="2"/>
      <c r="V1628" s="1"/>
      <c r="W1628" s="1"/>
    </row>
    <row r="1629" spans="5:23">
      <c r="E1629" s="1"/>
      <c r="F1629" s="1"/>
      <c r="G1629" s="1"/>
      <c r="H1629" s="26"/>
      <c r="I1629" s="26"/>
      <c r="J1629" s="26"/>
      <c r="K1629" s="26"/>
      <c r="L1629" s="6"/>
      <c r="M1629" s="6"/>
      <c r="N1629" s="1"/>
      <c r="O1629" s="2"/>
      <c r="P1629" s="2"/>
      <c r="Q1629" s="2"/>
      <c r="R1629" s="2"/>
      <c r="S1629" s="2"/>
      <c r="T1629" s="2"/>
      <c r="U1629" s="2"/>
      <c r="V1629" s="1"/>
      <c r="W1629" s="1"/>
    </row>
    <row r="1630" spans="5:23">
      <c r="E1630" s="1"/>
      <c r="F1630" s="1"/>
      <c r="G1630" s="1"/>
      <c r="H1630" s="26"/>
      <c r="I1630" s="26"/>
      <c r="J1630" s="26"/>
      <c r="K1630" s="26"/>
      <c r="L1630" s="6"/>
      <c r="M1630" s="6"/>
      <c r="N1630" s="1"/>
      <c r="O1630" s="2"/>
      <c r="P1630" s="2"/>
      <c r="Q1630" s="2"/>
      <c r="R1630" s="2"/>
      <c r="S1630" s="2"/>
      <c r="T1630" s="2"/>
      <c r="U1630" s="2"/>
      <c r="V1630" s="1"/>
      <c r="W1630" s="1"/>
    </row>
    <row r="1631" spans="5:23">
      <c r="E1631" s="1"/>
      <c r="F1631" s="1"/>
      <c r="G1631" s="1"/>
      <c r="H1631" s="26"/>
      <c r="I1631" s="26"/>
      <c r="J1631" s="26"/>
      <c r="K1631" s="26"/>
      <c r="L1631" s="6"/>
      <c r="M1631" s="6"/>
      <c r="N1631" s="1"/>
      <c r="O1631" s="2"/>
      <c r="P1631" s="2"/>
      <c r="Q1631" s="2"/>
      <c r="R1631" s="2"/>
      <c r="S1631" s="2"/>
      <c r="T1631" s="2"/>
      <c r="U1631" s="2"/>
      <c r="V1631" s="1"/>
      <c r="W1631" s="1"/>
    </row>
    <row r="1632" spans="5:23">
      <c r="E1632" s="1"/>
      <c r="F1632" s="1"/>
      <c r="G1632" s="1"/>
      <c r="H1632" s="26"/>
      <c r="I1632" s="26"/>
      <c r="J1632" s="26"/>
      <c r="K1632" s="26"/>
      <c r="L1632" s="6"/>
      <c r="M1632" s="6"/>
      <c r="N1632" s="1"/>
      <c r="O1632" s="2"/>
      <c r="P1632" s="2"/>
      <c r="Q1632" s="2"/>
      <c r="R1632" s="2"/>
      <c r="S1632" s="2"/>
      <c r="T1632" s="2"/>
      <c r="U1632" s="2"/>
      <c r="V1632" s="1"/>
      <c r="W1632" s="1"/>
    </row>
    <row r="1633" spans="5:23">
      <c r="E1633" s="1"/>
      <c r="F1633" s="1"/>
      <c r="G1633" s="1"/>
      <c r="H1633" s="26"/>
      <c r="I1633" s="26"/>
      <c r="J1633" s="26"/>
      <c r="K1633" s="26"/>
      <c r="L1633" s="6"/>
      <c r="M1633" s="6"/>
      <c r="N1633" s="1"/>
      <c r="O1633" s="2"/>
      <c r="P1633" s="2"/>
      <c r="Q1633" s="2"/>
      <c r="R1633" s="2"/>
      <c r="S1633" s="2"/>
      <c r="T1633" s="2"/>
      <c r="U1633" s="2"/>
      <c r="V1633" s="1"/>
      <c r="W1633" s="1"/>
    </row>
    <row r="1634" spans="5:23">
      <c r="E1634" s="1"/>
      <c r="F1634" s="1"/>
      <c r="G1634" s="1"/>
      <c r="H1634" s="26"/>
      <c r="I1634" s="26"/>
      <c r="J1634" s="26"/>
      <c r="K1634" s="26"/>
      <c r="L1634" s="6"/>
      <c r="M1634" s="6"/>
      <c r="N1634" s="1"/>
      <c r="O1634" s="2"/>
      <c r="P1634" s="2"/>
      <c r="Q1634" s="2"/>
      <c r="R1634" s="2"/>
      <c r="S1634" s="2"/>
      <c r="T1634" s="2"/>
      <c r="U1634" s="2"/>
      <c r="V1634" s="1"/>
      <c r="W1634" s="1"/>
    </row>
    <row r="1635" spans="5:23">
      <c r="E1635" s="1"/>
      <c r="F1635" s="1"/>
      <c r="G1635" s="1"/>
      <c r="H1635" s="26"/>
      <c r="I1635" s="26"/>
      <c r="J1635" s="26"/>
      <c r="K1635" s="26"/>
      <c r="L1635" s="6"/>
      <c r="M1635" s="6"/>
      <c r="N1635" s="1"/>
      <c r="O1635" s="2"/>
      <c r="P1635" s="2"/>
      <c r="Q1635" s="2"/>
      <c r="R1635" s="2"/>
      <c r="S1635" s="2"/>
      <c r="T1635" s="2"/>
      <c r="U1635" s="2"/>
      <c r="V1635" s="1"/>
      <c r="W1635" s="1"/>
    </row>
    <row r="1636" spans="5:23">
      <c r="E1636" s="1"/>
      <c r="F1636" s="1"/>
      <c r="G1636" s="1"/>
      <c r="H1636" s="26"/>
      <c r="I1636" s="26"/>
      <c r="J1636" s="26"/>
      <c r="K1636" s="26"/>
      <c r="L1636" s="6"/>
      <c r="M1636" s="6"/>
      <c r="N1636" s="1"/>
      <c r="O1636" s="2"/>
      <c r="P1636" s="2"/>
      <c r="Q1636" s="2"/>
      <c r="R1636" s="2"/>
      <c r="S1636" s="2"/>
      <c r="T1636" s="2"/>
      <c r="U1636" s="2"/>
      <c r="V1636" s="1"/>
      <c r="W1636" s="1"/>
    </row>
    <row r="1637" spans="5:23">
      <c r="E1637" s="1"/>
      <c r="F1637" s="1"/>
      <c r="G1637" s="1"/>
      <c r="H1637" s="26"/>
      <c r="I1637" s="26"/>
      <c r="J1637" s="26"/>
      <c r="K1637" s="26"/>
      <c r="L1637" s="6"/>
      <c r="M1637" s="6"/>
      <c r="N1637" s="1"/>
      <c r="O1637" s="2"/>
      <c r="P1637" s="2"/>
      <c r="Q1637" s="2"/>
      <c r="R1637" s="2"/>
      <c r="S1637" s="2"/>
      <c r="T1637" s="2"/>
      <c r="U1637" s="2"/>
      <c r="V1637" s="1"/>
      <c r="W1637" s="1"/>
    </row>
    <row r="1638" spans="5:23">
      <c r="E1638" s="1"/>
      <c r="F1638" s="1"/>
      <c r="G1638" s="1"/>
      <c r="H1638" s="26"/>
      <c r="I1638" s="26"/>
      <c r="J1638" s="26"/>
      <c r="K1638" s="26"/>
      <c r="L1638" s="6"/>
      <c r="M1638" s="6"/>
      <c r="N1638" s="1"/>
      <c r="O1638" s="2"/>
      <c r="P1638" s="2"/>
      <c r="Q1638" s="2"/>
      <c r="R1638" s="2"/>
      <c r="S1638" s="2"/>
      <c r="T1638" s="2"/>
      <c r="U1638" s="2"/>
      <c r="V1638" s="1"/>
      <c r="W1638" s="1"/>
    </row>
    <row r="1639" spans="5:23">
      <c r="E1639" s="1"/>
      <c r="F1639" s="1"/>
      <c r="G1639" s="1"/>
      <c r="H1639" s="26"/>
      <c r="I1639" s="26"/>
      <c r="J1639" s="26"/>
      <c r="K1639" s="26"/>
      <c r="L1639" s="6"/>
      <c r="M1639" s="6"/>
      <c r="N1639" s="1"/>
      <c r="O1639" s="2"/>
      <c r="P1639" s="2"/>
      <c r="Q1639" s="2"/>
      <c r="R1639" s="2"/>
      <c r="S1639" s="2"/>
      <c r="T1639" s="2"/>
      <c r="U1639" s="2"/>
      <c r="V1639" s="1"/>
      <c r="W1639" s="1"/>
    </row>
    <row r="1640" spans="5:23">
      <c r="E1640" s="1"/>
      <c r="F1640" s="1"/>
      <c r="G1640" s="1"/>
      <c r="H1640" s="26"/>
      <c r="I1640" s="26"/>
      <c r="J1640" s="26"/>
      <c r="K1640" s="26"/>
      <c r="L1640" s="6"/>
      <c r="M1640" s="6"/>
      <c r="N1640" s="1"/>
      <c r="O1640" s="2"/>
      <c r="P1640" s="2"/>
      <c r="Q1640" s="2"/>
      <c r="R1640" s="2"/>
      <c r="S1640" s="2"/>
      <c r="T1640" s="2"/>
      <c r="U1640" s="2"/>
      <c r="V1640" s="1"/>
      <c r="W1640" s="1"/>
    </row>
    <row r="1641" spans="5:23">
      <c r="E1641" s="1"/>
      <c r="F1641" s="1"/>
      <c r="G1641" s="1"/>
      <c r="H1641" s="26"/>
      <c r="I1641" s="26"/>
      <c r="J1641" s="26"/>
      <c r="K1641" s="26"/>
      <c r="L1641" s="6"/>
      <c r="M1641" s="6"/>
      <c r="N1641" s="1"/>
      <c r="O1641" s="2"/>
      <c r="P1641" s="2"/>
      <c r="Q1641" s="2"/>
      <c r="R1641" s="2"/>
      <c r="S1641" s="2"/>
      <c r="T1641" s="2"/>
      <c r="U1641" s="2"/>
      <c r="V1641" s="1"/>
      <c r="W1641" s="1"/>
    </row>
    <row r="1642" spans="5:23">
      <c r="E1642" s="1"/>
      <c r="F1642" s="1"/>
      <c r="G1642" s="1"/>
      <c r="H1642" s="26"/>
      <c r="I1642" s="26"/>
      <c r="J1642" s="26"/>
      <c r="K1642" s="26"/>
      <c r="L1642" s="6"/>
      <c r="M1642" s="6"/>
      <c r="N1642" s="1"/>
      <c r="O1642" s="2"/>
      <c r="P1642" s="2"/>
      <c r="Q1642" s="2"/>
      <c r="R1642" s="2"/>
      <c r="S1642" s="2"/>
      <c r="T1642" s="2"/>
      <c r="U1642" s="2"/>
      <c r="V1642" s="1"/>
      <c r="W1642" s="1"/>
    </row>
    <row r="1643" spans="5:23">
      <c r="E1643" s="1"/>
      <c r="F1643" s="1"/>
      <c r="G1643" s="1"/>
      <c r="H1643" s="26"/>
      <c r="I1643" s="26"/>
      <c r="J1643" s="26"/>
      <c r="K1643" s="26"/>
      <c r="L1643" s="6"/>
      <c r="M1643" s="6"/>
      <c r="N1643" s="1"/>
      <c r="O1643" s="2"/>
      <c r="P1643" s="2"/>
      <c r="Q1643" s="2"/>
      <c r="R1643" s="2"/>
      <c r="S1643" s="2"/>
      <c r="T1643" s="2"/>
      <c r="U1643" s="2"/>
      <c r="V1643" s="1"/>
      <c r="W1643" s="1"/>
    </row>
    <row r="1644" spans="5:23">
      <c r="E1644" s="1"/>
      <c r="F1644" s="1"/>
      <c r="G1644" s="1"/>
      <c r="H1644" s="26"/>
      <c r="I1644" s="26"/>
      <c r="J1644" s="26"/>
      <c r="K1644" s="26"/>
      <c r="L1644" s="6"/>
      <c r="M1644" s="6"/>
      <c r="N1644" s="1"/>
      <c r="O1644" s="2"/>
      <c r="P1644" s="2"/>
      <c r="Q1644" s="2"/>
      <c r="R1644" s="2"/>
      <c r="S1644" s="2"/>
      <c r="T1644" s="2"/>
      <c r="U1644" s="2"/>
      <c r="V1644" s="1"/>
      <c r="W1644" s="1"/>
    </row>
    <row r="1645" spans="5:23">
      <c r="E1645" s="1"/>
      <c r="F1645" s="1"/>
      <c r="G1645" s="1"/>
      <c r="H1645" s="26"/>
      <c r="I1645" s="26"/>
      <c r="J1645" s="26"/>
      <c r="K1645" s="26"/>
      <c r="L1645" s="6"/>
      <c r="M1645" s="6"/>
      <c r="N1645" s="1"/>
      <c r="O1645" s="2"/>
      <c r="P1645" s="2"/>
      <c r="Q1645" s="2"/>
      <c r="R1645" s="2"/>
      <c r="S1645" s="2"/>
      <c r="T1645" s="2"/>
      <c r="U1645" s="2"/>
      <c r="V1645" s="1"/>
      <c r="W1645" s="1"/>
    </row>
    <row r="1646" spans="5:23">
      <c r="E1646" s="1"/>
      <c r="F1646" s="1"/>
      <c r="G1646" s="1"/>
      <c r="H1646" s="26"/>
      <c r="I1646" s="26"/>
      <c r="J1646" s="26"/>
      <c r="K1646" s="26"/>
      <c r="L1646" s="6"/>
      <c r="M1646" s="6"/>
      <c r="N1646" s="1"/>
      <c r="O1646" s="2"/>
      <c r="P1646" s="2"/>
      <c r="Q1646" s="2"/>
      <c r="R1646" s="2"/>
      <c r="S1646" s="2"/>
      <c r="T1646" s="2"/>
      <c r="U1646" s="2"/>
      <c r="V1646" s="1"/>
      <c r="W1646" s="1"/>
    </row>
    <row r="1647" spans="5:23">
      <c r="E1647" s="1"/>
      <c r="F1647" s="1"/>
      <c r="G1647" s="1"/>
      <c r="H1647" s="26"/>
      <c r="I1647" s="26"/>
      <c r="J1647" s="26"/>
      <c r="K1647" s="26"/>
      <c r="L1647" s="6"/>
      <c r="M1647" s="6"/>
      <c r="N1647" s="1"/>
      <c r="O1647" s="2"/>
      <c r="P1647" s="2"/>
      <c r="Q1647" s="2"/>
      <c r="R1647" s="2"/>
      <c r="S1647" s="2"/>
      <c r="T1647" s="2"/>
      <c r="U1647" s="2"/>
      <c r="V1647" s="1"/>
      <c r="W1647" s="1"/>
    </row>
    <row r="1648" spans="5:23">
      <c r="E1648" s="1"/>
      <c r="F1648" s="1"/>
      <c r="G1648" s="1"/>
      <c r="H1648" s="26"/>
      <c r="I1648" s="26"/>
      <c r="J1648" s="26"/>
      <c r="K1648" s="26"/>
      <c r="L1648" s="6"/>
      <c r="M1648" s="6"/>
      <c r="N1648" s="1"/>
      <c r="O1648" s="2"/>
      <c r="P1648" s="2"/>
      <c r="Q1648" s="2"/>
      <c r="R1648" s="2"/>
      <c r="S1648" s="2"/>
      <c r="T1648" s="2"/>
      <c r="U1648" s="2"/>
      <c r="V1648" s="1"/>
      <c r="W1648" s="1"/>
    </row>
    <row r="1649" spans="5:23">
      <c r="E1649" s="1"/>
      <c r="F1649" s="1"/>
      <c r="G1649" s="1"/>
      <c r="H1649" s="26"/>
      <c r="I1649" s="26"/>
      <c r="J1649" s="26"/>
      <c r="K1649" s="26"/>
      <c r="L1649" s="6"/>
      <c r="M1649" s="6"/>
      <c r="N1649" s="1"/>
      <c r="O1649" s="2"/>
      <c r="P1649" s="2"/>
      <c r="Q1649" s="2"/>
      <c r="R1649" s="2"/>
      <c r="S1649" s="2"/>
      <c r="T1649" s="2"/>
      <c r="U1649" s="2"/>
      <c r="V1649" s="1"/>
      <c r="W1649" s="1"/>
    </row>
    <row r="1650" spans="5:23">
      <c r="E1650" s="1"/>
      <c r="F1650" s="1"/>
      <c r="G1650" s="1"/>
      <c r="H1650" s="26"/>
      <c r="I1650" s="26"/>
      <c r="J1650" s="26"/>
      <c r="K1650" s="26"/>
      <c r="L1650" s="6"/>
      <c r="M1650" s="6"/>
      <c r="N1650" s="1"/>
      <c r="O1650" s="2"/>
      <c r="P1650" s="2"/>
      <c r="Q1650" s="2"/>
      <c r="R1650" s="2"/>
      <c r="S1650" s="2"/>
      <c r="T1650" s="2"/>
      <c r="U1650" s="2"/>
      <c r="V1650" s="1"/>
      <c r="W1650" s="1"/>
    </row>
    <row r="1651" spans="5:23">
      <c r="E1651" s="1"/>
      <c r="F1651" s="1"/>
      <c r="G1651" s="1"/>
      <c r="H1651" s="26"/>
      <c r="I1651" s="26"/>
      <c r="J1651" s="26"/>
      <c r="K1651" s="26"/>
      <c r="L1651" s="6"/>
      <c r="M1651" s="6"/>
      <c r="N1651" s="1"/>
      <c r="O1651" s="2"/>
      <c r="P1651" s="2"/>
      <c r="Q1651" s="2"/>
      <c r="R1651" s="2"/>
      <c r="S1651" s="2"/>
      <c r="T1651" s="2"/>
      <c r="U1651" s="2"/>
      <c r="V1651" s="1"/>
      <c r="W1651" s="1"/>
    </row>
    <row r="1652" spans="5:23">
      <c r="E1652" s="1"/>
      <c r="F1652" s="1"/>
      <c r="G1652" s="1"/>
      <c r="H1652" s="26"/>
      <c r="I1652" s="26"/>
      <c r="J1652" s="26"/>
      <c r="K1652" s="26"/>
      <c r="L1652" s="6"/>
      <c r="M1652" s="6"/>
      <c r="N1652" s="1"/>
      <c r="O1652" s="2"/>
      <c r="P1652" s="2"/>
      <c r="Q1652" s="2"/>
      <c r="R1652" s="2"/>
      <c r="S1652" s="2"/>
      <c r="T1652" s="2"/>
      <c r="U1652" s="2"/>
      <c r="V1652" s="1"/>
      <c r="W1652" s="1"/>
    </row>
    <row r="1653" spans="5:23">
      <c r="E1653" s="1"/>
      <c r="F1653" s="1"/>
      <c r="G1653" s="1"/>
      <c r="H1653" s="26"/>
      <c r="I1653" s="26"/>
      <c r="J1653" s="26"/>
      <c r="K1653" s="26"/>
      <c r="L1653" s="6"/>
      <c r="M1653" s="6"/>
      <c r="N1653" s="1"/>
      <c r="O1653" s="2"/>
      <c r="P1653" s="2"/>
      <c r="Q1653" s="2"/>
      <c r="R1653" s="2"/>
      <c r="S1653" s="2"/>
      <c r="T1653" s="2"/>
      <c r="U1653" s="2"/>
      <c r="V1653" s="1"/>
      <c r="W1653" s="1"/>
    </row>
    <row r="1654" spans="5:23">
      <c r="E1654" s="1"/>
      <c r="F1654" s="1"/>
      <c r="G1654" s="1"/>
      <c r="H1654" s="26"/>
      <c r="I1654" s="26"/>
      <c r="J1654" s="26"/>
      <c r="K1654" s="26"/>
      <c r="L1654" s="6"/>
      <c r="M1654" s="6"/>
      <c r="N1654" s="1"/>
      <c r="O1654" s="2"/>
      <c r="P1654" s="2"/>
      <c r="Q1654" s="2"/>
      <c r="R1654" s="2"/>
      <c r="S1654" s="2"/>
      <c r="T1654" s="2"/>
      <c r="U1654" s="2"/>
      <c r="V1654" s="1"/>
      <c r="W1654" s="1"/>
    </row>
    <row r="1655" spans="5:23">
      <c r="E1655" s="1"/>
      <c r="F1655" s="1"/>
      <c r="G1655" s="1"/>
      <c r="H1655" s="26"/>
      <c r="I1655" s="26"/>
      <c r="J1655" s="26"/>
      <c r="K1655" s="26"/>
      <c r="L1655" s="6"/>
      <c r="M1655" s="6"/>
      <c r="N1655" s="1"/>
      <c r="O1655" s="2"/>
      <c r="P1655" s="2"/>
      <c r="Q1655" s="2"/>
      <c r="R1655" s="2"/>
      <c r="S1655" s="2"/>
      <c r="T1655" s="2"/>
      <c r="U1655" s="2"/>
      <c r="V1655" s="1"/>
      <c r="W1655" s="1"/>
    </row>
    <row r="1656" spans="5:23">
      <c r="E1656" s="1"/>
      <c r="F1656" s="1"/>
      <c r="G1656" s="1"/>
      <c r="H1656" s="26"/>
      <c r="I1656" s="26"/>
      <c r="J1656" s="26"/>
      <c r="K1656" s="26"/>
      <c r="L1656" s="6"/>
      <c r="M1656" s="6"/>
      <c r="N1656" s="1"/>
      <c r="O1656" s="2"/>
      <c r="P1656" s="2"/>
      <c r="Q1656" s="2"/>
      <c r="R1656" s="2"/>
      <c r="S1656" s="2"/>
      <c r="T1656" s="2"/>
      <c r="U1656" s="2"/>
      <c r="V1656" s="1"/>
      <c r="W1656" s="1"/>
    </row>
    <row r="1657" spans="5:23">
      <c r="E1657" s="1"/>
      <c r="F1657" s="1"/>
      <c r="G1657" s="1"/>
      <c r="H1657" s="26"/>
      <c r="I1657" s="26"/>
      <c r="J1657" s="26"/>
      <c r="K1657" s="26"/>
      <c r="L1657" s="6"/>
      <c r="M1657" s="6"/>
      <c r="N1657" s="1"/>
      <c r="O1657" s="2"/>
      <c r="P1657" s="2"/>
      <c r="Q1657" s="2"/>
      <c r="R1657" s="2"/>
      <c r="S1657" s="2"/>
      <c r="T1657" s="2"/>
      <c r="U1657" s="2"/>
      <c r="V1657" s="1"/>
      <c r="W1657" s="1"/>
    </row>
    <row r="1658" spans="5:23">
      <c r="E1658" s="1"/>
      <c r="F1658" s="1"/>
      <c r="G1658" s="1"/>
      <c r="H1658" s="26"/>
      <c r="I1658" s="26"/>
      <c r="J1658" s="26"/>
      <c r="K1658" s="26"/>
      <c r="L1658" s="6"/>
      <c r="M1658" s="6"/>
      <c r="N1658" s="1"/>
      <c r="O1658" s="2"/>
      <c r="P1658" s="2"/>
      <c r="Q1658" s="2"/>
      <c r="R1658" s="2"/>
      <c r="S1658" s="2"/>
      <c r="T1658" s="2"/>
      <c r="U1658" s="2"/>
      <c r="V1658" s="1"/>
      <c r="W1658" s="1"/>
    </row>
    <row r="1659" spans="5:23">
      <c r="E1659" s="1"/>
      <c r="F1659" s="1"/>
      <c r="G1659" s="1"/>
      <c r="H1659" s="26"/>
      <c r="I1659" s="26"/>
      <c r="J1659" s="26"/>
      <c r="K1659" s="26"/>
      <c r="L1659" s="6"/>
      <c r="M1659" s="6"/>
      <c r="N1659" s="1"/>
      <c r="O1659" s="2"/>
      <c r="P1659" s="2"/>
      <c r="Q1659" s="2"/>
      <c r="R1659" s="2"/>
      <c r="S1659" s="2"/>
      <c r="T1659" s="2"/>
      <c r="U1659" s="2"/>
      <c r="V1659" s="1"/>
      <c r="W1659" s="1"/>
    </row>
    <row r="1660" spans="5:23">
      <c r="E1660" s="1"/>
      <c r="F1660" s="1"/>
      <c r="G1660" s="1"/>
      <c r="H1660" s="26"/>
      <c r="I1660" s="26"/>
      <c r="J1660" s="26"/>
      <c r="K1660" s="26"/>
      <c r="L1660" s="6"/>
      <c r="M1660" s="6"/>
      <c r="N1660" s="1"/>
      <c r="O1660" s="2"/>
      <c r="P1660" s="2"/>
      <c r="Q1660" s="2"/>
      <c r="R1660" s="2"/>
      <c r="S1660" s="2"/>
      <c r="T1660" s="2"/>
      <c r="U1660" s="2"/>
      <c r="V1660" s="1"/>
      <c r="W1660" s="1"/>
    </row>
    <row r="1661" spans="5:23">
      <c r="E1661" s="1"/>
      <c r="F1661" s="1"/>
      <c r="G1661" s="1"/>
      <c r="H1661" s="26"/>
      <c r="I1661" s="26"/>
      <c r="J1661" s="26"/>
      <c r="K1661" s="26"/>
      <c r="L1661" s="6"/>
      <c r="M1661" s="6"/>
      <c r="N1661" s="1"/>
      <c r="O1661" s="2"/>
      <c r="P1661" s="2"/>
      <c r="Q1661" s="2"/>
      <c r="R1661" s="2"/>
      <c r="S1661" s="2"/>
      <c r="T1661" s="2"/>
      <c r="U1661" s="2"/>
      <c r="V1661" s="1"/>
      <c r="W1661" s="1"/>
    </row>
    <row r="1662" spans="5:23">
      <c r="E1662" s="1"/>
      <c r="F1662" s="1"/>
      <c r="G1662" s="1"/>
      <c r="H1662" s="26"/>
      <c r="I1662" s="26"/>
      <c r="J1662" s="26"/>
      <c r="K1662" s="26"/>
      <c r="L1662" s="6"/>
      <c r="M1662" s="6"/>
      <c r="N1662" s="1"/>
      <c r="O1662" s="2"/>
      <c r="P1662" s="2"/>
      <c r="Q1662" s="2"/>
      <c r="R1662" s="2"/>
      <c r="S1662" s="2"/>
      <c r="T1662" s="2"/>
      <c r="U1662" s="2"/>
      <c r="V1662" s="1"/>
      <c r="W1662" s="1"/>
    </row>
    <row r="1663" spans="5:23">
      <c r="E1663" s="1"/>
      <c r="F1663" s="1"/>
      <c r="G1663" s="1"/>
      <c r="H1663" s="26"/>
      <c r="I1663" s="26"/>
      <c r="J1663" s="26"/>
      <c r="K1663" s="26"/>
      <c r="L1663" s="6"/>
      <c r="M1663" s="6"/>
      <c r="N1663" s="1"/>
      <c r="O1663" s="2"/>
      <c r="P1663" s="2"/>
      <c r="Q1663" s="2"/>
      <c r="R1663" s="2"/>
      <c r="S1663" s="2"/>
      <c r="T1663" s="2"/>
      <c r="U1663" s="2"/>
      <c r="V1663" s="1"/>
      <c r="W1663" s="1"/>
    </row>
    <row r="1664" spans="5:23">
      <c r="E1664" s="1"/>
      <c r="F1664" s="1"/>
      <c r="G1664" s="1"/>
      <c r="H1664" s="26"/>
      <c r="I1664" s="26"/>
      <c r="J1664" s="26"/>
      <c r="K1664" s="26"/>
      <c r="L1664" s="6"/>
      <c r="M1664" s="6"/>
      <c r="N1664" s="1"/>
      <c r="O1664" s="2"/>
      <c r="P1664" s="2"/>
      <c r="Q1664" s="2"/>
      <c r="R1664" s="2"/>
      <c r="S1664" s="2"/>
      <c r="T1664" s="2"/>
      <c r="U1664" s="2"/>
      <c r="V1664" s="1"/>
      <c r="W1664" s="1"/>
    </row>
    <row r="1665" spans="5:23">
      <c r="E1665" s="1"/>
      <c r="F1665" s="1"/>
      <c r="G1665" s="1"/>
      <c r="H1665" s="26"/>
      <c r="I1665" s="26"/>
      <c r="J1665" s="26"/>
      <c r="K1665" s="26"/>
      <c r="L1665" s="6"/>
      <c r="M1665" s="6"/>
      <c r="N1665" s="1"/>
      <c r="O1665" s="2"/>
      <c r="P1665" s="2"/>
      <c r="Q1665" s="2"/>
      <c r="R1665" s="2"/>
      <c r="S1665" s="2"/>
      <c r="T1665" s="2"/>
      <c r="U1665" s="2"/>
      <c r="V1665" s="1"/>
      <c r="W1665" s="1"/>
    </row>
    <row r="1666" spans="5:23">
      <c r="E1666" s="1"/>
      <c r="F1666" s="1"/>
      <c r="G1666" s="1"/>
      <c r="H1666" s="26"/>
      <c r="I1666" s="26"/>
      <c r="J1666" s="26"/>
      <c r="K1666" s="26"/>
      <c r="L1666" s="6"/>
      <c r="M1666" s="6"/>
      <c r="N1666" s="1"/>
      <c r="O1666" s="2"/>
      <c r="P1666" s="2"/>
      <c r="Q1666" s="2"/>
      <c r="R1666" s="2"/>
      <c r="S1666" s="2"/>
      <c r="T1666" s="2"/>
      <c r="U1666" s="2"/>
      <c r="V1666" s="1"/>
      <c r="W1666" s="1"/>
    </row>
    <row r="1667" spans="5:23">
      <c r="E1667" s="1"/>
      <c r="F1667" s="1"/>
      <c r="G1667" s="1"/>
      <c r="H1667" s="26"/>
      <c r="I1667" s="26"/>
      <c r="J1667" s="26"/>
      <c r="K1667" s="26"/>
      <c r="L1667" s="6"/>
      <c r="M1667" s="6"/>
      <c r="N1667" s="1"/>
      <c r="O1667" s="2"/>
      <c r="P1667" s="2"/>
      <c r="Q1667" s="2"/>
      <c r="R1667" s="2"/>
      <c r="S1667" s="2"/>
      <c r="T1667" s="2"/>
      <c r="U1667" s="2"/>
      <c r="V1667" s="1"/>
      <c r="W1667" s="1"/>
    </row>
    <row r="1668" spans="5:23">
      <c r="E1668" s="1"/>
      <c r="F1668" s="1"/>
      <c r="G1668" s="1"/>
      <c r="H1668" s="26"/>
      <c r="I1668" s="26"/>
      <c r="J1668" s="26"/>
      <c r="K1668" s="26"/>
      <c r="L1668" s="6"/>
      <c r="M1668" s="6"/>
      <c r="N1668" s="1"/>
      <c r="O1668" s="2"/>
      <c r="P1668" s="2"/>
      <c r="Q1668" s="2"/>
      <c r="R1668" s="2"/>
      <c r="S1668" s="2"/>
      <c r="T1668" s="2"/>
      <c r="U1668" s="2"/>
      <c r="V1668" s="1"/>
      <c r="W1668" s="1"/>
    </row>
    <row r="1669" spans="5:23">
      <c r="E1669" s="1"/>
      <c r="F1669" s="1"/>
      <c r="G1669" s="1"/>
      <c r="H1669" s="26"/>
      <c r="I1669" s="26"/>
      <c r="J1669" s="26"/>
      <c r="K1669" s="26"/>
      <c r="L1669" s="6"/>
      <c r="M1669" s="6"/>
      <c r="N1669" s="1"/>
      <c r="O1669" s="2"/>
      <c r="P1669" s="2"/>
      <c r="Q1669" s="2"/>
      <c r="R1669" s="2"/>
      <c r="S1669" s="2"/>
      <c r="T1669" s="2"/>
      <c r="U1669" s="2"/>
      <c r="V1669" s="1"/>
      <c r="W1669" s="1"/>
    </row>
    <row r="1670" spans="5:23">
      <c r="E1670" s="1"/>
      <c r="F1670" s="1"/>
      <c r="G1670" s="1"/>
      <c r="H1670" s="26"/>
      <c r="I1670" s="26"/>
      <c r="J1670" s="26"/>
      <c r="K1670" s="26"/>
      <c r="L1670" s="6"/>
      <c r="M1670" s="6"/>
      <c r="N1670" s="1"/>
      <c r="O1670" s="2"/>
      <c r="P1670" s="2"/>
      <c r="Q1670" s="2"/>
      <c r="R1670" s="2"/>
      <c r="S1670" s="2"/>
      <c r="T1670" s="2"/>
      <c r="U1670" s="2"/>
      <c r="V1670" s="1"/>
      <c r="W1670" s="1"/>
    </row>
    <row r="1671" spans="5:23">
      <c r="E1671" s="1"/>
      <c r="F1671" s="1"/>
      <c r="G1671" s="1"/>
      <c r="H1671" s="26"/>
      <c r="I1671" s="26"/>
      <c r="J1671" s="26"/>
      <c r="K1671" s="26"/>
      <c r="L1671" s="6"/>
      <c r="M1671" s="6"/>
      <c r="N1671" s="1"/>
      <c r="O1671" s="2"/>
      <c r="P1671" s="2"/>
      <c r="Q1671" s="2"/>
      <c r="R1671" s="2"/>
      <c r="S1671" s="2"/>
      <c r="T1671" s="2"/>
      <c r="U1671" s="2"/>
      <c r="V1671" s="1"/>
      <c r="W1671" s="1"/>
    </row>
    <row r="1672" spans="5:23">
      <c r="E1672" s="1"/>
      <c r="F1672" s="1"/>
      <c r="G1672" s="1"/>
      <c r="H1672" s="26"/>
      <c r="I1672" s="26"/>
      <c r="J1672" s="26"/>
      <c r="K1672" s="26"/>
      <c r="L1672" s="6"/>
      <c r="M1672" s="6"/>
      <c r="N1672" s="1"/>
      <c r="O1672" s="2"/>
      <c r="P1672" s="2"/>
      <c r="Q1672" s="2"/>
      <c r="R1672" s="2"/>
      <c r="S1672" s="2"/>
      <c r="T1672" s="2"/>
      <c r="U1672" s="2"/>
      <c r="V1672" s="1"/>
      <c r="W1672" s="1"/>
    </row>
    <row r="1673" spans="5:23">
      <c r="E1673" s="1"/>
      <c r="F1673" s="1"/>
      <c r="G1673" s="1"/>
      <c r="H1673" s="26"/>
      <c r="I1673" s="26"/>
      <c r="J1673" s="26"/>
      <c r="K1673" s="26"/>
      <c r="L1673" s="6"/>
      <c r="M1673" s="6"/>
      <c r="N1673" s="1"/>
      <c r="O1673" s="2"/>
      <c r="P1673" s="2"/>
      <c r="Q1673" s="2"/>
      <c r="R1673" s="2"/>
      <c r="S1673" s="2"/>
      <c r="T1673" s="2"/>
      <c r="U1673" s="2"/>
      <c r="V1673" s="1"/>
      <c r="W1673" s="1"/>
    </row>
    <row r="1674" spans="5:23">
      <c r="E1674" s="1"/>
      <c r="F1674" s="1"/>
      <c r="G1674" s="1"/>
      <c r="H1674" s="26"/>
      <c r="I1674" s="26"/>
      <c r="J1674" s="26"/>
      <c r="K1674" s="26"/>
      <c r="L1674" s="6"/>
      <c r="M1674" s="6"/>
      <c r="N1674" s="1"/>
      <c r="O1674" s="2"/>
      <c r="P1674" s="2"/>
      <c r="Q1674" s="2"/>
      <c r="R1674" s="2"/>
      <c r="S1674" s="2"/>
      <c r="T1674" s="2"/>
      <c r="U1674" s="2"/>
      <c r="V1674" s="1"/>
      <c r="W1674" s="1"/>
    </row>
    <row r="1675" spans="5:23">
      <c r="E1675" s="1"/>
      <c r="F1675" s="1"/>
      <c r="G1675" s="1"/>
      <c r="H1675" s="26"/>
      <c r="I1675" s="26"/>
      <c r="J1675" s="26"/>
      <c r="K1675" s="26"/>
      <c r="L1675" s="6"/>
      <c r="M1675" s="6"/>
      <c r="N1675" s="1"/>
      <c r="O1675" s="2"/>
      <c r="P1675" s="2"/>
      <c r="Q1675" s="2"/>
      <c r="R1675" s="2"/>
      <c r="S1675" s="2"/>
      <c r="T1675" s="2"/>
      <c r="U1675" s="2"/>
      <c r="V1675" s="1"/>
      <c r="W1675" s="1"/>
    </row>
    <row r="1676" spans="5:23">
      <c r="E1676" s="1"/>
      <c r="F1676" s="1"/>
      <c r="G1676" s="1"/>
      <c r="H1676" s="26"/>
      <c r="I1676" s="26"/>
      <c r="J1676" s="26"/>
      <c r="K1676" s="26"/>
      <c r="L1676" s="6"/>
      <c r="M1676" s="6"/>
      <c r="N1676" s="1"/>
      <c r="O1676" s="2"/>
      <c r="P1676" s="2"/>
      <c r="Q1676" s="2"/>
      <c r="R1676" s="2"/>
      <c r="S1676" s="2"/>
      <c r="T1676" s="2"/>
      <c r="U1676" s="2"/>
      <c r="V1676" s="1"/>
      <c r="W1676" s="1"/>
    </row>
    <row r="1677" spans="5:23">
      <c r="E1677" s="1"/>
      <c r="F1677" s="1"/>
      <c r="G1677" s="1"/>
      <c r="H1677" s="26"/>
      <c r="I1677" s="26"/>
      <c r="J1677" s="26"/>
      <c r="K1677" s="26"/>
      <c r="L1677" s="6"/>
      <c r="M1677" s="6"/>
      <c r="N1677" s="1"/>
      <c r="O1677" s="2"/>
      <c r="P1677" s="2"/>
      <c r="Q1677" s="2"/>
      <c r="R1677" s="2"/>
      <c r="S1677" s="2"/>
      <c r="T1677" s="2"/>
      <c r="U1677" s="2"/>
      <c r="V1677" s="1"/>
      <c r="W1677" s="1"/>
    </row>
    <row r="1678" spans="5:23">
      <c r="E1678" s="1"/>
      <c r="F1678" s="1"/>
      <c r="G1678" s="1"/>
      <c r="H1678" s="26"/>
      <c r="I1678" s="26"/>
      <c r="J1678" s="26"/>
      <c r="K1678" s="26"/>
      <c r="L1678" s="6"/>
      <c r="M1678" s="6"/>
      <c r="N1678" s="1"/>
      <c r="O1678" s="2"/>
      <c r="P1678" s="2"/>
      <c r="Q1678" s="2"/>
      <c r="R1678" s="2"/>
      <c r="S1678" s="2"/>
      <c r="T1678" s="2"/>
      <c r="U1678" s="2"/>
      <c r="V1678" s="1"/>
      <c r="W1678" s="1"/>
    </row>
    <row r="1679" spans="5:23">
      <c r="E1679" s="1"/>
      <c r="F1679" s="1"/>
      <c r="G1679" s="1"/>
      <c r="H1679" s="26"/>
      <c r="I1679" s="26"/>
      <c r="J1679" s="26"/>
      <c r="K1679" s="26"/>
      <c r="L1679" s="6"/>
      <c r="M1679" s="6"/>
      <c r="N1679" s="1"/>
      <c r="O1679" s="2"/>
      <c r="P1679" s="2"/>
      <c r="Q1679" s="2"/>
      <c r="R1679" s="2"/>
      <c r="S1679" s="2"/>
      <c r="T1679" s="2"/>
      <c r="U1679" s="2"/>
      <c r="V1679" s="1"/>
      <c r="W1679" s="1"/>
    </row>
    <row r="1680" spans="5:23">
      <c r="E1680" s="1"/>
      <c r="F1680" s="1"/>
      <c r="G1680" s="1"/>
      <c r="H1680" s="26"/>
      <c r="I1680" s="26"/>
      <c r="J1680" s="26"/>
      <c r="K1680" s="26"/>
      <c r="L1680" s="6"/>
      <c r="M1680" s="6"/>
      <c r="N1680" s="1"/>
      <c r="O1680" s="2"/>
      <c r="P1680" s="2"/>
      <c r="Q1680" s="2"/>
      <c r="R1680" s="2"/>
      <c r="S1680" s="2"/>
      <c r="T1680" s="2"/>
      <c r="U1680" s="2"/>
      <c r="V1680" s="1"/>
      <c r="W1680" s="1"/>
    </row>
    <row r="1681" spans="5:23">
      <c r="E1681" s="1"/>
      <c r="F1681" s="1"/>
      <c r="G1681" s="1"/>
      <c r="H1681" s="26"/>
      <c r="I1681" s="26"/>
      <c r="J1681" s="26"/>
      <c r="K1681" s="26"/>
      <c r="L1681" s="6"/>
      <c r="M1681" s="6"/>
      <c r="N1681" s="1"/>
      <c r="O1681" s="2"/>
      <c r="P1681" s="2"/>
      <c r="Q1681" s="2"/>
      <c r="R1681" s="2"/>
      <c r="S1681" s="2"/>
      <c r="T1681" s="2"/>
      <c r="U1681" s="2"/>
      <c r="V1681" s="1"/>
      <c r="W1681" s="1"/>
    </row>
    <row r="1682" spans="5:23">
      <c r="E1682" s="1"/>
      <c r="F1682" s="1"/>
      <c r="G1682" s="1"/>
      <c r="H1682" s="26"/>
      <c r="I1682" s="26"/>
      <c r="J1682" s="26"/>
      <c r="K1682" s="26"/>
      <c r="L1682" s="6"/>
      <c r="M1682" s="6"/>
      <c r="N1682" s="1"/>
      <c r="O1682" s="2"/>
      <c r="P1682" s="2"/>
      <c r="Q1682" s="2"/>
      <c r="R1682" s="2"/>
      <c r="S1682" s="2"/>
      <c r="T1682" s="2"/>
      <c r="U1682" s="2"/>
      <c r="V1682" s="1"/>
      <c r="W1682" s="1"/>
    </row>
    <row r="1683" spans="5:23">
      <c r="E1683" s="1"/>
      <c r="F1683" s="1"/>
      <c r="G1683" s="1"/>
      <c r="H1683" s="26"/>
      <c r="I1683" s="26"/>
      <c r="J1683" s="26"/>
      <c r="K1683" s="26"/>
      <c r="L1683" s="6"/>
      <c r="M1683" s="6"/>
      <c r="N1683" s="1"/>
      <c r="O1683" s="2"/>
      <c r="P1683" s="2"/>
      <c r="Q1683" s="2"/>
      <c r="R1683" s="2"/>
      <c r="S1683" s="2"/>
      <c r="T1683" s="2"/>
      <c r="U1683" s="2"/>
      <c r="V1683" s="1"/>
      <c r="W1683" s="1"/>
    </row>
    <row r="1684" spans="5:23">
      <c r="E1684" s="1"/>
      <c r="F1684" s="1"/>
      <c r="G1684" s="1"/>
      <c r="H1684" s="26"/>
      <c r="I1684" s="26"/>
      <c r="J1684" s="26"/>
      <c r="K1684" s="26"/>
      <c r="L1684" s="6"/>
      <c r="M1684" s="6"/>
      <c r="N1684" s="1"/>
      <c r="O1684" s="2"/>
      <c r="P1684" s="2"/>
      <c r="Q1684" s="2"/>
      <c r="R1684" s="2"/>
      <c r="S1684" s="2"/>
      <c r="T1684" s="2"/>
      <c r="U1684" s="2"/>
      <c r="V1684" s="1"/>
      <c r="W1684" s="1"/>
    </row>
    <row r="1685" spans="5:23">
      <c r="E1685" s="1"/>
      <c r="F1685" s="1"/>
      <c r="G1685" s="1"/>
      <c r="H1685" s="26"/>
      <c r="I1685" s="26"/>
      <c r="J1685" s="26"/>
      <c r="K1685" s="26"/>
      <c r="L1685" s="6"/>
      <c r="M1685" s="6"/>
      <c r="N1685" s="1"/>
      <c r="O1685" s="2"/>
      <c r="P1685" s="2"/>
      <c r="Q1685" s="2"/>
      <c r="R1685" s="2"/>
      <c r="S1685" s="2"/>
      <c r="T1685" s="2"/>
      <c r="U1685" s="2"/>
      <c r="V1685" s="1"/>
      <c r="W1685" s="1"/>
    </row>
    <row r="1686" spans="5:23">
      <c r="E1686" s="1"/>
      <c r="F1686" s="1"/>
      <c r="G1686" s="1"/>
      <c r="H1686" s="26"/>
      <c r="I1686" s="26"/>
      <c r="J1686" s="26"/>
      <c r="K1686" s="26"/>
      <c r="L1686" s="6"/>
      <c r="M1686" s="6"/>
      <c r="N1686" s="1"/>
      <c r="O1686" s="2"/>
      <c r="P1686" s="2"/>
      <c r="Q1686" s="2"/>
      <c r="R1686" s="2"/>
      <c r="S1686" s="2"/>
      <c r="T1686" s="2"/>
      <c r="U1686" s="2"/>
      <c r="V1686" s="1"/>
      <c r="W1686" s="1"/>
    </row>
    <row r="1687" spans="5:23">
      <c r="E1687" s="1"/>
      <c r="F1687" s="1"/>
      <c r="G1687" s="1"/>
      <c r="H1687" s="26"/>
      <c r="I1687" s="26"/>
      <c r="J1687" s="26"/>
      <c r="K1687" s="26"/>
      <c r="L1687" s="6"/>
      <c r="M1687" s="6"/>
      <c r="N1687" s="1"/>
      <c r="O1687" s="2"/>
      <c r="P1687" s="2"/>
      <c r="Q1687" s="2"/>
      <c r="R1687" s="2"/>
      <c r="S1687" s="2"/>
      <c r="T1687" s="2"/>
      <c r="U1687" s="2"/>
      <c r="V1687" s="1"/>
      <c r="W1687" s="1"/>
    </row>
    <row r="1688" spans="5:23">
      <c r="E1688" s="1"/>
      <c r="F1688" s="1"/>
      <c r="G1688" s="1"/>
      <c r="H1688" s="26"/>
      <c r="I1688" s="26"/>
      <c r="J1688" s="26"/>
      <c r="K1688" s="26"/>
      <c r="L1688" s="6"/>
      <c r="M1688" s="6"/>
      <c r="N1688" s="1"/>
      <c r="O1688" s="2"/>
      <c r="P1688" s="2"/>
      <c r="Q1688" s="2"/>
      <c r="R1688" s="2"/>
      <c r="S1688" s="2"/>
      <c r="T1688" s="2"/>
      <c r="U1688" s="2"/>
      <c r="V1688" s="1"/>
      <c r="W1688" s="1"/>
    </row>
    <row r="1689" spans="5:23">
      <c r="E1689" s="1"/>
      <c r="F1689" s="1"/>
      <c r="G1689" s="1"/>
      <c r="H1689" s="26"/>
      <c r="I1689" s="26"/>
      <c r="J1689" s="26"/>
      <c r="K1689" s="26"/>
      <c r="L1689" s="6"/>
      <c r="M1689" s="6"/>
      <c r="N1689" s="1"/>
      <c r="O1689" s="2"/>
      <c r="P1689" s="2"/>
      <c r="Q1689" s="2"/>
      <c r="R1689" s="2"/>
      <c r="S1689" s="2"/>
      <c r="T1689" s="2"/>
      <c r="U1689" s="2"/>
      <c r="V1689" s="1"/>
      <c r="W1689" s="1"/>
    </row>
    <row r="1690" spans="5:23">
      <c r="E1690" s="1"/>
      <c r="F1690" s="1"/>
      <c r="G1690" s="1"/>
      <c r="H1690" s="26"/>
      <c r="I1690" s="26"/>
      <c r="J1690" s="26"/>
      <c r="K1690" s="26"/>
      <c r="L1690" s="6"/>
      <c r="M1690" s="6"/>
      <c r="N1690" s="1"/>
      <c r="O1690" s="2"/>
      <c r="P1690" s="2"/>
      <c r="Q1690" s="2"/>
      <c r="R1690" s="2"/>
      <c r="S1690" s="2"/>
      <c r="T1690" s="2"/>
      <c r="U1690" s="2"/>
      <c r="V1690" s="1"/>
      <c r="W1690" s="1"/>
    </row>
    <row r="1691" spans="5:23">
      <c r="E1691" s="1"/>
      <c r="F1691" s="1"/>
      <c r="G1691" s="1"/>
      <c r="H1691" s="26"/>
      <c r="I1691" s="26"/>
      <c r="J1691" s="26"/>
      <c r="K1691" s="26"/>
      <c r="L1691" s="6"/>
      <c r="M1691" s="6"/>
      <c r="N1691" s="1"/>
      <c r="O1691" s="2"/>
      <c r="P1691" s="2"/>
      <c r="Q1691" s="2"/>
      <c r="R1691" s="2"/>
      <c r="S1691" s="2"/>
      <c r="T1691" s="2"/>
      <c r="U1691" s="2"/>
      <c r="V1691" s="1"/>
      <c r="W1691" s="1"/>
    </row>
    <row r="1692" spans="5:23">
      <c r="E1692" s="1"/>
      <c r="F1692" s="1"/>
      <c r="G1692" s="1"/>
      <c r="H1692" s="26"/>
      <c r="I1692" s="26"/>
      <c r="J1692" s="26"/>
      <c r="K1692" s="26"/>
      <c r="L1692" s="6"/>
      <c r="M1692" s="6"/>
      <c r="N1692" s="1"/>
      <c r="O1692" s="2"/>
      <c r="P1692" s="2"/>
      <c r="Q1692" s="2"/>
      <c r="R1692" s="2"/>
      <c r="S1692" s="2"/>
      <c r="T1692" s="2"/>
      <c r="U1692" s="2"/>
      <c r="V1692" s="1"/>
      <c r="W1692" s="1"/>
    </row>
    <row r="1693" spans="5:23">
      <c r="E1693" s="1"/>
      <c r="F1693" s="1"/>
      <c r="G1693" s="1"/>
      <c r="H1693" s="26"/>
      <c r="I1693" s="26"/>
      <c r="J1693" s="26"/>
      <c r="K1693" s="26"/>
      <c r="L1693" s="6"/>
      <c r="M1693" s="6"/>
      <c r="N1693" s="1"/>
      <c r="O1693" s="2"/>
      <c r="P1693" s="2"/>
      <c r="Q1693" s="2"/>
      <c r="R1693" s="2"/>
      <c r="S1693" s="2"/>
      <c r="T1693" s="2"/>
      <c r="U1693" s="2"/>
      <c r="V1693" s="1"/>
      <c r="W1693" s="1"/>
    </row>
    <row r="1694" spans="5:23">
      <c r="E1694" s="1"/>
      <c r="F1694" s="1"/>
      <c r="G1694" s="1"/>
      <c r="H1694" s="26"/>
      <c r="I1694" s="26"/>
      <c r="J1694" s="26"/>
      <c r="K1694" s="26"/>
      <c r="L1694" s="6"/>
      <c r="M1694" s="6"/>
      <c r="N1694" s="1"/>
      <c r="O1694" s="2"/>
      <c r="P1694" s="2"/>
      <c r="Q1694" s="2"/>
      <c r="R1694" s="2"/>
      <c r="S1694" s="2"/>
      <c r="T1694" s="2"/>
      <c r="U1694" s="2"/>
      <c r="V1694" s="1"/>
      <c r="W1694" s="1"/>
    </row>
    <row r="1695" spans="5:23">
      <c r="E1695" s="1"/>
      <c r="F1695" s="1"/>
      <c r="G1695" s="1"/>
      <c r="H1695" s="26"/>
      <c r="I1695" s="26"/>
      <c r="J1695" s="26"/>
      <c r="K1695" s="26"/>
      <c r="L1695" s="6"/>
      <c r="M1695" s="6"/>
      <c r="N1695" s="1"/>
      <c r="O1695" s="2"/>
      <c r="P1695" s="2"/>
      <c r="Q1695" s="2"/>
      <c r="R1695" s="2"/>
      <c r="S1695" s="2"/>
      <c r="T1695" s="2"/>
      <c r="U1695" s="2"/>
      <c r="V1695" s="1"/>
      <c r="W1695" s="1"/>
    </row>
    <row r="1696" spans="5:23">
      <c r="E1696" s="1"/>
      <c r="F1696" s="1"/>
      <c r="G1696" s="1"/>
      <c r="H1696" s="26"/>
      <c r="I1696" s="26"/>
      <c r="J1696" s="26"/>
      <c r="K1696" s="26"/>
      <c r="L1696" s="6"/>
      <c r="M1696" s="6"/>
      <c r="N1696" s="1"/>
      <c r="O1696" s="2"/>
      <c r="P1696" s="2"/>
      <c r="Q1696" s="2"/>
      <c r="R1696" s="2"/>
      <c r="S1696" s="2"/>
      <c r="T1696" s="2"/>
      <c r="U1696" s="2"/>
      <c r="V1696" s="1"/>
      <c r="W1696" s="1"/>
    </row>
    <row r="1697" spans="5:23">
      <c r="E1697" s="1"/>
      <c r="F1697" s="1"/>
      <c r="G1697" s="1"/>
      <c r="H1697" s="26"/>
      <c r="I1697" s="26"/>
      <c r="J1697" s="26"/>
      <c r="K1697" s="26"/>
      <c r="L1697" s="6"/>
      <c r="M1697" s="6"/>
      <c r="N1697" s="1"/>
      <c r="O1697" s="2"/>
      <c r="P1697" s="2"/>
      <c r="Q1697" s="2"/>
      <c r="R1697" s="2"/>
      <c r="S1697" s="2"/>
      <c r="T1697" s="2"/>
      <c r="U1697" s="2"/>
      <c r="V1697" s="1"/>
      <c r="W1697" s="1"/>
    </row>
    <row r="1698" spans="5:23">
      <c r="E1698" s="1"/>
      <c r="F1698" s="1"/>
      <c r="G1698" s="1"/>
      <c r="H1698" s="26"/>
      <c r="I1698" s="26"/>
      <c r="J1698" s="26"/>
      <c r="K1698" s="26"/>
      <c r="L1698" s="6"/>
      <c r="M1698" s="6"/>
      <c r="N1698" s="1"/>
      <c r="O1698" s="2"/>
      <c r="P1698" s="2"/>
      <c r="Q1698" s="2"/>
      <c r="R1698" s="2"/>
      <c r="S1698" s="2"/>
      <c r="T1698" s="2"/>
      <c r="U1698" s="2"/>
      <c r="V1698" s="1"/>
      <c r="W1698" s="1"/>
    </row>
    <row r="1699" spans="5:23">
      <c r="E1699" s="1"/>
      <c r="F1699" s="1"/>
      <c r="G1699" s="1"/>
      <c r="H1699" s="26"/>
      <c r="I1699" s="26"/>
      <c r="J1699" s="26"/>
      <c r="K1699" s="26"/>
      <c r="L1699" s="6"/>
      <c r="M1699" s="6"/>
      <c r="N1699" s="1"/>
      <c r="O1699" s="2"/>
      <c r="P1699" s="2"/>
      <c r="Q1699" s="2"/>
      <c r="R1699" s="2"/>
      <c r="S1699" s="2"/>
      <c r="T1699" s="2"/>
      <c r="U1699" s="2"/>
      <c r="V1699" s="1"/>
      <c r="W1699" s="1"/>
    </row>
    <row r="1700" spans="5:23">
      <c r="E1700" s="1"/>
      <c r="F1700" s="1"/>
      <c r="G1700" s="1"/>
      <c r="H1700" s="26"/>
      <c r="I1700" s="26"/>
      <c r="J1700" s="26"/>
      <c r="K1700" s="26"/>
      <c r="L1700" s="6"/>
      <c r="M1700" s="6"/>
      <c r="N1700" s="1"/>
      <c r="O1700" s="2"/>
      <c r="P1700" s="2"/>
      <c r="Q1700" s="2"/>
      <c r="R1700" s="2"/>
      <c r="S1700" s="2"/>
      <c r="T1700" s="2"/>
      <c r="U1700" s="2"/>
      <c r="V1700" s="1"/>
      <c r="W1700" s="1"/>
    </row>
    <row r="1701" spans="5:23">
      <c r="E1701" s="1"/>
      <c r="F1701" s="1"/>
      <c r="G1701" s="1"/>
      <c r="H1701" s="26"/>
      <c r="I1701" s="26"/>
      <c r="J1701" s="26"/>
      <c r="K1701" s="26"/>
      <c r="L1701" s="6"/>
      <c r="M1701" s="6"/>
      <c r="N1701" s="1"/>
      <c r="O1701" s="2"/>
      <c r="P1701" s="2"/>
      <c r="Q1701" s="2"/>
      <c r="R1701" s="2"/>
      <c r="S1701" s="2"/>
      <c r="T1701" s="2"/>
      <c r="U1701" s="2"/>
      <c r="V1701" s="1"/>
      <c r="W1701" s="1"/>
    </row>
    <row r="1702" spans="5:23">
      <c r="E1702" s="1"/>
      <c r="F1702" s="1"/>
      <c r="G1702" s="1"/>
      <c r="H1702" s="26"/>
      <c r="I1702" s="26"/>
      <c r="J1702" s="26"/>
      <c r="K1702" s="26"/>
      <c r="L1702" s="6"/>
      <c r="M1702" s="6"/>
      <c r="N1702" s="1"/>
      <c r="O1702" s="2"/>
      <c r="P1702" s="2"/>
      <c r="Q1702" s="2"/>
      <c r="R1702" s="2"/>
      <c r="S1702" s="2"/>
      <c r="T1702" s="2"/>
      <c r="U1702" s="2"/>
      <c r="V1702" s="1"/>
      <c r="W1702" s="1"/>
    </row>
    <row r="1703" spans="5:23">
      <c r="E1703" s="1"/>
      <c r="F1703" s="1"/>
      <c r="G1703" s="1"/>
      <c r="H1703" s="26"/>
      <c r="I1703" s="26"/>
      <c r="J1703" s="26"/>
      <c r="K1703" s="26"/>
      <c r="L1703" s="6"/>
      <c r="M1703" s="6"/>
      <c r="N1703" s="1"/>
      <c r="O1703" s="2"/>
      <c r="P1703" s="2"/>
      <c r="Q1703" s="2"/>
      <c r="R1703" s="2"/>
      <c r="S1703" s="2"/>
      <c r="T1703" s="2"/>
      <c r="U1703" s="2"/>
      <c r="V1703" s="1"/>
      <c r="W1703" s="1"/>
    </row>
    <row r="1704" spans="5:23">
      <c r="E1704" s="1"/>
      <c r="F1704" s="1"/>
      <c r="G1704" s="1"/>
      <c r="H1704" s="26"/>
      <c r="I1704" s="26"/>
      <c r="J1704" s="26"/>
      <c r="K1704" s="26"/>
      <c r="L1704" s="6"/>
      <c r="M1704" s="6"/>
      <c r="N1704" s="1"/>
      <c r="O1704" s="2"/>
      <c r="P1704" s="2"/>
      <c r="Q1704" s="2"/>
      <c r="R1704" s="2"/>
      <c r="S1704" s="2"/>
      <c r="T1704" s="2"/>
      <c r="U1704" s="2"/>
      <c r="V1704" s="1"/>
      <c r="W1704" s="1"/>
    </row>
    <row r="1705" spans="5:23">
      <c r="E1705" s="1"/>
      <c r="F1705" s="1"/>
      <c r="G1705" s="1"/>
      <c r="H1705" s="26"/>
      <c r="I1705" s="26"/>
      <c r="J1705" s="26"/>
      <c r="K1705" s="26"/>
      <c r="L1705" s="6"/>
      <c r="M1705" s="6"/>
      <c r="N1705" s="1"/>
      <c r="O1705" s="2"/>
      <c r="P1705" s="2"/>
      <c r="Q1705" s="2"/>
      <c r="R1705" s="2"/>
      <c r="S1705" s="2"/>
      <c r="T1705" s="2"/>
      <c r="U1705" s="2"/>
      <c r="V1705" s="1"/>
      <c r="W1705" s="1"/>
    </row>
    <row r="1706" spans="5:23">
      <c r="E1706" s="1"/>
      <c r="F1706" s="1"/>
      <c r="G1706" s="1"/>
      <c r="H1706" s="26"/>
      <c r="I1706" s="26"/>
      <c r="J1706" s="26"/>
      <c r="K1706" s="26"/>
      <c r="L1706" s="6"/>
      <c r="M1706" s="6"/>
      <c r="N1706" s="1"/>
      <c r="O1706" s="2"/>
      <c r="P1706" s="2"/>
      <c r="Q1706" s="2"/>
      <c r="R1706" s="2"/>
      <c r="S1706" s="2"/>
      <c r="T1706" s="2"/>
      <c r="U1706" s="2"/>
      <c r="V1706" s="1"/>
      <c r="W1706" s="1"/>
    </row>
    <row r="1707" spans="5:23">
      <c r="E1707" s="1"/>
      <c r="F1707" s="1"/>
      <c r="G1707" s="1"/>
      <c r="H1707" s="26"/>
      <c r="I1707" s="26"/>
      <c r="J1707" s="26"/>
      <c r="K1707" s="26"/>
      <c r="L1707" s="6"/>
      <c r="M1707" s="6"/>
      <c r="N1707" s="1"/>
      <c r="O1707" s="2"/>
      <c r="P1707" s="2"/>
      <c r="Q1707" s="2"/>
      <c r="R1707" s="2"/>
      <c r="S1707" s="2"/>
      <c r="T1707" s="2"/>
      <c r="U1707" s="2"/>
      <c r="V1707" s="1"/>
      <c r="W1707" s="1"/>
    </row>
    <row r="1708" spans="5:23">
      <c r="E1708" s="1"/>
      <c r="F1708" s="1"/>
      <c r="G1708" s="1"/>
      <c r="H1708" s="26"/>
      <c r="I1708" s="26"/>
      <c r="J1708" s="26"/>
      <c r="K1708" s="26"/>
      <c r="L1708" s="6"/>
      <c r="M1708" s="6"/>
      <c r="N1708" s="1"/>
      <c r="O1708" s="2"/>
      <c r="P1708" s="2"/>
      <c r="Q1708" s="2"/>
      <c r="R1708" s="2"/>
      <c r="S1708" s="2"/>
      <c r="T1708" s="2"/>
      <c r="U1708" s="2"/>
      <c r="V1708" s="1"/>
      <c r="W1708" s="1"/>
    </row>
    <row r="1709" spans="5:23">
      <c r="E1709" s="1"/>
      <c r="F1709" s="1"/>
      <c r="G1709" s="1"/>
      <c r="H1709" s="26"/>
      <c r="I1709" s="26"/>
      <c r="J1709" s="26"/>
      <c r="K1709" s="26"/>
      <c r="L1709" s="6"/>
      <c r="M1709" s="6"/>
      <c r="N1709" s="1"/>
      <c r="O1709" s="2"/>
      <c r="P1709" s="2"/>
      <c r="Q1709" s="2"/>
      <c r="R1709" s="2"/>
      <c r="S1709" s="2"/>
      <c r="T1709" s="2"/>
      <c r="U1709" s="2"/>
      <c r="V1709" s="1"/>
      <c r="W1709" s="1"/>
    </row>
    <row r="1710" spans="5:23">
      <c r="E1710" s="1"/>
      <c r="F1710" s="1"/>
      <c r="G1710" s="1"/>
      <c r="H1710" s="26"/>
      <c r="I1710" s="26"/>
      <c r="J1710" s="26"/>
      <c r="K1710" s="26"/>
      <c r="L1710" s="6"/>
      <c r="M1710" s="6"/>
      <c r="N1710" s="1"/>
      <c r="O1710" s="2"/>
      <c r="P1710" s="2"/>
      <c r="Q1710" s="2"/>
      <c r="R1710" s="2"/>
      <c r="S1710" s="2"/>
      <c r="T1710" s="2"/>
      <c r="U1710" s="2"/>
      <c r="V1710" s="1"/>
      <c r="W1710" s="1"/>
    </row>
    <row r="1711" spans="5:23">
      <c r="E1711" s="1"/>
      <c r="F1711" s="1"/>
      <c r="G1711" s="1"/>
      <c r="H1711" s="26"/>
      <c r="I1711" s="26"/>
      <c r="J1711" s="26"/>
      <c r="K1711" s="26"/>
      <c r="L1711" s="6"/>
      <c r="M1711" s="6"/>
      <c r="N1711" s="1"/>
      <c r="O1711" s="2"/>
      <c r="P1711" s="2"/>
      <c r="Q1711" s="2"/>
      <c r="R1711" s="2"/>
      <c r="S1711" s="2"/>
      <c r="T1711" s="2"/>
      <c r="U1711" s="2"/>
      <c r="V1711" s="1"/>
      <c r="W1711" s="1"/>
    </row>
    <row r="1712" spans="5:23">
      <c r="E1712" s="1"/>
      <c r="F1712" s="1"/>
      <c r="G1712" s="1"/>
      <c r="H1712" s="26"/>
      <c r="I1712" s="26"/>
      <c r="J1712" s="26"/>
      <c r="K1712" s="26"/>
      <c r="L1712" s="6"/>
      <c r="M1712" s="6"/>
      <c r="N1712" s="1"/>
      <c r="O1712" s="2"/>
      <c r="P1712" s="2"/>
      <c r="Q1712" s="2"/>
      <c r="R1712" s="2"/>
      <c r="S1712" s="2"/>
      <c r="T1712" s="2"/>
      <c r="U1712" s="2"/>
      <c r="V1712" s="1"/>
      <c r="W1712" s="1"/>
    </row>
    <row r="1713" spans="5:23">
      <c r="E1713" s="1"/>
      <c r="F1713" s="1"/>
      <c r="G1713" s="1"/>
      <c r="H1713" s="26"/>
      <c r="I1713" s="26"/>
      <c r="J1713" s="26"/>
      <c r="K1713" s="26"/>
      <c r="L1713" s="6"/>
      <c r="M1713" s="6"/>
      <c r="N1713" s="1"/>
      <c r="O1713" s="2"/>
      <c r="P1713" s="2"/>
      <c r="Q1713" s="2"/>
      <c r="R1713" s="2"/>
      <c r="S1713" s="2"/>
      <c r="T1713" s="2"/>
      <c r="U1713" s="2"/>
      <c r="V1713" s="1"/>
      <c r="W1713" s="1"/>
    </row>
    <row r="1714" spans="5:23">
      <c r="E1714" s="1"/>
      <c r="F1714" s="1"/>
      <c r="G1714" s="1"/>
      <c r="H1714" s="26"/>
      <c r="I1714" s="26"/>
      <c r="J1714" s="26"/>
      <c r="K1714" s="26"/>
      <c r="L1714" s="6"/>
      <c r="M1714" s="6"/>
      <c r="N1714" s="1"/>
      <c r="O1714" s="2"/>
      <c r="P1714" s="2"/>
      <c r="Q1714" s="2"/>
      <c r="R1714" s="2"/>
      <c r="S1714" s="2"/>
      <c r="T1714" s="2"/>
      <c r="U1714" s="2"/>
      <c r="V1714" s="1"/>
      <c r="W1714" s="1"/>
    </row>
    <row r="1715" spans="5:23">
      <c r="E1715" s="1"/>
      <c r="F1715" s="1"/>
      <c r="G1715" s="1"/>
      <c r="H1715" s="26"/>
      <c r="I1715" s="26"/>
      <c r="J1715" s="26"/>
      <c r="K1715" s="26"/>
      <c r="L1715" s="6"/>
      <c r="M1715" s="6"/>
      <c r="N1715" s="1"/>
      <c r="O1715" s="2"/>
      <c r="P1715" s="2"/>
      <c r="Q1715" s="2"/>
      <c r="R1715" s="2"/>
      <c r="S1715" s="2"/>
      <c r="T1715" s="2"/>
      <c r="U1715" s="2"/>
      <c r="V1715" s="1"/>
      <c r="W1715" s="1"/>
    </row>
    <row r="1716" spans="5:23">
      <c r="E1716" s="1"/>
      <c r="F1716" s="1"/>
      <c r="G1716" s="1"/>
      <c r="H1716" s="26"/>
      <c r="I1716" s="26"/>
      <c r="J1716" s="26"/>
      <c r="K1716" s="26"/>
      <c r="L1716" s="6"/>
      <c r="M1716" s="6"/>
      <c r="N1716" s="1"/>
      <c r="O1716" s="2"/>
      <c r="P1716" s="2"/>
      <c r="Q1716" s="2"/>
      <c r="R1716" s="2"/>
      <c r="S1716" s="2"/>
      <c r="T1716" s="2"/>
      <c r="U1716" s="2"/>
      <c r="V1716" s="1"/>
      <c r="W1716" s="1"/>
    </row>
    <row r="1717" spans="5:23">
      <c r="E1717" s="1"/>
      <c r="F1717" s="1"/>
      <c r="G1717" s="1"/>
      <c r="H1717" s="26"/>
      <c r="I1717" s="26"/>
      <c r="J1717" s="26"/>
      <c r="K1717" s="26"/>
      <c r="L1717" s="6"/>
      <c r="M1717" s="6"/>
      <c r="N1717" s="1"/>
      <c r="O1717" s="2"/>
      <c r="P1717" s="2"/>
      <c r="Q1717" s="2"/>
      <c r="R1717" s="2"/>
      <c r="S1717" s="2"/>
      <c r="T1717" s="2"/>
      <c r="U1717" s="2"/>
      <c r="V1717" s="1"/>
      <c r="W1717" s="1"/>
    </row>
    <row r="1718" spans="5:23">
      <c r="E1718" s="1"/>
      <c r="F1718" s="1"/>
      <c r="G1718" s="1"/>
      <c r="H1718" s="26"/>
      <c r="I1718" s="26"/>
      <c r="J1718" s="26"/>
      <c r="K1718" s="26"/>
      <c r="L1718" s="6"/>
      <c r="M1718" s="6"/>
      <c r="N1718" s="1"/>
      <c r="O1718" s="2"/>
      <c r="P1718" s="2"/>
      <c r="Q1718" s="2"/>
      <c r="R1718" s="2"/>
      <c r="S1718" s="2"/>
      <c r="T1718" s="2"/>
      <c r="U1718" s="2"/>
      <c r="V1718" s="1"/>
      <c r="W1718" s="1"/>
    </row>
    <row r="1719" spans="5:23">
      <c r="E1719" s="1"/>
      <c r="F1719" s="1"/>
      <c r="G1719" s="1"/>
      <c r="H1719" s="26"/>
      <c r="I1719" s="26"/>
      <c r="J1719" s="26"/>
      <c r="K1719" s="26"/>
      <c r="L1719" s="6"/>
      <c r="M1719" s="6"/>
      <c r="N1719" s="1"/>
      <c r="O1719" s="2"/>
      <c r="P1719" s="2"/>
      <c r="Q1719" s="2"/>
      <c r="R1719" s="2"/>
      <c r="S1719" s="2"/>
      <c r="T1719" s="2"/>
      <c r="U1719" s="2"/>
      <c r="V1719" s="1"/>
      <c r="W1719" s="1"/>
    </row>
    <row r="1720" spans="5:23">
      <c r="E1720" s="1"/>
      <c r="F1720" s="1"/>
      <c r="G1720" s="1"/>
      <c r="H1720" s="26"/>
      <c r="I1720" s="26"/>
      <c r="J1720" s="26"/>
      <c r="K1720" s="26"/>
      <c r="L1720" s="6"/>
      <c r="M1720" s="6"/>
      <c r="N1720" s="1"/>
      <c r="O1720" s="2"/>
      <c r="P1720" s="2"/>
      <c r="Q1720" s="2"/>
      <c r="R1720" s="2"/>
      <c r="S1720" s="2"/>
      <c r="T1720" s="2"/>
      <c r="U1720" s="2"/>
      <c r="V1720" s="1"/>
      <c r="W1720" s="1"/>
    </row>
    <row r="1721" spans="5:23">
      <c r="E1721" s="1"/>
      <c r="F1721" s="1"/>
      <c r="G1721" s="1"/>
      <c r="H1721" s="26"/>
      <c r="I1721" s="26"/>
      <c r="J1721" s="26"/>
      <c r="K1721" s="26"/>
      <c r="L1721" s="6"/>
      <c r="M1721" s="6"/>
      <c r="N1721" s="1"/>
      <c r="O1721" s="2"/>
      <c r="P1721" s="2"/>
      <c r="Q1721" s="2"/>
      <c r="R1721" s="2"/>
      <c r="S1721" s="2"/>
      <c r="T1721" s="2"/>
      <c r="U1721" s="2"/>
      <c r="V1721" s="1"/>
      <c r="W1721" s="1"/>
    </row>
    <row r="1722" spans="5:23">
      <c r="E1722" s="1"/>
      <c r="F1722" s="1"/>
      <c r="G1722" s="1"/>
      <c r="H1722" s="26"/>
      <c r="I1722" s="26"/>
      <c r="J1722" s="26"/>
      <c r="K1722" s="26"/>
      <c r="L1722" s="6"/>
      <c r="M1722" s="6"/>
      <c r="N1722" s="1"/>
      <c r="O1722" s="2"/>
      <c r="P1722" s="2"/>
      <c r="Q1722" s="2"/>
      <c r="R1722" s="2"/>
      <c r="S1722" s="2"/>
      <c r="T1722" s="2"/>
      <c r="U1722" s="2"/>
      <c r="V1722" s="1"/>
      <c r="W1722" s="1"/>
    </row>
    <row r="1723" spans="5:23">
      <c r="E1723" s="1"/>
      <c r="F1723" s="1"/>
      <c r="G1723" s="1"/>
      <c r="H1723" s="26"/>
      <c r="I1723" s="26"/>
      <c r="J1723" s="26"/>
      <c r="K1723" s="26"/>
      <c r="L1723" s="6"/>
      <c r="M1723" s="6"/>
      <c r="N1723" s="1"/>
      <c r="O1723" s="2"/>
      <c r="P1723" s="2"/>
      <c r="Q1723" s="2"/>
      <c r="R1723" s="2"/>
      <c r="S1723" s="2"/>
      <c r="T1723" s="2"/>
      <c r="U1723" s="2"/>
      <c r="V1723" s="1"/>
      <c r="W1723" s="1"/>
    </row>
    <row r="1724" spans="5:23">
      <c r="E1724" s="1"/>
      <c r="F1724" s="1"/>
      <c r="G1724" s="1"/>
      <c r="H1724" s="26"/>
      <c r="I1724" s="26"/>
      <c r="J1724" s="26"/>
      <c r="K1724" s="26"/>
      <c r="L1724" s="6"/>
      <c r="M1724" s="6"/>
      <c r="N1724" s="1"/>
      <c r="O1724" s="2"/>
      <c r="P1724" s="2"/>
      <c r="Q1724" s="2"/>
      <c r="R1724" s="2"/>
      <c r="S1724" s="2"/>
      <c r="T1724" s="2"/>
      <c r="U1724" s="2"/>
      <c r="V1724" s="1"/>
      <c r="W1724" s="1"/>
    </row>
    <row r="1725" spans="5:23">
      <c r="E1725" s="1"/>
      <c r="F1725" s="1"/>
      <c r="G1725" s="1"/>
      <c r="H1725" s="26"/>
      <c r="I1725" s="26"/>
      <c r="J1725" s="26"/>
      <c r="K1725" s="26"/>
      <c r="L1725" s="6"/>
      <c r="M1725" s="6"/>
      <c r="N1725" s="1"/>
      <c r="O1725" s="2"/>
      <c r="P1725" s="2"/>
      <c r="Q1725" s="2"/>
      <c r="R1725" s="2"/>
      <c r="S1725" s="2"/>
      <c r="T1725" s="2"/>
      <c r="U1725" s="2"/>
      <c r="V1725" s="1"/>
      <c r="W1725" s="1"/>
    </row>
    <row r="1726" spans="5:23">
      <c r="E1726" s="1"/>
      <c r="F1726" s="1"/>
      <c r="G1726" s="1"/>
      <c r="H1726" s="26"/>
      <c r="I1726" s="26"/>
      <c r="J1726" s="26"/>
      <c r="K1726" s="26"/>
      <c r="L1726" s="6"/>
      <c r="M1726" s="6"/>
      <c r="N1726" s="1"/>
      <c r="O1726" s="2"/>
      <c r="P1726" s="2"/>
      <c r="Q1726" s="2"/>
      <c r="R1726" s="2"/>
      <c r="S1726" s="2"/>
      <c r="T1726" s="2"/>
      <c r="U1726" s="2"/>
      <c r="V1726" s="1"/>
      <c r="W1726" s="1"/>
    </row>
    <row r="1727" spans="5:23">
      <c r="E1727" s="1"/>
      <c r="F1727" s="1"/>
      <c r="G1727" s="1"/>
      <c r="H1727" s="26"/>
      <c r="I1727" s="26"/>
      <c r="J1727" s="26"/>
      <c r="K1727" s="26"/>
      <c r="L1727" s="6"/>
      <c r="M1727" s="6"/>
      <c r="N1727" s="1"/>
      <c r="O1727" s="2"/>
      <c r="P1727" s="2"/>
      <c r="Q1727" s="2"/>
      <c r="R1727" s="2"/>
      <c r="S1727" s="2"/>
      <c r="T1727" s="2"/>
      <c r="U1727" s="2"/>
      <c r="V1727" s="1"/>
      <c r="W1727" s="1"/>
    </row>
    <row r="1728" spans="5:23">
      <c r="E1728" s="1"/>
      <c r="F1728" s="1"/>
      <c r="G1728" s="1"/>
      <c r="H1728" s="26"/>
      <c r="I1728" s="26"/>
      <c r="J1728" s="26"/>
      <c r="K1728" s="26"/>
      <c r="L1728" s="6"/>
      <c r="M1728" s="6"/>
      <c r="N1728" s="1"/>
      <c r="O1728" s="2"/>
      <c r="P1728" s="2"/>
      <c r="Q1728" s="2"/>
      <c r="R1728" s="2"/>
      <c r="S1728" s="2"/>
      <c r="T1728" s="2"/>
      <c r="U1728" s="2"/>
      <c r="V1728" s="1"/>
      <c r="W1728" s="1"/>
    </row>
    <row r="1729" spans="5:23">
      <c r="E1729" s="1"/>
      <c r="F1729" s="1"/>
      <c r="G1729" s="1"/>
      <c r="H1729" s="26"/>
      <c r="I1729" s="26"/>
      <c r="J1729" s="26"/>
      <c r="K1729" s="26"/>
      <c r="L1729" s="6"/>
      <c r="M1729" s="6"/>
      <c r="N1729" s="1"/>
      <c r="O1729" s="2"/>
      <c r="P1729" s="2"/>
      <c r="Q1729" s="2"/>
      <c r="R1729" s="2"/>
      <c r="S1729" s="2"/>
      <c r="T1729" s="2"/>
      <c r="U1729" s="2"/>
      <c r="V1729" s="1"/>
      <c r="W1729" s="1"/>
    </row>
    <row r="1730" spans="5:23">
      <c r="E1730" s="1"/>
      <c r="F1730" s="1"/>
      <c r="G1730" s="1"/>
      <c r="H1730" s="26"/>
      <c r="I1730" s="26"/>
      <c r="J1730" s="26"/>
      <c r="K1730" s="26"/>
      <c r="L1730" s="6"/>
      <c r="M1730" s="6"/>
      <c r="N1730" s="1"/>
      <c r="O1730" s="2"/>
      <c r="P1730" s="2"/>
      <c r="Q1730" s="2"/>
      <c r="R1730" s="2"/>
      <c r="S1730" s="2"/>
      <c r="T1730" s="2"/>
      <c r="U1730" s="2"/>
      <c r="V1730" s="1"/>
      <c r="W1730" s="1"/>
    </row>
    <row r="1731" spans="5:23">
      <c r="E1731" s="1"/>
      <c r="F1731" s="1"/>
      <c r="G1731" s="1"/>
      <c r="H1731" s="26"/>
      <c r="I1731" s="26"/>
      <c r="J1731" s="26"/>
      <c r="K1731" s="26"/>
      <c r="L1731" s="6"/>
      <c r="M1731" s="6"/>
      <c r="N1731" s="1"/>
      <c r="O1731" s="2"/>
      <c r="P1731" s="2"/>
      <c r="Q1731" s="2"/>
      <c r="R1731" s="2"/>
      <c r="S1731" s="2"/>
      <c r="T1731" s="2"/>
      <c r="U1731" s="2"/>
      <c r="V1731" s="1"/>
      <c r="W1731" s="1"/>
    </row>
    <row r="1732" spans="5:23">
      <c r="E1732" s="1"/>
      <c r="F1732" s="1"/>
      <c r="G1732" s="1"/>
      <c r="H1732" s="26"/>
      <c r="I1732" s="26"/>
      <c r="J1732" s="26"/>
      <c r="K1732" s="26"/>
      <c r="L1732" s="6"/>
      <c r="M1732" s="6"/>
      <c r="N1732" s="1"/>
      <c r="O1732" s="2"/>
      <c r="P1732" s="2"/>
      <c r="Q1732" s="2"/>
      <c r="R1732" s="2"/>
      <c r="S1732" s="2"/>
      <c r="T1732" s="2"/>
      <c r="U1732" s="2"/>
      <c r="V1732" s="1"/>
      <c r="W1732" s="1"/>
    </row>
    <row r="1733" spans="5:23">
      <c r="E1733" s="1"/>
      <c r="F1733" s="1"/>
      <c r="G1733" s="1"/>
      <c r="H1733" s="26"/>
      <c r="I1733" s="26"/>
      <c r="J1733" s="26"/>
      <c r="K1733" s="26"/>
      <c r="L1733" s="6"/>
      <c r="M1733" s="6"/>
      <c r="N1733" s="1"/>
      <c r="O1733" s="2"/>
      <c r="P1733" s="2"/>
      <c r="Q1733" s="2"/>
      <c r="R1733" s="2"/>
      <c r="S1733" s="2"/>
      <c r="T1733" s="2"/>
      <c r="U1733" s="2"/>
      <c r="V1733" s="1"/>
      <c r="W1733" s="1"/>
    </row>
    <row r="1734" spans="5:23">
      <c r="E1734" s="1"/>
      <c r="F1734" s="1"/>
      <c r="G1734" s="1"/>
      <c r="H1734" s="26"/>
      <c r="I1734" s="26"/>
      <c r="J1734" s="26"/>
      <c r="K1734" s="26"/>
      <c r="L1734" s="6"/>
      <c r="M1734" s="6"/>
      <c r="N1734" s="1"/>
      <c r="O1734" s="2"/>
      <c r="P1734" s="2"/>
      <c r="Q1734" s="2"/>
      <c r="R1734" s="2"/>
      <c r="S1734" s="2"/>
      <c r="T1734" s="2"/>
      <c r="U1734" s="2"/>
      <c r="V1734" s="1"/>
      <c r="W1734" s="1"/>
    </row>
    <row r="1735" spans="5:23">
      <c r="E1735" s="1"/>
      <c r="F1735" s="1"/>
      <c r="G1735" s="1"/>
      <c r="H1735" s="26"/>
      <c r="I1735" s="26"/>
      <c r="J1735" s="26"/>
      <c r="K1735" s="26"/>
      <c r="L1735" s="6"/>
      <c r="M1735" s="6"/>
      <c r="N1735" s="1"/>
      <c r="O1735" s="2"/>
      <c r="P1735" s="2"/>
      <c r="Q1735" s="2"/>
      <c r="R1735" s="2"/>
      <c r="S1735" s="2"/>
      <c r="T1735" s="2"/>
      <c r="U1735" s="2"/>
      <c r="V1735" s="1"/>
      <c r="W1735" s="1"/>
    </row>
    <row r="1736" spans="5:23">
      <c r="E1736" s="1"/>
      <c r="F1736" s="1"/>
      <c r="G1736" s="1"/>
      <c r="H1736" s="26"/>
      <c r="I1736" s="26"/>
      <c r="J1736" s="26"/>
      <c r="K1736" s="26"/>
      <c r="L1736" s="6"/>
      <c r="M1736" s="6"/>
      <c r="N1736" s="1"/>
      <c r="O1736" s="2"/>
      <c r="P1736" s="2"/>
      <c r="Q1736" s="2"/>
      <c r="R1736" s="2"/>
      <c r="S1736" s="2"/>
      <c r="T1736" s="2"/>
      <c r="U1736" s="2"/>
      <c r="V1736" s="1"/>
      <c r="W1736" s="1"/>
    </row>
    <row r="1737" spans="5:23">
      <c r="E1737" s="1"/>
      <c r="F1737" s="1"/>
      <c r="G1737" s="1"/>
      <c r="H1737" s="26"/>
      <c r="I1737" s="26"/>
      <c r="J1737" s="26"/>
      <c r="K1737" s="26"/>
      <c r="L1737" s="6"/>
      <c r="M1737" s="6"/>
      <c r="N1737" s="1"/>
      <c r="O1737" s="2"/>
      <c r="P1737" s="2"/>
      <c r="Q1737" s="2"/>
      <c r="R1737" s="2"/>
      <c r="S1737" s="2"/>
      <c r="T1737" s="2"/>
      <c r="U1737" s="2"/>
      <c r="V1737" s="1"/>
      <c r="W1737" s="1"/>
    </row>
    <row r="1738" spans="5:23">
      <c r="E1738" s="1"/>
      <c r="F1738" s="1"/>
      <c r="G1738" s="1"/>
      <c r="H1738" s="26"/>
      <c r="I1738" s="26"/>
      <c r="J1738" s="26"/>
      <c r="K1738" s="26"/>
      <c r="L1738" s="6"/>
      <c r="M1738" s="6"/>
      <c r="N1738" s="1"/>
      <c r="O1738" s="2"/>
      <c r="P1738" s="2"/>
      <c r="Q1738" s="2"/>
      <c r="R1738" s="2"/>
      <c r="S1738" s="2"/>
      <c r="T1738" s="2"/>
      <c r="U1738" s="2"/>
      <c r="V1738" s="1"/>
      <c r="W1738" s="1"/>
    </row>
    <row r="1739" spans="5:23">
      <c r="E1739" s="1"/>
      <c r="F1739" s="1"/>
      <c r="G1739" s="1"/>
      <c r="H1739" s="26"/>
      <c r="I1739" s="26"/>
      <c r="J1739" s="26"/>
      <c r="K1739" s="26"/>
      <c r="L1739" s="6"/>
      <c r="M1739" s="6"/>
      <c r="N1739" s="1"/>
      <c r="O1739" s="2"/>
      <c r="P1739" s="2"/>
      <c r="Q1739" s="2"/>
      <c r="R1739" s="2"/>
      <c r="S1739" s="2"/>
      <c r="T1739" s="2"/>
      <c r="U1739" s="2"/>
      <c r="V1739" s="1"/>
      <c r="W1739" s="1"/>
    </row>
    <row r="1740" spans="5:23">
      <c r="E1740" s="1"/>
      <c r="F1740" s="1"/>
      <c r="G1740" s="1"/>
      <c r="H1740" s="26"/>
      <c r="I1740" s="26"/>
      <c r="J1740" s="26"/>
      <c r="K1740" s="26"/>
      <c r="L1740" s="6"/>
      <c r="M1740" s="6"/>
      <c r="N1740" s="1"/>
      <c r="O1740" s="2"/>
      <c r="P1740" s="2"/>
      <c r="Q1740" s="2"/>
      <c r="R1740" s="2"/>
      <c r="S1740" s="2"/>
      <c r="T1740" s="2"/>
      <c r="U1740" s="2"/>
      <c r="V1740" s="1"/>
      <c r="W1740" s="1"/>
    </row>
    <row r="1741" spans="5:23">
      <c r="E1741" s="1"/>
      <c r="F1741" s="1"/>
      <c r="G1741" s="1"/>
      <c r="H1741" s="26"/>
      <c r="I1741" s="26"/>
      <c r="J1741" s="26"/>
      <c r="K1741" s="26"/>
      <c r="L1741" s="6"/>
      <c r="M1741" s="6"/>
      <c r="N1741" s="1"/>
      <c r="O1741" s="2"/>
      <c r="P1741" s="2"/>
      <c r="Q1741" s="2"/>
      <c r="R1741" s="2"/>
      <c r="S1741" s="2"/>
      <c r="T1741" s="2"/>
      <c r="U1741" s="2"/>
      <c r="V1741" s="1"/>
      <c r="W1741" s="1"/>
    </row>
    <row r="1742" spans="5:23">
      <c r="E1742" s="1"/>
      <c r="F1742" s="1"/>
      <c r="G1742" s="1"/>
      <c r="H1742" s="26"/>
      <c r="I1742" s="26"/>
      <c r="J1742" s="26"/>
      <c r="K1742" s="26"/>
      <c r="L1742" s="6"/>
      <c r="M1742" s="6"/>
      <c r="N1742" s="1"/>
      <c r="O1742" s="2"/>
      <c r="P1742" s="2"/>
      <c r="Q1742" s="2"/>
      <c r="R1742" s="2"/>
      <c r="S1742" s="2"/>
      <c r="T1742" s="2"/>
      <c r="U1742" s="2"/>
      <c r="V1742" s="1"/>
      <c r="W1742" s="1"/>
    </row>
    <row r="1743" spans="5:23">
      <c r="E1743" s="1"/>
      <c r="F1743" s="1"/>
      <c r="G1743" s="1"/>
      <c r="H1743" s="26"/>
      <c r="I1743" s="26"/>
      <c r="J1743" s="26"/>
      <c r="K1743" s="26"/>
      <c r="L1743" s="6"/>
      <c r="M1743" s="6"/>
      <c r="N1743" s="1"/>
      <c r="O1743" s="2"/>
      <c r="P1743" s="2"/>
      <c r="Q1743" s="2"/>
      <c r="R1743" s="2"/>
      <c r="S1743" s="2"/>
      <c r="T1743" s="2"/>
      <c r="U1743" s="2"/>
      <c r="V1743" s="1"/>
      <c r="W1743" s="1"/>
    </row>
    <row r="1744" spans="5:23">
      <c r="E1744" s="1"/>
      <c r="F1744" s="1"/>
      <c r="G1744" s="1"/>
      <c r="H1744" s="26"/>
      <c r="I1744" s="26"/>
      <c r="J1744" s="26"/>
      <c r="K1744" s="26"/>
      <c r="L1744" s="6"/>
      <c r="M1744" s="6"/>
      <c r="N1744" s="1"/>
      <c r="O1744" s="2"/>
      <c r="P1744" s="2"/>
      <c r="Q1744" s="2"/>
      <c r="R1744" s="2"/>
      <c r="S1744" s="2"/>
      <c r="T1744" s="2"/>
      <c r="U1744" s="2"/>
      <c r="V1744" s="1"/>
      <c r="W1744" s="1"/>
    </row>
    <row r="1745" spans="5:23">
      <c r="E1745" s="1"/>
      <c r="F1745" s="1"/>
      <c r="G1745" s="1"/>
      <c r="H1745" s="26"/>
      <c r="I1745" s="26"/>
      <c r="J1745" s="26"/>
      <c r="K1745" s="26"/>
      <c r="L1745" s="6"/>
      <c r="M1745" s="6"/>
      <c r="N1745" s="1"/>
      <c r="O1745" s="2"/>
      <c r="P1745" s="2"/>
      <c r="Q1745" s="2"/>
      <c r="R1745" s="2"/>
      <c r="S1745" s="2"/>
      <c r="T1745" s="2"/>
      <c r="U1745" s="2"/>
      <c r="V1745" s="1"/>
      <c r="W1745" s="1"/>
    </row>
    <row r="1746" spans="5:23">
      <c r="E1746" s="1"/>
      <c r="F1746" s="1"/>
      <c r="G1746" s="1"/>
      <c r="H1746" s="26"/>
      <c r="I1746" s="26"/>
      <c r="J1746" s="26"/>
      <c r="K1746" s="26"/>
      <c r="L1746" s="6"/>
      <c r="M1746" s="6"/>
      <c r="N1746" s="1"/>
      <c r="O1746" s="2"/>
      <c r="P1746" s="2"/>
      <c r="Q1746" s="2"/>
      <c r="R1746" s="2"/>
      <c r="S1746" s="2"/>
      <c r="T1746" s="2"/>
      <c r="U1746" s="2"/>
      <c r="V1746" s="1"/>
      <c r="W1746" s="1"/>
    </row>
    <row r="1747" spans="5:23">
      <c r="E1747" s="1"/>
      <c r="F1747" s="1"/>
      <c r="G1747" s="1"/>
      <c r="H1747" s="26"/>
      <c r="I1747" s="26"/>
      <c r="J1747" s="26"/>
      <c r="K1747" s="26"/>
      <c r="L1747" s="6"/>
      <c r="M1747" s="6"/>
      <c r="N1747" s="1"/>
      <c r="O1747" s="2"/>
      <c r="P1747" s="2"/>
      <c r="Q1747" s="2"/>
      <c r="R1747" s="2"/>
      <c r="S1747" s="2"/>
      <c r="T1747" s="2"/>
      <c r="U1747" s="2"/>
      <c r="V1747" s="1"/>
      <c r="W1747" s="1"/>
    </row>
    <row r="1748" spans="5:23">
      <c r="E1748" s="1"/>
      <c r="F1748" s="1"/>
      <c r="G1748" s="1"/>
      <c r="H1748" s="26"/>
      <c r="I1748" s="26"/>
      <c r="J1748" s="26"/>
      <c r="K1748" s="26"/>
      <c r="L1748" s="6"/>
      <c r="M1748" s="6"/>
      <c r="N1748" s="1"/>
      <c r="O1748" s="2"/>
      <c r="P1748" s="2"/>
      <c r="Q1748" s="2"/>
      <c r="R1748" s="2"/>
      <c r="S1748" s="2"/>
      <c r="T1748" s="2"/>
      <c r="U1748" s="2"/>
      <c r="V1748" s="1"/>
      <c r="W1748" s="1"/>
    </row>
    <row r="1749" spans="5:23">
      <c r="E1749" s="1"/>
      <c r="F1749" s="1"/>
      <c r="G1749" s="1"/>
      <c r="H1749" s="26"/>
      <c r="I1749" s="26"/>
      <c r="J1749" s="26"/>
      <c r="K1749" s="26"/>
      <c r="L1749" s="6"/>
      <c r="M1749" s="6"/>
      <c r="N1749" s="1"/>
      <c r="O1749" s="2"/>
      <c r="P1749" s="2"/>
      <c r="Q1749" s="2"/>
      <c r="R1749" s="2"/>
      <c r="S1749" s="2"/>
      <c r="T1749" s="2"/>
      <c r="U1749" s="2"/>
      <c r="V1749" s="1"/>
      <c r="W1749" s="1"/>
    </row>
    <row r="1750" spans="5:23">
      <c r="E1750" s="1"/>
      <c r="F1750" s="1"/>
      <c r="G1750" s="1"/>
      <c r="H1750" s="26"/>
      <c r="I1750" s="26"/>
      <c r="J1750" s="26"/>
      <c r="K1750" s="26"/>
      <c r="L1750" s="6"/>
      <c r="M1750" s="6"/>
      <c r="N1750" s="1"/>
      <c r="O1750" s="2"/>
      <c r="P1750" s="2"/>
      <c r="Q1750" s="2"/>
      <c r="R1750" s="2"/>
      <c r="S1750" s="2"/>
      <c r="T1750" s="2"/>
      <c r="U1750" s="2"/>
      <c r="V1750" s="1"/>
      <c r="W1750" s="1"/>
    </row>
    <row r="1751" spans="5:23">
      <c r="E1751" s="1"/>
      <c r="F1751" s="1"/>
      <c r="G1751" s="1"/>
      <c r="H1751" s="26"/>
      <c r="I1751" s="26"/>
      <c r="J1751" s="26"/>
      <c r="K1751" s="26"/>
      <c r="L1751" s="6"/>
      <c r="M1751" s="6"/>
      <c r="N1751" s="1"/>
      <c r="O1751" s="2"/>
      <c r="P1751" s="2"/>
      <c r="Q1751" s="2"/>
      <c r="R1751" s="2"/>
      <c r="S1751" s="2"/>
      <c r="T1751" s="2"/>
      <c r="U1751" s="2"/>
      <c r="V1751" s="1"/>
      <c r="W1751" s="1"/>
    </row>
    <row r="1752" spans="5:23">
      <c r="E1752" s="1"/>
      <c r="F1752" s="1"/>
      <c r="G1752" s="1"/>
      <c r="H1752" s="26"/>
      <c r="I1752" s="26"/>
      <c r="J1752" s="26"/>
      <c r="K1752" s="26"/>
      <c r="L1752" s="6"/>
      <c r="M1752" s="6"/>
      <c r="N1752" s="1"/>
      <c r="O1752" s="2"/>
      <c r="P1752" s="2"/>
      <c r="Q1752" s="2"/>
      <c r="R1752" s="2"/>
      <c r="S1752" s="2"/>
      <c r="T1752" s="2"/>
      <c r="U1752" s="2"/>
      <c r="V1752" s="1"/>
      <c r="W1752" s="1"/>
    </row>
    <row r="1753" spans="5:23">
      <c r="E1753" s="1"/>
      <c r="F1753" s="1"/>
      <c r="G1753" s="1"/>
      <c r="H1753" s="26"/>
      <c r="I1753" s="26"/>
      <c r="J1753" s="26"/>
      <c r="K1753" s="26"/>
      <c r="L1753" s="6"/>
      <c r="M1753" s="6"/>
      <c r="N1753" s="1"/>
      <c r="O1753" s="2"/>
      <c r="P1753" s="2"/>
      <c r="Q1753" s="2"/>
      <c r="R1753" s="2"/>
      <c r="S1753" s="2"/>
      <c r="T1753" s="2"/>
      <c r="U1753" s="2"/>
      <c r="V1753" s="1"/>
      <c r="W1753" s="1"/>
    </row>
    <row r="1754" spans="5:23">
      <c r="E1754" s="1"/>
      <c r="F1754" s="1"/>
      <c r="G1754" s="1"/>
      <c r="H1754" s="26"/>
      <c r="I1754" s="26"/>
      <c r="J1754" s="26"/>
      <c r="K1754" s="26"/>
      <c r="L1754" s="6"/>
      <c r="M1754" s="6"/>
      <c r="N1754" s="1"/>
      <c r="O1754" s="2"/>
      <c r="P1754" s="2"/>
      <c r="Q1754" s="2"/>
      <c r="R1754" s="2"/>
      <c r="S1754" s="2"/>
      <c r="T1754" s="2"/>
      <c r="U1754" s="2"/>
      <c r="V1754" s="1"/>
      <c r="W1754" s="1"/>
    </row>
    <row r="1755" spans="5:23">
      <c r="E1755" s="1"/>
      <c r="F1755" s="1"/>
      <c r="G1755" s="1"/>
      <c r="H1755" s="26"/>
      <c r="I1755" s="26"/>
      <c r="J1755" s="26"/>
      <c r="K1755" s="26"/>
      <c r="L1755" s="6"/>
      <c r="M1755" s="6"/>
      <c r="N1755" s="1"/>
      <c r="O1755" s="2"/>
      <c r="P1755" s="2"/>
      <c r="Q1755" s="2"/>
      <c r="R1755" s="2"/>
      <c r="S1755" s="2"/>
      <c r="T1755" s="2"/>
      <c r="U1755" s="2"/>
      <c r="V1755" s="1"/>
      <c r="W1755" s="1"/>
    </row>
    <row r="1756" spans="5:23">
      <c r="E1756" s="1"/>
      <c r="F1756" s="1"/>
      <c r="G1756" s="1"/>
      <c r="H1756" s="26"/>
      <c r="I1756" s="26"/>
      <c r="J1756" s="26"/>
      <c r="K1756" s="26"/>
      <c r="L1756" s="6"/>
      <c r="M1756" s="6"/>
      <c r="N1756" s="1"/>
      <c r="O1756" s="2"/>
      <c r="P1756" s="2"/>
      <c r="Q1756" s="2"/>
      <c r="R1756" s="2"/>
      <c r="S1756" s="2"/>
      <c r="T1756" s="2"/>
      <c r="U1756" s="2"/>
      <c r="V1756" s="1"/>
      <c r="W1756" s="1"/>
    </row>
    <row r="1757" spans="5:23">
      <c r="E1757" s="1"/>
      <c r="F1757" s="1"/>
      <c r="G1757" s="1"/>
      <c r="H1757" s="26"/>
      <c r="I1757" s="26"/>
      <c r="J1757" s="26"/>
      <c r="K1757" s="26"/>
      <c r="L1757" s="6"/>
      <c r="M1757" s="6"/>
      <c r="N1757" s="1"/>
      <c r="O1757" s="2"/>
      <c r="P1757" s="2"/>
      <c r="Q1757" s="2"/>
      <c r="R1757" s="2"/>
      <c r="S1757" s="2"/>
      <c r="T1757" s="2"/>
      <c r="U1757" s="2"/>
      <c r="V1757" s="1"/>
      <c r="W1757" s="1"/>
    </row>
    <row r="1758" spans="5:23">
      <c r="E1758" s="1"/>
      <c r="F1758" s="1"/>
      <c r="G1758" s="1"/>
      <c r="H1758" s="26"/>
      <c r="I1758" s="26"/>
      <c r="J1758" s="26"/>
      <c r="K1758" s="26"/>
      <c r="L1758" s="6"/>
      <c r="M1758" s="6"/>
      <c r="N1758" s="1"/>
      <c r="O1758" s="2"/>
      <c r="P1758" s="2"/>
      <c r="Q1758" s="2"/>
      <c r="R1758" s="2"/>
      <c r="S1758" s="2"/>
      <c r="T1758" s="2"/>
      <c r="U1758" s="2"/>
      <c r="V1758" s="1"/>
      <c r="W1758" s="1"/>
    </row>
    <row r="1759" spans="5:23">
      <c r="E1759" s="1"/>
      <c r="F1759" s="1"/>
      <c r="G1759" s="1"/>
      <c r="H1759" s="26"/>
      <c r="I1759" s="26"/>
      <c r="J1759" s="26"/>
      <c r="K1759" s="26"/>
      <c r="L1759" s="6"/>
      <c r="M1759" s="6"/>
      <c r="N1759" s="1"/>
      <c r="O1759" s="2"/>
      <c r="P1759" s="2"/>
      <c r="Q1759" s="2"/>
      <c r="R1759" s="2"/>
      <c r="S1759" s="2"/>
      <c r="T1759" s="2"/>
      <c r="U1759" s="2"/>
      <c r="V1759" s="1"/>
      <c r="W1759" s="1"/>
    </row>
    <row r="1760" spans="5:23">
      <c r="E1760" s="1"/>
      <c r="F1760" s="1"/>
      <c r="G1760" s="1"/>
      <c r="H1760" s="26"/>
      <c r="I1760" s="26"/>
      <c r="J1760" s="26"/>
      <c r="K1760" s="26"/>
      <c r="L1760" s="6"/>
      <c r="M1760" s="6"/>
      <c r="N1760" s="1"/>
      <c r="O1760" s="2"/>
      <c r="P1760" s="2"/>
      <c r="Q1760" s="2"/>
      <c r="R1760" s="2"/>
      <c r="S1760" s="2"/>
      <c r="T1760" s="2"/>
      <c r="U1760" s="2"/>
      <c r="V1760" s="1"/>
      <c r="W1760" s="1"/>
    </row>
    <row r="1761" spans="5:23">
      <c r="E1761" s="1"/>
      <c r="F1761" s="1"/>
      <c r="G1761" s="1"/>
      <c r="H1761" s="26"/>
      <c r="I1761" s="26"/>
      <c r="J1761" s="26"/>
      <c r="K1761" s="26"/>
      <c r="L1761" s="6"/>
      <c r="M1761" s="6"/>
      <c r="N1761" s="1"/>
      <c r="O1761" s="2"/>
      <c r="P1761" s="2"/>
      <c r="Q1761" s="2"/>
      <c r="R1761" s="2"/>
      <c r="S1761" s="2"/>
      <c r="T1761" s="2"/>
      <c r="U1761" s="2"/>
      <c r="V1761" s="1"/>
      <c r="W1761" s="1"/>
    </row>
    <row r="1762" spans="5:23">
      <c r="E1762" s="1"/>
      <c r="F1762" s="1"/>
      <c r="G1762" s="1"/>
      <c r="H1762" s="26"/>
      <c r="I1762" s="26"/>
      <c r="J1762" s="26"/>
      <c r="K1762" s="26"/>
      <c r="L1762" s="6"/>
      <c r="M1762" s="6"/>
      <c r="N1762" s="1"/>
      <c r="O1762" s="2"/>
      <c r="P1762" s="2"/>
      <c r="Q1762" s="2"/>
      <c r="R1762" s="2"/>
      <c r="S1762" s="2"/>
      <c r="T1762" s="2"/>
      <c r="U1762" s="2"/>
      <c r="V1762" s="1"/>
      <c r="W1762" s="1"/>
    </row>
    <row r="1763" spans="5:23">
      <c r="E1763" s="1"/>
      <c r="F1763" s="1"/>
      <c r="G1763" s="1"/>
      <c r="H1763" s="26"/>
      <c r="I1763" s="26"/>
      <c r="J1763" s="26"/>
      <c r="K1763" s="26"/>
      <c r="L1763" s="6"/>
      <c r="M1763" s="6"/>
      <c r="N1763" s="1"/>
      <c r="O1763" s="2"/>
      <c r="P1763" s="2"/>
      <c r="Q1763" s="2"/>
      <c r="R1763" s="2"/>
      <c r="S1763" s="2"/>
      <c r="T1763" s="2"/>
      <c r="U1763" s="2"/>
      <c r="V1763" s="1"/>
      <c r="W1763" s="1"/>
    </row>
    <row r="1764" spans="5:23">
      <c r="E1764" s="1"/>
      <c r="F1764" s="1"/>
      <c r="G1764" s="1"/>
      <c r="H1764" s="26"/>
      <c r="I1764" s="26"/>
      <c r="J1764" s="26"/>
      <c r="K1764" s="26"/>
      <c r="L1764" s="6"/>
      <c r="M1764" s="6"/>
      <c r="N1764" s="1"/>
      <c r="O1764" s="2"/>
      <c r="P1764" s="2"/>
      <c r="Q1764" s="2"/>
      <c r="R1764" s="2"/>
      <c r="S1764" s="2"/>
      <c r="T1764" s="2"/>
      <c r="U1764" s="2"/>
      <c r="V1764" s="1"/>
      <c r="W1764" s="1"/>
    </row>
    <row r="1765" spans="5:23">
      <c r="E1765" s="1"/>
      <c r="F1765" s="1"/>
      <c r="G1765" s="1"/>
      <c r="H1765" s="26"/>
      <c r="I1765" s="26"/>
      <c r="J1765" s="26"/>
      <c r="K1765" s="26"/>
      <c r="L1765" s="6"/>
      <c r="M1765" s="6"/>
      <c r="N1765" s="1"/>
      <c r="O1765" s="2"/>
      <c r="P1765" s="2"/>
      <c r="Q1765" s="2"/>
      <c r="R1765" s="2"/>
      <c r="S1765" s="2"/>
      <c r="T1765" s="2"/>
      <c r="U1765" s="2"/>
      <c r="V1765" s="1"/>
      <c r="W1765" s="1"/>
    </row>
    <row r="1766" spans="5:23">
      <c r="E1766" s="1"/>
      <c r="F1766" s="1"/>
      <c r="G1766" s="1"/>
      <c r="H1766" s="26"/>
      <c r="I1766" s="26"/>
      <c r="J1766" s="26"/>
      <c r="K1766" s="26"/>
      <c r="L1766" s="6"/>
      <c r="M1766" s="6"/>
      <c r="N1766" s="1"/>
      <c r="O1766" s="2"/>
      <c r="P1766" s="2"/>
      <c r="Q1766" s="2"/>
      <c r="R1766" s="2"/>
      <c r="S1766" s="2"/>
      <c r="T1766" s="2"/>
      <c r="U1766" s="2"/>
      <c r="V1766" s="1"/>
      <c r="W1766" s="1"/>
    </row>
    <row r="1767" spans="5:23">
      <c r="E1767" s="1"/>
      <c r="F1767" s="1"/>
      <c r="G1767" s="1"/>
      <c r="H1767" s="26"/>
      <c r="I1767" s="26"/>
      <c r="J1767" s="26"/>
      <c r="K1767" s="26"/>
      <c r="L1767" s="6"/>
      <c r="M1767" s="6"/>
      <c r="N1767" s="1"/>
      <c r="O1767" s="2"/>
      <c r="P1767" s="2"/>
      <c r="Q1767" s="2"/>
      <c r="R1767" s="2"/>
      <c r="S1767" s="2"/>
      <c r="T1767" s="2"/>
      <c r="U1767" s="2"/>
      <c r="V1767" s="1"/>
      <c r="W1767" s="1"/>
    </row>
    <row r="1768" spans="5:23">
      <c r="E1768" s="1"/>
      <c r="F1768" s="1"/>
      <c r="G1768" s="1"/>
      <c r="H1768" s="26"/>
      <c r="I1768" s="26"/>
      <c r="J1768" s="26"/>
      <c r="K1768" s="26"/>
      <c r="L1768" s="6"/>
      <c r="M1768" s="6"/>
      <c r="N1768" s="1"/>
      <c r="O1768" s="2"/>
      <c r="P1768" s="2"/>
      <c r="Q1768" s="2"/>
      <c r="R1768" s="2"/>
      <c r="S1768" s="2"/>
      <c r="T1768" s="2"/>
      <c r="U1768" s="2"/>
      <c r="V1768" s="1"/>
      <c r="W1768" s="1"/>
    </row>
    <row r="1769" spans="5:23">
      <c r="E1769" s="1"/>
      <c r="F1769" s="1"/>
      <c r="G1769" s="1"/>
      <c r="H1769" s="26"/>
      <c r="I1769" s="26"/>
      <c r="J1769" s="26"/>
      <c r="K1769" s="26"/>
      <c r="L1769" s="6"/>
      <c r="M1769" s="6"/>
      <c r="N1769" s="1"/>
      <c r="O1769" s="2"/>
      <c r="P1769" s="2"/>
      <c r="Q1769" s="2"/>
      <c r="R1769" s="2"/>
      <c r="S1769" s="2"/>
      <c r="T1769" s="2"/>
      <c r="U1769" s="2"/>
      <c r="V1769" s="1"/>
      <c r="W1769" s="1"/>
    </row>
    <row r="1770" spans="5:23">
      <c r="E1770" s="1"/>
      <c r="F1770" s="1"/>
      <c r="G1770" s="1"/>
      <c r="H1770" s="26"/>
      <c r="I1770" s="26"/>
      <c r="J1770" s="26"/>
      <c r="K1770" s="26"/>
      <c r="L1770" s="6"/>
      <c r="M1770" s="6"/>
      <c r="N1770" s="1"/>
      <c r="O1770" s="2"/>
      <c r="P1770" s="2"/>
      <c r="Q1770" s="2"/>
      <c r="R1770" s="2"/>
      <c r="S1770" s="2"/>
      <c r="T1770" s="2"/>
      <c r="U1770" s="2"/>
      <c r="V1770" s="1"/>
      <c r="W1770" s="1"/>
    </row>
    <row r="1771" spans="5:23">
      <c r="E1771" s="1"/>
      <c r="F1771" s="1"/>
      <c r="G1771" s="1"/>
      <c r="H1771" s="26"/>
      <c r="I1771" s="26"/>
      <c r="J1771" s="26"/>
      <c r="K1771" s="26"/>
      <c r="L1771" s="6"/>
      <c r="M1771" s="6"/>
      <c r="N1771" s="1"/>
      <c r="O1771" s="2"/>
      <c r="P1771" s="2"/>
      <c r="Q1771" s="2"/>
      <c r="R1771" s="2"/>
      <c r="S1771" s="2"/>
      <c r="T1771" s="2"/>
      <c r="U1771" s="2"/>
      <c r="V1771" s="1"/>
      <c r="W1771" s="1"/>
    </row>
    <row r="1772" spans="5:23">
      <c r="E1772" s="1"/>
      <c r="F1772" s="1"/>
      <c r="G1772" s="1"/>
      <c r="H1772" s="26"/>
      <c r="I1772" s="26"/>
      <c r="J1772" s="26"/>
      <c r="K1772" s="26"/>
      <c r="L1772" s="6"/>
      <c r="M1772" s="6"/>
      <c r="N1772" s="1"/>
      <c r="O1772" s="2"/>
      <c r="P1772" s="2"/>
      <c r="Q1772" s="2"/>
      <c r="R1772" s="2"/>
      <c r="S1772" s="2"/>
      <c r="T1772" s="2"/>
      <c r="U1772" s="2"/>
      <c r="V1772" s="1"/>
      <c r="W1772" s="1"/>
    </row>
    <row r="1773" spans="5:23">
      <c r="E1773" s="1"/>
      <c r="F1773" s="1"/>
      <c r="G1773" s="1"/>
      <c r="H1773" s="26"/>
      <c r="I1773" s="26"/>
      <c r="J1773" s="26"/>
      <c r="K1773" s="26"/>
      <c r="L1773" s="6"/>
      <c r="M1773" s="6"/>
      <c r="N1773" s="1"/>
      <c r="O1773" s="2"/>
      <c r="P1773" s="2"/>
      <c r="Q1773" s="2"/>
      <c r="R1773" s="2"/>
      <c r="S1773" s="2"/>
      <c r="T1773" s="2"/>
      <c r="U1773" s="2"/>
      <c r="V1773" s="1"/>
      <c r="W1773" s="1"/>
    </row>
    <row r="1774" spans="5:23">
      <c r="E1774" s="1"/>
      <c r="F1774" s="1"/>
      <c r="G1774" s="1"/>
      <c r="H1774" s="26"/>
      <c r="I1774" s="26"/>
      <c r="J1774" s="26"/>
      <c r="K1774" s="26"/>
      <c r="L1774" s="6"/>
      <c r="M1774" s="6"/>
      <c r="N1774" s="1"/>
      <c r="O1774" s="2"/>
      <c r="P1774" s="2"/>
      <c r="Q1774" s="2"/>
      <c r="R1774" s="2"/>
      <c r="S1774" s="2"/>
      <c r="T1774" s="2"/>
      <c r="U1774" s="2"/>
      <c r="V1774" s="1"/>
      <c r="W1774" s="1"/>
    </row>
    <row r="1775" spans="5:23">
      <c r="E1775" s="1"/>
      <c r="F1775" s="1"/>
      <c r="G1775" s="1"/>
      <c r="H1775" s="26"/>
      <c r="I1775" s="26"/>
      <c r="J1775" s="26"/>
      <c r="K1775" s="26"/>
      <c r="L1775" s="6"/>
      <c r="M1775" s="6"/>
      <c r="N1775" s="1"/>
      <c r="O1775" s="2"/>
      <c r="P1775" s="2"/>
      <c r="Q1775" s="2"/>
      <c r="R1775" s="2"/>
      <c r="S1775" s="2"/>
      <c r="T1775" s="2"/>
      <c r="U1775" s="2"/>
      <c r="V1775" s="1"/>
      <c r="W1775" s="1"/>
    </row>
    <row r="1776" spans="5:23">
      <c r="E1776" s="1"/>
      <c r="F1776" s="1"/>
      <c r="G1776" s="1"/>
      <c r="H1776" s="26"/>
      <c r="I1776" s="26"/>
      <c r="J1776" s="26"/>
      <c r="K1776" s="26"/>
      <c r="L1776" s="6"/>
      <c r="M1776" s="6"/>
      <c r="N1776" s="1"/>
      <c r="O1776" s="2"/>
      <c r="P1776" s="2"/>
      <c r="Q1776" s="2"/>
      <c r="R1776" s="2"/>
      <c r="S1776" s="2"/>
      <c r="T1776" s="2"/>
      <c r="U1776" s="2"/>
      <c r="V1776" s="1"/>
      <c r="W1776" s="1"/>
    </row>
    <row r="1777" spans="5:23">
      <c r="E1777" s="1"/>
      <c r="F1777" s="1"/>
      <c r="G1777" s="1"/>
      <c r="H1777" s="26"/>
      <c r="I1777" s="26"/>
      <c r="J1777" s="26"/>
      <c r="K1777" s="26"/>
      <c r="L1777" s="6"/>
      <c r="M1777" s="6"/>
      <c r="N1777" s="1"/>
      <c r="O1777" s="2"/>
      <c r="P1777" s="2"/>
      <c r="Q1777" s="2"/>
      <c r="R1777" s="2"/>
      <c r="S1777" s="2"/>
      <c r="T1777" s="2"/>
      <c r="U1777" s="2"/>
      <c r="V1777" s="1"/>
      <c r="W1777" s="1"/>
    </row>
    <row r="1778" spans="5:23">
      <c r="E1778" s="1"/>
      <c r="F1778" s="1"/>
      <c r="G1778" s="1"/>
      <c r="H1778" s="26"/>
      <c r="I1778" s="26"/>
      <c r="J1778" s="26"/>
      <c r="K1778" s="26"/>
      <c r="L1778" s="6"/>
      <c r="M1778" s="6"/>
      <c r="N1778" s="1"/>
      <c r="O1778" s="2"/>
      <c r="P1778" s="2"/>
      <c r="Q1778" s="2"/>
      <c r="R1778" s="2"/>
      <c r="S1778" s="2"/>
      <c r="T1778" s="2"/>
      <c r="U1778" s="2"/>
      <c r="V1778" s="1"/>
      <c r="W1778" s="1"/>
    </row>
    <row r="1779" spans="5:23">
      <c r="E1779" s="1"/>
      <c r="F1779" s="1"/>
      <c r="G1779" s="1"/>
      <c r="H1779" s="26"/>
      <c r="I1779" s="26"/>
      <c r="J1779" s="26"/>
      <c r="K1779" s="26"/>
      <c r="L1779" s="6"/>
      <c r="M1779" s="6"/>
      <c r="N1779" s="1"/>
      <c r="O1779" s="2"/>
      <c r="P1779" s="2"/>
      <c r="Q1779" s="2"/>
      <c r="R1779" s="2"/>
      <c r="S1779" s="2"/>
      <c r="T1779" s="2"/>
      <c r="U1779" s="2"/>
      <c r="V1779" s="1"/>
      <c r="W1779" s="1"/>
    </row>
    <row r="1780" spans="5:23">
      <c r="E1780" s="1"/>
      <c r="F1780" s="1"/>
      <c r="G1780" s="1"/>
      <c r="H1780" s="26"/>
      <c r="I1780" s="26"/>
      <c r="J1780" s="26"/>
      <c r="K1780" s="26"/>
      <c r="L1780" s="6"/>
      <c r="M1780" s="6"/>
      <c r="N1780" s="1"/>
      <c r="O1780" s="2"/>
      <c r="P1780" s="2"/>
      <c r="Q1780" s="2"/>
      <c r="R1780" s="2"/>
      <c r="S1780" s="2"/>
      <c r="T1780" s="2"/>
      <c r="U1780" s="2"/>
      <c r="V1780" s="1"/>
      <c r="W1780" s="1"/>
    </row>
    <row r="1781" spans="5:23">
      <c r="E1781" s="1"/>
      <c r="F1781" s="1"/>
      <c r="G1781" s="1"/>
      <c r="H1781" s="26"/>
      <c r="I1781" s="26"/>
      <c r="J1781" s="26"/>
      <c r="K1781" s="26"/>
      <c r="L1781" s="6"/>
      <c r="M1781" s="6"/>
      <c r="N1781" s="1"/>
      <c r="O1781" s="2"/>
      <c r="P1781" s="2"/>
      <c r="Q1781" s="2"/>
      <c r="R1781" s="2"/>
      <c r="S1781" s="2"/>
      <c r="T1781" s="2"/>
      <c r="U1781" s="2"/>
      <c r="V1781" s="1"/>
      <c r="W1781" s="1"/>
    </row>
    <row r="1782" spans="5:23">
      <c r="E1782" s="1"/>
      <c r="F1782" s="1"/>
      <c r="G1782" s="1"/>
      <c r="H1782" s="26"/>
      <c r="I1782" s="26"/>
      <c r="J1782" s="26"/>
      <c r="K1782" s="26"/>
      <c r="L1782" s="6"/>
      <c r="M1782" s="6"/>
      <c r="N1782" s="1"/>
      <c r="O1782" s="2"/>
      <c r="P1782" s="2"/>
      <c r="Q1782" s="2"/>
      <c r="R1782" s="2"/>
      <c r="S1782" s="2"/>
      <c r="T1782" s="2"/>
      <c r="U1782" s="2"/>
      <c r="V1782" s="1"/>
      <c r="W1782" s="1"/>
    </row>
    <row r="1783" spans="5:23">
      <c r="E1783" s="1"/>
      <c r="F1783" s="1"/>
      <c r="G1783" s="1"/>
      <c r="H1783" s="26"/>
      <c r="I1783" s="26"/>
      <c r="J1783" s="26"/>
      <c r="K1783" s="26"/>
      <c r="L1783" s="6"/>
      <c r="M1783" s="6"/>
      <c r="N1783" s="1"/>
      <c r="O1783" s="2"/>
      <c r="P1783" s="2"/>
      <c r="Q1783" s="2"/>
      <c r="R1783" s="2"/>
      <c r="S1783" s="2"/>
      <c r="T1783" s="2"/>
      <c r="U1783" s="2"/>
      <c r="V1783" s="1"/>
      <c r="W1783" s="1"/>
    </row>
    <row r="1784" spans="5:23">
      <c r="E1784" s="1"/>
      <c r="F1784" s="1"/>
      <c r="G1784" s="1"/>
      <c r="H1784" s="26"/>
      <c r="I1784" s="26"/>
      <c r="J1784" s="26"/>
      <c r="K1784" s="26"/>
      <c r="L1784" s="6"/>
      <c r="M1784" s="6"/>
      <c r="N1784" s="1"/>
      <c r="O1784" s="2"/>
      <c r="P1784" s="2"/>
      <c r="Q1784" s="2"/>
      <c r="R1784" s="2"/>
      <c r="S1784" s="2"/>
      <c r="T1784" s="2"/>
      <c r="U1784" s="2"/>
      <c r="V1784" s="1"/>
      <c r="W1784" s="1"/>
    </row>
    <row r="1785" spans="5:23">
      <c r="E1785" s="1"/>
      <c r="F1785" s="1"/>
      <c r="G1785" s="1"/>
      <c r="H1785" s="26"/>
      <c r="I1785" s="26"/>
      <c r="J1785" s="26"/>
      <c r="K1785" s="26"/>
      <c r="L1785" s="6"/>
      <c r="M1785" s="6"/>
      <c r="N1785" s="1"/>
      <c r="O1785" s="2"/>
      <c r="P1785" s="2"/>
      <c r="Q1785" s="2"/>
      <c r="R1785" s="2"/>
      <c r="S1785" s="2"/>
      <c r="T1785" s="2"/>
      <c r="U1785" s="2"/>
      <c r="V1785" s="1"/>
      <c r="W1785" s="1"/>
    </row>
    <row r="1786" spans="5:23">
      <c r="E1786" s="1"/>
      <c r="F1786" s="1"/>
      <c r="G1786" s="1"/>
      <c r="H1786" s="26"/>
      <c r="I1786" s="26"/>
      <c r="J1786" s="26"/>
      <c r="K1786" s="26"/>
      <c r="L1786" s="6"/>
      <c r="M1786" s="6"/>
      <c r="N1786" s="1"/>
      <c r="O1786" s="2"/>
      <c r="P1786" s="2"/>
      <c r="Q1786" s="2"/>
      <c r="R1786" s="2"/>
      <c r="S1786" s="2"/>
      <c r="T1786" s="2"/>
      <c r="U1786" s="2"/>
      <c r="V1786" s="1"/>
      <c r="W1786" s="1"/>
    </row>
    <row r="1787" spans="5:23">
      <c r="E1787" s="1"/>
      <c r="F1787" s="1"/>
      <c r="G1787" s="1"/>
      <c r="H1787" s="26"/>
      <c r="I1787" s="26"/>
      <c r="J1787" s="26"/>
      <c r="K1787" s="26"/>
      <c r="L1787" s="6"/>
      <c r="M1787" s="6"/>
      <c r="N1787" s="1"/>
      <c r="O1787" s="2"/>
      <c r="P1787" s="2"/>
      <c r="Q1787" s="2"/>
      <c r="R1787" s="2"/>
      <c r="S1787" s="2"/>
      <c r="T1787" s="2"/>
      <c r="U1787" s="2"/>
      <c r="V1787" s="1"/>
      <c r="W1787" s="1"/>
    </row>
    <row r="1788" spans="5:23">
      <c r="E1788" s="1"/>
      <c r="F1788" s="1"/>
      <c r="G1788" s="1"/>
      <c r="H1788" s="26"/>
      <c r="I1788" s="26"/>
      <c r="J1788" s="26"/>
      <c r="K1788" s="26"/>
      <c r="L1788" s="6"/>
      <c r="M1788" s="6"/>
      <c r="N1788" s="1"/>
      <c r="O1788" s="2"/>
      <c r="P1788" s="2"/>
      <c r="Q1788" s="2"/>
      <c r="R1788" s="2"/>
      <c r="S1788" s="2"/>
      <c r="T1788" s="2"/>
      <c r="U1788" s="2"/>
      <c r="V1788" s="1"/>
      <c r="W1788" s="1"/>
    </row>
    <row r="1789" spans="5:23">
      <c r="E1789" s="1"/>
      <c r="F1789" s="1"/>
      <c r="G1789" s="1"/>
      <c r="H1789" s="26"/>
      <c r="I1789" s="26"/>
      <c r="J1789" s="26"/>
      <c r="K1789" s="26"/>
      <c r="L1789" s="6"/>
      <c r="M1789" s="6"/>
      <c r="N1789" s="1"/>
      <c r="O1789" s="2"/>
      <c r="P1789" s="2"/>
      <c r="Q1789" s="2"/>
      <c r="R1789" s="2"/>
      <c r="S1789" s="2"/>
      <c r="T1789" s="2"/>
      <c r="U1789" s="2"/>
      <c r="V1789" s="1"/>
      <c r="W1789" s="1"/>
    </row>
    <row r="1790" spans="5:23">
      <c r="E1790" s="1"/>
      <c r="F1790" s="1"/>
      <c r="G1790" s="1"/>
      <c r="H1790" s="26"/>
      <c r="I1790" s="26"/>
      <c r="J1790" s="26"/>
      <c r="K1790" s="26"/>
      <c r="L1790" s="6"/>
      <c r="M1790" s="6"/>
      <c r="N1790" s="1"/>
      <c r="O1790" s="2"/>
      <c r="P1790" s="2"/>
      <c r="Q1790" s="2"/>
      <c r="R1790" s="2"/>
      <c r="S1790" s="2"/>
      <c r="T1790" s="2"/>
      <c r="U1790" s="2"/>
      <c r="V1790" s="1"/>
      <c r="W1790" s="1"/>
    </row>
    <row r="1791" spans="5:23">
      <c r="E1791" s="1"/>
      <c r="F1791" s="1"/>
      <c r="G1791" s="1"/>
      <c r="H1791" s="26"/>
      <c r="I1791" s="26"/>
      <c r="J1791" s="26"/>
      <c r="K1791" s="26"/>
      <c r="L1791" s="6"/>
      <c r="M1791" s="6"/>
      <c r="N1791" s="1"/>
      <c r="O1791" s="2"/>
      <c r="P1791" s="2"/>
      <c r="Q1791" s="2"/>
      <c r="R1791" s="2"/>
      <c r="S1791" s="2"/>
      <c r="T1791" s="2"/>
      <c r="U1791" s="2"/>
      <c r="V1791" s="1"/>
      <c r="W1791" s="1"/>
    </row>
    <row r="1792" spans="5:23">
      <c r="E1792" s="1"/>
      <c r="F1792" s="1"/>
      <c r="G1792" s="1"/>
      <c r="H1792" s="26"/>
      <c r="I1792" s="26"/>
      <c r="J1792" s="26"/>
      <c r="K1792" s="26"/>
      <c r="L1792" s="6"/>
      <c r="M1792" s="6"/>
      <c r="N1792" s="1"/>
      <c r="O1792" s="2"/>
      <c r="P1792" s="2"/>
      <c r="Q1792" s="2"/>
      <c r="R1792" s="2"/>
      <c r="S1792" s="2"/>
      <c r="T1792" s="2"/>
      <c r="U1792" s="2"/>
      <c r="V1792" s="1"/>
      <c r="W1792" s="1"/>
    </row>
    <row r="1793" spans="5:23">
      <c r="E1793" s="1"/>
      <c r="F1793" s="1"/>
      <c r="G1793" s="1"/>
      <c r="H1793" s="26"/>
      <c r="I1793" s="26"/>
      <c r="J1793" s="26"/>
      <c r="K1793" s="26"/>
      <c r="L1793" s="6"/>
      <c r="M1793" s="6"/>
      <c r="N1793" s="1"/>
      <c r="O1793" s="2"/>
      <c r="P1793" s="2"/>
      <c r="Q1793" s="2"/>
      <c r="R1793" s="2"/>
      <c r="S1793" s="2"/>
      <c r="T1793" s="2"/>
      <c r="U1793" s="2"/>
      <c r="V1793" s="1"/>
      <c r="W1793" s="1"/>
    </row>
    <row r="1794" spans="5:23">
      <c r="E1794" s="1"/>
      <c r="F1794" s="1"/>
      <c r="G1794" s="1"/>
      <c r="H1794" s="26"/>
      <c r="I1794" s="26"/>
      <c r="J1794" s="26"/>
      <c r="K1794" s="26"/>
      <c r="L1794" s="6"/>
      <c r="M1794" s="6"/>
      <c r="N1794" s="1"/>
      <c r="O1794" s="2"/>
      <c r="P1794" s="2"/>
      <c r="Q1794" s="2"/>
      <c r="R1794" s="2"/>
      <c r="S1794" s="2"/>
      <c r="T1794" s="2"/>
      <c r="U1794" s="2"/>
      <c r="V1794" s="1"/>
      <c r="W1794" s="1"/>
    </row>
    <row r="1795" spans="5:23">
      <c r="E1795" s="1"/>
      <c r="F1795" s="1"/>
      <c r="G1795" s="1"/>
      <c r="H1795" s="26"/>
      <c r="I1795" s="26"/>
      <c r="J1795" s="26"/>
      <c r="K1795" s="26"/>
      <c r="L1795" s="6"/>
      <c r="M1795" s="6"/>
      <c r="N1795" s="1"/>
      <c r="O1795" s="2"/>
      <c r="P1795" s="2"/>
      <c r="Q1795" s="2"/>
      <c r="R1795" s="2"/>
      <c r="S1795" s="2"/>
      <c r="T1795" s="2"/>
      <c r="U1795" s="2"/>
      <c r="V1795" s="1"/>
      <c r="W1795" s="1"/>
    </row>
    <row r="1796" spans="5:23">
      <c r="E1796" s="1"/>
      <c r="F1796" s="1"/>
      <c r="G1796" s="1"/>
      <c r="H1796" s="26"/>
      <c r="I1796" s="26"/>
      <c r="J1796" s="26"/>
      <c r="K1796" s="26"/>
      <c r="L1796" s="6"/>
      <c r="M1796" s="6"/>
      <c r="N1796" s="1"/>
      <c r="O1796" s="2"/>
      <c r="P1796" s="2"/>
      <c r="Q1796" s="2"/>
      <c r="R1796" s="2"/>
      <c r="S1796" s="2"/>
      <c r="T1796" s="2"/>
      <c r="U1796" s="2"/>
      <c r="V1796" s="1"/>
      <c r="W1796" s="1"/>
    </row>
    <row r="1797" spans="5:23">
      <c r="E1797" s="1"/>
      <c r="F1797" s="1"/>
      <c r="G1797" s="1"/>
      <c r="H1797" s="26"/>
      <c r="I1797" s="26"/>
      <c r="J1797" s="26"/>
      <c r="K1797" s="26"/>
      <c r="L1797" s="6"/>
      <c r="M1797" s="6"/>
      <c r="N1797" s="1"/>
      <c r="O1797" s="2"/>
      <c r="P1797" s="2"/>
      <c r="Q1797" s="2"/>
      <c r="R1797" s="2"/>
      <c r="S1797" s="2"/>
      <c r="T1797" s="2"/>
      <c r="U1797" s="2"/>
      <c r="V1797" s="1"/>
      <c r="W1797" s="1"/>
    </row>
    <row r="1798" spans="5:23">
      <c r="E1798" s="1"/>
      <c r="F1798" s="1"/>
      <c r="G1798" s="1"/>
      <c r="H1798" s="26"/>
      <c r="I1798" s="26"/>
      <c r="J1798" s="26"/>
      <c r="K1798" s="26"/>
      <c r="L1798" s="6"/>
      <c r="M1798" s="6"/>
      <c r="N1798" s="1"/>
      <c r="O1798" s="2"/>
      <c r="P1798" s="2"/>
      <c r="Q1798" s="2"/>
      <c r="R1798" s="2"/>
      <c r="S1798" s="2"/>
      <c r="T1798" s="2"/>
      <c r="U1798" s="2"/>
      <c r="V1798" s="1"/>
      <c r="W1798" s="1"/>
    </row>
    <row r="1799" spans="5:23">
      <c r="E1799" s="1"/>
      <c r="F1799" s="1"/>
      <c r="G1799" s="1"/>
      <c r="H1799" s="26"/>
      <c r="I1799" s="26"/>
      <c r="J1799" s="26"/>
      <c r="K1799" s="26"/>
      <c r="L1799" s="6"/>
      <c r="M1799" s="6"/>
      <c r="N1799" s="1"/>
      <c r="O1799" s="2"/>
      <c r="P1799" s="2"/>
      <c r="Q1799" s="2"/>
      <c r="R1799" s="2"/>
      <c r="S1799" s="2"/>
      <c r="T1799" s="2"/>
      <c r="U1799" s="2"/>
      <c r="V1799" s="1"/>
      <c r="W1799" s="1"/>
    </row>
    <row r="1800" spans="5:23">
      <c r="E1800" s="1"/>
      <c r="F1800" s="1"/>
      <c r="G1800" s="1"/>
      <c r="H1800" s="26"/>
      <c r="I1800" s="26"/>
      <c r="J1800" s="26"/>
      <c r="K1800" s="26"/>
      <c r="L1800" s="6"/>
      <c r="M1800" s="6"/>
      <c r="N1800" s="1"/>
      <c r="O1800" s="2"/>
      <c r="P1800" s="2"/>
      <c r="Q1800" s="2"/>
      <c r="R1800" s="2"/>
      <c r="S1800" s="2"/>
      <c r="T1800" s="2"/>
      <c r="U1800" s="2"/>
      <c r="V1800" s="1"/>
      <c r="W1800" s="1"/>
    </row>
    <row r="1801" spans="5:23">
      <c r="E1801" s="1"/>
      <c r="F1801" s="1"/>
      <c r="G1801" s="1"/>
      <c r="H1801" s="26"/>
      <c r="I1801" s="26"/>
      <c r="J1801" s="26"/>
      <c r="K1801" s="26"/>
      <c r="L1801" s="6"/>
      <c r="M1801" s="6"/>
      <c r="N1801" s="1"/>
      <c r="O1801" s="2"/>
      <c r="P1801" s="2"/>
      <c r="Q1801" s="2"/>
      <c r="R1801" s="2"/>
      <c r="S1801" s="2"/>
      <c r="T1801" s="2"/>
      <c r="U1801" s="2"/>
      <c r="V1801" s="1"/>
      <c r="W1801" s="1"/>
    </row>
    <row r="1802" spans="5:23">
      <c r="E1802" s="1"/>
      <c r="F1802" s="1"/>
      <c r="G1802" s="1"/>
      <c r="H1802" s="26"/>
      <c r="I1802" s="26"/>
      <c r="J1802" s="26"/>
      <c r="K1802" s="26"/>
      <c r="L1802" s="6"/>
      <c r="M1802" s="6"/>
      <c r="N1802" s="1"/>
      <c r="O1802" s="2"/>
      <c r="P1802" s="2"/>
      <c r="Q1802" s="2"/>
      <c r="R1802" s="2"/>
      <c r="S1802" s="2"/>
      <c r="T1802" s="2"/>
      <c r="U1802" s="2"/>
      <c r="V1802" s="1"/>
      <c r="W1802" s="1"/>
    </row>
    <row r="1803" spans="5:23">
      <c r="G1803" s="1"/>
    </row>
  </sheetData>
  <protectedRanges>
    <protectedRange sqref="K42:K94 H9:H10 K9:K10 H95:K996 H11:I94 J11:K13 J15:K41" name="Rango1_1"/>
    <protectedRange sqref="J5:J7" name="Rango1_1_1"/>
    <protectedRange sqref="H8 K5:K8" name="Rango1_1_3"/>
    <protectedRange sqref="J42:J94 I8:J10 H5:I7" name="Rango1_1_1_1"/>
    <protectedRange sqref="G5:G8" name="Rango1_1_2_1_1"/>
  </protectedRanges>
  <autoFilter ref="A4:DH4" xr:uid="{00000000-0001-0000-0200-000000000000}"/>
  <mergeCells count="17">
    <mergeCell ref="F1:M1"/>
    <mergeCell ref="F2:M2"/>
    <mergeCell ref="F3:M3"/>
    <mergeCell ref="N2:O2"/>
    <mergeCell ref="V2:W2"/>
    <mergeCell ref="V3:W3"/>
    <mergeCell ref="N3:O3"/>
    <mergeCell ref="P3:Q3"/>
    <mergeCell ref="R3:S3"/>
    <mergeCell ref="T3:U3"/>
    <mergeCell ref="P2:U2"/>
    <mergeCell ref="X2:AA2"/>
    <mergeCell ref="AB2:AC2"/>
    <mergeCell ref="AD2:AH2"/>
    <mergeCell ref="X3:Y3"/>
    <mergeCell ref="AD3:AE3"/>
    <mergeCell ref="AF3:AG3"/>
  </mergeCells>
  <phoneticPr fontId="0" type="noConversion"/>
  <conditionalFormatting sqref="E95:F996 F11:F27 E5:F7">
    <cfRule type="expression" dxfId="177" priority="607" stopIfTrue="1">
      <formula>"SEVERSTAL"</formula>
    </cfRule>
  </conditionalFormatting>
  <conditionalFormatting sqref="H9:H10 K9:K10 K28:K29 H11:K13 K32:K41 H25:K27 H54:H55 K54:K55 K47:K49 H58:I62 H65:I74 K65:K74 H81:H88 K81:K88 H95:K996 H5:K7 H15:K22 H14:I14">
    <cfRule type="cellIs" dxfId="176" priority="608" stopIfTrue="1" operator="equal">
      <formula>"APROBADO"</formula>
    </cfRule>
    <cfRule type="cellIs" dxfId="175" priority="609" stopIfTrue="1" operator="equal">
      <formula>"ESPERA"</formula>
    </cfRule>
    <cfRule type="cellIs" dxfId="174" priority="610" stopIfTrue="1" operator="equal">
      <formula>"RECHAZADO"</formula>
    </cfRule>
  </conditionalFormatting>
  <conditionalFormatting sqref="H8">
    <cfRule type="cellIs" dxfId="173" priority="254" stopIfTrue="1" operator="equal">
      <formula>"APROBADO"</formula>
    </cfRule>
    <cfRule type="cellIs" dxfId="172" priority="255" stopIfTrue="1" operator="equal">
      <formula>"ESPERA"</formula>
    </cfRule>
    <cfRule type="cellIs" dxfId="171" priority="256" stopIfTrue="1" operator="equal">
      <formula>"RECHAZADO"</formula>
    </cfRule>
  </conditionalFormatting>
  <conditionalFormatting sqref="J8:K8 J9:J10">
    <cfRule type="cellIs" dxfId="170" priority="230" stopIfTrue="1" operator="equal">
      <formula>"APROBADO"</formula>
    </cfRule>
    <cfRule type="cellIs" dxfId="169" priority="231" stopIfTrue="1" operator="equal">
      <formula>"ESPERA"</formula>
    </cfRule>
    <cfRule type="cellIs" dxfId="168" priority="232" stopIfTrue="1" operator="equal">
      <formula>"RECHAZADO"</formula>
    </cfRule>
  </conditionalFormatting>
  <conditionalFormatting sqref="E8:F10 E11:E27">
    <cfRule type="expression" dxfId="167" priority="236" stopIfTrue="1">
      <formula>"SEVERSTAL"</formula>
    </cfRule>
  </conditionalFormatting>
  <conditionalFormatting sqref="I8:I10">
    <cfRule type="cellIs" dxfId="166" priority="233" stopIfTrue="1" operator="equal">
      <formula>"APROBADO"</formula>
    </cfRule>
    <cfRule type="cellIs" dxfId="165" priority="234" stopIfTrue="1" operator="equal">
      <formula>"ESPERA"</formula>
    </cfRule>
    <cfRule type="cellIs" dxfId="164" priority="235" stopIfTrue="1" operator="equal">
      <formula>"RECHAZADO"</formula>
    </cfRule>
  </conditionalFormatting>
  <conditionalFormatting sqref="H23:K24">
    <cfRule type="cellIs" dxfId="163" priority="227" stopIfTrue="1" operator="equal">
      <formula>"APROBADO"</formula>
    </cfRule>
    <cfRule type="cellIs" dxfId="162" priority="228" stopIfTrue="1" operator="equal">
      <formula>"ESPERA"</formula>
    </cfRule>
    <cfRule type="cellIs" dxfId="161" priority="229" stopIfTrue="1" operator="equal">
      <formula>"RECHAZADO"</formula>
    </cfRule>
  </conditionalFormatting>
  <conditionalFormatting sqref="F28:F29">
    <cfRule type="expression" dxfId="160" priority="223" stopIfTrue="1">
      <formula>"SEVERSTAL"</formula>
    </cfRule>
  </conditionalFormatting>
  <conditionalFormatting sqref="H28:J29">
    <cfRule type="cellIs" dxfId="159" priority="224" stopIfTrue="1" operator="equal">
      <formula>"APROBADO"</formula>
    </cfRule>
    <cfRule type="cellIs" dxfId="158" priority="225" stopIfTrue="1" operator="equal">
      <formula>"ESPERA"</formula>
    </cfRule>
    <cfRule type="cellIs" dxfId="157" priority="226" stopIfTrue="1" operator="equal">
      <formula>"RECHAZADO"</formula>
    </cfRule>
  </conditionalFormatting>
  <conditionalFormatting sqref="E28:E29">
    <cfRule type="expression" dxfId="156" priority="222" stopIfTrue="1">
      <formula>"SEVERSTAL"</formula>
    </cfRule>
  </conditionalFormatting>
  <conditionalFormatting sqref="K30:K31">
    <cfRule type="cellIs" dxfId="155" priority="219" stopIfTrue="1" operator="equal">
      <formula>"APROBADO"</formula>
    </cfRule>
    <cfRule type="cellIs" dxfId="154" priority="220" stopIfTrue="1" operator="equal">
      <formula>"ESPERA"</formula>
    </cfRule>
    <cfRule type="cellIs" dxfId="153" priority="221" stopIfTrue="1" operator="equal">
      <formula>"RECHAZADO"</formula>
    </cfRule>
  </conditionalFormatting>
  <conditionalFormatting sqref="F30:F31">
    <cfRule type="expression" dxfId="152" priority="215" stopIfTrue="1">
      <formula>"SEVERSTAL"</formula>
    </cfRule>
  </conditionalFormatting>
  <conditionalFormatting sqref="H30:J31">
    <cfRule type="cellIs" dxfId="151" priority="216" stopIfTrue="1" operator="equal">
      <formula>"APROBADO"</formula>
    </cfRule>
    <cfRule type="cellIs" dxfId="150" priority="217" stopIfTrue="1" operator="equal">
      <formula>"ESPERA"</formula>
    </cfRule>
    <cfRule type="cellIs" dxfId="149" priority="218" stopIfTrue="1" operator="equal">
      <formula>"RECHAZADO"</formula>
    </cfRule>
  </conditionalFormatting>
  <conditionalFormatting sqref="E30:E31">
    <cfRule type="expression" dxfId="148" priority="214" stopIfTrue="1">
      <formula>"SEVERSTAL"</formula>
    </cfRule>
  </conditionalFormatting>
  <conditionalFormatting sqref="E34:E46">
    <cfRule type="expression" dxfId="147" priority="204" stopIfTrue="1">
      <formula>"SEVERSTAL"</formula>
    </cfRule>
  </conditionalFormatting>
  <conditionalFormatting sqref="F32:F33">
    <cfRule type="expression" dxfId="146" priority="210" stopIfTrue="1">
      <formula>"SEVERSTAL"</formula>
    </cfRule>
  </conditionalFormatting>
  <conditionalFormatting sqref="H32:J33 J34:J41">
    <cfRule type="cellIs" dxfId="145" priority="211" stopIfTrue="1" operator="equal">
      <formula>"APROBADO"</formula>
    </cfRule>
    <cfRule type="cellIs" dxfId="144" priority="212" stopIfTrue="1" operator="equal">
      <formula>"ESPERA"</formula>
    </cfRule>
    <cfRule type="cellIs" dxfId="143" priority="213" stopIfTrue="1" operator="equal">
      <formula>"RECHAZADO"</formula>
    </cfRule>
  </conditionalFormatting>
  <conditionalFormatting sqref="E32:E33">
    <cfRule type="expression" dxfId="142" priority="209" stopIfTrue="1">
      <formula>"SEVERSTAL"</formula>
    </cfRule>
  </conditionalFormatting>
  <conditionalFormatting sqref="F34:F46">
    <cfRule type="expression" dxfId="141" priority="205" stopIfTrue="1">
      <formula>"SEVERSTAL"</formula>
    </cfRule>
  </conditionalFormatting>
  <conditionalFormatting sqref="H34:I41 I42:I46">
    <cfRule type="cellIs" dxfId="140" priority="206" stopIfTrue="1" operator="equal">
      <formula>"APROBADO"</formula>
    </cfRule>
    <cfRule type="cellIs" dxfId="139" priority="207" stopIfTrue="1" operator="equal">
      <formula>"ESPERA"</formula>
    </cfRule>
    <cfRule type="cellIs" dxfId="138" priority="208" stopIfTrue="1" operator="equal">
      <formula>"RECHAZADO"</formula>
    </cfRule>
  </conditionalFormatting>
  <conditionalFormatting sqref="H42:H46 K42:K46">
    <cfRule type="cellIs" dxfId="137" priority="198" stopIfTrue="1" operator="equal">
      <formula>"APROBADO"</formula>
    </cfRule>
    <cfRule type="cellIs" dxfId="136" priority="199" stopIfTrue="1" operator="equal">
      <formula>"ESPERA"</formula>
    </cfRule>
    <cfRule type="cellIs" dxfId="135" priority="200" stopIfTrue="1" operator="equal">
      <formula>"RECHAZADO"</formula>
    </cfRule>
  </conditionalFormatting>
  <conditionalFormatting sqref="J42:J46">
    <cfRule type="cellIs" dxfId="134" priority="192" stopIfTrue="1" operator="equal">
      <formula>"APROBADO"</formula>
    </cfRule>
    <cfRule type="cellIs" dxfId="133" priority="193" stopIfTrue="1" operator="equal">
      <formula>"ESPERA"</formula>
    </cfRule>
    <cfRule type="cellIs" dxfId="132" priority="194" stopIfTrue="1" operator="equal">
      <formula>"RECHAZADO"</formula>
    </cfRule>
  </conditionalFormatting>
  <conditionalFormatting sqref="K52:K53">
    <cfRule type="cellIs" dxfId="131" priority="150" stopIfTrue="1" operator="equal">
      <formula>"APROBADO"</formula>
    </cfRule>
    <cfRule type="cellIs" dxfId="130" priority="151" stopIfTrue="1" operator="equal">
      <formula>"ESPERA"</formula>
    </cfRule>
    <cfRule type="cellIs" dxfId="129" priority="152" stopIfTrue="1" operator="equal">
      <formula>"RECHAZADO"</formula>
    </cfRule>
  </conditionalFormatting>
  <conditionalFormatting sqref="E47:E49">
    <cfRule type="expression" dxfId="128" priority="187" stopIfTrue="1">
      <formula>"SEVERSTAL"</formula>
    </cfRule>
  </conditionalFormatting>
  <conditionalFormatting sqref="F47:F49">
    <cfRule type="expression" dxfId="127" priority="188" stopIfTrue="1">
      <formula>"SEVERSTAL"</formula>
    </cfRule>
  </conditionalFormatting>
  <conditionalFormatting sqref="I47:I49">
    <cfRule type="cellIs" dxfId="126" priority="189" stopIfTrue="1" operator="equal">
      <formula>"APROBADO"</formula>
    </cfRule>
    <cfRule type="cellIs" dxfId="125" priority="190" stopIfTrue="1" operator="equal">
      <formula>"ESPERA"</formula>
    </cfRule>
    <cfRule type="cellIs" dxfId="124" priority="191" stopIfTrue="1" operator="equal">
      <formula>"RECHAZADO"</formula>
    </cfRule>
  </conditionalFormatting>
  <conditionalFormatting sqref="H47:H49">
    <cfRule type="cellIs" dxfId="123" priority="184" stopIfTrue="1" operator="equal">
      <formula>"APROBADO"</formula>
    </cfRule>
    <cfRule type="cellIs" dxfId="122" priority="185" stopIfTrue="1" operator="equal">
      <formula>"ESPERA"</formula>
    </cfRule>
    <cfRule type="cellIs" dxfId="121" priority="186" stopIfTrue="1" operator="equal">
      <formula>"RECHAZADO"</formula>
    </cfRule>
  </conditionalFormatting>
  <conditionalFormatting sqref="J47:J49">
    <cfRule type="cellIs" dxfId="120" priority="181" stopIfTrue="1" operator="equal">
      <formula>"APROBADO"</formula>
    </cfRule>
    <cfRule type="cellIs" dxfId="119" priority="182" stopIfTrue="1" operator="equal">
      <formula>"ESPERA"</formula>
    </cfRule>
    <cfRule type="cellIs" dxfId="118" priority="183" stopIfTrue="1" operator="equal">
      <formula>"RECHAZADO"</formula>
    </cfRule>
  </conditionalFormatting>
  <conditionalFormatting sqref="K50:K51">
    <cfRule type="cellIs" dxfId="117" priority="178" stopIfTrue="1" operator="equal">
      <formula>"APROBADO"</formula>
    </cfRule>
    <cfRule type="cellIs" dxfId="116" priority="179" stopIfTrue="1" operator="equal">
      <formula>"ESPERA"</formula>
    </cfRule>
    <cfRule type="cellIs" dxfId="115" priority="180" stopIfTrue="1" operator="equal">
      <formula>"RECHAZADO"</formula>
    </cfRule>
  </conditionalFormatting>
  <conditionalFormatting sqref="E50:E74">
    <cfRule type="expression" dxfId="114" priority="173" stopIfTrue="1">
      <formula>"SEVERSTAL"</formula>
    </cfRule>
  </conditionalFormatting>
  <conditionalFormatting sqref="F50:F51">
    <cfRule type="expression" dxfId="113" priority="174" stopIfTrue="1">
      <formula>"SEVERSTAL"</formula>
    </cfRule>
  </conditionalFormatting>
  <conditionalFormatting sqref="I50:I51">
    <cfRule type="cellIs" dxfId="112" priority="175" stopIfTrue="1" operator="equal">
      <formula>"APROBADO"</formula>
    </cfRule>
    <cfRule type="cellIs" dxfId="111" priority="176" stopIfTrue="1" operator="equal">
      <formula>"ESPERA"</formula>
    </cfRule>
    <cfRule type="cellIs" dxfId="110" priority="177" stopIfTrue="1" operator="equal">
      <formula>"RECHAZADO"</formula>
    </cfRule>
  </conditionalFormatting>
  <conditionalFormatting sqref="H50:H51">
    <cfRule type="cellIs" dxfId="109" priority="170" stopIfTrue="1" operator="equal">
      <formula>"APROBADO"</formula>
    </cfRule>
    <cfRule type="cellIs" dxfId="108" priority="171" stopIfTrue="1" operator="equal">
      <formula>"ESPERA"</formula>
    </cfRule>
    <cfRule type="cellIs" dxfId="107" priority="172" stopIfTrue="1" operator="equal">
      <formula>"RECHAZADO"</formula>
    </cfRule>
  </conditionalFormatting>
  <conditionalFormatting sqref="J50:J55">
    <cfRule type="cellIs" dxfId="106" priority="167" stopIfTrue="1" operator="equal">
      <formula>"APROBADO"</formula>
    </cfRule>
    <cfRule type="cellIs" dxfId="105" priority="168" stopIfTrue="1" operator="equal">
      <formula>"ESPERA"</formula>
    </cfRule>
    <cfRule type="cellIs" dxfId="104" priority="169" stopIfTrue="1" operator="equal">
      <formula>"RECHAZADO"</formula>
    </cfRule>
  </conditionalFormatting>
  <conditionalFormatting sqref="F52:F74">
    <cfRule type="expression" dxfId="103" priority="163" stopIfTrue="1">
      <formula>"SEVERSTAL"</formula>
    </cfRule>
  </conditionalFormatting>
  <conditionalFormatting sqref="I52:I55">
    <cfRule type="cellIs" dxfId="102" priority="164" stopIfTrue="1" operator="equal">
      <formula>"APROBADO"</formula>
    </cfRule>
    <cfRule type="cellIs" dxfId="101" priority="165" stopIfTrue="1" operator="equal">
      <formula>"ESPERA"</formula>
    </cfRule>
    <cfRule type="cellIs" dxfId="100" priority="166" stopIfTrue="1" operator="equal">
      <formula>"RECHAZADO"</formula>
    </cfRule>
  </conditionalFormatting>
  <conditionalFormatting sqref="H52:H53">
    <cfRule type="cellIs" dxfId="99" priority="159" stopIfTrue="1" operator="equal">
      <formula>"APROBADO"</formula>
    </cfRule>
    <cfRule type="cellIs" dxfId="98" priority="160" stopIfTrue="1" operator="equal">
      <formula>"ESPERA"</formula>
    </cfRule>
    <cfRule type="cellIs" dxfId="97" priority="161" stopIfTrue="1" operator="equal">
      <formula>"RECHAZADO"</formula>
    </cfRule>
  </conditionalFormatting>
  <conditionalFormatting sqref="I56">
    <cfRule type="cellIs" dxfId="96" priority="147" stopIfTrue="1" operator="equal">
      <formula>"APROBADO"</formula>
    </cfRule>
    <cfRule type="cellIs" dxfId="95" priority="148" stopIfTrue="1" operator="equal">
      <formula>"ESPERA"</formula>
    </cfRule>
    <cfRule type="cellIs" dxfId="94" priority="149" stopIfTrue="1" operator="equal">
      <formula>"RECHAZADO"</formula>
    </cfRule>
  </conditionalFormatting>
  <conditionalFormatting sqref="H56 K56">
    <cfRule type="cellIs" dxfId="93" priority="144" stopIfTrue="1" operator="equal">
      <formula>"APROBADO"</formula>
    </cfRule>
    <cfRule type="cellIs" dxfId="92" priority="145" stopIfTrue="1" operator="equal">
      <formula>"ESPERA"</formula>
    </cfRule>
    <cfRule type="cellIs" dxfId="91" priority="146" stopIfTrue="1" operator="equal">
      <formula>"RECHAZADO"</formula>
    </cfRule>
  </conditionalFormatting>
  <conditionalFormatting sqref="J56">
    <cfRule type="cellIs" dxfId="90" priority="141" stopIfTrue="1" operator="equal">
      <formula>"APROBADO"</formula>
    </cfRule>
    <cfRule type="cellIs" dxfId="89" priority="142" stopIfTrue="1" operator="equal">
      <formula>"ESPERA"</formula>
    </cfRule>
    <cfRule type="cellIs" dxfId="88" priority="143" stopIfTrue="1" operator="equal">
      <formula>"RECHAZADO"</formula>
    </cfRule>
  </conditionalFormatting>
  <conditionalFormatting sqref="I57">
    <cfRule type="cellIs" dxfId="87" priority="138" stopIfTrue="1" operator="equal">
      <formula>"APROBADO"</formula>
    </cfRule>
    <cfRule type="cellIs" dxfId="86" priority="139" stopIfTrue="1" operator="equal">
      <formula>"ESPERA"</formula>
    </cfRule>
    <cfRule type="cellIs" dxfId="85" priority="140" stopIfTrue="1" operator="equal">
      <formula>"RECHAZADO"</formula>
    </cfRule>
  </conditionalFormatting>
  <conditionalFormatting sqref="H57 K57">
    <cfRule type="cellIs" dxfId="84" priority="135" stopIfTrue="1" operator="equal">
      <formula>"APROBADO"</formula>
    </cfRule>
    <cfRule type="cellIs" dxfId="83" priority="136" stopIfTrue="1" operator="equal">
      <formula>"ESPERA"</formula>
    </cfRule>
    <cfRule type="cellIs" dxfId="82" priority="137" stopIfTrue="1" operator="equal">
      <formula>"RECHAZADO"</formula>
    </cfRule>
  </conditionalFormatting>
  <conditionalFormatting sqref="J57:J62">
    <cfRule type="cellIs" dxfId="81" priority="132" stopIfTrue="1" operator="equal">
      <formula>"APROBADO"</formula>
    </cfRule>
    <cfRule type="cellIs" dxfId="80" priority="133" stopIfTrue="1" operator="equal">
      <formula>"ESPERA"</formula>
    </cfRule>
    <cfRule type="cellIs" dxfId="79" priority="134" stopIfTrue="1" operator="equal">
      <formula>"RECHAZADO"</formula>
    </cfRule>
  </conditionalFormatting>
  <conditionalFormatting sqref="K58:K62">
    <cfRule type="cellIs" dxfId="78" priority="129" stopIfTrue="1" operator="equal">
      <formula>"APROBADO"</formula>
    </cfRule>
    <cfRule type="cellIs" dxfId="77" priority="130" stopIfTrue="1" operator="equal">
      <formula>"ESPERA"</formula>
    </cfRule>
    <cfRule type="cellIs" dxfId="76" priority="131" stopIfTrue="1" operator="equal">
      <formula>"RECHAZADO"</formula>
    </cfRule>
  </conditionalFormatting>
  <conditionalFormatting sqref="K63:K64">
    <cfRule type="cellIs" dxfId="75" priority="126" stopIfTrue="1" operator="equal">
      <formula>"APROBADO"</formula>
    </cfRule>
    <cfRule type="cellIs" dxfId="74" priority="127" stopIfTrue="1" operator="equal">
      <formula>"ESPERA"</formula>
    </cfRule>
    <cfRule type="cellIs" dxfId="73" priority="128" stopIfTrue="1" operator="equal">
      <formula>"RECHAZADO"</formula>
    </cfRule>
  </conditionalFormatting>
  <conditionalFormatting sqref="I63:I64">
    <cfRule type="cellIs" dxfId="72" priority="123" stopIfTrue="1" operator="equal">
      <formula>"APROBADO"</formula>
    </cfRule>
    <cfRule type="cellIs" dxfId="71" priority="124" stopIfTrue="1" operator="equal">
      <formula>"ESPERA"</formula>
    </cfRule>
    <cfRule type="cellIs" dxfId="70" priority="125" stopIfTrue="1" operator="equal">
      <formula>"RECHAZADO"</formula>
    </cfRule>
  </conditionalFormatting>
  <conditionalFormatting sqref="H63:H64">
    <cfRule type="cellIs" dxfId="69" priority="120" stopIfTrue="1" operator="equal">
      <formula>"APROBADO"</formula>
    </cfRule>
    <cfRule type="cellIs" dxfId="68" priority="121" stopIfTrue="1" operator="equal">
      <formula>"ESPERA"</formula>
    </cfRule>
    <cfRule type="cellIs" dxfId="67" priority="122" stopIfTrue="1" operator="equal">
      <formula>"RECHAZADO"</formula>
    </cfRule>
  </conditionalFormatting>
  <conditionalFormatting sqref="J63:J74">
    <cfRule type="cellIs" dxfId="66" priority="117" stopIfTrue="1" operator="equal">
      <formula>"APROBADO"</formula>
    </cfRule>
    <cfRule type="cellIs" dxfId="65" priority="118" stopIfTrue="1" operator="equal">
      <formula>"ESPERA"</formula>
    </cfRule>
    <cfRule type="cellIs" dxfId="64" priority="119" stopIfTrue="1" operator="equal">
      <formula>"RECHAZADO"</formula>
    </cfRule>
  </conditionalFormatting>
  <conditionalFormatting sqref="H75:I76 K75:K76">
    <cfRule type="cellIs" dxfId="63" priority="114" stopIfTrue="1" operator="equal">
      <formula>"APROBADO"</formula>
    </cfRule>
    <cfRule type="cellIs" dxfId="62" priority="115" stopIfTrue="1" operator="equal">
      <formula>"ESPERA"</formula>
    </cfRule>
    <cfRule type="cellIs" dxfId="61" priority="116" stopIfTrue="1" operator="equal">
      <formula>"RECHAZADO"</formula>
    </cfRule>
  </conditionalFormatting>
  <conditionalFormatting sqref="E75:E76">
    <cfRule type="expression" dxfId="60" priority="113" stopIfTrue="1">
      <formula>"SEVERSTAL"</formula>
    </cfRule>
  </conditionalFormatting>
  <conditionalFormatting sqref="F75:F76">
    <cfRule type="expression" dxfId="59" priority="112" stopIfTrue="1">
      <formula>"SEVERSTAL"</formula>
    </cfRule>
  </conditionalFormatting>
  <conditionalFormatting sqref="J75:J78">
    <cfRule type="cellIs" dxfId="58" priority="109" stopIfTrue="1" operator="equal">
      <formula>"APROBADO"</formula>
    </cfRule>
    <cfRule type="cellIs" dxfId="57" priority="110" stopIfTrue="1" operator="equal">
      <formula>"ESPERA"</formula>
    </cfRule>
    <cfRule type="cellIs" dxfId="56" priority="111" stopIfTrue="1" operator="equal">
      <formula>"RECHAZADO"</formula>
    </cfRule>
  </conditionalFormatting>
  <conditionalFormatting sqref="H77:I78">
    <cfRule type="cellIs" dxfId="55" priority="106" stopIfTrue="1" operator="equal">
      <formula>"APROBADO"</formula>
    </cfRule>
    <cfRule type="cellIs" dxfId="54" priority="107" stopIfTrue="1" operator="equal">
      <formula>"ESPERA"</formula>
    </cfRule>
    <cfRule type="cellIs" dxfId="53" priority="108" stopIfTrue="1" operator="equal">
      <formula>"RECHAZADO"</formula>
    </cfRule>
  </conditionalFormatting>
  <conditionalFormatting sqref="E77:E94">
    <cfRule type="expression" dxfId="52" priority="105" stopIfTrue="1">
      <formula>"SEVERSTAL"</formula>
    </cfRule>
  </conditionalFormatting>
  <conditionalFormatting sqref="F77:F78">
    <cfRule type="expression" dxfId="51" priority="104" stopIfTrue="1">
      <formula>"SEVERSTAL"</formula>
    </cfRule>
  </conditionalFormatting>
  <conditionalFormatting sqref="K77:K78">
    <cfRule type="cellIs" dxfId="50" priority="101" stopIfTrue="1" operator="equal">
      <formula>"APROBADO"</formula>
    </cfRule>
    <cfRule type="cellIs" dxfId="49" priority="102" stopIfTrue="1" operator="equal">
      <formula>"ESPERA"</formula>
    </cfRule>
    <cfRule type="cellIs" dxfId="48" priority="103" stopIfTrue="1" operator="equal">
      <formula>"RECHAZADO"</formula>
    </cfRule>
  </conditionalFormatting>
  <conditionalFormatting sqref="K79:K80">
    <cfRule type="cellIs" dxfId="47" priority="90" stopIfTrue="1" operator="equal">
      <formula>"APROBADO"</formula>
    </cfRule>
    <cfRule type="cellIs" dxfId="46" priority="91" stopIfTrue="1" operator="equal">
      <formula>"ESPERA"</formula>
    </cfRule>
    <cfRule type="cellIs" dxfId="45" priority="92" stopIfTrue="1" operator="equal">
      <formula>"RECHAZADO"</formula>
    </cfRule>
  </conditionalFormatting>
  <conditionalFormatting sqref="J79:J88">
    <cfRule type="cellIs" dxfId="44" priority="98" stopIfTrue="1" operator="equal">
      <formula>"APROBADO"</formula>
    </cfRule>
    <cfRule type="cellIs" dxfId="43" priority="99" stopIfTrue="1" operator="equal">
      <formula>"ESPERA"</formula>
    </cfRule>
    <cfRule type="cellIs" dxfId="42" priority="100" stopIfTrue="1" operator="equal">
      <formula>"RECHAZADO"</formula>
    </cfRule>
  </conditionalFormatting>
  <conditionalFormatting sqref="H79:I80 I81:I88">
    <cfRule type="cellIs" dxfId="41" priority="95" stopIfTrue="1" operator="equal">
      <formula>"APROBADO"</formula>
    </cfRule>
    <cfRule type="cellIs" dxfId="40" priority="96" stopIfTrue="1" operator="equal">
      <formula>"ESPERA"</formula>
    </cfRule>
    <cfRule type="cellIs" dxfId="39" priority="97" stopIfTrue="1" operator="equal">
      <formula>"RECHAZADO"</formula>
    </cfRule>
  </conditionalFormatting>
  <conditionalFormatting sqref="F79:F94">
    <cfRule type="expression" dxfId="38" priority="93" stopIfTrue="1">
      <formula>"SEVERSTAL"</formula>
    </cfRule>
  </conditionalFormatting>
  <conditionalFormatting sqref="H89:I94 K89:K94">
    <cfRule type="cellIs" dxfId="37" priority="87" stopIfTrue="1" operator="equal">
      <formula>"APROBADO"</formula>
    </cfRule>
    <cfRule type="cellIs" dxfId="36" priority="88" stopIfTrue="1" operator="equal">
      <formula>"ESPERA"</formula>
    </cfRule>
    <cfRule type="cellIs" dxfId="35" priority="89" stopIfTrue="1" operator="equal">
      <formula>"RECHAZADO"</formula>
    </cfRule>
  </conditionalFormatting>
  <conditionalFormatting sqref="J89:J94">
    <cfRule type="cellIs" dxfId="34" priority="84" stopIfTrue="1" operator="equal">
      <formula>"APROBADO"</formula>
    </cfRule>
    <cfRule type="cellIs" dxfId="33" priority="85" stopIfTrue="1" operator="equal">
      <formula>"ESPERA"</formula>
    </cfRule>
    <cfRule type="cellIs" dxfId="32" priority="86" stopIfTrue="1" operator="equal">
      <formula>"RECHAZADO"</formula>
    </cfRule>
  </conditionalFormatting>
  <conditionalFormatting sqref="J5:J7">
    <cfRule type="top10" dxfId="31" priority="631" percent="1" rank="10"/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BG1275"/>
  <sheetViews>
    <sheetView zoomScale="90" zoomScaleNormal="90" workbookViewId="0">
      <pane xSplit="8" ySplit="4" topLeftCell="I5" activePane="bottomRight" state="frozen"/>
      <selection pane="topRight" activeCell="F1" sqref="F1"/>
      <selection pane="bottomLeft" activeCell="A18" sqref="A18"/>
      <selection pane="bottomRight"/>
    </sheetView>
  </sheetViews>
  <sheetFormatPr baseColWidth="10" defaultColWidth="11" defaultRowHeight="15.75"/>
  <cols>
    <col min="1" max="1" width="12.25" style="33" customWidth="1"/>
    <col min="2" max="2" width="7.125" style="33" customWidth="1"/>
    <col min="3" max="4" width="13.375" style="33" customWidth="1"/>
    <col min="5" max="5" width="10" style="34" customWidth="1"/>
    <col min="6" max="6" width="9.5" style="33" customWidth="1"/>
    <col min="7" max="7" width="11.5" style="33" customWidth="1"/>
    <col min="8" max="8" width="12.75" style="127" customWidth="1"/>
    <col min="9" max="32" width="6.625" style="33" customWidth="1"/>
    <col min="33" max="33" width="6.625" style="34" customWidth="1"/>
    <col min="34" max="59" width="11" style="129"/>
    <col min="60" max="16384" width="11" style="33"/>
  </cols>
  <sheetData>
    <row r="1" spans="1:59" s="129" customFormat="1" ht="29.25" customHeight="1">
      <c r="A1" s="131">
        <v>8</v>
      </c>
      <c r="B1" s="131"/>
      <c r="C1" s="131"/>
      <c r="D1" s="131"/>
      <c r="E1" s="132"/>
      <c r="F1" s="130" t="s">
        <v>54</v>
      </c>
      <c r="G1" s="153"/>
      <c r="H1" s="133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0"/>
      <c r="W1" s="134"/>
      <c r="X1" s="134"/>
      <c r="Y1" s="134"/>
      <c r="Z1" s="134"/>
      <c r="AA1" s="134"/>
      <c r="AB1" s="166"/>
      <c r="AC1" s="166"/>
      <c r="AD1" s="167" t="s">
        <v>95</v>
      </c>
      <c r="AE1" s="167" t="s">
        <v>96</v>
      </c>
      <c r="AF1" s="167" t="s">
        <v>97</v>
      </c>
      <c r="AG1" s="168" t="s">
        <v>94</v>
      </c>
    </row>
    <row r="2" spans="1:59" s="129" customFormat="1" ht="26.25" customHeight="1">
      <c r="B2" s="221" t="s">
        <v>102</v>
      </c>
      <c r="C2" s="222"/>
      <c r="D2" s="222"/>
      <c r="E2" s="222"/>
      <c r="F2" s="222"/>
      <c r="G2" s="222"/>
      <c r="H2" s="222"/>
      <c r="I2" s="224" t="s">
        <v>55</v>
      </c>
      <c r="J2" s="224"/>
      <c r="K2" s="224"/>
      <c r="L2" s="224"/>
      <c r="M2" s="224"/>
      <c r="N2" s="224"/>
      <c r="O2" s="224"/>
      <c r="P2" s="223" t="s">
        <v>56</v>
      </c>
      <c r="Q2" s="223"/>
      <c r="R2" s="223"/>
      <c r="S2" s="223"/>
      <c r="T2" s="223"/>
      <c r="U2" s="138"/>
      <c r="V2" s="130"/>
      <c r="W2" s="135"/>
      <c r="X2" s="135"/>
      <c r="Y2" s="135"/>
      <c r="Z2" s="135"/>
      <c r="AA2" s="135"/>
      <c r="AB2" s="169"/>
      <c r="AC2" s="170" t="s">
        <v>98</v>
      </c>
      <c r="AD2" s="154">
        <v>130</v>
      </c>
      <c r="AE2" s="171">
        <f>22*AD2/60</f>
        <v>47.666666666666664</v>
      </c>
      <c r="AF2" s="171">
        <f>3600/AD2</f>
        <v>27.692307692307693</v>
      </c>
      <c r="AG2" s="172">
        <f>AF2*8</f>
        <v>221.53846153846155</v>
      </c>
    </row>
    <row r="3" spans="1:59" s="129" customFormat="1" ht="21" customHeight="1">
      <c r="A3" s="136"/>
      <c r="B3" s="222"/>
      <c r="C3" s="222"/>
      <c r="D3" s="222"/>
      <c r="E3" s="222"/>
      <c r="F3" s="222"/>
      <c r="G3" s="222"/>
      <c r="H3" s="222"/>
      <c r="I3" s="226" t="s">
        <v>8</v>
      </c>
      <c r="J3" s="227"/>
      <c r="K3" s="225" t="s">
        <v>9</v>
      </c>
      <c r="L3" s="226"/>
      <c r="M3" s="226"/>
      <c r="N3" s="226"/>
      <c r="O3" s="227"/>
      <c r="P3" s="225" t="s">
        <v>13</v>
      </c>
      <c r="Q3" s="227"/>
      <c r="R3" s="225" t="s">
        <v>9</v>
      </c>
      <c r="S3" s="226"/>
      <c r="T3" s="226"/>
      <c r="U3" s="157"/>
      <c r="V3" s="137"/>
      <c r="W3" s="135"/>
      <c r="X3" s="135"/>
      <c r="Y3" s="135"/>
      <c r="Z3" s="135"/>
      <c r="AA3" s="135"/>
      <c r="AB3" s="169"/>
      <c r="AC3" s="170" t="s">
        <v>99</v>
      </c>
      <c r="AD3" s="154">
        <f>AD2</f>
        <v>130</v>
      </c>
      <c r="AE3" s="171">
        <f>34*AD3/60</f>
        <v>73.666666666666671</v>
      </c>
      <c r="AF3" s="171">
        <f>3600/AD3</f>
        <v>27.692307692307693</v>
      </c>
      <c r="AG3" s="172">
        <f>AF3*8</f>
        <v>221.53846153846155</v>
      </c>
    </row>
    <row r="4" spans="1:59" s="123" customFormat="1" ht="56.25" customHeight="1">
      <c r="A4" s="124" t="s">
        <v>1</v>
      </c>
      <c r="B4" s="124" t="s">
        <v>4</v>
      </c>
      <c r="C4" s="124" t="s">
        <v>57</v>
      </c>
      <c r="D4" s="124" t="s">
        <v>115</v>
      </c>
      <c r="E4" s="124" t="s">
        <v>3</v>
      </c>
      <c r="F4" s="124" t="s">
        <v>5</v>
      </c>
      <c r="G4" s="124" t="s">
        <v>12</v>
      </c>
      <c r="H4" s="128" t="s">
        <v>83</v>
      </c>
      <c r="I4" s="124" t="s">
        <v>7</v>
      </c>
      <c r="J4" s="124" t="s">
        <v>61</v>
      </c>
      <c r="K4" s="124" t="s">
        <v>60</v>
      </c>
      <c r="L4" s="124" t="s">
        <v>10</v>
      </c>
      <c r="M4" s="124" t="s">
        <v>11</v>
      </c>
      <c r="N4" s="124" t="s">
        <v>16</v>
      </c>
      <c r="O4" s="124" t="s">
        <v>62</v>
      </c>
      <c r="P4" s="124" t="s">
        <v>63</v>
      </c>
      <c r="Q4" s="124" t="s">
        <v>7</v>
      </c>
      <c r="R4" s="124" t="s">
        <v>10</v>
      </c>
      <c r="S4" s="124" t="s">
        <v>11</v>
      </c>
      <c r="T4" s="124" t="s">
        <v>64</v>
      </c>
      <c r="U4" s="124" t="s">
        <v>60</v>
      </c>
      <c r="V4" s="124" t="s">
        <v>0</v>
      </c>
      <c r="W4" s="124" t="s">
        <v>6</v>
      </c>
      <c r="X4" s="124" t="s">
        <v>92</v>
      </c>
      <c r="Y4" s="124" t="s">
        <v>59</v>
      </c>
      <c r="Z4" s="124" t="s">
        <v>84</v>
      </c>
      <c r="AA4" s="124" t="s">
        <v>67</v>
      </c>
      <c r="AB4" s="124" t="s">
        <v>85</v>
      </c>
      <c r="AC4" s="124" t="s">
        <v>58</v>
      </c>
      <c r="AD4" s="124" t="s">
        <v>93</v>
      </c>
      <c r="AE4" s="124" t="s">
        <v>101</v>
      </c>
      <c r="AF4" s="124" t="s">
        <v>51</v>
      </c>
      <c r="AG4" s="124" t="s">
        <v>53</v>
      </c>
    </row>
    <row r="5" spans="1:59" s="34" customFormat="1">
      <c r="A5" s="140">
        <v>419</v>
      </c>
      <c r="B5" s="141">
        <v>2</v>
      </c>
      <c r="C5" s="112">
        <v>4352995</v>
      </c>
      <c r="D5" s="141" t="s">
        <v>100</v>
      </c>
      <c r="E5" s="160">
        <v>91839</v>
      </c>
      <c r="F5" s="160">
        <v>12407</v>
      </c>
      <c r="G5" s="110">
        <v>13</v>
      </c>
      <c r="H5" s="143" t="s">
        <v>103</v>
      </c>
      <c r="I5" s="114">
        <v>0</v>
      </c>
      <c r="J5" s="115">
        <v>0</v>
      </c>
      <c r="K5" s="116">
        <v>0</v>
      </c>
      <c r="L5" s="116">
        <v>0</v>
      </c>
      <c r="M5" s="114">
        <v>0</v>
      </c>
      <c r="N5" s="113">
        <v>0</v>
      </c>
      <c r="O5" s="113">
        <v>0</v>
      </c>
      <c r="P5" s="146">
        <v>0</v>
      </c>
      <c r="Q5" s="116">
        <v>0</v>
      </c>
      <c r="R5" s="116">
        <v>0</v>
      </c>
      <c r="S5" s="114">
        <v>0</v>
      </c>
      <c r="T5" s="116">
        <v>0</v>
      </c>
      <c r="U5" s="116">
        <v>0</v>
      </c>
      <c r="V5" s="121">
        <f t="shared" ref="V5:V46" si="0">+G5-(SUM(I5:N5,P5:S5,U5))</f>
        <v>13</v>
      </c>
      <c r="W5" s="111"/>
      <c r="X5" s="111"/>
      <c r="Y5" s="111"/>
      <c r="Z5" s="111"/>
      <c r="AA5" s="111"/>
      <c r="AB5" s="111"/>
      <c r="AC5" s="111"/>
      <c r="AD5" s="111"/>
      <c r="AE5" s="139">
        <f t="shared" ref="AE5:AE40" si="1">V5-(X5+Y5)</f>
        <v>13</v>
      </c>
      <c r="AF5" s="109"/>
      <c r="AG5" s="109"/>
      <c r="AH5" s="148"/>
      <c r="AI5" s="148"/>
      <c r="AJ5" s="148"/>
      <c r="AK5" s="148"/>
      <c r="AL5" s="148"/>
      <c r="AM5" s="148"/>
      <c r="AN5" s="148"/>
      <c r="AO5" s="148"/>
      <c r="AP5" s="148"/>
      <c r="AQ5" s="148"/>
      <c r="AR5" s="148"/>
      <c r="AS5" s="148"/>
      <c r="AT5" s="148"/>
      <c r="AU5" s="148"/>
      <c r="AV5" s="148"/>
      <c r="AW5" s="148"/>
      <c r="AX5" s="148"/>
      <c r="AY5" s="148"/>
      <c r="AZ5" s="148"/>
      <c r="BA5" s="148"/>
      <c r="BB5" s="148"/>
      <c r="BC5" s="148"/>
      <c r="BD5" s="148"/>
      <c r="BE5" s="148"/>
      <c r="BF5" s="148"/>
      <c r="BG5" s="148"/>
    </row>
    <row r="6" spans="1:59" s="34" customFormat="1">
      <c r="A6" s="140">
        <v>419</v>
      </c>
      <c r="B6" s="141">
        <v>2</v>
      </c>
      <c r="C6" s="112">
        <v>4352995</v>
      </c>
      <c r="D6" s="141" t="s">
        <v>100</v>
      </c>
      <c r="E6" s="160">
        <v>91840</v>
      </c>
      <c r="F6" s="160">
        <v>12408</v>
      </c>
      <c r="G6" s="110">
        <v>9</v>
      </c>
      <c r="H6" s="143" t="s">
        <v>104</v>
      </c>
      <c r="I6" s="114">
        <v>0</v>
      </c>
      <c r="J6" s="115">
        <v>0</v>
      </c>
      <c r="K6" s="116">
        <v>0</v>
      </c>
      <c r="L6" s="116">
        <v>0</v>
      </c>
      <c r="M6" s="114">
        <v>0</v>
      </c>
      <c r="N6" s="113">
        <v>0</v>
      </c>
      <c r="O6" s="113">
        <v>0</v>
      </c>
      <c r="P6" s="146">
        <v>0</v>
      </c>
      <c r="Q6" s="116">
        <v>0</v>
      </c>
      <c r="R6" s="116">
        <v>0</v>
      </c>
      <c r="S6" s="114">
        <v>0</v>
      </c>
      <c r="T6" s="116">
        <v>0</v>
      </c>
      <c r="U6" s="116">
        <v>0</v>
      </c>
      <c r="V6" s="121">
        <f t="shared" ref="V6" si="2">+G6-(SUM(I6:N6,P6:S6,U6))</f>
        <v>9</v>
      </c>
      <c r="W6" s="111"/>
      <c r="X6" s="111"/>
      <c r="Y6" s="111"/>
      <c r="Z6" s="111"/>
      <c r="AA6" s="111"/>
      <c r="AB6" s="111"/>
      <c r="AC6" s="111"/>
      <c r="AD6" s="111"/>
      <c r="AE6" s="139">
        <f t="shared" ref="AE6" si="3">V6-(X6+Y6)</f>
        <v>9</v>
      </c>
      <c r="AF6" s="109"/>
      <c r="AG6" s="109"/>
      <c r="AH6" s="148"/>
      <c r="AI6" s="148"/>
      <c r="AJ6" s="148"/>
      <c r="AK6" s="148"/>
      <c r="AL6" s="148"/>
      <c r="AM6" s="148"/>
      <c r="AN6" s="148"/>
      <c r="AO6" s="148"/>
      <c r="AP6" s="148"/>
      <c r="AQ6" s="148"/>
      <c r="AR6" s="148"/>
      <c r="AS6" s="148"/>
      <c r="AT6" s="148"/>
      <c r="AU6" s="148"/>
      <c r="AV6" s="148"/>
      <c r="AW6" s="148"/>
      <c r="AX6" s="148"/>
      <c r="AY6" s="148"/>
      <c r="AZ6" s="148"/>
      <c r="BA6" s="148"/>
      <c r="BB6" s="148"/>
      <c r="BC6" s="148"/>
      <c r="BD6" s="148"/>
      <c r="BE6" s="148"/>
      <c r="BF6" s="148"/>
      <c r="BG6" s="148"/>
    </row>
    <row r="7" spans="1:59">
      <c r="A7" s="140"/>
      <c r="B7" s="141"/>
      <c r="C7" s="112"/>
      <c r="D7" s="141"/>
      <c r="E7" s="119"/>
      <c r="F7" s="118"/>
      <c r="G7" s="110"/>
      <c r="H7" s="143"/>
      <c r="I7" s="114">
        <v>0</v>
      </c>
      <c r="J7" s="115">
        <v>0</v>
      </c>
      <c r="K7" s="116">
        <v>0</v>
      </c>
      <c r="L7" s="116">
        <v>0</v>
      </c>
      <c r="M7" s="114">
        <v>0</v>
      </c>
      <c r="N7" s="113">
        <v>0</v>
      </c>
      <c r="O7" s="113">
        <v>0</v>
      </c>
      <c r="P7" s="146">
        <v>0</v>
      </c>
      <c r="Q7" s="116">
        <v>0</v>
      </c>
      <c r="R7" s="116">
        <v>0</v>
      </c>
      <c r="S7" s="114">
        <v>0</v>
      </c>
      <c r="T7" s="116">
        <v>0</v>
      </c>
      <c r="U7" s="116">
        <v>0</v>
      </c>
      <c r="V7" s="121">
        <f t="shared" si="0"/>
        <v>0</v>
      </c>
      <c r="W7" s="111"/>
      <c r="X7" s="111"/>
      <c r="Y7" s="111"/>
      <c r="Z7" s="111"/>
      <c r="AA7" s="111"/>
      <c r="AB7" s="111"/>
      <c r="AC7" s="111"/>
      <c r="AD7" s="111"/>
      <c r="AE7" s="139">
        <f t="shared" si="1"/>
        <v>0</v>
      </c>
      <c r="AF7" s="109"/>
      <c r="AG7" s="109"/>
    </row>
    <row r="8" spans="1:59" ht="17.25" customHeight="1">
      <c r="A8" s="140"/>
      <c r="B8" s="141"/>
      <c r="C8" s="112"/>
      <c r="D8" s="141"/>
      <c r="E8" s="119"/>
      <c r="F8" s="118"/>
      <c r="G8" s="110"/>
      <c r="H8" s="143"/>
      <c r="I8" s="114">
        <v>0</v>
      </c>
      <c r="J8" s="115">
        <v>0</v>
      </c>
      <c r="K8" s="116">
        <v>0</v>
      </c>
      <c r="L8" s="116">
        <v>0</v>
      </c>
      <c r="M8" s="114">
        <v>0</v>
      </c>
      <c r="N8" s="113">
        <v>0</v>
      </c>
      <c r="O8" s="113">
        <v>0</v>
      </c>
      <c r="P8" s="146">
        <v>0</v>
      </c>
      <c r="Q8" s="116">
        <v>0</v>
      </c>
      <c r="R8" s="116">
        <v>0</v>
      </c>
      <c r="S8" s="114">
        <v>0</v>
      </c>
      <c r="T8" s="116">
        <v>0</v>
      </c>
      <c r="U8" s="116">
        <v>0</v>
      </c>
      <c r="V8" s="121">
        <f t="shared" si="0"/>
        <v>0</v>
      </c>
      <c r="W8" s="111"/>
      <c r="X8" s="111"/>
      <c r="Y8" s="111"/>
      <c r="Z8" s="111"/>
      <c r="AA8" s="111"/>
      <c r="AB8" s="111"/>
      <c r="AC8" s="111"/>
      <c r="AD8" s="111"/>
      <c r="AE8" s="139">
        <f t="shared" si="1"/>
        <v>0</v>
      </c>
      <c r="AF8" s="109"/>
      <c r="AG8" s="109"/>
    </row>
    <row r="9" spans="1:59">
      <c r="A9" s="140"/>
      <c r="B9" s="141"/>
      <c r="C9" s="112"/>
      <c r="D9" s="141"/>
      <c r="E9" s="119"/>
      <c r="F9" s="118"/>
      <c r="G9" s="110"/>
      <c r="H9" s="143"/>
      <c r="I9" s="114">
        <v>0</v>
      </c>
      <c r="J9" s="115">
        <v>0</v>
      </c>
      <c r="K9" s="116">
        <v>0</v>
      </c>
      <c r="L9" s="116">
        <v>0</v>
      </c>
      <c r="M9" s="114">
        <v>0</v>
      </c>
      <c r="N9" s="113">
        <v>0</v>
      </c>
      <c r="O9" s="113">
        <v>0</v>
      </c>
      <c r="P9" s="146">
        <v>0</v>
      </c>
      <c r="Q9" s="116">
        <v>0</v>
      </c>
      <c r="R9" s="116">
        <v>0</v>
      </c>
      <c r="S9" s="114">
        <v>0</v>
      </c>
      <c r="T9" s="116">
        <v>0</v>
      </c>
      <c r="U9" s="116">
        <v>0</v>
      </c>
      <c r="V9" s="121">
        <f t="shared" si="0"/>
        <v>0</v>
      </c>
      <c r="W9" s="111"/>
      <c r="X9" s="111"/>
      <c r="Y9" s="111"/>
      <c r="Z9" s="111"/>
      <c r="AA9" s="111"/>
      <c r="AB9" s="111"/>
      <c r="AC9" s="111"/>
      <c r="AD9" s="111"/>
      <c r="AE9" s="139">
        <f t="shared" si="1"/>
        <v>0</v>
      </c>
      <c r="AF9" s="109"/>
      <c r="AG9" s="109"/>
    </row>
    <row r="10" spans="1:59">
      <c r="A10" s="140"/>
      <c r="B10" s="141"/>
      <c r="C10" s="112"/>
      <c r="D10" s="141"/>
      <c r="E10" s="119"/>
      <c r="F10" s="118"/>
      <c r="G10" s="110"/>
      <c r="H10" s="143"/>
      <c r="I10" s="114">
        <v>0</v>
      </c>
      <c r="J10" s="115">
        <v>0</v>
      </c>
      <c r="K10" s="116">
        <v>0</v>
      </c>
      <c r="L10" s="116">
        <v>0</v>
      </c>
      <c r="M10" s="114">
        <v>0</v>
      </c>
      <c r="N10" s="113">
        <v>0</v>
      </c>
      <c r="O10" s="113">
        <v>0</v>
      </c>
      <c r="P10" s="146">
        <v>0</v>
      </c>
      <c r="Q10" s="116">
        <v>0</v>
      </c>
      <c r="R10" s="116">
        <v>0</v>
      </c>
      <c r="S10" s="114">
        <v>0</v>
      </c>
      <c r="T10" s="116">
        <v>0</v>
      </c>
      <c r="U10" s="116">
        <v>0</v>
      </c>
      <c r="V10" s="121">
        <f t="shared" si="0"/>
        <v>0</v>
      </c>
      <c r="W10" s="111"/>
      <c r="X10" s="111"/>
      <c r="Y10" s="111"/>
      <c r="Z10" s="111"/>
      <c r="AA10" s="111"/>
      <c r="AB10" s="111"/>
      <c r="AC10" s="111"/>
      <c r="AD10" s="111"/>
      <c r="AE10" s="139">
        <f t="shared" si="1"/>
        <v>0</v>
      </c>
      <c r="AF10" s="109"/>
      <c r="AG10" s="109"/>
    </row>
    <row r="11" spans="1:59">
      <c r="A11" s="140"/>
      <c r="B11" s="141"/>
      <c r="C11" s="112"/>
      <c r="D11" s="141"/>
      <c r="E11" s="119"/>
      <c r="F11" s="118"/>
      <c r="G11" s="110"/>
      <c r="H11" s="143"/>
      <c r="I11" s="114">
        <v>0</v>
      </c>
      <c r="J11" s="115">
        <v>0</v>
      </c>
      <c r="K11" s="116">
        <v>0</v>
      </c>
      <c r="L11" s="116">
        <v>0</v>
      </c>
      <c r="M11" s="114">
        <v>0</v>
      </c>
      <c r="N11" s="113">
        <v>0</v>
      </c>
      <c r="O11" s="113">
        <v>0</v>
      </c>
      <c r="P11" s="146">
        <v>0</v>
      </c>
      <c r="Q11" s="116">
        <v>0</v>
      </c>
      <c r="R11" s="116">
        <v>0</v>
      </c>
      <c r="S11" s="114">
        <v>0</v>
      </c>
      <c r="T11" s="116">
        <v>0</v>
      </c>
      <c r="U11" s="116">
        <v>0</v>
      </c>
      <c r="V11" s="121">
        <f t="shared" si="0"/>
        <v>0</v>
      </c>
      <c r="W11" s="111"/>
      <c r="X11" s="111"/>
      <c r="Y11" s="111"/>
      <c r="Z11" s="111"/>
      <c r="AA11" s="111"/>
      <c r="AB11" s="111"/>
      <c r="AC11" s="111"/>
      <c r="AD11" s="111"/>
      <c r="AE11" s="139">
        <f t="shared" si="1"/>
        <v>0</v>
      </c>
      <c r="AF11" s="109"/>
      <c r="AG11" s="109"/>
    </row>
    <row r="12" spans="1:59">
      <c r="A12" s="140"/>
      <c r="B12" s="141"/>
      <c r="C12" s="112"/>
      <c r="D12" s="141"/>
      <c r="E12" s="119"/>
      <c r="F12" s="118"/>
      <c r="G12" s="110"/>
      <c r="H12" s="143"/>
      <c r="I12" s="114">
        <v>0</v>
      </c>
      <c r="J12" s="115">
        <v>0</v>
      </c>
      <c r="K12" s="116">
        <v>0</v>
      </c>
      <c r="L12" s="116">
        <v>0</v>
      </c>
      <c r="M12" s="114">
        <v>0</v>
      </c>
      <c r="N12" s="113">
        <v>0</v>
      </c>
      <c r="O12" s="113">
        <v>0</v>
      </c>
      <c r="P12" s="146">
        <v>0</v>
      </c>
      <c r="Q12" s="116">
        <v>0</v>
      </c>
      <c r="R12" s="116">
        <v>0</v>
      </c>
      <c r="S12" s="114">
        <v>0</v>
      </c>
      <c r="T12" s="116">
        <v>0</v>
      </c>
      <c r="U12" s="116">
        <v>0</v>
      </c>
      <c r="V12" s="121">
        <f t="shared" si="0"/>
        <v>0</v>
      </c>
      <c r="W12" s="111"/>
      <c r="X12" s="111"/>
      <c r="Y12" s="111"/>
      <c r="Z12" s="111"/>
      <c r="AA12" s="111"/>
      <c r="AB12" s="111"/>
      <c r="AC12" s="111"/>
      <c r="AD12" s="111"/>
      <c r="AE12" s="139">
        <f t="shared" si="1"/>
        <v>0</v>
      </c>
      <c r="AF12" s="109"/>
      <c r="AG12" s="109"/>
    </row>
    <row r="13" spans="1:59" s="129" customFormat="1">
      <c r="A13" s="140"/>
      <c r="B13" s="141"/>
      <c r="C13" s="141"/>
      <c r="D13" s="141"/>
      <c r="E13" s="119"/>
      <c r="F13" s="118"/>
      <c r="G13" s="120"/>
      <c r="H13" s="143"/>
      <c r="I13" s="144">
        <v>0</v>
      </c>
      <c r="J13" s="145">
        <v>0</v>
      </c>
      <c r="K13" s="146">
        <v>0</v>
      </c>
      <c r="L13" s="146">
        <v>0</v>
      </c>
      <c r="M13" s="144">
        <v>0</v>
      </c>
      <c r="N13" s="142">
        <v>0</v>
      </c>
      <c r="O13" s="142">
        <v>0</v>
      </c>
      <c r="P13" s="146">
        <v>0</v>
      </c>
      <c r="Q13" s="146">
        <v>0</v>
      </c>
      <c r="R13" s="146">
        <v>0</v>
      </c>
      <c r="S13" s="144">
        <v>0</v>
      </c>
      <c r="T13" s="146">
        <v>0</v>
      </c>
      <c r="U13" s="146">
        <v>0</v>
      </c>
      <c r="V13" s="121">
        <f t="shared" si="0"/>
        <v>0</v>
      </c>
      <c r="W13" s="122"/>
      <c r="X13" s="122"/>
      <c r="Y13" s="122"/>
      <c r="Z13" s="122"/>
      <c r="AA13" s="122"/>
      <c r="AB13" s="122"/>
      <c r="AC13" s="122"/>
      <c r="AD13" s="122"/>
      <c r="AE13" s="147">
        <f t="shared" si="1"/>
        <v>0</v>
      </c>
      <c r="AF13" s="119"/>
      <c r="AG13" s="119"/>
    </row>
    <row r="14" spans="1:59" s="129" customFormat="1">
      <c r="A14" s="140"/>
      <c r="B14" s="141"/>
      <c r="C14" s="141"/>
      <c r="D14" s="141"/>
      <c r="E14" s="119"/>
      <c r="F14" s="118"/>
      <c r="G14" s="120"/>
      <c r="H14" s="143"/>
      <c r="I14" s="144">
        <v>0</v>
      </c>
      <c r="J14" s="145">
        <v>0</v>
      </c>
      <c r="K14" s="146">
        <v>0</v>
      </c>
      <c r="L14" s="146">
        <v>0</v>
      </c>
      <c r="M14" s="144">
        <v>0</v>
      </c>
      <c r="N14" s="142">
        <v>0</v>
      </c>
      <c r="O14" s="142">
        <v>0</v>
      </c>
      <c r="P14" s="146">
        <v>0</v>
      </c>
      <c r="Q14" s="146">
        <v>0</v>
      </c>
      <c r="R14" s="146">
        <v>0</v>
      </c>
      <c r="S14" s="144">
        <v>0</v>
      </c>
      <c r="T14" s="146">
        <v>0</v>
      </c>
      <c r="U14" s="146">
        <v>0</v>
      </c>
      <c r="V14" s="121">
        <f t="shared" si="0"/>
        <v>0</v>
      </c>
      <c r="W14" s="122"/>
      <c r="X14" s="122"/>
      <c r="Y14" s="122"/>
      <c r="Z14" s="122"/>
      <c r="AA14" s="122"/>
      <c r="AB14" s="122"/>
      <c r="AC14" s="122"/>
      <c r="AD14" s="122"/>
      <c r="AE14" s="147">
        <f t="shared" si="1"/>
        <v>0</v>
      </c>
      <c r="AF14" s="119"/>
      <c r="AG14" s="119"/>
    </row>
    <row r="15" spans="1:59" s="129" customFormat="1">
      <c r="A15" s="140"/>
      <c r="B15" s="141"/>
      <c r="C15" s="141"/>
      <c r="D15" s="141"/>
      <c r="E15" s="119"/>
      <c r="F15" s="118"/>
      <c r="G15" s="120"/>
      <c r="H15" s="143"/>
      <c r="I15" s="144">
        <v>0</v>
      </c>
      <c r="J15" s="145">
        <v>0</v>
      </c>
      <c r="K15" s="146">
        <v>0</v>
      </c>
      <c r="L15" s="146">
        <v>0</v>
      </c>
      <c r="M15" s="144">
        <v>0</v>
      </c>
      <c r="N15" s="142">
        <v>0</v>
      </c>
      <c r="O15" s="142">
        <v>0</v>
      </c>
      <c r="P15" s="146">
        <v>0</v>
      </c>
      <c r="Q15" s="146">
        <v>0</v>
      </c>
      <c r="R15" s="146">
        <v>0</v>
      </c>
      <c r="S15" s="144">
        <v>0</v>
      </c>
      <c r="T15" s="146">
        <v>0</v>
      </c>
      <c r="U15" s="146">
        <v>0</v>
      </c>
      <c r="V15" s="121">
        <f t="shared" si="0"/>
        <v>0</v>
      </c>
      <c r="W15" s="122"/>
      <c r="X15" s="122"/>
      <c r="Y15" s="122"/>
      <c r="Z15" s="122"/>
      <c r="AA15" s="122"/>
      <c r="AB15" s="122"/>
      <c r="AC15" s="122"/>
      <c r="AD15" s="122"/>
      <c r="AE15" s="147">
        <f t="shared" si="1"/>
        <v>0</v>
      </c>
      <c r="AF15" s="119"/>
      <c r="AG15" s="119"/>
    </row>
    <row r="16" spans="1:59" s="129" customFormat="1">
      <c r="A16" s="140"/>
      <c r="B16" s="141"/>
      <c r="C16" s="141"/>
      <c r="D16" s="141"/>
      <c r="E16" s="119"/>
      <c r="F16" s="118"/>
      <c r="G16" s="120"/>
      <c r="H16" s="143"/>
      <c r="I16" s="144">
        <v>0</v>
      </c>
      <c r="J16" s="145">
        <v>0</v>
      </c>
      <c r="K16" s="146">
        <v>0</v>
      </c>
      <c r="L16" s="146">
        <v>0</v>
      </c>
      <c r="M16" s="144">
        <v>0</v>
      </c>
      <c r="N16" s="142">
        <v>0</v>
      </c>
      <c r="O16" s="142">
        <v>0</v>
      </c>
      <c r="P16" s="146">
        <v>0</v>
      </c>
      <c r="Q16" s="146">
        <v>0</v>
      </c>
      <c r="R16" s="146">
        <v>0</v>
      </c>
      <c r="S16" s="144">
        <v>0</v>
      </c>
      <c r="T16" s="146">
        <v>0</v>
      </c>
      <c r="U16" s="146">
        <v>0</v>
      </c>
      <c r="V16" s="121">
        <f t="shared" si="0"/>
        <v>0</v>
      </c>
      <c r="W16" s="122"/>
      <c r="X16" s="122"/>
      <c r="Y16" s="122"/>
      <c r="Z16" s="122"/>
      <c r="AA16" s="122"/>
      <c r="AB16" s="122"/>
      <c r="AC16" s="122"/>
      <c r="AD16" s="122"/>
      <c r="AE16" s="147">
        <f t="shared" si="1"/>
        <v>0</v>
      </c>
      <c r="AF16" s="119"/>
      <c r="AG16" s="119"/>
    </row>
    <row r="17" spans="1:33" s="129" customFormat="1">
      <c r="A17" s="140"/>
      <c r="B17" s="141"/>
      <c r="C17" s="141"/>
      <c r="D17" s="141"/>
      <c r="E17" s="155"/>
      <c r="F17" s="156"/>
      <c r="G17" s="120"/>
      <c r="H17" s="143"/>
      <c r="I17" s="144">
        <v>0</v>
      </c>
      <c r="J17" s="145">
        <v>0</v>
      </c>
      <c r="K17" s="146">
        <v>0</v>
      </c>
      <c r="L17" s="146">
        <v>0</v>
      </c>
      <c r="M17" s="144">
        <v>0</v>
      </c>
      <c r="N17" s="142">
        <v>0</v>
      </c>
      <c r="O17" s="142">
        <v>0</v>
      </c>
      <c r="P17" s="146">
        <v>0</v>
      </c>
      <c r="Q17" s="146">
        <v>0</v>
      </c>
      <c r="R17" s="146">
        <v>0</v>
      </c>
      <c r="S17" s="144">
        <v>0</v>
      </c>
      <c r="T17" s="146">
        <v>0</v>
      </c>
      <c r="U17" s="146">
        <v>0</v>
      </c>
      <c r="V17" s="121">
        <f t="shared" si="0"/>
        <v>0</v>
      </c>
      <c r="W17" s="122"/>
      <c r="X17" s="122"/>
      <c r="Y17" s="122"/>
      <c r="Z17" s="122"/>
      <c r="AA17" s="122"/>
      <c r="AB17" s="122"/>
      <c r="AC17" s="122"/>
      <c r="AD17" s="122"/>
      <c r="AE17" s="147">
        <f t="shared" si="1"/>
        <v>0</v>
      </c>
      <c r="AF17" s="119"/>
      <c r="AG17" s="119"/>
    </row>
    <row r="18" spans="1:33" s="129" customFormat="1">
      <c r="A18" s="140"/>
      <c r="B18" s="141"/>
      <c r="C18" s="141"/>
      <c r="D18" s="141"/>
      <c r="E18" s="155"/>
      <c r="F18" s="156"/>
      <c r="G18" s="120"/>
      <c r="H18" s="143"/>
      <c r="I18" s="144">
        <v>0</v>
      </c>
      <c r="J18" s="145">
        <v>0</v>
      </c>
      <c r="K18" s="146">
        <v>0</v>
      </c>
      <c r="L18" s="146">
        <v>0</v>
      </c>
      <c r="M18" s="144">
        <v>0</v>
      </c>
      <c r="N18" s="142">
        <v>0</v>
      </c>
      <c r="O18" s="142">
        <v>0</v>
      </c>
      <c r="P18" s="146">
        <v>0</v>
      </c>
      <c r="Q18" s="146">
        <v>0</v>
      </c>
      <c r="R18" s="146">
        <v>0</v>
      </c>
      <c r="S18" s="144">
        <v>0</v>
      </c>
      <c r="T18" s="146">
        <v>0</v>
      </c>
      <c r="U18" s="146">
        <v>0</v>
      </c>
      <c r="V18" s="121">
        <f t="shared" si="0"/>
        <v>0</v>
      </c>
      <c r="W18" s="122"/>
      <c r="X18" s="122"/>
      <c r="Y18" s="122"/>
      <c r="Z18" s="122"/>
      <c r="AA18" s="122"/>
      <c r="AB18" s="122"/>
      <c r="AC18" s="122"/>
      <c r="AD18" s="122"/>
      <c r="AE18" s="147">
        <f t="shared" si="1"/>
        <v>0</v>
      </c>
      <c r="AF18" s="119"/>
      <c r="AG18" s="119"/>
    </row>
    <row r="19" spans="1:33" s="129" customFormat="1">
      <c r="A19" s="140"/>
      <c r="B19" s="141"/>
      <c r="C19" s="141"/>
      <c r="D19" s="141"/>
      <c r="E19" s="119"/>
      <c r="F19" s="118"/>
      <c r="G19" s="120"/>
      <c r="H19" s="143"/>
      <c r="I19" s="144">
        <v>0</v>
      </c>
      <c r="J19" s="145">
        <v>0</v>
      </c>
      <c r="K19" s="146">
        <v>0</v>
      </c>
      <c r="L19" s="146">
        <v>0</v>
      </c>
      <c r="M19" s="144">
        <v>0</v>
      </c>
      <c r="N19" s="142">
        <v>0</v>
      </c>
      <c r="O19" s="142">
        <v>0</v>
      </c>
      <c r="P19" s="146">
        <v>0</v>
      </c>
      <c r="Q19" s="146">
        <v>0</v>
      </c>
      <c r="R19" s="146">
        <v>0</v>
      </c>
      <c r="S19" s="144">
        <v>0</v>
      </c>
      <c r="T19" s="146">
        <v>0</v>
      </c>
      <c r="U19" s="146">
        <v>0</v>
      </c>
      <c r="V19" s="121">
        <f t="shared" si="0"/>
        <v>0</v>
      </c>
      <c r="W19" s="122"/>
      <c r="X19" s="122"/>
      <c r="Y19" s="122"/>
      <c r="Z19" s="122"/>
      <c r="AA19" s="122"/>
      <c r="AB19" s="122"/>
      <c r="AC19" s="122"/>
      <c r="AD19" s="122"/>
      <c r="AE19" s="147">
        <f t="shared" si="1"/>
        <v>0</v>
      </c>
      <c r="AF19" s="119"/>
      <c r="AG19" s="119"/>
    </row>
    <row r="20" spans="1:33" s="129" customFormat="1">
      <c r="A20" s="140"/>
      <c r="B20" s="141"/>
      <c r="C20" s="141"/>
      <c r="D20" s="141"/>
      <c r="E20" s="119"/>
      <c r="F20" s="118"/>
      <c r="G20" s="120"/>
      <c r="H20" s="143"/>
      <c r="I20" s="144">
        <v>0</v>
      </c>
      <c r="J20" s="145">
        <v>0</v>
      </c>
      <c r="K20" s="146">
        <v>0</v>
      </c>
      <c r="L20" s="146">
        <v>0</v>
      </c>
      <c r="M20" s="144">
        <v>0</v>
      </c>
      <c r="N20" s="142">
        <v>0</v>
      </c>
      <c r="O20" s="142">
        <v>0</v>
      </c>
      <c r="P20" s="146">
        <v>0</v>
      </c>
      <c r="Q20" s="146">
        <v>0</v>
      </c>
      <c r="R20" s="146">
        <v>0</v>
      </c>
      <c r="S20" s="144">
        <v>0</v>
      </c>
      <c r="T20" s="146">
        <v>0</v>
      </c>
      <c r="U20" s="146">
        <v>0</v>
      </c>
      <c r="V20" s="121">
        <f t="shared" si="0"/>
        <v>0</v>
      </c>
      <c r="W20" s="122"/>
      <c r="X20" s="122"/>
      <c r="Y20" s="122"/>
      <c r="Z20" s="122"/>
      <c r="AA20" s="122"/>
      <c r="AB20" s="122"/>
      <c r="AC20" s="122"/>
      <c r="AD20" s="122"/>
      <c r="AE20" s="147">
        <f t="shared" si="1"/>
        <v>0</v>
      </c>
      <c r="AF20" s="119"/>
      <c r="AG20" s="119"/>
    </row>
    <row r="21" spans="1:33" s="129" customFormat="1">
      <c r="A21" s="140"/>
      <c r="B21" s="141"/>
      <c r="C21" s="141"/>
      <c r="D21" s="141"/>
      <c r="E21" s="119"/>
      <c r="F21" s="118"/>
      <c r="G21" s="120"/>
      <c r="H21" s="143"/>
      <c r="I21" s="144">
        <v>0</v>
      </c>
      <c r="J21" s="145">
        <v>0</v>
      </c>
      <c r="K21" s="146">
        <v>0</v>
      </c>
      <c r="L21" s="146">
        <v>0</v>
      </c>
      <c r="M21" s="144">
        <v>0</v>
      </c>
      <c r="N21" s="142">
        <v>0</v>
      </c>
      <c r="O21" s="142">
        <v>0</v>
      </c>
      <c r="P21" s="146">
        <v>0</v>
      </c>
      <c r="Q21" s="146">
        <v>0</v>
      </c>
      <c r="R21" s="146">
        <v>0</v>
      </c>
      <c r="S21" s="144">
        <v>0</v>
      </c>
      <c r="T21" s="146">
        <v>0</v>
      </c>
      <c r="U21" s="146">
        <v>0</v>
      </c>
      <c r="V21" s="121">
        <f t="shared" ref="V21" si="4">+G21-(SUM(I21:N21,P21:S21,U21))</f>
        <v>0</v>
      </c>
      <c r="W21" s="122"/>
      <c r="X21" s="122"/>
      <c r="Y21" s="122"/>
      <c r="Z21" s="122"/>
      <c r="AA21" s="122"/>
      <c r="AB21" s="122"/>
      <c r="AC21" s="122"/>
      <c r="AD21" s="122"/>
      <c r="AE21" s="147">
        <f t="shared" si="1"/>
        <v>0</v>
      </c>
      <c r="AF21" s="119"/>
      <c r="AG21" s="119"/>
    </row>
    <row r="22" spans="1:33" s="129" customFormat="1">
      <c r="A22" s="140"/>
      <c r="B22" s="141"/>
      <c r="C22" s="141"/>
      <c r="D22" s="141"/>
      <c r="E22" s="119"/>
      <c r="F22" s="118"/>
      <c r="G22" s="120"/>
      <c r="H22" s="143"/>
      <c r="I22" s="144">
        <v>0</v>
      </c>
      <c r="J22" s="145">
        <v>0</v>
      </c>
      <c r="K22" s="146">
        <v>0</v>
      </c>
      <c r="L22" s="146">
        <v>0</v>
      </c>
      <c r="M22" s="144">
        <v>0</v>
      </c>
      <c r="N22" s="142">
        <v>0</v>
      </c>
      <c r="O22" s="142">
        <v>0</v>
      </c>
      <c r="P22" s="146">
        <v>0</v>
      </c>
      <c r="Q22" s="146">
        <v>0</v>
      </c>
      <c r="R22" s="146">
        <v>0</v>
      </c>
      <c r="S22" s="144">
        <v>0</v>
      </c>
      <c r="T22" s="146">
        <v>0</v>
      </c>
      <c r="U22" s="146">
        <v>0</v>
      </c>
      <c r="V22" s="121">
        <f t="shared" si="0"/>
        <v>0</v>
      </c>
      <c r="W22" s="122"/>
      <c r="X22" s="122"/>
      <c r="Y22" s="122"/>
      <c r="Z22" s="122"/>
      <c r="AA22" s="122"/>
      <c r="AB22" s="122"/>
      <c r="AC22" s="122"/>
      <c r="AD22" s="122"/>
      <c r="AE22" s="147">
        <f t="shared" si="1"/>
        <v>0</v>
      </c>
      <c r="AF22" s="119"/>
      <c r="AG22" s="119"/>
    </row>
    <row r="23" spans="1:33" s="129" customFormat="1">
      <c r="A23" s="140"/>
      <c r="B23" s="141"/>
      <c r="C23" s="141"/>
      <c r="D23" s="141"/>
      <c r="E23" s="119"/>
      <c r="F23" s="118"/>
      <c r="G23" s="120"/>
      <c r="H23" s="143"/>
      <c r="I23" s="144">
        <v>0</v>
      </c>
      <c r="J23" s="145">
        <v>0</v>
      </c>
      <c r="K23" s="146">
        <v>0</v>
      </c>
      <c r="L23" s="146">
        <v>0</v>
      </c>
      <c r="M23" s="144">
        <v>0</v>
      </c>
      <c r="N23" s="142">
        <v>0</v>
      </c>
      <c r="O23" s="142">
        <v>0</v>
      </c>
      <c r="P23" s="146">
        <v>0</v>
      </c>
      <c r="Q23" s="146">
        <v>0</v>
      </c>
      <c r="R23" s="146">
        <v>0</v>
      </c>
      <c r="S23" s="144">
        <v>0</v>
      </c>
      <c r="T23" s="146">
        <v>0</v>
      </c>
      <c r="U23" s="146">
        <v>0</v>
      </c>
      <c r="V23" s="121">
        <f t="shared" si="0"/>
        <v>0</v>
      </c>
      <c r="W23" s="122"/>
      <c r="X23" s="122"/>
      <c r="Y23" s="122"/>
      <c r="Z23" s="122"/>
      <c r="AA23" s="122"/>
      <c r="AB23" s="122"/>
      <c r="AC23" s="122"/>
      <c r="AD23" s="122"/>
      <c r="AE23" s="147">
        <f t="shared" si="1"/>
        <v>0</v>
      </c>
      <c r="AF23" s="119"/>
      <c r="AG23" s="119"/>
    </row>
    <row r="24" spans="1:33" s="129" customFormat="1">
      <c r="A24" s="140"/>
      <c r="B24" s="141"/>
      <c r="C24" s="141"/>
      <c r="D24" s="141"/>
      <c r="E24" s="119"/>
      <c r="F24" s="118"/>
      <c r="G24" s="120"/>
      <c r="H24" s="143"/>
      <c r="I24" s="144">
        <v>0</v>
      </c>
      <c r="J24" s="145">
        <v>0</v>
      </c>
      <c r="K24" s="146">
        <v>0</v>
      </c>
      <c r="L24" s="146">
        <v>0</v>
      </c>
      <c r="M24" s="144">
        <v>0</v>
      </c>
      <c r="N24" s="142">
        <v>0</v>
      </c>
      <c r="O24" s="142">
        <v>0</v>
      </c>
      <c r="P24" s="146">
        <v>0</v>
      </c>
      <c r="Q24" s="146">
        <v>0</v>
      </c>
      <c r="R24" s="146">
        <v>0</v>
      </c>
      <c r="S24" s="144">
        <v>0</v>
      </c>
      <c r="T24" s="146">
        <v>0</v>
      </c>
      <c r="U24" s="146">
        <v>0</v>
      </c>
      <c r="V24" s="121">
        <f t="shared" si="0"/>
        <v>0</v>
      </c>
      <c r="W24" s="122"/>
      <c r="X24" s="122"/>
      <c r="Y24" s="122"/>
      <c r="Z24" s="122"/>
      <c r="AA24" s="122"/>
      <c r="AB24" s="122"/>
      <c r="AC24" s="122"/>
      <c r="AD24" s="122"/>
      <c r="AE24" s="147">
        <f t="shared" si="1"/>
        <v>0</v>
      </c>
      <c r="AF24" s="119"/>
      <c r="AG24" s="119"/>
    </row>
    <row r="25" spans="1:33" s="129" customFormat="1">
      <c r="A25" s="140"/>
      <c r="B25" s="141"/>
      <c r="C25" s="141"/>
      <c r="D25" s="141"/>
      <c r="E25" s="119"/>
      <c r="F25" s="118"/>
      <c r="G25" s="120"/>
      <c r="H25" s="143"/>
      <c r="I25" s="144">
        <v>0</v>
      </c>
      <c r="J25" s="145">
        <v>0</v>
      </c>
      <c r="K25" s="146">
        <v>0</v>
      </c>
      <c r="L25" s="146">
        <v>0</v>
      </c>
      <c r="M25" s="144">
        <v>0</v>
      </c>
      <c r="N25" s="142">
        <v>0</v>
      </c>
      <c r="O25" s="142">
        <v>0</v>
      </c>
      <c r="P25" s="146">
        <v>0</v>
      </c>
      <c r="Q25" s="146">
        <v>0</v>
      </c>
      <c r="R25" s="146">
        <v>0</v>
      </c>
      <c r="S25" s="144">
        <v>0</v>
      </c>
      <c r="T25" s="146">
        <v>0</v>
      </c>
      <c r="U25" s="146">
        <v>0</v>
      </c>
      <c r="V25" s="121">
        <f t="shared" ref="V25" si="5">+G25-(SUM(I25:N25,P25:S25,U25))</f>
        <v>0</v>
      </c>
      <c r="W25" s="122"/>
      <c r="X25" s="122"/>
      <c r="Y25" s="122"/>
      <c r="Z25" s="122"/>
      <c r="AA25" s="122"/>
      <c r="AB25" s="122"/>
      <c r="AC25" s="122"/>
      <c r="AD25" s="122"/>
      <c r="AE25" s="147">
        <f t="shared" si="1"/>
        <v>0</v>
      </c>
      <c r="AF25" s="119"/>
      <c r="AG25" s="119"/>
    </row>
    <row r="26" spans="1:33" s="129" customFormat="1">
      <c r="A26" s="140"/>
      <c r="B26" s="141"/>
      <c r="C26" s="141"/>
      <c r="D26" s="141"/>
      <c r="E26" s="119"/>
      <c r="F26" s="118"/>
      <c r="G26" s="120"/>
      <c r="H26" s="143"/>
      <c r="I26" s="144">
        <v>0</v>
      </c>
      <c r="J26" s="145">
        <v>0</v>
      </c>
      <c r="K26" s="146">
        <v>0</v>
      </c>
      <c r="L26" s="146">
        <v>0</v>
      </c>
      <c r="M26" s="144">
        <v>0</v>
      </c>
      <c r="N26" s="142">
        <v>0</v>
      </c>
      <c r="O26" s="142">
        <v>0</v>
      </c>
      <c r="P26" s="146">
        <v>0</v>
      </c>
      <c r="Q26" s="146">
        <v>0</v>
      </c>
      <c r="R26" s="146">
        <v>0</v>
      </c>
      <c r="S26" s="144">
        <v>0</v>
      </c>
      <c r="T26" s="146">
        <v>0</v>
      </c>
      <c r="U26" s="146">
        <v>0</v>
      </c>
      <c r="V26" s="121">
        <f t="shared" ref="V26" si="6">+G26-(SUM(I26:N26,P26:S26,U26))</f>
        <v>0</v>
      </c>
      <c r="W26" s="122"/>
      <c r="X26" s="122"/>
      <c r="Y26" s="122"/>
      <c r="Z26" s="122"/>
      <c r="AA26" s="122"/>
      <c r="AB26" s="122"/>
      <c r="AC26" s="122"/>
      <c r="AD26" s="122"/>
      <c r="AE26" s="147">
        <f t="shared" si="1"/>
        <v>0</v>
      </c>
      <c r="AF26" s="119"/>
      <c r="AG26" s="119"/>
    </row>
    <row r="27" spans="1:33" s="129" customFormat="1">
      <c r="A27" s="140"/>
      <c r="B27" s="141"/>
      <c r="C27" s="141"/>
      <c r="D27" s="141"/>
      <c r="E27" s="119"/>
      <c r="F27" s="118"/>
      <c r="G27" s="120"/>
      <c r="H27" s="143"/>
      <c r="I27" s="144">
        <v>0</v>
      </c>
      <c r="J27" s="145">
        <v>0</v>
      </c>
      <c r="K27" s="146">
        <v>0</v>
      </c>
      <c r="L27" s="146">
        <v>0</v>
      </c>
      <c r="M27" s="144">
        <v>0</v>
      </c>
      <c r="N27" s="142">
        <v>0</v>
      </c>
      <c r="O27" s="142">
        <v>0</v>
      </c>
      <c r="P27" s="146">
        <v>0</v>
      </c>
      <c r="Q27" s="146">
        <v>0</v>
      </c>
      <c r="R27" s="146">
        <v>0</v>
      </c>
      <c r="S27" s="144">
        <v>0</v>
      </c>
      <c r="T27" s="146">
        <v>0</v>
      </c>
      <c r="U27" s="146">
        <v>0</v>
      </c>
      <c r="V27" s="121">
        <f t="shared" ref="V27" si="7">+G27-(SUM(I27:N27,P27:S27,U27))</f>
        <v>0</v>
      </c>
      <c r="W27" s="122"/>
      <c r="X27" s="122"/>
      <c r="Y27" s="122"/>
      <c r="Z27" s="122"/>
      <c r="AA27" s="122"/>
      <c r="AB27" s="122"/>
      <c r="AC27" s="122"/>
      <c r="AD27" s="122"/>
      <c r="AE27" s="147">
        <f t="shared" si="1"/>
        <v>0</v>
      </c>
      <c r="AF27" s="119"/>
      <c r="AG27" s="119"/>
    </row>
    <row r="28" spans="1:33" s="129" customFormat="1">
      <c r="A28" s="140"/>
      <c r="B28" s="141"/>
      <c r="C28" s="141"/>
      <c r="D28" s="141"/>
      <c r="E28" s="119"/>
      <c r="F28" s="118"/>
      <c r="G28" s="120"/>
      <c r="H28" s="143"/>
      <c r="I28" s="144">
        <v>0</v>
      </c>
      <c r="J28" s="145">
        <v>0</v>
      </c>
      <c r="K28" s="146">
        <v>0</v>
      </c>
      <c r="L28" s="146">
        <v>0</v>
      </c>
      <c r="M28" s="144">
        <v>0</v>
      </c>
      <c r="N28" s="142">
        <v>0</v>
      </c>
      <c r="O28" s="142">
        <v>0</v>
      </c>
      <c r="P28" s="146">
        <v>0</v>
      </c>
      <c r="Q28" s="146">
        <v>0</v>
      </c>
      <c r="R28" s="146">
        <v>0</v>
      </c>
      <c r="S28" s="144">
        <v>0</v>
      </c>
      <c r="T28" s="146">
        <v>0</v>
      </c>
      <c r="U28" s="146">
        <v>0</v>
      </c>
      <c r="V28" s="121">
        <f t="shared" si="0"/>
        <v>0</v>
      </c>
      <c r="W28" s="122"/>
      <c r="X28" s="122"/>
      <c r="Y28" s="122"/>
      <c r="Z28" s="122"/>
      <c r="AA28" s="122"/>
      <c r="AB28" s="122"/>
      <c r="AC28" s="122"/>
      <c r="AD28" s="122"/>
      <c r="AE28" s="147">
        <f t="shared" si="1"/>
        <v>0</v>
      </c>
      <c r="AF28" s="119"/>
      <c r="AG28" s="119"/>
    </row>
    <row r="29" spans="1:33" s="129" customFormat="1">
      <c r="A29" s="140"/>
      <c r="B29" s="141"/>
      <c r="C29" s="141"/>
      <c r="D29" s="141"/>
      <c r="E29" s="119"/>
      <c r="F29" s="118"/>
      <c r="G29" s="120"/>
      <c r="H29" s="143"/>
      <c r="I29" s="144">
        <v>0</v>
      </c>
      <c r="J29" s="145">
        <v>0</v>
      </c>
      <c r="K29" s="146">
        <v>0</v>
      </c>
      <c r="L29" s="146">
        <v>0</v>
      </c>
      <c r="M29" s="144">
        <v>0</v>
      </c>
      <c r="N29" s="142">
        <v>0</v>
      </c>
      <c r="O29" s="142">
        <v>0</v>
      </c>
      <c r="P29" s="146">
        <v>0</v>
      </c>
      <c r="Q29" s="146">
        <v>0</v>
      </c>
      <c r="R29" s="146">
        <v>0</v>
      </c>
      <c r="S29" s="144">
        <v>0</v>
      </c>
      <c r="T29" s="146">
        <v>0</v>
      </c>
      <c r="U29" s="146">
        <v>0</v>
      </c>
      <c r="V29" s="121">
        <f t="shared" si="0"/>
        <v>0</v>
      </c>
      <c r="W29" s="122"/>
      <c r="X29" s="122"/>
      <c r="Y29" s="122"/>
      <c r="Z29" s="122"/>
      <c r="AA29" s="122"/>
      <c r="AB29" s="122"/>
      <c r="AC29" s="122"/>
      <c r="AD29" s="122"/>
      <c r="AE29" s="147">
        <f t="shared" si="1"/>
        <v>0</v>
      </c>
      <c r="AF29" s="119"/>
      <c r="AG29" s="119"/>
    </row>
    <row r="30" spans="1:33" s="129" customFormat="1">
      <c r="A30" s="140"/>
      <c r="B30" s="141"/>
      <c r="C30" s="141"/>
      <c r="D30" s="141"/>
      <c r="E30" s="119"/>
      <c r="F30" s="118"/>
      <c r="G30" s="120"/>
      <c r="H30" s="143"/>
      <c r="I30" s="144">
        <v>0</v>
      </c>
      <c r="J30" s="145">
        <v>0</v>
      </c>
      <c r="K30" s="146">
        <v>0</v>
      </c>
      <c r="L30" s="146">
        <v>0</v>
      </c>
      <c r="M30" s="144">
        <v>0</v>
      </c>
      <c r="N30" s="142">
        <v>0</v>
      </c>
      <c r="O30" s="142">
        <v>0</v>
      </c>
      <c r="P30" s="146">
        <v>0</v>
      </c>
      <c r="Q30" s="146">
        <v>0</v>
      </c>
      <c r="R30" s="146">
        <v>0</v>
      </c>
      <c r="S30" s="144">
        <v>0</v>
      </c>
      <c r="T30" s="146">
        <v>0</v>
      </c>
      <c r="U30" s="146">
        <v>0</v>
      </c>
      <c r="V30" s="121">
        <f t="shared" si="0"/>
        <v>0</v>
      </c>
      <c r="W30" s="122"/>
      <c r="X30" s="122"/>
      <c r="Y30" s="122"/>
      <c r="Z30" s="122"/>
      <c r="AA30" s="122"/>
      <c r="AB30" s="122"/>
      <c r="AC30" s="122"/>
      <c r="AD30" s="122"/>
      <c r="AE30" s="147">
        <f t="shared" si="1"/>
        <v>0</v>
      </c>
      <c r="AF30" s="119"/>
      <c r="AG30" s="119"/>
    </row>
    <row r="31" spans="1:33" s="129" customFormat="1">
      <c r="A31" s="140"/>
      <c r="B31" s="141"/>
      <c r="C31" s="141"/>
      <c r="D31" s="141"/>
      <c r="E31" s="119"/>
      <c r="F31" s="118"/>
      <c r="G31" s="120"/>
      <c r="H31" s="143"/>
      <c r="I31" s="144">
        <v>0</v>
      </c>
      <c r="J31" s="145">
        <v>0</v>
      </c>
      <c r="K31" s="146">
        <v>0</v>
      </c>
      <c r="L31" s="146">
        <v>0</v>
      </c>
      <c r="M31" s="144">
        <v>0</v>
      </c>
      <c r="N31" s="142">
        <v>0</v>
      </c>
      <c r="O31" s="142">
        <v>0</v>
      </c>
      <c r="P31" s="146">
        <v>0</v>
      </c>
      <c r="Q31" s="146">
        <v>0</v>
      </c>
      <c r="R31" s="146">
        <v>0</v>
      </c>
      <c r="S31" s="144">
        <v>0</v>
      </c>
      <c r="T31" s="146">
        <v>0</v>
      </c>
      <c r="U31" s="146">
        <v>0</v>
      </c>
      <c r="V31" s="121">
        <f t="shared" si="0"/>
        <v>0</v>
      </c>
      <c r="W31" s="122"/>
      <c r="X31" s="122"/>
      <c r="Y31" s="122"/>
      <c r="Z31" s="122"/>
      <c r="AA31" s="122"/>
      <c r="AB31" s="122"/>
      <c r="AC31" s="122"/>
      <c r="AD31" s="122"/>
      <c r="AE31" s="147">
        <f t="shared" si="1"/>
        <v>0</v>
      </c>
      <c r="AF31" s="119"/>
      <c r="AG31" s="119"/>
    </row>
    <row r="32" spans="1:33" s="129" customFormat="1">
      <c r="A32" s="140"/>
      <c r="B32" s="141"/>
      <c r="C32" s="141"/>
      <c r="D32" s="141"/>
      <c r="E32" s="119"/>
      <c r="F32" s="118"/>
      <c r="G32" s="120"/>
      <c r="H32" s="143"/>
      <c r="I32" s="144">
        <v>0</v>
      </c>
      <c r="J32" s="145">
        <v>0</v>
      </c>
      <c r="K32" s="146">
        <v>0</v>
      </c>
      <c r="L32" s="146">
        <v>0</v>
      </c>
      <c r="M32" s="144">
        <v>0</v>
      </c>
      <c r="N32" s="142">
        <v>0</v>
      </c>
      <c r="O32" s="142">
        <v>0</v>
      </c>
      <c r="P32" s="146">
        <v>0</v>
      </c>
      <c r="Q32" s="146">
        <v>0</v>
      </c>
      <c r="R32" s="146">
        <v>0</v>
      </c>
      <c r="S32" s="144">
        <v>0</v>
      </c>
      <c r="T32" s="146">
        <v>0</v>
      </c>
      <c r="U32" s="146">
        <v>0</v>
      </c>
      <c r="V32" s="121">
        <f t="shared" si="0"/>
        <v>0</v>
      </c>
      <c r="W32" s="122"/>
      <c r="X32" s="122"/>
      <c r="Y32" s="122"/>
      <c r="Z32" s="122"/>
      <c r="AA32" s="122"/>
      <c r="AB32" s="122"/>
      <c r="AC32" s="122"/>
      <c r="AD32" s="122"/>
      <c r="AE32" s="147">
        <f t="shared" si="1"/>
        <v>0</v>
      </c>
      <c r="AF32" s="119"/>
      <c r="AG32" s="119"/>
    </row>
    <row r="33" spans="1:33" s="129" customFormat="1">
      <c r="A33" s="140"/>
      <c r="B33" s="141"/>
      <c r="C33" s="141"/>
      <c r="D33" s="141"/>
      <c r="E33" s="119"/>
      <c r="F33" s="118"/>
      <c r="G33" s="120"/>
      <c r="H33" s="143"/>
      <c r="I33" s="144">
        <v>0</v>
      </c>
      <c r="J33" s="145">
        <v>0</v>
      </c>
      <c r="K33" s="146">
        <v>0</v>
      </c>
      <c r="L33" s="146">
        <v>0</v>
      </c>
      <c r="M33" s="144">
        <v>0</v>
      </c>
      <c r="N33" s="142">
        <v>0</v>
      </c>
      <c r="O33" s="142">
        <v>0</v>
      </c>
      <c r="P33" s="146">
        <v>0</v>
      </c>
      <c r="Q33" s="146">
        <v>0</v>
      </c>
      <c r="R33" s="146">
        <v>0</v>
      </c>
      <c r="S33" s="144">
        <v>0</v>
      </c>
      <c r="T33" s="146">
        <v>0</v>
      </c>
      <c r="U33" s="146">
        <v>0</v>
      </c>
      <c r="V33" s="121">
        <f t="shared" si="0"/>
        <v>0</v>
      </c>
      <c r="W33" s="122"/>
      <c r="X33" s="122"/>
      <c r="Y33" s="122"/>
      <c r="Z33" s="122"/>
      <c r="AA33" s="122"/>
      <c r="AB33" s="122"/>
      <c r="AC33" s="122"/>
      <c r="AD33" s="122"/>
      <c r="AE33" s="147">
        <f t="shared" si="1"/>
        <v>0</v>
      </c>
      <c r="AF33" s="119"/>
      <c r="AG33" s="119"/>
    </row>
    <row r="34" spans="1:33" s="129" customFormat="1">
      <c r="A34" s="140"/>
      <c r="B34" s="141"/>
      <c r="C34" s="141"/>
      <c r="D34" s="141"/>
      <c r="E34" s="119"/>
      <c r="F34" s="118"/>
      <c r="G34" s="120"/>
      <c r="H34" s="143"/>
      <c r="I34" s="144">
        <v>0</v>
      </c>
      <c r="J34" s="145">
        <v>0</v>
      </c>
      <c r="K34" s="146">
        <v>0</v>
      </c>
      <c r="L34" s="146">
        <v>0</v>
      </c>
      <c r="M34" s="144">
        <v>0</v>
      </c>
      <c r="N34" s="142">
        <v>0</v>
      </c>
      <c r="O34" s="142">
        <v>0</v>
      </c>
      <c r="P34" s="146">
        <v>0</v>
      </c>
      <c r="Q34" s="146">
        <v>0</v>
      </c>
      <c r="R34" s="146">
        <v>0</v>
      </c>
      <c r="S34" s="144">
        <v>0</v>
      </c>
      <c r="T34" s="146">
        <v>0</v>
      </c>
      <c r="U34" s="146">
        <v>0</v>
      </c>
      <c r="V34" s="121">
        <f t="shared" si="0"/>
        <v>0</v>
      </c>
      <c r="W34" s="122"/>
      <c r="X34" s="122"/>
      <c r="Y34" s="122"/>
      <c r="Z34" s="122"/>
      <c r="AA34" s="122"/>
      <c r="AB34" s="122"/>
      <c r="AC34" s="122"/>
      <c r="AD34" s="122"/>
      <c r="AE34" s="147">
        <f t="shared" si="1"/>
        <v>0</v>
      </c>
      <c r="AF34" s="119"/>
      <c r="AG34" s="119"/>
    </row>
    <row r="35" spans="1:33" s="129" customFormat="1">
      <c r="A35" s="140"/>
      <c r="B35" s="118"/>
      <c r="C35" s="141"/>
      <c r="D35" s="141"/>
      <c r="E35" s="119"/>
      <c r="F35" s="118"/>
      <c r="G35" s="120"/>
      <c r="H35" s="143"/>
      <c r="I35" s="144">
        <v>0</v>
      </c>
      <c r="J35" s="145">
        <v>0</v>
      </c>
      <c r="K35" s="146">
        <v>0</v>
      </c>
      <c r="L35" s="146">
        <v>0</v>
      </c>
      <c r="M35" s="144">
        <v>0</v>
      </c>
      <c r="N35" s="142">
        <v>0</v>
      </c>
      <c r="O35" s="142">
        <v>0</v>
      </c>
      <c r="P35" s="146">
        <v>0</v>
      </c>
      <c r="Q35" s="146">
        <v>0</v>
      </c>
      <c r="R35" s="146">
        <v>0</v>
      </c>
      <c r="S35" s="144">
        <v>0</v>
      </c>
      <c r="T35" s="146">
        <v>0</v>
      </c>
      <c r="U35" s="146">
        <v>0</v>
      </c>
      <c r="V35" s="121">
        <f t="shared" si="0"/>
        <v>0</v>
      </c>
      <c r="W35" s="122"/>
      <c r="X35" s="122"/>
      <c r="Y35" s="122"/>
      <c r="Z35" s="122"/>
      <c r="AA35" s="122"/>
      <c r="AB35" s="122"/>
      <c r="AC35" s="122"/>
      <c r="AD35" s="122"/>
      <c r="AE35" s="147">
        <f t="shared" si="1"/>
        <v>0</v>
      </c>
      <c r="AF35" s="119"/>
      <c r="AG35" s="119"/>
    </row>
    <row r="36" spans="1:33" s="129" customFormat="1">
      <c r="A36" s="140"/>
      <c r="B36" s="118"/>
      <c r="C36" s="141"/>
      <c r="D36" s="141"/>
      <c r="E36" s="119"/>
      <c r="F36" s="118"/>
      <c r="G36" s="120"/>
      <c r="H36" s="143"/>
      <c r="I36" s="144">
        <v>0</v>
      </c>
      <c r="J36" s="145">
        <v>0</v>
      </c>
      <c r="K36" s="146">
        <v>0</v>
      </c>
      <c r="L36" s="146">
        <v>0</v>
      </c>
      <c r="M36" s="144">
        <v>0</v>
      </c>
      <c r="N36" s="142">
        <v>0</v>
      </c>
      <c r="O36" s="142">
        <v>0</v>
      </c>
      <c r="P36" s="146">
        <v>0</v>
      </c>
      <c r="Q36" s="146">
        <v>0</v>
      </c>
      <c r="R36" s="146">
        <v>0</v>
      </c>
      <c r="S36" s="144">
        <v>0</v>
      </c>
      <c r="T36" s="146">
        <v>0</v>
      </c>
      <c r="U36" s="146">
        <v>0</v>
      </c>
      <c r="V36" s="121">
        <f t="shared" ref="V36" si="8">+G36-(SUM(I36:N36,P36:S36,U36))</f>
        <v>0</v>
      </c>
      <c r="W36" s="122"/>
      <c r="X36" s="122"/>
      <c r="Y36" s="122"/>
      <c r="Z36" s="122"/>
      <c r="AA36" s="122"/>
      <c r="AB36" s="122"/>
      <c r="AC36" s="122"/>
      <c r="AD36" s="122"/>
      <c r="AE36" s="147">
        <f t="shared" si="1"/>
        <v>0</v>
      </c>
      <c r="AF36" s="119"/>
      <c r="AG36" s="119"/>
    </row>
    <row r="37" spans="1:33" s="129" customFormat="1">
      <c r="A37" s="140"/>
      <c r="B37" s="118"/>
      <c r="C37" s="141"/>
      <c r="D37" s="141"/>
      <c r="E37" s="119"/>
      <c r="F37" s="118"/>
      <c r="G37" s="120"/>
      <c r="H37" s="143"/>
      <c r="I37" s="144">
        <v>0</v>
      </c>
      <c r="J37" s="145">
        <v>0</v>
      </c>
      <c r="K37" s="146">
        <v>0</v>
      </c>
      <c r="L37" s="146">
        <v>0</v>
      </c>
      <c r="M37" s="144">
        <v>0</v>
      </c>
      <c r="N37" s="142">
        <v>0</v>
      </c>
      <c r="O37" s="142">
        <v>0</v>
      </c>
      <c r="P37" s="146">
        <v>0</v>
      </c>
      <c r="Q37" s="146">
        <v>0</v>
      </c>
      <c r="R37" s="146">
        <v>0</v>
      </c>
      <c r="S37" s="144">
        <v>0</v>
      </c>
      <c r="T37" s="146">
        <v>0</v>
      </c>
      <c r="U37" s="146">
        <v>0</v>
      </c>
      <c r="V37" s="121">
        <f t="shared" ref="V37" si="9">+G37-(SUM(I37:N37,P37:S37,U37))</f>
        <v>0</v>
      </c>
      <c r="W37" s="122"/>
      <c r="X37" s="122"/>
      <c r="Y37" s="122"/>
      <c r="Z37" s="122"/>
      <c r="AA37" s="122"/>
      <c r="AB37" s="122"/>
      <c r="AC37" s="122"/>
      <c r="AD37" s="122"/>
      <c r="AE37" s="147">
        <f t="shared" si="1"/>
        <v>0</v>
      </c>
      <c r="AF37" s="119"/>
      <c r="AG37" s="119"/>
    </row>
    <row r="38" spans="1:33" s="129" customFormat="1">
      <c r="A38" s="140"/>
      <c r="B38" s="118"/>
      <c r="C38" s="141"/>
      <c r="D38" s="141"/>
      <c r="E38" s="119"/>
      <c r="F38" s="118"/>
      <c r="G38" s="120"/>
      <c r="H38" s="143"/>
      <c r="I38" s="144">
        <v>0</v>
      </c>
      <c r="J38" s="145">
        <v>0</v>
      </c>
      <c r="K38" s="146">
        <v>0</v>
      </c>
      <c r="L38" s="146">
        <v>0</v>
      </c>
      <c r="M38" s="144">
        <v>0</v>
      </c>
      <c r="N38" s="142">
        <v>0</v>
      </c>
      <c r="O38" s="142">
        <v>0</v>
      </c>
      <c r="P38" s="146">
        <v>0</v>
      </c>
      <c r="Q38" s="146">
        <v>0</v>
      </c>
      <c r="R38" s="146">
        <v>0</v>
      </c>
      <c r="S38" s="144">
        <v>0</v>
      </c>
      <c r="T38" s="146">
        <v>0</v>
      </c>
      <c r="U38" s="146">
        <v>0</v>
      </c>
      <c r="V38" s="121">
        <f t="shared" ref="V38" si="10">+G38-(SUM(I38:N38,P38:S38,U38))</f>
        <v>0</v>
      </c>
      <c r="W38" s="122"/>
      <c r="X38" s="122"/>
      <c r="Y38" s="122"/>
      <c r="Z38" s="122"/>
      <c r="AA38" s="122"/>
      <c r="AB38" s="122"/>
      <c r="AC38" s="122"/>
      <c r="AD38" s="122"/>
      <c r="AE38" s="147">
        <f t="shared" si="1"/>
        <v>0</v>
      </c>
      <c r="AF38" s="119"/>
      <c r="AG38" s="119"/>
    </row>
    <row r="39" spans="1:33" s="129" customFormat="1">
      <c r="A39" s="140"/>
      <c r="B39" s="118"/>
      <c r="C39" s="141"/>
      <c r="D39" s="141"/>
      <c r="E39" s="119"/>
      <c r="F39" s="118"/>
      <c r="G39" s="120"/>
      <c r="H39" s="143"/>
      <c r="I39" s="144">
        <v>0</v>
      </c>
      <c r="J39" s="145">
        <v>0</v>
      </c>
      <c r="K39" s="146">
        <v>0</v>
      </c>
      <c r="L39" s="146">
        <v>0</v>
      </c>
      <c r="M39" s="144">
        <v>0</v>
      </c>
      <c r="N39" s="142">
        <v>0</v>
      </c>
      <c r="O39" s="142">
        <v>0</v>
      </c>
      <c r="P39" s="146">
        <v>0</v>
      </c>
      <c r="Q39" s="146">
        <v>0</v>
      </c>
      <c r="R39" s="146">
        <v>0</v>
      </c>
      <c r="S39" s="144">
        <v>0</v>
      </c>
      <c r="T39" s="146">
        <v>0</v>
      </c>
      <c r="U39" s="146">
        <v>0</v>
      </c>
      <c r="V39" s="121">
        <f t="shared" ref="V39:V44" si="11">+G39-(SUM(I39:N39,P39:S39,U39))</f>
        <v>0</v>
      </c>
      <c r="W39" s="122"/>
      <c r="X39" s="122"/>
      <c r="Y39" s="122"/>
      <c r="Z39" s="122"/>
      <c r="AA39" s="122"/>
      <c r="AB39" s="122"/>
      <c r="AC39" s="122"/>
      <c r="AD39" s="122"/>
      <c r="AE39" s="147">
        <f t="shared" si="1"/>
        <v>0</v>
      </c>
      <c r="AF39" s="119"/>
      <c r="AG39" s="119"/>
    </row>
    <row r="40" spans="1:33" s="129" customFormat="1">
      <c r="A40" s="140"/>
      <c r="B40" s="118"/>
      <c r="C40" s="141"/>
      <c r="D40" s="141"/>
      <c r="E40" s="119"/>
      <c r="F40" s="118"/>
      <c r="G40" s="120"/>
      <c r="H40" s="143"/>
      <c r="I40" s="144">
        <v>0</v>
      </c>
      <c r="J40" s="145">
        <v>0</v>
      </c>
      <c r="K40" s="146">
        <v>0</v>
      </c>
      <c r="L40" s="146">
        <v>0</v>
      </c>
      <c r="M40" s="144">
        <v>0</v>
      </c>
      <c r="N40" s="142">
        <v>0</v>
      </c>
      <c r="O40" s="142">
        <v>0</v>
      </c>
      <c r="P40" s="146">
        <v>0</v>
      </c>
      <c r="Q40" s="146">
        <v>0</v>
      </c>
      <c r="R40" s="146">
        <v>0</v>
      </c>
      <c r="S40" s="144">
        <v>0</v>
      </c>
      <c r="T40" s="146">
        <v>0</v>
      </c>
      <c r="U40" s="146">
        <v>0</v>
      </c>
      <c r="V40" s="121">
        <f t="shared" si="11"/>
        <v>0</v>
      </c>
      <c r="W40" s="122"/>
      <c r="X40" s="122"/>
      <c r="Y40" s="122"/>
      <c r="Z40" s="122"/>
      <c r="AA40" s="122"/>
      <c r="AB40" s="122"/>
      <c r="AC40" s="122"/>
      <c r="AD40" s="122"/>
      <c r="AE40" s="147">
        <f t="shared" si="1"/>
        <v>0</v>
      </c>
      <c r="AF40" s="119"/>
      <c r="AG40" s="119"/>
    </row>
    <row r="41" spans="1:33" s="129" customFormat="1">
      <c r="A41" s="140"/>
      <c r="B41" s="118"/>
      <c r="C41" s="141"/>
      <c r="D41" s="141"/>
      <c r="E41" s="119"/>
      <c r="F41" s="118"/>
      <c r="G41" s="120"/>
      <c r="H41" s="143"/>
      <c r="I41" s="144">
        <v>0</v>
      </c>
      <c r="J41" s="145">
        <v>0</v>
      </c>
      <c r="K41" s="146">
        <v>0</v>
      </c>
      <c r="L41" s="146">
        <v>0</v>
      </c>
      <c r="M41" s="144">
        <v>0</v>
      </c>
      <c r="N41" s="142">
        <v>0</v>
      </c>
      <c r="O41" s="142">
        <v>0</v>
      </c>
      <c r="P41" s="146">
        <v>0</v>
      </c>
      <c r="Q41" s="146">
        <v>0</v>
      </c>
      <c r="R41" s="146">
        <v>0</v>
      </c>
      <c r="S41" s="144">
        <v>0</v>
      </c>
      <c r="T41" s="146">
        <v>0</v>
      </c>
      <c r="U41" s="146">
        <v>0</v>
      </c>
      <c r="V41" s="121">
        <f t="shared" si="11"/>
        <v>0</v>
      </c>
      <c r="W41" s="122"/>
      <c r="X41" s="122"/>
      <c r="Y41" s="122"/>
      <c r="Z41" s="122"/>
      <c r="AA41" s="122"/>
      <c r="AB41" s="122"/>
      <c r="AC41" s="122"/>
      <c r="AD41" s="122"/>
      <c r="AE41" s="147">
        <f t="shared" ref="AE41:AE104" si="12">V41-(X41+Y41)</f>
        <v>0</v>
      </c>
      <c r="AF41" s="119"/>
      <c r="AG41" s="119"/>
    </row>
    <row r="42" spans="1:33" s="129" customFormat="1">
      <c r="A42" s="140"/>
      <c r="B42" s="118"/>
      <c r="C42" s="141"/>
      <c r="D42" s="141"/>
      <c r="E42" s="119"/>
      <c r="F42" s="118"/>
      <c r="G42" s="120"/>
      <c r="H42" s="143"/>
      <c r="I42" s="144">
        <v>0</v>
      </c>
      <c r="J42" s="145">
        <v>0</v>
      </c>
      <c r="K42" s="146">
        <v>0</v>
      </c>
      <c r="L42" s="146">
        <v>0</v>
      </c>
      <c r="M42" s="144">
        <v>0</v>
      </c>
      <c r="N42" s="142">
        <v>0</v>
      </c>
      <c r="O42" s="142">
        <v>0</v>
      </c>
      <c r="P42" s="146">
        <v>0</v>
      </c>
      <c r="Q42" s="146">
        <v>0</v>
      </c>
      <c r="R42" s="146">
        <v>0</v>
      </c>
      <c r="S42" s="144">
        <v>0</v>
      </c>
      <c r="T42" s="146">
        <v>0</v>
      </c>
      <c r="U42" s="146">
        <v>0</v>
      </c>
      <c r="V42" s="121">
        <f t="shared" si="11"/>
        <v>0</v>
      </c>
      <c r="W42" s="122"/>
      <c r="X42" s="122"/>
      <c r="Y42" s="122"/>
      <c r="Z42" s="122"/>
      <c r="AA42" s="122"/>
      <c r="AB42" s="122"/>
      <c r="AC42" s="122"/>
      <c r="AD42" s="122"/>
      <c r="AE42" s="147">
        <f t="shared" si="12"/>
        <v>0</v>
      </c>
      <c r="AF42" s="119"/>
      <c r="AG42" s="119"/>
    </row>
    <row r="43" spans="1:33" s="129" customFormat="1">
      <c r="A43" s="140"/>
      <c r="B43" s="118"/>
      <c r="C43" s="141"/>
      <c r="D43" s="141"/>
      <c r="E43" s="119"/>
      <c r="F43" s="118"/>
      <c r="G43" s="120"/>
      <c r="H43" s="143"/>
      <c r="I43" s="144">
        <v>0</v>
      </c>
      <c r="J43" s="145">
        <v>0</v>
      </c>
      <c r="K43" s="146">
        <v>0</v>
      </c>
      <c r="L43" s="146">
        <v>0</v>
      </c>
      <c r="M43" s="144">
        <v>0</v>
      </c>
      <c r="N43" s="142">
        <v>0</v>
      </c>
      <c r="O43" s="142">
        <v>0</v>
      </c>
      <c r="P43" s="146">
        <v>0</v>
      </c>
      <c r="Q43" s="146">
        <v>0</v>
      </c>
      <c r="R43" s="146">
        <v>0</v>
      </c>
      <c r="S43" s="144">
        <v>0</v>
      </c>
      <c r="T43" s="146">
        <v>0</v>
      </c>
      <c r="U43" s="146">
        <v>0</v>
      </c>
      <c r="V43" s="121">
        <f t="shared" si="11"/>
        <v>0</v>
      </c>
      <c r="W43" s="122"/>
      <c r="X43" s="122"/>
      <c r="Y43" s="122"/>
      <c r="Z43" s="122"/>
      <c r="AA43" s="122"/>
      <c r="AB43" s="122"/>
      <c r="AC43" s="122"/>
      <c r="AD43" s="122"/>
      <c r="AE43" s="147">
        <f t="shared" si="12"/>
        <v>0</v>
      </c>
      <c r="AF43" s="119"/>
      <c r="AG43" s="119"/>
    </row>
    <row r="44" spans="1:33" s="129" customFormat="1">
      <c r="A44" s="140"/>
      <c r="B44" s="118"/>
      <c r="C44" s="141"/>
      <c r="D44" s="141"/>
      <c r="E44" s="119"/>
      <c r="F44" s="118"/>
      <c r="G44" s="120"/>
      <c r="H44" s="143"/>
      <c r="I44" s="144">
        <v>0</v>
      </c>
      <c r="J44" s="145">
        <v>0</v>
      </c>
      <c r="K44" s="146">
        <v>0</v>
      </c>
      <c r="L44" s="146">
        <v>0</v>
      </c>
      <c r="M44" s="144">
        <v>0</v>
      </c>
      <c r="N44" s="142">
        <v>0</v>
      </c>
      <c r="O44" s="142">
        <v>0</v>
      </c>
      <c r="P44" s="146">
        <v>0</v>
      </c>
      <c r="Q44" s="146">
        <v>0</v>
      </c>
      <c r="R44" s="146">
        <v>0</v>
      </c>
      <c r="S44" s="144">
        <v>0</v>
      </c>
      <c r="T44" s="146">
        <v>0</v>
      </c>
      <c r="U44" s="146">
        <v>0</v>
      </c>
      <c r="V44" s="121">
        <f t="shared" si="11"/>
        <v>0</v>
      </c>
      <c r="W44" s="122"/>
      <c r="X44" s="122"/>
      <c r="Y44" s="122"/>
      <c r="Z44" s="122"/>
      <c r="AA44" s="122"/>
      <c r="AB44" s="122"/>
      <c r="AC44" s="122"/>
      <c r="AD44" s="122"/>
      <c r="AE44" s="147">
        <f t="shared" si="12"/>
        <v>0</v>
      </c>
      <c r="AF44" s="119"/>
      <c r="AG44" s="119"/>
    </row>
    <row r="45" spans="1:33" s="129" customFormat="1">
      <c r="A45" s="140"/>
      <c r="B45" s="118"/>
      <c r="C45" s="141"/>
      <c r="D45" s="141"/>
      <c r="E45" s="119"/>
      <c r="F45" s="118"/>
      <c r="G45" s="120"/>
      <c r="H45" s="143"/>
      <c r="I45" s="144">
        <v>0</v>
      </c>
      <c r="J45" s="145">
        <v>0</v>
      </c>
      <c r="K45" s="146">
        <v>0</v>
      </c>
      <c r="L45" s="146">
        <v>0</v>
      </c>
      <c r="M45" s="144">
        <v>0</v>
      </c>
      <c r="N45" s="142">
        <v>0</v>
      </c>
      <c r="O45" s="142">
        <v>0</v>
      </c>
      <c r="P45" s="146">
        <v>0</v>
      </c>
      <c r="Q45" s="146">
        <v>0</v>
      </c>
      <c r="R45" s="146">
        <v>0</v>
      </c>
      <c r="S45" s="144">
        <v>0</v>
      </c>
      <c r="T45" s="146">
        <v>0</v>
      </c>
      <c r="U45" s="146">
        <v>0</v>
      </c>
      <c r="V45" s="121">
        <f t="shared" si="0"/>
        <v>0</v>
      </c>
      <c r="W45" s="122"/>
      <c r="X45" s="122"/>
      <c r="Y45" s="122"/>
      <c r="Z45" s="122"/>
      <c r="AA45" s="122"/>
      <c r="AB45" s="122"/>
      <c r="AC45" s="122"/>
      <c r="AD45" s="122"/>
      <c r="AE45" s="147">
        <f t="shared" si="12"/>
        <v>0</v>
      </c>
      <c r="AF45" s="119"/>
      <c r="AG45" s="119"/>
    </row>
    <row r="46" spans="1:33">
      <c r="A46" s="140"/>
      <c r="B46" s="118"/>
      <c r="C46" s="118"/>
      <c r="D46" s="141"/>
      <c r="E46" s="119"/>
      <c r="F46" s="118"/>
      <c r="G46" s="110"/>
      <c r="H46" s="143"/>
      <c r="I46" s="114">
        <v>0</v>
      </c>
      <c r="J46" s="115">
        <v>0</v>
      </c>
      <c r="K46" s="116">
        <v>0</v>
      </c>
      <c r="L46" s="116">
        <v>0</v>
      </c>
      <c r="M46" s="114">
        <v>0</v>
      </c>
      <c r="N46" s="113">
        <v>0</v>
      </c>
      <c r="O46" s="113">
        <v>0</v>
      </c>
      <c r="P46" s="146">
        <v>0</v>
      </c>
      <c r="Q46" s="116">
        <v>0</v>
      </c>
      <c r="R46" s="116">
        <v>0</v>
      </c>
      <c r="S46" s="114">
        <v>0</v>
      </c>
      <c r="T46" s="116">
        <v>0</v>
      </c>
      <c r="U46" s="116">
        <v>0</v>
      </c>
      <c r="V46" s="121">
        <f t="shared" si="0"/>
        <v>0</v>
      </c>
      <c r="W46" s="111"/>
      <c r="X46" s="111"/>
      <c r="Y46" s="111"/>
      <c r="Z46" s="111"/>
      <c r="AA46" s="111"/>
      <c r="AB46" s="111"/>
      <c r="AC46" s="111"/>
      <c r="AD46" s="111"/>
      <c r="AE46" s="139">
        <f t="shared" si="12"/>
        <v>0</v>
      </c>
      <c r="AF46" s="109"/>
      <c r="AG46" s="109"/>
    </row>
    <row r="47" spans="1:33">
      <c r="A47" s="140"/>
      <c r="B47" s="118"/>
      <c r="C47" s="118"/>
      <c r="D47" s="141"/>
      <c r="E47" s="119"/>
      <c r="F47" s="118"/>
      <c r="G47" s="110"/>
      <c r="H47" s="143"/>
      <c r="I47" s="114">
        <v>0</v>
      </c>
      <c r="J47" s="115">
        <v>0</v>
      </c>
      <c r="K47" s="116">
        <v>0</v>
      </c>
      <c r="L47" s="116">
        <v>0</v>
      </c>
      <c r="M47" s="114">
        <v>0</v>
      </c>
      <c r="N47" s="113">
        <v>0</v>
      </c>
      <c r="O47" s="113">
        <v>0</v>
      </c>
      <c r="P47" s="146">
        <v>0</v>
      </c>
      <c r="Q47" s="116">
        <v>0</v>
      </c>
      <c r="R47" s="116">
        <v>0</v>
      </c>
      <c r="S47" s="114">
        <v>0</v>
      </c>
      <c r="T47" s="116">
        <v>0</v>
      </c>
      <c r="U47" s="116">
        <v>0</v>
      </c>
      <c r="V47" s="121">
        <f t="shared" ref="V47:V112" si="13">+G47-(SUM(I47:N47,P47:S47,U47))</f>
        <v>0</v>
      </c>
      <c r="W47" s="111"/>
      <c r="X47" s="111"/>
      <c r="Y47" s="111"/>
      <c r="Z47" s="111"/>
      <c r="AA47" s="111"/>
      <c r="AB47" s="111"/>
      <c r="AC47" s="111"/>
      <c r="AD47" s="111"/>
      <c r="AE47" s="139">
        <f t="shared" si="12"/>
        <v>0</v>
      </c>
      <c r="AF47" s="109"/>
      <c r="AG47" s="109"/>
    </row>
    <row r="48" spans="1:33">
      <c r="A48" s="140"/>
      <c r="B48" s="118"/>
      <c r="C48" s="118"/>
      <c r="D48" s="141"/>
      <c r="E48" s="119"/>
      <c r="F48" s="118"/>
      <c r="G48" s="110"/>
      <c r="H48" s="143"/>
      <c r="I48" s="114">
        <v>0</v>
      </c>
      <c r="J48" s="115">
        <v>0</v>
      </c>
      <c r="K48" s="116">
        <v>0</v>
      </c>
      <c r="L48" s="116">
        <v>0</v>
      </c>
      <c r="M48" s="114">
        <v>0</v>
      </c>
      <c r="N48" s="113">
        <v>0</v>
      </c>
      <c r="O48" s="113">
        <v>0</v>
      </c>
      <c r="P48" s="146">
        <v>0</v>
      </c>
      <c r="Q48" s="116">
        <v>0</v>
      </c>
      <c r="R48" s="116">
        <v>0</v>
      </c>
      <c r="S48" s="114">
        <v>0</v>
      </c>
      <c r="T48" s="116">
        <v>0</v>
      </c>
      <c r="U48" s="116">
        <v>0</v>
      </c>
      <c r="V48" s="121">
        <f t="shared" ref="V48" si="14">+G48-(SUM(I48:N48,P48:S48,U48))</f>
        <v>0</v>
      </c>
      <c r="W48" s="111"/>
      <c r="X48" s="111"/>
      <c r="Y48" s="111"/>
      <c r="Z48" s="111"/>
      <c r="AA48" s="111"/>
      <c r="AB48" s="111"/>
      <c r="AC48" s="111"/>
      <c r="AD48" s="111"/>
      <c r="AE48" s="139">
        <f t="shared" si="12"/>
        <v>0</v>
      </c>
      <c r="AF48" s="109"/>
      <c r="AG48" s="109"/>
    </row>
    <row r="49" spans="1:33">
      <c r="A49" s="140"/>
      <c r="B49" s="118"/>
      <c r="C49" s="118"/>
      <c r="D49" s="141"/>
      <c r="E49" s="119"/>
      <c r="F49" s="118"/>
      <c r="G49" s="110"/>
      <c r="H49" s="143"/>
      <c r="I49" s="114">
        <v>0</v>
      </c>
      <c r="J49" s="115">
        <v>0</v>
      </c>
      <c r="K49" s="116">
        <v>0</v>
      </c>
      <c r="L49" s="116">
        <v>0</v>
      </c>
      <c r="M49" s="114">
        <v>0</v>
      </c>
      <c r="N49" s="113">
        <v>0</v>
      </c>
      <c r="O49" s="113">
        <v>0</v>
      </c>
      <c r="P49" s="146">
        <v>0</v>
      </c>
      <c r="Q49" s="116">
        <v>0</v>
      </c>
      <c r="R49" s="116">
        <v>0</v>
      </c>
      <c r="S49" s="114">
        <v>0</v>
      </c>
      <c r="T49" s="116">
        <v>0</v>
      </c>
      <c r="U49" s="116">
        <v>0</v>
      </c>
      <c r="V49" s="121">
        <f t="shared" si="13"/>
        <v>0</v>
      </c>
      <c r="W49" s="111"/>
      <c r="X49" s="111"/>
      <c r="Y49" s="111"/>
      <c r="Z49" s="111"/>
      <c r="AA49" s="111"/>
      <c r="AB49" s="111"/>
      <c r="AC49" s="111"/>
      <c r="AD49" s="111"/>
      <c r="AE49" s="139">
        <f t="shared" si="12"/>
        <v>0</v>
      </c>
      <c r="AF49" s="109"/>
      <c r="AG49" s="109"/>
    </row>
    <row r="50" spans="1:33">
      <c r="A50" s="140"/>
      <c r="B50" s="118"/>
      <c r="C50" s="118"/>
      <c r="D50" s="141"/>
      <c r="E50" s="119"/>
      <c r="F50" s="118"/>
      <c r="G50" s="110"/>
      <c r="H50" s="143"/>
      <c r="I50" s="114">
        <v>0</v>
      </c>
      <c r="J50" s="115">
        <v>0</v>
      </c>
      <c r="K50" s="116">
        <v>0</v>
      </c>
      <c r="L50" s="116">
        <v>0</v>
      </c>
      <c r="M50" s="114">
        <v>0</v>
      </c>
      <c r="N50" s="113">
        <v>0</v>
      </c>
      <c r="O50" s="113">
        <v>0</v>
      </c>
      <c r="P50" s="146">
        <v>0</v>
      </c>
      <c r="Q50" s="116">
        <v>0</v>
      </c>
      <c r="R50" s="116">
        <v>0</v>
      </c>
      <c r="S50" s="114">
        <v>0</v>
      </c>
      <c r="T50" s="116">
        <v>0</v>
      </c>
      <c r="U50" s="116">
        <v>0</v>
      </c>
      <c r="V50" s="121">
        <f t="shared" si="13"/>
        <v>0</v>
      </c>
      <c r="W50" s="111"/>
      <c r="X50" s="111"/>
      <c r="Y50" s="111"/>
      <c r="Z50" s="111"/>
      <c r="AA50" s="111"/>
      <c r="AB50" s="111"/>
      <c r="AC50" s="111"/>
      <c r="AD50" s="111"/>
      <c r="AE50" s="139">
        <f t="shared" si="12"/>
        <v>0</v>
      </c>
      <c r="AF50" s="109"/>
      <c r="AG50" s="109"/>
    </row>
    <row r="51" spans="1:33">
      <c r="A51" s="140"/>
      <c r="B51" s="118"/>
      <c r="C51" s="118"/>
      <c r="D51" s="141"/>
      <c r="E51" s="119"/>
      <c r="F51" s="118"/>
      <c r="G51" s="110"/>
      <c r="H51" s="143"/>
      <c r="I51" s="114">
        <v>0</v>
      </c>
      <c r="J51" s="115">
        <v>0</v>
      </c>
      <c r="K51" s="116">
        <v>0</v>
      </c>
      <c r="L51" s="116">
        <v>0</v>
      </c>
      <c r="M51" s="114">
        <v>0</v>
      </c>
      <c r="N51" s="113">
        <v>0</v>
      </c>
      <c r="O51" s="113">
        <v>0</v>
      </c>
      <c r="P51" s="146">
        <v>0</v>
      </c>
      <c r="Q51" s="116">
        <v>0</v>
      </c>
      <c r="R51" s="116">
        <v>0</v>
      </c>
      <c r="S51" s="114">
        <v>0</v>
      </c>
      <c r="T51" s="116">
        <v>0</v>
      </c>
      <c r="U51" s="116">
        <v>0</v>
      </c>
      <c r="V51" s="121">
        <f t="shared" ref="V51" si="15">+G51-(SUM(I51:N51,P51:S51,U51))</f>
        <v>0</v>
      </c>
      <c r="W51" s="111"/>
      <c r="X51" s="111"/>
      <c r="Y51" s="111"/>
      <c r="Z51" s="111"/>
      <c r="AA51" s="111"/>
      <c r="AB51" s="111"/>
      <c r="AC51" s="111"/>
      <c r="AD51" s="111"/>
      <c r="AE51" s="139">
        <f t="shared" si="12"/>
        <v>0</v>
      </c>
      <c r="AF51" s="109"/>
      <c r="AG51" s="109"/>
    </row>
    <row r="52" spans="1:33" ht="18.75" customHeight="1">
      <c r="A52" s="140"/>
      <c r="B52" s="118"/>
      <c r="C52" s="118"/>
      <c r="D52" s="141"/>
      <c r="E52" s="119"/>
      <c r="F52" s="118"/>
      <c r="G52" s="110"/>
      <c r="H52" s="143"/>
      <c r="I52" s="114">
        <v>0</v>
      </c>
      <c r="J52" s="115">
        <v>0</v>
      </c>
      <c r="K52" s="116">
        <v>0</v>
      </c>
      <c r="L52" s="116">
        <v>0</v>
      </c>
      <c r="M52" s="114">
        <v>0</v>
      </c>
      <c r="N52" s="113">
        <v>0</v>
      </c>
      <c r="O52" s="113">
        <v>0</v>
      </c>
      <c r="P52" s="146">
        <v>0</v>
      </c>
      <c r="Q52" s="116">
        <v>0</v>
      </c>
      <c r="R52" s="116">
        <v>0</v>
      </c>
      <c r="S52" s="114">
        <v>0</v>
      </c>
      <c r="T52" s="116">
        <v>0</v>
      </c>
      <c r="U52" s="116">
        <v>0</v>
      </c>
      <c r="V52" s="121">
        <f t="shared" ref="V52:V54" si="16">+G52-(SUM(I52:N52,P52:S52,U52))</f>
        <v>0</v>
      </c>
      <c r="W52" s="111"/>
      <c r="X52" s="111"/>
      <c r="Y52" s="111"/>
      <c r="Z52" s="111"/>
      <c r="AA52" s="111"/>
      <c r="AB52" s="111"/>
      <c r="AC52" s="111"/>
      <c r="AD52" s="111"/>
      <c r="AE52" s="139">
        <f t="shared" si="12"/>
        <v>0</v>
      </c>
      <c r="AF52" s="109"/>
      <c r="AG52" s="109"/>
    </row>
    <row r="53" spans="1:33">
      <c r="A53" s="140"/>
      <c r="B53" s="118"/>
      <c r="C53" s="118"/>
      <c r="D53" s="141"/>
      <c r="E53" s="119"/>
      <c r="F53" s="118"/>
      <c r="G53" s="110"/>
      <c r="H53" s="143"/>
      <c r="I53" s="114">
        <v>0</v>
      </c>
      <c r="J53" s="115">
        <v>0</v>
      </c>
      <c r="K53" s="116">
        <v>0</v>
      </c>
      <c r="L53" s="116">
        <v>0</v>
      </c>
      <c r="M53" s="114">
        <v>0</v>
      </c>
      <c r="N53" s="113">
        <v>0</v>
      </c>
      <c r="O53" s="113">
        <v>0</v>
      </c>
      <c r="P53" s="146">
        <v>0</v>
      </c>
      <c r="Q53" s="116">
        <v>0</v>
      </c>
      <c r="R53" s="116">
        <v>0</v>
      </c>
      <c r="S53" s="114">
        <v>0</v>
      </c>
      <c r="T53" s="116">
        <v>0</v>
      </c>
      <c r="U53" s="116">
        <v>0</v>
      </c>
      <c r="V53" s="121">
        <f t="shared" ref="V53" si="17">+G53-(SUM(I53:N53,P53:S53,U53))</f>
        <v>0</v>
      </c>
      <c r="W53" s="111"/>
      <c r="X53" s="111"/>
      <c r="Y53" s="111"/>
      <c r="Z53" s="111"/>
      <c r="AA53" s="111"/>
      <c r="AB53" s="111"/>
      <c r="AC53" s="111"/>
      <c r="AD53" s="111"/>
      <c r="AE53" s="139">
        <f t="shared" si="12"/>
        <v>0</v>
      </c>
      <c r="AF53" s="109"/>
      <c r="AG53" s="109"/>
    </row>
    <row r="54" spans="1:33">
      <c r="A54" s="140"/>
      <c r="B54" s="118"/>
      <c r="C54" s="118"/>
      <c r="D54" s="141"/>
      <c r="E54" s="119"/>
      <c r="F54" s="118"/>
      <c r="G54" s="110"/>
      <c r="H54" s="143"/>
      <c r="I54" s="114">
        <v>0</v>
      </c>
      <c r="J54" s="115">
        <v>0</v>
      </c>
      <c r="K54" s="116">
        <v>0</v>
      </c>
      <c r="L54" s="116">
        <v>0</v>
      </c>
      <c r="M54" s="114">
        <v>0</v>
      </c>
      <c r="N54" s="113">
        <v>0</v>
      </c>
      <c r="O54" s="113">
        <v>0</v>
      </c>
      <c r="P54" s="146">
        <v>0</v>
      </c>
      <c r="Q54" s="116">
        <v>0</v>
      </c>
      <c r="R54" s="116">
        <v>0</v>
      </c>
      <c r="S54" s="114">
        <v>0</v>
      </c>
      <c r="T54" s="116">
        <v>0</v>
      </c>
      <c r="U54" s="116">
        <v>0</v>
      </c>
      <c r="V54" s="121">
        <f t="shared" si="16"/>
        <v>0</v>
      </c>
      <c r="W54" s="111"/>
      <c r="X54" s="111"/>
      <c r="Y54" s="111"/>
      <c r="Z54" s="111"/>
      <c r="AA54" s="111"/>
      <c r="AB54" s="111"/>
      <c r="AC54" s="111"/>
      <c r="AD54" s="111"/>
      <c r="AE54" s="139">
        <f t="shared" si="12"/>
        <v>0</v>
      </c>
      <c r="AF54" s="109"/>
      <c r="AG54" s="109"/>
    </row>
    <row r="55" spans="1:33">
      <c r="A55" s="140"/>
      <c r="B55" s="118"/>
      <c r="C55" s="118"/>
      <c r="D55" s="141"/>
      <c r="E55" s="119"/>
      <c r="F55" s="118"/>
      <c r="G55" s="110"/>
      <c r="H55" s="143"/>
      <c r="I55" s="114">
        <v>0</v>
      </c>
      <c r="J55" s="115">
        <v>0</v>
      </c>
      <c r="K55" s="116">
        <v>0</v>
      </c>
      <c r="L55" s="116">
        <v>0</v>
      </c>
      <c r="M55" s="114">
        <v>0</v>
      </c>
      <c r="N55" s="113">
        <v>0</v>
      </c>
      <c r="O55" s="113">
        <v>0</v>
      </c>
      <c r="P55" s="146">
        <v>0</v>
      </c>
      <c r="Q55" s="116">
        <v>0</v>
      </c>
      <c r="R55" s="116">
        <v>0</v>
      </c>
      <c r="S55" s="114">
        <v>0</v>
      </c>
      <c r="T55" s="116">
        <v>0</v>
      </c>
      <c r="U55" s="116">
        <v>0</v>
      </c>
      <c r="V55" s="121">
        <f t="shared" ref="V55" si="18">+G55-(SUM(I55:N55,P55:S55,U55))</f>
        <v>0</v>
      </c>
      <c r="W55" s="111"/>
      <c r="X55" s="111"/>
      <c r="Y55" s="111"/>
      <c r="Z55" s="111"/>
      <c r="AA55" s="111"/>
      <c r="AB55" s="111"/>
      <c r="AC55" s="111"/>
      <c r="AD55" s="111"/>
      <c r="AE55" s="139">
        <f t="shared" si="12"/>
        <v>0</v>
      </c>
      <c r="AF55" s="109"/>
      <c r="AG55" s="109"/>
    </row>
    <row r="56" spans="1:33">
      <c r="A56" s="140"/>
      <c r="B56" s="118"/>
      <c r="C56" s="118"/>
      <c r="D56" s="141"/>
      <c r="E56" s="119"/>
      <c r="F56" s="118"/>
      <c r="G56" s="110"/>
      <c r="H56" s="143"/>
      <c r="I56" s="114">
        <v>0</v>
      </c>
      <c r="J56" s="115">
        <v>0</v>
      </c>
      <c r="K56" s="116">
        <v>0</v>
      </c>
      <c r="L56" s="116">
        <v>0</v>
      </c>
      <c r="M56" s="114">
        <v>0</v>
      </c>
      <c r="N56" s="113">
        <v>0</v>
      </c>
      <c r="O56" s="113">
        <v>0</v>
      </c>
      <c r="P56" s="146">
        <v>0</v>
      </c>
      <c r="Q56" s="116">
        <v>0</v>
      </c>
      <c r="R56" s="116">
        <v>0</v>
      </c>
      <c r="S56" s="114">
        <v>0</v>
      </c>
      <c r="T56" s="116">
        <v>0</v>
      </c>
      <c r="U56" s="116">
        <v>0</v>
      </c>
      <c r="V56" s="121">
        <f t="shared" si="13"/>
        <v>0</v>
      </c>
      <c r="W56" s="111"/>
      <c r="X56" s="111"/>
      <c r="Y56" s="111"/>
      <c r="Z56" s="111"/>
      <c r="AA56" s="111"/>
      <c r="AB56" s="111"/>
      <c r="AC56" s="111"/>
      <c r="AD56" s="111"/>
      <c r="AE56" s="139">
        <f t="shared" si="12"/>
        <v>0</v>
      </c>
      <c r="AF56" s="109"/>
      <c r="AG56" s="109"/>
    </row>
    <row r="57" spans="1:33">
      <c r="A57" s="140"/>
      <c r="B57" s="118"/>
      <c r="C57" s="118"/>
      <c r="D57" s="141"/>
      <c r="E57" s="119"/>
      <c r="F57" s="118"/>
      <c r="G57" s="110"/>
      <c r="H57" s="143"/>
      <c r="I57" s="114">
        <v>0</v>
      </c>
      <c r="J57" s="115">
        <v>0</v>
      </c>
      <c r="K57" s="116">
        <v>0</v>
      </c>
      <c r="L57" s="116">
        <v>0</v>
      </c>
      <c r="M57" s="114">
        <v>0</v>
      </c>
      <c r="N57" s="113">
        <v>0</v>
      </c>
      <c r="O57" s="113">
        <v>0</v>
      </c>
      <c r="P57" s="146">
        <v>0</v>
      </c>
      <c r="Q57" s="116">
        <v>0</v>
      </c>
      <c r="R57" s="116">
        <v>0</v>
      </c>
      <c r="S57" s="114">
        <v>0</v>
      </c>
      <c r="T57" s="116">
        <v>0</v>
      </c>
      <c r="U57" s="116">
        <v>0</v>
      </c>
      <c r="V57" s="121">
        <f t="shared" si="13"/>
        <v>0</v>
      </c>
      <c r="W57" s="111"/>
      <c r="X57" s="111"/>
      <c r="Y57" s="111"/>
      <c r="Z57" s="111"/>
      <c r="AA57" s="111"/>
      <c r="AB57" s="111"/>
      <c r="AC57" s="111"/>
      <c r="AD57" s="111"/>
      <c r="AE57" s="139">
        <f t="shared" si="12"/>
        <v>0</v>
      </c>
      <c r="AF57" s="109"/>
      <c r="AG57" s="109"/>
    </row>
    <row r="58" spans="1:33">
      <c r="A58" s="140"/>
      <c r="B58" s="118"/>
      <c r="C58" s="118"/>
      <c r="D58" s="141"/>
      <c r="E58" s="119"/>
      <c r="F58" s="118"/>
      <c r="G58" s="110"/>
      <c r="H58" s="143"/>
      <c r="I58" s="114">
        <v>0</v>
      </c>
      <c r="J58" s="115">
        <v>0</v>
      </c>
      <c r="K58" s="116">
        <v>0</v>
      </c>
      <c r="L58" s="116">
        <v>0</v>
      </c>
      <c r="M58" s="114">
        <v>0</v>
      </c>
      <c r="N58" s="113">
        <v>0</v>
      </c>
      <c r="O58" s="113">
        <v>0</v>
      </c>
      <c r="P58" s="146">
        <v>0</v>
      </c>
      <c r="Q58" s="116">
        <v>0</v>
      </c>
      <c r="R58" s="116">
        <v>0</v>
      </c>
      <c r="S58" s="114">
        <v>0</v>
      </c>
      <c r="T58" s="116">
        <v>0</v>
      </c>
      <c r="U58" s="116">
        <v>0</v>
      </c>
      <c r="V58" s="121">
        <f t="shared" si="13"/>
        <v>0</v>
      </c>
      <c r="W58" s="111"/>
      <c r="X58" s="111"/>
      <c r="Y58" s="111"/>
      <c r="Z58" s="111"/>
      <c r="AA58" s="111"/>
      <c r="AB58" s="111"/>
      <c r="AC58" s="111"/>
      <c r="AD58" s="111"/>
      <c r="AE58" s="139">
        <f t="shared" si="12"/>
        <v>0</v>
      </c>
      <c r="AF58" s="109"/>
      <c r="AG58" s="109"/>
    </row>
    <row r="59" spans="1:33">
      <c r="A59" s="140"/>
      <c r="B59" s="118"/>
      <c r="C59" s="118"/>
      <c r="D59" s="141"/>
      <c r="E59" s="119"/>
      <c r="F59" s="118"/>
      <c r="G59" s="110"/>
      <c r="H59" s="143"/>
      <c r="I59" s="114">
        <v>0</v>
      </c>
      <c r="J59" s="115">
        <v>0</v>
      </c>
      <c r="K59" s="116">
        <v>0</v>
      </c>
      <c r="L59" s="116">
        <v>0</v>
      </c>
      <c r="M59" s="114">
        <v>0</v>
      </c>
      <c r="N59" s="113">
        <v>0</v>
      </c>
      <c r="O59" s="113">
        <v>0</v>
      </c>
      <c r="P59" s="146">
        <v>0</v>
      </c>
      <c r="Q59" s="116">
        <v>0</v>
      </c>
      <c r="R59" s="116">
        <v>0</v>
      </c>
      <c r="S59" s="114">
        <v>0</v>
      </c>
      <c r="T59" s="116">
        <v>0</v>
      </c>
      <c r="U59" s="116">
        <v>0</v>
      </c>
      <c r="V59" s="121">
        <f t="shared" si="13"/>
        <v>0</v>
      </c>
      <c r="W59" s="111"/>
      <c r="X59" s="111"/>
      <c r="Y59" s="111"/>
      <c r="Z59" s="111"/>
      <c r="AA59" s="111"/>
      <c r="AB59" s="111"/>
      <c r="AC59" s="111"/>
      <c r="AD59" s="111"/>
      <c r="AE59" s="139">
        <f t="shared" si="12"/>
        <v>0</v>
      </c>
      <c r="AF59" s="109"/>
      <c r="AG59" s="109"/>
    </row>
    <row r="60" spans="1:33">
      <c r="A60" s="140"/>
      <c r="B60" s="118"/>
      <c r="C60" s="118"/>
      <c r="D60" s="141"/>
      <c r="E60" s="119"/>
      <c r="F60" s="118"/>
      <c r="G60" s="110"/>
      <c r="H60" s="143"/>
      <c r="I60" s="114">
        <v>0</v>
      </c>
      <c r="J60" s="115">
        <v>0</v>
      </c>
      <c r="K60" s="116">
        <v>0</v>
      </c>
      <c r="L60" s="116">
        <v>0</v>
      </c>
      <c r="M60" s="114">
        <v>0</v>
      </c>
      <c r="N60" s="113">
        <v>0</v>
      </c>
      <c r="O60" s="113">
        <v>0</v>
      </c>
      <c r="P60" s="146">
        <v>0</v>
      </c>
      <c r="Q60" s="116">
        <v>0</v>
      </c>
      <c r="R60" s="116">
        <v>0</v>
      </c>
      <c r="S60" s="114">
        <v>0</v>
      </c>
      <c r="T60" s="116">
        <v>0</v>
      </c>
      <c r="U60" s="116">
        <v>0</v>
      </c>
      <c r="V60" s="121">
        <f t="shared" si="13"/>
        <v>0</v>
      </c>
      <c r="W60" s="111"/>
      <c r="X60" s="111"/>
      <c r="Y60" s="111"/>
      <c r="Z60" s="111"/>
      <c r="AA60" s="111"/>
      <c r="AB60" s="111"/>
      <c r="AC60" s="111"/>
      <c r="AD60" s="111"/>
      <c r="AE60" s="139">
        <f t="shared" si="12"/>
        <v>0</v>
      </c>
      <c r="AF60" s="109"/>
      <c r="AG60" s="109"/>
    </row>
    <row r="61" spans="1:33">
      <c r="A61" s="140"/>
      <c r="B61" s="118"/>
      <c r="C61" s="118"/>
      <c r="D61" s="141"/>
      <c r="E61" s="119"/>
      <c r="F61" s="118"/>
      <c r="G61" s="110"/>
      <c r="H61" s="143"/>
      <c r="I61" s="114">
        <v>0</v>
      </c>
      <c r="J61" s="115">
        <v>0</v>
      </c>
      <c r="K61" s="116">
        <v>0</v>
      </c>
      <c r="L61" s="116">
        <v>0</v>
      </c>
      <c r="M61" s="114">
        <v>0</v>
      </c>
      <c r="N61" s="113">
        <v>0</v>
      </c>
      <c r="O61" s="113">
        <v>0</v>
      </c>
      <c r="P61" s="146">
        <v>0</v>
      </c>
      <c r="Q61" s="116">
        <v>0</v>
      </c>
      <c r="R61" s="116">
        <v>0</v>
      </c>
      <c r="S61" s="114">
        <v>0</v>
      </c>
      <c r="T61" s="116">
        <v>0</v>
      </c>
      <c r="U61" s="116">
        <v>0</v>
      </c>
      <c r="V61" s="121">
        <f t="shared" si="13"/>
        <v>0</v>
      </c>
      <c r="W61" s="111"/>
      <c r="X61" s="111"/>
      <c r="Y61" s="111"/>
      <c r="Z61" s="111"/>
      <c r="AA61" s="111"/>
      <c r="AB61" s="111"/>
      <c r="AC61" s="111"/>
      <c r="AD61" s="111"/>
      <c r="AE61" s="139">
        <f t="shared" si="12"/>
        <v>0</v>
      </c>
      <c r="AF61" s="109"/>
      <c r="AG61" s="109"/>
    </row>
    <row r="62" spans="1:33">
      <c r="A62" s="140"/>
      <c r="B62" s="118"/>
      <c r="C62" s="118"/>
      <c r="D62" s="141"/>
      <c r="E62" s="119"/>
      <c r="F62" s="118"/>
      <c r="G62" s="110"/>
      <c r="H62" s="143"/>
      <c r="I62" s="114">
        <v>0</v>
      </c>
      <c r="J62" s="115">
        <v>0</v>
      </c>
      <c r="K62" s="116">
        <v>0</v>
      </c>
      <c r="L62" s="116">
        <v>0</v>
      </c>
      <c r="M62" s="114">
        <v>0</v>
      </c>
      <c r="N62" s="113">
        <v>0</v>
      </c>
      <c r="O62" s="113">
        <v>0</v>
      </c>
      <c r="P62" s="146">
        <v>0</v>
      </c>
      <c r="Q62" s="116">
        <v>0</v>
      </c>
      <c r="R62" s="116">
        <v>0</v>
      </c>
      <c r="S62" s="114">
        <v>0</v>
      </c>
      <c r="T62" s="116">
        <v>0</v>
      </c>
      <c r="U62" s="116">
        <v>0</v>
      </c>
      <c r="V62" s="121">
        <f t="shared" si="13"/>
        <v>0</v>
      </c>
      <c r="W62" s="111"/>
      <c r="X62" s="111"/>
      <c r="Y62" s="111"/>
      <c r="Z62" s="111"/>
      <c r="AA62" s="111"/>
      <c r="AB62" s="111"/>
      <c r="AC62" s="111"/>
      <c r="AD62" s="111"/>
      <c r="AE62" s="139">
        <f t="shared" si="12"/>
        <v>0</v>
      </c>
      <c r="AF62" s="109"/>
      <c r="AG62" s="109"/>
    </row>
    <row r="63" spans="1:33">
      <c r="A63" s="140"/>
      <c r="B63" s="118"/>
      <c r="C63" s="118"/>
      <c r="D63" s="141"/>
      <c r="E63" s="119"/>
      <c r="F63" s="118"/>
      <c r="G63" s="110"/>
      <c r="H63" s="143"/>
      <c r="I63" s="114">
        <v>0</v>
      </c>
      <c r="J63" s="115">
        <v>0</v>
      </c>
      <c r="K63" s="116">
        <v>0</v>
      </c>
      <c r="L63" s="116">
        <v>0</v>
      </c>
      <c r="M63" s="114">
        <v>0</v>
      </c>
      <c r="N63" s="113">
        <v>0</v>
      </c>
      <c r="O63" s="113">
        <v>0</v>
      </c>
      <c r="P63" s="146">
        <v>0</v>
      </c>
      <c r="Q63" s="116">
        <v>0</v>
      </c>
      <c r="R63" s="116">
        <v>0</v>
      </c>
      <c r="S63" s="114">
        <v>0</v>
      </c>
      <c r="T63" s="116">
        <v>0</v>
      </c>
      <c r="U63" s="116">
        <v>0</v>
      </c>
      <c r="V63" s="121">
        <f t="shared" si="13"/>
        <v>0</v>
      </c>
      <c r="W63" s="111"/>
      <c r="X63" s="111"/>
      <c r="Y63" s="111"/>
      <c r="Z63" s="111"/>
      <c r="AA63" s="111"/>
      <c r="AB63" s="111"/>
      <c r="AC63" s="111"/>
      <c r="AD63" s="111"/>
      <c r="AE63" s="139">
        <f t="shared" si="12"/>
        <v>0</v>
      </c>
      <c r="AF63" s="109"/>
      <c r="AG63" s="109"/>
    </row>
    <row r="64" spans="1:33">
      <c r="A64" s="140"/>
      <c r="B64" s="118"/>
      <c r="C64" s="118"/>
      <c r="D64" s="141"/>
      <c r="E64" s="119"/>
      <c r="F64" s="118"/>
      <c r="G64" s="110"/>
      <c r="H64" s="143"/>
      <c r="I64" s="114">
        <v>0</v>
      </c>
      <c r="J64" s="115">
        <v>0</v>
      </c>
      <c r="K64" s="116">
        <v>0</v>
      </c>
      <c r="L64" s="116">
        <v>0</v>
      </c>
      <c r="M64" s="114">
        <v>0</v>
      </c>
      <c r="N64" s="113">
        <v>0</v>
      </c>
      <c r="O64" s="113">
        <v>0</v>
      </c>
      <c r="P64" s="146">
        <v>0</v>
      </c>
      <c r="Q64" s="116">
        <v>0</v>
      </c>
      <c r="R64" s="116">
        <v>0</v>
      </c>
      <c r="S64" s="114">
        <v>0</v>
      </c>
      <c r="T64" s="116">
        <v>0</v>
      </c>
      <c r="U64" s="116">
        <v>0</v>
      </c>
      <c r="V64" s="121">
        <f t="shared" ref="V64" si="19">+G64-(SUM(I64:N64,P64:S64,U64))</f>
        <v>0</v>
      </c>
      <c r="W64" s="111"/>
      <c r="X64" s="111"/>
      <c r="Y64" s="111"/>
      <c r="Z64" s="111"/>
      <c r="AA64" s="111"/>
      <c r="AB64" s="111"/>
      <c r="AC64" s="111"/>
      <c r="AD64" s="111"/>
      <c r="AE64" s="139">
        <f t="shared" si="12"/>
        <v>0</v>
      </c>
      <c r="AF64" s="109"/>
      <c r="AG64" s="109"/>
    </row>
    <row r="65" spans="1:33">
      <c r="A65" s="140"/>
      <c r="B65" s="118"/>
      <c r="C65" s="118"/>
      <c r="D65" s="141"/>
      <c r="E65" s="119"/>
      <c r="F65" s="118"/>
      <c r="G65" s="110"/>
      <c r="H65" s="143"/>
      <c r="I65" s="114">
        <v>0</v>
      </c>
      <c r="J65" s="115">
        <v>0</v>
      </c>
      <c r="K65" s="116">
        <v>0</v>
      </c>
      <c r="L65" s="116">
        <v>0</v>
      </c>
      <c r="M65" s="114">
        <v>0</v>
      </c>
      <c r="N65" s="113">
        <v>0</v>
      </c>
      <c r="O65" s="113">
        <v>0</v>
      </c>
      <c r="P65" s="146">
        <v>0</v>
      </c>
      <c r="Q65" s="116">
        <v>0</v>
      </c>
      <c r="R65" s="116">
        <v>0</v>
      </c>
      <c r="S65" s="114">
        <v>0</v>
      </c>
      <c r="T65" s="116">
        <v>0</v>
      </c>
      <c r="U65" s="116">
        <v>0</v>
      </c>
      <c r="V65" s="121">
        <f t="shared" ref="V65" si="20">+G65-(SUM(I65:N65,P65:S65,U65))</f>
        <v>0</v>
      </c>
      <c r="W65" s="111"/>
      <c r="X65" s="111"/>
      <c r="Y65" s="111"/>
      <c r="Z65" s="111"/>
      <c r="AA65" s="111"/>
      <c r="AB65" s="111"/>
      <c r="AC65" s="111"/>
      <c r="AD65" s="111"/>
      <c r="AE65" s="139">
        <f t="shared" si="12"/>
        <v>0</v>
      </c>
      <c r="AF65" s="109"/>
      <c r="AG65" s="109"/>
    </row>
    <row r="66" spans="1:33">
      <c r="A66" s="140"/>
      <c r="B66" s="118"/>
      <c r="C66" s="118"/>
      <c r="D66" s="141"/>
      <c r="E66" s="119"/>
      <c r="F66" s="118"/>
      <c r="G66" s="110"/>
      <c r="H66" s="143"/>
      <c r="I66" s="114">
        <v>0</v>
      </c>
      <c r="J66" s="115">
        <v>0</v>
      </c>
      <c r="K66" s="116">
        <v>0</v>
      </c>
      <c r="L66" s="116">
        <v>0</v>
      </c>
      <c r="M66" s="114">
        <v>0</v>
      </c>
      <c r="N66" s="113">
        <v>0</v>
      </c>
      <c r="O66" s="113">
        <v>0</v>
      </c>
      <c r="P66" s="146">
        <v>0</v>
      </c>
      <c r="Q66" s="116">
        <v>0</v>
      </c>
      <c r="R66" s="116">
        <v>0</v>
      </c>
      <c r="S66" s="114">
        <v>0</v>
      </c>
      <c r="T66" s="116">
        <v>0</v>
      </c>
      <c r="U66" s="116">
        <v>0</v>
      </c>
      <c r="V66" s="121">
        <f t="shared" ref="V66" si="21">+G66-(SUM(I66:N66,P66:S66,U66))</f>
        <v>0</v>
      </c>
      <c r="W66" s="111"/>
      <c r="X66" s="111"/>
      <c r="Y66" s="111"/>
      <c r="Z66" s="111"/>
      <c r="AA66" s="111"/>
      <c r="AB66" s="111"/>
      <c r="AC66" s="111"/>
      <c r="AD66" s="111"/>
      <c r="AE66" s="139">
        <f t="shared" si="12"/>
        <v>0</v>
      </c>
      <c r="AF66" s="109"/>
      <c r="AG66" s="109"/>
    </row>
    <row r="67" spans="1:33">
      <c r="A67" s="140"/>
      <c r="B67" s="118"/>
      <c r="C67" s="118"/>
      <c r="D67" s="141"/>
      <c r="E67" s="119"/>
      <c r="F67" s="118"/>
      <c r="G67" s="110"/>
      <c r="H67" s="143"/>
      <c r="I67" s="114">
        <v>0</v>
      </c>
      <c r="J67" s="115">
        <v>0</v>
      </c>
      <c r="K67" s="116">
        <v>0</v>
      </c>
      <c r="L67" s="116">
        <v>0</v>
      </c>
      <c r="M67" s="114">
        <v>0</v>
      </c>
      <c r="N67" s="113">
        <v>0</v>
      </c>
      <c r="O67" s="113">
        <v>0</v>
      </c>
      <c r="P67" s="146">
        <v>0</v>
      </c>
      <c r="Q67" s="116">
        <v>0</v>
      </c>
      <c r="R67" s="116">
        <v>0</v>
      </c>
      <c r="S67" s="114">
        <v>0</v>
      </c>
      <c r="T67" s="116">
        <v>0</v>
      </c>
      <c r="U67" s="116">
        <v>0</v>
      </c>
      <c r="V67" s="121">
        <f t="shared" ref="V67" si="22">+G67-(SUM(I67:N67,P67:S67,U67))</f>
        <v>0</v>
      </c>
      <c r="W67" s="111"/>
      <c r="X67" s="111"/>
      <c r="Y67" s="111"/>
      <c r="Z67" s="111"/>
      <c r="AA67" s="111"/>
      <c r="AB67" s="111"/>
      <c r="AC67" s="111"/>
      <c r="AD67" s="111"/>
      <c r="AE67" s="139">
        <f t="shared" si="12"/>
        <v>0</v>
      </c>
      <c r="AF67" s="109"/>
      <c r="AG67" s="109"/>
    </row>
    <row r="68" spans="1:33">
      <c r="A68" s="140"/>
      <c r="B68" s="118"/>
      <c r="C68" s="118"/>
      <c r="D68" s="141"/>
      <c r="E68" s="119"/>
      <c r="F68" s="118"/>
      <c r="G68" s="110"/>
      <c r="H68" s="143"/>
      <c r="I68" s="114">
        <v>0</v>
      </c>
      <c r="J68" s="115">
        <v>0</v>
      </c>
      <c r="K68" s="116">
        <v>0</v>
      </c>
      <c r="L68" s="116">
        <v>0</v>
      </c>
      <c r="M68" s="114">
        <v>0</v>
      </c>
      <c r="N68" s="113">
        <v>0</v>
      </c>
      <c r="O68" s="113">
        <v>0</v>
      </c>
      <c r="P68" s="146">
        <v>0</v>
      </c>
      <c r="Q68" s="116">
        <v>0</v>
      </c>
      <c r="R68" s="116">
        <v>0</v>
      </c>
      <c r="S68" s="114">
        <v>0</v>
      </c>
      <c r="T68" s="116">
        <v>0</v>
      </c>
      <c r="U68" s="116">
        <v>0</v>
      </c>
      <c r="V68" s="121">
        <f t="shared" ref="V68" si="23">+G68-(SUM(I68:N68,P68:S68,U68))</f>
        <v>0</v>
      </c>
      <c r="W68" s="111"/>
      <c r="X68" s="111"/>
      <c r="Y68" s="111"/>
      <c r="Z68" s="111"/>
      <c r="AA68" s="111"/>
      <c r="AB68" s="111"/>
      <c r="AC68" s="111"/>
      <c r="AD68" s="111"/>
      <c r="AE68" s="139">
        <f t="shared" si="12"/>
        <v>0</v>
      </c>
      <c r="AF68" s="109"/>
      <c r="AG68" s="109"/>
    </row>
    <row r="69" spans="1:33">
      <c r="A69" s="140"/>
      <c r="B69" s="118"/>
      <c r="C69" s="118"/>
      <c r="D69" s="141"/>
      <c r="E69" s="119"/>
      <c r="F69" s="118"/>
      <c r="G69" s="110"/>
      <c r="H69" s="143"/>
      <c r="I69" s="114">
        <v>0</v>
      </c>
      <c r="J69" s="115">
        <v>0</v>
      </c>
      <c r="K69" s="116">
        <v>0</v>
      </c>
      <c r="L69" s="116">
        <v>0</v>
      </c>
      <c r="M69" s="114">
        <v>0</v>
      </c>
      <c r="N69" s="113">
        <v>0</v>
      </c>
      <c r="O69" s="113">
        <v>0</v>
      </c>
      <c r="P69" s="146">
        <v>0</v>
      </c>
      <c r="Q69" s="116">
        <v>0</v>
      </c>
      <c r="R69" s="116">
        <v>0</v>
      </c>
      <c r="S69" s="114">
        <v>0</v>
      </c>
      <c r="T69" s="116">
        <v>0</v>
      </c>
      <c r="U69" s="116">
        <v>0</v>
      </c>
      <c r="V69" s="121">
        <f t="shared" ref="V69" si="24">+G69-(SUM(I69:N69,P69:S69,U69))</f>
        <v>0</v>
      </c>
      <c r="W69" s="111"/>
      <c r="X69" s="111"/>
      <c r="Y69" s="111"/>
      <c r="Z69" s="111"/>
      <c r="AA69" s="111"/>
      <c r="AB69" s="111"/>
      <c r="AC69" s="111"/>
      <c r="AD69" s="111"/>
      <c r="AE69" s="139">
        <f t="shared" si="12"/>
        <v>0</v>
      </c>
      <c r="AF69" s="109"/>
      <c r="AG69" s="109"/>
    </row>
    <row r="70" spans="1:33">
      <c r="A70" s="117"/>
      <c r="B70" s="118"/>
      <c r="C70" s="118"/>
      <c r="D70" s="118"/>
      <c r="E70" s="119"/>
      <c r="F70" s="118"/>
      <c r="G70" s="110"/>
      <c r="H70" s="143"/>
      <c r="I70" s="114">
        <v>0</v>
      </c>
      <c r="J70" s="115">
        <v>0</v>
      </c>
      <c r="K70" s="116">
        <v>0</v>
      </c>
      <c r="L70" s="116">
        <v>0</v>
      </c>
      <c r="M70" s="114">
        <v>0</v>
      </c>
      <c r="N70" s="113">
        <v>0</v>
      </c>
      <c r="O70" s="113">
        <v>0</v>
      </c>
      <c r="P70" s="146">
        <v>0</v>
      </c>
      <c r="Q70" s="116">
        <v>0</v>
      </c>
      <c r="R70" s="116">
        <v>0</v>
      </c>
      <c r="S70" s="114">
        <v>0</v>
      </c>
      <c r="T70" s="116">
        <v>0</v>
      </c>
      <c r="U70" s="116">
        <v>0</v>
      </c>
      <c r="V70" s="121">
        <f t="shared" si="13"/>
        <v>0</v>
      </c>
      <c r="W70" s="111"/>
      <c r="X70" s="111"/>
      <c r="Y70" s="111"/>
      <c r="Z70" s="111"/>
      <c r="AA70" s="111"/>
      <c r="AB70" s="111"/>
      <c r="AC70" s="111"/>
      <c r="AD70" s="111"/>
      <c r="AE70" s="139">
        <f t="shared" si="12"/>
        <v>0</v>
      </c>
      <c r="AF70" s="109"/>
      <c r="AG70" s="109"/>
    </row>
    <row r="71" spans="1:33">
      <c r="A71" s="117"/>
      <c r="B71" s="118"/>
      <c r="C71" s="118"/>
      <c r="D71" s="118"/>
      <c r="E71" s="119"/>
      <c r="F71" s="118"/>
      <c r="G71" s="110"/>
      <c r="H71" s="143"/>
      <c r="I71" s="114">
        <v>0</v>
      </c>
      <c r="J71" s="115">
        <v>0</v>
      </c>
      <c r="K71" s="116">
        <v>0</v>
      </c>
      <c r="L71" s="116">
        <v>0</v>
      </c>
      <c r="M71" s="114">
        <v>0</v>
      </c>
      <c r="N71" s="113">
        <v>0</v>
      </c>
      <c r="O71" s="113">
        <v>0</v>
      </c>
      <c r="P71" s="146">
        <v>0</v>
      </c>
      <c r="Q71" s="116">
        <v>0</v>
      </c>
      <c r="R71" s="116">
        <v>0</v>
      </c>
      <c r="S71" s="114">
        <v>0</v>
      </c>
      <c r="T71" s="116">
        <v>0</v>
      </c>
      <c r="U71" s="116">
        <v>0</v>
      </c>
      <c r="V71" s="121">
        <f t="shared" si="13"/>
        <v>0</v>
      </c>
      <c r="W71" s="111"/>
      <c r="X71" s="111"/>
      <c r="Y71" s="111"/>
      <c r="Z71" s="111"/>
      <c r="AA71" s="111"/>
      <c r="AB71" s="111"/>
      <c r="AC71" s="111"/>
      <c r="AD71" s="111"/>
      <c r="AE71" s="139">
        <f t="shared" si="12"/>
        <v>0</v>
      </c>
      <c r="AF71" s="109"/>
      <c r="AG71" s="109"/>
    </row>
    <row r="72" spans="1:33">
      <c r="A72" s="117"/>
      <c r="B72" s="118"/>
      <c r="C72" s="118"/>
      <c r="D72" s="118"/>
      <c r="E72" s="119"/>
      <c r="F72" s="118"/>
      <c r="G72" s="110"/>
      <c r="H72" s="143"/>
      <c r="I72" s="114">
        <v>0</v>
      </c>
      <c r="J72" s="115">
        <v>0</v>
      </c>
      <c r="K72" s="116">
        <v>0</v>
      </c>
      <c r="L72" s="116">
        <v>0</v>
      </c>
      <c r="M72" s="114">
        <v>0</v>
      </c>
      <c r="N72" s="113">
        <v>0</v>
      </c>
      <c r="O72" s="113">
        <v>0</v>
      </c>
      <c r="P72" s="146">
        <v>0</v>
      </c>
      <c r="Q72" s="116">
        <v>0</v>
      </c>
      <c r="R72" s="116">
        <v>0</v>
      </c>
      <c r="S72" s="114">
        <v>0</v>
      </c>
      <c r="T72" s="116">
        <v>0</v>
      </c>
      <c r="U72" s="116">
        <v>0</v>
      </c>
      <c r="V72" s="121">
        <f t="shared" si="13"/>
        <v>0</v>
      </c>
      <c r="W72" s="111"/>
      <c r="X72" s="111"/>
      <c r="Y72" s="111"/>
      <c r="Z72" s="111"/>
      <c r="AA72" s="111"/>
      <c r="AB72" s="111"/>
      <c r="AC72" s="111"/>
      <c r="AD72" s="111"/>
      <c r="AE72" s="139">
        <f t="shared" si="12"/>
        <v>0</v>
      </c>
      <c r="AF72" s="109"/>
      <c r="AG72" s="109"/>
    </row>
    <row r="73" spans="1:33">
      <c r="A73" s="117"/>
      <c r="B73" s="118"/>
      <c r="C73" s="118"/>
      <c r="D73" s="118"/>
      <c r="E73" s="119"/>
      <c r="F73" s="118"/>
      <c r="G73" s="110"/>
      <c r="H73" s="143"/>
      <c r="I73" s="114">
        <v>0</v>
      </c>
      <c r="J73" s="115">
        <v>0</v>
      </c>
      <c r="K73" s="116">
        <v>0</v>
      </c>
      <c r="L73" s="116">
        <v>0</v>
      </c>
      <c r="M73" s="114">
        <v>0</v>
      </c>
      <c r="N73" s="113">
        <v>0</v>
      </c>
      <c r="O73" s="113">
        <v>0</v>
      </c>
      <c r="P73" s="146">
        <v>0</v>
      </c>
      <c r="Q73" s="116">
        <v>0</v>
      </c>
      <c r="R73" s="116">
        <v>0</v>
      </c>
      <c r="S73" s="114">
        <v>0</v>
      </c>
      <c r="T73" s="116">
        <v>0</v>
      </c>
      <c r="U73" s="116">
        <v>0</v>
      </c>
      <c r="V73" s="121">
        <f t="shared" si="13"/>
        <v>0</v>
      </c>
      <c r="W73" s="111"/>
      <c r="X73" s="111"/>
      <c r="Y73" s="111"/>
      <c r="Z73" s="111"/>
      <c r="AA73" s="111"/>
      <c r="AB73" s="111"/>
      <c r="AC73" s="111"/>
      <c r="AD73" s="111"/>
      <c r="AE73" s="139">
        <f t="shared" si="12"/>
        <v>0</v>
      </c>
      <c r="AF73" s="109"/>
      <c r="AG73" s="109"/>
    </row>
    <row r="74" spans="1:33">
      <c r="A74" s="117"/>
      <c r="B74" s="118"/>
      <c r="C74" s="118"/>
      <c r="D74" s="118"/>
      <c r="E74" s="119"/>
      <c r="F74" s="118"/>
      <c r="G74" s="110"/>
      <c r="H74" s="143"/>
      <c r="I74" s="114">
        <v>0</v>
      </c>
      <c r="J74" s="115">
        <v>0</v>
      </c>
      <c r="K74" s="116">
        <v>0</v>
      </c>
      <c r="L74" s="116">
        <v>0</v>
      </c>
      <c r="M74" s="114">
        <v>0</v>
      </c>
      <c r="N74" s="113">
        <v>0</v>
      </c>
      <c r="O74" s="113">
        <v>0</v>
      </c>
      <c r="P74" s="146">
        <v>0</v>
      </c>
      <c r="Q74" s="116">
        <v>0</v>
      </c>
      <c r="R74" s="116">
        <v>0</v>
      </c>
      <c r="S74" s="114">
        <v>0</v>
      </c>
      <c r="T74" s="116">
        <v>0</v>
      </c>
      <c r="U74" s="116">
        <v>0</v>
      </c>
      <c r="V74" s="121">
        <f t="shared" si="13"/>
        <v>0</v>
      </c>
      <c r="W74" s="111"/>
      <c r="X74" s="111"/>
      <c r="Y74" s="111"/>
      <c r="Z74" s="111"/>
      <c r="AA74" s="111"/>
      <c r="AB74" s="111"/>
      <c r="AC74" s="111"/>
      <c r="AD74" s="111"/>
      <c r="AE74" s="139">
        <f t="shared" si="12"/>
        <v>0</v>
      </c>
      <c r="AF74" s="109"/>
      <c r="AG74" s="109"/>
    </row>
    <row r="75" spans="1:33">
      <c r="A75" s="117"/>
      <c r="B75" s="118"/>
      <c r="C75" s="118"/>
      <c r="D75" s="118"/>
      <c r="E75" s="119"/>
      <c r="F75" s="118"/>
      <c r="G75" s="110"/>
      <c r="H75" s="143"/>
      <c r="I75" s="114">
        <v>0</v>
      </c>
      <c r="J75" s="115">
        <v>0</v>
      </c>
      <c r="K75" s="116">
        <v>0</v>
      </c>
      <c r="L75" s="116">
        <v>0</v>
      </c>
      <c r="M75" s="114">
        <v>0</v>
      </c>
      <c r="N75" s="113">
        <v>0</v>
      </c>
      <c r="O75" s="113">
        <v>0</v>
      </c>
      <c r="P75" s="146">
        <v>0</v>
      </c>
      <c r="Q75" s="116">
        <v>0</v>
      </c>
      <c r="R75" s="116">
        <v>0</v>
      </c>
      <c r="S75" s="114">
        <v>0</v>
      </c>
      <c r="T75" s="116">
        <v>0</v>
      </c>
      <c r="U75" s="116">
        <v>0</v>
      </c>
      <c r="V75" s="121">
        <f t="shared" si="13"/>
        <v>0</v>
      </c>
      <c r="W75" s="111"/>
      <c r="X75" s="111"/>
      <c r="Y75" s="111"/>
      <c r="Z75" s="111"/>
      <c r="AA75" s="111"/>
      <c r="AB75" s="111"/>
      <c r="AC75" s="111"/>
      <c r="AD75" s="111"/>
      <c r="AE75" s="139">
        <f t="shared" si="12"/>
        <v>0</v>
      </c>
      <c r="AF75" s="109"/>
      <c r="AG75" s="109"/>
    </row>
    <row r="76" spans="1:33">
      <c r="A76" s="117"/>
      <c r="B76" s="118"/>
      <c r="C76" s="118"/>
      <c r="D76" s="118"/>
      <c r="E76" s="119"/>
      <c r="F76" s="118"/>
      <c r="G76" s="110"/>
      <c r="H76" s="143"/>
      <c r="I76" s="114">
        <v>0</v>
      </c>
      <c r="J76" s="115">
        <v>0</v>
      </c>
      <c r="K76" s="116">
        <v>0</v>
      </c>
      <c r="L76" s="116">
        <v>0</v>
      </c>
      <c r="M76" s="114">
        <v>0</v>
      </c>
      <c r="N76" s="113">
        <v>0</v>
      </c>
      <c r="O76" s="113">
        <v>0</v>
      </c>
      <c r="P76" s="146">
        <v>0</v>
      </c>
      <c r="Q76" s="116">
        <v>0</v>
      </c>
      <c r="R76" s="116">
        <v>0</v>
      </c>
      <c r="S76" s="114">
        <v>0</v>
      </c>
      <c r="T76" s="116">
        <v>0</v>
      </c>
      <c r="U76" s="116">
        <v>0</v>
      </c>
      <c r="V76" s="121">
        <f t="shared" si="13"/>
        <v>0</v>
      </c>
      <c r="W76" s="111"/>
      <c r="X76" s="111"/>
      <c r="Y76" s="111"/>
      <c r="Z76" s="111"/>
      <c r="AA76" s="111"/>
      <c r="AB76" s="111"/>
      <c r="AC76" s="111"/>
      <c r="AD76" s="111"/>
      <c r="AE76" s="139">
        <f t="shared" si="12"/>
        <v>0</v>
      </c>
      <c r="AF76" s="109"/>
      <c r="AG76" s="109"/>
    </row>
    <row r="77" spans="1:33">
      <c r="A77" s="117"/>
      <c r="B77" s="118"/>
      <c r="C77" s="118"/>
      <c r="D77" s="118"/>
      <c r="E77" s="119"/>
      <c r="F77" s="118"/>
      <c r="G77" s="110"/>
      <c r="H77" s="143"/>
      <c r="I77" s="114">
        <v>0</v>
      </c>
      <c r="J77" s="115">
        <v>0</v>
      </c>
      <c r="K77" s="116">
        <v>0</v>
      </c>
      <c r="L77" s="116">
        <v>0</v>
      </c>
      <c r="M77" s="114">
        <v>0</v>
      </c>
      <c r="N77" s="113">
        <v>0</v>
      </c>
      <c r="O77" s="113">
        <v>0</v>
      </c>
      <c r="P77" s="146">
        <v>0</v>
      </c>
      <c r="Q77" s="116">
        <v>0</v>
      </c>
      <c r="R77" s="116">
        <v>0</v>
      </c>
      <c r="S77" s="114">
        <v>0</v>
      </c>
      <c r="T77" s="116">
        <v>0</v>
      </c>
      <c r="U77" s="116">
        <v>0</v>
      </c>
      <c r="V77" s="121">
        <f t="shared" si="13"/>
        <v>0</v>
      </c>
      <c r="W77" s="111"/>
      <c r="X77" s="111"/>
      <c r="Y77" s="111"/>
      <c r="Z77" s="111"/>
      <c r="AA77" s="111"/>
      <c r="AB77" s="111"/>
      <c r="AC77" s="111"/>
      <c r="AD77" s="111"/>
      <c r="AE77" s="139">
        <f t="shared" si="12"/>
        <v>0</v>
      </c>
      <c r="AF77" s="109"/>
      <c r="AG77" s="109"/>
    </row>
    <row r="78" spans="1:33">
      <c r="A78" s="117"/>
      <c r="B78" s="118"/>
      <c r="C78" s="118"/>
      <c r="D78" s="118"/>
      <c r="E78" s="119"/>
      <c r="F78" s="118"/>
      <c r="G78" s="110"/>
      <c r="H78" s="143"/>
      <c r="I78" s="114">
        <v>0</v>
      </c>
      <c r="J78" s="115">
        <v>0</v>
      </c>
      <c r="K78" s="116">
        <v>0</v>
      </c>
      <c r="L78" s="116">
        <v>0</v>
      </c>
      <c r="M78" s="114">
        <v>0</v>
      </c>
      <c r="N78" s="113">
        <v>0</v>
      </c>
      <c r="O78" s="113">
        <v>0</v>
      </c>
      <c r="P78" s="146">
        <v>0</v>
      </c>
      <c r="Q78" s="116">
        <v>0</v>
      </c>
      <c r="R78" s="116">
        <v>0</v>
      </c>
      <c r="S78" s="114">
        <v>0</v>
      </c>
      <c r="T78" s="116">
        <v>0</v>
      </c>
      <c r="U78" s="116">
        <v>0</v>
      </c>
      <c r="V78" s="121">
        <f t="shared" si="13"/>
        <v>0</v>
      </c>
      <c r="W78" s="111"/>
      <c r="X78" s="111"/>
      <c r="Y78" s="111"/>
      <c r="Z78" s="111"/>
      <c r="AA78" s="111"/>
      <c r="AB78" s="111"/>
      <c r="AC78" s="111"/>
      <c r="AD78" s="111"/>
      <c r="AE78" s="139">
        <f t="shared" si="12"/>
        <v>0</v>
      </c>
      <c r="AF78" s="109"/>
      <c r="AG78" s="109"/>
    </row>
    <row r="79" spans="1:33">
      <c r="A79" s="117"/>
      <c r="B79" s="118"/>
      <c r="C79" s="118"/>
      <c r="D79" s="118"/>
      <c r="E79" s="119"/>
      <c r="F79" s="118"/>
      <c r="G79" s="110"/>
      <c r="H79" s="143"/>
      <c r="I79" s="114">
        <v>0</v>
      </c>
      <c r="J79" s="115">
        <v>0</v>
      </c>
      <c r="K79" s="116">
        <v>0</v>
      </c>
      <c r="L79" s="116">
        <v>0</v>
      </c>
      <c r="M79" s="114">
        <v>0</v>
      </c>
      <c r="N79" s="113">
        <v>0</v>
      </c>
      <c r="O79" s="113">
        <v>0</v>
      </c>
      <c r="P79" s="146">
        <v>0</v>
      </c>
      <c r="Q79" s="116">
        <v>0</v>
      </c>
      <c r="R79" s="116">
        <v>0</v>
      </c>
      <c r="S79" s="114">
        <v>0</v>
      </c>
      <c r="T79" s="116">
        <v>0</v>
      </c>
      <c r="U79" s="116">
        <v>0</v>
      </c>
      <c r="V79" s="121">
        <f t="shared" si="13"/>
        <v>0</v>
      </c>
      <c r="W79" s="111"/>
      <c r="X79" s="111"/>
      <c r="Y79" s="111"/>
      <c r="Z79" s="111"/>
      <c r="AA79" s="111"/>
      <c r="AB79" s="111"/>
      <c r="AC79" s="111"/>
      <c r="AD79" s="111"/>
      <c r="AE79" s="139">
        <f t="shared" si="12"/>
        <v>0</v>
      </c>
      <c r="AF79" s="109"/>
      <c r="AG79" s="109"/>
    </row>
    <row r="80" spans="1:33">
      <c r="A80" s="117"/>
      <c r="B80" s="118"/>
      <c r="C80" s="118"/>
      <c r="D80" s="118"/>
      <c r="E80" s="119"/>
      <c r="F80" s="118"/>
      <c r="G80" s="110"/>
      <c r="H80" s="143"/>
      <c r="I80" s="114">
        <v>0</v>
      </c>
      <c r="J80" s="115">
        <v>0</v>
      </c>
      <c r="K80" s="116">
        <v>0</v>
      </c>
      <c r="L80" s="116">
        <v>0</v>
      </c>
      <c r="M80" s="114">
        <v>0</v>
      </c>
      <c r="N80" s="113">
        <v>0</v>
      </c>
      <c r="O80" s="113">
        <v>0</v>
      </c>
      <c r="P80" s="146">
        <v>0</v>
      </c>
      <c r="Q80" s="116">
        <v>0</v>
      </c>
      <c r="R80" s="116">
        <v>0</v>
      </c>
      <c r="S80" s="114">
        <v>0</v>
      </c>
      <c r="T80" s="116">
        <v>0</v>
      </c>
      <c r="U80" s="116">
        <v>0</v>
      </c>
      <c r="V80" s="121">
        <f t="shared" si="13"/>
        <v>0</v>
      </c>
      <c r="W80" s="111"/>
      <c r="X80" s="111"/>
      <c r="Y80" s="111"/>
      <c r="Z80" s="111"/>
      <c r="AA80" s="111"/>
      <c r="AB80" s="111"/>
      <c r="AC80" s="111"/>
      <c r="AD80" s="111"/>
      <c r="AE80" s="139">
        <f t="shared" si="12"/>
        <v>0</v>
      </c>
      <c r="AF80" s="109"/>
      <c r="AG80" s="109"/>
    </row>
    <row r="81" spans="1:33">
      <c r="A81" s="117"/>
      <c r="B81" s="118"/>
      <c r="C81" s="118"/>
      <c r="D81" s="118"/>
      <c r="E81" s="119"/>
      <c r="F81" s="118"/>
      <c r="G81" s="110"/>
      <c r="H81" s="143"/>
      <c r="I81" s="114">
        <v>0</v>
      </c>
      <c r="J81" s="115">
        <v>0</v>
      </c>
      <c r="K81" s="116">
        <v>0</v>
      </c>
      <c r="L81" s="116">
        <v>0</v>
      </c>
      <c r="M81" s="114">
        <v>0</v>
      </c>
      <c r="N81" s="113">
        <v>0</v>
      </c>
      <c r="O81" s="113">
        <v>0</v>
      </c>
      <c r="P81" s="146">
        <v>0</v>
      </c>
      <c r="Q81" s="116">
        <v>0</v>
      </c>
      <c r="R81" s="116">
        <v>0</v>
      </c>
      <c r="S81" s="114">
        <v>0</v>
      </c>
      <c r="T81" s="116">
        <v>0</v>
      </c>
      <c r="U81" s="116">
        <v>0</v>
      </c>
      <c r="V81" s="121">
        <f t="shared" si="13"/>
        <v>0</v>
      </c>
      <c r="W81" s="111"/>
      <c r="X81" s="111"/>
      <c r="Y81" s="111"/>
      <c r="Z81" s="111"/>
      <c r="AA81" s="111"/>
      <c r="AB81" s="111"/>
      <c r="AC81" s="111"/>
      <c r="AD81" s="111"/>
      <c r="AE81" s="139">
        <f t="shared" si="12"/>
        <v>0</v>
      </c>
      <c r="AF81" s="109"/>
      <c r="AG81" s="109"/>
    </row>
    <row r="82" spans="1:33">
      <c r="A82" s="117"/>
      <c r="B82" s="118"/>
      <c r="C82" s="118"/>
      <c r="D82" s="118"/>
      <c r="E82" s="119"/>
      <c r="F82" s="118"/>
      <c r="G82" s="110"/>
      <c r="H82" s="143"/>
      <c r="I82" s="114">
        <v>0</v>
      </c>
      <c r="J82" s="115">
        <v>0</v>
      </c>
      <c r="K82" s="116">
        <v>0</v>
      </c>
      <c r="L82" s="116">
        <v>0</v>
      </c>
      <c r="M82" s="114">
        <v>0</v>
      </c>
      <c r="N82" s="113">
        <v>0</v>
      </c>
      <c r="O82" s="113">
        <v>0</v>
      </c>
      <c r="P82" s="146">
        <v>0</v>
      </c>
      <c r="Q82" s="116">
        <v>0</v>
      </c>
      <c r="R82" s="116">
        <v>0</v>
      </c>
      <c r="S82" s="114">
        <v>0</v>
      </c>
      <c r="T82" s="116">
        <v>0</v>
      </c>
      <c r="U82" s="116">
        <v>0</v>
      </c>
      <c r="V82" s="121">
        <f t="shared" si="13"/>
        <v>0</v>
      </c>
      <c r="W82" s="111"/>
      <c r="X82" s="111"/>
      <c r="Y82" s="111"/>
      <c r="Z82" s="111"/>
      <c r="AA82" s="111"/>
      <c r="AB82" s="111"/>
      <c r="AC82" s="111"/>
      <c r="AD82" s="111"/>
      <c r="AE82" s="139">
        <f t="shared" si="12"/>
        <v>0</v>
      </c>
      <c r="AF82" s="109"/>
      <c r="AG82" s="109"/>
    </row>
    <row r="83" spans="1:33">
      <c r="A83" s="117"/>
      <c r="B83" s="118"/>
      <c r="C83" s="118"/>
      <c r="D83" s="118"/>
      <c r="E83" s="119"/>
      <c r="F83" s="118"/>
      <c r="G83" s="110"/>
      <c r="H83" s="143"/>
      <c r="I83" s="114">
        <v>0</v>
      </c>
      <c r="J83" s="115">
        <v>0</v>
      </c>
      <c r="K83" s="116">
        <v>0</v>
      </c>
      <c r="L83" s="116">
        <v>0</v>
      </c>
      <c r="M83" s="114">
        <v>0</v>
      </c>
      <c r="N83" s="113">
        <v>0</v>
      </c>
      <c r="O83" s="113">
        <v>0</v>
      </c>
      <c r="P83" s="146">
        <v>0</v>
      </c>
      <c r="Q83" s="116">
        <v>0</v>
      </c>
      <c r="R83" s="116">
        <v>0</v>
      </c>
      <c r="S83" s="114">
        <v>0</v>
      </c>
      <c r="T83" s="116">
        <v>0</v>
      </c>
      <c r="U83" s="116">
        <v>0</v>
      </c>
      <c r="V83" s="121">
        <f t="shared" si="13"/>
        <v>0</v>
      </c>
      <c r="W83" s="111"/>
      <c r="X83" s="111"/>
      <c r="Y83" s="111"/>
      <c r="Z83" s="111"/>
      <c r="AA83" s="111"/>
      <c r="AB83" s="111"/>
      <c r="AC83" s="111"/>
      <c r="AD83" s="111"/>
      <c r="AE83" s="139">
        <f t="shared" si="12"/>
        <v>0</v>
      </c>
      <c r="AF83" s="109"/>
      <c r="AG83" s="109"/>
    </row>
    <row r="84" spans="1:33">
      <c r="A84" s="117"/>
      <c r="B84" s="118"/>
      <c r="C84" s="118"/>
      <c r="D84" s="118"/>
      <c r="E84" s="119"/>
      <c r="F84" s="118"/>
      <c r="G84" s="110"/>
      <c r="H84" s="143"/>
      <c r="I84" s="114">
        <v>0</v>
      </c>
      <c r="J84" s="115">
        <v>0</v>
      </c>
      <c r="K84" s="116">
        <v>0</v>
      </c>
      <c r="L84" s="116">
        <v>0</v>
      </c>
      <c r="M84" s="114">
        <v>0</v>
      </c>
      <c r="N84" s="113">
        <v>0</v>
      </c>
      <c r="O84" s="113">
        <v>0</v>
      </c>
      <c r="P84" s="146">
        <v>0</v>
      </c>
      <c r="Q84" s="116">
        <v>0</v>
      </c>
      <c r="R84" s="116">
        <v>0</v>
      </c>
      <c r="S84" s="114">
        <v>0</v>
      </c>
      <c r="T84" s="116">
        <v>0</v>
      </c>
      <c r="U84" s="116">
        <v>0</v>
      </c>
      <c r="V84" s="121">
        <f t="shared" si="13"/>
        <v>0</v>
      </c>
      <c r="W84" s="111"/>
      <c r="X84" s="111"/>
      <c r="Y84" s="111"/>
      <c r="Z84" s="111"/>
      <c r="AA84" s="111"/>
      <c r="AB84" s="111"/>
      <c r="AC84" s="111"/>
      <c r="AD84" s="111"/>
      <c r="AE84" s="139">
        <f t="shared" si="12"/>
        <v>0</v>
      </c>
      <c r="AF84" s="109"/>
      <c r="AG84" s="109"/>
    </row>
    <row r="85" spans="1:33">
      <c r="A85" s="117"/>
      <c r="B85" s="118"/>
      <c r="C85" s="118"/>
      <c r="D85" s="118"/>
      <c r="E85" s="119"/>
      <c r="F85" s="118"/>
      <c r="G85" s="110"/>
      <c r="H85" s="143"/>
      <c r="I85" s="114">
        <v>0</v>
      </c>
      <c r="J85" s="115">
        <v>0</v>
      </c>
      <c r="K85" s="116">
        <v>0</v>
      </c>
      <c r="L85" s="116">
        <v>0</v>
      </c>
      <c r="M85" s="114">
        <v>0</v>
      </c>
      <c r="N85" s="113">
        <v>0</v>
      </c>
      <c r="O85" s="113">
        <v>0</v>
      </c>
      <c r="P85" s="146">
        <v>0</v>
      </c>
      <c r="Q85" s="116">
        <v>0</v>
      </c>
      <c r="R85" s="116">
        <v>0</v>
      </c>
      <c r="S85" s="114">
        <v>0</v>
      </c>
      <c r="T85" s="116">
        <v>0</v>
      </c>
      <c r="U85" s="116">
        <v>0</v>
      </c>
      <c r="V85" s="121">
        <f t="shared" si="13"/>
        <v>0</v>
      </c>
      <c r="W85" s="111"/>
      <c r="X85" s="111"/>
      <c r="Y85" s="111"/>
      <c r="Z85" s="111"/>
      <c r="AA85" s="111"/>
      <c r="AB85" s="111"/>
      <c r="AC85" s="111"/>
      <c r="AD85" s="111"/>
      <c r="AE85" s="139">
        <f t="shared" si="12"/>
        <v>0</v>
      </c>
      <c r="AF85" s="109"/>
      <c r="AG85" s="109"/>
    </row>
    <row r="86" spans="1:33">
      <c r="A86" s="117"/>
      <c r="B86" s="118"/>
      <c r="C86" s="118"/>
      <c r="D86" s="118"/>
      <c r="E86" s="119"/>
      <c r="F86" s="118"/>
      <c r="G86" s="110"/>
      <c r="H86" s="143"/>
      <c r="I86" s="114">
        <v>0</v>
      </c>
      <c r="J86" s="115">
        <v>0</v>
      </c>
      <c r="K86" s="116">
        <v>0</v>
      </c>
      <c r="L86" s="116">
        <v>0</v>
      </c>
      <c r="M86" s="114">
        <v>0</v>
      </c>
      <c r="N86" s="113">
        <v>0</v>
      </c>
      <c r="O86" s="113">
        <v>0</v>
      </c>
      <c r="P86" s="146">
        <v>0</v>
      </c>
      <c r="Q86" s="116">
        <v>0</v>
      </c>
      <c r="R86" s="116">
        <v>0</v>
      </c>
      <c r="S86" s="114">
        <v>0</v>
      </c>
      <c r="T86" s="116">
        <v>0</v>
      </c>
      <c r="U86" s="116">
        <v>0</v>
      </c>
      <c r="V86" s="121">
        <f t="shared" si="13"/>
        <v>0</v>
      </c>
      <c r="W86" s="111"/>
      <c r="X86" s="111"/>
      <c r="Y86" s="111"/>
      <c r="Z86" s="111"/>
      <c r="AA86" s="111"/>
      <c r="AB86" s="111"/>
      <c r="AC86" s="111"/>
      <c r="AD86" s="111"/>
      <c r="AE86" s="139">
        <f t="shared" si="12"/>
        <v>0</v>
      </c>
      <c r="AF86" s="109"/>
      <c r="AG86" s="109"/>
    </row>
    <row r="87" spans="1:33">
      <c r="A87" s="117"/>
      <c r="B87" s="118"/>
      <c r="C87" s="118"/>
      <c r="D87" s="118"/>
      <c r="E87" s="119"/>
      <c r="F87" s="118"/>
      <c r="G87" s="110"/>
      <c r="H87" s="143"/>
      <c r="I87" s="114">
        <v>0</v>
      </c>
      <c r="J87" s="115">
        <v>0</v>
      </c>
      <c r="K87" s="116">
        <v>0</v>
      </c>
      <c r="L87" s="116">
        <v>0</v>
      </c>
      <c r="M87" s="114">
        <v>0</v>
      </c>
      <c r="N87" s="113">
        <v>0</v>
      </c>
      <c r="O87" s="113">
        <v>0</v>
      </c>
      <c r="P87" s="146">
        <v>0</v>
      </c>
      <c r="Q87" s="116">
        <v>0</v>
      </c>
      <c r="R87" s="116">
        <v>0</v>
      </c>
      <c r="S87" s="114">
        <v>0</v>
      </c>
      <c r="T87" s="116">
        <v>0</v>
      </c>
      <c r="U87" s="116">
        <v>0</v>
      </c>
      <c r="V87" s="121">
        <f t="shared" si="13"/>
        <v>0</v>
      </c>
      <c r="W87" s="111"/>
      <c r="X87" s="111"/>
      <c r="Y87" s="111"/>
      <c r="Z87" s="111"/>
      <c r="AA87" s="111"/>
      <c r="AB87" s="111"/>
      <c r="AC87" s="111"/>
      <c r="AD87" s="111"/>
      <c r="AE87" s="139">
        <f t="shared" si="12"/>
        <v>0</v>
      </c>
      <c r="AF87" s="109"/>
      <c r="AG87" s="109"/>
    </row>
    <row r="88" spans="1:33">
      <c r="A88" s="117"/>
      <c r="B88" s="118"/>
      <c r="C88" s="118"/>
      <c r="D88" s="118"/>
      <c r="E88" s="119"/>
      <c r="F88" s="118"/>
      <c r="G88" s="110"/>
      <c r="H88" s="143"/>
      <c r="I88" s="114">
        <v>0</v>
      </c>
      <c r="J88" s="115">
        <v>0</v>
      </c>
      <c r="K88" s="116">
        <v>0</v>
      </c>
      <c r="L88" s="116">
        <v>0</v>
      </c>
      <c r="M88" s="114">
        <v>0</v>
      </c>
      <c r="N88" s="113">
        <v>0</v>
      </c>
      <c r="O88" s="113">
        <v>0</v>
      </c>
      <c r="P88" s="146">
        <v>0</v>
      </c>
      <c r="Q88" s="116">
        <v>0</v>
      </c>
      <c r="R88" s="116">
        <v>0</v>
      </c>
      <c r="S88" s="114">
        <v>0</v>
      </c>
      <c r="T88" s="116">
        <v>0</v>
      </c>
      <c r="U88" s="116">
        <v>0</v>
      </c>
      <c r="V88" s="121">
        <f t="shared" si="13"/>
        <v>0</v>
      </c>
      <c r="W88" s="111"/>
      <c r="X88" s="111"/>
      <c r="Y88" s="111"/>
      <c r="Z88" s="111"/>
      <c r="AA88" s="111"/>
      <c r="AB88" s="111"/>
      <c r="AC88" s="111"/>
      <c r="AD88" s="111"/>
      <c r="AE88" s="139">
        <f t="shared" si="12"/>
        <v>0</v>
      </c>
      <c r="AF88" s="109"/>
      <c r="AG88" s="109"/>
    </row>
    <row r="89" spans="1:33">
      <c r="A89" s="117"/>
      <c r="B89" s="118"/>
      <c r="C89" s="118"/>
      <c r="D89" s="118"/>
      <c r="E89" s="119"/>
      <c r="F89" s="118"/>
      <c r="G89" s="110"/>
      <c r="H89" s="143"/>
      <c r="I89" s="114">
        <v>0</v>
      </c>
      <c r="J89" s="115">
        <v>0</v>
      </c>
      <c r="K89" s="116">
        <v>0</v>
      </c>
      <c r="L89" s="116">
        <v>0</v>
      </c>
      <c r="M89" s="114">
        <v>0</v>
      </c>
      <c r="N89" s="113">
        <v>0</v>
      </c>
      <c r="O89" s="113">
        <v>0</v>
      </c>
      <c r="P89" s="146">
        <v>0</v>
      </c>
      <c r="Q89" s="116">
        <v>0</v>
      </c>
      <c r="R89" s="116">
        <v>0</v>
      </c>
      <c r="S89" s="114">
        <v>0</v>
      </c>
      <c r="T89" s="116">
        <v>0</v>
      </c>
      <c r="U89" s="116">
        <v>0</v>
      </c>
      <c r="V89" s="121">
        <f t="shared" si="13"/>
        <v>0</v>
      </c>
      <c r="W89" s="111"/>
      <c r="X89" s="111"/>
      <c r="Y89" s="111"/>
      <c r="Z89" s="111"/>
      <c r="AA89" s="111"/>
      <c r="AB89" s="111"/>
      <c r="AC89" s="111"/>
      <c r="AD89" s="111"/>
      <c r="AE89" s="139">
        <f t="shared" si="12"/>
        <v>0</v>
      </c>
      <c r="AF89" s="109"/>
      <c r="AG89" s="109"/>
    </row>
    <row r="90" spans="1:33">
      <c r="A90" s="117"/>
      <c r="B90" s="118"/>
      <c r="C90" s="118"/>
      <c r="D90" s="118"/>
      <c r="E90" s="119"/>
      <c r="F90" s="118"/>
      <c r="G90" s="110"/>
      <c r="H90" s="143"/>
      <c r="I90" s="114">
        <v>0</v>
      </c>
      <c r="J90" s="115">
        <v>0</v>
      </c>
      <c r="K90" s="116">
        <v>0</v>
      </c>
      <c r="L90" s="116">
        <v>0</v>
      </c>
      <c r="M90" s="114">
        <v>0</v>
      </c>
      <c r="N90" s="113">
        <v>0</v>
      </c>
      <c r="O90" s="113">
        <v>0</v>
      </c>
      <c r="P90" s="146">
        <v>0</v>
      </c>
      <c r="Q90" s="116">
        <v>0</v>
      </c>
      <c r="R90" s="116">
        <v>0</v>
      </c>
      <c r="S90" s="114">
        <v>0</v>
      </c>
      <c r="T90" s="116">
        <v>0</v>
      </c>
      <c r="U90" s="116">
        <v>0</v>
      </c>
      <c r="V90" s="121">
        <f t="shared" si="13"/>
        <v>0</v>
      </c>
      <c r="W90" s="111"/>
      <c r="X90" s="111"/>
      <c r="Y90" s="111"/>
      <c r="Z90" s="111"/>
      <c r="AA90" s="111"/>
      <c r="AB90" s="111"/>
      <c r="AC90" s="111"/>
      <c r="AD90" s="111"/>
      <c r="AE90" s="139">
        <f t="shared" si="12"/>
        <v>0</v>
      </c>
      <c r="AF90" s="109"/>
      <c r="AG90" s="109"/>
    </row>
    <row r="91" spans="1:33">
      <c r="A91" s="117"/>
      <c r="B91" s="118"/>
      <c r="C91" s="118"/>
      <c r="D91" s="118"/>
      <c r="E91" s="119"/>
      <c r="F91" s="118"/>
      <c r="G91" s="110"/>
      <c r="H91" s="143"/>
      <c r="I91" s="114">
        <v>0</v>
      </c>
      <c r="J91" s="115">
        <v>0</v>
      </c>
      <c r="K91" s="116">
        <v>0</v>
      </c>
      <c r="L91" s="116">
        <v>0</v>
      </c>
      <c r="M91" s="114">
        <v>0</v>
      </c>
      <c r="N91" s="113">
        <v>0</v>
      </c>
      <c r="O91" s="113">
        <v>0</v>
      </c>
      <c r="P91" s="146">
        <v>0</v>
      </c>
      <c r="Q91" s="116">
        <v>0</v>
      </c>
      <c r="R91" s="116">
        <v>0</v>
      </c>
      <c r="S91" s="114">
        <v>0</v>
      </c>
      <c r="T91" s="116">
        <v>0</v>
      </c>
      <c r="U91" s="116">
        <v>0</v>
      </c>
      <c r="V91" s="121">
        <f t="shared" si="13"/>
        <v>0</v>
      </c>
      <c r="W91" s="111"/>
      <c r="X91" s="111"/>
      <c r="Y91" s="111"/>
      <c r="Z91" s="111"/>
      <c r="AA91" s="111"/>
      <c r="AB91" s="111"/>
      <c r="AC91" s="111"/>
      <c r="AD91" s="111"/>
      <c r="AE91" s="139">
        <f t="shared" si="12"/>
        <v>0</v>
      </c>
      <c r="AF91" s="109"/>
      <c r="AG91" s="109"/>
    </row>
    <row r="92" spans="1:33">
      <c r="A92" s="117"/>
      <c r="B92" s="118"/>
      <c r="C92" s="118"/>
      <c r="D92" s="118"/>
      <c r="E92" s="119"/>
      <c r="F92" s="118"/>
      <c r="G92" s="110"/>
      <c r="H92" s="143"/>
      <c r="I92" s="114">
        <v>0</v>
      </c>
      <c r="J92" s="115">
        <v>0</v>
      </c>
      <c r="K92" s="116">
        <v>0</v>
      </c>
      <c r="L92" s="116">
        <v>0</v>
      </c>
      <c r="M92" s="114">
        <v>0</v>
      </c>
      <c r="N92" s="113">
        <v>0</v>
      </c>
      <c r="O92" s="113">
        <v>0</v>
      </c>
      <c r="P92" s="146">
        <v>0</v>
      </c>
      <c r="Q92" s="116">
        <v>0</v>
      </c>
      <c r="R92" s="116">
        <v>0</v>
      </c>
      <c r="S92" s="114">
        <v>0</v>
      </c>
      <c r="T92" s="116">
        <v>0</v>
      </c>
      <c r="U92" s="116">
        <v>0</v>
      </c>
      <c r="V92" s="121">
        <f t="shared" si="13"/>
        <v>0</v>
      </c>
      <c r="W92" s="111"/>
      <c r="X92" s="111"/>
      <c r="Y92" s="111"/>
      <c r="Z92" s="111"/>
      <c r="AA92" s="111"/>
      <c r="AB92" s="111"/>
      <c r="AC92" s="111"/>
      <c r="AD92" s="111"/>
      <c r="AE92" s="139">
        <f t="shared" si="12"/>
        <v>0</v>
      </c>
      <c r="AF92" s="109"/>
      <c r="AG92" s="109"/>
    </row>
    <row r="93" spans="1:33">
      <c r="A93" s="117"/>
      <c r="B93" s="118"/>
      <c r="C93" s="118"/>
      <c r="D93" s="118"/>
      <c r="E93" s="119"/>
      <c r="F93" s="118"/>
      <c r="G93" s="110"/>
      <c r="H93" s="143"/>
      <c r="I93" s="114">
        <v>0</v>
      </c>
      <c r="J93" s="115">
        <v>0</v>
      </c>
      <c r="K93" s="116">
        <v>0</v>
      </c>
      <c r="L93" s="116">
        <v>0</v>
      </c>
      <c r="M93" s="114">
        <v>0</v>
      </c>
      <c r="N93" s="113">
        <v>0</v>
      </c>
      <c r="O93" s="113">
        <v>0</v>
      </c>
      <c r="P93" s="146">
        <v>0</v>
      </c>
      <c r="Q93" s="116">
        <v>0</v>
      </c>
      <c r="R93" s="116">
        <v>0</v>
      </c>
      <c r="S93" s="114">
        <v>0</v>
      </c>
      <c r="T93" s="116">
        <v>0</v>
      </c>
      <c r="U93" s="116">
        <v>0</v>
      </c>
      <c r="V93" s="121">
        <f t="shared" si="13"/>
        <v>0</v>
      </c>
      <c r="W93" s="111"/>
      <c r="X93" s="111"/>
      <c r="Y93" s="111"/>
      <c r="Z93" s="111"/>
      <c r="AA93" s="111"/>
      <c r="AB93" s="111"/>
      <c r="AC93" s="111"/>
      <c r="AD93" s="111"/>
      <c r="AE93" s="139">
        <f t="shared" si="12"/>
        <v>0</v>
      </c>
      <c r="AF93" s="109"/>
      <c r="AG93" s="109"/>
    </row>
    <row r="94" spans="1:33">
      <c r="A94" s="117"/>
      <c r="B94" s="118"/>
      <c r="C94" s="118"/>
      <c r="D94" s="118"/>
      <c r="E94" s="119"/>
      <c r="F94" s="118"/>
      <c r="G94" s="110"/>
      <c r="H94" s="143"/>
      <c r="I94" s="114">
        <v>0</v>
      </c>
      <c r="J94" s="115">
        <v>0</v>
      </c>
      <c r="K94" s="116">
        <v>0</v>
      </c>
      <c r="L94" s="116">
        <v>0</v>
      </c>
      <c r="M94" s="114">
        <v>0</v>
      </c>
      <c r="N94" s="113">
        <v>0</v>
      </c>
      <c r="O94" s="113">
        <v>0</v>
      </c>
      <c r="P94" s="146">
        <v>0</v>
      </c>
      <c r="Q94" s="116">
        <v>0</v>
      </c>
      <c r="R94" s="116">
        <v>0</v>
      </c>
      <c r="S94" s="114">
        <v>0</v>
      </c>
      <c r="T94" s="116">
        <v>0</v>
      </c>
      <c r="U94" s="116">
        <v>0</v>
      </c>
      <c r="V94" s="121">
        <f t="shared" si="13"/>
        <v>0</v>
      </c>
      <c r="W94" s="111"/>
      <c r="X94" s="111"/>
      <c r="Y94" s="111"/>
      <c r="Z94" s="111"/>
      <c r="AA94" s="111"/>
      <c r="AB94" s="111"/>
      <c r="AC94" s="111"/>
      <c r="AD94" s="111"/>
      <c r="AE94" s="139">
        <f t="shared" si="12"/>
        <v>0</v>
      </c>
      <c r="AF94" s="109"/>
      <c r="AG94" s="109"/>
    </row>
    <row r="95" spans="1:33">
      <c r="A95" s="117"/>
      <c r="B95" s="118"/>
      <c r="C95" s="118"/>
      <c r="D95" s="118"/>
      <c r="E95" s="119"/>
      <c r="F95" s="118"/>
      <c r="G95" s="110"/>
      <c r="H95" s="143"/>
      <c r="I95" s="114">
        <v>0</v>
      </c>
      <c r="J95" s="115">
        <v>0</v>
      </c>
      <c r="K95" s="116">
        <v>0</v>
      </c>
      <c r="L95" s="116">
        <v>0</v>
      </c>
      <c r="M95" s="114">
        <v>0</v>
      </c>
      <c r="N95" s="113">
        <v>0</v>
      </c>
      <c r="O95" s="113">
        <v>0</v>
      </c>
      <c r="P95" s="146">
        <v>0</v>
      </c>
      <c r="Q95" s="116">
        <v>0</v>
      </c>
      <c r="R95" s="116">
        <v>0</v>
      </c>
      <c r="S95" s="114">
        <v>0</v>
      </c>
      <c r="T95" s="116">
        <v>0</v>
      </c>
      <c r="U95" s="116">
        <v>0</v>
      </c>
      <c r="V95" s="121">
        <f t="shared" si="13"/>
        <v>0</v>
      </c>
      <c r="W95" s="111"/>
      <c r="X95" s="111"/>
      <c r="Y95" s="111"/>
      <c r="Z95" s="111"/>
      <c r="AA95" s="111"/>
      <c r="AB95" s="111"/>
      <c r="AC95" s="111"/>
      <c r="AD95" s="111"/>
      <c r="AE95" s="139">
        <f t="shared" si="12"/>
        <v>0</v>
      </c>
      <c r="AF95" s="109"/>
      <c r="AG95" s="109"/>
    </row>
    <row r="96" spans="1:33">
      <c r="A96" s="117"/>
      <c r="B96" s="118"/>
      <c r="C96" s="118"/>
      <c r="D96" s="118"/>
      <c r="E96" s="119"/>
      <c r="F96" s="118"/>
      <c r="G96" s="110"/>
      <c r="H96" s="143"/>
      <c r="I96" s="114">
        <v>0</v>
      </c>
      <c r="J96" s="115">
        <v>0</v>
      </c>
      <c r="K96" s="116">
        <v>0</v>
      </c>
      <c r="L96" s="116">
        <v>0</v>
      </c>
      <c r="M96" s="114">
        <v>0</v>
      </c>
      <c r="N96" s="113">
        <v>0</v>
      </c>
      <c r="O96" s="113">
        <v>0</v>
      </c>
      <c r="P96" s="146">
        <v>0</v>
      </c>
      <c r="Q96" s="116">
        <v>0</v>
      </c>
      <c r="R96" s="116">
        <v>0</v>
      </c>
      <c r="S96" s="114">
        <v>0</v>
      </c>
      <c r="T96" s="116">
        <v>0</v>
      </c>
      <c r="U96" s="116">
        <v>0</v>
      </c>
      <c r="V96" s="121">
        <f t="shared" si="13"/>
        <v>0</v>
      </c>
      <c r="W96" s="111"/>
      <c r="X96" s="111"/>
      <c r="Y96" s="111"/>
      <c r="Z96" s="111"/>
      <c r="AA96" s="111"/>
      <c r="AB96" s="111"/>
      <c r="AC96" s="111"/>
      <c r="AD96" s="111"/>
      <c r="AE96" s="139">
        <f t="shared" si="12"/>
        <v>0</v>
      </c>
      <c r="AF96" s="109"/>
      <c r="AG96" s="109"/>
    </row>
    <row r="97" spans="1:33">
      <c r="A97" s="117"/>
      <c r="B97" s="118"/>
      <c r="C97" s="118"/>
      <c r="D97" s="118"/>
      <c r="E97" s="119"/>
      <c r="F97" s="118"/>
      <c r="G97" s="110"/>
      <c r="H97" s="143"/>
      <c r="I97" s="114">
        <v>0</v>
      </c>
      <c r="J97" s="115">
        <v>0</v>
      </c>
      <c r="K97" s="116">
        <v>0</v>
      </c>
      <c r="L97" s="116">
        <v>0</v>
      </c>
      <c r="M97" s="114">
        <v>0</v>
      </c>
      <c r="N97" s="113">
        <v>0</v>
      </c>
      <c r="O97" s="113">
        <v>0</v>
      </c>
      <c r="P97" s="146">
        <v>0</v>
      </c>
      <c r="Q97" s="116">
        <v>0</v>
      </c>
      <c r="R97" s="116">
        <v>0</v>
      </c>
      <c r="S97" s="114">
        <v>0</v>
      </c>
      <c r="T97" s="116">
        <v>0</v>
      </c>
      <c r="U97" s="116">
        <v>0</v>
      </c>
      <c r="V97" s="121">
        <f t="shared" si="13"/>
        <v>0</v>
      </c>
      <c r="W97" s="111"/>
      <c r="X97" s="111"/>
      <c r="Y97" s="111"/>
      <c r="Z97" s="111"/>
      <c r="AA97" s="111"/>
      <c r="AB97" s="111"/>
      <c r="AC97" s="111"/>
      <c r="AD97" s="111"/>
      <c r="AE97" s="139">
        <f t="shared" si="12"/>
        <v>0</v>
      </c>
      <c r="AF97" s="109"/>
      <c r="AG97" s="109"/>
    </row>
    <row r="98" spans="1:33">
      <c r="A98" s="117"/>
      <c r="B98" s="118"/>
      <c r="C98" s="118"/>
      <c r="D98" s="118"/>
      <c r="E98" s="119"/>
      <c r="F98" s="118"/>
      <c r="G98" s="110"/>
      <c r="H98" s="143"/>
      <c r="I98" s="114">
        <v>0</v>
      </c>
      <c r="J98" s="115">
        <v>0</v>
      </c>
      <c r="K98" s="116">
        <v>0</v>
      </c>
      <c r="L98" s="116">
        <v>0</v>
      </c>
      <c r="M98" s="114">
        <v>0</v>
      </c>
      <c r="N98" s="113">
        <v>0</v>
      </c>
      <c r="O98" s="113">
        <v>0</v>
      </c>
      <c r="P98" s="146">
        <v>0</v>
      </c>
      <c r="Q98" s="116">
        <v>0</v>
      </c>
      <c r="R98" s="116">
        <v>0</v>
      </c>
      <c r="S98" s="114">
        <v>0</v>
      </c>
      <c r="T98" s="116">
        <v>0</v>
      </c>
      <c r="U98" s="116">
        <v>0</v>
      </c>
      <c r="V98" s="121">
        <f t="shared" si="13"/>
        <v>0</v>
      </c>
      <c r="W98" s="111"/>
      <c r="X98" s="111"/>
      <c r="Y98" s="111"/>
      <c r="Z98" s="111"/>
      <c r="AA98" s="111"/>
      <c r="AB98" s="111"/>
      <c r="AC98" s="111"/>
      <c r="AD98" s="111"/>
      <c r="AE98" s="139">
        <f t="shared" si="12"/>
        <v>0</v>
      </c>
      <c r="AF98" s="109"/>
      <c r="AG98" s="109"/>
    </row>
    <row r="99" spans="1:33">
      <c r="A99" s="117"/>
      <c r="B99" s="118"/>
      <c r="C99" s="118"/>
      <c r="D99" s="118"/>
      <c r="E99" s="119"/>
      <c r="F99" s="118"/>
      <c r="G99" s="110"/>
      <c r="H99" s="143"/>
      <c r="I99" s="114">
        <v>0</v>
      </c>
      <c r="J99" s="115">
        <v>0</v>
      </c>
      <c r="K99" s="116">
        <v>0</v>
      </c>
      <c r="L99" s="116">
        <v>0</v>
      </c>
      <c r="M99" s="114">
        <v>0</v>
      </c>
      <c r="N99" s="113">
        <v>0</v>
      </c>
      <c r="O99" s="113">
        <v>0</v>
      </c>
      <c r="P99" s="146">
        <v>0</v>
      </c>
      <c r="Q99" s="116">
        <v>0</v>
      </c>
      <c r="R99" s="116">
        <v>0</v>
      </c>
      <c r="S99" s="114">
        <v>0</v>
      </c>
      <c r="T99" s="116">
        <v>0</v>
      </c>
      <c r="U99" s="116">
        <v>0</v>
      </c>
      <c r="V99" s="121">
        <f t="shared" si="13"/>
        <v>0</v>
      </c>
      <c r="W99" s="111"/>
      <c r="X99" s="111"/>
      <c r="Y99" s="111"/>
      <c r="Z99" s="111"/>
      <c r="AA99" s="111"/>
      <c r="AB99" s="111"/>
      <c r="AC99" s="111"/>
      <c r="AD99" s="111"/>
      <c r="AE99" s="139">
        <f t="shared" si="12"/>
        <v>0</v>
      </c>
      <c r="AF99" s="109"/>
      <c r="AG99" s="109"/>
    </row>
    <row r="100" spans="1:33">
      <c r="A100" s="117"/>
      <c r="B100" s="118"/>
      <c r="C100" s="118"/>
      <c r="D100" s="118"/>
      <c r="E100" s="119"/>
      <c r="F100" s="118"/>
      <c r="G100" s="110"/>
      <c r="H100" s="143"/>
      <c r="I100" s="114">
        <v>0</v>
      </c>
      <c r="J100" s="115">
        <v>0</v>
      </c>
      <c r="K100" s="116">
        <v>0</v>
      </c>
      <c r="L100" s="116">
        <v>0</v>
      </c>
      <c r="M100" s="114">
        <v>0</v>
      </c>
      <c r="N100" s="113">
        <v>0</v>
      </c>
      <c r="O100" s="113">
        <v>0</v>
      </c>
      <c r="P100" s="146">
        <v>0</v>
      </c>
      <c r="Q100" s="116">
        <v>0</v>
      </c>
      <c r="R100" s="116">
        <v>0</v>
      </c>
      <c r="S100" s="114">
        <v>0</v>
      </c>
      <c r="T100" s="116">
        <v>0</v>
      </c>
      <c r="U100" s="116">
        <v>0</v>
      </c>
      <c r="V100" s="121">
        <f t="shared" si="13"/>
        <v>0</v>
      </c>
      <c r="W100" s="111"/>
      <c r="X100" s="111"/>
      <c r="Y100" s="111"/>
      <c r="Z100" s="111"/>
      <c r="AA100" s="111"/>
      <c r="AB100" s="111"/>
      <c r="AC100" s="111"/>
      <c r="AD100" s="111"/>
      <c r="AE100" s="139">
        <f t="shared" si="12"/>
        <v>0</v>
      </c>
      <c r="AF100" s="109"/>
      <c r="AG100" s="109"/>
    </row>
    <row r="101" spans="1:33">
      <c r="A101" s="117"/>
      <c r="B101" s="118"/>
      <c r="C101" s="118"/>
      <c r="D101" s="118"/>
      <c r="E101" s="119"/>
      <c r="F101" s="118"/>
      <c r="G101" s="110"/>
      <c r="H101" s="143"/>
      <c r="I101" s="114">
        <v>0</v>
      </c>
      <c r="J101" s="115">
        <v>0</v>
      </c>
      <c r="K101" s="116">
        <v>0</v>
      </c>
      <c r="L101" s="116">
        <v>0</v>
      </c>
      <c r="M101" s="114">
        <v>0</v>
      </c>
      <c r="N101" s="113">
        <v>0</v>
      </c>
      <c r="O101" s="113">
        <v>0</v>
      </c>
      <c r="P101" s="146">
        <v>0</v>
      </c>
      <c r="Q101" s="116">
        <v>0</v>
      </c>
      <c r="R101" s="116">
        <v>0</v>
      </c>
      <c r="S101" s="114">
        <v>0</v>
      </c>
      <c r="T101" s="116">
        <v>0</v>
      </c>
      <c r="U101" s="116">
        <v>0</v>
      </c>
      <c r="V101" s="121">
        <f t="shared" si="13"/>
        <v>0</v>
      </c>
      <c r="W101" s="111"/>
      <c r="X101" s="111"/>
      <c r="Y101" s="111"/>
      <c r="Z101" s="111"/>
      <c r="AA101" s="111"/>
      <c r="AB101" s="111"/>
      <c r="AC101" s="111"/>
      <c r="AD101" s="111"/>
      <c r="AE101" s="139">
        <f t="shared" si="12"/>
        <v>0</v>
      </c>
      <c r="AF101" s="109"/>
      <c r="AG101" s="109"/>
    </row>
    <row r="102" spans="1:33">
      <c r="A102" s="117"/>
      <c r="B102" s="118"/>
      <c r="C102" s="118"/>
      <c r="D102" s="118"/>
      <c r="E102" s="119"/>
      <c r="F102" s="118"/>
      <c r="G102" s="110"/>
      <c r="H102" s="143"/>
      <c r="I102" s="114">
        <v>0</v>
      </c>
      <c r="J102" s="115">
        <v>0</v>
      </c>
      <c r="K102" s="116">
        <v>0</v>
      </c>
      <c r="L102" s="116">
        <v>0</v>
      </c>
      <c r="M102" s="114">
        <v>0</v>
      </c>
      <c r="N102" s="113">
        <v>0</v>
      </c>
      <c r="O102" s="113">
        <v>0</v>
      </c>
      <c r="P102" s="146">
        <v>0</v>
      </c>
      <c r="Q102" s="116">
        <v>0</v>
      </c>
      <c r="R102" s="116">
        <v>0</v>
      </c>
      <c r="S102" s="114">
        <v>0</v>
      </c>
      <c r="T102" s="116">
        <v>0</v>
      </c>
      <c r="U102" s="116">
        <v>0</v>
      </c>
      <c r="V102" s="121">
        <f t="shared" si="13"/>
        <v>0</v>
      </c>
      <c r="W102" s="111"/>
      <c r="X102" s="111"/>
      <c r="Y102" s="111"/>
      <c r="Z102" s="111"/>
      <c r="AA102" s="111"/>
      <c r="AB102" s="111"/>
      <c r="AC102" s="111"/>
      <c r="AD102" s="111"/>
      <c r="AE102" s="139">
        <f t="shared" si="12"/>
        <v>0</v>
      </c>
      <c r="AF102" s="109"/>
      <c r="AG102" s="109"/>
    </row>
    <row r="103" spans="1:33">
      <c r="A103" s="117"/>
      <c r="B103" s="118"/>
      <c r="C103" s="118"/>
      <c r="D103" s="118"/>
      <c r="E103" s="119"/>
      <c r="F103" s="118"/>
      <c r="G103" s="110"/>
      <c r="H103" s="143"/>
      <c r="I103" s="114">
        <v>0</v>
      </c>
      <c r="J103" s="115">
        <v>0</v>
      </c>
      <c r="K103" s="116">
        <v>0</v>
      </c>
      <c r="L103" s="116">
        <v>0</v>
      </c>
      <c r="M103" s="114">
        <v>0</v>
      </c>
      <c r="N103" s="113">
        <v>0</v>
      </c>
      <c r="O103" s="113">
        <v>0</v>
      </c>
      <c r="P103" s="146">
        <v>0</v>
      </c>
      <c r="Q103" s="116">
        <v>0</v>
      </c>
      <c r="R103" s="116">
        <v>0</v>
      </c>
      <c r="S103" s="114">
        <v>0</v>
      </c>
      <c r="T103" s="116">
        <v>0</v>
      </c>
      <c r="U103" s="116">
        <v>0</v>
      </c>
      <c r="V103" s="121">
        <f t="shared" si="13"/>
        <v>0</v>
      </c>
      <c r="W103" s="111"/>
      <c r="X103" s="111"/>
      <c r="Y103" s="111"/>
      <c r="Z103" s="111"/>
      <c r="AA103" s="111"/>
      <c r="AB103" s="111"/>
      <c r="AC103" s="111"/>
      <c r="AD103" s="111"/>
      <c r="AE103" s="139">
        <f t="shared" si="12"/>
        <v>0</v>
      </c>
      <c r="AF103" s="109"/>
      <c r="AG103" s="109"/>
    </row>
    <row r="104" spans="1:33">
      <c r="A104" s="117"/>
      <c r="B104" s="118"/>
      <c r="C104" s="118"/>
      <c r="D104" s="118"/>
      <c r="E104" s="119"/>
      <c r="F104" s="118"/>
      <c r="G104" s="110"/>
      <c r="H104" s="143"/>
      <c r="I104" s="114">
        <v>0</v>
      </c>
      <c r="J104" s="115">
        <v>0</v>
      </c>
      <c r="K104" s="116">
        <v>0</v>
      </c>
      <c r="L104" s="116">
        <v>0</v>
      </c>
      <c r="M104" s="114">
        <v>0</v>
      </c>
      <c r="N104" s="113">
        <v>0</v>
      </c>
      <c r="O104" s="113">
        <v>0</v>
      </c>
      <c r="P104" s="146">
        <v>0</v>
      </c>
      <c r="Q104" s="116">
        <v>0</v>
      </c>
      <c r="R104" s="116">
        <v>0</v>
      </c>
      <c r="S104" s="114">
        <v>0</v>
      </c>
      <c r="T104" s="116">
        <v>0</v>
      </c>
      <c r="U104" s="116">
        <v>0</v>
      </c>
      <c r="V104" s="121">
        <f t="shared" si="13"/>
        <v>0</v>
      </c>
      <c r="W104" s="111"/>
      <c r="X104" s="111"/>
      <c r="Y104" s="111"/>
      <c r="Z104" s="111"/>
      <c r="AA104" s="111"/>
      <c r="AB104" s="111"/>
      <c r="AC104" s="111"/>
      <c r="AD104" s="111"/>
      <c r="AE104" s="139">
        <f t="shared" si="12"/>
        <v>0</v>
      </c>
      <c r="AF104" s="109"/>
      <c r="AG104" s="109"/>
    </row>
    <row r="105" spans="1:33">
      <c r="A105" s="117"/>
      <c r="B105" s="118"/>
      <c r="C105" s="118"/>
      <c r="D105" s="118"/>
      <c r="E105" s="119"/>
      <c r="F105" s="118"/>
      <c r="G105" s="110"/>
      <c r="H105" s="143"/>
      <c r="I105" s="114">
        <v>0</v>
      </c>
      <c r="J105" s="115">
        <v>0</v>
      </c>
      <c r="K105" s="116">
        <v>0</v>
      </c>
      <c r="L105" s="116">
        <v>0</v>
      </c>
      <c r="M105" s="114">
        <v>0</v>
      </c>
      <c r="N105" s="113">
        <v>0</v>
      </c>
      <c r="O105" s="113">
        <v>0</v>
      </c>
      <c r="P105" s="146">
        <v>0</v>
      </c>
      <c r="Q105" s="116">
        <v>0</v>
      </c>
      <c r="R105" s="116">
        <v>0</v>
      </c>
      <c r="S105" s="114">
        <v>0</v>
      </c>
      <c r="T105" s="116">
        <v>0</v>
      </c>
      <c r="U105" s="116">
        <v>0</v>
      </c>
      <c r="V105" s="121">
        <f t="shared" si="13"/>
        <v>0</v>
      </c>
      <c r="W105" s="111"/>
      <c r="X105" s="111"/>
      <c r="Y105" s="111"/>
      <c r="Z105" s="111"/>
      <c r="AA105" s="111"/>
      <c r="AB105" s="111"/>
      <c r="AC105" s="111"/>
      <c r="AD105" s="111"/>
      <c r="AE105" s="139">
        <f t="shared" ref="AE105:AE168" si="25">V105-(X105+Y105)</f>
        <v>0</v>
      </c>
      <c r="AF105" s="109"/>
      <c r="AG105" s="109"/>
    </row>
    <row r="106" spans="1:33">
      <c r="A106" s="117"/>
      <c r="B106" s="118"/>
      <c r="C106" s="118"/>
      <c r="D106" s="118"/>
      <c r="E106" s="119"/>
      <c r="F106" s="118"/>
      <c r="G106" s="110"/>
      <c r="H106" s="143"/>
      <c r="I106" s="114">
        <v>0</v>
      </c>
      <c r="J106" s="115">
        <v>0</v>
      </c>
      <c r="K106" s="116">
        <v>0</v>
      </c>
      <c r="L106" s="116">
        <v>0</v>
      </c>
      <c r="M106" s="114">
        <v>0</v>
      </c>
      <c r="N106" s="113">
        <v>0</v>
      </c>
      <c r="O106" s="113">
        <v>0</v>
      </c>
      <c r="P106" s="146">
        <v>0</v>
      </c>
      <c r="Q106" s="116">
        <v>0</v>
      </c>
      <c r="R106" s="116">
        <v>0</v>
      </c>
      <c r="S106" s="114">
        <v>0</v>
      </c>
      <c r="T106" s="116">
        <v>0</v>
      </c>
      <c r="U106" s="116">
        <v>0</v>
      </c>
      <c r="V106" s="121">
        <f t="shared" si="13"/>
        <v>0</v>
      </c>
      <c r="W106" s="111"/>
      <c r="X106" s="111"/>
      <c r="Y106" s="111"/>
      <c r="Z106" s="111"/>
      <c r="AA106" s="111"/>
      <c r="AB106" s="111"/>
      <c r="AC106" s="111"/>
      <c r="AD106" s="111"/>
      <c r="AE106" s="139">
        <f t="shared" si="25"/>
        <v>0</v>
      </c>
      <c r="AF106" s="109"/>
      <c r="AG106" s="109"/>
    </row>
    <row r="107" spans="1:33">
      <c r="A107" s="117"/>
      <c r="B107" s="118"/>
      <c r="C107" s="118"/>
      <c r="D107" s="118"/>
      <c r="E107" s="119"/>
      <c r="F107" s="118"/>
      <c r="G107" s="110"/>
      <c r="H107" s="143"/>
      <c r="I107" s="114">
        <v>0</v>
      </c>
      <c r="J107" s="115">
        <v>0</v>
      </c>
      <c r="K107" s="116">
        <v>0</v>
      </c>
      <c r="L107" s="116">
        <v>0</v>
      </c>
      <c r="M107" s="114">
        <v>0</v>
      </c>
      <c r="N107" s="113">
        <v>0</v>
      </c>
      <c r="O107" s="113">
        <v>0</v>
      </c>
      <c r="P107" s="146">
        <v>0</v>
      </c>
      <c r="Q107" s="116">
        <v>0</v>
      </c>
      <c r="R107" s="116">
        <v>0</v>
      </c>
      <c r="S107" s="114">
        <v>0</v>
      </c>
      <c r="T107" s="116">
        <v>0</v>
      </c>
      <c r="U107" s="116">
        <v>0</v>
      </c>
      <c r="V107" s="121">
        <f t="shared" si="13"/>
        <v>0</v>
      </c>
      <c r="W107" s="111"/>
      <c r="X107" s="111"/>
      <c r="Y107" s="111"/>
      <c r="Z107" s="111"/>
      <c r="AA107" s="111"/>
      <c r="AB107" s="111"/>
      <c r="AC107" s="111"/>
      <c r="AD107" s="111"/>
      <c r="AE107" s="139">
        <f t="shared" si="25"/>
        <v>0</v>
      </c>
      <c r="AF107" s="109"/>
      <c r="AG107" s="109"/>
    </row>
    <row r="108" spans="1:33">
      <c r="A108" s="117"/>
      <c r="B108" s="118"/>
      <c r="C108" s="118"/>
      <c r="D108" s="118"/>
      <c r="E108" s="119"/>
      <c r="F108" s="118"/>
      <c r="G108" s="110"/>
      <c r="H108" s="143"/>
      <c r="I108" s="114">
        <v>0</v>
      </c>
      <c r="J108" s="115">
        <v>0</v>
      </c>
      <c r="K108" s="116">
        <v>0</v>
      </c>
      <c r="L108" s="116">
        <v>0</v>
      </c>
      <c r="M108" s="114">
        <v>0</v>
      </c>
      <c r="N108" s="113">
        <v>0</v>
      </c>
      <c r="O108" s="113">
        <v>0</v>
      </c>
      <c r="P108" s="146">
        <v>0</v>
      </c>
      <c r="Q108" s="116">
        <v>0</v>
      </c>
      <c r="R108" s="116">
        <v>0</v>
      </c>
      <c r="S108" s="114">
        <v>0</v>
      </c>
      <c r="T108" s="116">
        <v>0</v>
      </c>
      <c r="U108" s="116">
        <v>0</v>
      </c>
      <c r="V108" s="121">
        <f t="shared" si="13"/>
        <v>0</v>
      </c>
      <c r="W108" s="111"/>
      <c r="X108" s="111"/>
      <c r="Y108" s="111"/>
      <c r="Z108" s="111"/>
      <c r="AA108" s="111"/>
      <c r="AB108" s="111"/>
      <c r="AC108" s="111"/>
      <c r="AD108" s="111"/>
      <c r="AE108" s="139">
        <f t="shared" si="25"/>
        <v>0</v>
      </c>
      <c r="AF108" s="109"/>
      <c r="AG108" s="109"/>
    </row>
    <row r="109" spans="1:33">
      <c r="A109" s="117"/>
      <c r="B109" s="118"/>
      <c r="C109" s="118"/>
      <c r="D109" s="118"/>
      <c r="E109" s="119"/>
      <c r="F109" s="118"/>
      <c r="G109" s="110"/>
      <c r="H109" s="143"/>
      <c r="I109" s="114">
        <v>0</v>
      </c>
      <c r="J109" s="115">
        <v>0</v>
      </c>
      <c r="K109" s="116">
        <v>0</v>
      </c>
      <c r="L109" s="116">
        <v>0</v>
      </c>
      <c r="M109" s="114">
        <v>0</v>
      </c>
      <c r="N109" s="113">
        <v>0</v>
      </c>
      <c r="O109" s="113">
        <v>0</v>
      </c>
      <c r="P109" s="146">
        <v>0</v>
      </c>
      <c r="Q109" s="116">
        <v>0</v>
      </c>
      <c r="R109" s="116">
        <v>0</v>
      </c>
      <c r="S109" s="114">
        <v>0</v>
      </c>
      <c r="T109" s="116">
        <v>0</v>
      </c>
      <c r="U109" s="116">
        <v>0</v>
      </c>
      <c r="V109" s="121">
        <f t="shared" si="13"/>
        <v>0</v>
      </c>
      <c r="W109" s="111"/>
      <c r="X109" s="111"/>
      <c r="Y109" s="111"/>
      <c r="Z109" s="111"/>
      <c r="AA109" s="111"/>
      <c r="AB109" s="111"/>
      <c r="AC109" s="111"/>
      <c r="AD109" s="111"/>
      <c r="AE109" s="139">
        <f t="shared" si="25"/>
        <v>0</v>
      </c>
      <c r="AF109" s="109"/>
      <c r="AG109" s="109"/>
    </row>
    <row r="110" spans="1:33">
      <c r="A110" s="117"/>
      <c r="B110" s="118"/>
      <c r="C110" s="118"/>
      <c r="D110" s="118"/>
      <c r="E110" s="119"/>
      <c r="F110" s="118"/>
      <c r="G110" s="110"/>
      <c r="H110" s="143"/>
      <c r="I110" s="114">
        <v>0</v>
      </c>
      <c r="J110" s="115">
        <v>0</v>
      </c>
      <c r="K110" s="116">
        <v>0</v>
      </c>
      <c r="L110" s="116">
        <v>0</v>
      </c>
      <c r="M110" s="114">
        <v>0</v>
      </c>
      <c r="N110" s="113">
        <v>0</v>
      </c>
      <c r="O110" s="113">
        <v>0</v>
      </c>
      <c r="P110" s="146">
        <v>0</v>
      </c>
      <c r="Q110" s="116">
        <v>0</v>
      </c>
      <c r="R110" s="116">
        <v>0</v>
      </c>
      <c r="S110" s="114">
        <v>0</v>
      </c>
      <c r="T110" s="116">
        <v>0</v>
      </c>
      <c r="U110" s="116">
        <v>0</v>
      </c>
      <c r="V110" s="121">
        <f t="shared" si="13"/>
        <v>0</v>
      </c>
      <c r="W110" s="111"/>
      <c r="X110" s="111"/>
      <c r="Y110" s="111"/>
      <c r="Z110" s="111"/>
      <c r="AA110" s="111"/>
      <c r="AB110" s="111"/>
      <c r="AC110" s="111"/>
      <c r="AD110" s="111"/>
      <c r="AE110" s="139">
        <f t="shared" si="25"/>
        <v>0</v>
      </c>
      <c r="AF110" s="109"/>
      <c r="AG110" s="109"/>
    </row>
    <row r="111" spans="1:33">
      <c r="A111" s="117"/>
      <c r="B111" s="118"/>
      <c r="C111" s="118"/>
      <c r="D111" s="118"/>
      <c r="E111" s="119"/>
      <c r="F111" s="118"/>
      <c r="G111" s="110"/>
      <c r="H111" s="143"/>
      <c r="I111" s="114">
        <v>0</v>
      </c>
      <c r="J111" s="115">
        <v>0</v>
      </c>
      <c r="K111" s="116">
        <v>0</v>
      </c>
      <c r="L111" s="116">
        <v>0</v>
      </c>
      <c r="M111" s="114">
        <v>0</v>
      </c>
      <c r="N111" s="113">
        <v>0</v>
      </c>
      <c r="O111" s="113">
        <v>0</v>
      </c>
      <c r="P111" s="146">
        <v>0</v>
      </c>
      <c r="Q111" s="116">
        <v>0</v>
      </c>
      <c r="R111" s="116">
        <v>0</v>
      </c>
      <c r="S111" s="114">
        <v>0</v>
      </c>
      <c r="T111" s="116">
        <v>0</v>
      </c>
      <c r="U111" s="116">
        <v>0</v>
      </c>
      <c r="V111" s="121">
        <f t="shared" si="13"/>
        <v>0</v>
      </c>
      <c r="W111" s="111"/>
      <c r="X111" s="111"/>
      <c r="Y111" s="111"/>
      <c r="Z111" s="111"/>
      <c r="AA111" s="111"/>
      <c r="AB111" s="111"/>
      <c r="AC111" s="111"/>
      <c r="AD111" s="111"/>
      <c r="AE111" s="139">
        <f t="shared" si="25"/>
        <v>0</v>
      </c>
      <c r="AF111" s="109"/>
      <c r="AG111" s="109"/>
    </row>
    <row r="112" spans="1:33">
      <c r="A112" s="117"/>
      <c r="B112" s="118"/>
      <c r="C112" s="118"/>
      <c r="D112" s="118"/>
      <c r="E112" s="119"/>
      <c r="F112" s="118"/>
      <c r="G112" s="110"/>
      <c r="H112" s="143"/>
      <c r="I112" s="114">
        <v>0</v>
      </c>
      <c r="J112" s="115">
        <v>0</v>
      </c>
      <c r="K112" s="116">
        <v>0</v>
      </c>
      <c r="L112" s="116">
        <v>0</v>
      </c>
      <c r="M112" s="114">
        <v>0</v>
      </c>
      <c r="N112" s="113">
        <v>0</v>
      </c>
      <c r="O112" s="113">
        <v>0</v>
      </c>
      <c r="P112" s="146">
        <v>0</v>
      </c>
      <c r="Q112" s="116">
        <v>0</v>
      </c>
      <c r="R112" s="116">
        <v>0</v>
      </c>
      <c r="S112" s="114">
        <v>0</v>
      </c>
      <c r="T112" s="116">
        <v>0</v>
      </c>
      <c r="U112" s="116">
        <v>0</v>
      </c>
      <c r="V112" s="121">
        <f t="shared" si="13"/>
        <v>0</v>
      </c>
      <c r="W112" s="111"/>
      <c r="X112" s="111"/>
      <c r="Y112" s="111"/>
      <c r="Z112" s="111"/>
      <c r="AA112" s="111"/>
      <c r="AB112" s="111"/>
      <c r="AC112" s="111"/>
      <c r="AD112" s="111"/>
      <c r="AE112" s="139">
        <f t="shared" si="25"/>
        <v>0</v>
      </c>
      <c r="AF112" s="109"/>
      <c r="AG112" s="109"/>
    </row>
    <row r="113" spans="1:33">
      <c r="A113" s="117"/>
      <c r="B113" s="118"/>
      <c r="C113" s="118"/>
      <c r="D113" s="118"/>
      <c r="E113" s="119"/>
      <c r="F113" s="118"/>
      <c r="G113" s="110"/>
      <c r="H113" s="143"/>
      <c r="I113" s="114">
        <v>0</v>
      </c>
      <c r="J113" s="115">
        <v>0</v>
      </c>
      <c r="K113" s="116">
        <v>0</v>
      </c>
      <c r="L113" s="116">
        <v>0</v>
      </c>
      <c r="M113" s="114">
        <v>0</v>
      </c>
      <c r="N113" s="113">
        <v>0</v>
      </c>
      <c r="O113" s="113">
        <v>0</v>
      </c>
      <c r="P113" s="146">
        <v>0</v>
      </c>
      <c r="Q113" s="116">
        <v>0</v>
      </c>
      <c r="R113" s="116">
        <v>0</v>
      </c>
      <c r="S113" s="114">
        <v>0</v>
      </c>
      <c r="T113" s="116">
        <v>0</v>
      </c>
      <c r="U113" s="116">
        <v>0</v>
      </c>
      <c r="V113" s="121">
        <f t="shared" ref="V113:V176" si="26">+G113-(SUM(I113:N113,P113:S113,U113))</f>
        <v>0</v>
      </c>
      <c r="W113" s="111"/>
      <c r="X113" s="111"/>
      <c r="Y113" s="111"/>
      <c r="Z113" s="111"/>
      <c r="AA113" s="111"/>
      <c r="AB113" s="111"/>
      <c r="AC113" s="111"/>
      <c r="AD113" s="111"/>
      <c r="AE113" s="139">
        <f t="shared" si="25"/>
        <v>0</v>
      </c>
      <c r="AF113" s="109"/>
      <c r="AG113" s="109"/>
    </row>
    <row r="114" spans="1:33">
      <c r="A114" s="117"/>
      <c r="B114" s="118"/>
      <c r="C114" s="118"/>
      <c r="D114" s="118"/>
      <c r="E114" s="119"/>
      <c r="F114" s="118"/>
      <c r="G114" s="110"/>
      <c r="H114" s="143"/>
      <c r="I114" s="114">
        <v>0</v>
      </c>
      <c r="J114" s="115">
        <v>0</v>
      </c>
      <c r="K114" s="116">
        <v>0</v>
      </c>
      <c r="L114" s="116">
        <v>0</v>
      </c>
      <c r="M114" s="114">
        <v>0</v>
      </c>
      <c r="N114" s="113">
        <v>0</v>
      </c>
      <c r="O114" s="113">
        <v>0</v>
      </c>
      <c r="P114" s="146">
        <v>0</v>
      </c>
      <c r="Q114" s="116">
        <v>0</v>
      </c>
      <c r="R114" s="116">
        <v>0</v>
      </c>
      <c r="S114" s="114">
        <v>0</v>
      </c>
      <c r="T114" s="116">
        <v>0</v>
      </c>
      <c r="U114" s="116">
        <v>0</v>
      </c>
      <c r="V114" s="121">
        <f t="shared" si="26"/>
        <v>0</v>
      </c>
      <c r="W114" s="111"/>
      <c r="X114" s="111"/>
      <c r="Y114" s="111"/>
      <c r="Z114" s="111"/>
      <c r="AA114" s="111"/>
      <c r="AB114" s="111"/>
      <c r="AC114" s="111"/>
      <c r="AD114" s="111"/>
      <c r="AE114" s="139">
        <f t="shared" si="25"/>
        <v>0</v>
      </c>
      <c r="AF114" s="109"/>
      <c r="AG114" s="109"/>
    </row>
    <row r="115" spans="1:33">
      <c r="A115" s="117"/>
      <c r="B115" s="118"/>
      <c r="C115" s="118"/>
      <c r="D115" s="118"/>
      <c r="E115" s="119"/>
      <c r="F115" s="118"/>
      <c r="G115" s="110"/>
      <c r="H115" s="143"/>
      <c r="I115" s="114">
        <v>0</v>
      </c>
      <c r="J115" s="115">
        <v>0</v>
      </c>
      <c r="K115" s="116">
        <v>0</v>
      </c>
      <c r="L115" s="116">
        <v>0</v>
      </c>
      <c r="M115" s="114">
        <v>0</v>
      </c>
      <c r="N115" s="113">
        <v>0</v>
      </c>
      <c r="O115" s="113">
        <v>0</v>
      </c>
      <c r="P115" s="146">
        <v>0</v>
      </c>
      <c r="Q115" s="116">
        <v>0</v>
      </c>
      <c r="R115" s="116">
        <v>0</v>
      </c>
      <c r="S115" s="114">
        <v>0</v>
      </c>
      <c r="T115" s="116">
        <v>0</v>
      </c>
      <c r="U115" s="116">
        <v>0</v>
      </c>
      <c r="V115" s="121">
        <f t="shared" si="26"/>
        <v>0</v>
      </c>
      <c r="W115" s="111"/>
      <c r="X115" s="111"/>
      <c r="Y115" s="111"/>
      <c r="Z115" s="111"/>
      <c r="AA115" s="111"/>
      <c r="AB115" s="111"/>
      <c r="AC115" s="111"/>
      <c r="AD115" s="111"/>
      <c r="AE115" s="139">
        <f t="shared" si="25"/>
        <v>0</v>
      </c>
      <c r="AF115" s="109"/>
      <c r="AG115" s="109"/>
    </row>
    <row r="116" spans="1:33">
      <c r="A116" s="117"/>
      <c r="B116" s="118"/>
      <c r="C116" s="118"/>
      <c r="D116" s="118"/>
      <c r="E116" s="119"/>
      <c r="F116" s="118"/>
      <c r="G116" s="110"/>
      <c r="H116" s="143"/>
      <c r="I116" s="114">
        <v>0</v>
      </c>
      <c r="J116" s="115">
        <v>0</v>
      </c>
      <c r="K116" s="116">
        <v>0</v>
      </c>
      <c r="L116" s="116">
        <v>0</v>
      </c>
      <c r="M116" s="114">
        <v>0</v>
      </c>
      <c r="N116" s="113">
        <v>0</v>
      </c>
      <c r="O116" s="113">
        <v>0</v>
      </c>
      <c r="P116" s="146">
        <v>0</v>
      </c>
      <c r="Q116" s="116">
        <v>0</v>
      </c>
      <c r="R116" s="116">
        <v>0</v>
      </c>
      <c r="S116" s="114">
        <v>0</v>
      </c>
      <c r="T116" s="116">
        <v>0</v>
      </c>
      <c r="U116" s="116">
        <v>0</v>
      </c>
      <c r="V116" s="121">
        <f t="shared" si="26"/>
        <v>0</v>
      </c>
      <c r="W116" s="111"/>
      <c r="X116" s="111"/>
      <c r="Y116" s="111"/>
      <c r="Z116" s="111"/>
      <c r="AA116" s="111"/>
      <c r="AB116" s="111"/>
      <c r="AC116" s="111"/>
      <c r="AD116" s="111"/>
      <c r="AE116" s="139">
        <f t="shared" si="25"/>
        <v>0</v>
      </c>
      <c r="AF116" s="109"/>
      <c r="AG116" s="109"/>
    </row>
    <row r="117" spans="1:33">
      <c r="A117" s="117"/>
      <c r="B117" s="118"/>
      <c r="C117" s="118"/>
      <c r="D117" s="118"/>
      <c r="E117" s="119"/>
      <c r="F117" s="118"/>
      <c r="G117" s="110"/>
      <c r="H117" s="143"/>
      <c r="I117" s="114">
        <v>0</v>
      </c>
      <c r="J117" s="115">
        <v>0</v>
      </c>
      <c r="K117" s="116">
        <v>0</v>
      </c>
      <c r="L117" s="116">
        <v>0</v>
      </c>
      <c r="M117" s="114">
        <v>0</v>
      </c>
      <c r="N117" s="113">
        <v>0</v>
      </c>
      <c r="O117" s="113">
        <v>0</v>
      </c>
      <c r="P117" s="146">
        <v>0</v>
      </c>
      <c r="Q117" s="116">
        <v>0</v>
      </c>
      <c r="R117" s="116">
        <v>0</v>
      </c>
      <c r="S117" s="114">
        <v>0</v>
      </c>
      <c r="T117" s="116">
        <v>0</v>
      </c>
      <c r="U117" s="116">
        <v>0</v>
      </c>
      <c r="V117" s="121">
        <f t="shared" si="26"/>
        <v>0</v>
      </c>
      <c r="W117" s="111"/>
      <c r="X117" s="111"/>
      <c r="Y117" s="111"/>
      <c r="Z117" s="111"/>
      <c r="AA117" s="111"/>
      <c r="AB117" s="111"/>
      <c r="AC117" s="111"/>
      <c r="AD117" s="111"/>
      <c r="AE117" s="139">
        <f t="shared" si="25"/>
        <v>0</v>
      </c>
      <c r="AF117" s="109"/>
      <c r="AG117" s="109"/>
    </row>
    <row r="118" spans="1:33">
      <c r="A118" s="117"/>
      <c r="B118" s="118"/>
      <c r="C118" s="118"/>
      <c r="D118" s="118"/>
      <c r="E118" s="119"/>
      <c r="F118" s="118"/>
      <c r="G118" s="110"/>
      <c r="H118" s="143"/>
      <c r="I118" s="114">
        <v>0</v>
      </c>
      <c r="J118" s="115">
        <v>0</v>
      </c>
      <c r="K118" s="116">
        <v>0</v>
      </c>
      <c r="L118" s="116">
        <v>0</v>
      </c>
      <c r="M118" s="114">
        <v>0</v>
      </c>
      <c r="N118" s="113">
        <v>0</v>
      </c>
      <c r="O118" s="113">
        <v>0</v>
      </c>
      <c r="P118" s="146">
        <v>0</v>
      </c>
      <c r="Q118" s="116">
        <v>0</v>
      </c>
      <c r="R118" s="116">
        <v>0</v>
      </c>
      <c r="S118" s="114">
        <v>0</v>
      </c>
      <c r="T118" s="116">
        <v>0</v>
      </c>
      <c r="U118" s="116">
        <v>0</v>
      </c>
      <c r="V118" s="121">
        <f t="shared" si="26"/>
        <v>0</v>
      </c>
      <c r="W118" s="111"/>
      <c r="X118" s="111"/>
      <c r="Y118" s="111"/>
      <c r="Z118" s="111"/>
      <c r="AA118" s="111"/>
      <c r="AB118" s="111"/>
      <c r="AC118" s="111"/>
      <c r="AD118" s="111"/>
      <c r="AE118" s="139">
        <f t="shared" si="25"/>
        <v>0</v>
      </c>
      <c r="AF118" s="109"/>
      <c r="AG118" s="109"/>
    </row>
    <row r="119" spans="1:33">
      <c r="A119" s="117"/>
      <c r="B119" s="118"/>
      <c r="C119" s="118"/>
      <c r="D119" s="118"/>
      <c r="E119" s="119"/>
      <c r="F119" s="118"/>
      <c r="G119" s="110"/>
      <c r="H119" s="143"/>
      <c r="I119" s="114">
        <v>0</v>
      </c>
      <c r="J119" s="115">
        <v>0</v>
      </c>
      <c r="K119" s="116">
        <v>0</v>
      </c>
      <c r="L119" s="116">
        <v>0</v>
      </c>
      <c r="M119" s="114">
        <v>0</v>
      </c>
      <c r="N119" s="113">
        <v>0</v>
      </c>
      <c r="O119" s="113">
        <v>0</v>
      </c>
      <c r="P119" s="146">
        <v>0</v>
      </c>
      <c r="Q119" s="116">
        <v>0</v>
      </c>
      <c r="R119" s="116">
        <v>0</v>
      </c>
      <c r="S119" s="114">
        <v>0</v>
      </c>
      <c r="T119" s="116">
        <v>0</v>
      </c>
      <c r="U119" s="116">
        <v>0</v>
      </c>
      <c r="V119" s="121">
        <f t="shared" si="26"/>
        <v>0</v>
      </c>
      <c r="W119" s="111"/>
      <c r="X119" s="111"/>
      <c r="Y119" s="111"/>
      <c r="Z119" s="111"/>
      <c r="AA119" s="111"/>
      <c r="AB119" s="111"/>
      <c r="AC119" s="111"/>
      <c r="AD119" s="111"/>
      <c r="AE119" s="139">
        <f t="shared" si="25"/>
        <v>0</v>
      </c>
      <c r="AF119" s="109"/>
      <c r="AG119" s="109"/>
    </row>
    <row r="120" spans="1:33">
      <c r="A120" s="117"/>
      <c r="B120" s="118"/>
      <c r="C120" s="118"/>
      <c r="D120" s="118"/>
      <c r="E120" s="119"/>
      <c r="F120" s="118"/>
      <c r="G120" s="110"/>
      <c r="H120" s="143"/>
      <c r="I120" s="114">
        <v>0</v>
      </c>
      <c r="J120" s="115">
        <v>0</v>
      </c>
      <c r="K120" s="116">
        <v>0</v>
      </c>
      <c r="L120" s="116">
        <v>0</v>
      </c>
      <c r="M120" s="114">
        <v>0</v>
      </c>
      <c r="N120" s="113">
        <v>0</v>
      </c>
      <c r="O120" s="113">
        <v>0</v>
      </c>
      <c r="P120" s="146">
        <v>0</v>
      </c>
      <c r="Q120" s="116">
        <v>0</v>
      </c>
      <c r="R120" s="116">
        <v>0</v>
      </c>
      <c r="S120" s="114">
        <v>0</v>
      </c>
      <c r="T120" s="116">
        <v>0</v>
      </c>
      <c r="U120" s="116">
        <v>0</v>
      </c>
      <c r="V120" s="121">
        <f t="shared" si="26"/>
        <v>0</v>
      </c>
      <c r="W120" s="111"/>
      <c r="X120" s="111"/>
      <c r="Y120" s="111"/>
      <c r="Z120" s="111"/>
      <c r="AA120" s="111"/>
      <c r="AB120" s="111"/>
      <c r="AC120" s="111"/>
      <c r="AD120" s="111"/>
      <c r="AE120" s="139">
        <f t="shared" si="25"/>
        <v>0</v>
      </c>
      <c r="AF120" s="109"/>
      <c r="AG120" s="109"/>
    </row>
    <row r="121" spans="1:33">
      <c r="A121" s="117"/>
      <c r="B121" s="118"/>
      <c r="C121" s="118"/>
      <c r="D121" s="118"/>
      <c r="E121" s="119"/>
      <c r="F121" s="118"/>
      <c r="G121" s="110"/>
      <c r="H121" s="143"/>
      <c r="I121" s="114">
        <v>0</v>
      </c>
      <c r="J121" s="115">
        <v>0</v>
      </c>
      <c r="K121" s="116">
        <v>0</v>
      </c>
      <c r="L121" s="116">
        <v>0</v>
      </c>
      <c r="M121" s="114">
        <v>0</v>
      </c>
      <c r="N121" s="113">
        <v>0</v>
      </c>
      <c r="O121" s="113">
        <v>0</v>
      </c>
      <c r="P121" s="146">
        <v>0</v>
      </c>
      <c r="Q121" s="116">
        <v>0</v>
      </c>
      <c r="R121" s="116">
        <v>0</v>
      </c>
      <c r="S121" s="114">
        <v>0</v>
      </c>
      <c r="T121" s="116">
        <v>0</v>
      </c>
      <c r="U121" s="116">
        <v>0</v>
      </c>
      <c r="V121" s="121">
        <f t="shared" si="26"/>
        <v>0</v>
      </c>
      <c r="W121" s="111"/>
      <c r="X121" s="111"/>
      <c r="Y121" s="111"/>
      <c r="Z121" s="111"/>
      <c r="AA121" s="111"/>
      <c r="AB121" s="111"/>
      <c r="AC121" s="111"/>
      <c r="AD121" s="111"/>
      <c r="AE121" s="139">
        <f t="shared" si="25"/>
        <v>0</v>
      </c>
      <c r="AF121" s="109"/>
      <c r="AG121" s="109"/>
    </row>
    <row r="122" spans="1:33">
      <c r="A122" s="117"/>
      <c r="B122" s="118"/>
      <c r="C122" s="118"/>
      <c r="D122" s="118"/>
      <c r="E122" s="119"/>
      <c r="F122" s="118"/>
      <c r="G122" s="110"/>
      <c r="H122" s="143"/>
      <c r="I122" s="114">
        <v>0</v>
      </c>
      <c r="J122" s="115">
        <v>0</v>
      </c>
      <c r="K122" s="116">
        <v>0</v>
      </c>
      <c r="L122" s="116">
        <v>0</v>
      </c>
      <c r="M122" s="114">
        <v>0</v>
      </c>
      <c r="N122" s="113">
        <v>0</v>
      </c>
      <c r="O122" s="113">
        <v>0</v>
      </c>
      <c r="P122" s="146">
        <v>0</v>
      </c>
      <c r="Q122" s="116">
        <v>0</v>
      </c>
      <c r="R122" s="116">
        <v>0</v>
      </c>
      <c r="S122" s="114">
        <v>0</v>
      </c>
      <c r="T122" s="116">
        <v>0</v>
      </c>
      <c r="U122" s="116">
        <v>0</v>
      </c>
      <c r="V122" s="121">
        <f t="shared" si="26"/>
        <v>0</v>
      </c>
      <c r="W122" s="111"/>
      <c r="X122" s="111"/>
      <c r="Y122" s="111"/>
      <c r="Z122" s="111"/>
      <c r="AA122" s="111"/>
      <c r="AB122" s="111"/>
      <c r="AC122" s="111"/>
      <c r="AD122" s="111"/>
      <c r="AE122" s="139">
        <f t="shared" si="25"/>
        <v>0</v>
      </c>
      <c r="AF122" s="109"/>
      <c r="AG122" s="109"/>
    </row>
    <row r="123" spans="1:33">
      <c r="A123" s="117"/>
      <c r="B123" s="118"/>
      <c r="C123" s="118"/>
      <c r="D123" s="118"/>
      <c r="E123" s="119"/>
      <c r="F123" s="118"/>
      <c r="G123" s="110"/>
      <c r="H123" s="143"/>
      <c r="I123" s="114">
        <v>0</v>
      </c>
      <c r="J123" s="115">
        <v>0</v>
      </c>
      <c r="K123" s="116">
        <v>0</v>
      </c>
      <c r="L123" s="116">
        <v>0</v>
      </c>
      <c r="M123" s="114">
        <v>0</v>
      </c>
      <c r="N123" s="113">
        <v>0</v>
      </c>
      <c r="O123" s="113">
        <v>0</v>
      </c>
      <c r="P123" s="146">
        <v>0</v>
      </c>
      <c r="Q123" s="116">
        <v>0</v>
      </c>
      <c r="R123" s="116">
        <v>0</v>
      </c>
      <c r="S123" s="114">
        <v>0</v>
      </c>
      <c r="T123" s="116">
        <v>0</v>
      </c>
      <c r="U123" s="116">
        <v>0</v>
      </c>
      <c r="V123" s="121">
        <f t="shared" si="26"/>
        <v>0</v>
      </c>
      <c r="W123" s="111"/>
      <c r="X123" s="111"/>
      <c r="Y123" s="111"/>
      <c r="Z123" s="111"/>
      <c r="AA123" s="111"/>
      <c r="AB123" s="111"/>
      <c r="AC123" s="111"/>
      <c r="AD123" s="111"/>
      <c r="AE123" s="139">
        <f t="shared" si="25"/>
        <v>0</v>
      </c>
      <c r="AF123" s="109"/>
      <c r="AG123" s="109"/>
    </row>
    <row r="124" spans="1:33">
      <c r="A124" s="117"/>
      <c r="B124" s="118"/>
      <c r="C124" s="118"/>
      <c r="D124" s="118"/>
      <c r="E124" s="119"/>
      <c r="F124" s="118"/>
      <c r="G124" s="110"/>
      <c r="H124" s="143"/>
      <c r="I124" s="114">
        <v>0</v>
      </c>
      <c r="J124" s="115">
        <v>0</v>
      </c>
      <c r="K124" s="116">
        <v>0</v>
      </c>
      <c r="L124" s="116">
        <v>0</v>
      </c>
      <c r="M124" s="114">
        <v>0</v>
      </c>
      <c r="N124" s="113">
        <v>0</v>
      </c>
      <c r="O124" s="113">
        <v>0</v>
      </c>
      <c r="P124" s="146">
        <v>0</v>
      </c>
      <c r="Q124" s="116">
        <v>0</v>
      </c>
      <c r="R124" s="116">
        <v>0</v>
      </c>
      <c r="S124" s="114">
        <v>0</v>
      </c>
      <c r="T124" s="116">
        <v>0</v>
      </c>
      <c r="U124" s="116">
        <v>0</v>
      </c>
      <c r="V124" s="121">
        <f t="shared" si="26"/>
        <v>0</v>
      </c>
      <c r="W124" s="111"/>
      <c r="X124" s="111"/>
      <c r="Y124" s="111"/>
      <c r="Z124" s="111"/>
      <c r="AA124" s="111"/>
      <c r="AB124" s="111"/>
      <c r="AC124" s="111"/>
      <c r="AD124" s="111"/>
      <c r="AE124" s="139">
        <f t="shared" si="25"/>
        <v>0</v>
      </c>
      <c r="AF124" s="109"/>
      <c r="AG124" s="109"/>
    </row>
    <row r="125" spans="1:33">
      <c r="A125" s="117"/>
      <c r="B125" s="118"/>
      <c r="C125" s="118"/>
      <c r="D125" s="118"/>
      <c r="E125" s="119"/>
      <c r="F125" s="118"/>
      <c r="G125" s="110"/>
      <c r="H125" s="143"/>
      <c r="I125" s="114">
        <v>0</v>
      </c>
      <c r="J125" s="115">
        <v>0</v>
      </c>
      <c r="K125" s="116">
        <v>0</v>
      </c>
      <c r="L125" s="116">
        <v>0</v>
      </c>
      <c r="M125" s="114">
        <v>0</v>
      </c>
      <c r="N125" s="113">
        <v>0</v>
      </c>
      <c r="O125" s="113">
        <v>0</v>
      </c>
      <c r="P125" s="146">
        <v>0</v>
      </c>
      <c r="Q125" s="116">
        <v>0</v>
      </c>
      <c r="R125" s="116">
        <v>0</v>
      </c>
      <c r="S125" s="114">
        <v>0</v>
      </c>
      <c r="T125" s="116">
        <v>0</v>
      </c>
      <c r="U125" s="116">
        <v>0</v>
      </c>
      <c r="V125" s="121">
        <f t="shared" si="26"/>
        <v>0</v>
      </c>
      <c r="W125" s="111"/>
      <c r="X125" s="111"/>
      <c r="Y125" s="111"/>
      <c r="Z125" s="111"/>
      <c r="AA125" s="111"/>
      <c r="AB125" s="111"/>
      <c r="AC125" s="111"/>
      <c r="AD125" s="111"/>
      <c r="AE125" s="139">
        <f t="shared" si="25"/>
        <v>0</v>
      </c>
      <c r="AF125" s="109"/>
      <c r="AG125" s="109"/>
    </row>
    <row r="126" spans="1:33">
      <c r="A126" s="117"/>
      <c r="B126" s="118"/>
      <c r="C126" s="118"/>
      <c r="D126" s="118"/>
      <c r="E126" s="119"/>
      <c r="F126" s="118"/>
      <c r="G126" s="110"/>
      <c r="H126" s="143"/>
      <c r="I126" s="114">
        <v>0</v>
      </c>
      <c r="J126" s="115">
        <v>0</v>
      </c>
      <c r="K126" s="116">
        <v>0</v>
      </c>
      <c r="L126" s="116">
        <v>0</v>
      </c>
      <c r="M126" s="114">
        <v>0</v>
      </c>
      <c r="N126" s="113">
        <v>0</v>
      </c>
      <c r="O126" s="113">
        <v>0</v>
      </c>
      <c r="P126" s="146">
        <v>0</v>
      </c>
      <c r="Q126" s="116">
        <v>0</v>
      </c>
      <c r="R126" s="116">
        <v>0</v>
      </c>
      <c r="S126" s="114">
        <v>0</v>
      </c>
      <c r="T126" s="116">
        <v>0</v>
      </c>
      <c r="U126" s="116">
        <v>0</v>
      </c>
      <c r="V126" s="121">
        <f t="shared" si="26"/>
        <v>0</v>
      </c>
      <c r="W126" s="111"/>
      <c r="X126" s="111"/>
      <c r="Y126" s="111"/>
      <c r="Z126" s="111"/>
      <c r="AA126" s="111"/>
      <c r="AB126" s="111"/>
      <c r="AC126" s="111"/>
      <c r="AD126" s="111"/>
      <c r="AE126" s="139">
        <f t="shared" si="25"/>
        <v>0</v>
      </c>
      <c r="AF126" s="109"/>
      <c r="AG126" s="109"/>
    </row>
    <row r="127" spans="1:33">
      <c r="A127" s="117"/>
      <c r="B127" s="118"/>
      <c r="C127" s="118"/>
      <c r="D127" s="118"/>
      <c r="E127" s="119"/>
      <c r="F127" s="118"/>
      <c r="G127" s="110"/>
      <c r="H127" s="143"/>
      <c r="I127" s="114">
        <v>0</v>
      </c>
      <c r="J127" s="115">
        <v>0</v>
      </c>
      <c r="K127" s="116">
        <v>0</v>
      </c>
      <c r="L127" s="116">
        <v>0</v>
      </c>
      <c r="M127" s="114">
        <v>0</v>
      </c>
      <c r="N127" s="113">
        <v>0</v>
      </c>
      <c r="O127" s="113">
        <v>0</v>
      </c>
      <c r="P127" s="146">
        <v>0</v>
      </c>
      <c r="Q127" s="116">
        <v>0</v>
      </c>
      <c r="R127" s="116">
        <v>0</v>
      </c>
      <c r="S127" s="114">
        <v>0</v>
      </c>
      <c r="T127" s="116">
        <v>0</v>
      </c>
      <c r="U127" s="116">
        <v>0</v>
      </c>
      <c r="V127" s="121">
        <f t="shared" si="26"/>
        <v>0</v>
      </c>
      <c r="W127" s="111"/>
      <c r="X127" s="111"/>
      <c r="Y127" s="111"/>
      <c r="Z127" s="111"/>
      <c r="AA127" s="111"/>
      <c r="AB127" s="111"/>
      <c r="AC127" s="111"/>
      <c r="AD127" s="111"/>
      <c r="AE127" s="139">
        <f t="shared" si="25"/>
        <v>0</v>
      </c>
      <c r="AF127" s="109"/>
      <c r="AG127" s="109"/>
    </row>
    <row r="128" spans="1:33">
      <c r="A128" s="117"/>
      <c r="B128" s="118"/>
      <c r="C128" s="118"/>
      <c r="D128" s="118"/>
      <c r="E128" s="119"/>
      <c r="F128" s="118"/>
      <c r="G128" s="110"/>
      <c r="H128" s="143"/>
      <c r="I128" s="114">
        <v>0</v>
      </c>
      <c r="J128" s="115">
        <v>0</v>
      </c>
      <c r="K128" s="116">
        <v>0</v>
      </c>
      <c r="L128" s="116">
        <v>0</v>
      </c>
      <c r="M128" s="114">
        <v>0</v>
      </c>
      <c r="N128" s="113">
        <v>0</v>
      </c>
      <c r="O128" s="113">
        <v>0</v>
      </c>
      <c r="P128" s="146">
        <v>0</v>
      </c>
      <c r="Q128" s="116">
        <v>0</v>
      </c>
      <c r="R128" s="116">
        <v>0</v>
      </c>
      <c r="S128" s="114">
        <v>0</v>
      </c>
      <c r="T128" s="116">
        <v>0</v>
      </c>
      <c r="U128" s="116">
        <v>0</v>
      </c>
      <c r="V128" s="121">
        <f t="shared" si="26"/>
        <v>0</v>
      </c>
      <c r="W128" s="111"/>
      <c r="X128" s="111"/>
      <c r="Y128" s="111"/>
      <c r="Z128" s="111"/>
      <c r="AA128" s="111"/>
      <c r="AB128" s="111"/>
      <c r="AC128" s="111"/>
      <c r="AD128" s="111"/>
      <c r="AE128" s="139">
        <f t="shared" si="25"/>
        <v>0</v>
      </c>
      <c r="AF128" s="109"/>
      <c r="AG128" s="109"/>
    </row>
    <row r="129" spans="1:33">
      <c r="A129" s="117"/>
      <c r="B129" s="118"/>
      <c r="C129" s="118"/>
      <c r="D129" s="118"/>
      <c r="E129" s="119"/>
      <c r="F129" s="118"/>
      <c r="G129" s="110"/>
      <c r="H129" s="143"/>
      <c r="I129" s="114">
        <v>0</v>
      </c>
      <c r="J129" s="115">
        <v>0</v>
      </c>
      <c r="K129" s="116">
        <v>0</v>
      </c>
      <c r="L129" s="116">
        <v>0</v>
      </c>
      <c r="M129" s="114">
        <v>0</v>
      </c>
      <c r="N129" s="113">
        <v>0</v>
      </c>
      <c r="O129" s="113">
        <v>0</v>
      </c>
      <c r="P129" s="146">
        <v>0</v>
      </c>
      <c r="Q129" s="116">
        <v>0</v>
      </c>
      <c r="R129" s="116">
        <v>0</v>
      </c>
      <c r="S129" s="114">
        <v>0</v>
      </c>
      <c r="T129" s="116">
        <v>0</v>
      </c>
      <c r="U129" s="116">
        <v>0</v>
      </c>
      <c r="V129" s="121">
        <f t="shared" si="26"/>
        <v>0</v>
      </c>
      <c r="W129" s="111"/>
      <c r="X129" s="111"/>
      <c r="Y129" s="111"/>
      <c r="Z129" s="111"/>
      <c r="AA129" s="111"/>
      <c r="AB129" s="111"/>
      <c r="AC129" s="111"/>
      <c r="AD129" s="111"/>
      <c r="AE129" s="139">
        <f t="shared" si="25"/>
        <v>0</v>
      </c>
      <c r="AF129" s="109"/>
      <c r="AG129" s="109"/>
    </row>
    <row r="130" spans="1:33">
      <c r="A130" s="117"/>
      <c r="B130" s="118"/>
      <c r="C130" s="118"/>
      <c r="D130" s="118"/>
      <c r="E130" s="119"/>
      <c r="F130" s="118"/>
      <c r="G130" s="110"/>
      <c r="H130" s="143"/>
      <c r="I130" s="114">
        <v>0</v>
      </c>
      <c r="J130" s="115">
        <v>0</v>
      </c>
      <c r="K130" s="116">
        <v>0</v>
      </c>
      <c r="L130" s="116">
        <v>0</v>
      </c>
      <c r="M130" s="114">
        <v>0</v>
      </c>
      <c r="N130" s="113">
        <v>0</v>
      </c>
      <c r="O130" s="113">
        <v>0</v>
      </c>
      <c r="P130" s="146">
        <v>0</v>
      </c>
      <c r="Q130" s="116">
        <v>0</v>
      </c>
      <c r="R130" s="116">
        <v>0</v>
      </c>
      <c r="S130" s="114">
        <v>0</v>
      </c>
      <c r="T130" s="116">
        <v>0</v>
      </c>
      <c r="U130" s="116">
        <v>0</v>
      </c>
      <c r="V130" s="121">
        <f t="shared" si="26"/>
        <v>0</v>
      </c>
      <c r="W130" s="111"/>
      <c r="X130" s="111"/>
      <c r="Y130" s="111"/>
      <c r="Z130" s="111"/>
      <c r="AA130" s="111"/>
      <c r="AB130" s="111"/>
      <c r="AC130" s="111"/>
      <c r="AD130" s="111"/>
      <c r="AE130" s="139">
        <f t="shared" si="25"/>
        <v>0</v>
      </c>
      <c r="AF130" s="109"/>
      <c r="AG130" s="109"/>
    </row>
    <row r="131" spans="1:33">
      <c r="A131" s="117"/>
      <c r="B131" s="118"/>
      <c r="C131" s="118"/>
      <c r="D131" s="118"/>
      <c r="E131" s="119"/>
      <c r="F131" s="118"/>
      <c r="G131" s="110"/>
      <c r="H131" s="143"/>
      <c r="I131" s="114">
        <v>0</v>
      </c>
      <c r="J131" s="115">
        <v>0</v>
      </c>
      <c r="K131" s="116">
        <v>0</v>
      </c>
      <c r="L131" s="116">
        <v>0</v>
      </c>
      <c r="M131" s="114">
        <v>0</v>
      </c>
      <c r="N131" s="113">
        <v>0</v>
      </c>
      <c r="O131" s="113">
        <v>0</v>
      </c>
      <c r="P131" s="146">
        <v>0</v>
      </c>
      <c r="Q131" s="116">
        <v>0</v>
      </c>
      <c r="R131" s="116">
        <v>0</v>
      </c>
      <c r="S131" s="114">
        <v>0</v>
      </c>
      <c r="T131" s="116">
        <v>0</v>
      </c>
      <c r="U131" s="116">
        <v>0</v>
      </c>
      <c r="V131" s="121">
        <f t="shared" si="26"/>
        <v>0</v>
      </c>
      <c r="W131" s="111"/>
      <c r="X131" s="111"/>
      <c r="Y131" s="111"/>
      <c r="Z131" s="111"/>
      <c r="AA131" s="111"/>
      <c r="AB131" s="111"/>
      <c r="AC131" s="111"/>
      <c r="AD131" s="111"/>
      <c r="AE131" s="139">
        <f t="shared" si="25"/>
        <v>0</v>
      </c>
      <c r="AF131" s="109"/>
      <c r="AG131" s="109"/>
    </row>
    <row r="132" spans="1:33">
      <c r="A132" s="117"/>
      <c r="B132" s="118"/>
      <c r="C132" s="118"/>
      <c r="D132" s="118"/>
      <c r="E132" s="119"/>
      <c r="F132" s="118"/>
      <c r="G132" s="110"/>
      <c r="H132" s="143"/>
      <c r="I132" s="114">
        <v>0</v>
      </c>
      <c r="J132" s="115">
        <v>0</v>
      </c>
      <c r="K132" s="116">
        <v>0</v>
      </c>
      <c r="L132" s="116">
        <v>0</v>
      </c>
      <c r="M132" s="114">
        <v>0</v>
      </c>
      <c r="N132" s="113">
        <v>0</v>
      </c>
      <c r="O132" s="113">
        <v>0</v>
      </c>
      <c r="P132" s="146">
        <v>0</v>
      </c>
      <c r="Q132" s="116">
        <v>0</v>
      </c>
      <c r="R132" s="116">
        <v>0</v>
      </c>
      <c r="S132" s="114">
        <v>0</v>
      </c>
      <c r="T132" s="116">
        <v>0</v>
      </c>
      <c r="U132" s="116">
        <v>0</v>
      </c>
      <c r="V132" s="121">
        <f t="shared" si="26"/>
        <v>0</v>
      </c>
      <c r="W132" s="111"/>
      <c r="X132" s="111"/>
      <c r="Y132" s="111"/>
      <c r="Z132" s="111"/>
      <c r="AA132" s="111"/>
      <c r="AB132" s="111"/>
      <c r="AC132" s="111"/>
      <c r="AD132" s="111"/>
      <c r="AE132" s="139">
        <f t="shared" si="25"/>
        <v>0</v>
      </c>
      <c r="AF132" s="109"/>
      <c r="AG132" s="109"/>
    </row>
    <row r="133" spans="1:33">
      <c r="A133" s="117"/>
      <c r="B133" s="118"/>
      <c r="C133" s="118"/>
      <c r="D133" s="118"/>
      <c r="E133" s="119"/>
      <c r="F133" s="118"/>
      <c r="G133" s="110"/>
      <c r="H133" s="143"/>
      <c r="I133" s="114">
        <v>0</v>
      </c>
      <c r="J133" s="115">
        <v>0</v>
      </c>
      <c r="K133" s="116">
        <v>0</v>
      </c>
      <c r="L133" s="116">
        <v>0</v>
      </c>
      <c r="M133" s="114">
        <v>0</v>
      </c>
      <c r="N133" s="113">
        <v>0</v>
      </c>
      <c r="O133" s="113">
        <v>0</v>
      </c>
      <c r="P133" s="146">
        <v>0</v>
      </c>
      <c r="Q133" s="116">
        <v>0</v>
      </c>
      <c r="R133" s="116">
        <v>0</v>
      </c>
      <c r="S133" s="114">
        <v>0</v>
      </c>
      <c r="T133" s="116">
        <v>0</v>
      </c>
      <c r="U133" s="116">
        <v>0</v>
      </c>
      <c r="V133" s="121">
        <f t="shared" si="26"/>
        <v>0</v>
      </c>
      <c r="W133" s="111"/>
      <c r="X133" s="111"/>
      <c r="Y133" s="111"/>
      <c r="Z133" s="111"/>
      <c r="AA133" s="111"/>
      <c r="AB133" s="111"/>
      <c r="AC133" s="111"/>
      <c r="AD133" s="111"/>
      <c r="AE133" s="139">
        <f t="shared" si="25"/>
        <v>0</v>
      </c>
      <c r="AF133" s="109"/>
      <c r="AG133" s="109"/>
    </row>
    <row r="134" spans="1:33">
      <c r="A134" s="117"/>
      <c r="B134" s="118"/>
      <c r="C134" s="118"/>
      <c r="D134" s="118"/>
      <c r="E134" s="119"/>
      <c r="F134" s="118"/>
      <c r="G134" s="110"/>
      <c r="H134" s="143"/>
      <c r="I134" s="114">
        <v>0</v>
      </c>
      <c r="J134" s="115">
        <v>0</v>
      </c>
      <c r="K134" s="116">
        <v>0</v>
      </c>
      <c r="L134" s="116">
        <v>0</v>
      </c>
      <c r="M134" s="114">
        <v>0</v>
      </c>
      <c r="N134" s="113">
        <v>0</v>
      </c>
      <c r="O134" s="113">
        <v>0</v>
      </c>
      <c r="P134" s="146">
        <v>0</v>
      </c>
      <c r="Q134" s="116">
        <v>0</v>
      </c>
      <c r="R134" s="116">
        <v>0</v>
      </c>
      <c r="S134" s="114">
        <v>0</v>
      </c>
      <c r="T134" s="116">
        <v>0</v>
      </c>
      <c r="U134" s="116">
        <v>0</v>
      </c>
      <c r="V134" s="121">
        <f t="shared" si="26"/>
        <v>0</v>
      </c>
      <c r="W134" s="111"/>
      <c r="X134" s="111"/>
      <c r="Y134" s="111"/>
      <c r="Z134" s="111"/>
      <c r="AA134" s="111"/>
      <c r="AB134" s="111"/>
      <c r="AC134" s="111"/>
      <c r="AD134" s="111"/>
      <c r="AE134" s="139">
        <f t="shared" si="25"/>
        <v>0</v>
      </c>
      <c r="AF134" s="109"/>
      <c r="AG134" s="109"/>
    </row>
    <row r="135" spans="1:33">
      <c r="A135" s="117"/>
      <c r="B135" s="118"/>
      <c r="C135" s="118"/>
      <c r="D135" s="118"/>
      <c r="E135" s="119"/>
      <c r="F135" s="118"/>
      <c r="G135" s="110"/>
      <c r="H135" s="143"/>
      <c r="I135" s="114">
        <v>0</v>
      </c>
      <c r="J135" s="115">
        <v>0</v>
      </c>
      <c r="K135" s="116">
        <v>0</v>
      </c>
      <c r="L135" s="116">
        <v>0</v>
      </c>
      <c r="M135" s="114">
        <v>0</v>
      </c>
      <c r="N135" s="113">
        <v>0</v>
      </c>
      <c r="O135" s="113">
        <v>0</v>
      </c>
      <c r="P135" s="146">
        <v>0</v>
      </c>
      <c r="Q135" s="116">
        <v>0</v>
      </c>
      <c r="R135" s="116">
        <v>0</v>
      </c>
      <c r="S135" s="114">
        <v>0</v>
      </c>
      <c r="T135" s="116">
        <v>0</v>
      </c>
      <c r="U135" s="116">
        <v>0</v>
      </c>
      <c r="V135" s="121">
        <f t="shared" si="26"/>
        <v>0</v>
      </c>
      <c r="W135" s="111"/>
      <c r="X135" s="111"/>
      <c r="Y135" s="111"/>
      <c r="Z135" s="111"/>
      <c r="AA135" s="111"/>
      <c r="AB135" s="111"/>
      <c r="AC135" s="111"/>
      <c r="AD135" s="111"/>
      <c r="AE135" s="139">
        <f t="shared" si="25"/>
        <v>0</v>
      </c>
      <c r="AF135" s="109"/>
      <c r="AG135" s="109"/>
    </row>
    <row r="136" spans="1:33">
      <c r="A136" s="117"/>
      <c r="B136" s="118"/>
      <c r="C136" s="118"/>
      <c r="D136" s="118"/>
      <c r="E136" s="119"/>
      <c r="F136" s="118"/>
      <c r="G136" s="110"/>
      <c r="H136" s="143"/>
      <c r="I136" s="114">
        <v>0</v>
      </c>
      <c r="J136" s="115">
        <v>0</v>
      </c>
      <c r="K136" s="116">
        <v>0</v>
      </c>
      <c r="L136" s="116">
        <v>0</v>
      </c>
      <c r="M136" s="114">
        <v>0</v>
      </c>
      <c r="N136" s="113">
        <v>0</v>
      </c>
      <c r="O136" s="113">
        <v>0</v>
      </c>
      <c r="P136" s="146">
        <v>0</v>
      </c>
      <c r="Q136" s="116">
        <v>0</v>
      </c>
      <c r="R136" s="116">
        <v>0</v>
      </c>
      <c r="S136" s="114">
        <v>0</v>
      </c>
      <c r="T136" s="116">
        <v>0</v>
      </c>
      <c r="U136" s="116">
        <v>0</v>
      </c>
      <c r="V136" s="121">
        <f t="shared" si="26"/>
        <v>0</v>
      </c>
      <c r="W136" s="111"/>
      <c r="X136" s="111"/>
      <c r="Y136" s="111"/>
      <c r="Z136" s="111"/>
      <c r="AA136" s="111"/>
      <c r="AB136" s="111"/>
      <c r="AC136" s="111"/>
      <c r="AD136" s="111"/>
      <c r="AE136" s="139">
        <f t="shared" si="25"/>
        <v>0</v>
      </c>
      <c r="AF136" s="109"/>
      <c r="AG136" s="109"/>
    </row>
    <row r="137" spans="1:33">
      <c r="A137" s="117"/>
      <c r="B137" s="118"/>
      <c r="C137" s="118"/>
      <c r="D137" s="118"/>
      <c r="E137" s="119"/>
      <c r="F137" s="118"/>
      <c r="G137" s="110"/>
      <c r="H137" s="143"/>
      <c r="I137" s="114">
        <v>0</v>
      </c>
      <c r="J137" s="115">
        <v>0</v>
      </c>
      <c r="K137" s="116">
        <v>0</v>
      </c>
      <c r="L137" s="116">
        <v>0</v>
      </c>
      <c r="M137" s="114">
        <v>0</v>
      </c>
      <c r="N137" s="113">
        <v>0</v>
      </c>
      <c r="O137" s="113">
        <v>0</v>
      </c>
      <c r="P137" s="146">
        <v>0</v>
      </c>
      <c r="Q137" s="116">
        <v>0</v>
      </c>
      <c r="R137" s="116">
        <v>0</v>
      </c>
      <c r="S137" s="114">
        <v>0</v>
      </c>
      <c r="T137" s="116">
        <v>0</v>
      </c>
      <c r="U137" s="116">
        <v>0</v>
      </c>
      <c r="V137" s="121">
        <f t="shared" si="26"/>
        <v>0</v>
      </c>
      <c r="W137" s="111"/>
      <c r="X137" s="111"/>
      <c r="Y137" s="111"/>
      <c r="Z137" s="111"/>
      <c r="AA137" s="111"/>
      <c r="AB137" s="111"/>
      <c r="AC137" s="111"/>
      <c r="AD137" s="111"/>
      <c r="AE137" s="139">
        <f t="shared" si="25"/>
        <v>0</v>
      </c>
      <c r="AF137" s="109"/>
      <c r="AG137" s="109"/>
    </row>
    <row r="138" spans="1:33">
      <c r="A138" s="117"/>
      <c r="B138" s="118"/>
      <c r="C138" s="118"/>
      <c r="D138" s="118"/>
      <c r="E138" s="119"/>
      <c r="F138" s="118"/>
      <c r="G138" s="110"/>
      <c r="H138" s="143"/>
      <c r="I138" s="114">
        <v>0</v>
      </c>
      <c r="J138" s="115">
        <v>0</v>
      </c>
      <c r="K138" s="116">
        <v>0</v>
      </c>
      <c r="L138" s="116">
        <v>0</v>
      </c>
      <c r="M138" s="114">
        <v>0</v>
      </c>
      <c r="N138" s="113">
        <v>0</v>
      </c>
      <c r="O138" s="113">
        <v>0</v>
      </c>
      <c r="P138" s="146">
        <v>0</v>
      </c>
      <c r="Q138" s="116">
        <v>0</v>
      </c>
      <c r="R138" s="116">
        <v>0</v>
      </c>
      <c r="S138" s="114">
        <v>0</v>
      </c>
      <c r="T138" s="116">
        <v>0</v>
      </c>
      <c r="U138" s="116">
        <v>0</v>
      </c>
      <c r="V138" s="121">
        <f t="shared" si="26"/>
        <v>0</v>
      </c>
      <c r="W138" s="111"/>
      <c r="X138" s="111"/>
      <c r="Y138" s="111"/>
      <c r="Z138" s="111"/>
      <c r="AA138" s="111"/>
      <c r="AB138" s="111"/>
      <c r="AC138" s="111"/>
      <c r="AD138" s="111"/>
      <c r="AE138" s="139">
        <f t="shared" si="25"/>
        <v>0</v>
      </c>
      <c r="AF138" s="109"/>
      <c r="AG138" s="109"/>
    </row>
    <row r="139" spans="1:33">
      <c r="A139" s="117"/>
      <c r="B139" s="118"/>
      <c r="C139" s="118"/>
      <c r="D139" s="118"/>
      <c r="E139" s="119"/>
      <c r="F139" s="118"/>
      <c r="G139" s="110"/>
      <c r="H139" s="143"/>
      <c r="I139" s="114">
        <v>0</v>
      </c>
      <c r="J139" s="115">
        <v>0</v>
      </c>
      <c r="K139" s="116">
        <v>0</v>
      </c>
      <c r="L139" s="116">
        <v>0</v>
      </c>
      <c r="M139" s="114">
        <v>0</v>
      </c>
      <c r="N139" s="113">
        <v>0</v>
      </c>
      <c r="O139" s="113">
        <v>0</v>
      </c>
      <c r="P139" s="146">
        <v>0</v>
      </c>
      <c r="Q139" s="116">
        <v>0</v>
      </c>
      <c r="R139" s="116">
        <v>0</v>
      </c>
      <c r="S139" s="114">
        <v>0</v>
      </c>
      <c r="T139" s="116">
        <v>0</v>
      </c>
      <c r="U139" s="116">
        <v>0</v>
      </c>
      <c r="V139" s="121">
        <f t="shared" si="26"/>
        <v>0</v>
      </c>
      <c r="W139" s="111"/>
      <c r="X139" s="111"/>
      <c r="Y139" s="111"/>
      <c r="Z139" s="111"/>
      <c r="AA139" s="111"/>
      <c r="AB139" s="111"/>
      <c r="AC139" s="111"/>
      <c r="AD139" s="111"/>
      <c r="AE139" s="139">
        <f t="shared" si="25"/>
        <v>0</v>
      </c>
      <c r="AF139" s="109"/>
      <c r="AG139" s="109"/>
    </row>
    <row r="140" spans="1:33">
      <c r="A140" s="117"/>
      <c r="B140" s="118"/>
      <c r="C140" s="118"/>
      <c r="D140" s="118"/>
      <c r="E140" s="119"/>
      <c r="F140" s="118"/>
      <c r="G140" s="110"/>
      <c r="H140" s="143"/>
      <c r="I140" s="114">
        <v>0</v>
      </c>
      <c r="J140" s="115">
        <v>0</v>
      </c>
      <c r="K140" s="116">
        <v>0</v>
      </c>
      <c r="L140" s="116">
        <v>0</v>
      </c>
      <c r="M140" s="114">
        <v>0</v>
      </c>
      <c r="N140" s="113">
        <v>0</v>
      </c>
      <c r="O140" s="113">
        <v>0</v>
      </c>
      <c r="P140" s="146">
        <v>0</v>
      </c>
      <c r="Q140" s="116">
        <v>0</v>
      </c>
      <c r="R140" s="116">
        <v>0</v>
      </c>
      <c r="S140" s="114">
        <v>0</v>
      </c>
      <c r="T140" s="116">
        <v>0</v>
      </c>
      <c r="U140" s="116">
        <v>0</v>
      </c>
      <c r="V140" s="121">
        <f t="shared" si="26"/>
        <v>0</v>
      </c>
      <c r="W140" s="111"/>
      <c r="X140" s="111"/>
      <c r="Y140" s="111"/>
      <c r="Z140" s="111"/>
      <c r="AA140" s="111"/>
      <c r="AB140" s="111"/>
      <c r="AC140" s="111"/>
      <c r="AD140" s="111"/>
      <c r="AE140" s="139">
        <f t="shared" si="25"/>
        <v>0</v>
      </c>
      <c r="AF140" s="109"/>
      <c r="AG140" s="109"/>
    </row>
    <row r="141" spans="1:33">
      <c r="A141" s="117"/>
      <c r="B141" s="118"/>
      <c r="C141" s="118"/>
      <c r="D141" s="118"/>
      <c r="E141" s="119"/>
      <c r="F141" s="118"/>
      <c r="G141" s="110"/>
      <c r="H141" s="143"/>
      <c r="I141" s="114">
        <v>0</v>
      </c>
      <c r="J141" s="115">
        <v>0</v>
      </c>
      <c r="K141" s="116">
        <v>0</v>
      </c>
      <c r="L141" s="116">
        <v>0</v>
      </c>
      <c r="M141" s="114">
        <v>0</v>
      </c>
      <c r="N141" s="113">
        <v>0</v>
      </c>
      <c r="O141" s="113">
        <v>0</v>
      </c>
      <c r="P141" s="146">
        <v>0</v>
      </c>
      <c r="Q141" s="116">
        <v>0</v>
      </c>
      <c r="R141" s="116">
        <v>0</v>
      </c>
      <c r="S141" s="114">
        <v>0</v>
      </c>
      <c r="T141" s="116">
        <v>0</v>
      </c>
      <c r="U141" s="116">
        <v>0</v>
      </c>
      <c r="V141" s="121">
        <f t="shared" si="26"/>
        <v>0</v>
      </c>
      <c r="W141" s="111"/>
      <c r="X141" s="111"/>
      <c r="Y141" s="111"/>
      <c r="Z141" s="111"/>
      <c r="AA141" s="111"/>
      <c r="AB141" s="111"/>
      <c r="AC141" s="111"/>
      <c r="AD141" s="111"/>
      <c r="AE141" s="139">
        <f t="shared" si="25"/>
        <v>0</v>
      </c>
      <c r="AF141" s="109"/>
      <c r="AG141" s="109"/>
    </row>
    <row r="142" spans="1:33">
      <c r="A142" s="117"/>
      <c r="B142" s="118"/>
      <c r="C142" s="118"/>
      <c r="D142" s="118"/>
      <c r="E142" s="119"/>
      <c r="F142" s="118"/>
      <c r="G142" s="110"/>
      <c r="H142" s="143"/>
      <c r="I142" s="114">
        <v>0</v>
      </c>
      <c r="J142" s="115">
        <v>0</v>
      </c>
      <c r="K142" s="116">
        <v>0</v>
      </c>
      <c r="L142" s="116">
        <v>0</v>
      </c>
      <c r="M142" s="114">
        <v>0</v>
      </c>
      <c r="N142" s="113">
        <v>0</v>
      </c>
      <c r="O142" s="113">
        <v>0</v>
      </c>
      <c r="P142" s="146">
        <v>0</v>
      </c>
      <c r="Q142" s="116">
        <v>0</v>
      </c>
      <c r="R142" s="116">
        <v>0</v>
      </c>
      <c r="S142" s="114">
        <v>0</v>
      </c>
      <c r="T142" s="116">
        <v>0</v>
      </c>
      <c r="U142" s="116">
        <v>0</v>
      </c>
      <c r="V142" s="121">
        <f t="shared" si="26"/>
        <v>0</v>
      </c>
      <c r="W142" s="111"/>
      <c r="X142" s="111"/>
      <c r="Y142" s="111"/>
      <c r="Z142" s="111"/>
      <c r="AA142" s="111"/>
      <c r="AB142" s="111"/>
      <c r="AC142" s="111"/>
      <c r="AD142" s="111"/>
      <c r="AE142" s="139">
        <f t="shared" si="25"/>
        <v>0</v>
      </c>
      <c r="AF142" s="109"/>
      <c r="AG142" s="109"/>
    </row>
    <row r="143" spans="1:33">
      <c r="A143" s="117"/>
      <c r="B143" s="118"/>
      <c r="C143" s="118"/>
      <c r="D143" s="118"/>
      <c r="E143" s="119"/>
      <c r="F143" s="118"/>
      <c r="G143" s="110"/>
      <c r="H143" s="143"/>
      <c r="I143" s="114">
        <v>0</v>
      </c>
      <c r="J143" s="115">
        <v>0</v>
      </c>
      <c r="K143" s="116">
        <v>0</v>
      </c>
      <c r="L143" s="116">
        <v>0</v>
      </c>
      <c r="M143" s="114">
        <v>0</v>
      </c>
      <c r="N143" s="113">
        <v>0</v>
      </c>
      <c r="O143" s="113">
        <v>0</v>
      </c>
      <c r="P143" s="146">
        <v>0</v>
      </c>
      <c r="Q143" s="116">
        <v>0</v>
      </c>
      <c r="R143" s="116">
        <v>0</v>
      </c>
      <c r="S143" s="114">
        <v>0</v>
      </c>
      <c r="T143" s="116">
        <v>0</v>
      </c>
      <c r="U143" s="116">
        <v>0</v>
      </c>
      <c r="V143" s="121">
        <f t="shared" si="26"/>
        <v>0</v>
      </c>
      <c r="W143" s="111"/>
      <c r="X143" s="111"/>
      <c r="Y143" s="111"/>
      <c r="Z143" s="111"/>
      <c r="AA143" s="111"/>
      <c r="AB143" s="111"/>
      <c r="AC143" s="111"/>
      <c r="AD143" s="111"/>
      <c r="AE143" s="139">
        <f t="shared" si="25"/>
        <v>0</v>
      </c>
      <c r="AF143" s="109"/>
      <c r="AG143" s="109"/>
    </row>
    <row r="144" spans="1:33">
      <c r="A144" s="117"/>
      <c r="B144" s="118"/>
      <c r="C144" s="118"/>
      <c r="D144" s="118"/>
      <c r="E144" s="119"/>
      <c r="F144" s="118"/>
      <c r="G144" s="110"/>
      <c r="H144" s="143"/>
      <c r="I144" s="114">
        <v>0</v>
      </c>
      <c r="J144" s="115">
        <v>0</v>
      </c>
      <c r="K144" s="116">
        <v>0</v>
      </c>
      <c r="L144" s="116">
        <v>0</v>
      </c>
      <c r="M144" s="114">
        <v>0</v>
      </c>
      <c r="N144" s="113">
        <v>0</v>
      </c>
      <c r="O144" s="113">
        <v>0</v>
      </c>
      <c r="P144" s="146">
        <v>0</v>
      </c>
      <c r="Q144" s="116">
        <v>0</v>
      </c>
      <c r="R144" s="116">
        <v>0</v>
      </c>
      <c r="S144" s="114">
        <v>0</v>
      </c>
      <c r="T144" s="116">
        <v>0</v>
      </c>
      <c r="U144" s="116">
        <v>0</v>
      </c>
      <c r="V144" s="121">
        <f t="shared" si="26"/>
        <v>0</v>
      </c>
      <c r="W144" s="111"/>
      <c r="X144" s="111"/>
      <c r="Y144" s="111"/>
      <c r="Z144" s="111"/>
      <c r="AA144" s="111"/>
      <c r="AB144" s="111"/>
      <c r="AC144" s="111"/>
      <c r="AD144" s="111"/>
      <c r="AE144" s="139">
        <f t="shared" si="25"/>
        <v>0</v>
      </c>
      <c r="AF144" s="109"/>
      <c r="AG144" s="109"/>
    </row>
    <row r="145" spans="1:33">
      <c r="A145" s="117"/>
      <c r="B145" s="118"/>
      <c r="C145" s="118"/>
      <c r="D145" s="118"/>
      <c r="E145" s="119"/>
      <c r="F145" s="118"/>
      <c r="G145" s="110"/>
      <c r="H145" s="143"/>
      <c r="I145" s="114">
        <v>0</v>
      </c>
      <c r="J145" s="115">
        <v>0</v>
      </c>
      <c r="K145" s="116">
        <v>0</v>
      </c>
      <c r="L145" s="116">
        <v>0</v>
      </c>
      <c r="M145" s="114">
        <v>0</v>
      </c>
      <c r="N145" s="113">
        <v>0</v>
      </c>
      <c r="O145" s="113">
        <v>0</v>
      </c>
      <c r="P145" s="146">
        <v>0</v>
      </c>
      <c r="Q145" s="116">
        <v>0</v>
      </c>
      <c r="R145" s="116">
        <v>0</v>
      </c>
      <c r="S145" s="114">
        <v>0</v>
      </c>
      <c r="T145" s="116">
        <v>0</v>
      </c>
      <c r="U145" s="116">
        <v>0</v>
      </c>
      <c r="V145" s="121">
        <f t="shared" si="26"/>
        <v>0</v>
      </c>
      <c r="W145" s="111"/>
      <c r="X145" s="111"/>
      <c r="Y145" s="111"/>
      <c r="Z145" s="111"/>
      <c r="AA145" s="111"/>
      <c r="AB145" s="111"/>
      <c r="AC145" s="111"/>
      <c r="AD145" s="111"/>
      <c r="AE145" s="139">
        <f t="shared" si="25"/>
        <v>0</v>
      </c>
      <c r="AF145" s="109"/>
      <c r="AG145" s="109"/>
    </row>
    <row r="146" spans="1:33">
      <c r="A146" s="117"/>
      <c r="B146" s="118"/>
      <c r="C146" s="118"/>
      <c r="D146" s="118"/>
      <c r="E146" s="119"/>
      <c r="F146" s="118"/>
      <c r="G146" s="110"/>
      <c r="H146" s="143"/>
      <c r="I146" s="114">
        <v>0</v>
      </c>
      <c r="J146" s="115">
        <v>0</v>
      </c>
      <c r="K146" s="116">
        <v>0</v>
      </c>
      <c r="L146" s="116">
        <v>0</v>
      </c>
      <c r="M146" s="114">
        <v>0</v>
      </c>
      <c r="N146" s="113">
        <v>0</v>
      </c>
      <c r="O146" s="113">
        <v>0</v>
      </c>
      <c r="P146" s="146">
        <v>0</v>
      </c>
      <c r="Q146" s="116">
        <v>0</v>
      </c>
      <c r="R146" s="116">
        <v>0</v>
      </c>
      <c r="S146" s="114">
        <v>0</v>
      </c>
      <c r="T146" s="116">
        <v>0</v>
      </c>
      <c r="U146" s="116">
        <v>0</v>
      </c>
      <c r="V146" s="121">
        <f t="shared" si="26"/>
        <v>0</v>
      </c>
      <c r="W146" s="111"/>
      <c r="X146" s="111"/>
      <c r="Y146" s="111"/>
      <c r="Z146" s="111"/>
      <c r="AA146" s="111"/>
      <c r="AB146" s="111"/>
      <c r="AC146" s="111"/>
      <c r="AD146" s="111"/>
      <c r="AE146" s="139">
        <f t="shared" si="25"/>
        <v>0</v>
      </c>
      <c r="AF146" s="109"/>
      <c r="AG146" s="109"/>
    </row>
    <row r="147" spans="1:33">
      <c r="A147" s="117"/>
      <c r="B147" s="118"/>
      <c r="C147" s="118"/>
      <c r="D147" s="118"/>
      <c r="E147" s="119"/>
      <c r="F147" s="118"/>
      <c r="G147" s="110"/>
      <c r="H147" s="143"/>
      <c r="I147" s="114">
        <v>0</v>
      </c>
      <c r="J147" s="115">
        <v>0</v>
      </c>
      <c r="K147" s="116">
        <v>0</v>
      </c>
      <c r="L147" s="116">
        <v>0</v>
      </c>
      <c r="M147" s="114">
        <v>0</v>
      </c>
      <c r="N147" s="113">
        <v>0</v>
      </c>
      <c r="O147" s="113">
        <v>0</v>
      </c>
      <c r="P147" s="146">
        <v>0</v>
      </c>
      <c r="Q147" s="116">
        <v>0</v>
      </c>
      <c r="R147" s="116">
        <v>0</v>
      </c>
      <c r="S147" s="114">
        <v>0</v>
      </c>
      <c r="T147" s="116">
        <v>0</v>
      </c>
      <c r="U147" s="116">
        <v>0</v>
      </c>
      <c r="V147" s="121">
        <f t="shared" si="26"/>
        <v>0</v>
      </c>
      <c r="W147" s="111"/>
      <c r="X147" s="111"/>
      <c r="Y147" s="111"/>
      <c r="Z147" s="111"/>
      <c r="AA147" s="111"/>
      <c r="AB147" s="111"/>
      <c r="AC147" s="111"/>
      <c r="AD147" s="111"/>
      <c r="AE147" s="139">
        <f t="shared" si="25"/>
        <v>0</v>
      </c>
      <c r="AF147" s="109"/>
      <c r="AG147" s="109"/>
    </row>
    <row r="148" spans="1:33">
      <c r="A148" s="117"/>
      <c r="B148" s="118"/>
      <c r="C148" s="118"/>
      <c r="D148" s="118"/>
      <c r="E148" s="119"/>
      <c r="F148" s="118"/>
      <c r="G148" s="110"/>
      <c r="H148" s="143"/>
      <c r="I148" s="114">
        <v>0</v>
      </c>
      <c r="J148" s="115">
        <v>0</v>
      </c>
      <c r="K148" s="116">
        <v>0</v>
      </c>
      <c r="L148" s="116">
        <v>0</v>
      </c>
      <c r="M148" s="114">
        <v>0</v>
      </c>
      <c r="N148" s="113">
        <v>0</v>
      </c>
      <c r="O148" s="113">
        <v>0</v>
      </c>
      <c r="P148" s="146">
        <v>0</v>
      </c>
      <c r="Q148" s="116">
        <v>0</v>
      </c>
      <c r="R148" s="116">
        <v>0</v>
      </c>
      <c r="S148" s="114">
        <v>0</v>
      </c>
      <c r="T148" s="116">
        <v>0</v>
      </c>
      <c r="U148" s="116">
        <v>0</v>
      </c>
      <c r="V148" s="121">
        <f t="shared" si="26"/>
        <v>0</v>
      </c>
      <c r="W148" s="111"/>
      <c r="X148" s="111"/>
      <c r="Y148" s="111"/>
      <c r="Z148" s="111"/>
      <c r="AA148" s="111"/>
      <c r="AB148" s="111"/>
      <c r="AC148" s="111"/>
      <c r="AD148" s="111"/>
      <c r="AE148" s="139">
        <f t="shared" si="25"/>
        <v>0</v>
      </c>
      <c r="AF148" s="109"/>
      <c r="AG148" s="109"/>
    </row>
    <row r="149" spans="1:33">
      <c r="A149" s="117"/>
      <c r="B149" s="118"/>
      <c r="C149" s="118"/>
      <c r="D149" s="118"/>
      <c r="E149" s="119"/>
      <c r="F149" s="118"/>
      <c r="G149" s="110"/>
      <c r="H149" s="143"/>
      <c r="I149" s="114">
        <v>0</v>
      </c>
      <c r="J149" s="115">
        <v>0</v>
      </c>
      <c r="K149" s="116">
        <v>0</v>
      </c>
      <c r="L149" s="116">
        <v>0</v>
      </c>
      <c r="M149" s="114">
        <v>0</v>
      </c>
      <c r="N149" s="113">
        <v>0</v>
      </c>
      <c r="O149" s="113">
        <v>0</v>
      </c>
      <c r="P149" s="146">
        <v>0</v>
      </c>
      <c r="Q149" s="116">
        <v>0</v>
      </c>
      <c r="R149" s="116">
        <v>0</v>
      </c>
      <c r="S149" s="114">
        <v>0</v>
      </c>
      <c r="T149" s="116">
        <v>0</v>
      </c>
      <c r="U149" s="116">
        <v>0</v>
      </c>
      <c r="V149" s="121">
        <f t="shared" si="26"/>
        <v>0</v>
      </c>
      <c r="W149" s="111"/>
      <c r="X149" s="111"/>
      <c r="Y149" s="111"/>
      <c r="Z149" s="111"/>
      <c r="AA149" s="111"/>
      <c r="AB149" s="111"/>
      <c r="AC149" s="111"/>
      <c r="AD149" s="111"/>
      <c r="AE149" s="139">
        <f t="shared" si="25"/>
        <v>0</v>
      </c>
      <c r="AF149" s="109"/>
      <c r="AG149" s="109"/>
    </row>
    <row r="150" spans="1:33">
      <c r="A150" s="117"/>
      <c r="B150" s="118"/>
      <c r="C150" s="118"/>
      <c r="D150" s="118"/>
      <c r="E150" s="119"/>
      <c r="F150" s="118"/>
      <c r="G150" s="110"/>
      <c r="H150" s="143"/>
      <c r="I150" s="114">
        <v>0</v>
      </c>
      <c r="J150" s="115">
        <v>0</v>
      </c>
      <c r="K150" s="116">
        <v>0</v>
      </c>
      <c r="L150" s="116">
        <v>0</v>
      </c>
      <c r="M150" s="114">
        <v>0</v>
      </c>
      <c r="N150" s="113">
        <v>0</v>
      </c>
      <c r="O150" s="113">
        <v>0</v>
      </c>
      <c r="P150" s="146">
        <v>0</v>
      </c>
      <c r="Q150" s="116">
        <v>0</v>
      </c>
      <c r="R150" s="116">
        <v>0</v>
      </c>
      <c r="S150" s="114">
        <v>0</v>
      </c>
      <c r="T150" s="116">
        <v>0</v>
      </c>
      <c r="U150" s="116">
        <v>0</v>
      </c>
      <c r="V150" s="121">
        <f t="shared" si="26"/>
        <v>0</v>
      </c>
      <c r="W150" s="111"/>
      <c r="X150" s="111"/>
      <c r="Y150" s="111"/>
      <c r="Z150" s="111"/>
      <c r="AA150" s="111"/>
      <c r="AB150" s="111"/>
      <c r="AC150" s="111"/>
      <c r="AD150" s="111"/>
      <c r="AE150" s="139">
        <f t="shared" si="25"/>
        <v>0</v>
      </c>
      <c r="AF150" s="109"/>
      <c r="AG150" s="109"/>
    </row>
    <row r="151" spans="1:33">
      <c r="A151" s="117"/>
      <c r="B151" s="118"/>
      <c r="C151" s="118"/>
      <c r="D151" s="118"/>
      <c r="E151" s="119"/>
      <c r="F151" s="118"/>
      <c r="G151" s="110"/>
      <c r="H151" s="143"/>
      <c r="I151" s="114">
        <v>0</v>
      </c>
      <c r="J151" s="115">
        <v>0</v>
      </c>
      <c r="K151" s="116">
        <v>0</v>
      </c>
      <c r="L151" s="116">
        <v>0</v>
      </c>
      <c r="M151" s="114">
        <v>0</v>
      </c>
      <c r="N151" s="113">
        <v>0</v>
      </c>
      <c r="O151" s="113">
        <v>0</v>
      </c>
      <c r="P151" s="146">
        <v>0</v>
      </c>
      <c r="Q151" s="116">
        <v>0</v>
      </c>
      <c r="R151" s="116">
        <v>0</v>
      </c>
      <c r="S151" s="114">
        <v>0</v>
      </c>
      <c r="T151" s="116">
        <v>0</v>
      </c>
      <c r="U151" s="116">
        <v>0</v>
      </c>
      <c r="V151" s="121">
        <f t="shared" si="26"/>
        <v>0</v>
      </c>
      <c r="W151" s="111"/>
      <c r="X151" s="111"/>
      <c r="Y151" s="111"/>
      <c r="Z151" s="111"/>
      <c r="AA151" s="111"/>
      <c r="AB151" s="111"/>
      <c r="AC151" s="111"/>
      <c r="AD151" s="111"/>
      <c r="AE151" s="139">
        <f t="shared" si="25"/>
        <v>0</v>
      </c>
      <c r="AF151" s="109"/>
      <c r="AG151" s="109"/>
    </row>
    <row r="152" spans="1:33">
      <c r="A152" s="117"/>
      <c r="B152" s="118"/>
      <c r="C152" s="118"/>
      <c r="D152" s="118"/>
      <c r="E152" s="119"/>
      <c r="F152" s="118"/>
      <c r="G152" s="110"/>
      <c r="H152" s="143"/>
      <c r="I152" s="114">
        <v>0</v>
      </c>
      <c r="J152" s="115">
        <v>0</v>
      </c>
      <c r="K152" s="116">
        <v>0</v>
      </c>
      <c r="L152" s="116">
        <v>0</v>
      </c>
      <c r="M152" s="114">
        <v>0</v>
      </c>
      <c r="N152" s="113">
        <v>0</v>
      </c>
      <c r="O152" s="113">
        <v>0</v>
      </c>
      <c r="P152" s="146">
        <v>0</v>
      </c>
      <c r="Q152" s="116">
        <v>0</v>
      </c>
      <c r="R152" s="116">
        <v>0</v>
      </c>
      <c r="S152" s="114">
        <v>0</v>
      </c>
      <c r="T152" s="116">
        <v>0</v>
      </c>
      <c r="U152" s="116">
        <v>0</v>
      </c>
      <c r="V152" s="121">
        <f t="shared" si="26"/>
        <v>0</v>
      </c>
      <c r="W152" s="111"/>
      <c r="X152" s="111"/>
      <c r="Y152" s="111"/>
      <c r="Z152" s="111"/>
      <c r="AA152" s="111"/>
      <c r="AB152" s="111"/>
      <c r="AC152" s="111"/>
      <c r="AD152" s="111"/>
      <c r="AE152" s="139">
        <f t="shared" si="25"/>
        <v>0</v>
      </c>
      <c r="AF152" s="109"/>
      <c r="AG152" s="109"/>
    </row>
    <row r="153" spans="1:33">
      <c r="A153" s="117"/>
      <c r="B153" s="118"/>
      <c r="C153" s="118"/>
      <c r="D153" s="118"/>
      <c r="E153" s="119"/>
      <c r="F153" s="118"/>
      <c r="G153" s="110"/>
      <c r="H153" s="143"/>
      <c r="I153" s="114">
        <v>0</v>
      </c>
      <c r="J153" s="115">
        <v>0</v>
      </c>
      <c r="K153" s="116">
        <v>0</v>
      </c>
      <c r="L153" s="116">
        <v>0</v>
      </c>
      <c r="M153" s="114">
        <v>0</v>
      </c>
      <c r="N153" s="113">
        <v>0</v>
      </c>
      <c r="O153" s="113">
        <v>0</v>
      </c>
      <c r="P153" s="146">
        <v>0</v>
      </c>
      <c r="Q153" s="116">
        <v>0</v>
      </c>
      <c r="R153" s="116">
        <v>0</v>
      </c>
      <c r="S153" s="114">
        <v>0</v>
      </c>
      <c r="T153" s="116">
        <v>0</v>
      </c>
      <c r="U153" s="116">
        <v>0</v>
      </c>
      <c r="V153" s="121">
        <f t="shared" si="26"/>
        <v>0</v>
      </c>
      <c r="W153" s="111"/>
      <c r="X153" s="111"/>
      <c r="Y153" s="111"/>
      <c r="Z153" s="111"/>
      <c r="AA153" s="111"/>
      <c r="AB153" s="111"/>
      <c r="AC153" s="111"/>
      <c r="AD153" s="111"/>
      <c r="AE153" s="139">
        <f t="shared" si="25"/>
        <v>0</v>
      </c>
      <c r="AF153" s="109"/>
      <c r="AG153" s="109"/>
    </row>
    <row r="154" spans="1:33">
      <c r="A154" s="117"/>
      <c r="B154" s="118"/>
      <c r="C154" s="118"/>
      <c r="D154" s="118"/>
      <c r="E154" s="119"/>
      <c r="F154" s="118"/>
      <c r="G154" s="110"/>
      <c r="H154" s="143"/>
      <c r="I154" s="114">
        <v>0</v>
      </c>
      <c r="J154" s="115">
        <v>0</v>
      </c>
      <c r="K154" s="116">
        <v>0</v>
      </c>
      <c r="L154" s="116">
        <v>0</v>
      </c>
      <c r="M154" s="114">
        <v>0</v>
      </c>
      <c r="N154" s="113">
        <v>0</v>
      </c>
      <c r="O154" s="113">
        <v>0</v>
      </c>
      <c r="P154" s="146">
        <v>0</v>
      </c>
      <c r="Q154" s="116">
        <v>0</v>
      </c>
      <c r="R154" s="116">
        <v>0</v>
      </c>
      <c r="S154" s="114">
        <v>0</v>
      </c>
      <c r="T154" s="116">
        <v>0</v>
      </c>
      <c r="U154" s="116">
        <v>0</v>
      </c>
      <c r="V154" s="121">
        <f t="shared" si="26"/>
        <v>0</v>
      </c>
      <c r="W154" s="111"/>
      <c r="X154" s="111"/>
      <c r="Y154" s="111"/>
      <c r="Z154" s="111"/>
      <c r="AA154" s="111"/>
      <c r="AB154" s="111"/>
      <c r="AC154" s="111"/>
      <c r="AD154" s="111"/>
      <c r="AE154" s="139">
        <f t="shared" si="25"/>
        <v>0</v>
      </c>
      <c r="AF154" s="109"/>
      <c r="AG154" s="109"/>
    </row>
    <row r="155" spans="1:33">
      <c r="A155" s="117"/>
      <c r="B155" s="118"/>
      <c r="C155" s="118"/>
      <c r="D155" s="118"/>
      <c r="E155" s="119"/>
      <c r="F155" s="118"/>
      <c r="G155" s="110"/>
      <c r="H155" s="143"/>
      <c r="I155" s="114">
        <v>0</v>
      </c>
      <c r="J155" s="115">
        <v>0</v>
      </c>
      <c r="K155" s="116">
        <v>0</v>
      </c>
      <c r="L155" s="116">
        <v>0</v>
      </c>
      <c r="M155" s="114">
        <v>0</v>
      </c>
      <c r="N155" s="113">
        <v>0</v>
      </c>
      <c r="O155" s="113">
        <v>0</v>
      </c>
      <c r="P155" s="146">
        <v>0</v>
      </c>
      <c r="Q155" s="116">
        <v>0</v>
      </c>
      <c r="R155" s="116">
        <v>0</v>
      </c>
      <c r="S155" s="114">
        <v>0</v>
      </c>
      <c r="T155" s="116">
        <v>0</v>
      </c>
      <c r="U155" s="116">
        <v>0</v>
      </c>
      <c r="V155" s="121">
        <f t="shared" si="26"/>
        <v>0</v>
      </c>
      <c r="W155" s="111"/>
      <c r="X155" s="111"/>
      <c r="Y155" s="111"/>
      <c r="Z155" s="111"/>
      <c r="AA155" s="111"/>
      <c r="AB155" s="111"/>
      <c r="AC155" s="111"/>
      <c r="AD155" s="111"/>
      <c r="AE155" s="139">
        <f t="shared" si="25"/>
        <v>0</v>
      </c>
      <c r="AF155" s="109"/>
      <c r="AG155" s="109"/>
    </row>
    <row r="156" spans="1:33">
      <c r="A156" s="117"/>
      <c r="B156" s="118"/>
      <c r="C156" s="118"/>
      <c r="D156" s="118"/>
      <c r="E156" s="119"/>
      <c r="F156" s="118"/>
      <c r="G156" s="110"/>
      <c r="H156" s="143"/>
      <c r="I156" s="114">
        <v>0</v>
      </c>
      <c r="J156" s="115">
        <v>0</v>
      </c>
      <c r="K156" s="116">
        <v>0</v>
      </c>
      <c r="L156" s="116">
        <v>0</v>
      </c>
      <c r="M156" s="114">
        <v>0</v>
      </c>
      <c r="N156" s="113">
        <v>0</v>
      </c>
      <c r="O156" s="113">
        <v>0</v>
      </c>
      <c r="P156" s="146">
        <v>0</v>
      </c>
      <c r="Q156" s="116">
        <v>0</v>
      </c>
      <c r="R156" s="116">
        <v>0</v>
      </c>
      <c r="S156" s="114">
        <v>0</v>
      </c>
      <c r="T156" s="116">
        <v>0</v>
      </c>
      <c r="U156" s="116">
        <v>0</v>
      </c>
      <c r="V156" s="121">
        <f t="shared" si="26"/>
        <v>0</v>
      </c>
      <c r="W156" s="111"/>
      <c r="X156" s="111"/>
      <c r="Y156" s="111"/>
      <c r="Z156" s="111"/>
      <c r="AA156" s="111"/>
      <c r="AB156" s="111"/>
      <c r="AC156" s="111"/>
      <c r="AD156" s="111"/>
      <c r="AE156" s="139">
        <f t="shared" si="25"/>
        <v>0</v>
      </c>
      <c r="AF156" s="109"/>
      <c r="AG156" s="109"/>
    </row>
    <row r="157" spans="1:33">
      <c r="A157" s="117"/>
      <c r="B157" s="118"/>
      <c r="C157" s="118"/>
      <c r="D157" s="118"/>
      <c r="E157" s="119"/>
      <c r="F157" s="118"/>
      <c r="G157" s="110"/>
      <c r="H157" s="143"/>
      <c r="I157" s="114">
        <v>0</v>
      </c>
      <c r="J157" s="115">
        <v>0</v>
      </c>
      <c r="K157" s="116">
        <v>0</v>
      </c>
      <c r="L157" s="116">
        <v>0</v>
      </c>
      <c r="M157" s="114">
        <v>0</v>
      </c>
      <c r="N157" s="113">
        <v>0</v>
      </c>
      <c r="O157" s="113">
        <v>0</v>
      </c>
      <c r="P157" s="146">
        <v>0</v>
      </c>
      <c r="Q157" s="116">
        <v>0</v>
      </c>
      <c r="R157" s="116">
        <v>0</v>
      </c>
      <c r="S157" s="114">
        <v>0</v>
      </c>
      <c r="T157" s="116">
        <v>0</v>
      </c>
      <c r="U157" s="116">
        <v>0</v>
      </c>
      <c r="V157" s="121">
        <f t="shared" si="26"/>
        <v>0</v>
      </c>
      <c r="W157" s="111"/>
      <c r="X157" s="111"/>
      <c r="Y157" s="111"/>
      <c r="Z157" s="111"/>
      <c r="AA157" s="111"/>
      <c r="AB157" s="111"/>
      <c r="AC157" s="111"/>
      <c r="AD157" s="111"/>
      <c r="AE157" s="139">
        <f t="shared" si="25"/>
        <v>0</v>
      </c>
      <c r="AF157" s="109"/>
      <c r="AG157" s="109"/>
    </row>
    <row r="158" spans="1:33">
      <c r="A158" s="117"/>
      <c r="B158" s="118"/>
      <c r="C158" s="118"/>
      <c r="D158" s="118"/>
      <c r="E158" s="119"/>
      <c r="F158" s="118"/>
      <c r="G158" s="110"/>
      <c r="H158" s="143"/>
      <c r="I158" s="114">
        <v>0</v>
      </c>
      <c r="J158" s="115">
        <v>0</v>
      </c>
      <c r="K158" s="116">
        <v>0</v>
      </c>
      <c r="L158" s="116">
        <v>0</v>
      </c>
      <c r="M158" s="114">
        <v>0</v>
      </c>
      <c r="N158" s="113">
        <v>0</v>
      </c>
      <c r="O158" s="113">
        <v>0</v>
      </c>
      <c r="P158" s="146">
        <v>0</v>
      </c>
      <c r="Q158" s="116">
        <v>0</v>
      </c>
      <c r="R158" s="116">
        <v>0</v>
      </c>
      <c r="S158" s="114">
        <v>0</v>
      </c>
      <c r="T158" s="116">
        <v>0</v>
      </c>
      <c r="U158" s="116">
        <v>0</v>
      </c>
      <c r="V158" s="121">
        <f t="shared" si="26"/>
        <v>0</v>
      </c>
      <c r="W158" s="111"/>
      <c r="X158" s="111"/>
      <c r="Y158" s="111"/>
      <c r="Z158" s="111"/>
      <c r="AA158" s="111"/>
      <c r="AB158" s="111"/>
      <c r="AC158" s="111"/>
      <c r="AD158" s="111"/>
      <c r="AE158" s="139">
        <f t="shared" si="25"/>
        <v>0</v>
      </c>
      <c r="AF158" s="109"/>
      <c r="AG158" s="109"/>
    </row>
    <row r="159" spans="1:33">
      <c r="A159" s="117"/>
      <c r="B159" s="118"/>
      <c r="C159" s="118"/>
      <c r="D159" s="118"/>
      <c r="E159" s="119"/>
      <c r="F159" s="118"/>
      <c r="G159" s="110"/>
      <c r="H159" s="143"/>
      <c r="I159" s="114">
        <v>0</v>
      </c>
      <c r="J159" s="115">
        <v>0</v>
      </c>
      <c r="K159" s="116">
        <v>0</v>
      </c>
      <c r="L159" s="116">
        <v>0</v>
      </c>
      <c r="M159" s="114">
        <v>0</v>
      </c>
      <c r="N159" s="113">
        <v>0</v>
      </c>
      <c r="O159" s="113">
        <v>0</v>
      </c>
      <c r="P159" s="146">
        <v>0</v>
      </c>
      <c r="Q159" s="116">
        <v>0</v>
      </c>
      <c r="R159" s="116">
        <v>0</v>
      </c>
      <c r="S159" s="114">
        <v>0</v>
      </c>
      <c r="T159" s="116">
        <v>0</v>
      </c>
      <c r="U159" s="116">
        <v>0</v>
      </c>
      <c r="V159" s="121">
        <f t="shared" si="26"/>
        <v>0</v>
      </c>
      <c r="W159" s="111"/>
      <c r="X159" s="111"/>
      <c r="Y159" s="111"/>
      <c r="Z159" s="111"/>
      <c r="AA159" s="111"/>
      <c r="AB159" s="111"/>
      <c r="AC159" s="111"/>
      <c r="AD159" s="111"/>
      <c r="AE159" s="139">
        <f t="shared" si="25"/>
        <v>0</v>
      </c>
      <c r="AF159" s="109"/>
      <c r="AG159" s="109"/>
    </row>
    <row r="160" spans="1:33">
      <c r="A160" s="117"/>
      <c r="B160" s="118"/>
      <c r="C160" s="118"/>
      <c r="D160" s="118"/>
      <c r="E160" s="119"/>
      <c r="F160" s="118"/>
      <c r="G160" s="110"/>
      <c r="H160" s="143"/>
      <c r="I160" s="114">
        <v>0</v>
      </c>
      <c r="J160" s="115">
        <v>0</v>
      </c>
      <c r="K160" s="116">
        <v>0</v>
      </c>
      <c r="L160" s="116">
        <v>0</v>
      </c>
      <c r="M160" s="114">
        <v>0</v>
      </c>
      <c r="N160" s="113">
        <v>0</v>
      </c>
      <c r="O160" s="113">
        <v>0</v>
      </c>
      <c r="P160" s="146">
        <v>0</v>
      </c>
      <c r="Q160" s="116">
        <v>0</v>
      </c>
      <c r="R160" s="116">
        <v>0</v>
      </c>
      <c r="S160" s="114">
        <v>0</v>
      </c>
      <c r="T160" s="116">
        <v>0</v>
      </c>
      <c r="U160" s="116">
        <v>0</v>
      </c>
      <c r="V160" s="121">
        <f t="shared" si="26"/>
        <v>0</v>
      </c>
      <c r="W160" s="111"/>
      <c r="X160" s="111"/>
      <c r="Y160" s="111"/>
      <c r="Z160" s="111"/>
      <c r="AA160" s="111"/>
      <c r="AB160" s="111"/>
      <c r="AC160" s="111"/>
      <c r="AD160" s="111"/>
      <c r="AE160" s="139">
        <f t="shared" si="25"/>
        <v>0</v>
      </c>
      <c r="AF160" s="109"/>
      <c r="AG160" s="109"/>
    </row>
    <row r="161" spans="1:33">
      <c r="A161" s="117"/>
      <c r="B161" s="118"/>
      <c r="C161" s="118"/>
      <c r="D161" s="118"/>
      <c r="E161" s="119"/>
      <c r="F161" s="118"/>
      <c r="G161" s="110"/>
      <c r="H161" s="143"/>
      <c r="I161" s="114">
        <v>0</v>
      </c>
      <c r="J161" s="115">
        <v>0</v>
      </c>
      <c r="K161" s="116">
        <v>0</v>
      </c>
      <c r="L161" s="116">
        <v>0</v>
      </c>
      <c r="M161" s="114">
        <v>0</v>
      </c>
      <c r="N161" s="113">
        <v>0</v>
      </c>
      <c r="O161" s="113">
        <v>0</v>
      </c>
      <c r="P161" s="146">
        <v>0</v>
      </c>
      <c r="Q161" s="116">
        <v>0</v>
      </c>
      <c r="R161" s="116">
        <v>0</v>
      </c>
      <c r="S161" s="114">
        <v>0</v>
      </c>
      <c r="T161" s="116">
        <v>0</v>
      </c>
      <c r="U161" s="116">
        <v>0</v>
      </c>
      <c r="V161" s="121">
        <f t="shared" si="26"/>
        <v>0</v>
      </c>
      <c r="W161" s="111"/>
      <c r="X161" s="111"/>
      <c r="Y161" s="111"/>
      <c r="Z161" s="111"/>
      <c r="AA161" s="111"/>
      <c r="AB161" s="111"/>
      <c r="AC161" s="111"/>
      <c r="AD161" s="111"/>
      <c r="AE161" s="139">
        <f t="shared" si="25"/>
        <v>0</v>
      </c>
      <c r="AF161" s="109"/>
      <c r="AG161" s="109"/>
    </row>
    <row r="162" spans="1:33">
      <c r="A162" s="117"/>
      <c r="B162" s="118"/>
      <c r="C162" s="118"/>
      <c r="D162" s="118"/>
      <c r="E162" s="119"/>
      <c r="F162" s="118"/>
      <c r="G162" s="110"/>
      <c r="H162" s="143"/>
      <c r="I162" s="114">
        <v>0</v>
      </c>
      <c r="J162" s="115">
        <v>0</v>
      </c>
      <c r="K162" s="116">
        <v>0</v>
      </c>
      <c r="L162" s="116">
        <v>0</v>
      </c>
      <c r="M162" s="114">
        <v>0</v>
      </c>
      <c r="N162" s="113">
        <v>0</v>
      </c>
      <c r="O162" s="113">
        <v>0</v>
      </c>
      <c r="P162" s="146">
        <v>0</v>
      </c>
      <c r="Q162" s="116">
        <v>0</v>
      </c>
      <c r="R162" s="116">
        <v>0</v>
      </c>
      <c r="S162" s="114">
        <v>0</v>
      </c>
      <c r="T162" s="116">
        <v>0</v>
      </c>
      <c r="U162" s="116">
        <v>0</v>
      </c>
      <c r="V162" s="121">
        <f t="shared" si="26"/>
        <v>0</v>
      </c>
      <c r="W162" s="111"/>
      <c r="X162" s="111"/>
      <c r="Y162" s="111"/>
      <c r="Z162" s="111"/>
      <c r="AA162" s="111"/>
      <c r="AB162" s="111"/>
      <c r="AC162" s="111"/>
      <c r="AD162" s="111"/>
      <c r="AE162" s="139">
        <f t="shared" si="25"/>
        <v>0</v>
      </c>
      <c r="AF162" s="109"/>
      <c r="AG162" s="109"/>
    </row>
    <row r="163" spans="1:33">
      <c r="A163" s="117"/>
      <c r="B163" s="118"/>
      <c r="C163" s="118"/>
      <c r="D163" s="118"/>
      <c r="E163" s="119"/>
      <c r="F163" s="118"/>
      <c r="G163" s="110"/>
      <c r="H163" s="143"/>
      <c r="I163" s="114">
        <v>0</v>
      </c>
      <c r="J163" s="115">
        <v>0</v>
      </c>
      <c r="K163" s="116">
        <v>0</v>
      </c>
      <c r="L163" s="116">
        <v>0</v>
      </c>
      <c r="M163" s="114">
        <v>0</v>
      </c>
      <c r="N163" s="113">
        <v>0</v>
      </c>
      <c r="O163" s="113">
        <v>0</v>
      </c>
      <c r="P163" s="146">
        <v>0</v>
      </c>
      <c r="Q163" s="116">
        <v>0</v>
      </c>
      <c r="R163" s="116">
        <v>0</v>
      </c>
      <c r="S163" s="114">
        <v>0</v>
      </c>
      <c r="T163" s="116">
        <v>0</v>
      </c>
      <c r="U163" s="116">
        <v>0</v>
      </c>
      <c r="V163" s="121">
        <f t="shared" si="26"/>
        <v>0</v>
      </c>
      <c r="W163" s="111"/>
      <c r="X163" s="111"/>
      <c r="Y163" s="111"/>
      <c r="Z163" s="111"/>
      <c r="AA163" s="111"/>
      <c r="AB163" s="111"/>
      <c r="AC163" s="111"/>
      <c r="AD163" s="111"/>
      <c r="AE163" s="139">
        <f t="shared" si="25"/>
        <v>0</v>
      </c>
      <c r="AF163" s="109"/>
      <c r="AG163" s="109"/>
    </row>
    <row r="164" spans="1:33">
      <c r="A164" s="117"/>
      <c r="B164" s="118"/>
      <c r="C164" s="118"/>
      <c r="D164" s="118"/>
      <c r="E164" s="119"/>
      <c r="F164" s="118"/>
      <c r="G164" s="110"/>
      <c r="H164" s="143"/>
      <c r="I164" s="114">
        <v>0</v>
      </c>
      <c r="J164" s="115">
        <v>0</v>
      </c>
      <c r="K164" s="116">
        <v>0</v>
      </c>
      <c r="L164" s="116">
        <v>0</v>
      </c>
      <c r="M164" s="114">
        <v>0</v>
      </c>
      <c r="N164" s="113">
        <v>0</v>
      </c>
      <c r="O164" s="113">
        <v>0</v>
      </c>
      <c r="P164" s="146">
        <v>0</v>
      </c>
      <c r="Q164" s="116">
        <v>0</v>
      </c>
      <c r="R164" s="116">
        <v>0</v>
      </c>
      <c r="S164" s="114">
        <v>0</v>
      </c>
      <c r="T164" s="116">
        <v>0</v>
      </c>
      <c r="U164" s="116">
        <v>0</v>
      </c>
      <c r="V164" s="121">
        <f t="shared" si="26"/>
        <v>0</v>
      </c>
      <c r="W164" s="111"/>
      <c r="X164" s="111"/>
      <c r="Y164" s="111"/>
      <c r="Z164" s="111"/>
      <c r="AA164" s="111"/>
      <c r="AB164" s="111"/>
      <c r="AC164" s="111"/>
      <c r="AD164" s="111"/>
      <c r="AE164" s="139">
        <f t="shared" si="25"/>
        <v>0</v>
      </c>
      <c r="AF164" s="109"/>
      <c r="AG164" s="109"/>
    </row>
    <row r="165" spans="1:33">
      <c r="A165" s="117"/>
      <c r="B165" s="118"/>
      <c r="C165" s="118"/>
      <c r="D165" s="118"/>
      <c r="E165" s="119"/>
      <c r="F165" s="118"/>
      <c r="G165" s="110"/>
      <c r="H165" s="143"/>
      <c r="I165" s="114">
        <v>0</v>
      </c>
      <c r="J165" s="115">
        <v>0</v>
      </c>
      <c r="K165" s="116">
        <v>0</v>
      </c>
      <c r="L165" s="116">
        <v>0</v>
      </c>
      <c r="M165" s="114">
        <v>0</v>
      </c>
      <c r="N165" s="113">
        <v>0</v>
      </c>
      <c r="O165" s="113">
        <v>0</v>
      </c>
      <c r="P165" s="146">
        <v>0</v>
      </c>
      <c r="Q165" s="116">
        <v>0</v>
      </c>
      <c r="R165" s="116">
        <v>0</v>
      </c>
      <c r="S165" s="114">
        <v>0</v>
      </c>
      <c r="T165" s="116">
        <v>0</v>
      </c>
      <c r="U165" s="116">
        <v>0</v>
      </c>
      <c r="V165" s="121">
        <f t="shared" si="26"/>
        <v>0</v>
      </c>
      <c r="W165" s="111"/>
      <c r="X165" s="111"/>
      <c r="Y165" s="111"/>
      <c r="Z165" s="111"/>
      <c r="AA165" s="111"/>
      <c r="AB165" s="111"/>
      <c r="AC165" s="111"/>
      <c r="AD165" s="111"/>
      <c r="AE165" s="139">
        <f t="shared" si="25"/>
        <v>0</v>
      </c>
      <c r="AF165" s="109"/>
      <c r="AG165" s="109"/>
    </row>
    <row r="166" spans="1:33">
      <c r="A166" s="117"/>
      <c r="B166" s="118"/>
      <c r="C166" s="118"/>
      <c r="D166" s="118"/>
      <c r="E166" s="119"/>
      <c r="F166" s="118"/>
      <c r="G166" s="110"/>
      <c r="H166" s="143"/>
      <c r="I166" s="114">
        <v>0</v>
      </c>
      <c r="J166" s="115">
        <v>0</v>
      </c>
      <c r="K166" s="116">
        <v>0</v>
      </c>
      <c r="L166" s="116">
        <v>0</v>
      </c>
      <c r="M166" s="114">
        <v>0</v>
      </c>
      <c r="N166" s="113">
        <v>0</v>
      </c>
      <c r="O166" s="113">
        <v>0</v>
      </c>
      <c r="P166" s="146">
        <v>0</v>
      </c>
      <c r="Q166" s="116">
        <v>0</v>
      </c>
      <c r="R166" s="116">
        <v>0</v>
      </c>
      <c r="S166" s="114">
        <v>0</v>
      </c>
      <c r="T166" s="116">
        <v>0</v>
      </c>
      <c r="U166" s="116">
        <v>0</v>
      </c>
      <c r="V166" s="121">
        <f t="shared" si="26"/>
        <v>0</v>
      </c>
      <c r="W166" s="111"/>
      <c r="X166" s="111"/>
      <c r="Y166" s="111"/>
      <c r="Z166" s="111"/>
      <c r="AA166" s="111"/>
      <c r="AB166" s="111"/>
      <c r="AC166" s="111"/>
      <c r="AD166" s="111"/>
      <c r="AE166" s="139">
        <f t="shared" si="25"/>
        <v>0</v>
      </c>
      <c r="AF166" s="109"/>
      <c r="AG166" s="109"/>
    </row>
    <row r="167" spans="1:33">
      <c r="A167" s="117"/>
      <c r="B167" s="118"/>
      <c r="C167" s="118"/>
      <c r="D167" s="118"/>
      <c r="E167" s="119"/>
      <c r="F167" s="118"/>
      <c r="G167" s="110"/>
      <c r="H167" s="143"/>
      <c r="I167" s="114">
        <v>0</v>
      </c>
      <c r="J167" s="115">
        <v>0</v>
      </c>
      <c r="K167" s="116">
        <v>0</v>
      </c>
      <c r="L167" s="116">
        <v>0</v>
      </c>
      <c r="M167" s="114">
        <v>0</v>
      </c>
      <c r="N167" s="113">
        <v>0</v>
      </c>
      <c r="O167" s="113">
        <v>0</v>
      </c>
      <c r="P167" s="146">
        <v>0</v>
      </c>
      <c r="Q167" s="116">
        <v>0</v>
      </c>
      <c r="R167" s="116">
        <v>0</v>
      </c>
      <c r="S167" s="114">
        <v>0</v>
      </c>
      <c r="T167" s="116">
        <v>0</v>
      </c>
      <c r="U167" s="116">
        <v>0</v>
      </c>
      <c r="V167" s="121">
        <f t="shared" si="26"/>
        <v>0</v>
      </c>
      <c r="W167" s="111"/>
      <c r="X167" s="111"/>
      <c r="Y167" s="111"/>
      <c r="Z167" s="111"/>
      <c r="AA167" s="111"/>
      <c r="AB167" s="111"/>
      <c r="AC167" s="111"/>
      <c r="AD167" s="111"/>
      <c r="AE167" s="139">
        <f t="shared" si="25"/>
        <v>0</v>
      </c>
      <c r="AF167" s="109"/>
      <c r="AG167" s="109"/>
    </row>
    <row r="168" spans="1:33">
      <c r="A168" s="117"/>
      <c r="B168" s="118"/>
      <c r="C168" s="118"/>
      <c r="D168" s="118"/>
      <c r="E168" s="119"/>
      <c r="F168" s="118"/>
      <c r="G168" s="110"/>
      <c r="H168" s="143"/>
      <c r="I168" s="114">
        <v>0</v>
      </c>
      <c r="J168" s="115">
        <v>0</v>
      </c>
      <c r="K168" s="116">
        <v>0</v>
      </c>
      <c r="L168" s="116">
        <v>0</v>
      </c>
      <c r="M168" s="114">
        <v>0</v>
      </c>
      <c r="N168" s="113">
        <v>0</v>
      </c>
      <c r="O168" s="113">
        <v>0</v>
      </c>
      <c r="P168" s="146">
        <v>0</v>
      </c>
      <c r="Q168" s="116">
        <v>0</v>
      </c>
      <c r="R168" s="116">
        <v>0</v>
      </c>
      <c r="S168" s="114">
        <v>0</v>
      </c>
      <c r="T168" s="116">
        <v>0</v>
      </c>
      <c r="U168" s="116">
        <v>0</v>
      </c>
      <c r="V168" s="121">
        <f t="shared" si="26"/>
        <v>0</v>
      </c>
      <c r="W168" s="111"/>
      <c r="X168" s="111"/>
      <c r="Y168" s="111"/>
      <c r="Z168" s="111"/>
      <c r="AA168" s="111"/>
      <c r="AB168" s="111"/>
      <c r="AC168" s="111"/>
      <c r="AD168" s="111"/>
      <c r="AE168" s="139">
        <f t="shared" si="25"/>
        <v>0</v>
      </c>
      <c r="AF168" s="109"/>
      <c r="AG168" s="109"/>
    </row>
    <row r="169" spans="1:33">
      <c r="A169" s="117"/>
      <c r="B169" s="118"/>
      <c r="C169" s="118"/>
      <c r="D169" s="118"/>
      <c r="E169" s="119"/>
      <c r="F169" s="118"/>
      <c r="G169" s="110"/>
      <c r="H169" s="143"/>
      <c r="I169" s="114">
        <v>0</v>
      </c>
      <c r="J169" s="115">
        <v>0</v>
      </c>
      <c r="K169" s="116">
        <v>0</v>
      </c>
      <c r="L169" s="116">
        <v>0</v>
      </c>
      <c r="M169" s="114">
        <v>0</v>
      </c>
      <c r="N169" s="113">
        <v>0</v>
      </c>
      <c r="O169" s="113">
        <v>0</v>
      </c>
      <c r="P169" s="146">
        <v>0</v>
      </c>
      <c r="Q169" s="116">
        <v>0</v>
      </c>
      <c r="R169" s="116">
        <v>0</v>
      </c>
      <c r="S169" s="114">
        <v>0</v>
      </c>
      <c r="T169" s="116">
        <v>0</v>
      </c>
      <c r="U169" s="116">
        <v>0</v>
      </c>
      <c r="V169" s="121">
        <f t="shared" si="26"/>
        <v>0</v>
      </c>
      <c r="W169" s="111"/>
      <c r="X169" s="111"/>
      <c r="Y169" s="111"/>
      <c r="Z169" s="111"/>
      <c r="AA169" s="111"/>
      <c r="AB169" s="111"/>
      <c r="AC169" s="111"/>
      <c r="AD169" s="111"/>
      <c r="AE169" s="139">
        <f t="shared" ref="AE169:AE232" si="27">V169-(X169+Y169)</f>
        <v>0</v>
      </c>
      <c r="AF169" s="109"/>
      <c r="AG169" s="109"/>
    </row>
    <row r="170" spans="1:33">
      <c r="A170" s="117"/>
      <c r="B170" s="118"/>
      <c r="C170" s="118"/>
      <c r="D170" s="118"/>
      <c r="E170" s="119"/>
      <c r="F170" s="118"/>
      <c r="G170" s="110"/>
      <c r="H170" s="143"/>
      <c r="I170" s="114">
        <v>0</v>
      </c>
      <c r="J170" s="115">
        <v>0</v>
      </c>
      <c r="K170" s="116">
        <v>0</v>
      </c>
      <c r="L170" s="116">
        <v>0</v>
      </c>
      <c r="M170" s="114">
        <v>0</v>
      </c>
      <c r="N170" s="113">
        <v>0</v>
      </c>
      <c r="O170" s="113">
        <v>0</v>
      </c>
      <c r="P170" s="146">
        <v>0</v>
      </c>
      <c r="Q170" s="116">
        <v>0</v>
      </c>
      <c r="R170" s="116">
        <v>0</v>
      </c>
      <c r="S170" s="114">
        <v>0</v>
      </c>
      <c r="T170" s="116">
        <v>0</v>
      </c>
      <c r="U170" s="116">
        <v>0</v>
      </c>
      <c r="V170" s="121">
        <f t="shared" si="26"/>
        <v>0</v>
      </c>
      <c r="W170" s="111"/>
      <c r="X170" s="111"/>
      <c r="Y170" s="111"/>
      <c r="Z170" s="111"/>
      <c r="AA170" s="111"/>
      <c r="AB170" s="111"/>
      <c r="AC170" s="111"/>
      <c r="AD170" s="111"/>
      <c r="AE170" s="139">
        <f t="shared" si="27"/>
        <v>0</v>
      </c>
      <c r="AF170" s="109"/>
      <c r="AG170" s="109"/>
    </row>
    <row r="171" spans="1:33">
      <c r="A171" s="117"/>
      <c r="B171" s="118"/>
      <c r="C171" s="118"/>
      <c r="D171" s="118"/>
      <c r="E171" s="119"/>
      <c r="F171" s="118"/>
      <c r="G171" s="110"/>
      <c r="H171" s="143"/>
      <c r="I171" s="114">
        <v>0</v>
      </c>
      <c r="J171" s="115">
        <v>0</v>
      </c>
      <c r="K171" s="116">
        <v>0</v>
      </c>
      <c r="L171" s="116">
        <v>0</v>
      </c>
      <c r="M171" s="114">
        <v>0</v>
      </c>
      <c r="N171" s="113">
        <v>0</v>
      </c>
      <c r="O171" s="113">
        <v>0</v>
      </c>
      <c r="P171" s="146">
        <v>0</v>
      </c>
      <c r="Q171" s="116">
        <v>0</v>
      </c>
      <c r="R171" s="116">
        <v>0</v>
      </c>
      <c r="S171" s="114">
        <v>0</v>
      </c>
      <c r="T171" s="116">
        <v>0</v>
      </c>
      <c r="U171" s="116">
        <v>0</v>
      </c>
      <c r="V171" s="121">
        <f t="shared" si="26"/>
        <v>0</v>
      </c>
      <c r="W171" s="111"/>
      <c r="X171" s="111"/>
      <c r="Y171" s="111"/>
      <c r="Z171" s="111"/>
      <c r="AA171" s="111"/>
      <c r="AB171" s="111"/>
      <c r="AC171" s="111"/>
      <c r="AD171" s="111"/>
      <c r="AE171" s="139">
        <f t="shared" si="27"/>
        <v>0</v>
      </c>
      <c r="AF171" s="109"/>
      <c r="AG171" s="109"/>
    </row>
    <row r="172" spans="1:33">
      <c r="A172" s="117"/>
      <c r="B172" s="118"/>
      <c r="C172" s="118"/>
      <c r="D172" s="118"/>
      <c r="E172" s="119"/>
      <c r="F172" s="118"/>
      <c r="G172" s="110"/>
      <c r="H172" s="143"/>
      <c r="I172" s="114">
        <v>0</v>
      </c>
      <c r="J172" s="115">
        <v>0</v>
      </c>
      <c r="K172" s="116">
        <v>0</v>
      </c>
      <c r="L172" s="116">
        <v>0</v>
      </c>
      <c r="M172" s="114">
        <v>0</v>
      </c>
      <c r="N172" s="113">
        <v>0</v>
      </c>
      <c r="O172" s="113">
        <v>0</v>
      </c>
      <c r="P172" s="146">
        <v>0</v>
      </c>
      <c r="Q172" s="116">
        <v>0</v>
      </c>
      <c r="R172" s="116">
        <v>0</v>
      </c>
      <c r="S172" s="114">
        <v>0</v>
      </c>
      <c r="T172" s="116">
        <v>0</v>
      </c>
      <c r="U172" s="116">
        <v>0</v>
      </c>
      <c r="V172" s="121">
        <f t="shared" si="26"/>
        <v>0</v>
      </c>
      <c r="W172" s="111"/>
      <c r="X172" s="111"/>
      <c r="Y172" s="111"/>
      <c r="Z172" s="111"/>
      <c r="AA172" s="111"/>
      <c r="AB172" s="111"/>
      <c r="AC172" s="111"/>
      <c r="AD172" s="111"/>
      <c r="AE172" s="139">
        <f t="shared" si="27"/>
        <v>0</v>
      </c>
      <c r="AF172" s="109"/>
      <c r="AG172" s="109"/>
    </row>
    <row r="173" spans="1:33">
      <c r="A173" s="117"/>
      <c r="B173" s="118"/>
      <c r="C173" s="118"/>
      <c r="D173" s="118"/>
      <c r="E173" s="119"/>
      <c r="F173" s="118"/>
      <c r="G173" s="110"/>
      <c r="H173" s="143"/>
      <c r="I173" s="114">
        <v>0</v>
      </c>
      <c r="J173" s="115">
        <v>0</v>
      </c>
      <c r="K173" s="116">
        <v>0</v>
      </c>
      <c r="L173" s="116">
        <v>0</v>
      </c>
      <c r="M173" s="114">
        <v>0</v>
      </c>
      <c r="N173" s="113">
        <v>0</v>
      </c>
      <c r="O173" s="113">
        <v>0</v>
      </c>
      <c r="P173" s="146">
        <v>0</v>
      </c>
      <c r="Q173" s="116">
        <v>0</v>
      </c>
      <c r="R173" s="116">
        <v>0</v>
      </c>
      <c r="S173" s="114">
        <v>0</v>
      </c>
      <c r="T173" s="116">
        <v>0</v>
      </c>
      <c r="U173" s="116">
        <v>0</v>
      </c>
      <c r="V173" s="121">
        <f t="shared" si="26"/>
        <v>0</v>
      </c>
      <c r="W173" s="111"/>
      <c r="X173" s="111"/>
      <c r="Y173" s="111"/>
      <c r="Z173" s="111"/>
      <c r="AA173" s="111"/>
      <c r="AB173" s="111"/>
      <c r="AC173" s="111"/>
      <c r="AD173" s="111"/>
      <c r="AE173" s="139">
        <f t="shared" si="27"/>
        <v>0</v>
      </c>
      <c r="AF173" s="109"/>
      <c r="AG173" s="109"/>
    </row>
    <row r="174" spans="1:33">
      <c r="A174" s="117"/>
      <c r="B174" s="118"/>
      <c r="C174" s="118"/>
      <c r="D174" s="118"/>
      <c r="E174" s="119"/>
      <c r="F174" s="118"/>
      <c r="G174" s="110"/>
      <c r="H174" s="143"/>
      <c r="I174" s="114">
        <v>0</v>
      </c>
      <c r="J174" s="115">
        <v>0</v>
      </c>
      <c r="K174" s="116">
        <v>0</v>
      </c>
      <c r="L174" s="116">
        <v>0</v>
      </c>
      <c r="M174" s="114">
        <v>0</v>
      </c>
      <c r="N174" s="113">
        <v>0</v>
      </c>
      <c r="O174" s="113">
        <v>0</v>
      </c>
      <c r="P174" s="146">
        <v>0</v>
      </c>
      <c r="Q174" s="116">
        <v>0</v>
      </c>
      <c r="R174" s="116">
        <v>0</v>
      </c>
      <c r="S174" s="114">
        <v>0</v>
      </c>
      <c r="T174" s="116">
        <v>0</v>
      </c>
      <c r="U174" s="116">
        <v>0</v>
      </c>
      <c r="V174" s="121">
        <f t="shared" si="26"/>
        <v>0</v>
      </c>
      <c r="W174" s="111"/>
      <c r="X174" s="111"/>
      <c r="Y174" s="111"/>
      <c r="Z174" s="111"/>
      <c r="AA174" s="111"/>
      <c r="AB174" s="111"/>
      <c r="AC174" s="111"/>
      <c r="AD174" s="111"/>
      <c r="AE174" s="139">
        <f t="shared" si="27"/>
        <v>0</v>
      </c>
      <c r="AF174" s="109"/>
      <c r="AG174" s="109"/>
    </row>
    <row r="175" spans="1:33">
      <c r="A175" s="117"/>
      <c r="B175" s="118"/>
      <c r="C175" s="118"/>
      <c r="D175" s="118"/>
      <c r="E175" s="119"/>
      <c r="F175" s="118"/>
      <c r="G175" s="110"/>
      <c r="H175" s="143"/>
      <c r="I175" s="114">
        <v>0</v>
      </c>
      <c r="J175" s="115">
        <v>0</v>
      </c>
      <c r="K175" s="116">
        <v>0</v>
      </c>
      <c r="L175" s="116">
        <v>0</v>
      </c>
      <c r="M175" s="114">
        <v>0</v>
      </c>
      <c r="N175" s="113">
        <v>0</v>
      </c>
      <c r="O175" s="113">
        <v>0</v>
      </c>
      <c r="P175" s="146">
        <v>0</v>
      </c>
      <c r="Q175" s="116">
        <v>0</v>
      </c>
      <c r="R175" s="116">
        <v>0</v>
      </c>
      <c r="S175" s="114">
        <v>0</v>
      </c>
      <c r="T175" s="116">
        <v>0</v>
      </c>
      <c r="U175" s="116">
        <v>0</v>
      </c>
      <c r="V175" s="121">
        <f t="shared" si="26"/>
        <v>0</v>
      </c>
      <c r="W175" s="111"/>
      <c r="X175" s="111"/>
      <c r="Y175" s="111"/>
      <c r="Z175" s="111"/>
      <c r="AA175" s="111"/>
      <c r="AB175" s="111"/>
      <c r="AC175" s="111"/>
      <c r="AD175" s="111"/>
      <c r="AE175" s="139">
        <f t="shared" si="27"/>
        <v>0</v>
      </c>
      <c r="AF175" s="109"/>
      <c r="AG175" s="109"/>
    </row>
    <row r="176" spans="1:33">
      <c r="A176" s="117"/>
      <c r="B176" s="118"/>
      <c r="C176" s="118"/>
      <c r="D176" s="118"/>
      <c r="E176" s="119"/>
      <c r="F176" s="118"/>
      <c r="G176" s="110"/>
      <c r="H176" s="143"/>
      <c r="I176" s="114">
        <v>0</v>
      </c>
      <c r="J176" s="115">
        <v>0</v>
      </c>
      <c r="K176" s="116">
        <v>0</v>
      </c>
      <c r="L176" s="116">
        <v>0</v>
      </c>
      <c r="M176" s="114">
        <v>0</v>
      </c>
      <c r="N176" s="113">
        <v>0</v>
      </c>
      <c r="O176" s="113">
        <v>0</v>
      </c>
      <c r="P176" s="146">
        <v>0</v>
      </c>
      <c r="Q176" s="116">
        <v>0</v>
      </c>
      <c r="R176" s="116">
        <v>0</v>
      </c>
      <c r="S176" s="114">
        <v>0</v>
      </c>
      <c r="T176" s="116">
        <v>0</v>
      </c>
      <c r="U176" s="116">
        <v>0</v>
      </c>
      <c r="V176" s="121">
        <f t="shared" si="26"/>
        <v>0</v>
      </c>
      <c r="W176" s="111"/>
      <c r="X176" s="111"/>
      <c r="Y176" s="111"/>
      <c r="Z176" s="111"/>
      <c r="AA176" s="111"/>
      <c r="AB176" s="111"/>
      <c r="AC176" s="111"/>
      <c r="AD176" s="111"/>
      <c r="AE176" s="139">
        <f t="shared" si="27"/>
        <v>0</v>
      </c>
      <c r="AF176" s="109"/>
      <c r="AG176" s="109"/>
    </row>
    <row r="177" spans="1:33">
      <c r="A177" s="117"/>
      <c r="B177" s="118"/>
      <c r="C177" s="118"/>
      <c r="D177" s="118"/>
      <c r="E177" s="119"/>
      <c r="F177" s="118"/>
      <c r="G177" s="110"/>
      <c r="H177" s="143"/>
      <c r="I177" s="114">
        <v>0</v>
      </c>
      <c r="J177" s="115">
        <v>0</v>
      </c>
      <c r="K177" s="116">
        <v>0</v>
      </c>
      <c r="L177" s="116">
        <v>0</v>
      </c>
      <c r="M177" s="114">
        <v>0</v>
      </c>
      <c r="N177" s="113">
        <v>0</v>
      </c>
      <c r="O177" s="113">
        <v>0</v>
      </c>
      <c r="P177" s="146">
        <v>0</v>
      </c>
      <c r="Q177" s="116">
        <v>0</v>
      </c>
      <c r="R177" s="116">
        <v>0</v>
      </c>
      <c r="S177" s="114">
        <v>0</v>
      </c>
      <c r="T177" s="116">
        <v>0</v>
      </c>
      <c r="U177" s="116">
        <v>0</v>
      </c>
      <c r="V177" s="121">
        <f t="shared" ref="V177:V240" si="28">+G177-(SUM(I177:N177,P177:S177,U177))</f>
        <v>0</v>
      </c>
      <c r="W177" s="111"/>
      <c r="X177" s="111"/>
      <c r="Y177" s="111"/>
      <c r="Z177" s="111"/>
      <c r="AA177" s="111"/>
      <c r="AB177" s="111"/>
      <c r="AC177" s="111"/>
      <c r="AD177" s="111"/>
      <c r="AE177" s="139">
        <f t="shared" si="27"/>
        <v>0</v>
      </c>
      <c r="AF177" s="109"/>
      <c r="AG177" s="109"/>
    </row>
    <row r="178" spans="1:33">
      <c r="A178" s="117"/>
      <c r="B178" s="118"/>
      <c r="C178" s="118"/>
      <c r="D178" s="118"/>
      <c r="E178" s="119"/>
      <c r="F178" s="118"/>
      <c r="G178" s="110"/>
      <c r="H178" s="143"/>
      <c r="I178" s="114">
        <v>0</v>
      </c>
      <c r="J178" s="115">
        <v>0</v>
      </c>
      <c r="K178" s="116">
        <v>0</v>
      </c>
      <c r="L178" s="116">
        <v>0</v>
      </c>
      <c r="M178" s="114">
        <v>0</v>
      </c>
      <c r="N178" s="113">
        <v>0</v>
      </c>
      <c r="O178" s="113">
        <v>0</v>
      </c>
      <c r="P178" s="146">
        <v>0</v>
      </c>
      <c r="Q178" s="116">
        <v>0</v>
      </c>
      <c r="R178" s="116">
        <v>0</v>
      </c>
      <c r="S178" s="114">
        <v>0</v>
      </c>
      <c r="T178" s="116">
        <v>0</v>
      </c>
      <c r="U178" s="116">
        <v>0</v>
      </c>
      <c r="V178" s="121">
        <f t="shared" si="28"/>
        <v>0</v>
      </c>
      <c r="W178" s="111"/>
      <c r="X178" s="111"/>
      <c r="Y178" s="111"/>
      <c r="Z178" s="111"/>
      <c r="AA178" s="111"/>
      <c r="AB178" s="111"/>
      <c r="AC178" s="111"/>
      <c r="AD178" s="111"/>
      <c r="AE178" s="139">
        <f t="shared" si="27"/>
        <v>0</v>
      </c>
      <c r="AF178" s="109"/>
      <c r="AG178" s="109"/>
    </row>
    <row r="179" spans="1:33">
      <c r="A179" s="117"/>
      <c r="B179" s="118"/>
      <c r="C179" s="118"/>
      <c r="D179" s="118"/>
      <c r="E179" s="119"/>
      <c r="F179" s="118"/>
      <c r="G179" s="110"/>
      <c r="H179" s="143"/>
      <c r="I179" s="114">
        <v>0</v>
      </c>
      <c r="J179" s="115">
        <v>0</v>
      </c>
      <c r="K179" s="116">
        <v>0</v>
      </c>
      <c r="L179" s="116">
        <v>0</v>
      </c>
      <c r="M179" s="114">
        <v>0</v>
      </c>
      <c r="N179" s="113">
        <v>0</v>
      </c>
      <c r="O179" s="113">
        <v>0</v>
      </c>
      <c r="P179" s="146">
        <v>0</v>
      </c>
      <c r="Q179" s="116">
        <v>0</v>
      </c>
      <c r="R179" s="116">
        <v>0</v>
      </c>
      <c r="S179" s="114">
        <v>0</v>
      </c>
      <c r="T179" s="116">
        <v>0</v>
      </c>
      <c r="U179" s="116">
        <v>0</v>
      </c>
      <c r="V179" s="121">
        <f t="shared" si="28"/>
        <v>0</v>
      </c>
      <c r="W179" s="111"/>
      <c r="X179" s="111"/>
      <c r="Y179" s="111"/>
      <c r="Z179" s="111"/>
      <c r="AA179" s="111"/>
      <c r="AB179" s="111"/>
      <c r="AC179" s="111"/>
      <c r="AD179" s="111"/>
      <c r="AE179" s="139">
        <f t="shared" si="27"/>
        <v>0</v>
      </c>
      <c r="AF179" s="109"/>
      <c r="AG179" s="109"/>
    </row>
    <row r="180" spans="1:33">
      <c r="A180" s="117"/>
      <c r="B180" s="118"/>
      <c r="C180" s="118"/>
      <c r="D180" s="118"/>
      <c r="E180" s="119"/>
      <c r="F180" s="118"/>
      <c r="G180" s="110"/>
      <c r="H180" s="143"/>
      <c r="I180" s="114">
        <v>0</v>
      </c>
      <c r="J180" s="115">
        <v>0</v>
      </c>
      <c r="K180" s="116">
        <v>0</v>
      </c>
      <c r="L180" s="116">
        <v>0</v>
      </c>
      <c r="M180" s="114">
        <v>0</v>
      </c>
      <c r="N180" s="113">
        <v>0</v>
      </c>
      <c r="O180" s="113">
        <v>0</v>
      </c>
      <c r="P180" s="146">
        <v>0</v>
      </c>
      <c r="Q180" s="116">
        <v>0</v>
      </c>
      <c r="R180" s="116">
        <v>0</v>
      </c>
      <c r="S180" s="114">
        <v>0</v>
      </c>
      <c r="T180" s="116">
        <v>0</v>
      </c>
      <c r="U180" s="116">
        <v>0</v>
      </c>
      <c r="V180" s="121">
        <f t="shared" si="28"/>
        <v>0</v>
      </c>
      <c r="W180" s="111"/>
      <c r="X180" s="111"/>
      <c r="Y180" s="111"/>
      <c r="Z180" s="111"/>
      <c r="AA180" s="111"/>
      <c r="AB180" s="111"/>
      <c r="AC180" s="111"/>
      <c r="AD180" s="111"/>
      <c r="AE180" s="139">
        <f t="shared" si="27"/>
        <v>0</v>
      </c>
      <c r="AF180" s="109"/>
      <c r="AG180" s="109"/>
    </row>
    <row r="181" spans="1:33">
      <c r="A181" s="117"/>
      <c r="B181" s="118"/>
      <c r="C181" s="118"/>
      <c r="D181" s="118"/>
      <c r="E181" s="119"/>
      <c r="F181" s="118"/>
      <c r="G181" s="110"/>
      <c r="H181" s="143"/>
      <c r="I181" s="114">
        <v>0</v>
      </c>
      <c r="J181" s="115">
        <v>0</v>
      </c>
      <c r="K181" s="116">
        <v>0</v>
      </c>
      <c r="L181" s="116">
        <v>0</v>
      </c>
      <c r="M181" s="114">
        <v>0</v>
      </c>
      <c r="N181" s="113">
        <v>0</v>
      </c>
      <c r="O181" s="113">
        <v>0</v>
      </c>
      <c r="P181" s="146">
        <v>0</v>
      </c>
      <c r="Q181" s="116">
        <v>0</v>
      </c>
      <c r="R181" s="116">
        <v>0</v>
      </c>
      <c r="S181" s="114">
        <v>0</v>
      </c>
      <c r="T181" s="116">
        <v>0</v>
      </c>
      <c r="U181" s="116">
        <v>0</v>
      </c>
      <c r="V181" s="121">
        <f t="shared" si="28"/>
        <v>0</v>
      </c>
      <c r="W181" s="111"/>
      <c r="X181" s="111"/>
      <c r="Y181" s="111"/>
      <c r="Z181" s="111"/>
      <c r="AA181" s="111"/>
      <c r="AB181" s="111"/>
      <c r="AC181" s="111"/>
      <c r="AD181" s="111"/>
      <c r="AE181" s="139">
        <f t="shared" si="27"/>
        <v>0</v>
      </c>
      <c r="AF181" s="109"/>
      <c r="AG181" s="109"/>
    </row>
    <row r="182" spans="1:33">
      <c r="A182" s="117"/>
      <c r="B182" s="118"/>
      <c r="C182" s="118"/>
      <c r="D182" s="118"/>
      <c r="E182" s="119"/>
      <c r="F182" s="118"/>
      <c r="G182" s="110"/>
      <c r="H182" s="143"/>
      <c r="I182" s="114">
        <v>0</v>
      </c>
      <c r="J182" s="115">
        <v>0</v>
      </c>
      <c r="K182" s="116">
        <v>0</v>
      </c>
      <c r="L182" s="116">
        <v>0</v>
      </c>
      <c r="M182" s="114">
        <v>0</v>
      </c>
      <c r="N182" s="113">
        <v>0</v>
      </c>
      <c r="O182" s="113">
        <v>0</v>
      </c>
      <c r="P182" s="146">
        <v>0</v>
      </c>
      <c r="Q182" s="116">
        <v>0</v>
      </c>
      <c r="R182" s="116">
        <v>0</v>
      </c>
      <c r="S182" s="114">
        <v>0</v>
      </c>
      <c r="T182" s="116">
        <v>0</v>
      </c>
      <c r="U182" s="116">
        <v>0</v>
      </c>
      <c r="V182" s="121">
        <f t="shared" si="28"/>
        <v>0</v>
      </c>
      <c r="W182" s="111"/>
      <c r="X182" s="111"/>
      <c r="Y182" s="111"/>
      <c r="Z182" s="111"/>
      <c r="AA182" s="111"/>
      <c r="AB182" s="111"/>
      <c r="AC182" s="111"/>
      <c r="AD182" s="111"/>
      <c r="AE182" s="139">
        <f t="shared" si="27"/>
        <v>0</v>
      </c>
      <c r="AF182" s="109"/>
      <c r="AG182" s="109"/>
    </row>
    <row r="183" spans="1:33">
      <c r="A183" s="117"/>
      <c r="B183" s="118"/>
      <c r="C183" s="118"/>
      <c r="D183" s="118"/>
      <c r="E183" s="119"/>
      <c r="F183" s="118"/>
      <c r="G183" s="110"/>
      <c r="H183" s="143"/>
      <c r="I183" s="114">
        <v>0</v>
      </c>
      <c r="J183" s="115">
        <v>0</v>
      </c>
      <c r="K183" s="116">
        <v>0</v>
      </c>
      <c r="L183" s="116">
        <v>0</v>
      </c>
      <c r="M183" s="114">
        <v>0</v>
      </c>
      <c r="N183" s="113">
        <v>0</v>
      </c>
      <c r="O183" s="113">
        <v>0</v>
      </c>
      <c r="P183" s="146">
        <v>0</v>
      </c>
      <c r="Q183" s="116">
        <v>0</v>
      </c>
      <c r="R183" s="116">
        <v>0</v>
      </c>
      <c r="S183" s="114">
        <v>0</v>
      </c>
      <c r="T183" s="116">
        <v>0</v>
      </c>
      <c r="U183" s="116">
        <v>0</v>
      </c>
      <c r="V183" s="121">
        <f t="shared" si="28"/>
        <v>0</v>
      </c>
      <c r="W183" s="111"/>
      <c r="X183" s="111"/>
      <c r="Y183" s="111"/>
      <c r="Z183" s="111"/>
      <c r="AA183" s="111"/>
      <c r="AB183" s="111"/>
      <c r="AC183" s="111"/>
      <c r="AD183" s="111"/>
      <c r="AE183" s="139">
        <f t="shared" si="27"/>
        <v>0</v>
      </c>
      <c r="AF183" s="109"/>
      <c r="AG183" s="109"/>
    </row>
    <row r="184" spans="1:33">
      <c r="A184" s="117"/>
      <c r="B184" s="118"/>
      <c r="C184" s="118"/>
      <c r="D184" s="118"/>
      <c r="E184" s="119"/>
      <c r="F184" s="118"/>
      <c r="G184" s="110"/>
      <c r="H184" s="143"/>
      <c r="I184" s="114">
        <v>0</v>
      </c>
      <c r="J184" s="115">
        <v>0</v>
      </c>
      <c r="K184" s="116">
        <v>0</v>
      </c>
      <c r="L184" s="116">
        <v>0</v>
      </c>
      <c r="M184" s="114">
        <v>0</v>
      </c>
      <c r="N184" s="113">
        <v>0</v>
      </c>
      <c r="O184" s="113">
        <v>0</v>
      </c>
      <c r="P184" s="146">
        <v>0</v>
      </c>
      <c r="Q184" s="116">
        <v>0</v>
      </c>
      <c r="R184" s="116">
        <v>0</v>
      </c>
      <c r="S184" s="114">
        <v>0</v>
      </c>
      <c r="T184" s="116">
        <v>0</v>
      </c>
      <c r="U184" s="116">
        <v>0</v>
      </c>
      <c r="V184" s="121">
        <f t="shared" si="28"/>
        <v>0</v>
      </c>
      <c r="W184" s="111"/>
      <c r="X184" s="111"/>
      <c r="Y184" s="111"/>
      <c r="Z184" s="111"/>
      <c r="AA184" s="111"/>
      <c r="AB184" s="111"/>
      <c r="AC184" s="111"/>
      <c r="AD184" s="111"/>
      <c r="AE184" s="139">
        <f t="shared" si="27"/>
        <v>0</v>
      </c>
      <c r="AF184" s="109"/>
      <c r="AG184" s="109"/>
    </row>
    <row r="185" spans="1:33">
      <c r="A185" s="117"/>
      <c r="B185" s="118"/>
      <c r="C185" s="118"/>
      <c r="D185" s="118"/>
      <c r="E185" s="119"/>
      <c r="F185" s="118"/>
      <c r="G185" s="110"/>
      <c r="H185" s="143"/>
      <c r="I185" s="114">
        <v>0</v>
      </c>
      <c r="J185" s="115">
        <v>0</v>
      </c>
      <c r="K185" s="116">
        <v>0</v>
      </c>
      <c r="L185" s="116">
        <v>0</v>
      </c>
      <c r="M185" s="114">
        <v>0</v>
      </c>
      <c r="N185" s="113">
        <v>0</v>
      </c>
      <c r="O185" s="113">
        <v>0</v>
      </c>
      <c r="P185" s="146">
        <v>0</v>
      </c>
      <c r="Q185" s="116">
        <v>0</v>
      </c>
      <c r="R185" s="116">
        <v>0</v>
      </c>
      <c r="S185" s="114">
        <v>0</v>
      </c>
      <c r="T185" s="116">
        <v>0</v>
      </c>
      <c r="U185" s="116">
        <v>0</v>
      </c>
      <c r="V185" s="121">
        <f t="shared" si="28"/>
        <v>0</v>
      </c>
      <c r="W185" s="111"/>
      <c r="X185" s="111"/>
      <c r="Y185" s="111"/>
      <c r="Z185" s="111"/>
      <c r="AA185" s="111"/>
      <c r="AB185" s="111"/>
      <c r="AC185" s="111"/>
      <c r="AD185" s="111"/>
      <c r="AE185" s="139">
        <f t="shared" si="27"/>
        <v>0</v>
      </c>
      <c r="AF185" s="109"/>
      <c r="AG185" s="109"/>
    </row>
    <row r="186" spans="1:33">
      <c r="A186" s="117"/>
      <c r="B186" s="118"/>
      <c r="C186" s="118"/>
      <c r="D186" s="118"/>
      <c r="E186" s="119"/>
      <c r="F186" s="118"/>
      <c r="G186" s="110"/>
      <c r="H186" s="143"/>
      <c r="I186" s="114">
        <v>0</v>
      </c>
      <c r="J186" s="115">
        <v>0</v>
      </c>
      <c r="K186" s="116">
        <v>0</v>
      </c>
      <c r="L186" s="116">
        <v>0</v>
      </c>
      <c r="M186" s="114">
        <v>0</v>
      </c>
      <c r="N186" s="113">
        <v>0</v>
      </c>
      <c r="O186" s="113">
        <v>0</v>
      </c>
      <c r="P186" s="146">
        <v>0</v>
      </c>
      <c r="Q186" s="116">
        <v>0</v>
      </c>
      <c r="R186" s="116">
        <v>0</v>
      </c>
      <c r="S186" s="114">
        <v>0</v>
      </c>
      <c r="T186" s="116">
        <v>0</v>
      </c>
      <c r="U186" s="116">
        <v>0</v>
      </c>
      <c r="V186" s="121">
        <f t="shared" si="28"/>
        <v>0</v>
      </c>
      <c r="W186" s="111"/>
      <c r="X186" s="111"/>
      <c r="Y186" s="111"/>
      <c r="Z186" s="111"/>
      <c r="AA186" s="111"/>
      <c r="AB186" s="111"/>
      <c r="AC186" s="111"/>
      <c r="AD186" s="111"/>
      <c r="AE186" s="139">
        <f t="shared" si="27"/>
        <v>0</v>
      </c>
      <c r="AF186" s="109"/>
      <c r="AG186" s="109"/>
    </row>
    <row r="187" spans="1:33">
      <c r="A187" s="117"/>
      <c r="B187" s="118"/>
      <c r="C187" s="118"/>
      <c r="D187" s="118"/>
      <c r="E187" s="119"/>
      <c r="F187" s="118"/>
      <c r="G187" s="110"/>
      <c r="H187" s="143"/>
      <c r="I187" s="114">
        <v>0</v>
      </c>
      <c r="J187" s="115">
        <v>0</v>
      </c>
      <c r="K187" s="116">
        <v>0</v>
      </c>
      <c r="L187" s="116">
        <v>0</v>
      </c>
      <c r="M187" s="114">
        <v>0</v>
      </c>
      <c r="N187" s="113">
        <v>0</v>
      </c>
      <c r="O187" s="113">
        <v>0</v>
      </c>
      <c r="P187" s="146">
        <v>0</v>
      </c>
      <c r="Q187" s="116">
        <v>0</v>
      </c>
      <c r="R187" s="116">
        <v>0</v>
      </c>
      <c r="S187" s="114">
        <v>0</v>
      </c>
      <c r="T187" s="116">
        <v>0</v>
      </c>
      <c r="U187" s="116">
        <v>0</v>
      </c>
      <c r="V187" s="121">
        <f t="shared" si="28"/>
        <v>0</v>
      </c>
      <c r="W187" s="111"/>
      <c r="X187" s="111"/>
      <c r="Y187" s="111"/>
      <c r="Z187" s="111"/>
      <c r="AA187" s="111"/>
      <c r="AB187" s="111"/>
      <c r="AC187" s="111"/>
      <c r="AD187" s="111"/>
      <c r="AE187" s="139">
        <f t="shared" si="27"/>
        <v>0</v>
      </c>
      <c r="AF187" s="109"/>
      <c r="AG187" s="109"/>
    </row>
    <row r="188" spans="1:33">
      <c r="A188" s="117"/>
      <c r="B188" s="118"/>
      <c r="C188" s="118"/>
      <c r="D188" s="118"/>
      <c r="E188" s="119"/>
      <c r="F188" s="118"/>
      <c r="G188" s="110"/>
      <c r="H188" s="143"/>
      <c r="I188" s="114">
        <v>0</v>
      </c>
      <c r="J188" s="115">
        <v>0</v>
      </c>
      <c r="K188" s="116">
        <v>0</v>
      </c>
      <c r="L188" s="116">
        <v>0</v>
      </c>
      <c r="M188" s="114">
        <v>0</v>
      </c>
      <c r="N188" s="113">
        <v>0</v>
      </c>
      <c r="O188" s="113">
        <v>0</v>
      </c>
      <c r="P188" s="146">
        <v>0</v>
      </c>
      <c r="Q188" s="116">
        <v>0</v>
      </c>
      <c r="R188" s="116">
        <v>0</v>
      </c>
      <c r="S188" s="114">
        <v>0</v>
      </c>
      <c r="T188" s="116">
        <v>0</v>
      </c>
      <c r="U188" s="116">
        <v>0</v>
      </c>
      <c r="V188" s="121">
        <f t="shared" si="28"/>
        <v>0</v>
      </c>
      <c r="W188" s="111"/>
      <c r="X188" s="111"/>
      <c r="Y188" s="111"/>
      <c r="Z188" s="111"/>
      <c r="AA188" s="111"/>
      <c r="AB188" s="111"/>
      <c r="AC188" s="111"/>
      <c r="AD188" s="111"/>
      <c r="AE188" s="139">
        <f t="shared" si="27"/>
        <v>0</v>
      </c>
      <c r="AF188" s="109"/>
      <c r="AG188" s="109"/>
    </row>
    <row r="189" spans="1:33">
      <c r="A189" s="117"/>
      <c r="B189" s="118"/>
      <c r="C189" s="118"/>
      <c r="D189" s="118"/>
      <c r="E189" s="119"/>
      <c r="F189" s="118"/>
      <c r="G189" s="110"/>
      <c r="H189" s="143"/>
      <c r="I189" s="114">
        <v>0</v>
      </c>
      <c r="J189" s="115">
        <v>0</v>
      </c>
      <c r="K189" s="116">
        <v>0</v>
      </c>
      <c r="L189" s="116">
        <v>0</v>
      </c>
      <c r="M189" s="114">
        <v>0</v>
      </c>
      <c r="N189" s="113">
        <v>0</v>
      </c>
      <c r="O189" s="113">
        <v>0</v>
      </c>
      <c r="P189" s="146">
        <v>0</v>
      </c>
      <c r="Q189" s="116">
        <v>0</v>
      </c>
      <c r="R189" s="116">
        <v>0</v>
      </c>
      <c r="S189" s="114">
        <v>0</v>
      </c>
      <c r="T189" s="116">
        <v>0</v>
      </c>
      <c r="U189" s="116">
        <v>0</v>
      </c>
      <c r="V189" s="121">
        <f t="shared" si="28"/>
        <v>0</v>
      </c>
      <c r="W189" s="111"/>
      <c r="X189" s="111"/>
      <c r="Y189" s="111"/>
      <c r="Z189" s="111"/>
      <c r="AA189" s="111"/>
      <c r="AB189" s="111"/>
      <c r="AC189" s="111"/>
      <c r="AD189" s="111"/>
      <c r="AE189" s="139">
        <f t="shared" si="27"/>
        <v>0</v>
      </c>
      <c r="AF189" s="109"/>
      <c r="AG189" s="109"/>
    </row>
    <row r="190" spans="1:33">
      <c r="A190" s="117"/>
      <c r="B190" s="118"/>
      <c r="C190" s="118"/>
      <c r="D190" s="118"/>
      <c r="E190" s="119"/>
      <c r="F190" s="118"/>
      <c r="G190" s="110"/>
      <c r="H190" s="143"/>
      <c r="I190" s="114">
        <v>0</v>
      </c>
      <c r="J190" s="115">
        <v>0</v>
      </c>
      <c r="K190" s="116">
        <v>0</v>
      </c>
      <c r="L190" s="116">
        <v>0</v>
      </c>
      <c r="M190" s="114">
        <v>0</v>
      </c>
      <c r="N190" s="113">
        <v>0</v>
      </c>
      <c r="O190" s="113">
        <v>0</v>
      </c>
      <c r="P190" s="146">
        <v>0</v>
      </c>
      <c r="Q190" s="116">
        <v>0</v>
      </c>
      <c r="R190" s="116">
        <v>0</v>
      </c>
      <c r="S190" s="114">
        <v>0</v>
      </c>
      <c r="T190" s="116">
        <v>0</v>
      </c>
      <c r="U190" s="116">
        <v>0</v>
      </c>
      <c r="V190" s="121">
        <f t="shared" si="28"/>
        <v>0</v>
      </c>
      <c r="W190" s="111"/>
      <c r="X190" s="111"/>
      <c r="Y190" s="111"/>
      <c r="Z190" s="111"/>
      <c r="AA190" s="111"/>
      <c r="AB190" s="111"/>
      <c r="AC190" s="111"/>
      <c r="AD190" s="111"/>
      <c r="AE190" s="139">
        <f t="shared" si="27"/>
        <v>0</v>
      </c>
      <c r="AF190" s="109"/>
      <c r="AG190" s="109"/>
    </row>
    <row r="191" spans="1:33">
      <c r="A191" s="117"/>
      <c r="B191" s="118"/>
      <c r="C191" s="118"/>
      <c r="D191" s="118"/>
      <c r="E191" s="119"/>
      <c r="F191" s="118"/>
      <c r="G191" s="110"/>
      <c r="H191" s="143"/>
      <c r="I191" s="114">
        <v>0</v>
      </c>
      <c r="J191" s="115">
        <v>0</v>
      </c>
      <c r="K191" s="116">
        <v>0</v>
      </c>
      <c r="L191" s="116">
        <v>0</v>
      </c>
      <c r="M191" s="114">
        <v>0</v>
      </c>
      <c r="N191" s="113">
        <v>0</v>
      </c>
      <c r="O191" s="113">
        <v>0</v>
      </c>
      <c r="P191" s="146">
        <v>0</v>
      </c>
      <c r="Q191" s="116">
        <v>0</v>
      </c>
      <c r="R191" s="116">
        <v>0</v>
      </c>
      <c r="S191" s="114">
        <v>0</v>
      </c>
      <c r="T191" s="116">
        <v>0</v>
      </c>
      <c r="U191" s="116">
        <v>0</v>
      </c>
      <c r="V191" s="121">
        <f t="shared" si="28"/>
        <v>0</v>
      </c>
      <c r="W191" s="111"/>
      <c r="X191" s="111"/>
      <c r="Y191" s="111"/>
      <c r="Z191" s="111"/>
      <c r="AA191" s="111"/>
      <c r="AB191" s="111"/>
      <c r="AC191" s="111"/>
      <c r="AD191" s="111"/>
      <c r="AE191" s="139">
        <f t="shared" si="27"/>
        <v>0</v>
      </c>
      <c r="AF191" s="109"/>
      <c r="AG191" s="109"/>
    </row>
    <row r="192" spans="1:33">
      <c r="A192" s="117"/>
      <c r="B192" s="118"/>
      <c r="C192" s="118"/>
      <c r="D192" s="118"/>
      <c r="E192" s="119"/>
      <c r="F192" s="118"/>
      <c r="G192" s="110"/>
      <c r="H192" s="143"/>
      <c r="I192" s="114">
        <v>0</v>
      </c>
      <c r="J192" s="115">
        <v>0</v>
      </c>
      <c r="K192" s="116">
        <v>0</v>
      </c>
      <c r="L192" s="116">
        <v>0</v>
      </c>
      <c r="M192" s="114">
        <v>0</v>
      </c>
      <c r="N192" s="113">
        <v>0</v>
      </c>
      <c r="O192" s="113">
        <v>0</v>
      </c>
      <c r="P192" s="146">
        <v>0</v>
      </c>
      <c r="Q192" s="116">
        <v>0</v>
      </c>
      <c r="R192" s="116">
        <v>0</v>
      </c>
      <c r="S192" s="114">
        <v>0</v>
      </c>
      <c r="T192" s="116">
        <v>0</v>
      </c>
      <c r="U192" s="116">
        <v>0</v>
      </c>
      <c r="V192" s="121">
        <f t="shared" si="28"/>
        <v>0</v>
      </c>
      <c r="W192" s="111"/>
      <c r="X192" s="111"/>
      <c r="Y192" s="111"/>
      <c r="Z192" s="111"/>
      <c r="AA192" s="111"/>
      <c r="AB192" s="111"/>
      <c r="AC192" s="111"/>
      <c r="AD192" s="111"/>
      <c r="AE192" s="139">
        <f t="shared" si="27"/>
        <v>0</v>
      </c>
      <c r="AF192" s="109"/>
      <c r="AG192" s="109"/>
    </row>
    <row r="193" spans="1:33">
      <c r="A193" s="117"/>
      <c r="B193" s="118"/>
      <c r="C193" s="118"/>
      <c r="D193" s="118"/>
      <c r="E193" s="119"/>
      <c r="F193" s="118"/>
      <c r="G193" s="110"/>
      <c r="H193" s="143"/>
      <c r="I193" s="114">
        <v>0</v>
      </c>
      <c r="J193" s="115">
        <v>0</v>
      </c>
      <c r="K193" s="116">
        <v>0</v>
      </c>
      <c r="L193" s="116">
        <v>0</v>
      </c>
      <c r="M193" s="114">
        <v>0</v>
      </c>
      <c r="N193" s="113">
        <v>0</v>
      </c>
      <c r="O193" s="113">
        <v>0</v>
      </c>
      <c r="P193" s="146">
        <v>0</v>
      </c>
      <c r="Q193" s="116">
        <v>0</v>
      </c>
      <c r="R193" s="116">
        <v>0</v>
      </c>
      <c r="S193" s="114">
        <v>0</v>
      </c>
      <c r="T193" s="116">
        <v>0</v>
      </c>
      <c r="U193" s="116">
        <v>0</v>
      </c>
      <c r="V193" s="121">
        <f t="shared" si="28"/>
        <v>0</v>
      </c>
      <c r="W193" s="111"/>
      <c r="X193" s="111"/>
      <c r="Y193" s="111"/>
      <c r="Z193" s="111"/>
      <c r="AA193" s="111"/>
      <c r="AB193" s="111"/>
      <c r="AC193" s="111"/>
      <c r="AD193" s="111"/>
      <c r="AE193" s="139">
        <f t="shared" si="27"/>
        <v>0</v>
      </c>
      <c r="AF193" s="109"/>
      <c r="AG193" s="109"/>
    </row>
    <row r="194" spans="1:33">
      <c r="A194" s="117"/>
      <c r="B194" s="118"/>
      <c r="C194" s="118"/>
      <c r="D194" s="118"/>
      <c r="E194" s="119"/>
      <c r="F194" s="118"/>
      <c r="G194" s="110"/>
      <c r="H194" s="143"/>
      <c r="I194" s="114">
        <v>0</v>
      </c>
      <c r="J194" s="115">
        <v>0</v>
      </c>
      <c r="K194" s="116">
        <v>0</v>
      </c>
      <c r="L194" s="116">
        <v>0</v>
      </c>
      <c r="M194" s="114">
        <v>0</v>
      </c>
      <c r="N194" s="113">
        <v>0</v>
      </c>
      <c r="O194" s="113">
        <v>0</v>
      </c>
      <c r="P194" s="146">
        <v>0</v>
      </c>
      <c r="Q194" s="116">
        <v>0</v>
      </c>
      <c r="R194" s="116">
        <v>0</v>
      </c>
      <c r="S194" s="114">
        <v>0</v>
      </c>
      <c r="T194" s="116">
        <v>0</v>
      </c>
      <c r="U194" s="116">
        <v>0</v>
      </c>
      <c r="V194" s="121">
        <f t="shared" si="28"/>
        <v>0</v>
      </c>
      <c r="W194" s="111"/>
      <c r="X194" s="111"/>
      <c r="Y194" s="111"/>
      <c r="Z194" s="111"/>
      <c r="AA194" s="111"/>
      <c r="AB194" s="111"/>
      <c r="AC194" s="111"/>
      <c r="AD194" s="111"/>
      <c r="AE194" s="139">
        <f t="shared" si="27"/>
        <v>0</v>
      </c>
      <c r="AF194" s="109"/>
      <c r="AG194" s="109"/>
    </row>
    <row r="195" spans="1:33">
      <c r="A195" s="117"/>
      <c r="B195" s="118"/>
      <c r="C195" s="118"/>
      <c r="D195" s="118"/>
      <c r="E195" s="119"/>
      <c r="F195" s="118"/>
      <c r="G195" s="110"/>
      <c r="H195" s="143"/>
      <c r="I195" s="114">
        <v>0</v>
      </c>
      <c r="J195" s="115">
        <v>0</v>
      </c>
      <c r="K195" s="116">
        <v>0</v>
      </c>
      <c r="L195" s="116">
        <v>0</v>
      </c>
      <c r="M195" s="114">
        <v>0</v>
      </c>
      <c r="N195" s="113">
        <v>0</v>
      </c>
      <c r="O195" s="113">
        <v>0</v>
      </c>
      <c r="P195" s="146">
        <v>0</v>
      </c>
      <c r="Q195" s="116">
        <v>0</v>
      </c>
      <c r="R195" s="116">
        <v>0</v>
      </c>
      <c r="S195" s="114">
        <v>0</v>
      </c>
      <c r="T195" s="116">
        <v>0</v>
      </c>
      <c r="U195" s="116">
        <v>0</v>
      </c>
      <c r="V195" s="121">
        <f t="shared" si="28"/>
        <v>0</v>
      </c>
      <c r="W195" s="111"/>
      <c r="X195" s="111"/>
      <c r="Y195" s="111"/>
      <c r="Z195" s="111"/>
      <c r="AA195" s="111"/>
      <c r="AB195" s="111"/>
      <c r="AC195" s="111"/>
      <c r="AD195" s="111"/>
      <c r="AE195" s="139">
        <f t="shared" si="27"/>
        <v>0</v>
      </c>
      <c r="AF195" s="109"/>
      <c r="AG195" s="109"/>
    </row>
    <row r="196" spans="1:33">
      <c r="A196" s="117"/>
      <c r="B196" s="118"/>
      <c r="C196" s="118"/>
      <c r="D196" s="118"/>
      <c r="E196" s="119"/>
      <c r="F196" s="118"/>
      <c r="G196" s="110"/>
      <c r="H196" s="143"/>
      <c r="I196" s="114">
        <v>0</v>
      </c>
      <c r="J196" s="115">
        <v>0</v>
      </c>
      <c r="K196" s="116">
        <v>0</v>
      </c>
      <c r="L196" s="116">
        <v>0</v>
      </c>
      <c r="M196" s="114">
        <v>0</v>
      </c>
      <c r="N196" s="113">
        <v>0</v>
      </c>
      <c r="O196" s="113">
        <v>0</v>
      </c>
      <c r="P196" s="146">
        <v>0</v>
      </c>
      <c r="Q196" s="116">
        <v>0</v>
      </c>
      <c r="R196" s="116">
        <v>0</v>
      </c>
      <c r="S196" s="114">
        <v>0</v>
      </c>
      <c r="T196" s="116">
        <v>0</v>
      </c>
      <c r="U196" s="116">
        <v>0</v>
      </c>
      <c r="V196" s="121">
        <f t="shared" si="28"/>
        <v>0</v>
      </c>
      <c r="W196" s="111"/>
      <c r="X196" s="111"/>
      <c r="Y196" s="111"/>
      <c r="Z196" s="111"/>
      <c r="AA196" s="111"/>
      <c r="AB196" s="111"/>
      <c r="AC196" s="111"/>
      <c r="AD196" s="111"/>
      <c r="AE196" s="139">
        <f t="shared" si="27"/>
        <v>0</v>
      </c>
      <c r="AF196" s="109"/>
      <c r="AG196" s="109"/>
    </row>
    <row r="197" spans="1:33">
      <c r="A197" s="117"/>
      <c r="B197" s="118"/>
      <c r="C197" s="118"/>
      <c r="D197" s="118"/>
      <c r="E197" s="119"/>
      <c r="F197" s="118"/>
      <c r="G197" s="110"/>
      <c r="H197" s="143"/>
      <c r="I197" s="114">
        <v>0</v>
      </c>
      <c r="J197" s="115">
        <v>0</v>
      </c>
      <c r="K197" s="116">
        <v>0</v>
      </c>
      <c r="L197" s="116">
        <v>0</v>
      </c>
      <c r="M197" s="114">
        <v>0</v>
      </c>
      <c r="N197" s="113">
        <v>0</v>
      </c>
      <c r="O197" s="113">
        <v>0</v>
      </c>
      <c r="P197" s="146">
        <v>0</v>
      </c>
      <c r="Q197" s="116">
        <v>0</v>
      </c>
      <c r="R197" s="116">
        <v>0</v>
      </c>
      <c r="S197" s="114">
        <v>0</v>
      </c>
      <c r="T197" s="116">
        <v>0</v>
      </c>
      <c r="U197" s="116">
        <v>0</v>
      </c>
      <c r="V197" s="121">
        <f t="shared" si="28"/>
        <v>0</v>
      </c>
      <c r="W197" s="111"/>
      <c r="X197" s="111"/>
      <c r="Y197" s="111"/>
      <c r="Z197" s="111"/>
      <c r="AA197" s="111"/>
      <c r="AB197" s="111"/>
      <c r="AC197" s="111"/>
      <c r="AD197" s="111"/>
      <c r="AE197" s="139">
        <f t="shared" si="27"/>
        <v>0</v>
      </c>
      <c r="AF197" s="109"/>
      <c r="AG197" s="109"/>
    </row>
    <row r="198" spans="1:33">
      <c r="A198" s="117"/>
      <c r="B198" s="118"/>
      <c r="C198" s="118"/>
      <c r="D198" s="118"/>
      <c r="E198" s="119"/>
      <c r="F198" s="118"/>
      <c r="G198" s="110"/>
      <c r="H198" s="143"/>
      <c r="I198" s="114">
        <v>0</v>
      </c>
      <c r="J198" s="115">
        <v>0</v>
      </c>
      <c r="K198" s="116">
        <v>0</v>
      </c>
      <c r="L198" s="116">
        <v>0</v>
      </c>
      <c r="M198" s="114">
        <v>0</v>
      </c>
      <c r="N198" s="113">
        <v>0</v>
      </c>
      <c r="O198" s="113">
        <v>0</v>
      </c>
      <c r="P198" s="146">
        <v>0</v>
      </c>
      <c r="Q198" s="116">
        <v>0</v>
      </c>
      <c r="R198" s="116">
        <v>0</v>
      </c>
      <c r="S198" s="114">
        <v>0</v>
      </c>
      <c r="T198" s="116">
        <v>0</v>
      </c>
      <c r="U198" s="116">
        <v>0</v>
      </c>
      <c r="V198" s="121">
        <f t="shared" si="28"/>
        <v>0</v>
      </c>
      <c r="W198" s="111"/>
      <c r="X198" s="111"/>
      <c r="Y198" s="111"/>
      <c r="Z198" s="111"/>
      <c r="AA198" s="111"/>
      <c r="AB198" s="111"/>
      <c r="AC198" s="111"/>
      <c r="AD198" s="111"/>
      <c r="AE198" s="139">
        <f t="shared" si="27"/>
        <v>0</v>
      </c>
      <c r="AF198" s="109"/>
      <c r="AG198" s="109"/>
    </row>
    <row r="199" spans="1:33">
      <c r="A199" s="117"/>
      <c r="B199" s="118"/>
      <c r="C199" s="118"/>
      <c r="D199" s="118"/>
      <c r="E199" s="119"/>
      <c r="F199" s="118"/>
      <c r="G199" s="110"/>
      <c r="H199" s="143"/>
      <c r="I199" s="114">
        <v>0</v>
      </c>
      <c r="J199" s="115">
        <v>0</v>
      </c>
      <c r="K199" s="116">
        <v>0</v>
      </c>
      <c r="L199" s="116">
        <v>0</v>
      </c>
      <c r="M199" s="114">
        <v>0</v>
      </c>
      <c r="N199" s="113">
        <v>0</v>
      </c>
      <c r="O199" s="113">
        <v>0</v>
      </c>
      <c r="P199" s="146">
        <v>0</v>
      </c>
      <c r="Q199" s="116">
        <v>0</v>
      </c>
      <c r="R199" s="116">
        <v>0</v>
      </c>
      <c r="S199" s="114">
        <v>0</v>
      </c>
      <c r="T199" s="116">
        <v>0</v>
      </c>
      <c r="U199" s="116">
        <v>0</v>
      </c>
      <c r="V199" s="121">
        <f t="shared" si="28"/>
        <v>0</v>
      </c>
      <c r="W199" s="111"/>
      <c r="X199" s="111"/>
      <c r="Y199" s="111"/>
      <c r="Z199" s="111"/>
      <c r="AA199" s="111"/>
      <c r="AB199" s="111"/>
      <c r="AC199" s="111"/>
      <c r="AD199" s="111"/>
      <c r="AE199" s="139">
        <f t="shared" si="27"/>
        <v>0</v>
      </c>
      <c r="AF199" s="109"/>
      <c r="AG199" s="109"/>
    </row>
    <row r="200" spans="1:33">
      <c r="A200" s="117"/>
      <c r="B200" s="118"/>
      <c r="C200" s="118"/>
      <c r="D200" s="118"/>
      <c r="E200" s="119"/>
      <c r="F200" s="118"/>
      <c r="G200" s="110"/>
      <c r="H200" s="143"/>
      <c r="I200" s="114">
        <v>0</v>
      </c>
      <c r="J200" s="115">
        <v>0</v>
      </c>
      <c r="K200" s="116">
        <v>0</v>
      </c>
      <c r="L200" s="116">
        <v>0</v>
      </c>
      <c r="M200" s="114">
        <v>0</v>
      </c>
      <c r="N200" s="113">
        <v>0</v>
      </c>
      <c r="O200" s="113">
        <v>0</v>
      </c>
      <c r="P200" s="146">
        <v>0</v>
      </c>
      <c r="Q200" s="116">
        <v>0</v>
      </c>
      <c r="R200" s="116">
        <v>0</v>
      </c>
      <c r="S200" s="114">
        <v>0</v>
      </c>
      <c r="T200" s="116">
        <v>0</v>
      </c>
      <c r="U200" s="116">
        <v>0</v>
      </c>
      <c r="V200" s="121">
        <f t="shared" si="28"/>
        <v>0</v>
      </c>
      <c r="W200" s="111"/>
      <c r="X200" s="111"/>
      <c r="Y200" s="111"/>
      <c r="Z200" s="111"/>
      <c r="AA200" s="111"/>
      <c r="AB200" s="111"/>
      <c r="AC200" s="111"/>
      <c r="AD200" s="111"/>
      <c r="AE200" s="139">
        <f t="shared" si="27"/>
        <v>0</v>
      </c>
      <c r="AF200" s="109"/>
      <c r="AG200" s="109"/>
    </row>
    <row r="201" spans="1:33">
      <c r="A201" s="117"/>
      <c r="B201" s="118"/>
      <c r="C201" s="118"/>
      <c r="D201" s="118"/>
      <c r="E201" s="119"/>
      <c r="F201" s="118"/>
      <c r="G201" s="110"/>
      <c r="H201" s="143"/>
      <c r="I201" s="114">
        <v>0</v>
      </c>
      <c r="J201" s="115">
        <v>0</v>
      </c>
      <c r="K201" s="116">
        <v>0</v>
      </c>
      <c r="L201" s="116">
        <v>0</v>
      </c>
      <c r="M201" s="114">
        <v>0</v>
      </c>
      <c r="N201" s="113">
        <v>0</v>
      </c>
      <c r="O201" s="113">
        <v>0</v>
      </c>
      <c r="P201" s="146">
        <v>0</v>
      </c>
      <c r="Q201" s="116">
        <v>0</v>
      </c>
      <c r="R201" s="116">
        <v>0</v>
      </c>
      <c r="S201" s="114">
        <v>0</v>
      </c>
      <c r="T201" s="116">
        <v>0</v>
      </c>
      <c r="U201" s="116">
        <v>0</v>
      </c>
      <c r="V201" s="121">
        <f t="shared" si="28"/>
        <v>0</v>
      </c>
      <c r="W201" s="111"/>
      <c r="X201" s="111"/>
      <c r="Y201" s="111"/>
      <c r="Z201" s="111"/>
      <c r="AA201" s="111"/>
      <c r="AB201" s="111"/>
      <c r="AC201" s="111"/>
      <c r="AD201" s="111"/>
      <c r="AE201" s="139">
        <f t="shared" si="27"/>
        <v>0</v>
      </c>
      <c r="AF201" s="109"/>
      <c r="AG201" s="109"/>
    </row>
    <row r="202" spans="1:33">
      <c r="A202" s="117"/>
      <c r="B202" s="118"/>
      <c r="C202" s="118"/>
      <c r="D202" s="118"/>
      <c r="E202" s="119"/>
      <c r="F202" s="118"/>
      <c r="G202" s="110"/>
      <c r="H202" s="143"/>
      <c r="I202" s="114">
        <v>0</v>
      </c>
      <c r="J202" s="115">
        <v>0</v>
      </c>
      <c r="K202" s="116">
        <v>0</v>
      </c>
      <c r="L202" s="116">
        <v>0</v>
      </c>
      <c r="M202" s="114">
        <v>0</v>
      </c>
      <c r="N202" s="113">
        <v>0</v>
      </c>
      <c r="O202" s="113">
        <v>0</v>
      </c>
      <c r="P202" s="146">
        <v>0</v>
      </c>
      <c r="Q202" s="116">
        <v>0</v>
      </c>
      <c r="R202" s="116">
        <v>0</v>
      </c>
      <c r="S202" s="114">
        <v>0</v>
      </c>
      <c r="T202" s="116">
        <v>0</v>
      </c>
      <c r="U202" s="116">
        <v>0</v>
      </c>
      <c r="V202" s="121">
        <f t="shared" si="28"/>
        <v>0</v>
      </c>
      <c r="W202" s="111"/>
      <c r="X202" s="111"/>
      <c r="Y202" s="111"/>
      <c r="Z202" s="111"/>
      <c r="AA202" s="111"/>
      <c r="AB202" s="111"/>
      <c r="AC202" s="111"/>
      <c r="AD202" s="111"/>
      <c r="AE202" s="139">
        <f t="shared" si="27"/>
        <v>0</v>
      </c>
      <c r="AF202" s="109"/>
      <c r="AG202" s="109"/>
    </row>
    <row r="203" spans="1:33">
      <c r="A203" s="117"/>
      <c r="B203" s="118"/>
      <c r="C203" s="118"/>
      <c r="D203" s="118"/>
      <c r="E203" s="119"/>
      <c r="F203" s="118"/>
      <c r="G203" s="110"/>
      <c r="H203" s="143"/>
      <c r="I203" s="114">
        <v>0</v>
      </c>
      <c r="J203" s="115">
        <v>0</v>
      </c>
      <c r="K203" s="116">
        <v>0</v>
      </c>
      <c r="L203" s="116">
        <v>0</v>
      </c>
      <c r="M203" s="114">
        <v>0</v>
      </c>
      <c r="N203" s="113">
        <v>0</v>
      </c>
      <c r="O203" s="113">
        <v>0</v>
      </c>
      <c r="P203" s="146">
        <v>0</v>
      </c>
      <c r="Q203" s="116">
        <v>0</v>
      </c>
      <c r="R203" s="116">
        <v>0</v>
      </c>
      <c r="S203" s="114">
        <v>0</v>
      </c>
      <c r="T203" s="116">
        <v>0</v>
      </c>
      <c r="U203" s="116">
        <v>0</v>
      </c>
      <c r="V203" s="121">
        <f t="shared" si="28"/>
        <v>0</v>
      </c>
      <c r="W203" s="111"/>
      <c r="X203" s="111"/>
      <c r="Y203" s="111"/>
      <c r="Z203" s="111"/>
      <c r="AA203" s="111"/>
      <c r="AB203" s="111"/>
      <c r="AC203" s="111"/>
      <c r="AD203" s="111"/>
      <c r="AE203" s="139">
        <f t="shared" si="27"/>
        <v>0</v>
      </c>
      <c r="AF203" s="109"/>
      <c r="AG203" s="109"/>
    </row>
    <row r="204" spans="1:33">
      <c r="A204" s="117"/>
      <c r="B204" s="118"/>
      <c r="C204" s="118"/>
      <c r="D204" s="118"/>
      <c r="E204" s="119"/>
      <c r="F204" s="118"/>
      <c r="G204" s="110"/>
      <c r="H204" s="143"/>
      <c r="I204" s="114">
        <v>0</v>
      </c>
      <c r="J204" s="115">
        <v>0</v>
      </c>
      <c r="K204" s="116">
        <v>0</v>
      </c>
      <c r="L204" s="116">
        <v>0</v>
      </c>
      <c r="M204" s="114">
        <v>0</v>
      </c>
      <c r="N204" s="113">
        <v>0</v>
      </c>
      <c r="O204" s="113">
        <v>0</v>
      </c>
      <c r="P204" s="146">
        <v>0</v>
      </c>
      <c r="Q204" s="116">
        <v>0</v>
      </c>
      <c r="R204" s="116">
        <v>0</v>
      </c>
      <c r="S204" s="114">
        <v>0</v>
      </c>
      <c r="T204" s="116">
        <v>0</v>
      </c>
      <c r="U204" s="116">
        <v>0</v>
      </c>
      <c r="V204" s="121">
        <f t="shared" si="28"/>
        <v>0</v>
      </c>
      <c r="W204" s="111"/>
      <c r="X204" s="111"/>
      <c r="Y204" s="111"/>
      <c r="Z204" s="111"/>
      <c r="AA204" s="111"/>
      <c r="AB204" s="111"/>
      <c r="AC204" s="111"/>
      <c r="AD204" s="111"/>
      <c r="AE204" s="139">
        <f t="shared" si="27"/>
        <v>0</v>
      </c>
      <c r="AF204" s="109"/>
      <c r="AG204" s="109"/>
    </row>
    <row r="205" spans="1:33">
      <c r="A205" s="117"/>
      <c r="B205" s="118"/>
      <c r="C205" s="118"/>
      <c r="D205" s="118"/>
      <c r="E205" s="119"/>
      <c r="F205" s="118"/>
      <c r="G205" s="110"/>
      <c r="H205" s="143"/>
      <c r="I205" s="114">
        <v>0</v>
      </c>
      <c r="J205" s="115">
        <v>0</v>
      </c>
      <c r="K205" s="116">
        <v>0</v>
      </c>
      <c r="L205" s="116">
        <v>0</v>
      </c>
      <c r="M205" s="114">
        <v>0</v>
      </c>
      <c r="N205" s="113">
        <v>0</v>
      </c>
      <c r="O205" s="113">
        <v>0</v>
      </c>
      <c r="P205" s="146">
        <v>0</v>
      </c>
      <c r="Q205" s="116">
        <v>0</v>
      </c>
      <c r="R205" s="116">
        <v>0</v>
      </c>
      <c r="S205" s="114">
        <v>0</v>
      </c>
      <c r="T205" s="116">
        <v>0</v>
      </c>
      <c r="U205" s="116">
        <v>0</v>
      </c>
      <c r="V205" s="121">
        <f t="shared" si="28"/>
        <v>0</v>
      </c>
      <c r="W205" s="111"/>
      <c r="X205" s="111"/>
      <c r="Y205" s="111"/>
      <c r="Z205" s="111"/>
      <c r="AA205" s="111"/>
      <c r="AB205" s="111"/>
      <c r="AC205" s="111"/>
      <c r="AD205" s="111"/>
      <c r="AE205" s="139">
        <f t="shared" si="27"/>
        <v>0</v>
      </c>
      <c r="AF205" s="109"/>
      <c r="AG205" s="109"/>
    </row>
    <row r="206" spans="1:33">
      <c r="A206" s="117"/>
      <c r="B206" s="118"/>
      <c r="C206" s="118"/>
      <c r="D206" s="118"/>
      <c r="E206" s="119"/>
      <c r="F206" s="118"/>
      <c r="G206" s="110"/>
      <c r="H206" s="143"/>
      <c r="I206" s="114">
        <v>0</v>
      </c>
      <c r="J206" s="115">
        <v>0</v>
      </c>
      <c r="K206" s="116">
        <v>0</v>
      </c>
      <c r="L206" s="116">
        <v>0</v>
      </c>
      <c r="M206" s="114">
        <v>0</v>
      </c>
      <c r="N206" s="113">
        <v>0</v>
      </c>
      <c r="O206" s="113">
        <v>0</v>
      </c>
      <c r="P206" s="146">
        <v>0</v>
      </c>
      <c r="Q206" s="116">
        <v>0</v>
      </c>
      <c r="R206" s="116">
        <v>0</v>
      </c>
      <c r="S206" s="114">
        <v>0</v>
      </c>
      <c r="T206" s="116">
        <v>0</v>
      </c>
      <c r="U206" s="116">
        <v>0</v>
      </c>
      <c r="V206" s="121">
        <f t="shared" si="28"/>
        <v>0</v>
      </c>
      <c r="W206" s="111"/>
      <c r="X206" s="111"/>
      <c r="Y206" s="111"/>
      <c r="Z206" s="111"/>
      <c r="AA206" s="111"/>
      <c r="AB206" s="111"/>
      <c r="AC206" s="111"/>
      <c r="AD206" s="111"/>
      <c r="AE206" s="139">
        <f t="shared" si="27"/>
        <v>0</v>
      </c>
      <c r="AF206" s="109"/>
      <c r="AG206" s="109"/>
    </row>
    <row r="207" spans="1:33">
      <c r="A207" s="117"/>
      <c r="B207" s="118"/>
      <c r="C207" s="118"/>
      <c r="D207" s="118"/>
      <c r="E207" s="119"/>
      <c r="F207" s="118"/>
      <c r="G207" s="110"/>
      <c r="H207" s="143"/>
      <c r="I207" s="114">
        <v>0</v>
      </c>
      <c r="J207" s="115">
        <v>0</v>
      </c>
      <c r="K207" s="116">
        <v>0</v>
      </c>
      <c r="L207" s="116">
        <v>0</v>
      </c>
      <c r="M207" s="114">
        <v>0</v>
      </c>
      <c r="N207" s="113">
        <v>0</v>
      </c>
      <c r="O207" s="113">
        <v>0</v>
      </c>
      <c r="P207" s="146">
        <v>0</v>
      </c>
      <c r="Q207" s="116">
        <v>0</v>
      </c>
      <c r="R207" s="116">
        <v>0</v>
      </c>
      <c r="S207" s="114">
        <v>0</v>
      </c>
      <c r="T207" s="116">
        <v>0</v>
      </c>
      <c r="U207" s="116">
        <v>0</v>
      </c>
      <c r="V207" s="121">
        <f t="shared" si="28"/>
        <v>0</v>
      </c>
      <c r="W207" s="111"/>
      <c r="X207" s="111"/>
      <c r="Y207" s="111"/>
      <c r="Z207" s="111"/>
      <c r="AA207" s="111"/>
      <c r="AB207" s="111"/>
      <c r="AC207" s="111"/>
      <c r="AD207" s="111"/>
      <c r="AE207" s="139">
        <f t="shared" si="27"/>
        <v>0</v>
      </c>
      <c r="AF207" s="109"/>
      <c r="AG207" s="109"/>
    </row>
    <row r="208" spans="1:33">
      <c r="A208" s="117"/>
      <c r="B208" s="118"/>
      <c r="C208" s="118"/>
      <c r="D208" s="118"/>
      <c r="E208" s="119"/>
      <c r="F208" s="118"/>
      <c r="G208" s="110"/>
      <c r="H208" s="143"/>
      <c r="I208" s="114">
        <v>0</v>
      </c>
      <c r="J208" s="115">
        <v>0</v>
      </c>
      <c r="K208" s="116">
        <v>0</v>
      </c>
      <c r="L208" s="116">
        <v>0</v>
      </c>
      <c r="M208" s="114">
        <v>0</v>
      </c>
      <c r="N208" s="113">
        <v>0</v>
      </c>
      <c r="O208" s="113">
        <v>0</v>
      </c>
      <c r="P208" s="146">
        <v>0</v>
      </c>
      <c r="Q208" s="116">
        <v>0</v>
      </c>
      <c r="R208" s="116">
        <v>0</v>
      </c>
      <c r="S208" s="114">
        <v>0</v>
      </c>
      <c r="T208" s="116">
        <v>0</v>
      </c>
      <c r="U208" s="116">
        <v>0</v>
      </c>
      <c r="V208" s="121">
        <f t="shared" si="28"/>
        <v>0</v>
      </c>
      <c r="W208" s="111"/>
      <c r="X208" s="111"/>
      <c r="Y208" s="111"/>
      <c r="Z208" s="111"/>
      <c r="AA208" s="111"/>
      <c r="AB208" s="111"/>
      <c r="AC208" s="111"/>
      <c r="AD208" s="111"/>
      <c r="AE208" s="139">
        <f t="shared" si="27"/>
        <v>0</v>
      </c>
      <c r="AF208" s="109"/>
      <c r="AG208" s="109"/>
    </row>
    <row r="209" spans="1:33">
      <c r="A209" s="117"/>
      <c r="B209" s="118"/>
      <c r="C209" s="118"/>
      <c r="D209" s="118"/>
      <c r="E209" s="119"/>
      <c r="F209" s="118"/>
      <c r="G209" s="110"/>
      <c r="H209" s="143"/>
      <c r="I209" s="114">
        <v>0</v>
      </c>
      <c r="J209" s="115">
        <v>0</v>
      </c>
      <c r="K209" s="116">
        <v>0</v>
      </c>
      <c r="L209" s="116">
        <v>0</v>
      </c>
      <c r="M209" s="114">
        <v>0</v>
      </c>
      <c r="N209" s="113">
        <v>0</v>
      </c>
      <c r="O209" s="113">
        <v>0</v>
      </c>
      <c r="P209" s="146">
        <v>0</v>
      </c>
      <c r="Q209" s="116">
        <v>0</v>
      </c>
      <c r="R209" s="116">
        <v>0</v>
      </c>
      <c r="S209" s="114">
        <v>0</v>
      </c>
      <c r="T209" s="116">
        <v>0</v>
      </c>
      <c r="U209" s="116">
        <v>0</v>
      </c>
      <c r="V209" s="121">
        <f t="shared" si="28"/>
        <v>0</v>
      </c>
      <c r="W209" s="111"/>
      <c r="X209" s="111"/>
      <c r="Y209" s="111"/>
      <c r="Z209" s="111"/>
      <c r="AA209" s="111"/>
      <c r="AB209" s="111"/>
      <c r="AC209" s="111"/>
      <c r="AD209" s="111"/>
      <c r="AE209" s="139">
        <f t="shared" si="27"/>
        <v>0</v>
      </c>
      <c r="AF209" s="109"/>
      <c r="AG209" s="109"/>
    </row>
    <row r="210" spans="1:33">
      <c r="A210" s="117"/>
      <c r="B210" s="118"/>
      <c r="C210" s="118"/>
      <c r="D210" s="118"/>
      <c r="E210" s="119"/>
      <c r="F210" s="118"/>
      <c r="G210" s="110"/>
      <c r="H210" s="143"/>
      <c r="I210" s="114">
        <v>0</v>
      </c>
      <c r="J210" s="115">
        <v>0</v>
      </c>
      <c r="K210" s="116">
        <v>0</v>
      </c>
      <c r="L210" s="116">
        <v>0</v>
      </c>
      <c r="M210" s="114">
        <v>0</v>
      </c>
      <c r="N210" s="113">
        <v>0</v>
      </c>
      <c r="O210" s="113">
        <v>0</v>
      </c>
      <c r="P210" s="146">
        <v>0</v>
      </c>
      <c r="Q210" s="116">
        <v>0</v>
      </c>
      <c r="R210" s="116">
        <v>0</v>
      </c>
      <c r="S210" s="114">
        <v>0</v>
      </c>
      <c r="T210" s="116">
        <v>0</v>
      </c>
      <c r="U210" s="116">
        <v>0</v>
      </c>
      <c r="V210" s="121">
        <f t="shared" si="28"/>
        <v>0</v>
      </c>
      <c r="W210" s="111"/>
      <c r="X210" s="111"/>
      <c r="Y210" s="111"/>
      <c r="Z210" s="111"/>
      <c r="AA210" s="111"/>
      <c r="AB210" s="111"/>
      <c r="AC210" s="111"/>
      <c r="AD210" s="111"/>
      <c r="AE210" s="139">
        <f t="shared" si="27"/>
        <v>0</v>
      </c>
      <c r="AF210" s="109"/>
      <c r="AG210" s="109"/>
    </row>
    <row r="211" spans="1:33">
      <c r="A211" s="117"/>
      <c r="B211" s="118"/>
      <c r="C211" s="118"/>
      <c r="D211" s="118"/>
      <c r="E211" s="119"/>
      <c r="F211" s="118"/>
      <c r="G211" s="110"/>
      <c r="H211" s="143"/>
      <c r="I211" s="114">
        <v>0</v>
      </c>
      <c r="J211" s="115">
        <v>0</v>
      </c>
      <c r="K211" s="116">
        <v>0</v>
      </c>
      <c r="L211" s="116">
        <v>0</v>
      </c>
      <c r="M211" s="114">
        <v>0</v>
      </c>
      <c r="N211" s="113">
        <v>0</v>
      </c>
      <c r="O211" s="113">
        <v>0</v>
      </c>
      <c r="P211" s="146">
        <v>0</v>
      </c>
      <c r="Q211" s="116">
        <v>0</v>
      </c>
      <c r="R211" s="116">
        <v>0</v>
      </c>
      <c r="S211" s="114">
        <v>0</v>
      </c>
      <c r="T211" s="116">
        <v>0</v>
      </c>
      <c r="U211" s="116">
        <v>0</v>
      </c>
      <c r="V211" s="121">
        <f t="shared" si="28"/>
        <v>0</v>
      </c>
      <c r="W211" s="111"/>
      <c r="X211" s="111"/>
      <c r="Y211" s="111"/>
      <c r="Z211" s="111"/>
      <c r="AA211" s="111"/>
      <c r="AB211" s="111"/>
      <c r="AC211" s="111"/>
      <c r="AD211" s="111"/>
      <c r="AE211" s="139">
        <f t="shared" si="27"/>
        <v>0</v>
      </c>
      <c r="AF211" s="109"/>
      <c r="AG211" s="109"/>
    </row>
    <row r="212" spans="1:33">
      <c r="A212" s="117"/>
      <c r="B212" s="118"/>
      <c r="C212" s="118"/>
      <c r="D212" s="118"/>
      <c r="E212" s="119"/>
      <c r="F212" s="118"/>
      <c r="G212" s="110"/>
      <c r="H212" s="143"/>
      <c r="I212" s="114">
        <v>0</v>
      </c>
      <c r="J212" s="115">
        <v>0</v>
      </c>
      <c r="K212" s="116">
        <v>0</v>
      </c>
      <c r="L212" s="116">
        <v>0</v>
      </c>
      <c r="M212" s="114">
        <v>0</v>
      </c>
      <c r="N212" s="113">
        <v>0</v>
      </c>
      <c r="O212" s="113">
        <v>0</v>
      </c>
      <c r="P212" s="146">
        <v>0</v>
      </c>
      <c r="Q212" s="116">
        <v>0</v>
      </c>
      <c r="R212" s="116">
        <v>0</v>
      </c>
      <c r="S212" s="114">
        <v>0</v>
      </c>
      <c r="T212" s="116">
        <v>0</v>
      </c>
      <c r="U212" s="116">
        <v>0</v>
      </c>
      <c r="V212" s="121">
        <f t="shared" si="28"/>
        <v>0</v>
      </c>
      <c r="W212" s="111"/>
      <c r="X212" s="111"/>
      <c r="Y212" s="111"/>
      <c r="Z212" s="111"/>
      <c r="AA212" s="111"/>
      <c r="AB212" s="111"/>
      <c r="AC212" s="111"/>
      <c r="AD212" s="111"/>
      <c r="AE212" s="139">
        <f t="shared" si="27"/>
        <v>0</v>
      </c>
      <c r="AF212" s="109"/>
      <c r="AG212" s="109"/>
    </row>
    <row r="213" spans="1:33">
      <c r="A213" s="117"/>
      <c r="B213" s="118"/>
      <c r="C213" s="118"/>
      <c r="D213" s="118"/>
      <c r="E213" s="119"/>
      <c r="F213" s="118"/>
      <c r="G213" s="110"/>
      <c r="H213" s="143"/>
      <c r="I213" s="114">
        <v>0</v>
      </c>
      <c r="J213" s="115">
        <v>0</v>
      </c>
      <c r="K213" s="116">
        <v>0</v>
      </c>
      <c r="L213" s="116">
        <v>0</v>
      </c>
      <c r="M213" s="114">
        <v>0</v>
      </c>
      <c r="N213" s="113">
        <v>0</v>
      </c>
      <c r="O213" s="113">
        <v>0</v>
      </c>
      <c r="P213" s="146">
        <v>0</v>
      </c>
      <c r="Q213" s="116">
        <v>0</v>
      </c>
      <c r="R213" s="116">
        <v>0</v>
      </c>
      <c r="S213" s="114">
        <v>0</v>
      </c>
      <c r="T213" s="116">
        <v>0</v>
      </c>
      <c r="U213" s="116">
        <v>0</v>
      </c>
      <c r="V213" s="121">
        <f t="shared" si="28"/>
        <v>0</v>
      </c>
      <c r="W213" s="111"/>
      <c r="X213" s="111"/>
      <c r="Y213" s="111"/>
      <c r="Z213" s="111"/>
      <c r="AA213" s="111"/>
      <c r="AB213" s="111"/>
      <c r="AC213" s="111"/>
      <c r="AD213" s="111"/>
      <c r="AE213" s="139">
        <f t="shared" si="27"/>
        <v>0</v>
      </c>
      <c r="AF213" s="109"/>
      <c r="AG213" s="109"/>
    </row>
    <row r="214" spans="1:33">
      <c r="A214" s="117"/>
      <c r="B214" s="118"/>
      <c r="C214" s="118"/>
      <c r="D214" s="118"/>
      <c r="E214" s="119"/>
      <c r="F214" s="118"/>
      <c r="G214" s="110"/>
      <c r="H214" s="143"/>
      <c r="I214" s="114">
        <v>0</v>
      </c>
      <c r="J214" s="115">
        <v>0</v>
      </c>
      <c r="K214" s="116">
        <v>0</v>
      </c>
      <c r="L214" s="116">
        <v>0</v>
      </c>
      <c r="M214" s="114">
        <v>0</v>
      </c>
      <c r="N214" s="113">
        <v>0</v>
      </c>
      <c r="O214" s="113">
        <v>0</v>
      </c>
      <c r="P214" s="146">
        <v>0</v>
      </c>
      <c r="Q214" s="116">
        <v>0</v>
      </c>
      <c r="R214" s="116">
        <v>0</v>
      </c>
      <c r="S214" s="114">
        <v>0</v>
      </c>
      <c r="T214" s="116">
        <v>0</v>
      </c>
      <c r="U214" s="116">
        <v>0</v>
      </c>
      <c r="V214" s="121">
        <f t="shared" si="28"/>
        <v>0</v>
      </c>
      <c r="W214" s="111"/>
      <c r="X214" s="111"/>
      <c r="Y214" s="111"/>
      <c r="Z214" s="111"/>
      <c r="AA214" s="111"/>
      <c r="AB214" s="111"/>
      <c r="AC214" s="111"/>
      <c r="AD214" s="111"/>
      <c r="AE214" s="139">
        <f t="shared" si="27"/>
        <v>0</v>
      </c>
      <c r="AF214" s="109"/>
      <c r="AG214" s="109"/>
    </row>
    <row r="215" spans="1:33">
      <c r="A215" s="117"/>
      <c r="B215" s="118"/>
      <c r="C215" s="118"/>
      <c r="D215" s="118"/>
      <c r="E215" s="119"/>
      <c r="F215" s="118"/>
      <c r="G215" s="110"/>
      <c r="H215" s="143"/>
      <c r="I215" s="114">
        <v>0</v>
      </c>
      <c r="J215" s="115">
        <v>0</v>
      </c>
      <c r="K215" s="116">
        <v>0</v>
      </c>
      <c r="L215" s="116">
        <v>0</v>
      </c>
      <c r="M215" s="114">
        <v>0</v>
      </c>
      <c r="N215" s="113">
        <v>0</v>
      </c>
      <c r="O215" s="113">
        <v>0</v>
      </c>
      <c r="P215" s="146">
        <v>0</v>
      </c>
      <c r="Q215" s="116">
        <v>0</v>
      </c>
      <c r="R215" s="116">
        <v>0</v>
      </c>
      <c r="S215" s="114">
        <v>0</v>
      </c>
      <c r="T215" s="116">
        <v>0</v>
      </c>
      <c r="U215" s="116">
        <v>0</v>
      </c>
      <c r="V215" s="121">
        <f t="shared" si="28"/>
        <v>0</v>
      </c>
      <c r="W215" s="111"/>
      <c r="X215" s="111"/>
      <c r="Y215" s="111"/>
      <c r="Z215" s="111"/>
      <c r="AA215" s="111"/>
      <c r="AB215" s="111"/>
      <c r="AC215" s="111"/>
      <c r="AD215" s="111"/>
      <c r="AE215" s="139">
        <f t="shared" si="27"/>
        <v>0</v>
      </c>
      <c r="AF215" s="109"/>
      <c r="AG215" s="109"/>
    </row>
    <row r="216" spans="1:33">
      <c r="A216" s="117"/>
      <c r="B216" s="118"/>
      <c r="C216" s="118"/>
      <c r="D216" s="118"/>
      <c r="E216" s="119"/>
      <c r="F216" s="118"/>
      <c r="G216" s="110"/>
      <c r="H216" s="143"/>
      <c r="I216" s="114">
        <v>0</v>
      </c>
      <c r="J216" s="115">
        <v>0</v>
      </c>
      <c r="K216" s="116">
        <v>0</v>
      </c>
      <c r="L216" s="116">
        <v>0</v>
      </c>
      <c r="M216" s="114">
        <v>0</v>
      </c>
      <c r="N216" s="113">
        <v>0</v>
      </c>
      <c r="O216" s="113">
        <v>0</v>
      </c>
      <c r="P216" s="146">
        <v>0</v>
      </c>
      <c r="Q216" s="116">
        <v>0</v>
      </c>
      <c r="R216" s="116">
        <v>0</v>
      </c>
      <c r="S216" s="114">
        <v>0</v>
      </c>
      <c r="T216" s="116">
        <v>0</v>
      </c>
      <c r="U216" s="116">
        <v>0</v>
      </c>
      <c r="V216" s="121">
        <f t="shared" si="28"/>
        <v>0</v>
      </c>
      <c r="W216" s="111"/>
      <c r="X216" s="111"/>
      <c r="Y216" s="111"/>
      <c r="Z216" s="111"/>
      <c r="AA216" s="111"/>
      <c r="AB216" s="111"/>
      <c r="AC216" s="111"/>
      <c r="AD216" s="111"/>
      <c r="AE216" s="139">
        <f t="shared" si="27"/>
        <v>0</v>
      </c>
      <c r="AF216" s="109"/>
      <c r="AG216" s="109"/>
    </row>
    <row r="217" spans="1:33">
      <c r="A217" s="117"/>
      <c r="B217" s="118"/>
      <c r="C217" s="118"/>
      <c r="D217" s="118"/>
      <c r="E217" s="119"/>
      <c r="F217" s="118"/>
      <c r="G217" s="110"/>
      <c r="H217" s="143"/>
      <c r="I217" s="114">
        <v>0</v>
      </c>
      <c r="J217" s="115">
        <v>0</v>
      </c>
      <c r="K217" s="116">
        <v>0</v>
      </c>
      <c r="L217" s="116">
        <v>0</v>
      </c>
      <c r="M217" s="114">
        <v>0</v>
      </c>
      <c r="N217" s="113">
        <v>0</v>
      </c>
      <c r="O217" s="113">
        <v>0</v>
      </c>
      <c r="P217" s="146">
        <v>0</v>
      </c>
      <c r="Q217" s="116">
        <v>0</v>
      </c>
      <c r="R217" s="116">
        <v>0</v>
      </c>
      <c r="S217" s="114">
        <v>0</v>
      </c>
      <c r="T217" s="116">
        <v>0</v>
      </c>
      <c r="U217" s="116">
        <v>0</v>
      </c>
      <c r="V217" s="121">
        <f t="shared" si="28"/>
        <v>0</v>
      </c>
      <c r="W217" s="111"/>
      <c r="X217" s="111"/>
      <c r="Y217" s="111"/>
      <c r="Z217" s="111"/>
      <c r="AA217" s="111"/>
      <c r="AB217" s="111"/>
      <c r="AC217" s="111"/>
      <c r="AD217" s="111"/>
      <c r="AE217" s="139">
        <f t="shared" si="27"/>
        <v>0</v>
      </c>
      <c r="AF217" s="109"/>
      <c r="AG217" s="109"/>
    </row>
    <row r="218" spans="1:33">
      <c r="A218" s="117"/>
      <c r="B218" s="118"/>
      <c r="C218" s="118"/>
      <c r="D218" s="118"/>
      <c r="E218" s="119"/>
      <c r="F218" s="118"/>
      <c r="G218" s="110"/>
      <c r="H218" s="143"/>
      <c r="I218" s="114">
        <v>0</v>
      </c>
      <c r="J218" s="115">
        <v>0</v>
      </c>
      <c r="K218" s="116">
        <v>0</v>
      </c>
      <c r="L218" s="116">
        <v>0</v>
      </c>
      <c r="M218" s="114">
        <v>0</v>
      </c>
      <c r="N218" s="113">
        <v>0</v>
      </c>
      <c r="O218" s="113">
        <v>0</v>
      </c>
      <c r="P218" s="146">
        <v>0</v>
      </c>
      <c r="Q218" s="116">
        <v>0</v>
      </c>
      <c r="R218" s="116">
        <v>0</v>
      </c>
      <c r="S218" s="114">
        <v>0</v>
      </c>
      <c r="T218" s="116">
        <v>0</v>
      </c>
      <c r="U218" s="116">
        <v>0</v>
      </c>
      <c r="V218" s="121">
        <f t="shared" si="28"/>
        <v>0</v>
      </c>
      <c r="W218" s="111"/>
      <c r="X218" s="111"/>
      <c r="Y218" s="111"/>
      <c r="Z218" s="111"/>
      <c r="AA218" s="111"/>
      <c r="AB218" s="111"/>
      <c r="AC218" s="111"/>
      <c r="AD218" s="111"/>
      <c r="AE218" s="139">
        <f t="shared" si="27"/>
        <v>0</v>
      </c>
      <c r="AF218" s="109"/>
      <c r="AG218" s="109"/>
    </row>
    <row r="219" spans="1:33">
      <c r="A219" s="117"/>
      <c r="B219" s="118"/>
      <c r="C219" s="118"/>
      <c r="D219" s="118"/>
      <c r="E219" s="119"/>
      <c r="F219" s="118"/>
      <c r="G219" s="110"/>
      <c r="H219" s="143"/>
      <c r="I219" s="114">
        <v>0</v>
      </c>
      <c r="J219" s="115">
        <v>0</v>
      </c>
      <c r="K219" s="116">
        <v>0</v>
      </c>
      <c r="L219" s="116">
        <v>0</v>
      </c>
      <c r="M219" s="114">
        <v>0</v>
      </c>
      <c r="N219" s="113">
        <v>0</v>
      </c>
      <c r="O219" s="113">
        <v>0</v>
      </c>
      <c r="P219" s="146">
        <v>0</v>
      </c>
      <c r="Q219" s="116">
        <v>0</v>
      </c>
      <c r="R219" s="116">
        <v>0</v>
      </c>
      <c r="S219" s="114">
        <v>0</v>
      </c>
      <c r="T219" s="116">
        <v>0</v>
      </c>
      <c r="U219" s="116">
        <v>0</v>
      </c>
      <c r="V219" s="121">
        <f t="shared" si="28"/>
        <v>0</v>
      </c>
      <c r="W219" s="111"/>
      <c r="X219" s="111"/>
      <c r="Y219" s="111"/>
      <c r="Z219" s="111"/>
      <c r="AA219" s="111"/>
      <c r="AB219" s="111"/>
      <c r="AC219" s="111"/>
      <c r="AD219" s="111"/>
      <c r="AE219" s="139">
        <f t="shared" si="27"/>
        <v>0</v>
      </c>
      <c r="AF219" s="109"/>
      <c r="AG219" s="109"/>
    </row>
    <row r="220" spans="1:33">
      <c r="A220" s="117"/>
      <c r="B220" s="118"/>
      <c r="C220" s="118"/>
      <c r="D220" s="118"/>
      <c r="E220" s="119"/>
      <c r="F220" s="118"/>
      <c r="G220" s="110"/>
      <c r="H220" s="143"/>
      <c r="I220" s="114">
        <v>0</v>
      </c>
      <c r="J220" s="115">
        <v>0</v>
      </c>
      <c r="K220" s="116">
        <v>0</v>
      </c>
      <c r="L220" s="116">
        <v>0</v>
      </c>
      <c r="M220" s="114">
        <v>0</v>
      </c>
      <c r="N220" s="113">
        <v>0</v>
      </c>
      <c r="O220" s="113">
        <v>0</v>
      </c>
      <c r="P220" s="146">
        <v>0</v>
      </c>
      <c r="Q220" s="116">
        <v>0</v>
      </c>
      <c r="R220" s="116">
        <v>0</v>
      </c>
      <c r="S220" s="114">
        <v>0</v>
      </c>
      <c r="T220" s="116">
        <v>0</v>
      </c>
      <c r="U220" s="116">
        <v>0</v>
      </c>
      <c r="V220" s="121">
        <f t="shared" si="28"/>
        <v>0</v>
      </c>
      <c r="W220" s="111"/>
      <c r="X220" s="111"/>
      <c r="Y220" s="111"/>
      <c r="Z220" s="111"/>
      <c r="AA220" s="111"/>
      <c r="AB220" s="111"/>
      <c r="AC220" s="111"/>
      <c r="AD220" s="111"/>
      <c r="AE220" s="139">
        <f t="shared" si="27"/>
        <v>0</v>
      </c>
      <c r="AF220" s="109"/>
      <c r="AG220" s="109"/>
    </row>
    <row r="221" spans="1:33">
      <c r="A221" s="117"/>
      <c r="B221" s="118"/>
      <c r="C221" s="118"/>
      <c r="D221" s="118"/>
      <c r="E221" s="119"/>
      <c r="F221" s="118"/>
      <c r="G221" s="110"/>
      <c r="H221" s="143"/>
      <c r="I221" s="114">
        <v>0</v>
      </c>
      <c r="J221" s="115">
        <v>0</v>
      </c>
      <c r="K221" s="116">
        <v>0</v>
      </c>
      <c r="L221" s="116">
        <v>0</v>
      </c>
      <c r="M221" s="114">
        <v>0</v>
      </c>
      <c r="N221" s="113">
        <v>0</v>
      </c>
      <c r="O221" s="113">
        <v>0</v>
      </c>
      <c r="P221" s="146">
        <v>0</v>
      </c>
      <c r="Q221" s="116">
        <v>0</v>
      </c>
      <c r="R221" s="116">
        <v>0</v>
      </c>
      <c r="S221" s="114">
        <v>0</v>
      </c>
      <c r="T221" s="116">
        <v>0</v>
      </c>
      <c r="U221" s="116">
        <v>0</v>
      </c>
      <c r="V221" s="121">
        <f t="shared" si="28"/>
        <v>0</v>
      </c>
      <c r="W221" s="111"/>
      <c r="X221" s="111"/>
      <c r="Y221" s="111"/>
      <c r="Z221" s="111"/>
      <c r="AA221" s="111"/>
      <c r="AB221" s="111"/>
      <c r="AC221" s="111"/>
      <c r="AD221" s="111"/>
      <c r="AE221" s="139">
        <f t="shared" si="27"/>
        <v>0</v>
      </c>
      <c r="AF221" s="109"/>
      <c r="AG221" s="109"/>
    </row>
    <row r="222" spans="1:33">
      <c r="A222" s="117"/>
      <c r="B222" s="118"/>
      <c r="C222" s="118"/>
      <c r="D222" s="118"/>
      <c r="E222" s="119"/>
      <c r="F222" s="118"/>
      <c r="G222" s="110"/>
      <c r="H222" s="143"/>
      <c r="I222" s="114">
        <v>0</v>
      </c>
      <c r="J222" s="115">
        <v>0</v>
      </c>
      <c r="K222" s="116">
        <v>0</v>
      </c>
      <c r="L222" s="116">
        <v>0</v>
      </c>
      <c r="M222" s="114">
        <v>0</v>
      </c>
      <c r="N222" s="113">
        <v>0</v>
      </c>
      <c r="O222" s="113">
        <v>0</v>
      </c>
      <c r="P222" s="146">
        <v>0</v>
      </c>
      <c r="Q222" s="116">
        <v>0</v>
      </c>
      <c r="R222" s="116">
        <v>0</v>
      </c>
      <c r="S222" s="114">
        <v>0</v>
      </c>
      <c r="T222" s="116">
        <v>0</v>
      </c>
      <c r="U222" s="116">
        <v>0</v>
      </c>
      <c r="V222" s="121">
        <f t="shared" si="28"/>
        <v>0</v>
      </c>
      <c r="W222" s="111"/>
      <c r="X222" s="111"/>
      <c r="Y222" s="111"/>
      <c r="Z222" s="111"/>
      <c r="AA222" s="111"/>
      <c r="AB222" s="111"/>
      <c r="AC222" s="111"/>
      <c r="AD222" s="111"/>
      <c r="AE222" s="139">
        <f t="shared" si="27"/>
        <v>0</v>
      </c>
      <c r="AF222" s="109"/>
      <c r="AG222" s="109"/>
    </row>
    <row r="223" spans="1:33">
      <c r="A223" s="117"/>
      <c r="B223" s="118"/>
      <c r="C223" s="118"/>
      <c r="D223" s="118"/>
      <c r="E223" s="119"/>
      <c r="F223" s="118"/>
      <c r="G223" s="110"/>
      <c r="H223" s="143"/>
      <c r="I223" s="114">
        <v>0</v>
      </c>
      <c r="J223" s="115">
        <v>0</v>
      </c>
      <c r="K223" s="116">
        <v>0</v>
      </c>
      <c r="L223" s="116">
        <v>0</v>
      </c>
      <c r="M223" s="114">
        <v>0</v>
      </c>
      <c r="N223" s="113">
        <v>0</v>
      </c>
      <c r="O223" s="113">
        <v>0</v>
      </c>
      <c r="P223" s="146">
        <v>0</v>
      </c>
      <c r="Q223" s="116">
        <v>0</v>
      </c>
      <c r="R223" s="116">
        <v>0</v>
      </c>
      <c r="S223" s="114">
        <v>0</v>
      </c>
      <c r="T223" s="116">
        <v>0</v>
      </c>
      <c r="U223" s="116">
        <v>0</v>
      </c>
      <c r="V223" s="121">
        <f t="shared" si="28"/>
        <v>0</v>
      </c>
      <c r="W223" s="111"/>
      <c r="X223" s="111"/>
      <c r="Y223" s="111"/>
      <c r="Z223" s="111"/>
      <c r="AA223" s="111"/>
      <c r="AB223" s="111"/>
      <c r="AC223" s="111"/>
      <c r="AD223" s="111"/>
      <c r="AE223" s="139">
        <f t="shared" si="27"/>
        <v>0</v>
      </c>
      <c r="AF223" s="109"/>
      <c r="AG223" s="109"/>
    </row>
    <row r="224" spans="1:33">
      <c r="A224" s="117"/>
      <c r="B224" s="118"/>
      <c r="C224" s="118"/>
      <c r="D224" s="118"/>
      <c r="E224" s="119"/>
      <c r="F224" s="118"/>
      <c r="G224" s="110"/>
      <c r="H224" s="143"/>
      <c r="I224" s="114">
        <v>0</v>
      </c>
      <c r="J224" s="115">
        <v>0</v>
      </c>
      <c r="K224" s="116">
        <v>0</v>
      </c>
      <c r="L224" s="116">
        <v>0</v>
      </c>
      <c r="M224" s="114">
        <v>0</v>
      </c>
      <c r="N224" s="113">
        <v>0</v>
      </c>
      <c r="O224" s="113">
        <v>0</v>
      </c>
      <c r="P224" s="146">
        <v>0</v>
      </c>
      <c r="Q224" s="116">
        <v>0</v>
      </c>
      <c r="R224" s="116">
        <v>0</v>
      </c>
      <c r="S224" s="114">
        <v>0</v>
      </c>
      <c r="T224" s="116">
        <v>0</v>
      </c>
      <c r="U224" s="116">
        <v>0</v>
      </c>
      <c r="V224" s="121">
        <f t="shared" si="28"/>
        <v>0</v>
      </c>
      <c r="W224" s="111"/>
      <c r="X224" s="111"/>
      <c r="Y224" s="111"/>
      <c r="Z224" s="111"/>
      <c r="AA224" s="111"/>
      <c r="AB224" s="111"/>
      <c r="AC224" s="111"/>
      <c r="AD224" s="111"/>
      <c r="AE224" s="139">
        <f t="shared" si="27"/>
        <v>0</v>
      </c>
      <c r="AF224" s="109"/>
      <c r="AG224" s="109"/>
    </row>
    <row r="225" spans="1:33">
      <c r="A225" s="117"/>
      <c r="B225" s="118"/>
      <c r="C225" s="118"/>
      <c r="D225" s="118"/>
      <c r="E225" s="119"/>
      <c r="F225" s="118"/>
      <c r="G225" s="110"/>
      <c r="H225" s="143"/>
      <c r="I225" s="114">
        <v>0</v>
      </c>
      <c r="J225" s="115">
        <v>0</v>
      </c>
      <c r="K225" s="116">
        <v>0</v>
      </c>
      <c r="L225" s="116">
        <v>0</v>
      </c>
      <c r="M225" s="114">
        <v>0</v>
      </c>
      <c r="N225" s="113">
        <v>0</v>
      </c>
      <c r="O225" s="113">
        <v>0</v>
      </c>
      <c r="P225" s="146">
        <v>0</v>
      </c>
      <c r="Q225" s="116">
        <v>0</v>
      </c>
      <c r="R225" s="116">
        <v>0</v>
      </c>
      <c r="S225" s="114">
        <v>0</v>
      </c>
      <c r="T225" s="116">
        <v>0</v>
      </c>
      <c r="U225" s="116">
        <v>0</v>
      </c>
      <c r="V225" s="121">
        <f t="shared" si="28"/>
        <v>0</v>
      </c>
      <c r="W225" s="111"/>
      <c r="X225" s="111"/>
      <c r="Y225" s="111"/>
      <c r="Z225" s="111"/>
      <c r="AA225" s="111"/>
      <c r="AB225" s="111"/>
      <c r="AC225" s="111"/>
      <c r="AD225" s="111"/>
      <c r="AE225" s="139">
        <f t="shared" si="27"/>
        <v>0</v>
      </c>
      <c r="AF225" s="109"/>
      <c r="AG225" s="109"/>
    </row>
    <row r="226" spans="1:33">
      <c r="A226" s="117"/>
      <c r="B226" s="118"/>
      <c r="C226" s="118"/>
      <c r="D226" s="118"/>
      <c r="E226" s="119"/>
      <c r="F226" s="118"/>
      <c r="G226" s="110"/>
      <c r="H226" s="143"/>
      <c r="I226" s="114">
        <v>0</v>
      </c>
      <c r="J226" s="115">
        <v>0</v>
      </c>
      <c r="K226" s="116">
        <v>0</v>
      </c>
      <c r="L226" s="116">
        <v>0</v>
      </c>
      <c r="M226" s="114">
        <v>0</v>
      </c>
      <c r="N226" s="113">
        <v>0</v>
      </c>
      <c r="O226" s="113">
        <v>0</v>
      </c>
      <c r="P226" s="146">
        <v>0</v>
      </c>
      <c r="Q226" s="116">
        <v>0</v>
      </c>
      <c r="R226" s="116">
        <v>0</v>
      </c>
      <c r="S226" s="114">
        <v>0</v>
      </c>
      <c r="T226" s="116">
        <v>0</v>
      </c>
      <c r="U226" s="116">
        <v>0</v>
      </c>
      <c r="V226" s="121">
        <f t="shared" si="28"/>
        <v>0</v>
      </c>
      <c r="W226" s="111"/>
      <c r="X226" s="111"/>
      <c r="Y226" s="111"/>
      <c r="Z226" s="111"/>
      <c r="AA226" s="111"/>
      <c r="AB226" s="111"/>
      <c r="AC226" s="111"/>
      <c r="AD226" s="111"/>
      <c r="AE226" s="139">
        <f t="shared" si="27"/>
        <v>0</v>
      </c>
      <c r="AF226" s="109"/>
      <c r="AG226" s="109"/>
    </row>
    <row r="227" spans="1:33">
      <c r="A227" s="117"/>
      <c r="B227" s="118"/>
      <c r="C227" s="118"/>
      <c r="D227" s="118"/>
      <c r="E227" s="119"/>
      <c r="F227" s="118"/>
      <c r="G227" s="110"/>
      <c r="H227" s="143"/>
      <c r="I227" s="114">
        <v>0</v>
      </c>
      <c r="J227" s="115">
        <v>0</v>
      </c>
      <c r="K227" s="116">
        <v>0</v>
      </c>
      <c r="L227" s="116">
        <v>0</v>
      </c>
      <c r="M227" s="114">
        <v>0</v>
      </c>
      <c r="N227" s="113">
        <v>0</v>
      </c>
      <c r="O227" s="113">
        <v>0</v>
      </c>
      <c r="P227" s="146">
        <v>0</v>
      </c>
      <c r="Q227" s="116">
        <v>0</v>
      </c>
      <c r="R227" s="116">
        <v>0</v>
      </c>
      <c r="S227" s="114">
        <v>0</v>
      </c>
      <c r="T227" s="116">
        <v>0</v>
      </c>
      <c r="U227" s="116">
        <v>0</v>
      </c>
      <c r="V227" s="121">
        <f t="shared" si="28"/>
        <v>0</v>
      </c>
      <c r="W227" s="111"/>
      <c r="X227" s="111"/>
      <c r="Y227" s="111"/>
      <c r="Z227" s="111"/>
      <c r="AA227" s="111"/>
      <c r="AB227" s="111"/>
      <c r="AC227" s="111"/>
      <c r="AD227" s="111"/>
      <c r="AE227" s="139">
        <f t="shared" si="27"/>
        <v>0</v>
      </c>
      <c r="AF227" s="109"/>
      <c r="AG227" s="109"/>
    </row>
    <row r="228" spans="1:33">
      <c r="A228" s="117"/>
      <c r="B228" s="118"/>
      <c r="C228" s="118"/>
      <c r="D228" s="118"/>
      <c r="E228" s="119"/>
      <c r="F228" s="118"/>
      <c r="G228" s="110"/>
      <c r="H228" s="143"/>
      <c r="I228" s="114">
        <v>0</v>
      </c>
      <c r="J228" s="115">
        <v>0</v>
      </c>
      <c r="K228" s="116">
        <v>0</v>
      </c>
      <c r="L228" s="116">
        <v>0</v>
      </c>
      <c r="M228" s="114">
        <v>0</v>
      </c>
      <c r="N228" s="113">
        <v>0</v>
      </c>
      <c r="O228" s="113">
        <v>0</v>
      </c>
      <c r="P228" s="146">
        <v>0</v>
      </c>
      <c r="Q228" s="116">
        <v>0</v>
      </c>
      <c r="R228" s="116">
        <v>0</v>
      </c>
      <c r="S228" s="114">
        <v>0</v>
      </c>
      <c r="T228" s="116">
        <v>0</v>
      </c>
      <c r="U228" s="116">
        <v>0</v>
      </c>
      <c r="V228" s="121">
        <f t="shared" si="28"/>
        <v>0</v>
      </c>
      <c r="W228" s="111"/>
      <c r="X228" s="111"/>
      <c r="Y228" s="111"/>
      <c r="Z228" s="111"/>
      <c r="AA228" s="111"/>
      <c r="AB228" s="111"/>
      <c r="AC228" s="111"/>
      <c r="AD228" s="111"/>
      <c r="AE228" s="139">
        <f t="shared" si="27"/>
        <v>0</v>
      </c>
      <c r="AF228" s="109"/>
      <c r="AG228" s="109"/>
    </row>
    <row r="229" spans="1:33">
      <c r="A229" s="117"/>
      <c r="B229" s="118"/>
      <c r="C229" s="118"/>
      <c r="D229" s="118"/>
      <c r="E229" s="119"/>
      <c r="F229" s="118"/>
      <c r="G229" s="110"/>
      <c r="H229" s="143"/>
      <c r="I229" s="114">
        <v>0</v>
      </c>
      <c r="J229" s="115">
        <v>0</v>
      </c>
      <c r="K229" s="116">
        <v>0</v>
      </c>
      <c r="L229" s="116">
        <v>0</v>
      </c>
      <c r="M229" s="114">
        <v>0</v>
      </c>
      <c r="N229" s="113">
        <v>0</v>
      </c>
      <c r="O229" s="113">
        <v>0</v>
      </c>
      <c r="P229" s="146">
        <v>0</v>
      </c>
      <c r="Q229" s="116">
        <v>0</v>
      </c>
      <c r="R229" s="116">
        <v>0</v>
      </c>
      <c r="S229" s="114">
        <v>0</v>
      </c>
      <c r="T229" s="116">
        <v>0</v>
      </c>
      <c r="U229" s="116">
        <v>0</v>
      </c>
      <c r="V229" s="121">
        <f t="shared" si="28"/>
        <v>0</v>
      </c>
      <c r="W229" s="111"/>
      <c r="X229" s="111"/>
      <c r="Y229" s="111"/>
      <c r="Z229" s="111"/>
      <c r="AA229" s="111"/>
      <c r="AB229" s="111"/>
      <c r="AC229" s="111"/>
      <c r="AD229" s="111"/>
      <c r="AE229" s="139">
        <f t="shared" si="27"/>
        <v>0</v>
      </c>
      <c r="AF229" s="109"/>
      <c r="AG229" s="109"/>
    </row>
    <row r="230" spans="1:33">
      <c r="A230" s="117"/>
      <c r="B230" s="118"/>
      <c r="C230" s="118"/>
      <c r="D230" s="118"/>
      <c r="E230" s="119"/>
      <c r="F230" s="118"/>
      <c r="G230" s="110"/>
      <c r="H230" s="143"/>
      <c r="I230" s="114">
        <v>0</v>
      </c>
      <c r="J230" s="115">
        <v>0</v>
      </c>
      <c r="K230" s="116">
        <v>0</v>
      </c>
      <c r="L230" s="116">
        <v>0</v>
      </c>
      <c r="M230" s="114">
        <v>0</v>
      </c>
      <c r="N230" s="113">
        <v>0</v>
      </c>
      <c r="O230" s="113">
        <v>0</v>
      </c>
      <c r="P230" s="146">
        <v>0</v>
      </c>
      <c r="Q230" s="116">
        <v>0</v>
      </c>
      <c r="R230" s="116">
        <v>0</v>
      </c>
      <c r="S230" s="114">
        <v>0</v>
      </c>
      <c r="T230" s="116">
        <v>0</v>
      </c>
      <c r="U230" s="116">
        <v>0</v>
      </c>
      <c r="V230" s="121">
        <f t="shared" si="28"/>
        <v>0</v>
      </c>
      <c r="W230" s="111"/>
      <c r="X230" s="111"/>
      <c r="Y230" s="111"/>
      <c r="Z230" s="111"/>
      <c r="AA230" s="111"/>
      <c r="AB230" s="111"/>
      <c r="AC230" s="111"/>
      <c r="AD230" s="111"/>
      <c r="AE230" s="139">
        <f t="shared" si="27"/>
        <v>0</v>
      </c>
      <c r="AF230" s="109"/>
      <c r="AG230" s="109"/>
    </row>
    <row r="231" spans="1:33">
      <c r="A231" s="117"/>
      <c r="B231" s="118"/>
      <c r="C231" s="118"/>
      <c r="D231" s="118"/>
      <c r="E231" s="119"/>
      <c r="F231" s="118"/>
      <c r="G231" s="110"/>
      <c r="H231" s="143"/>
      <c r="I231" s="114">
        <v>0</v>
      </c>
      <c r="J231" s="115">
        <v>0</v>
      </c>
      <c r="K231" s="116">
        <v>0</v>
      </c>
      <c r="L231" s="116">
        <v>0</v>
      </c>
      <c r="M231" s="114">
        <v>0</v>
      </c>
      <c r="N231" s="113">
        <v>0</v>
      </c>
      <c r="O231" s="113">
        <v>0</v>
      </c>
      <c r="P231" s="146">
        <v>0</v>
      </c>
      <c r="Q231" s="116">
        <v>0</v>
      </c>
      <c r="R231" s="116">
        <v>0</v>
      </c>
      <c r="S231" s="114">
        <v>0</v>
      </c>
      <c r="T231" s="116">
        <v>0</v>
      </c>
      <c r="U231" s="116">
        <v>0</v>
      </c>
      <c r="V231" s="121">
        <f t="shared" si="28"/>
        <v>0</v>
      </c>
      <c r="W231" s="111"/>
      <c r="X231" s="111"/>
      <c r="Y231" s="111"/>
      <c r="Z231" s="111"/>
      <c r="AA231" s="111"/>
      <c r="AB231" s="111"/>
      <c r="AC231" s="111"/>
      <c r="AD231" s="111"/>
      <c r="AE231" s="139">
        <f t="shared" si="27"/>
        <v>0</v>
      </c>
      <c r="AF231" s="109"/>
      <c r="AG231" s="109"/>
    </row>
    <row r="232" spans="1:33">
      <c r="A232" s="117"/>
      <c r="B232" s="118"/>
      <c r="C232" s="118"/>
      <c r="D232" s="118"/>
      <c r="E232" s="119"/>
      <c r="F232" s="118"/>
      <c r="G232" s="110"/>
      <c r="H232" s="143"/>
      <c r="I232" s="114">
        <v>0</v>
      </c>
      <c r="J232" s="115">
        <v>0</v>
      </c>
      <c r="K232" s="116">
        <v>0</v>
      </c>
      <c r="L232" s="116">
        <v>0</v>
      </c>
      <c r="M232" s="114">
        <v>0</v>
      </c>
      <c r="N232" s="113">
        <v>0</v>
      </c>
      <c r="O232" s="113">
        <v>0</v>
      </c>
      <c r="P232" s="146">
        <v>0</v>
      </c>
      <c r="Q232" s="116">
        <v>0</v>
      </c>
      <c r="R232" s="116">
        <v>0</v>
      </c>
      <c r="S232" s="114">
        <v>0</v>
      </c>
      <c r="T232" s="116">
        <v>0</v>
      </c>
      <c r="U232" s="116">
        <v>0</v>
      </c>
      <c r="V232" s="121">
        <f t="shared" si="28"/>
        <v>0</v>
      </c>
      <c r="W232" s="111"/>
      <c r="X232" s="111"/>
      <c r="Y232" s="111"/>
      <c r="Z232" s="111"/>
      <c r="AA232" s="111"/>
      <c r="AB232" s="111"/>
      <c r="AC232" s="111"/>
      <c r="AD232" s="111"/>
      <c r="AE232" s="139">
        <f t="shared" si="27"/>
        <v>0</v>
      </c>
      <c r="AF232" s="109"/>
      <c r="AG232" s="109"/>
    </row>
    <row r="233" spans="1:33">
      <c r="A233" s="117"/>
      <c r="B233" s="118"/>
      <c r="C233" s="118"/>
      <c r="D233" s="118"/>
      <c r="E233" s="119"/>
      <c r="F233" s="118"/>
      <c r="G233" s="110"/>
      <c r="H233" s="143"/>
      <c r="I233" s="114">
        <v>0</v>
      </c>
      <c r="J233" s="115">
        <v>0</v>
      </c>
      <c r="K233" s="116">
        <v>0</v>
      </c>
      <c r="L233" s="116">
        <v>0</v>
      </c>
      <c r="M233" s="114">
        <v>0</v>
      </c>
      <c r="N233" s="113">
        <v>0</v>
      </c>
      <c r="O233" s="113">
        <v>0</v>
      </c>
      <c r="P233" s="146">
        <v>0</v>
      </c>
      <c r="Q233" s="116">
        <v>0</v>
      </c>
      <c r="R233" s="116">
        <v>0</v>
      </c>
      <c r="S233" s="114">
        <v>0</v>
      </c>
      <c r="T233" s="116">
        <v>0</v>
      </c>
      <c r="U233" s="116">
        <v>0</v>
      </c>
      <c r="V233" s="121">
        <f t="shared" si="28"/>
        <v>0</v>
      </c>
      <c r="W233" s="111"/>
      <c r="X233" s="111"/>
      <c r="Y233" s="111"/>
      <c r="Z233" s="111"/>
      <c r="AA233" s="111"/>
      <c r="AB233" s="111"/>
      <c r="AC233" s="111"/>
      <c r="AD233" s="111"/>
      <c r="AE233" s="139">
        <f t="shared" ref="AE233:AE296" si="29">V233-(X233+Y233)</f>
        <v>0</v>
      </c>
      <c r="AF233" s="109"/>
      <c r="AG233" s="109"/>
    </row>
    <row r="234" spans="1:33">
      <c r="A234" s="117"/>
      <c r="B234" s="118"/>
      <c r="C234" s="118"/>
      <c r="D234" s="118"/>
      <c r="E234" s="119"/>
      <c r="F234" s="118"/>
      <c r="G234" s="110"/>
      <c r="H234" s="143"/>
      <c r="I234" s="114">
        <v>0</v>
      </c>
      <c r="J234" s="115">
        <v>0</v>
      </c>
      <c r="K234" s="116">
        <v>0</v>
      </c>
      <c r="L234" s="116">
        <v>0</v>
      </c>
      <c r="M234" s="114">
        <v>0</v>
      </c>
      <c r="N234" s="113">
        <v>0</v>
      </c>
      <c r="O234" s="113">
        <v>0</v>
      </c>
      <c r="P234" s="146">
        <v>0</v>
      </c>
      <c r="Q234" s="116">
        <v>0</v>
      </c>
      <c r="R234" s="116">
        <v>0</v>
      </c>
      <c r="S234" s="114">
        <v>0</v>
      </c>
      <c r="T234" s="116">
        <v>0</v>
      </c>
      <c r="U234" s="116">
        <v>0</v>
      </c>
      <c r="V234" s="121">
        <f t="shared" si="28"/>
        <v>0</v>
      </c>
      <c r="W234" s="111"/>
      <c r="X234" s="111"/>
      <c r="Y234" s="111"/>
      <c r="Z234" s="111"/>
      <c r="AA234" s="111"/>
      <c r="AB234" s="111"/>
      <c r="AC234" s="111"/>
      <c r="AD234" s="111"/>
      <c r="AE234" s="139">
        <f t="shared" si="29"/>
        <v>0</v>
      </c>
      <c r="AF234" s="109"/>
      <c r="AG234" s="109"/>
    </row>
    <row r="235" spans="1:33">
      <c r="A235" s="117"/>
      <c r="B235" s="118"/>
      <c r="C235" s="118"/>
      <c r="D235" s="118"/>
      <c r="E235" s="119"/>
      <c r="F235" s="118"/>
      <c r="G235" s="110"/>
      <c r="H235" s="143"/>
      <c r="I235" s="114">
        <v>0</v>
      </c>
      <c r="J235" s="115">
        <v>0</v>
      </c>
      <c r="K235" s="116">
        <v>0</v>
      </c>
      <c r="L235" s="116">
        <v>0</v>
      </c>
      <c r="M235" s="114">
        <v>0</v>
      </c>
      <c r="N235" s="113">
        <v>0</v>
      </c>
      <c r="O235" s="113">
        <v>0</v>
      </c>
      <c r="P235" s="146">
        <v>0</v>
      </c>
      <c r="Q235" s="116">
        <v>0</v>
      </c>
      <c r="R235" s="116">
        <v>0</v>
      </c>
      <c r="S235" s="114">
        <v>0</v>
      </c>
      <c r="T235" s="116">
        <v>0</v>
      </c>
      <c r="U235" s="116">
        <v>0</v>
      </c>
      <c r="V235" s="121">
        <f t="shared" si="28"/>
        <v>0</v>
      </c>
      <c r="W235" s="111"/>
      <c r="X235" s="111"/>
      <c r="Y235" s="111"/>
      <c r="Z235" s="111"/>
      <c r="AA235" s="111"/>
      <c r="AB235" s="111"/>
      <c r="AC235" s="111"/>
      <c r="AD235" s="111"/>
      <c r="AE235" s="139">
        <f t="shared" si="29"/>
        <v>0</v>
      </c>
      <c r="AF235" s="109"/>
      <c r="AG235" s="109"/>
    </row>
    <row r="236" spans="1:33">
      <c r="A236" s="117"/>
      <c r="B236" s="118"/>
      <c r="C236" s="118"/>
      <c r="D236" s="118"/>
      <c r="E236" s="119"/>
      <c r="F236" s="118"/>
      <c r="G236" s="110"/>
      <c r="H236" s="143"/>
      <c r="I236" s="114">
        <v>0</v>
      </c>
      <c r="J236" s="115">
        <v>0</v>
      </c>
      <c r="K236" s="116">
        <v>0</v>
      </c>
      <c r="L236" s="116">
        <v>0</v>
      </c>
      <c r="M236" s="114">
        <v>0</v>
      </c>
      <c r="N236" s="113">
        <v>0</v>
      </c>
      <c r="O236" s="113">
        <v>0</v>
      </c>
      <c r="P236" s="146">
        <v>0</v>
      </c>
      <c r="Q236" s="116">
        <v>0</v>
      </c>
      <c r="R236" s="116">
        <v>0</v>
      </c>
      <c r="S236" s="114">
        <v>0</v>
      </c>
      <c r="T236" s="116">
        <v>0</v>
      </c>
      <c r="U236" s="116">
        <v>0</v>
      </c>
      <c r="V236" s="121">
        <f t="shared" si="28"/>
        <v>0</v>
      </c>
      <c r="W236" s="111"/>
      <c r="X236" s="111"/>
      <c r="Y236" s="111"/>
      <c r="Z236" s="111"/>
      <c r="AA236" s="111"/>
      <c r="AB236" s="111"/>
      <c r="AC236" s="111"/>
      <c r="AD236" s="111"/>
      <c r="AE236" s="139">
        <f t="shared" si="29"/>
        <v>0</v>
      </c>
      <c r="AF236" s="109"/>
      <c r="AG236" s="109"/>
    </row>
    <row r="237" spans="1:33">
      <c r="A237" s="117"/>
      <c r="B237" s="118"/>
      <c r="C237" s="118"/>
      <c r="D237" s="118"/>
      <c r="E237" s="119"/>
      <c r="F237" s="118"/>
      <c r="G237" s="110"/>
      <c r="H237" s="143"/>
      <c r="I237" s="114">
        <v>0</v>
      </c>
      <c r="J237" s="115">
        <v>0</v>
      </c>
      <c r="K237" s="116">
        <v>0</v>
      </c>
      <c r="L237" s="116">
        <v>0</v>
      </c>
      <c r="M237" s="114">
        <v>0</v>
      </c>
      <c r="N237" s="113">
        <v>0</v>
      </c>
      <c r="O237" s="113">
        <v>0</v>
      </c>
      <c r="P237" s="146">
        <v>0</v>
      </c>
      <c r="Q237" s="116">
        <v>0</v>
      </c>
      <c r="R237" s="116">
        <v>0</v>
      </c>
      <c r="S237" s="114">
        <v>0</v>
      </c>
      <c r="T237" s="116">
        <v>0</v>
      </c>
      <c r="U237" s="116">
        <v>0</v>
      </c>
      <c r="V237" s="121">
        <f t="shared" si="28"/>
        <v>0</v>
      </c>
      <c r="W237" s="111"/>
      <c r="X237" s="111"/>
      <c r="Y237" s="111"/>
      <c r="Z237" s="111"/>
      <c r="AA237" s="111"/>
      <c r="AB237" s="111"/>
      <c r="AC237" s="111"/>
      <c r="AD237" s="111"/>
      <c r="AE237" s="139">
        <f t="shared" si="29"/>
        <v>0</v>
      </c>
      <c r="AF237" s="109"/>
      <c r="AG237" s="109"/>
    </row>
    <row r="238" spans="1:33">
      <c r="A238" s="117"/>
      <c r="B238" s="118"/>
      <c r="C238" s="118"/>
      <c r="D238" s="118"/>
      <c r="E238" s="119"/>
      <c r="F238" s="118"/>
      <c r="G238" s="110"/>
      <c r="H238" s="143"/>
      <c r="I238" s="114">
        <v>0</v>
      </c>
      <c r="J238" s="115">
        <v>0</v>
      </c>
      <c r="K238" s="116">
        <v>0</v>
      </c>
      <c r="L238" s="116">
        <v>0</v>
      </c>
      <c r="M238" s="114">
        <v>0</v>
      </c>
      <c r="N238" s="113">
        <v>0</v>
      </c>
      <c r="O238" s="113">
        <v>0</v>
      </c>
      <c r="P238" s="146">
        <v>0</v>
      </c>
      <c r="Q238" s="116">
        <v>0</v>
      </c>
      <c r="R238" s="116">
        <v>0</v>
      </c>
      <c r="S238" s="114">
        <v>0</v>
      </c>
      <c r="T238" s="116">
        <v>0</v>
      </c>
      <c r="U238" s="116">
        <v>0</v>
      </c>
      <c r="V238" s="121">
        <f t="shared" si="28"/>
        <v>0</v>
      </c>
      <c r="W238" s="111"/>
      <c r="X238" s="111"/>
      <c r="Y238" s="111"/>
      <c r="Z238" s="111"/>
      <c r="AA238" s="111"/>
      <c r="AB238" s="111"/>
      <c r="AC238" s="111"/>
      <c r="AD238" s="111"/>
      <c r="AE238" s="139">
        <f t="shared" si="29"/>
        <v>0</v>
      </c>
      <c r="AF238" s="109"/>
      <c r="AG238" s="109"/>
    </row>
    <row r="239" spans="1:33">
      <c r="A239" s="117"/>
      <c r="B239" s="118"/>
      <c r="C239" s="118"/>
      <c r="D239" s="118"/>
      <c r="E239" s="119"/>
      <c r="F239" s="118"/>
      <c r="G239" s="110"/>
      <c r="H239" s="143"/>
      <c r="I239" s="114">
        <v>0</v>
      </c>
      <c r="J239" s="115">
        <v>0</v>
      </c>
      <c r="K239" s="116">
        <v>0</v>
      </c>
      <c r="L239" s="116">
        <v>0</v>
      </c>
      <c r="M239" s="114">
        <v>0</v>
      </c>
      <c r="N239" s="113">
        <v>0</v>
      </c>
      <c r="O239" s="113">
        <v>0</v>
      </c>
      <c r="P239" s="146">
        <v>0</v>
      </c>
      <c r="Q239" s="116">
        <v>0</v>
      </c>
      <c r="R239" s="116">
        <v>0</v>
      </c>
      <c r="S239" s="114">
        <v>0</v>
      </c>
      <c r="T239" s="116">
        <v>0</v>
      </c>
      <c r="U239" s="116">
        <v>0</v>
      </c>
      <c r="V239" s="121">
        <f t="shared" si="28"/>
        <v>0</v>
      </c>
      <c r="W239" s="111"/>
      <c r="X239" s="111"/>
      <c r="Y239" s="111"/>
      <c r="Z239" s="111"/>
      <c r="AA239" s="111"/>
      <c r="AB239" s="111"/>
      <c r="AC239" s="111"/>
      <c r="AD239" s="111"/>
      <c r="AE239" s="139">
        <f t="shared" si="29"/>
        <v>0</v>
      </c>
      <c r="AF239" s="109"/>
      <c r="AG239" s="109"/>
    </row>
    <row r="240" spans="1:33">
      <c r="A240" s="117"/>
      <c r="B240" s="118"/>
      <c r="C240" s="118"/>
      <c r="D240" s="118"/>
      <c r="E240" s="119"/>
      <c r="F240" s="118"/>
      <c r="G240" s="110"/>
      <c r="H240" s="143"/>
      <c r="I240" s="114">
        <v>0</v>
      </c>
      <c r="J240" s="115">
        <v>0</v>
      </c>
      <c r="K240" s="116">
        <v>0</v>
      </c>
      <c r="L240" s="116">
        <v>0</v>
      </c>
      <c r="M240" s="114">
        <v>0</v>
      </c>
      <c r="N240" s="113">
        <v>0</v>
      </c>
      <c r="O240" s="113">
        <v>0</v>
      </c>
      <c r="P240" s="146">
        <v>0</v>
      </c>
      <c r="Q240" s="116">
        <v>0</v>
      </c>
      <c r="R240" s="116">
        <v>0</v>
      </c>
      <c r="S240" s="114">
        <v>0</v>
      </c>
      <c r="T240" s="116">
        <v>0</v>
      </c>
      <c r="U240" s="116">
        <v>0</v>
      </c>
      <c r="V240" s="121">
        <f t="shared" si="28"/>
        <v>0</v>
      </c>
      <c r="W240" s="111"/>
      <c r="X240" s="111"/>
      <c r="Y240" s="111"/>
      <c r="Z240" s="111"/>
      <c r="AA240" s="111"/>
      <c r="AB240" s="111"/>
      <c r="AC240" s="111"/>
      <c r="AD240" s="111"/>
      <c r="AE240" s="139">
        <f t="shared" si="29"/>
        <v>0</v>
      </c>
      <c r="AF240" s="109"/>
      <c r="AG240" s="109"/>
    </row>
    <row r="241" spans="1:33">
      <c r="A241" s="117"/>
      <c r="B241" s="118"/>
      <c r="C241" s="118"/>
      <c r="D241" s="118"/>
      <c r="E241" s="119"/>
      <c r="F241" s="118"/>
      <c r="G241" s="110"/>
      <c r="H241" s="143"/>
      <c r="I241" s="114">
        <v>0</v>
      </c>
      <c r="J241" s="115">
        <v>0</v>
      </c>
      <c r="K241" s="116">
        <v>0</v>
      </c>
      <c r="L241" s="116">
        <v>0</v>
      </c>
      <c r="M241" s="114">
        <v>0</v>
      </c>
      <c r="N241" s="113">
        <v>0</v>
      </c>
      <c r="O241" s="113">
        <v>0</v>
      </c>
      <c r="P241" s="146">
        <v>0</v>
      </c>
      <c r="Q241" s="116">
        <v>0</v>
      </c>
      <c r="R241" s="116">
        <v>0</v>
      </c>
      <c r="S241" s="114">
        <v>0</v>
      </c>
      <c r="T241" s="116">
        <v>0</v>
      </c>
      <c r="U241" s="116">
        <v>0</v>
      </c>
      <c r="V241" s="121">
        <f t="shared" ref="V241:V304" si="30">+G241-(SUM(I241:N241,P241:S241,U241))</f>
        <v>0</v>
      </c>
      <c r="W241" s="111"/>
      <c r="X241" s="111"/>
      <c r="Y241" s="111"/>
      <c r="Z241" s="111"/>
      <c r="AA241" s="111"/>
      <c r="AB241" s="111"/>
      <c r="AC241" s="111"/>
      <c r="AD241" s="111"/>
      <c r="AE241" s="139">
        <f t="shared" si="29"/>
        <v>0</v>
      </c>
      <c r="AF241" s="109"/>
      <c r="AG241" s="109"/>
    </row>
    <row r="242" spans="1:33">
      <c r="A242" s="117"/>
      <c r="B242" s="118"/>
      <c r="C242" s="118"/>
      <c r="D242" s="118"/>
      <c r="E242" s="119"/>
      <c r="F242" s="118"/>
      <c r="G242" s="110"/>
      <c r="H242" s="143"/>
      <c r="I242" s="114">
        <v>0</v>
      </c>
      <c r="J242" s="115">
        <v>0</v>
      </c>
      <c r="K242" s="116">
        <v>0</v>
      </c>
      <c r="L242" s="116">
        <v>0</v>
      </c>
      <c r="M242" s="114">
        <v>0</v>
      </c>
      <c r="N242" s="113">
        <v>0</v>
      </c>
      <c r="O242" s="113">
        <v>0</v>
      </c>
      <c r="P242" s="146">
        <v>0</v>
      </c>
      <c r="Q242" s="116">
        <v>0</v>
      </c>
      <c r="R242" s="116">
        <v>0</v>
      </c>
      <c r="S242" s="114">
        <v>0</v>
      </c>
      <c r="T242" s="116">
        <v>0</v>
      </c>
      <c r="U242" s="116">
        <v>0</v>
      </c>
      <c r="V242" s="121">
        <f t="shared" si="30"/>
        <v>0</v>
      </c>
      <c r="W242" s="111"/>
      <c r="X242" s="111"/>
      <c r="Y242" s="111"/>
      <c r="Z242" s="111"/>
      <c r="AA242" s="111"/>
      <c r="AB242" s="111"/>
      <c r="AC242" s="111"/>
      <c r="AD242" s="111"/>
      <c r="AE242" s="139">
        <f t="shared" si="29"/>
        <v>0</v>
      </c>
      <c r="AF242" s="109"/>
      <c r="AG242" s="109"/>
    </row>
    <row r="243" spans="1:33">
      <c r="A243" s="117"/>
      <c r="B243" s="118"/>
      <c r="C243" s="118"/>
      <c r="D243" s="118"/>
      <c r="E243" s="119"/>
      <c r="F243" s="118"/>
      <c r="G243" s="110"/>
      <c r="H243" s="143"/>
      <c r="I243" s="114">
        <v>0</v>
      </c>
      <c r="J243" s="115">
        <v>0</v>
      </c>
      <c r="K243" s="116">
        <v>0</v>
      </c>
      <c r="L243" s="116">
        <v>0</v>
      </c>
      <c r="M243" s="114">
        <v>0</v>
      </c>
      <c r="N243" s="113">
        <v>0</v>
      </c>
      <c r="O243" s="113">
        <v>0</v>
      </c>
      <c r="P243" s="146">
        <v>0</v>
      </c>
      <c r="Q243" s="116">
        <v>0</v>
      </c>
      <c r="R243" s="116">
        <v>0</v>
      </c>
      <c r="S243" s="114">
        <v>0</v>
      </c>
      <c r="T243" s="116">
        <v>0</v>
      </c>
      <c r="U243" s="116">
        <v>0</v>
      </c>
      <c r="V243" s="121">
        <f t="shared" si="30"/>
        <v>0</v>
      </c>
      <c r="W243" s="111"/>
      <c r="X243" s="111"/>
      <c r="Y243" s="111"/>
      <c r="Z243" s="111"/>
      <c r="AA243" s="111"/>
      <c r="AB243" s="111"/>
      <c r="AC243" s="111"/>
      <c r="AD243" s="111"/>
      <c r="AE243" s="139">
        <f t="shared" si="29"/>
        <v>0</v>
      </c>
      <c r="AF243" s="109"/>
      <c r="AG243" s="109"/>
    </row>
    <row r="244" spans="1:33">
      <c r="A244" s="117"/>
      <c r="B244" s="118"/>
      <c r="C244" s="118"/>
      <c r="D244" s="118"/>
      <c r="E244" s="119"/>
      <c r="F244" s="118"/>
      <c r="G244" s="110"/>
      <c r="H244" s="143"/>
      <c r="I244" s="114">
        <v>0</v>
      </c>
      <c r="J244" s="115">
        <v>0</v>
      </c>
      <c r="K244" s="116">
        <v>0</v>
      </c>
      <c r="L244" s="116">
        <v>0</v>
      </c>
      <c r="M244" s="114">
        <v>0</v>
      </c>
      <c r="N244" s="113">
        <v>0</v>
      </c>
      <c r="O244" s="113">
        <v>0</v>
      </c>
      <c r="P244" s="146">
        <v>0</v>
      </c>
      <c r="Q244" s="116">
        <v>0</v>
      </c>
      <c r="R244" s="116">
        <v>0</v>
      </c>
      <c r="S244" s="114">
        <v>0</v>
      </c>
      <c r="T244" s="116">
        <v>0</v>
      </c>
      <c r="U244" s="116">
        <v>0</v>
      </c>
      <c r="V244" s="121">
        <f t="shared" si="30"/>
        <v>0</v>
      </c>
      <c r="W244" s="111"/>
      <c r="X244" s="111"/>
      <c r="Y244" s="111"/>
      <c r="Z244" s="111"/>
      <c r="AA244" s="111"/>
      <c r="AB244" s="111"/>
      <c r="AC244" s="111"/>
      <c r="AD244" s="111"/>
      <c r="AE244" s="139">
        <f t="shared" si="29"/>
        <v>0</v>
      </c>
      <c r="AF244" s="109"/>
      <c r="AG244" s="109"/>
    </row>
    <row r="245" spans="1:33">
      <c r="A245" s="117"/>
      <c r="B245" s="118"/>
      <c r="C245" s="118"/>
      <c r="D245" s="118"/>
      <c r="E245" s="119"/>
      <c r="F245" s="118"/>
      <c r="G245" s="110"/>
      <c r="H245" s="143"/>
      <c r="I245" s="114">
        <v>0</v>
      </c>
      <c r="J245" s="115">
        <v>0</v>
      </c>
      <c r="K245" s="116">
        <v>0</v>
      </c>
      <c r="L245" s="116">
        <v>0</v>
      </c>
      <c r="M245" s="114">
        <v>0</v>
      </c>
      <c r="N245" s="113">
        <v>0</v>
      </c>
      <c r="O245" s="113">
        <v>0</v>
      </c>
      <c r="P245" s="146">
        <v>0</v>
      </c>
      <c r="Q245" s="116">
        <v>0</v>
      </c>
      <c r="R245" s="116">
        <v>0</v>
      </c>
      <c r="S245" s="114">
        <v>0</v>
      </c>
      <c r="T245" s="116">
        <v>0</v>
      </c>
      <c r="U245" s="116">
        <v>0</v>
      </c>
      <c r="V245" s="121">
        <f t="shared" si="30"/>
        <v>0</v>
      </c>
      <c r="W245" s="111"/>
      <c r="X245" s="111"/>
      <c r="Y245" s="111"/>
      <c r="Z245" s="111"/>
      <c r="AA245" s="111"/>
      <c r="AB245" s="111"/>
      <c r="AC245" s="111"/>
      <c r="AD245" s="111"/>
      <c r="AE245" s="139">
        <f t="shared" si="29"/>
        <v>0</v>
      </c>
      <c r="AF245" s="109"/>
      <c r="AG245" s="109"/>
    </row>
    <row r="246" spans="1:33">
      <c r="A246" s="117"/>
      <c r="B246" s="118"/>
      <c r="C246" s="118"/>
      <c r="D246" s="118"/>
      <c r="E246" s="119"/>
      <c r="F246" s="118"/>
      <c r="G246" s="110"/>
      <c r="H246" s="143"/>
      <c r="I246" s="114">
        <v>0</v>
      </c>
      <c r="J246" s="115">
        <v>0</v>
      </c>
      <c r="K246" s="116">
        <v>0</v>
      </c>
      <c r="L246" s="116">
        <v>0</v>
      </c>
      <c r="M246" s="114">
        <v>0</v>
      </c>
      <c r="N246" s="113">
        <v>0</v>
      </c>
      <c r="O246" s="113">
        <v>0</v>
      </c>
      <c r="P246" s="146">
        <v>0</v>
      </c>
      <c r="Q246" s="116">
        <v>0</v>
      </c>
      <c r="R246" s="116">
        <v>0</v>
      </c>
      <c r="S246" s="114">
        <v>0</v>
      </c>
      <c r="T246" s="116">
        <v>0</v>
      </c>
      <c r="U246" s="116">
        <v>0</v>
      </c>
      <c r="V246" s="121">
        <f t="shared" si="30"/>
        <v>0</v>
      </c>
      <c r="W246" s="111"/>
      <c r="X246" s="111"/>
      <c r="Y246" s="111"/>
      <c r="Z246" s="111"/>
      <c r="AA246" s="111"/>
      <c r="AB246" s="111"/>
      <c r="AC246" s="111"/>
      <c r="AD246" s="111"/>
      <c r="AE246" s="139">
        <f t="shared" si="29"/>
        <v>0</v>
      </c>
      <c r="AF246" s="109"/>
      <c r="AG246" s="109"/>
    </row>
    <row r="247" spans="1:33">
      <c r="A247" s="117"/>
      <c r="B247" s="118"/>
      <c r="C247" s="118"/>
      <c r="D247" s="118"/>
      <c r="E247" s="119"/>
      <c r="F247" s="118"/>
      <c r="G247" s="110"/>
      <c r="H247" s="143"/>
      <c r="I247" s="114">
        <v>0</v>
      </c>
      <c r="J247" s="115">
        <v>0</v>
      </c>
      <c r="K247" s="116">
        <v>0</v>
      </c>
      <c r="L247" s="116">
        <v>0</v>
      </c>
      <c r="M247" s="114">
        <v>0</v>
      </c>
      <c r="N247" s="113">
        <v>0</v>
      </c>
      <c r="O247" s="113">
        <v>0</v>
      </c>
      <c r="P247" s="146">
        <v>0</v>
      </c>
      <c r="Q247" s="116">
        <v>0</v>
      </c>
      <c r="R247" s="116">
        <v>0</v>
      </c>
      <c r="S247" s="114">
        <v>0</v>
      </c>
      <c r="T247" s="116">
        <v>0</v>
      </c>
      <c r="U247" s="116">
        <v>0</v>
      </c>
      <c r="V247" s="121">
        <f t="shared" si="30"/>
        <v>0</v>
      </c>
      <c r="W247" s="111"/>
      <c r="X247" s="111"/>
      <c r="Y247" s="111"/>
      <c r="Z247" s="111"/>
      <c r="AA247" s="111"/>
      <c r="AB247" s="111"/>
      <c r="AC247" s="111"/>
      <c r="AD247" s="111"/>
      <c r="AE247" s="139">
        <f t="shared" si="29"/>
        <v>0</v>
      </c>
      <c r="AF247" s="109"/>
      <c r="AG247" s="109"/>
    </row>
    <row r="248" spans="1:33">
      <c r="A248" s="117"/>
      <c r="B248" s="118"/>
      <c r="C248" s="118"/>
      <c r="D248" s="118"/>
      <c r="E248" s="119"/>
      <c r="F248" s="118"/>
      <c r="G248" s="110"/>
      <c r="H248" s="143"/>
      <c r="I248" s="114">
        <v>0</v>
      </c>
      <c r="J248" s="115">
        <v>0</v>
      </c>
      <c r="K248" s="116">
        <v>0</v>
      </c>
      <c r="L248" s="116">
        <v>0</v>
      </c>
      <c r="M248" s="114">
        <v>0</v>
      </c>
      <c r="N248" s="113">
        <v>0</v>
      </c>
      <c r="O248" s="113">
        <v>0</v>
      </c>
      <c r="P248" s="146">
        <v>0</v>
      </c>
      <c r="Q248" s="116">
        <v>0</v>
      </c>
      <c r="R248" s="116">
        <v>0</v>
      </c>
      <c r="S248" s="114">
        <v>0</v>
      </c>
      <c r="T248" s="116">
        <v>0</v>
      </c>
      <c r="U248" s="116">
        <v>0</v>
      </c>
      <c r="V248" s="121">
        <f t="shared" si="30"/>
        <v>0</v>
      </c>
      <c r="W248" s="111"/>
      <c r="X248" s="111"/>
      <c r="Y248" s="111"/>
      <c r="Z248" s="111"/>
      <c r="AA248" s="111"/>
      <c r="AB248" s="111"/>
      <c r="AC248" s="111"/>
      <c r="AD248" s="111"/>
      <c r="AE248" s="139">
        <f t="shared" si="29"/>
        <v>0</v>
      </c>
      <c r="AF248" s="109"/>
      <c r="AG248" s="109"/>
    </row>
    <row r="249" spans="1:33">
      <c r="A249" s="117"/>
      <c r="B249" s="118"/>
      <c r="C249" s="118"/>
      <c r="D249" s="118"/>
      <c r="E249" s="119"/>
      <c r="F249" s="118"/>
      <c r="G249" s="110"/>
      <c r="H249" s="143"/>
      <c r="I249" s="114">
        <v>0</v>
      </c>
      <c r="J249" s="115">
        <v>0</v>
      </c>
      <c r="K249" s="116">
        <v>0</v>
      </c>
      <c r="L249" s="116">
        <v>0</v>
      </c>
      <c r="M249" s="114">
        <v>0</v>
      </c>
      <c r="N249" s="113">
        <v>0</v>
      </c>
      <c r="O249" s="113">
        <v>0</v>
      </c>
      <c r="P249" s="146">
        <v>0</v>
      </c>
      <c r="Q249" s="116">
        <v>0</v>
      </c>
      <c r="R249" s="116">
        <v>0</v>
      </c>
      <c r="S249" s="114">
        <v>0</v>
      </c>
      <c r="T249" s="116">
        <v>0</v>
      </c>
      <c r="U249" s="116">
        <v>0</v>
      </c>
      <c r="V249" s="121">
        <f t="shared" si="30"/>
        <v>0</v>
      </c>
      <c r="W249" s="111"/>
      <c r="X249" s="111"/>
      <c r="Y249" s="111"/>
      <c r="Z249" s="111"/>
      <c r="AA249" s="111"/>
      <c r="AB249" s="111"/>
      <c r="AC249" s="111"/>
      <c r="AD249" s="111"/>
      <c r="AE249" s="139">
        <f t="shared" si="29"/>
        <v>0</v>
      </c>
      <c r="AF249" s="109"/>
      <c r="AG249" s="109"/>
    </row>
    <row r="250" spans="1:33">
      <c r="A250" s="117"/>
      <c r="B250" s="118"/>
      <c r="C250" s="118"/>
      <c r="D250" s="118"/>
      <c r="E250" s="119"/>
      <c r="F250" s="118"/>
      <c r="G250" s="110"/>
      <c r="H250" s="143"/>
      <c r="I250" s="114">
        <v>0</v>
      </c>
      <c r="J250" s="115">
        <v>0</v>
      </c>
      <c r="K250" s="116">
        <v>0</v>
      </c>
      <c r="L250" s="116">
        <v>0</v>
      </c>
      <c r="M250" s="114">
        <v>0</v>
      </c>
      <c r="N250" s="113">
        <v>0</v>
      </c>
      <c r="O250" s="113">
        <v>0</v>
      </c>
      <c r="P250" s="146">
        <v>0</v>
      </c>
      <c r="Q250" s="116">
        <v>0</v>
      </c>
      <c r="R250" s="116">
        <v>0</v>
      </c>
      <c r="S250" s="114">
        <v>0</v>
      </c>
      <c r="T250" s="116">
        <v>0</v>
      </c>
      <c r="U250" s="116">
        <v>0</v>
      </c>
      <c r="V250" s="121">
        <f t="shared" si="30"/>
        <v>0</v>
      </c>
      <c r="W250" s="111"/>
      <c r="X250" s="111"/>
      <c r="Y250" s="111"/>
      <c r="Z250" s="111"/>
      <c r="AA250" s="111"/>
      <c r="AB250" s="111"/>
      <c r="AC250" s="111"/>
      <c r="AD250" s="111"/>
      <c r="AE250" s="139">
        <f t="shared" si="29"/>
        <v>0</v>
      </c>
      <c r="AF250" s="109"/>
      <c r="AG250" s="109"/>
    </row>
    <row r="251" spans="1:33">
      <c r="A251" s="117"/>
      <c r="B251" s="118"/>
      <c r="C251" s="118"/>
      <c r="D251" s="118"/>
      <c r="E251" s="119"/>
      <c r="F251" s="118"/>
      <c r="G251" s="110"/>
      <c r="H251" s="143"/>
      <c r="I251" s="114">
        <v>0</v>
      </c>
      <c r="J251" s="115">
        <v>0</v>
      </c>
      <c r="K251" s="116">
        <v>0</v>
      </c>
      <c r="L251" s="116">
        <v>0</v>
      </c>
      <c r="M251" s="114">
        <v>0</v>
      </c>
      <c r="N251" s="113">
        <v>0</v>
      </c>
      <c r="O251" s="113">
        <v>0</v>
      </c>
      <c r="P251" s="146">
        <v>0</v>
      </c>
      <c r="Q251" s="116">
        <v>0</v>
      </c>
      <c r="R251" s="116">
        <v>0</v>
      </c>
      <c r="S251" s="114">
        <v>0</v>
      </c>
      <c r="T251" s="116">
        <v>0</v>
      </c>
      <c r="U251" s="116">
        <v>0</v>
      </c>
      <c r="V251" s="121">
        <f t="shared" si="30"/>
        <v>0</v>
      </c>
      <c r="W251" s="111"/>
      <c r="X251" s="111"/>
      <c r="Y251" s="111"/>
      <c r="Z251" s="111"/>
      <c r="AA251" s="111"/>
      <c r="AB251" s="111"/>
      <c r="AC251" s="111"/>
      <c r="AD251" s="111"/>
      <c r="AE251" s="139">
        <f t="shared" si="29"/>
        <v>0</v>
      </c>
      <c r="AF251" s="109"/>
      <c r="AG251" s="109"/>
    </row>
    <row r="252" spans="1:33">
      <c r="A252" s="117"/>
      <c r="B252" s="118"/>
      <c r="C252" s="118"/>
      <c r="D252" s="118"/>
      <c r="E252" s="119"/>
      <c r="F252" s="118"/>
      <c r="G252" s="110"/>
      <c r="H252" s="143"/>
      <c r="I252" s="114">
        <v>0</v>
      </c>
      <c r="J252" s="115">
        <v>0</v>
      </c>
      <c r="K252" s="116">
        <v>0</v>
      </c>
      <c r="L252" s="116">
        <v>0</v>
      </c>
      <c r="M252" s="114">
        <v>0</v>
      </c>
      <c r="N252" s="113">
        <v>0</v>
      </c>
      <c r="O252" s="113">
        <v>0</v>
      </c>
      <c r="P252" s="146">
        <v>0</v>
      </c>
      <c r="Q252" s="116">
        <v>0</v>
      </c>
      <c r="R252" s="116">
        <v>0</v>
      </c>
      <c r="S252" s="114">
        <v>0</v>
      </c>
      <c r="T252" s="116">
        <v>0</v>
      </c>
      <c r="U252" s="116">
        <v>0</v>
      </c>
      <c r="V252" s="121">
        <f t="shared" si="30"/>
        <v>0</v>
      </c>
      <c r="W252" s="111"/>
      <c r="X252" s="111"/>
      <c r="Y252" s="111"/>
      <c r="Z252" s="111"/>
      <c r="AA252" s="111"/>
      <c r="AB252" s="111"/>
      <c r="AC252" s="111"/>
      <c r="AD252" s="111"/>
      <c r="AE252" s="139">
        <f t="shared" si="29"/>
        <v>0</v>
      </c>
      <c r="AF252" s="109"/>
      <c r="AG252" s="109"/>
    </row>
    <row r="253" spans="1:33">
      <c r="A253" s="117"/>
      <c r="B253" s="118"/>
      <c r="C253" s="118"/>
      <c r="D253" s="118"/>
      <c r="E253" s="119"/>
      <c r="F253" s="118"/>
      <c r="G253" s="110"/>
      <c r="H253" s="143"/>
      <c r="I253" s="114">
        <v>0</v>
      </c>
      <c r="J253" s="115">
        <v>0</v>
      </c>
      <c r="K253" s="116">
        <v>0</v>
      </c>
      <c r="L253" s="116">
        <v>0</v>
      </c>
      <c r="M253" s="114">
        <v>0</v>
      </c>
      <c r="N253" s="113">
        <v>0</v>
      </c>
      <c r="O253" s="113">
        <v>0</v>
      </c>
      <c r="P253" s="146">
        <v>0</v>
      </c>
      <c r="Q253" s="116">
        <v>0</v>
      </c>
      <c r="R253" s="116">
        <v>0</v>
      </c>
      <c r="S253" s="114">
        <v>0</v>
      </c>
      <c r="T253" s="116">
        <v>0</v>
      </c>
      <c r="U253" s="116">
        <v>0</v>
      </c>
      <c r="V253" s="121">
        <f t="shared" si="30"/>
        <v>0</v>
      </c>
      <c r="W253" s="111"/>
      <c r="X253" s="111"/>
      <c r="Y253" s="111"/>
      <c r="Z253" s="111"/>
      <c r="AA253" s="111"/>
      <c r="AB253" s="111"/>
      <c r="AC253" s="111"/>
      <c r="AD253" s="111"/>
      <c r="AE253" s="139">
        <f t="shared" si="29"/>
        <v>0</v>
      </c>
      <c r="AF253" s="109"/>
      <c r="AG253" s="109"/>
    </row>
    <row r="254" spans="1:33">
      <c r="A254" s="117"/>
      <c r="B254" s="118"/>
      <c r="C254" s="118"/>
      <c r="D254" s="118"/>
      <c r="E254" s="119"/>
      <c r="F254" s="118"/>
      <c r="G254" s="110"/>
      <c r="H254" s="143"/>
      <c r="I254" s="114">
        <v>0</v>
      </c>
      <c r="J254" s="115">
        <v>0</v>
      </c>
      <c r="K254" s="116">
        <v>0</v>
      </c>
      <c r="L254" s="116">
        <v>0</v>
      </c>
      <c r="M254" s="114">
        <v>0</v>
      </c>
      <c r="N254" s="113">
        <v>0</v>
      </c>
      <c r="O254" s="113">
        <v>0</v>
      </c>
      <c r="P254" s="146">
        <v>0</v>
      </c>
      <c r="Q254" s="116">
        <v>0</v>
      </c>
      <c r="R254" s="116">
        <v>0</v>
      </c>
      <c r="S254" s="114">
        <v>0</v>
      </c>
      <c r="T254" s="116">
        <v>0</v>
      </c>
      <c r="U254" s="116">
        <v>0</v>
      </c>
      <c r="V254" s="121">
        <f t="shared" si="30"/>
        <v>0</v>
      </c>
      <c r="W254" s="111"/>
      <c r="X254" s="111"/>
      <c r="Y254" s="111"/>
      <c r="Z254" s="111"/>
      <c r="AA254" s="111"/>
      <c r="AB254" s="111"/>
      <c r="AC254" s="111"/>
      <c r="AD254" s="111"/>
      <c r="AE254" s="139">
        <f t="shared" si="29"/>
        <v>0</v>
      </c>
      <c r="AF254" s="109"/>
      <c r="AG254" s="109"/>
    </row>
    <row r="255" spans="1:33">
      <c r="A255" s="117"/>
      <c r="B255" s="118"/>
      <c r="C255" s="118"/>
      <c r="D255" s="118"/>
      <c r="E255" s="119"/>
      <c r="F255" s="118"/>
      <c r="G255" s="110"/>
      <c r="H255" s="143"/>
      <c r="I255" s="114">
        <v>0</v>
      </c>
      <c r="J255" s="115">
        <v>0</v>
      </c>
      <c r="K255" s="116">
        <v>0</v>
      </c>
      <c r="L255" s="116">
        <v>0</v>
      </c>
      <c r="M255" s="114">
        <v>0</v>
      </c>
      <c r="N255" s="113">
        <v>0</v>
      </c>
      <c r="O255" s="113">
        <v>0</v>
      </c>
      <c r="P255" s="146">
        <v>0</v>
      </c>
      <c r="Q255" s="116">
        <v>0</v>
      </c>
      <c r="R255" s="116">
        <v>0</v>
      </c>
      <c r="S255" s="114">
        <v>0</v>
      </c>
      <c r="T255" s="116">
        <v>0</v>
      </c>
      <c r="U255" s="116">
        <v>0</v>
      </c>
      <c r="V255" s="121">
        <f t="shared" si="30"/>
        <v>0</v>
      </c>
      <c r="W255" s="111"/>
      <c r="X255" s="111"/>
      <c r="Y255" s="111"/>
      <c r="Z255" s="111"/>
      <c r="AA255" s="111"/>
      <c r="AB255" s="111"/>
      <c r="AC255" s="111"/>
      <c r="AD255" s="111"/>
      <c r="AE255" s="139">
        <f t="shared" si="29"/>
        <v>0</v>
      </c>
      <c r="AF255" s="109"/>
      <c r="AG255" s="109"/>
    </row>
    <row r="256" spans="1:33">
      <c r="A256" s="117"/>
      <c r="B256" s="118"/>
      <c r="C256" s="118"/>
      <c r="D256" s="118"/>
      <c r="E256" s="119"/>
      <c r="F256" s="118"/>
      <c r="G256" s="110"/>
      <c r="H256" s="143"/>
      <c r="I256" s="114">
        <v>0</v>
      </c>
      <c r="J256" s="115">
        <v>0</v>
      </c>
      <c r="K256" s="116">
        <v>0</v>
      </c>
      <c r="L256" s="116">
        <v>0</v>
      </c>
      <c r="M256" s="114">
        <v>0</v>
      </c>
      <c r="N256" s="113">
        <v>0</v>
      </c>
      <c r="O256" s="113">
        <v>0</v>
      </c>
      <c r="P256" s="146">
        <v>0</v>
      </c>
      <c r="Q256" s="116">
        <v>0</v>
      </c>
      <c r="R256" s="116">
        <v>0</v>
      </c>
      <c r="S256" s="114">
        <v>0</v>
      </c>
      <c r="T256" s="116">
        <v>0</v>
      </c>
      <c r="U256" s="116">
        <v>0</v>
      </c>
      <c r="V256" s="121">
        <f t="shared" si="30"/>
        <v>0</v>
      </c>
      <c r="W256" s="111"/>
      <c r="X256" s="111"/>
      <c r="Y256" s="111"/>
      <c r="Z256" s="111"/>
      <c r="AA256" s="111"/>
      <c r="AB256" s="111"/>
      <c r="AC256" s="111"/>
      <c r="AD256" s="111"/>
      <c r="AE256" s="139">
        <f t="shared" si="29"/>
        <v>0</v>
      </c>
      <c r="AF256" s="109"/>
      <c r="AG256" s="109"/>
    </row>
    <row r="257" spans="1:33">
      <c r="A257" s="117"/>
      <c r="B257" s="118"/>
      <c r="C257" s="118"/>
      <c r="D257" s="118"/>
      <c r="E257" s="119"/>
      <c r="F257" s="118"/>
      <c r="G257" s="110"/>
      <c r="H257" s="143"/>
      <c r="I257" s="114">
        <v>0</v>
      </c>
      <c r="J257" s="115">
        <v>0</v>
      </c>
      <c r="K257" s="116">
        <v>0</v>
      </c>
      <c r="L257" s="116">
        <v>0</v>
      </c>
      <c r="M257" s="114">
        <v>0</v>
      </c>
      <c r="N257" s="113">
        <v>0</v>
      </c>
      <c r="O257" s="113">
        <v>0</v>
      </c>
      <c r="P257" s="146">
        <v>0</v>
      </c>
      <c r="Q257" s="116">
        <v>0</v>
      </c>
      <c r="R257" s="116">
        <v>0</v>
      </c>
      <c r="S257" s="114">
        <v>0</v>
      </c>
      <c r="T257" s="116">
        <v>0</v>
      </c>
      <c r="U257" s="116">
        <v>0</v>
      </c>
      <c r="V257" s="121">
        <f t="shared" si="30"/>
        <v>0</v>
      </c>
      <c r="W257" s="111"/>
      <c r="X257" s="111"/>
      <c r="Y257" s="111"/>
      <c r="Z257" s="111"/>
      <c r="AA257" s="111"/>
      <c r="AB257" s="111"/>
      <c r="AC257" s="111"/>
      <c r="AD257" s="111"/>
      <c r="AE257" s="139">
        <f t="shared" si="29"/>
        <v>0</v>
      </c>
      <c r="AF257" s="109"/>
      <c r="AG257" s="109"/>
    </row>
    <row r="258" spans="1:33">
      <c r="A258" s="117"/>
      <c r="B258" s="118"/>
      <c r="C258" s="118"/>
      <c r="D258" s="118"/>
      <c r="E258" s="119"/>
      <c r="F258" s="118"/>
      <c r="G258" s="110"/>
      <c r="H258" s="143"/>
      <c r="I258" s="114">
        <v>0</v>
      </c>
      <c r="J258" s="115">
        <v>0</v>
      </c>
      <c r="K258" s="116">
        <v>0</v>
      </c>
      <c r="L258" s="116">
        <v>0</v>
      </c>
      <c r="M258" s="114">
        <v>0</v>
      </c>
      <c r="N258" s="113">
        <v>0</v>
      </c>
      <c r="O258" s="113">
        <v>0</v>
      </c>
      <c r="P258" s="146">
        <v>0</v>
      </c>
      <c r="Q258" s="116">
        <v>0</v>
      </c>
      <c r="R258" s="116">
        <v>0</v>
      </c>
      <c r="S258" s="114">
        <v>0</v>
      </c>
      <c r="T258" s="116">
        <v>0</v>
      </c>
      <c r="U258" s="116">
        <v>0</v>
      </c>
      <c r="V258" s="121">
        <f t="shared" si="30"/>
        <v>0</v>
      </c>
      <c r="W258" s="111"/>
      <c r="X258" s="111"/>
      <c r="Y258" s="111"/>
      <c r="Z258" s="111"/>
      <c r="AA258" s="111"/>
      <c r="AB258" s="111"/>
      <c r="AC258" s="111"/>
      <c r="AD258" s="111"/>
      <c r="AE258" s="139">
        <f t="shared" si="29"/>
        <v>0</v>
      </c>
      <c r="AF258" s="109"/>
      <c r="AG258" s="109"/>
    </row>
    <row r="259" spans="1:33">
      <c r="A259" s="117"/>
      <c r="B259" s="118"/>
      <c r="C259" s="118"/>
      <c r="D259" s="118"/>
      <c r="E259" s="119"/>
      <c r="F259" s="118"/>
      <c r="G259" s="110"/>
      <c r="H259" s="143"/>
      <c r="I259" s="114">
        <v>0</v>
      </c>
      <c r="J259" s="115">
        <v>0</v>
      </c>
      <c r="K259" s="116">
        <v>0</v>
      </c>
      <c r="L259" s="116">
        <v>0</v>
      </c>
      <c r="M259" s="114">
        <v>0</v>
      </c>
      <c r="N259" s="113">
        <v>0</v>
      </c>
      <c r="O259" s="113">
        <v>0</v>
      </c>
      <c r="P259" s="146">
        <v>0</v>
      </c>
      <c r="Q259" s="116">
        <v>0</v>
      </c>
      <c r="R259" s="116">
        <v>0</v>
      </c>
      <c r="S259" s="114">
        <v>0</v>
      </c>
      <c r="T259" s="116">
        <v>0</v>
      </c>
      <c r="U259" s="116">
        <v>0</v>
      </c>
      <c r="V259" s="121">
        <f t="shared" si="30"/>
        <v>0</v>
      </c>
      <c r="W259" s="111"/>
      <c r="X259" s="111"/>
      <c r="Y259" s="111"/>
      <c r="Z259" s="111"/>
      <c r="AA259" s="111"/>
      <c r="AB259" s="111"/>
      <c r="AC259" s="111"/>
      <c r="AD259" s="111"/>
      <c r="AE259" s="139">
        <f t="shared" si="29"/>
        <v>0</v>
      </c>
      <c r="AF259" s="109"/>
      <c r="AG259" s="109"/>
    </row>
    <row r="260" spans="1:33">
      <c r="A260" s="117"/>
      <c r="B260" s="118"/>
      <c r="C260" s="118"/>
      <c r="D260" s="118"/>
      <c r="E260" s="119"/>
      <c r="F260" s="118"/>
      <c r="G260" s="110"/>
      <c r="H260" s="143"/>
      <c r="I260" s="114">
        <v>0</v>
      </c>
      <c r="J260" s="115">
        <v>0</v>
      </c>
      <c r="K260" s="116">
        <v>0</v>
      </c>
      <c r="L260" s="116">
        <v>0</v>
      </c>
      <c r="M260" s="114">
        <v>0</v>
      </c>
      <c r="N260" s="113">
        <v>0</v>
      </c>
      <c r="O260" s="113">
        <v>0</v>
      </c>
      <c r="P260" s="146">
        <v>0</v>
      </c>
      <c r="Q260" s="116">
        <v>0</v>
      </c>
      <c r="R260" s="116">
        <v>0</v>
      </c>
      <c r="S260" s="114">
        <v>0</v>
      </c>
      <c r="T260" s="116">
        <v>0</v>
      </c>
      <c r="U260" s="116">
        <v>0</v>
      </c>
      <c r="V260" s="121">
        <f t="shared" si="30"/>
        <v>0</v>
      </c>
      <c r="W260" s="111"/>
      <c r="X260" s="111"/>
      <c r="Y260" s="111"/>
      <c r="Z260" s="111"/>
      <c r="AA260" s="111"/>
      <c r="AB260" s="111"/>
      <c r="AC260" s="111"/>
      <c r="AD260" s="111"/>
      <c r="AE260" s="139">
        <f t="shared" si="29"/>
        <v>0</v>
      </c>
      <c r="AF260" s="109"/>
      <c r="AG260" s="109"/>
    </row>
    <row r="261" spans="1:33">
      <c r="A261" s="117"/>
      <c r="B261" s="118"/>
      <c r="C261" s="118"/>
      <c r="D261" s="118"/>
      <c r="E261" s="119"/>
      <c r="F261" s="118"/>
      <c r="G261" s="110"/>
      <c r="H261" s="143"/>
      <c r="I261" s="114">
        <v>0</v>
      </c>
      <c r="J261" s="115">
        <v>0</v>
      </c>
      <c r="K261" s="116">
        <v>0</v>
      </c>
      <c r="L261" s="116">
        <v>0</v>
      </c>
      <c r="M261" s="114">
        <v>0</v>
      </c>
      <c r="N261" s="113">
        <v>0</v>
      </c>
      <c r="O261" s="113">
        <v>0</v>
      </c>
      <c r="P261" s="146">
        <v>0</v>
      </c>
      <c r="Q261" s="116">
        <v>0</v>
      </c>
      <c r="R261" s="116">
        <v>0</v>
      </c>
      <c r="S261" s="114">
        <v>0</v>
      </c>
      <c r="T261" s="116">
        <v>0</v>
      </c>
      <c r="U261" s="116">
        <v>0</v>
      </c>
      <c r="V261" s="121">
        <f t="shared" si="30"/>
        <v>0</v>
      </c>
      <c r="W261" s="111"/>
      <c r="X261" s="111"/>
      <c r="Y261" s="111"/>
      <c r="Z261" s="111"/>
      <c r="AA261" s="111"/>
      <c r="AB261" s="111"/>
      <c r="AC261" s="111"/>
      <c r="AD261" s="111"/>
      <c r="AE261" s="139">
        <f t="shared" si="29"/>
        <v>0</v>
      </c>
      <c r="AF261" s="109"/>
      <c r="AG261" s="109"/>
    </row>
    <row r="262" spans="1:33">
      <c r="A262" s="117"/>
      <c r="B262" s="118"/>
      <c r="C262" s="118"/>
      <c r="D262" s="118"/>
      <c r="E262" s="119"/>
      <c r="F262" s="118"/>
      <c r="G262" s="110"/>
      <c r="H262" s="143"/>
      <c r="I262" s="114">
        <v>0</v>
      </c>
      <c r="J262" s="115">
        <v>0</v>
      </c>
      <c r="K262" s="116">
        <v>0</v>
      </c>
      <c r="L262" s="116">
        <v>0</v>
      </c>
      <c r="M262" s="114">
        <v>0</v>
      </c>
      <c r="N262" s="113">
        <v>0</v>
      </c>
      <c r="O262" s="113">
        <v>0</v>
      </c>
      <c r="P262" s="146">
        <v>0</v>
      </c>
      <c r="Q262" s="116">
        <v>0</v>
      </c>
      <c r="R262" s="116">
        <v>0</v>
      </c>
      <c r="S262" s="114">
        <v>0</v>
      </c>
      <c r="T262" s="116">
        <v>0</v>
      </c>
      <c r="U262" s="116">
        <v>0</v>
      </c>
      <c r="V262" s="121">
        <f t="shared" si="30"/>
        <v>0</v>
      </c>
      <c r="W262" s="111"/>
      <c r="X262" s="111"/>
      <c r="Y262" s="111"/>
      <c r="Z262" s="111"/>
      <c r="AA262" s="111"/>
      <c r="AB262" s="111"/>
      <c r="AC262" s="111"/>
      <c r="AD262" s="111"/>
      <c r="AE262" s="139">
        <f t="shared" si="29"/>
        <v>0</v>
      </c>
      <c r="AF262" s="109"/>
      <c r="AG262" s="109"/>
    </row>
    <row r="263" spans="1:33">
      <c r="A263" s="117"/>
      <c r="B263" s="118"/>
      <c r="C263" s="118"/>
      <c r="D263" s="118"/>
      <c r="E263" s="119"/>
      <c r="F263" s="118"/>
      <c r="G263" s="110"/>
      <c r="H263" s="143"/>
      <c r="I263" s="114">
        <v>0</v>
      </c>
      <c r="J263" s="115">
        <v>0</v>
      </c>
      <c r="K263" s="116">
        <v>0</v>
      </c>
      <c r="L263" s="116">
        <v>0</v>
      </c>
      <c r="M263" s="114">
        <v>0</v>
      </c>
      <c r="N263" s="113">
        <v>0</v>
      </c>
      <c r="O263" s="113">
        <v>0</v>
      </c>
      <c r="P263" s="146">
        <v>0</v>
      </c>
      <c r="Q263" s="116">
        <v>0</v>
      </c>
      <c r="R263" s="116">
        <v>0</v>
      </c>
      <c r="S263" s="114">
        <v>0</v>
      </c>
      <c r="T263" s="116">
        <v>0</v>
      </c>
      <c r="U263" s="116">
        <v>0</v>
      </c>
      <c r="V263" s="121">
        <f t="shared" si="30"/>
        <v>0</v>
      </c>
      <c r="W263" s="111"/>
      <c r="X263" s="111"/>
      <c r="Y263" s="111"/>
      <c r="Z263" s="111"/>
      <c r="AA263" s="111"/>
      <c r="AB263" s="111"/>
      <c r="AC263" s="111"/>
      <c r="AD263" s="111"/>
      <c r="AE263" s="139">
        <f t="shared" si="29"/>
        <v>0</v>
      </c>
      <c r="AF263" s="109"/>
      <c r="AG263" s="109"/>
    </row>
    <row r="264" spans="1:33">
      <c r="A264" s="117"/>
      <c r="B264" s="118"/>
      <c r="C264" s="118"/>
      <c r="D264" s="118"/>
      <c r="E264" s="119"/>
      <c r="F264" s="118"/>
      <c r="G264" s="110"/>
      <c r="H264" s="143"/>
      <c r="I264" s="114">
        <v>0</v>
      </c>
      <c r="J264" s="115">
        <v>0</v>
      </c>
      <c r="K264" s="116">
        <v>0</v>
      </c>
      <c r="L264" s="116">
        <v>0</v>
      </c>
      <c r="M264" s="114">
        <v>0</v>
      </c>
      <c r="N264" s="113">
        <v>0</v>
      </c>
      <c r="O264" s="113">
        <v>0</v>
      </c>
      <c r="P264" s="146">
        <v>0</v>
      </c>
      <c r="Q264" s="116">
        <v>0</v>
      </c>
      <c r="R264" s="116">
        <v>0</v>
      </c>
      <c r="S264" s="114">
        <v>0</v>
      </c>
      <c r="T264" s="116">
        <v>0</v>
      </c>
      <c r="U264" s="116">
        <v>0</v>
      </c>
      <c r="V264" s="121">
        <f t="shared" si="30"/>
        <v>0</v>
      </c>
      <c r="W264" s="111"/>
      <c r="X264" s="111"/>
      <c r="Y264" s="111"/>
      <c r="Z264" s="111"/>
      <c r="AA264" s="111"/>
      <c r="AB264" s="111"/>
      <c r="AC264" s="111"/>
      <c r="AD264" s="111"/>
      <c r="AE264" s="139">
        <f t="shared" si="29"/>
        <v>0</v>
      </c>
      <c r="AF264" s="109"/>
      <c r="AG264" s="109"/>
    </row>
    <row r="265" spans="1:33">
      <c r="A265" s="117"/>
      <c r="B265" s="118"/>
      <c r="C265" s="118"/>
      <c r="D265" s="118"/>
      <c r="E265" s="119"/>
      <c r="F265" s="118"/>
      <c r="G265" s="110"/>
      <c r="H265" s="143"/>
      <c r="I265" s="114">
        <v>0</v>
      </c>
      <c r="J265" s="115">
        <v>0</v>
      </c>
      <c r="K265" s="116">
        <v>0</v>
      </c>
      <c r="L265" s="116">
        <v>0</v>
      </c>
      <c r="M265" s="114">
        <v>0</v>
      </c>
      <c r="N265" s="113">
        <v>0</v>
      </c>
      <c r="O265" s="113">
        <v>0</v>
      </c>
      <c r="P265" s="146">
        <v>0</v>
      </c>
      <c r="Q265" s="116">
        <v>0</v>
      </c>
      <c r="R265" s="116">
        <v>0</v>
      </c>
      <c r="S265" s="114">
        <v>0</v>
      </c>
      <c r="T265" s="116">
        <v>0</v>
      </c>
      <c r="U265" s="116">
        <v>0</v>
      </c>
      <c r="V265" s="121">
        <f t="shared" si="30"/>
        <v>0</v>
      </c>
      <c r="W265" s="111"/>
      <c r="X265" s="111"/>
      <c r="Y265" s="111"/>
      <c r="Z265" s="111"/>
      <c r="AA265" s="111"/>
      <c r="AB265" s="111"/>
      <c r="AC265" s="111"/>
      <c r="AD265" s="111"/>
      <c r="AE265" s="139">
        <f t="shared" si="29"/>
        <v>0</v>
      </c>
      <c r="AF265" s="109"/>
      <c r="AG265" s="109"/>
    </row>
    <row r="266" spans="1:33">
      <c r="A266" s="117"/>
      <c r="B266" s="118"/>
      <c r="C266" s="118"/>
      <c r="D266" s="118"/>
      <c r="E266" s="119"/>
      <c r="F266" s="118"/>
      <c r="G266" s="110"/>
      <c r="H266" s="143"/>
      <c r="I266" s="114">
        <v>0</v>
      </c>
      <c r="J266" s="115">
        <v>0</v>
      </c>
      <c r="K266" s="116">
        <v>0</v>
      </c>
      <c r="L266" s="116">
        <v>0</v>
      </c>
      <c r="M266" s="114">
        <v>0</v>
      </c>
      <c r="N266" s="113">
        <v>0</v>
      </c>
      <c r="O266" s="113">
        <v>0</v>
      </c>
      <c r="P266" s="146">
        <v>0</v>
      </c>
      <c r="Q266" s="116">
        <v>0</v>
      </c>
      <c r="R266" s="116">
        <v>0</v>
      </c>
      <c r="S266" s="114">
        <v>0</v>
      </c>
      <c r="T266" s="116">
        <v>0</v>
      </c>
      <c r="U266" s="116">
        <v>0</v>
      </c>
      <c r="V266" s="121">
        <f t="shared" si="30"/>
        <v>0</v>
      </c>
      <c r="W266" s="111"/>
      <c r="X266" s="111"/>
      <c r="Y266" s="111"/>
      <c r="Z266" s="111"/>
      <c r="AA266" s="111"/>
      <c r="AB266" s="111"/>
      <c r="AC266" s="111"/>
      <c r="AD266" s="111"/>
      <c r="AE266" s="139">
        <f t="shared" si="29"/>
        <v>0</v>
      </c>
      <c r="AF266" s="109"/>
      <c r="AG266" s="109"/>
    </row>
    <row r="267" spans="1:33">
      <c r="A267" s="117"/>
      <c r="B267" s="118"/>
      <c r="C267" s="118"/>
      <c r="D267" s="118"/>
      <c r="E267" s="119"/>
      <c r="F267" s="118"/>
      <c r="G267" s="110"/>
      <c r="H267" s="143"/>
      <c r="I267" s="114">
        <v>0</v>
      </c>
      <c r="J267" s="115">
        <v>0</v>
      </c>
      <c r="K267" s="116">
        <v>0</v>
      </c>
      <c r="L267" s="116">
        <v>0</v>
      </c>
      <c r="M267" s="114">
        <v>0</v>
      </c>
      <c r="N267" s="113">
        <v>0</v>
      </c>
      <c r="O267" s="113">
        <v>0</v>
      </c>
      <c r="P267" s="146">
        <v>0</v>
      </c>
      <c r="Q267" s="116">
        <v>0</v>
      </c>
      <c r="R267" s="116">
        <v>0</v>
      </c>
      <c r="S267" s="114">
        <v>0</v>
      </c>
      <c r="T267" s="116">
        <v>0</v>
      </c>
      <c r="U267" s="116">
        <v>0</v>
      </c>
      <c r="V267" s="121">
        <f t="shared" si="30"/>
        <v>0</v>
      </c>
      <c r="W267" s="111"/>
      <c r="X267" s="111"/>
      <c r="Y267" s="111"/>
      <c r="Z267" s="111"/>
      <c r="AA267" s="111"/>
      <c r="AB267" s="111"/>
      <c r="AC267" s="111"/>
      <c r="AD267" s="111"/>
      <c r="AE267" s="139">
        <f t="shared" si="29"/>
        <v>0</v>
      </c>
      <c r="AF267" s="109"/>
      <c r="AG267" s="109"/>
    </row>
    <row r="268" spans="1:33">
      <c r="A268" s="117"/>
      <c r="B268" s="118"/>
      <c r="C268" s="118"/>
      <c r="D268" s="118"/>
      <c r="E268" s="119"/>
      <c r="F268" s="118"/>
      <c r="G268" s="110"/>
      <c r="H268" s="143"/>
      <c r="I268" s="114">
        <v>0</v>
      </c>
      <c r="J268" s="115">
        <v>0</v>
      </c>
      <c r="K268" s="116">
        <v>0</v>
      </c>
      <c r="L268" s="116">
        <v>0</v>
      </c>
      <c r="M268" s="114">
        <v>0</v>
      </c>
      <c r="N268" s="113">
        <v>0</v>
      </c>
      <c r="O268" s="113">
        <v>0</v>
      </c>
      <c r="P268" s="146">
        <v>0</v>
      </c>
      <c r="Q268" s="116">
        <v>0</v>
      </c>
      <c r="R268" s="116">
        <v>0</v>
      </c>
      <c r="S268" s="114">
        <v>0</v>
      </c>
      <c r="T268" s="116">
        <v>0</v>
      </c>
      <c r="U268" s="116">
        <v>0</v>
      </c>
      <c r="V268" s="121">
        <f t="shared" si="30"/>
        <v>0</v>
      </c>
      <c r="W268" s="111"/>
      <c r="X268" s="111"/>
      <c r="Y268" s="111"/>
      <c r="Z268" s="111"/>
      <c r="AA268" s="111"/>
      <c r="AB268" s="111"/>
      <c r="AC268" s="111"/>
      <c r="AD268" s="111"/>
      <c r="AE268" s="139">
        <f t="shared" si="29"/>
        <v>0</v>
      </c>
      <c r="AF268" s="109"/>
      <c r="AG268" s="109"/>
    </row>
    <row r="269" spans="1:33">
      <c r="A269" s="117"/>
      <c r="B269" s="118"/>
      <c r="C269" s="118"/>
      <c r="D269" s="118"/>
      <c r="E269" s="119"/>
      <c r="F269" s="118"/>
      <c r="G269" s="110"/>
      <c r="H269" s="143"/>
      <c r="I269" s="114">
        <v>0</v>
      </c>
      <c r="J269" s="115">
        <v>0</v>
      </c>
      <c r="K269" s="116">
        <v>0</v>
      </c>
      <c r="L269" s="116">
        <v>0</v>
      </c>
      <c r="M269" s="114">
        <v>0</v>
      </c>
      <c r="N269" s="113">
        <v>0</v>
      </c>
      <c r="O269" s="113">
        <v>0</v>
      </c>
      <c r="P269" s="146">
        <v>0</v>
      </c>
      <c r="Q269" s="116">
        <v>0</v>
      </c>
      <c r="R269" s="116">
        <v>0</v>
      </c>
      <c r="S269" s="114">
        <v>0</v>
      </c>
      <c r="T269" s="116">
        <v>0</v>
      </c>
      <c r="U269" s="116">
        <v>0</v>
      </c>
      <c r="V269" s="121">
        <f t="shared" si="30"/>
        <v>0</v>
      </c>
      <c r="W269" s="111"/>
      <c r="X269" s="111"/>
      <c r="Y269" s="111"/>
      <c r="Z269" s="111"/>
      <c r="AA269" s="111"/>
      <c r="AB269" s="111"/>
      <c r="AC269" s="111"/>
      <c r="AD269" s="111"/>
      <c r="AE269" s="139">
        <f t="shared" si="29"/>
        <v>0</v>
      </c>
      <c r="AF269" s="109"/>
      <c r="AG269" s="109"/>
    </row>
    <row r="270" spans="1:33">
      <c r="A270" s="117"/>
      <c r="B270" s="118"/>
      <c r="C270" s="118"/>
      <c r="D270" s="118"/>
      <c r="E270" s="119"/>
      <c r="F270" s="118"/>
      <c r="G270" s="110"/>
      <c r="H270" s="143"/>
      <c r="I270" s="114">
        <v>0</v>
      </c>
      <c r="J270" s="115">
        <v>0</v>
      </c>
      <c r="K270" s="116">
        <v>0</v>
      </c>
      <c r="L270" s="116">
        <v>0</v>
      </c>
      <c r="M270" s="114">
        <v>0</v>
      </c>
      <c r="N270" s="113">
        <v>0</v>
      </c>
      <c r="O270" s="113">
        <v>0</v>
      </c>
      <c r="P270" s="146">
        <v>0</v>
      </c>
      <c r="Q270" s="116">
        <v>0</v>
      </c>
      <c r="R270" s="116">
        <v>0</v>
      </c>
      <c r="S270" s="114">
        <v>0</v>
      </c>
      <c r="T270" s="116">
        <v>0</v>
      </c>
      <c r="U270" s="116">
        <v>0</v>
      </c>
      <c r="V270" s="121">
        <f t="shared" si="30"/>
        <v>0</v>
      </c>
      <c r="W270" s="111"/>
      <c r="X270" s="111"/>
      <c r="Y270" s="111"/>
      <c r="Z270" s="111"/>
      <c r="AA270" s="111"/>
      <c r="AB270" s="111"/>
      <c r="AC270" s="111"/>
      <c r="AD270" s="111"/>
      <c r="AE270" s="139">
        <f t="shared" si="29"/>
        <v>0</v>
      </c>
      <c r="AF270" s="109"/>
      <c r="AG270" s="109"/>
    </row>
    <row r="271" spans="1:33">
      <c r="A271" s="117"/>
      <c r="B271" s="118"/>
      <c r="C271" s="118"/>
      <c r="D271" s="118"/>
      <c r="E271" s="119"/>
      <c r="F271" s="118"/>
      <c r="G271" s="110"/>
      <c r="H271" s="143"/>
      <c r="I271" s="114">
        <v>0</v>
      </c>
      <c r="J271" s="115">
        <v>0</v>
      </c>
      <c r="K271" s="116">
        <v>0</v>
      </c>
      <c r="L271" s="116">
        <v>0</v>
      </c>
      <c r="M271" s="114">
        <v>0</v>
      </c>
      <c r="N271" s="113">
        <v>0</v>
      </c>
      <c r="O271" s="113">
        <v>0</v>
      </c>
      <c r="P271" s="146">
        <v>0</v>
      </c>
      <c r="Q271" s="116">
        <v>0</v>
      </c>
      <c r="R271" s="116">
        <v>0</v>
      </c>
      <c r="S271" s="114">
        <v>0</v>
      </c>
      <c r="T271" s="116">
        <v>0</v>
      </c>
      <c r="U271" s="116">
        <v>0</v>
      </c>
      <c r="V271" s="121">
        <f t="shared" si="30"/>
        <v>0</v>
      </c>
      <c r="W271" s="111"/>
      <c r="X271" s="111"/>
      <c r="Y271" s="111"/>
      <c r="Z271" s="111"/>
      <c r="AA271" s="111"/>
      <c r="AB271" s="111"/>
      <c r="AC271" s="111"/>
      <c r="AD271" s="111"/>
      <c r="AE271" s="139">
        <f t="shared" si="29"/>
        <v>0</v>
      </c>
      <c r="AF271" s="109"/>
      <c r="AG271" s="109"/>
    </row>
    <row r="272" spans="1:33">
      <c r="A272" s="117"/>
      <c r="B272" s="118"/>
      <c r="C272" s="118"/>
      <c r="D272" s="118"/>
      <c r="E272" s="119"/>
      <c r="F272" s="118"/>
      <c r="G272" s="110"/>
      <c r="H272" s="143"/>
      <c r="I272" s="114">
        <v>0</v>
      </c>
      <c r="J272" s="115">
        <v>0</v>
      </c>
      <c r="K272" s="116">
        <v>0</v>
      </c>
      <c r="L272" s="116">
        <v>0</v>
      </c>
      <c r="M272" s="114">
        <v>0</v>
      </c>
      <c r="N272" s="113">
        <v>0</v>
      </c>
      <c r="O272" s="113">
        <v>0</v>
      </c>
      <c r="P272" s="146">
        <v>0</v>
      </c>
      <c r="Q272" s="116">
        <v>0</v>
      </c>
      <c r="R272" s="116">
        <v>0</v>
      </c>
      <c r="S272" s="114">
        <v>0</v>
      </c>
      <c r="T272" s="116">
        <v>0</v>
      </c>
      <c r="U272" s="116">
        <v>0</v>
      </c>
      <c r="V272" s="121">
        <f t="shared" si="30"/>
        <v>0</v>
      </c>
      <c r="W272" s="111"/>
      <c r="X272" s="111"/>
      <c r="Y272" s="111"/>
      <c r="Z272" s="111"/>
      <c r="AA272" s="111"/>
      <c r="AB272" s="111"/>
      <c r="AC272" s="111"/>
      <c r="AD272" s="111"/>
      <c r="AE272" s="139">
        <f t="shared" si="29"/>
        <v>0</v>
      </c>
      <c r="AF272" s="109"/>
      <c r="AG272" s="109"/>
    </row>
    <row r="273" spans="1:33">
      <c r="A273" s="117"/>
      <c r="B273" s="118"/>
      <c r="C273" s="118"/>
      <c r="D273" s="118"/>
      <c r="E273" s="119"/>
      <c r="F273" s="118"/>
      <c r="G273" s="110"/>
      <c r="H273" s="143"/>
      <c r="I273" s="114">
        <v>0</v>
      </c>
      <c r="J273" s="115">
        <v>0</v>
      </c>
      <c r="K273" s="116">
        <v>0</v>
      </c>
      <c r="L273" s="116">
        <v>0</v>
      </c>
      <c r="M273" s="114">
        <v>0</v>
      </c>
      <c r="N273" s="113">
        <v>0</v>
      </c>
      <c r="O273" s="113">
        <v>0</v>
      </c>
      <c r="P273" s="146">
        <v>0</v>
      </c>
      <c r="Q273" s="116">
        <v>0</v>
      </c>
      <c r="R273" s="116">
        <v>0</v>
      </c>
      <c r="S273" s="114">
        <v>0</v>
      </c>
      <c r="T273" s="116">
        <v>0</v>
      </c>
      <c r="U273" s="116">
        <v>0</v>
      </c>
      <c r="V273" s="121">
        <f t="shared" si="30"/>
        <v>0</v>
      </c>
      <c r="W273" s="111"/>
      <c r="X273" s="111"/>
      <c r="Y273" s="111"/>
      <c r="Z273" s="111"/>
      <c r="AA273" s="111"/>
      <c r="AB273" s="111"/>
      <c r="AC273" s="111"/>
      <c r="AD273" s="111"/>
      <c r="AE273" s="139">
        <f t="shared" si="29"/>
        <v>0</v>
      </c>
      <c r="AF273" s="109"/>
      <c r="AG273" s="109"/>
    </row>
    <row r="274" spans="1:33">
      <c r="A274" s="117"/>
      <c r="B274" s="118"/>
      <c r="C274" s="118"/>
      <c r="D274" s="118"/>
      <c r="E274" s="119"/>
      <c r="F274" s="118"/>
      <c r="G274" s="110"/>
      <c r="H274" s="143"/>
      <c r="I274" s="114">
        <v>0</v>
      </c>
      <c r="J274" s="115">
        <v>0</v>
      </c>
      <c r="K274" s="116">
        <v>0</v>
      </c>
      <c r="L274" s="116">
        <v>0</v>
      </c>
      <c r="M274" s="114">
        <v>0</v>
      </c>
      <c r="N274" s="113">
        <v>0</v>
      </c>
      <c r="O274" s="113">
        <v>0</v>
      </c>
      <c r="P274" s="146">
        <v>0</v>
      </c>
      <c r="Q274" s="116">
        <v>0</v>
      </c>
      <c r="R274" s="116">
        <v>0</v>
      </c>
      <c r="S274" s="114">
        <v>0</v>
      </c>
      <c r="T274" s="116">
        <v>0</v>
      </c>
      <c r="U274" s="116">
        <v>0</v>
      </c>
      <c r="V274" s="121">
        <f t="shared" si="30"/>
        <v>0</v>
      </c>
      <c r="W274" s="111"/>
      <c r="X274" s="111"/>
      <c r="Y274" s="111"/>
      <c r="Z274" s="111"/>
      <c r="AA274" s="111"/>
      <c r="AB274" s="111"/>
      <c r="AC274" s="111"/>
      <c r="AD274" s="111"/>
      <c r="AE274" s="139">
        <f t="shared" si="29"/>
        <v>0</v>
      </c>
      <c r="AF274" s="109"/>
      <c r="AG274" s="109"/>
    </row>
    <row r="275" spans="1:33">
      <c r="A275" s="117"/>
      <c r="B275" s="118"/>
      <c r="C275" s="118"/>
      <c r="D275" s="118"/>
      <c r="E275" s="119"/>
      <c r="F275" s="118"/>
      <c r="G275" s="110"/>
      <c r="H275" s="143"/>
      <c r="I275" s="114">
        <v>0</v>
      </c>
      <c r="J275" s="115">
        <v>0</v>
      </c>
      <c r="K275" s="116">
        <v>0</v>
      </c>
      <c r="L275" s="116">
        <v>0</v>
      </c>
      <c r="M275" s="114">
        <v>0</v>
      </c>
      <c r="N275" s="113">
        <v>0</v>
      </c>
      <c r="O275" s="113">
        <v>0</v>
      </c>
      <c r="P275" s="146">
        <v>0</v>
      </c>
      <c r="Q275" s="116">
        <v>0</v>
      </c>
      <c r="R275" s="116">
        <v>0</v>
      </c>
      <c r="S275" s="114">
        <v>0</v>
      </c>
      <c r="T275" s="116">
        <v>0</v>
      </c>
      <c r="U275" s="116">
        <v>0</v>
      </c>
      <c r="V275" s="121">
        <f t="shared" si="30"/>
        <v>0</v>
      </c>
      <c r="W275" s="111"/>
      <c r="X275" s="111"/>
      <c r="Y275" s="111"/>
      <c r="Z275" s="111"/>
      <c r="AA275" s="111"/>
      <c r="AB275" s="111"/>
      <c r="AC275" s="111"/>
      <c r="AD275" s="111"/>
      <c r="AE275" s="139">
        <f t="shared" si="29"/>
        <v>0</v>
      </c>
      <c r="AF275" s="109"/>
      <c r="AG275" s="109"/>
    </row>
    <row r="276" spans="1:33">
      <c r="A276" s="117"/>
      <c r="B276" s="118"/>
      <c r="C276" s="118"/>
      <c r="D276" s="118"/>
      <c r="E276" s="119"/>
      <c r="F276" s="118"/>
      <c r="G276" s="110"/>
      <c r="H276" s="143"/>
      <c r="I276" s="114">
        <v>0</v>
      </c>
      <c r="J276" s="115">
        <v>0</v>
      </c>
      <c r="K276" s="116">
        <v>0</v>
      </c>
      <c r="L276" s="116">
        <v>0</v>
      </c>
      <c r="M276" s="114">
        <v>0</v>
      </c>
      <c r="N276" s="113">
        <v>0</v>
      </c>
      <c r="O276" s="113">
        <v>0</v>
      </c>
      <c r="P276" s="146">
        <v>0</v>
      </c>
      <c r="Q276" s="116">
        <v>0</v>
      </c>
      <c r="R276" s="116">
        <v>0</v>
      </c>
      <c r="S276" s="114">
        <v>0</v>
      </c>
      <c r="T276" s="116">
        <v>0</v>
      </c>
      <c r="U276" s="116">
        <v>0</v>
      </c>
      <c r="V276" s="121">
        <f t="shared" si="30"/>
        <v>0</v>
      </c>
      <c r="W276" s="111"/>
      <c r="X276" s="111"/>
      <c r="Y276" s="111"/>
      <c r="Z276" s="111"/>
      <c r="AA276" s="111"/>
      <c r="AB276" s="111"/>
      <c r="AC276" s="111"/>
      <c r="AD276" s="111"/>
      <c r="AE276" s="139">
        <f t="shared" si="29"/>
        <v>0</v>
      </c>
      <c r="AF276" s="109"/>
      <c r="AG276" s="109"/>
    </row>
    <row r="277" spans="1:33">
      <c r="A277" s="117"/>
      <c r="B277" s="118"/>
      <c r="C277" s="118"/>
      <c r="D277" s="118"/>
      <c r="E277" s="119"/>
      <c r="F277" s="118"/>
      <c r="G277" s="110"/>
      <c r="H277" s="143"/>
      <c r="I277" s="114">
        <v>0</v>
      </c>
      <c r="J277" s="115">
        <v>0</v>
      </c>
      <c r="K277" s="116">
        <v>0</v>
      </c>
      <c r="L277" s="116">
        <v>0</v>
      </c>
      <c r="M277" s="114">
        <v>0</v>
      </c>
      <c r="N277" s="113">
        <v>0</v>
      </c>
      <c r="O277" s="113">
        <v>0</v>
      </c>
      <c r="P277" s="146">
        <v>0</v>
      </c>
      <c r="Q277" s="116">
        <v>0</v>
      </c>
      <c r="R277" s="116">
        <v>0</v>
      </c>
      <c r="S277" s="114">
        <v>0</v>
      </c>
      <c r="T277" s="116">
        <v>0</v>
      </c>
      <c r="U277" s="116">
        <v>0</v>
      </c>
      <c r="V277" s="121">
        <f t="shared" si="30"/>
        <v>0</v>
      </c>
      <c r="W277" s="111"/>
      <c r="X277" s="111"/>
      <c r="Y277" s="111"/>
      <c r="Z277" s="111"/>
      <c r="AA277" s="111"/>
      <c r="AB277" s="111"/>
      <c r="AC277" s="111"/>
      <c r="AD277" s="111"/>
      <c r="AE277" s="139">
        <f t="shared" si="29"/>
        <v>0</v>
      </c>
      <c r="AF277" s="109"/>
      <c r="AG277" s="109"/>
    </row>
    <row r="278" spans="1:33">
      <c r="A278" s="117"/>
      <c r="B278" s="118"/>
      <c r="C278" s="118"/>
      <c r="D278" s="118"/>
      <c r="E278" s="119"/>
      <c r="F278" s="118"/>
      <c r="G278" s="110"/>
      <c r="H278" s="143"/>
      <c r="I278" s="114">
        <v>0</v>
      </c>
      <c r="J278" s="115">
        <v>0</v>
      </c>
      <c r="K278" s="116">
        <v>0</v>
      </c>
      <c r="L278" s="116">
        <v>0</v>
      </c>
      <c r="M278" s="114">
        <v>0</v>
      </c>
      <c r="N278" s="113">
        <v>0</v>
      </c>
      <c r="O278" s="113">
        <v>0</v>
      </c>
      <c r="P278" s="146">
        <v>0</v>
      </c>
      <c r="Q278" s="116">
        <v>0</v>
      </c>
      <c r="R278" s="116">
        <v>0</v>
      </c>
      <c r="S278" s="114">
        <v>0</v>
      </c>
      <c r="T278" s="116">
        <v>0</v>
      </c>
      <c r="U278" s="116">
        <v>0</v>
      </c>
      <c r="V278" s="121">
        <f t="shared" si="30"/>
        <v>0</v>
      </c>
      <c r="W278" s="111"/>
      <c r="X278" s="111"/>
      <c r="Y278" s="111"/>
      <c r="Z278" s="111"/>
      <c r="AA278" s="111"/>
      <c r="AB278" s="111"/>
      <c r="AC278" s="111"/>
      <c r="AD278" s="111"/>
      <c r="AE278" s="139">
        <f t="shared" si="29"/>
        <v>0</v>
      </c>
      <c r="AF278" s="109"/>
      <c r="AG278" s="109"/>
    </row>
    <row r="279" spans="1:33">
      <c r="A279" s="117"/>
      <c r="B279" s="118"/>
      <c r="C279" s="118"/>
      <c r="D279" s="118"/>
      <c r="E279" s="119"/>
      <c r="F279" s="118"/>
      <c r="G279" s="110"/>
      <c r="H279" s="143"/>
      <c r="I279" s="114">
        <v>0</v>
      </c>
      <c r="J279" s="115">
        <v>0</v>
      </c>
      <c r="K279" s="116">
        <v>0</v>
      </c>
      <c r="L279" s="116">
        <v>0</v>
      </c>
      <c r="M279" s="114">
        <v>0</v>
      </c>
      <c r="N279" s="113">
        <v>0</v>
      </c>
      <c r="O279" s="113">
        <v>0</v>
      </c>
      <c r="P279" s="146">
        <v>0</v>
      </c>
      <c r="Q279" s="116">
        <v>0</v>
      </c>
      <c r="R279" s="116">
        <v>0</v>
      </c>
      <c r="S279" s="114">
        <v>0</v>
      </c>
      <c r="T279" s="116">
        <v>0</v>
      </c>
      <c r="U279" s="116">
        <v>0</v>
      </c>
      <c r="V279" s="121">
        <f t="shared" si="30"/>
        <v>0</v>
      </c>
      <c r="W279" s="111"/>
      <c r="X279" s="111"/>
      <c r="Y279" s="111"/>
      <c r="Z279" s="111"/>
      <c r="AA279" s="111"/>
      <c r="AB279" s="111"/>
      <c r="AC279" s="111"/>
      <c r="AD279" s="111"/>
      <c r="AE279" s="139">
        <f t="shared" si="29"/>
        <v>0</v>
      </c>
      <c r="AF279" s="109"/>
      <c r="AG279" s="109"/>
    </row>
    <row r="280" spans="1:33">
      <c r="A280" s="117"/>
      <c r="B280" s="118"/>
      <c r="C280" s="118"/>
      <c r="D280" s="118"/>
      <c r="E280" s="119"/>
      <c r="F280" s="118"/>
      <c r="G280" s="110"/>
      <c r="H280" s="143"/>
      <c r="I280" s="114">
        <v>0</v>
      </c>
      <c r="J280" s="115">
        <v>0</v>
      </c>
      <c r="K280" s="116">
        <v>0</v>
      </c>
      <c r="L280" s="116">
        <v>0</v>
      </c>
      <c r="M280" s="114">
        <v>0</v>
      </c>
      <c r="N280" s="113">
        <v>0</v>
      </c>
      <c r="O280" s="113">
        <v>0</v>
      </c>
      <c r="P280" s="146">
        <v>0</v>
      </c>
      <c r="Q280" s="116">
        <v>0</v>
      </c>
      <c r="R280" s="116">
        <v>0</v>
      </c>
      <c r="S280" s="114">
        <v>0</v>
      </c>
      <c r="T280" s="116">
        <v>0</v>
      </c>
      <c r="U280" s="116">
        <v>0</v>
      </c>
      <c r="V280" s="121">
        <f t="shared" si="30"/>
        <v>0</v>
      </c>
      <c r="W280" s="111"/>
      <c r="X280" s="111"/>
      <c r="Y280" s="111"/>
      <c r="Z280" s="111"/>
      <c r="AA280" s="111"/>
      <c r="AB280" s="111"/>
      <c r="AC280" s="111"/>
      <c r="AD280" s="111"/>
      <c r="AE280" s="139">
        <f t="shared" si="29"/>
        <v>0</v>
      </c>
      <c r="AF280" s="109"/>
      <c r="AG280" s="109"/>
    </row>
    <row r="281" spans="1:33">
      <c r="A281" s="117"/>
      <c r="B281" s="118"/>
      <c r="C281" s="118"/>
      <c r="D281" s="118"/>
      <c r="E281" s="119"/>
      <c r="F281" s="118"/>
      <c r="G281" s="110"/>
      <c r="H281" s="143"/>
      <c r="I281" s="114">
        <v>0</v>
      </c>
      <c r="J281" s="115">
        <v>0</v>
      </c>
      <c r="K281" s="116">
        <v>0</v>
      </c>
      <c r="L281" s="116">
        <v>0</v>
      </c>
      <c r="M281" s="114">
        <v>0</v>
      </c>
      <c r="N281" s="113">
        <v>0</v>
      </c>
      <c r="O281" s="113">
        <v>0</v>
      </c>
      <c r="P281" s="146">
        <v>0</v>
      </c>
      <c r="Q281" s="116">
        <v>0</v>
      </c>
      <c r="R281" s="116">
        <v>0</v>
      </c>
      <c r="S281" s="114">
        <v>0</v>
      </c>
      <c r="T281" s="116">
        <v>0</v>
      </c>
      <c r="U281" s="116">
        <v>0</v>
      </c>
      <c r="V281" s="121">
        <f t="shared" si="30"/>
        <v>0</v>
      </c>
      <c r="W281" s="111"/>
      <c r="X281" s="111"/>
      <c r="Y281" s="111"/>
      <c r="Z281" s="111"/>
      <c r="AA281" s="111"/>
      <c r="AB281" s="111"/>
      <c r="AC281" s="111"/>
      <c r="AD281" s="111"/>
      <c r="AE281" s="139">
        <f t="shared" si="29"/>
        <v>0</v>
      </c>
      <c r="AF281" s="109"/>
      <c r="AG281" s="109"/>
    </row>
    <row r="282" spans="1:33">
      <c r="A282" s="117"/>
      <c r="B282" s="118"/>
      <c r="C282" s="118"/>
      <c r="D282" s="118"/>
      <c r="E282" s="119"/>
      <c r="F282" s="118"/>
      <c r="G282" s="110"/>
      <c r="H282" s="143"/>
      <c r="I282" s="114">
        <v>0</v>
      </c>
      <c r="J282" s="115">
        <v>0</v>
      </c>
      <c r="K282" s="116">
        <v>0</v>
      </c>
      <c r="L282" s="116">
        <v>0</v>
      </c>
      <c r="M282" s="114">
        <v>0</v>
      </c>
      <c r="N282" s="113">
        <v>0</v>
      </c>
      <c r="O282" s="113">
        <v>0</v>
      </c>
      <c r="P282" s="146">
        <v>0</v>
      </c>
      <c r="Q282" s="116">
        <v>0</v>
      </c>
      <c r="R282" s="116">
        <v>0</v>
      </c>
      <c r="S282" s="114">
        <v>0</v>
      </c>
      <c r="T282" s="116">
        <v>0</v>
      </c>
      <c r="U282" s="116">
        <v>0</v>
      </c>
      <c r="V282" s="121">
        <f t="shared" si="30"/>
        <v>0</v>
      </c>
      <c r="W282" s="111"/>
      <c r="X282" s="111"/>
      <c r="Y282" s="111"/>
      <c r="Z282" s="111"/>
      <c r="AA282" s="111"/>
      <c r="AB282" s="111"/>
      <c r="AC282" s="111"/>
      <c r="AD282" s="111"/>
      <c r="AE282" s="139">
        <f t="shared" si="29"/>
        <v>0</v>
      </c>
      <c r="AF282" s="109"/>
      <c r="AG282" s="109"/>
    </row>
    <row r="283" spans="1:33">
      <c r="A283" s="117"/>
      <c r="B283" s="118"/>
      <c r="C283" s="118"/>
      <c r="D283" s="118"/>
      <c r="E283" s="119"/>
      <c r="F283" s="118"/>
      <c r="G283" s="110"/>
      <c r="H283" s="143"/>
      <c r="I283" s="114">
        <v>0</v>
      </c>
      <c r="J283" s="115">
        <v>0</v>
      </c>
      <c r="K283" s="116">
        <v>0</v>
      </c>
      <c r="L283" s="116">
        <v>0</v>
      </c>
      <c r="M283" s="114">
        <v>0</v>
      </c>
      <c r="N283" s="113">
        <v>0</v>
      </c>
      <c r="O283" s="113">
        <v>0</v>
      </c>
      <c r="P283" s="146">
        <v>0</v>
      </c>
      <c r="Q283" s="116">
        <v>0</v>
      </c>
      <c r="R283" s="116">
        <v>0</v>
      </c>
      <c r="S283" s="114">
        <v>0</v>
      </c>
      <c r="T283" s="116">
        <v>0</v>
      </c>
      <c r="U283" s="116">
        <v>0</v>
      </c>
      <c r="V283" s="121">
        <f t="shared" si="30"/>
        <v>0</v>
      </c>
      <c r="W283" s="111"/>
      <c r="X283" s="111"/>
      <c r="Y283" s="111"/>
      <c r="Z283" s="111"/>
      <c r="AA283" s="111"/>
      <c r="AB283" s="111"/>
      <c r="AC283" s="111"/>
      <c r="AD283" s="111"/>
      <c r="AE283" s="139">
        <f t="shared" si="29"/>
        <v>0</v>
      </c>
      <c r="AF283" s="109"/>
      <c r="AG283" s="109"/>
    </row>
    <row r="284" spans="1:33">
      <c r="A284" s="117"/>
      <c r="B284" s="118"/>
      <c r="C284" s="118"/>
      <c r="D284" s="118"/>
      <c r="E284" s="119"/>
      <c r="F284" s="118"/>
      <c r="G284" s="110"/>
      <c r="H284" s="143"/>
      <c r="I284" s="114">
        <v>0</v>
      </c>
      <c r="J284" s="115">
        <v>0</v>
      </c>
      <c r="K284" s="116">
        <v>0</v>
      </c>
      <c r="L284" s="116">
        <v>0</v>
      </c>
      <c r="M284" s="114">
        <v>0</v>
      </c>
      <c r="N284" s="113">
        <v>0</v>
      </c>
      <c r="O284" s="113">
        <v>0</v>
      </c>
      <c r="P284" s="146">
        <v>0</v>
      </c>
      <c r="Q284" s="116">
        <v>0</v>
      </c>
      <c r="R284" s="116">
        <v>0</v>
      </c>
      <c r="S284" s="114">
        <v>0</v>
      </c>
      <c r="T284" s="116">
        <v>0</v>
      </c>
      <c r="U284" s="116">
        <v>0</v>
      </c>
      <c r="V284" s="121">
        <f t="shared" si="30"/>
        <v>0</v>
      </c>
      <c r="W284" s="111"/>
      <c r="X284" s="111"/>
      <c r="Y284" s="111"/>
      <c r="Z284" s="111"/>
      <c r="AA284" s="111"/>
      <c r="AB284" s="111"/>
      <c r="AC284" s="111"/>
      <c r="AD284" s="111"/>
      <c r="AE284" s="139">
        <f t="shared" si="29"/>
        <v>0</v>
      </c>
      <c r="AF284" s="109"/>
      <c r="AG284" s="109"/>
    </row>
    <row r="285" spans="1:33">
      <c r="A285" s="117"/>
      <c r="B285" s="118"/>
      <c r="C285" s="118"/>
      <c r="D285" s="118"/>
      <c r="E285" s="119"/>
      <c r="F285" s="118"/>
      <c r="G285" s="110"/>
      <c r="H285" s="143"/>
      <c r="I285" s="114">
        <v>0</v>
      </c>
      <c r="J285" s="115">
        <v>0</v>
      </c>
      <c r="K285" s="116">
        <v>0</v>
      </c>
      <c r="L285" s="116">
        <v>0</v>
      </c>
      <c r="M285" s="114">
        <v>0</v>
      </c>
      <c r="N285" s="113">
        <v>0</v>
      </c>
      <c r="O285" s="113">
        <v>0</v>
      </c>
      <c r="P285" s="146">
        <v>0</v>
      </c>
      <c r="Q285" s="116">
        <v>0</v>
      </c>
      <c r="R285" s="116">
        <v>0</v>
      </c>
      <c r="S285" s="114">
        <v>0</v>
      </c>
      <c r="T285" s="116">
        <v>0</v>
      </c>
      <c r="U285" s="116">
        <v>0</v>
      </c>
      <c r="V285" s="121">
        <f t="shared" si="30"/>
        <v>0</v>
      </c>
      <c r="W285" s="111"/>
      <c r="X285" s="111"/>
      <c r="Y285" s="111"/>
      <c r="Z285" s="111"/>
      <c r="AA285" s="111"/>
      <c r="AB285" s="111"/>
      <c r="AC285" s="111"/>
      <c r="AD285" s="111"/>
      <c r="AE285" s="139">
        <f t="shared" si="29"/>
        <v>0</v>
      </c>
      <c r="AF285" s="109"/>
      <c r="AG285" s="109"/>
    </row>
    <row r="286" spans="1:33">
      <c r="A286" s="117"/>
      <c r="B286" s="118"/>
      <c r="C286" s="118"/>
      <c r="D286" s="118"/>
      <c r="E286" s="119"/>
      <c r="F286" s="118"/>
      <c r="G286" s="110"/>
      <c r="H286" s="143"/>
      <c r="I286" s="114">
        <v>0</v>
      </c>
      <c r="J286" s="115">
        <v>0</v>
      </c>
      <c r="K286" s="116">
        <v>0</v>
      </c>
      <c r="L286" s="116">
        <v>0</v>
      </c>
      <c r="M286" s="114">
        <v>0</v>
      </c>
      <c r="N286" s="113">
        <v>0</v>
      </c>
      <c r="O286" s="113">
        <v>0</v>
      </c>
      <c r="P286" s="146">
        <v>0</v>
      </c>
      <c r="Q286" s="116">
        <v>0</v>
      </c>
      <c r="R286" s="116">
        <v>0</v>
      </c>
      <c r="S286" s="114">
        <v>0</v>
      </c>
      <c r="T286" s="116">
        <v>0</v>
      </c>
      <c r="U286" s="116">
        <v>0</v>
      </c>
      <c r="V286" s="121">
        <f t="shared" si="30"/>
        <v>0</v>
      </c>
      <c r="W286" s="111"/>
      <c r="X286" s="111"/>
      <c r="Y286" s="111"/>
      <c r="Z286" s="111"/>
      <c r="AA286" s="111"/>
      <c r="AB286" s="111"/>
      <c r="AC286" s="111"/>
      <c r="AD286" s="111"/>
      <c r="AE286" s="139">
        <f t="shared" si="29"/>
        <v>0</v>
      </c>
      <c r="AF286" s="109"/>
      <c r="AG286" s="109"/>
    </row>
    <row r="287" spans="1:33">
      <c r="A287" s="117"/>
      <c r="B287" s="118"/>
      <c r="C287" s="118"/>
      <c r="D287" s="118"/>
      <c r="E287" s="119"/>
      <c r="F287" s="118"/>
      <c r="G287" s="110"/>
      <c r="H287" s="143"/>
      <c r="I287" s="114">
        <v>0</v>
      </c>
      <c r="J287" s="115">
        <v>0</v>
      </c>
      <c r="K287" s="116">
        <v>0</v>
      </c>
      <c r="L287" s="116">
        <v>0</v>
      </c>
      <c r="M287" s="114">
        <v>0</v>
      </c>
      <c r="N287" s="113">
        <v>0</v>
      </c>
      <c r="O287" s="113">
        <v>0</v>
      </c>
      <c r="P287" s="146">
        <v>0</v>
      </c>
      <c r="Q287" s="116">
        <v>0</v>
      </c>
      <c r="R287" s="116">
        <v>0</v>
      </c>
      <c r="S287" s="114">
        <v>0</v>
      </c>
      <c r="T287" s="116">
        <v>0</v>
      </c>
      <c r="U287" s="116">
        <v>0</v>
      </c>
      <c r="V287" s="121">
        <f t="shared" si="30"/>
        <v>0</v>
      </c>
      <c r="W287" s="111"/>
      <c r="X287" s="111"/>
      <c r="Y287" s="111"/>
      <c r="Z287" s="111"/>
      <c r="AA287" s="111"/>
      <c r="AB287" s="111"/>
      <c r="AC287" s="111"/>
      <c r="AD287" s="111"/>
      <c r="AE287" s="139">
        <f t="shared" si="29"/>
        <v>0</v>
      </c>
      <c r="AF287" s="109"/>
      <c r="AG287" s="109"/>
    </row>
    <row r="288" spans="1:33">
      <c r="A288" s="117"/>
      <c r="B288" s="118"/>
      <c r="C288" s="118"/>
      <c r="D288" s="118"/>
      <c r="E288" s="119"/>
      <c r="F288" s="118"/>
      <c r="G288" s="110"/>
      <c r="H288" s="143"/>
      <c r="I288" s="114">
        <v>0</v>
      </c>
      <c r="J288" s="115">
        <v>0</v>
      </c>
      <c r="K288" s="116">
        <v>0</v>
      </c>
      <c r="L288" s="116">
        <v>0</v>
      </c>
      <c r="M288" s="114">
        <v>0</v>
      </c>
      <c r="N288" s="113">
        <v>0</v>
      </c>
      <c r="O288" s="113">
        <v>0</v>
      </c>
      <c r="P288" s="146">
        <v>0</v>
      </c>
      <c r="Q288" s="116">
        <v>0</v>
      </c>
      <c r="R288" s="116">
        <v>0</v>
      </c>
      <c r="S288" s="114">
        <v>0</v>
      </c>
      <c r="T288" s="116">
        <v>0</v>
      </c>
      <c r="U288" s="116">
        <v>0</v>
      </c>
      <c r="V288" s="121">
        <f t="shared" si="30"/>
        <v>0</v>
      </c>
      <c r="W288" s="111"/>
      <c r="X288" s="111"/>
      <c r="Y288" s="111"/>
      <c r="Z288" s="111"/>
      <c r="AA288" s="111"/>
      <c r="AB288" s="111"/>
      <c r="AC288" s="111"/>
      <c r="AD288" s="111"/>
      <c r="AE288" s="139">
        <f t="shared" si="29"/>
        <v>0</v>
      </c>
      <c r="AF288" s="109"/>
      <c r="AG288" s="109"/>
    </row>
    <row r="289" spans="1:33">
      <c r="A289" s="117"/>
      <c r="B289" s="118"/>
      <c r="C289" s="118"/>
      <c r="D289" s="118"/>
      <c r="E289" s="119"/>
      <c r="F289" s="118"/>
      <c r="G289" s="110"/>
      <c r="H289" s="143"/>
      <c r="I289" s="114">
        <v>0</v>
      </c>
      <c r="J289" s="115">
        <v>0</v>
      </c>
      <c r="K289" s="116">
        <v>0</v>
      </c>
      <c r="L289" s="116">
        <v>0</v>
      </c>
      <c r="M289" s="114">
        <v>0</v>
      </c>
      <c r="N289" s="113">
        <v>0</v>
      </c>
      <c r="O289" s="113">
        <v>0</v>
      </c>
      <c r="P289" s="146">
        <v>0</v>
      </c>
      <c r="Q289" s="116">
        <v>0</v>
      </c>
      <c r="R289" s="116">
        <v>0</v>
      </c>
      <c r="S289" s="114">
        <v>0</v>
      </c>
      <c r="T289" s="116">
        <v>0</v>
      </c>
      <c r="U289" s="116">
        <v>0</v>
      </c>
      <c r="V289" s="121">
        <f t="shared" si="30"/>
        <v>0</v>
      </c>
      <c r="W289" s="111"/>
      <c r="X289" s="111"/>
      <c r="Y289" s="111"/>
      <c r="Z289" s="111"/>
      <c r="AA289" s="111"/>
      <c r="AB289" s="111"/>
      <c r="AC289" s="111"/>
      <c r="AD289" s="111"/>
      <c r="AE289" s="139">
        <f t="shared" si="29"/>
        <v>0</v>
      </c>
      <c r="AF289" s="109"/>
      <c r="AG289" s="109"/>
    </row>
    <row r="290" spans="1:33">
      <c r="A290" s="117"/>
      <c r="B290" s="118"/>
      <c r="C290" s="118"/>
      <c r="D290" s="118"/>
      <c r="E290" s="119"/>
      <c r="F290" s="118"/>
      <c r="G290" s="110"/>
      <c r="H290" s="143"/>
      <c r="I290" s="114">
        <v>0</v>
      </c>
      <c r="J290" s="115">
        <v>0</v>
      </c>
      <c r="K290" s="116">
        <v>0</v>
      </c>
      <c r="L290" s="116">
        <v>0</v>
      </c>
      <c r="M290" s="114">
        <v>0</v>
      </c>
      <c r="N290" s="113">
        <v>0</v>
      </c>
      <c r="O290" s="113">
        <v>0</v>
      </c>
      <c r="P290" s="146">
        <v>0</v>
      </c>
      <c r="Q290" s="116">
        <v>0</v>
      </c>
      <c r="R290" s="116">
        <v>0</v>
      </c>
      <c r="S290" s="114">
        <v>0</v>
      </c>
      <c r="T290" s="116">
        <v>0</v>
      </c>
      <c r="U290" s="116">
        <v>0</v>
      </c>
      <c r="V290" s="121">
        <f t="shared" si="30"/>
        <v>0</v>
      </c>
      <c r="W290" s="111"/>
      <c r="X290" s="111"/>
      <c r="Y290" s="111"/>
      <c r="Z290" s="111"/>
      <c r="AA290" s="111"/>
      <c r="AB290" s="111"/>
      <c r="AC290" s="111"/>
      <c r="AD290" s="111"/>
      <c r="AE290" s="139">
        <f t="shared" si="29"/>
        <v>0</v>
      </c>
      <c r="AF290" s="109"/>
      <c r="AG290" s="109"/>
    </row>
    <row r="291" spans="1:33">
      <c r="A291" s="117"/>
      <c r="B291" s="118"/>
      <c r="C291" s="118"/>
      <c r="D291" s="118"/>
      <c r="E291" s="119"/>
      <c r="F291" s="118"/>
      <c r="G291" s="110"/>
      <c r="H291" s="143"/>
      <c r="I291" s="114">
        <v>0</v>
      </c>
      <c r="J291" s="115">
        <v>0</v>
      </c>
      <c r="K291" s="116">
        <v>0</v>
      </c>
      <c r="L291" s="116">
        <v>0</v>
      </c>
      <c r="M291" s="114">
        <v>0</v>
      </c>
      <c r="N291" s="113">
        <v>0</v>
      </c>
      <c r="O291" s="113">
        <v>0</v>
      </c>
      <c r="P291" s="146">
        <v>0</v>
      </c>
      <c r="Q291" s="116">
        <v>0</v>
      </c>
      <c r="R291" s="116">
        <v>0</v>
      </c>
      <c r="S291" s="114">
        <v>0</v>
      </c>
      <c r="T291" s="116">
        <v>0</v>
      </c>
      <c r="U291" s="116">
        <v>0</v>
      </c>
      <c r="V291" s="121">
        <f t="shared" si="30"/>
        <v>0</v>
      </c>
      <c r="W291" s="111"/>
      <c r="X291" s="111"/>
      <c r="Y291" s="111"/>
      <c r="Z291" s="111"/>
      <c r="AA291" s="111"/>
      <c r="AB291" s="111"/>
      <c r="AC291" s="111"/>
      <c r="AD291" s="111"/>
      <c r="AE291" s="139">
        <f t="shared" si="29"/>
        <v>0</v>
      </c>
      <c r="AF291" s="109"/>
      <c r="AG291" s="109"/>
    </row>
    <row r="292" spans="1:33">
      <c r="A292" s="117"/>
      <c r="B292" s="118"/>
      <c r="C292" s="118"/>
      <c r="D292" s="118"/>
      <c r="E292" s="119"/>
      <c r="F292" s="118"/>
      <c r="G292" s="110"/>
      <c r="H292" s="143"/>
      <c r="I292" s="114">
        <v>0</v>
      </c>
      <c r="J292" s="115">
        <v>0</v>
      </c>
      <c r="K292" s="116">
        <v>0</v>
      </c>
      <c r="L292" s="116">
        <v>0</v>
      </c>
      <c r="M292" s="114">
        <v>0</v>
      </c>
      <c r="N292" s="113">
        <v>0</v>
      </c>
      <c r="O292" s="113">
        <v>0</v>
      </c>
      <c r="P292" s="146">
        <v>0</v>
      </c>
      <c r="Q292" s="116">
        <v>0</v>
      </c>
      <c r="R292" s="116">
        <v>0</v>
      </c>
      <c r="S292" s="114">
        <v>0</v>
      </c>
      <c r="T292" s="116">
        <v>0</v>
      </c>
      <c r="U292" s="116">
        <v>0</v>
      </c>
      <c r="V292" s="121">
        <f t="shared" si="30"/>
        <v>0</v>
      </c>
      <c r="W292" s="111"/>
      <c r="X292" s="111"/>
      <c r="Y292" s="111"/>
      <c r="Z292" s="111"/>
      <c r="AA292" s="111"/>
      <c r="AB292" s="111"/>
      <c r="AC292" s="111"/>
      <c r="AD292" s="111"/>
      <c r="AE292" s="139">
        <f t="shared" si="29"/>
        <v>0</v>
      </c>
      <c r="AF292" s="109"/>
      <c r="AG292" s="109"/>
    </row>
    <row r="293" spans="1:33">
      <c r="A293" s="117"/>
      <c r="B293" s="118"/>
      <c r="C293" s="118"/>
      <c r="D293" s="118"/>
      <c r="E293" s="119"/>
      <c r="F293" s="118"/>
      <c r="G293" s="110"/>
      <c r="H293" s="143"/>
      <c r="I293" s="114">
        <v>0</v>
      </c>
      <c r="J293" s="115">
        <v>0</v>
      </c>
      <c r="K293" s="116">
        <v>0</v>
      </c>
      <c r="L293" s="116">
        <v>0</v>
      </c>
      <c r="M293" s="114">
        <v>0</v>
      </c>
      <c r="N293" s="113">
        <v>0</v>
      </c>
      <c r="O293" s="113">
        <v>0</v>
      </c>
      <c r="P293" s="146">
        <v>0</v>
      </c>
      <c r="Q293" s="116">
        <v>0</v>
      </c>
      <c r="R293" s="116">
        <v>0</v>
      </c>
      <c r="S293" s="114">
        <v>0</v>
      </c>
      <c r="T293" s="116">
        <v>0</v>
      </c>
      <c r="U293" s="116">
        <v>0</v>
      </c>
      <c r="V293" s="121">
        <f t="shared" si="30"/>
        <v>0</v>
      </c>
      <c r="W293" s="111"/>
      <c r="X293" s="111"/>
      <c r="Y293" s="111"/>
      <c r="Z293" s="111"/>
      <c r="AA293" s="111"/>
      <c r="AB293" s="111"/>
      <c r="AC293" s="111"/>
      <c r="AD293" s="111"/>
      <c r="AE293" s="139">
        <f t="shared" si="29"/>
        <v>0</v>
      </c>
      <c r="AF293" s="109"/>
      <c r="AG293" s="109"/>
    </row>
    <row r="294" spans="1:33">
      <c r="A294" s="117"/>
      <c r="B294" s="118"/>
      <c r="C294" s="118"/>
      <c r="D294" s="118"/>
      <c r="E294" s="119"/>
      <c r="F294" s="118"/>
      <c r="G294" s="110"/>
      <c r="H294" s="143"/>
      <c r="I294" s="114">
        <v>0</v>
      </c>
      <c r="J294" s="115">
        <v>0</v>
      </c>
      <c r="K294" s="116">
        <v>0</v>
      </c>
      <c r="L294" s="116">
        <v>0</v>
      </c>
      <c r="M294" s="114">
        <v>0</v>
      </c>
      <c r="N294" s="113">
        <v>0</v>
      </c>
      <c r="O294" s="113">
        <v>0</v>
      </c>
      <c r="P294" s="146">
        <v>0</v>
      </c>
      <c r="Q294" s="116">
        <v>0</v>
      </c>
      <c r="R294" s="116">
        <v>0</v>
      </c>
      <c r="S294" s="114">
        <v>0</v>
      </c>
      <c r="T294" s="116">
        <v>0</v>
      </c>
      <c r="U294" s="116">
        <v>0</v>
      </c>
      <c r="V294" s="121">
        <f t="shared" si="30"/>
        <v>0</v>
      </c>
      <c r="W294" s="111"/>
      <c r="X294" s="111"/>
      <c r="Y294" s="111"/>
      <c r="Z294" s="111"/>
      <c r="AA294" s="111"/>
      <c r="AB294" s="111"/>
      <c r="AC294" s="111"/>
      <c r="AD294" s="111"/>
      <c r="AE294" s="139">
        <f t="shared" si="29"/>
        <v>0</v>
      </c>
      <c r="AF294" s="109"/>
      <c r="AG294" s="109"/>
    </row>
    <row r="295" spans="1:33">
      <c r="A295" s="117"/>
      <c r="B295" s="118"/>
      <c r="C295" s="118"/>
      <c r="D295" s="118"/>
      <c r="E295" s="119"/>
      <c r="F295" s="118"/>
      <c r="G295" s="110"/>
      <c r="H295" s="143"/>
      <c r="I295" s="114">
        <v>0</v>
      </c>
      <c r="J295" s="115">
        <v>0</v>
      </c>
      <c r="K295" s="116">
        <v>0</v>
      </c>
      <c r="L295" s="116">
        <v>0</v>
      </c>
      <c r="M295" s="114">
        <v>0</v>
      </c>
      <c r="N295" s="113">
        <v>0</v>
      </c>
      <c r="O295" s="113">
        <v>0</v>
      </c>
      <c r="P295" s="146">
        <v>0</v>
      </c>
      <c r="Q295" s="116">
        <v>0</v>
      </c>
      <c r="R295" s="116">
        <v>0</v>
      </c>
      <c r="S295" s="114">
        <v>0</v>
      </c>
      <c r="T295" s="116">
        <v>0</v>
      </c>
      <c r="U295" s="116">
        <v>0</v>
      </c>
      <c r="V295" s="121">
        <f t="shared" si="30"/>
        <v>0</v>
      </c>
      <c r="W295" s="111"/>
      <c r="X295" s="111"/>
      <c r="Y295" s="111"/>
      <c r="Z295" s="111"/>
      <c r="AA295" s="111"/>
      <c r="AB295" s="111"/>
      <c r="AC295" s="111"/>
      <c r="AD295" s="111"/>
      <c r="AE295" s="139">
        <f t="shared" si="29"/>
        <v>0</v>
      </c>
      <c r="AF295" s="109"/>
      <c r="AG295" s="109"/>
    </row>
    <row r="296" spans="1:33">
      <c r="A296" s="117"/>
      <c r="B296" s="118"/>
      <c r="C296" s="118"/>
      <c r="D296" s="118"/>
      <c r="E296" s="119"/>
      <c r="F296" s="118"/>
      <c r="G296" s="110"/>
      <c r="H296" s="143"/>
      <c r="I296" s="114">
        <v>0</v>
      </c>
      <c r="J296" s="115">
        <v>0</v>
      </c>
      <c r="K296" s="116">
        <v>0</v>
      </c>
      <c r="L296" s="116">
        <v>0</v>
      </c>
      <c r="M296" s="114">
        <v>0</v>
      </c>
      <c r="N296" s="113">
        <v>0</v>
      </c>
      <c r="O296" s="113">
        <v>0</v>
      </c>
      <c r="P296" s="146">
        <v>0</v>
      </c>
      <c r="Q296" s="116">
        <v>0</v>
      </c>
      <c r="R296" s="116">
        <v>0</v>
      </c>
      <c r="S296" s="114">
        <v>0</v>
      </c>
      <c r="T296" s="116">
        <v>0</v>
      </c>
      <c r="U296" s="116">
        <v>0</v>
      </c>
      <c r="V296" s="121">
        <f t="shared" si="30"/>
        <v>0</v>
      </c>
      <c r="W296" s="111"/>
      <c r="X296" s="111"/>
      <c r="Y296" s="111"/>
      <c r="Z296" s="111"/>
      <c r="AA296" s="111"/>
      <c r="AB296" s="111"/>
      <c r="AC296" s="111"/>
      <c r="AD296" s="111"/>
      <c r="AE296" s="139">
        <f t="shared" si="29"/>
        <v>0</v>
      </c>
      <c r="AF296" s="109"/>
      <c r="AG296" s="109"/>
    </row>
    <row r="297" spans="1:33">
      <c r="A297" s="117"/>
      <c r="B297" s="118"/>
      <c r="C297" s="118"/>
      <c r="D297" s="118"/>
      <c r="E297" s="119"/>
      <c r="F297" s="118"/>
      <c r="G297" s="110"/>
      <c r="H297" s="143"/>
      <c r="I297" s="114">
        <v>0</v>
      </c>
      <c r="J297" s="115">
        <v>0</v>
      </c>
      <c r="K297" s="116">
        <v>0</v>
      </c>
      <c r="L297" s="116">
        <v>0</v>
      </c>
      <c r="M297" s="114">
        <v>0</v>
      </c>
      <c r="N297" s="113">
        <v>0</v>
      </c>
      <c r="O297" s="113">
        <v>0</v>
      </c>
      <c r="P297" s="146">
        <v>0</v>
      </c>
      <c r="Q297" s="116">
        <v>0</v>
      </c>
      <c r="R297" s="116">
        <v>0</v>
      </c>
      <c r="S297" s="114">
        <v>0</v>
      </c>
      <c r="T297" s="116">
        <v>0</v>
      </c>
      <c r="U297" s="116">
        <v>0</v>
      </c>
      <c r="V297" s="121">
        <f t="shared" si="30"/>
        <v>0</v>
      </c>
      <c r="W297" s="111"/>
      <c r="X297" s="111"/>
      <c r="Y297" s="111"/>
      <c r="Z297" s="111"/>
      <c r="AA297" s="111"/>
      <c r="AB297" s="111"/>
      <c r="AC297" s="111"/>
      <c r="AD297" s="111"/>
      <c r="AE297" s="139">
        <f t="shared" ref="AE297:AE360" si="31">V297-(X297+Y297)</f>
        <v>0</v>
      </c>
      <c r="AF297" s="109"/>
      <c r="AG297" s="109"/>
    </row>
    <row r="298" spans="1:33">
      <c r="A298" s="117"/>
      <c r="B298" s="118"/>
      <c r="C298" s="118"/>
      <c r="D298" s="118"/>
      <c r="E298" s="119"/>
      <c r="F298" s="118"/>
      <c r="G298" s="110"/>
      <c r="H298" s="143"/>
      <c r="I298" s="114">
        <v>0</v>
      </c>
      <c r="J298" s="115">
        <v>0</v>
      </c>
      <c r="K298" s="116">
        <v>0</v>
      </c>
      <c r="L298" s="116">
        <v>0</v>
      </c>
      <c r="M298" s="114">
        <v>0</v>
      </c>
      <c r="N298" s="113">
        <v>0</v>
      </c>
      <c r="O298" s="113">
        <v>0</v>
      </c>
      <c r="P298" s="146">
        <v>0</v>
      </c>
      <c r="Q298" s="116">
        <v>0</v>
      </c>
      <c r="R298" s="116">
        <v>0</v>
      </c>
      <c r="S298" s="114">
        <v>0</v>
      </c>
      <c r="T298" s="116">
        <v>0</v>
      </c>
      <c r="U298" s="116">
        <v>0</v>
      </c>
      <c r="V298" s="121">
        <f t="shared" si="30"/>
        <v>0</v>
      </c>
      <c r="W298" s="111"/>
      <c r="X298" s="111"/>
      <c r="Y298" s="111"/>
      <c r="Z298" s="111"/>
      <c r="AA298" s="111"/>
      <c r="AB298" s="111"/>
      <c r="AC298" s="111"/>
      <c r="AD298" s="111"/>
      <c r="AE298" s="139">
        <f t="shared" si="31"/>
        <v>0</v>
      </c>
      <c r="AF298" s="109"/>
      <c r="AG298" s="109"/>
    </row>
    <row r="299" spans="1:33">
      <c r="A299" s="117"/>
      <c r="B299" s="118"/>
      <c r="C299" s="118"/>
      <c r="D299" s="118"/>
      <c r="E299" s="119"/>
      <c r="F299" s="118"/>
      <c r="G299" s="110"/>
      <c r="H299" s="143"/>
      <c r="I299" s="114">
        <v>0</v>
      </c>
      <c r="J299" s="115">
        <v>0</v>
      </c>
      <c r="K299" s="116">
        <v>0</v>
      </c>
      <c r="L299" s="116">
        <v>0</v>
      </c>
      <c r="M299" s="114">
        <v>0</v>
      </c>
      <c r="N299" s="113">
        <v>0</v>
      </c>
      <c r="O299" s="113">
        <v>0</v>
      </c>
      <c r="P299" s="146">
        <v>0</v>
      </c>
      <c r="Q299" s="116">
        <v>0</v>
      </c>
      <c r="R299" s="116">
        <v>0</v>
      </c>
      <c r="S299" s="114">
        <v>0</v>
      </c>
      <c r="T299" s="116">
        <v>0</v>
      </c>
      <c r="U299" s="116">
        <v>0</v>
      </c>
      <c r="V299" s="121">
        <f t="shared" si="30"/>
        <v>0</v>
      </c>
      <c r="W299" s="111"/>
      <c r="X299" s="111"/>
      <c r="Y299" s="111"/>
      <c r="Z299" s="111"/>
      <c r="AA299" s="111"/>
      <c r="AB299" s="111"/>
      <c r="AC299" s="111"/>
      <c r="AD299" s="111"/>
      <c r="AE299" s="139">
        <f t="shared" si="31"/>
        <v>0</v>
      </c>
      <c r="AF299" s="109"/>
      <c r="AG299" s="109"/>
    </row>
    <row r="300" spans="1:33">
      <c r="A300" s="117"/>
      <c r="B300" s="118"/>
      <c r="C300" s="118"/>
      <c r="D300" s="118"/>
      <c r="E300" s="119"/>
      <c r="F300" s="118"/>
      <c r="G300" s="110"/>
      <c r="H300" s="143"/>
      <c r="I300" s="114">
        <v>0</v>
      </c>
      <c r="J300" s="115">
        <v>0</v>
      </c>
      <c r="K300" s="116">
        <v>0</v>
      </c>
      <c r="L300" s="116">
        <v>0</v>
      </c>
      <c r="M300" s="114">
        <v>0</v>
      </c>
      <c r="N300" s="113">
        <v>0</v>
      </c>
      <c r="O300" s="113">
        <v>0</v>
      </c>
      <c r="P300" s="146">
        <v>0</v>
      </c>
      <c r="Q300" s="116">
        <v>0</v>
      </c>
      <c r="R300" s="116">
        <v>0</v>
      </c>
      <c r="S300" s="114">
        <v>0</v>
      </c>
      <c r="T300" s="116">
        <v>0</v>
      </c>
      <c r="U300" s="116">
        <v>0</v>
      </c>
      <c r="V300" s="121">
        <f t="shared" si="30"/>
        <v>0</v>
      </c>
      <c r="W300" s="111"/>
      <c r="X300" s="111"/>
      <c r="Y300" s="111"/>
      <c r="Z300" s="111"/>
      <c r="AA300" s="111"/>
      <c r="AB300" s="111"/>
      <c r="AC300" s="111"/>
      <c r="AD300" s="111"/>
      <c r="AE300" s="139">
        <f t="shared" si="31"/>
        <v>0</v>
      </c>
      <c r="AF300" s="109"/>
      <c r="AG300" s="109"/>
    </row>
    <row r="301" spans="1:33">
      <c r="A301" s="117"/>
      <c r="B301" s="118"/>
      <c r="C301" s="118"/>
      <c r="D301" s="118"/>
      <c r="E301" s="119"/>
      <c r="F301" s="118"/>
      <c r="G301" s="110"/>
      <c r="H301" s="143"/>
      <c r="I301" s="114">
        <v>0</v>
      </c>
      <c r="J301" s="115">
        <v>0</v>
      </c>
      <c r="K301" s="116">
        <v>0</v>
      </c>
      <c r="L301" s="116">
        <v>0</v>
      </c>
      <c r="M301" s="114">
        <v>0</v>
      </c>
      <c r="N301" s="113">
        <v>0</v>
      </c>
      <c r="O301" s="113">
        <v>0</v>
      </c>
      <c r="P301" s="146">
        <v>0</v>
      </c>
      <c r="Q301" s="116">
        <v>0</v>
      </c>
      <c r="R301" s="116">
        <v>0</v>
      </c>
      <c r="S301" s="114">
        <v>0</v>
      </c>
      <c r="T301" s="116">
        <v>0</v>
      </c>
      <c r="U301" s="116">
        <v>0</v>
      </c>
      <c r="V301" s="121">
        <f t="shared" si="30"/>
        <v>0</v>
      </c>
      <c r="W301" s="111"/>
      <c r="X301" s="111"/>
      <c r="Y301" s="111"/>
      <c r="Z301" s="111"/>
      <c r="AA301" s="111"/>
      <c r="AB301" s="111"/>
      <c r="AC301" s="111"/>
      <c r="AD301" s="111"/>
      <c r="AE301" s="139">
        <f t="shared" si="31"/>
        <v>0</v>
      </c>
      <c r="AF301" s="109"/>
      <c r="AG301" s="109"/>
    </row>
    <row r="302" spans="1:33">
      <c r="A302" s="117"/>
      <c r="B302" s="118"/>
      <c r="C302" s="118"/>
      <c r="D302" s="118"/>
      <c r="E302" s="119"/>
      <c r="F302" s="118"/>
      <c r="G302" s="110"/>
      <c r="H302" s="143"/>
      <c r="I302" s="114">
        <v>0</v>
      </c>
      <c r="J302" s="115">
        <v>0</v>
      </c>
      <c r="K302" s="116">
        <v>0</v>
      </c>
      <c r="L302" s="116">
        <v>0</v>
      </c>
      <c r="M302" s="114">
        <v>0</v>
      </c>
      <c r="N302" s="113">
        <v>0</v>
      </c>
      <c r="O302" s="113">
        <v>0</v>
      </c>
      <c r="P302" s="146">
        <v>0</v>
      </c>
      <c r="Q302" s="116">
        <v>0</v>
      </c>
      <c r="R302" s="116">
        <v>0</v>
      </c>
      <c r="S302" s="114">
        <v>0</v>
      </c>
      <c r="T302" s="116">
        <v>0</v>
      </c>
      <c r="U302" s="116">
        <v>0</v>
      </c>
      <c r="V302" s="121">
        <f t="shared" si="30"/>
        <v>0</v>
      </c>
      <c r="W302" s="111"/>
      <c r="X302" s="111"/>
      <c r="Y302" s="111"/>
      <c r="Z302" s="111"/>
      <c r="AA302" s="111"/>
      <c r="AB302" s="111"/>
      <c r="AC302" s="111"/>
      <c r="AD302" s="111"/>
      <c r="AE302" s="139">
        <f t="shared" si="31"/>
        <v>0</v>
      </c>
      <c r="AF302" s="109"/>
      <c r="AG302" s="109"/>
    </row>
    <row r="303" spans="1:33">
      <c r="A303" s="117"/>
      <c r="B303" s="118"/>
      <c r="C303" s="118"/>
      <c r="D303" s="118"/>
      <c r="E303" s="119"/>
      <c r="F303" s="118"/>
      <c r="G303" s="110"/>
      <c r="H303" s="143"/>
      <c r="I303" s="114">
        <v>0</v>
      </c>
      <c r="J303" s="115">
        <v>0</v>
      </c>
      <c r="K303" s="116">
        <v>0</v>
      </c>
      <c r="L303" s="116">
        <v>0</v>
      </c>
      <c r="M303" s="114">
        <v>0</v>
      </c>
      <c r="N303" s="113">
        <v>0</v>
      </c>
      <c r="O303" s="113">
        <v>0</v>
      </c>
      <c r="P303" s="146">
        <v>0</v>
      </c>
      <c r="Q303" s="116">
        <v>0</v>
      </c>
      <c r="R303" s="116">
        <v>0</v>
      </c>
      <c r="S303" s="114">
        <v>0</v>
      </c>
      <c r="T303" s="116">
        <v>0</v>
      </c>
      <c r="U303" s="116">
        <v>0</v>
      </c>
      <c r="V303" s="121">
        <f t="shared" si="30"/>
        <v>0</v>
      </c>
      <c r="W303" s="111"/>
      <c r="X303" s="111"/>
      <c r="Y303" s="111"/>
      <c r="Z303" s="111"/>
      <c r="AA303" s="111"/>
      <c r="AB303" s="111"/>
      <c r="AC303" s="111"/>
      <c r="AD303" s="111"/>
      <c r="AE303" s="139">
        <f t="shared" si="31"/>
        <v>0</v>
      </c>
      <c r="AF303" s="109"/>
      <c r="AG303" s="109"/>
    </row>
    <row r="304" spans="1:33">
      <c r="A304" s="117"/>
      <c r="B304" s="118"/>
      <c r="C304" s="118"/>
      <c r="D304" s="118"/>
      <c r="E304" s="119"/>
      <c r="F304" s="118"/>
      <c r="G304" s="110"/>
      <c r="H304" s="143"/>
      <c r="I304" s="114">
        <v>0</v>
      </c>
      <c r="J304" s="115">
        <v>0</v>
      </c>
      <c r="K304" s="116">
        <v>0</v>
      </c>
      <c r="L304" s="116">
        <v>0</v>
      </c>
      <c r="M304" s="114">
        <v>0</v>
      </c>
      <c r="N304" s="113">
        <v>0</v>
      </c>
      <c r="O304" s="113">
        <v>0</v>
      </c>
      <c r="P304" s="146">
        <v>0</v>
      </c>
      <c r="Q304" s="116">
        <v>0</v>
      </c>
      <c r="R304" s="116">
        <v>0</v>
      </c>
      <c r="S304" s="114">
        <v>0</v>
      </c>
      <c r="T304" s="116">
        <v>0</v>
      </c>
      <c r="U304" s="116">
        <v>0</v>
      </c>
      <c r="V304" s="121">
        <f t="shared" si="30"/>
        <v>0</v>
      </c>
      <c r="W304" s="111"/>
      <c r="X304" s="111"/>
      <c r="Y304" s="111"/>
      <c r="Z304" s="111"/>
      <c r="AA304" s="111"/>
      <c r="AB304" s="111"/>
      <c r="AC304" s="111"/>
      <c r="AD304" s="111"/>
      <c r="AE304" s="139">
        <f t="shared" si="31"/>
        <v>0</v>
      </c>
      <c r="AF304" s="109"/>
      <c r="AG304" s="109"/>
    </row>
    <row r="305" spans="1:33">
      <c r="A305" s="117"/>
      <c r="B305" s="118"/>
      <c r="C305" s="118"/>
      <c r="D305" s="118"/>
      <c r="E305" s="119"/>
      <c r="F305" s="118"/>
      <c r="G305" s="110"/>
      <c r="H305" s="143"/>
      <c r="I305" s="114">
        <v>0</v>
      </c>
      <c r="J305" s="115">
        <v>0</v>
      </c>
      <c r="K305" s="116">
        <v>0</v>
      </c>
      <c r="L305" s="116">
        <v>0</v>
      </c>
      <c r="M305" s="114">
        <v>0</v>
      </c>
      <c r="N305" s="113">
        <v>0</v>
      </c>
      <c r="O305" s="113">
        <v>0</v>
      </c>
      <c r="P305" s="146">
        <v>0</v>
      </c>
      <c r="Q305" s="116">
        <v>0</v>
      </c>
      <c r="R305" s="116">
        <v>0</v>
      </c>
      <c r="S305" s="114">
        <v>0</v>
      </c>
      <c r="T305" s="116">
        <v>0</v>
      </c>
      <c r="U305" s="116">
        <v>0</v>
      </c>
      <c r="V305" s="121">
        <f t="shared" ref="V305:V368" si="32">+G305-(SUM(I305:N305,P305:S305,U305))</f>
        <v>0</v>
      </c>
      <c r="W305" s="111"/>
      <c r="X305" s="111"/>
      <c r="Y305" s="111"/>
      <c r="Z305" s="111"/>
      <c r="AA305" s="111"/>
      <c r="AB305" s="111"/>
      <c r="AC305" s="111"/>
      <c r="AD305" s="111"/>
      <c r="AE305" s="139">
        <f t="shared" si="31"/>
        <v>0</v>
      </c>
      <c r="AF305" s="109"/>
      <c r="AG305" s="109"/>
    </row>
    <row r="306" spans="1:33">
      <c r="A306" s="117"/>
      <c r="B306" s="118"/>
      <c r="C306" s="118"/>
      <c r="D306" s="118"/>
      <c r="E306" s="119"/>
      <c r="F306" s="118"/>
      <c r="G306" s="110"/>
      <c r="H306" s="143"/>
      <c r="I306" s="114">
        <v>0</v>
      </c>
      <c r="J306" s="115">
        <v>0</v>
      </c>
      <c r="K306" s="116">
        <v>0</v>
      </c>
      <c r="L306" s="116">
        <v>0</v>
      </c>
      <c r="M306" s="114">
        <v>0</v>
      </c>
      <c r="N306" s="113">
        <v>0</v>
      </c>
      <c r="O306" s="113">
        <v>0</v>
      </c>
      <c r="P306" s="146">
        <v>0</v>
      </c>
      <c r="Q306" s="116">
        <v>0</v>
      </c>
      <c r="R306" s="116">
        <v>0</v>
      </c>
      <c r="S306" s="114">
        <v>0</v>
      </c>
      <c r="T306" s="116">
        <v>0</v>
      </c>
      <c r="U306" s="116">
        <v>0</v>
      </c>
      <c r="V306" s="121">
        <f t="shared" si="32"/>
        <v>0</v>
      </c>
      <c r="W306" s="111"/>
      <c r="X306" s="111"/>
      <c r="Y306" s="111"/>
      <c r="Z306" s="111"/>
      <c r="AA306" s="111"/>
      <c r="AB306" s="111"/>
      <c r="AC306" s="111"/>
      <c r="AD306" s="111"/>
      <c r="AE306" s="139">
        <f t="shared" si="31"/>
        <v>0</v>
      </c>
      <c r="AF306" s="109"/>
      <c r="AG306" s="109"/>
    </row>
    <row r="307" spans="1:33">
      <c r="A307" s="117"/>
      <c r="B307" s="118"/>
      <c r="C307" s="118"/>
      <c r="D307" s="118"/>
      <c r="E307" s="119"/>
      <c r="F307" s="118"/>
      <c r="G307" s="110"/>
      <c r="H307" s="143"/>
      <c r="I307" s="114">
        <v>0</v>
      </c>
      <c r="J307" s="115">
        <v>0</v>
      </c>
      <c r="K307" s="116">
        <v>0</v>
      </c>
      <c r="L307" s="116">
        <v>0</v>
      </c>
      <c r="M307" s="114">
        <v>0</v>
      </c>
      <c r="N307" s="113">
        <v>0</v>
      </c>
      <c r="O307" s="113">
        <v>0</v>
      </c>
      <c r="P307" s="146">
        <v>0</v>
      </c>
      <c r="Q307" s="116">
        <v>0</v>
      </c>
      <c r="R307" s="116">
        <v>0</v>
      </c>
      <c r="S307" s="114">
        <v>0</v>
      </c>
      <c r="T307" s="116">
        <v>0</v>
      </c>
      <c r="U307" s="116">
        <v>0</v>
      </c>
      <c r="V307" s="121">
        <f t="shared" si="32"/>
        <v>0</v>
      </c>
      <c r="W307" s="111"/>
      <c r="X307" s="111"/>
      <c r="Y307" s="111"/>
      <c r="Z307" s="111"/>
      <c r="AA307" s="111"/>
      <c r="AB307" s="111"/>
      <c r="AC307" s="111"/>
      <c r="AD307" s="111"/>
      <c r="AE307" s="139">
        <f t="shared" si="31"/>
        <v>0</v>
      </c>
      <c r="AF307" s="109"/>
      <c r="AG307" s="109"/>
    </row>
    <row r="308" spans="1:33">
      <c r="A308" s="117"/>
      <c r="B308" s="118"/>
      <c r="C308" s="118"/>
      <c r="D308" s="118"/>
      <c r="E308" s="119"/>
      <c r="F308" s="118"/>
      <c r="G308" s="110"/>
      <c r="H308" s="143"/>
      <c r="I308" s="114">
        <v>0</v>
      </c>
      <c r="J308" s="115">
        <v>0</v>
      </c>
      <c r="K308" s="116">
        <v>0</v>
      </c>
      <c r="L308" s="116">
        <v>0</v>
      </c>
      <c r="M308" s="114">
        <v>0</v>
      </c>
      <c r="N308" s="113">
        <v>0</v>
      </c>
      <c r="O308" s="113">
        <v>0</v>
      </c>
      <c r="P308" s="146">
        <v>0</v>
      </c>
      <c r="Q308" s="116">
        <v>0</v>
      </c>
      <c r="R308" s="116">
        <v>0</v>
      </c>
      <c r="S308" s="114">
        <v>0</v>
      </c>
      <c r="T308" s="116">
        <v>0</v>
      </c>
      <c r="U308" s="116">
        <v>0</v>
      </c>
      <c r="V308" s="121">
        <f t="shared" si="32"/>
        <v>0</v>
      </c>
      <c r="W308" s="111"/>
      <c r="X308" s="111"/>
      <c r="Y308" s="111"/>
      <c r="Z308" s="111"/>
      <c r="AA308" s="111"/>
      <c r="AB308" s="111"/>
      <c r="AC308" s="111"/>
      <c r="AD308" s="111"/>
      <c r="AE308" s="139">
        <f t="shared" si="31"/>
        <v>0</v>
      </c>
      <c r="AF308" s="109"/>
      <c r="AG308" s="109"/>
    </row>
    <row r="309" spans="1:33">
      <c r="A309" s="117"/>
      <c r="B309" s="118"/>
      <c r="C309" s="118"/>
      <c r="D309" s="118"/>
      <c r="E309" s="119"/>
      <c r="F309" s="118"/>
      <c r="G309" s="110"/>
      <c r="H309" s="143"/>
      <c r="I309" s="114">
        <v>0</v>
      </c>
      <c r="J309" s="115">
        <v>0</v>
      </c>
      <c r="K309" s="116">
        <v>0</v>
      </c>
      <c r="L309" s="116">
        <v>0</v>
      </c>
      <c r="M309" s="114">
        <v>0</v>
      </c>
      <c r="N309" s="113">
        <v>0</v>
      </c>
      <c r="O309" s="113">
        <v>0</v>
      </c>
      <c r="P309" s="146">
        <v>0</v>
      </c>
      <c r="Q309" s="116">
        <v>0</v>
      </c>
      <c r="R309" s="116">
        <v>0</v>
      </c>
      <c r="S309" s="114">
        <v>0</v>
      </c>
      <c r="T309" s="116">
        <v>0</v>
      </c>
      <c r="U309" s="116">
        <v>0</v>
      </c>
      <c r="V309" s="121">
        <f t="shared" si="32"/>
        <v>0</v>
      </c>
      <c r="W309" s="111"/>
      <c r="X309" s="111"/>
      <c r="Y309" s="111"/>
      <c r="Z309" s="111"/>
      <c r="AA309" s="111"/>
      <c r="AB309" s="111"/>
      <c r="AC309" s="111"/>
      <c r="AD309" s="111"/>
      <c r="AE309" s="139">
        <f t="shared" si="31"/>
        <v>0</v>
      </c>
      <c r="AF309" s="109"/>
      <c r="AG309" s="109"/>
    </row>
    <row r="310" spans="1:33">
      <c r="A310" s="117"/>
      <c r="B310" s="118"/>
      <c r="C310" s="118"/>
      <c r="D310" s="118"/>
      <c r="E310" s="119"/>
      <c r="F310" s="118"/>
      <c r="G310" s="110"/>
      <c r="H310" s="143"/>
      <c r="I310" s="114">
        <v>0</v>
      </c>
      <c r="J310" s="115">
        <v>0</v>
      </c>
      <c r="K310" s="116">
        <v>0</v>
      </c>
      <c r="L310" s="116">
        <v>0</v>
      </c>
      <c r="M310" s="114">
        <v>0</v>
      </c>
      <c r="N310" s="113">
        <v>0</v>
      </c>
      <c r="O310" s="113">
        <v>0</v>
      </c>
      <c r="P310" s="146">
        <v>0</v>
      </c>
      <c r="Q310" s="116">
        <v>0</v>
      </c>
      <c r="R310" s="116">
        <v>0</v>
      </c>
      <c r="S310" s="114">
        <v>0</v>
      </c>
      <c r="T310" s="116">
        <v>0</v>
      </c>
      <c r="U310" s="116">
        <v>0</v>
      </c>
      <c r="V310" s="121">
        <f t="shared" si="32"/>
        <v>0</v>
      </c>
      <c r="W310" s="111"/>
      <c r="X310" s="111"/>
      <c r="Y310" s="111"/>
      <c r="Z310" s="111"/>
      <c r="AA310" s="111"/>
      <c r="AB310" s="111"/>
      <c r="AC310" s="111"/>
      <c r="AD310" s="111"/>
      <c r="AE310" s="139">
        <f t="shared" si="31"/>
        <v>0</v>
      </c>
      <c r="AF310" s="109"/>
      <c r="AG310" s="109"/>
    </row>
    <row r="311" spans="1:33">
      <c r="A311" s="117"/>
      <c r="B311" s="118"/>
      <c r="C311" s="118"/>
      <c r="D311" s="118"/>
      <c r="E311" s="119"/>
      <c r="F311" s="118"/>
      <c r="G311" s="110"/>
      <c r="H311" s="143"/>
      <c r="I311" s="114">
        <v>0</v>
      </c>
      <c r="J311" s="115">
        <v>0</v>
      </c>
      <c r="K311" s="116">
        <v>0</v>
      </c>
      <c r="L311" s="116">
        <v>0</v>
      </c>
      <c r="M311" s="114">
        <v>0</v>
      </c>
      <c r="N311" s="113">
        <v>0</v>
      </c>
      <c r="O311" s="113">
        <v>0</v>
      </c>
      <c r="P311" s="146">
        <v>0</v>
      </c>
      <c r="Q311" s="116">
        <v>0</v>
      </c>
      <c r="R311" s="116">
        <v>0</v>
      </c>
      <c r="S311" s="114">
        <v>0</v>
      </c>
      <c r="T311" s="116">
        <v>0</v>
      </c>
      <c r="U311" s="116">
        <v>0</v>
      </c>
      <c r="V311" s="121">
        <f t="shared" si="32"/>
        <v>0</v>
      </c>
      <c r="W311" s="111"/>
      <c r="X311" s="111"/>
      <c r="Y311" s="111"/>
      <c r="Z311" s="111"/>
      <c r="AA311" s="111"/>
      <c r="AB311" s="111"/>
      <c r="AC311" s="111"/>
      <c r="AD311" s="111"/>
      <c r="AE311" s="139">
        <f t="shared" si="31"/>
        <v>0</v>
      </c>
      <c r="AF311" s="109"/>
      <c r="AG311" s="109"/>
    </row>
    <row r="312" spans="1:33">
      <c r="A312" s="117"/>
      <c r="B312" s="118"/>
      <c r="C312" s="118"/>
      <c r="D312" s="118"/>
      <c r="E312" s="119"/>
      <c r="F312" s="118"/>
      <c r="G312" s="110"/>
      <c r="H312" s="143"/>
      <c r="I312" s="114">
        <v>0</v>
      </c>
      <c r="J312" s="115">
        <v>0</v>
      </c>
      <c r="K312" s="116">
        <v>0</v>
      </c>
      <c r="L312" s="116">
        <v>0</v>
      </c>
      <c r="M312" s="114">
        <v>0</v>
      </c>
      <c r="N312" s="113">
        <v>0</v>
      </c>
      <c r="O312" s="113">
        <v>0</v>
      </c>
      <c r="P312" s="146">
        <v>0</v>
      </c>
      <c r="Q312" s="116">
        <v>0</v>
      </c>
      <c r="R312" s="116">
        <v>0</v>
      </c>
      <c r="S312" s="114">
        <v>0</v>
      </c>
      <c r="T312" s="116">
        <v>0</v>
      </c>
      <c r="U312" s="116">
        <v>0</v>
      </c>
      <c r="V312" s="121">
        <f t="shared" si="32"/>
        <v>0</v>
      </c>
      <c r="W312" s="111"/>
      <c r="X312" s="111"/>
      <c r="Y312" s="111"/>
      <c r="Z312" s="111"/>
      <c r="AA312" s="111"/>
      <c r="AB312" s="111"/>
      <c r="AC312" s="111"/>
      <c r="AD312" s="111"/>
      <c r="AE312" s="139">
        <f t="shared" si="31"/>
        <v>0</v>
      </c>
      <c r="AF312" s="109"/>
      <c r="AG312" s="109"/>
    </row>
    <row r="313" spans="1:33">
      <c r="A313" s="117"/>
      <c r="B313" s="118"/>
      <c r="C313" s="118"/>
      <c r="D313" s="118"/>
      <c r="E313" s="119"/>
      <c r="F313" s="118"/>
      <c r="G313" s="110"/>
      <c r="H313" s="143"/>
      <c r="I313" s="114">
        <v>0</v>
      </c>
      <c r="J313" s="115">
        <v>0</v>
      </c>
      <c r="K313" s="116">
        <v>0</v>
      </c>
      <c r="L313" s="116">
        <v>0</v>
      </c>
      <c r="M313" s="114">
        <v>0</v>
      </c>
      <c r="N313" s="113">
        <v>0</v>
      </c>
      <c r="O313" s="113">
        <v>0</v>
      </c>
      <c r="P313" s="146">
        <v>0</v>
      </c>
      <c r="Q313" s="116">
        <v>0</v>
      </c>
      <c r="R313" s="116">
        <v>0</v>
      </c>
      <c r="S313" s="114">
        <v>0</v>
      </c>
      <c r="T313" s="116">
        <v>0</v>
      </c>
      <c r="U313" s="116">
        <v>0</v>
      </c>
      <c r="V313" s="121">
        <f t="shared" si="32"/>
        <v>0</v>
      </c>
      <c r="W313" s="111"/>
      <c r="X313" s="111"/>
      <c r="Y313" s="111"/>
      <c r="Z313" s="111"/>
      <c r="AA313" s="111"/>
      <c r="AB313" s="111"/>
      <c r="AC313" s="111"/>
      <c r="AD313" s="111"/>
      <c r="AE313" s="139">
        <f t="shared" si="31"/>
        <v>0</v>
      </c>
      <c r="AF313" s="109"/>
      <c r="AG313" s="109"/>
    </row>
    <row r="314" spans="1:33">
      <c r="A314" s="117"/>
      <c r="B314" s="118"/>
      <c r="C314" s="118"/>
      <c r="D314" s="118"/>
      <c r="E314" s="119"/>
      <c r="F314" s="118"/>
      <c r="G314" s="110"/>
      <c r="H314" s="143"/>
      <c r="I314" s="114">
        <v>0</v>
      </c>
      <c r="J314" s="115">
        <v>0</v>
      </c>
      <c r="K314" s="116">
        <v>0</v>
      </c>
      <c r="L314" s="116">
        <v>0</v>
      </c>
      <c r="M314" s="114">
        <v>0</v>
      </c>
      <c r="N314" s="113">
        <v>0</v>
      </c>
      <c r="O314" s="113">
        <v>0</v>
      </c>
      <c r="P314" s="146">
        <v>0</v>
      </c>
      <c r="Q314" s="116">
        <v>0</v>
      </c>
      <c r="R314" s="116">
        <v>0</v>
      </c>
      <c r="S314" s="114">
        <v>0</v>
      </c>
      <c r="T314" s="116">
        <v>0</v>
      </c>
      <c r="U314" s="116">
        <v>0</v>
      </c>
      <c r="V314" s="121">
        <f t="shared" si="32"/>
        <v>0</v>
      </c>
      <c r="W314" s="111"/>
      <c r="X314" s="111"/>
      <c r="Y314" s="111"/>
      <c r="Z314" s="111"/>
      <c r="AA314" s="111"/>
      <c r="AB314" s="111"/>
      <c r="AC314" s="111"/>
      <c r="AD314" s="111"/>
      <c r="AE314" s="139">
        <f t="shared" si="31"/>
        <v>0</v>
      </c>
      <c r="AF314" s="109"/>
      <c r="AG314" s="109"/>
    </row>
    <row r="315" spans="1:33">
      <c r="A315" s="117"/>
      <c r="B315" s="118"/>
      <c r="C315" s="118"/>
      <c r="D315" s="118"/>
      <c r="E315" s="119"/>
      <c r="F315" s="118"/>
      <c r="G315" s="110"/>
      <c r="H315" s="143"/>
      <c r="I315" s="114">
        <v>0</v>
      </c>
      <c r="J315" s="115">
        <v>0</v>
      </c>
      <c r="K315" s="116">
        <v>0</v>
      </c>
      <c r="L315" s="116">
        <v>0</v>
      </c>
      <c r="M315" s="114">
        <v>0</v>
      </c>
      <c r="N315" s="113">
        <v>0</v>
      </c>
      <c r="O315" s="113">
        <v>0</v>
      </c>
      <c r="P315" s="146">
        <v>0</v>
      </c>
      <c r="Q315" s="116">
        <v>0</v>
      </c>
      <c r="R315" s="116">
        <v>0</v>
      </c>
      <c r="S315" s="114">
        <v>0</v>
      </c>
      <c r="T315" s="116">
        <v>0</v>
      </c>
      <c r="U315" s="116">
        <v>0</v>
      </c>
      <c r="V315" s="121">
        <f t="shared" si="32"/>
        <v>0</v>
      </c>
      <c r="W315" s="111"/>
      <c r="X315" s="111"/>
      <c r="Y315" s="111"/>
      <c r="Z315" s="111"/>
      <c r="AA315" s="111"/>
      <c r="AB315" s="111"/>
      <c r="AC315" s="111"/>
      <c r="AD315" s="111"/>
      <c r="AE315" s="139">
        <f t="shared" si="31"/>
        <v>0</v>
      </c>
      <c r="AF315" s="109"/>
      <c r="AG315" s="109"/>
    </row>
    <row r="316" spans="1:33">
      <c r="A316" s="117"/>
      <c r="B316" s="118"/>
      <c r="C316" s="118"/>
      <c r="D316" s="118"/>
      <c r="E316" s="119"/>
      <c r="F316" s="118"/>
      <c r="G316" s="110"/>
      <c r="H316" s="143"/>
      <c r="I316" s="114">
        <v>0</v>
      </c>
      <c r="J316" s="115">
        <v>0</v>
      </c>
      <c r="K316" s="116">
        <v>0</v>
      </c>
      <c r="L316" s="116">
        <v>0</v>
      </c>
      <c r="M316" s="114">
        <v>0</v>
      </c>
      <c r="N316" s="113">
        <v>0</v>
      </c>
      <c r="O316" s="113">
        <v>0</v>
      </c>
      <c r="P316" s="146">
        <v>0</v>
      </c>
      <c r="Q316" s="116">
        <v>0</v>
      </c>
      <c r="R316" s="116">
        <v>0</v>
      </c>
      <c r="S316" s="114">
        <v>0</v>
      </c>
      <c r="T316" s="116">
        <v>0</v>
      </c>
      <c r="U316" s="116">
        <v>0</v>
      </c>
      <c r="V316" s="121">
        <f t="shared" si="32"/>
        <v>0</v>
      </c>
      <c r="W316" s="111"/>
      <c r="X316" s="111"/>
      <c r="Y316" s="111"/>
      <c r="Z316" s="111"/>
      <c r="AA316" s="111"/>
      <c r="AB316" s="111"/>
      <c r="AC316" s="111"/>
      <c r="AD316" s="111"/>
      <c r="AE316" s="139">
        <f t="shared" si="31"/>
        <v>0</v>
      </c>
      <c r="AF316" s="109"/>
      <c r="AG316" s="109"/>
    </row>
    <row r="317" spans="1:33">
      <c r="A317" s="117"/>
      <c r="B317" s="118"/>
      <c r="C317" s="118"/>
      <c r="D317" s="118"/>
      <c r="E317" s="119"/>
      <c r="F317" s="118"/>
      <c r="G317" s="110"/>
      <c r="H317" s="143"/>
      <c r="I317" s="114">
        <v>0</v>
      </c>
      <c r="J317" s="115">
        <v>0</v>
      </c>
      <c r="K317" s="116">
        <v>0</v>
      </c>
      <c r="L317" s="116">
        <v>0</v>
      </c>
      <c r="M317" s="114">
        <v>0</v>
      </c>
      <c r="N317" s="113">
        <v>0</v>
      </c>
      <c r="O317" s="113">
        <v>0</v>
      </c>
      <c r="P317" s="146">
        <v>0</v>
      </c>
      <c r="Q317" s="116">
        <v>0</v>
      </c>
      <c r="R317" s="116">
        <v>0</v>
      </c>
      <c r="S317" s="114">
        <v>0</v>
      </c>
      <c r="T317" s="116">
        <v>0</v>
      </c>
      <c r="U317" s="116">
        <v>0</v>
      </c>
      <c r="V317" s="121">
        <f t="shared" si="32"/>
        <v>0</v>
      </c>
      <c r="W317" s="111"/>
      <c r="X317" s="111"/>
      <c r="Y317" s="111"/>
      <c r="Z317" s="111"/>
      <c r="AA317" s="111"/>
      <c r="AB317" s="111"/>
      <c r="AC317" s="111"/>
      <c r="AD317" s="111"/>
      <c r="AE317" s="139">
        <f t="shared" si="31"/>
        <v>0</v>
      </c>
      <c r="AF317" s="109"/>
      <c r="AG317" s="109"/>
    </row>
    <row r="318" spans="1:33">
      <c r="A318" s="117"/>
      <c r="B318" s="118"/>
      <c r="C318" s="118"/>
      <c r="D318" s="118"/>
      <c r="E318" s="119"/>
      <c r="F318" s="118"/>
      <c r="G318" s="110"/>
      <c r="H318" s="143"/>
      <c r="I318" s="114">
        <v>0</v>
      </c>
      <c r="J318" s="115">
        <v>0</v>
      </c>
      <c r="K318" s="116">
        <v>0</v>
      </c>
      <c r="L318" s="116">
        <v>0</v>
      </c>
      <c r="M318" s="114">
        <v>0</v>
      </c>
      <c r="N318" s="113">
        <v>0</v>
      </c>
      <c r="O318" s="113">
        <v>0</v>
      </c>
      <c r="P318" s="146">
        <v>0</v>
      </c>
      <c r="Q318" s="116">
        <v>0</v>
      </c>
      <c r="R318" s="116">
        <v>0</v>
      </c>
      <c r="S318" s="114">
        <v>0</v>
      </c>
      <c r="T318" s="116">
        <v>0</v>
      </c>
      <c r="U318" s="116">
        <v>0</v>
      </c>
      <c r="V318" s="121">
        <f t="shared" si="32"/>
        <v>0</v>
      </c>
      <c r="W318" s="111"/>
      <c r="X318" s="111"/>
      <c r="Y318" s="111"/>
      <c r="Z318" s="111"/>
      <c r="AA318" s="111"/>
      <c r="AB318" s="111"/>
      <c r="AC318" s="111"/>
      <c r="AD318" s="111"/>
      <c r="AE318" s="139">
        <f t="shared" si="31"/>
        <v>0</v>
      </c>
      <c r="AF318" s="109"/>
      <c r="AG318" s="109"/>
    </row>
    <row r="319" spans="1:33">
      <c r="A319" s="117"/>
      <c r="B319" s="118"/>
      <c r="C319" s="118"/>
      <c r="D319" s="118"/>
      <c r="E319" s="119"/>
      <c r="F319" s="118"/>
      <c r="G319" s="110"/>
      <c r="H319" s="143"/>
      <c r="I319" s="114">
        <v>0</v>
      </c>
      <c r="J319" s="115">
        <v>0</v>
      </c>
      <c r="K319" s="116">
        <v>0</v>
      </c>
      <c r="L319" s="116">
        <v>0</v>
      </c>
      <c r="M319" s="114">
        <v>0</v>
      </c>
      <c r="N319" s="113">
        <v>0</v>
      </c>
      <c r="O319" s="113">
        <v>0</v>
      </c>
      <c r="P319" s="146">
        <v>0</v>
      </c>
      <c r="Q319" s="116">
        <v>0</v>
      </c>
      <c r="R319" s="116">
        <v>0</v>
      </c>
      <c r="S319" s="114">
        <v>0</v>
      </c>
      <c r="T319" s="116">
        <v>0</v>
      </c>
      <c r="U319" s="116">
        <v>0</v>
      </c>
      <c r="V319" s="121">
        <f t="shared" si="32"/>
        <v>0</v>
      </c>
      <c r="W319" s="111"/>
      <c r="X319" s="111"/>
      <c r="Y319" s="111"/>
      <c r="Z319" s="111"/>
      <c r="AA319" s="111"/>
      <c r="AB319" s="111"/>
      <c r="AC319" s="111"/>
      <c r="AD319" s="111"/>
      <c r="AE319" s="139">
        <f t="shared" si="31"/>
        <v>0</v>
      </c>
      <c r="AF319" s="109"/>
      <c r="AG319" s="109"/>
    </row>
    <row r="320" spans="1:33">
      <c r="A320" s="117"/>
      <c r="B320" s="118"/>
      <c r="C320" s="118"/>
      <c r="D320" s="118"/>
      <c r="E320" s="119"/>
      <c r="F320" s="118"/>
      <c r="G320" s="110"/>
      <c r="H320" s="143"/>
      <c r="I320" s="114">
        <v>0</v>
      </c>
      <c r="J320" s="115">
        <v>0</v>
      </c>
      <c r="K320" s="116">
        <v>0</v>
      </c>
      <c r="L320" s="116">
        <v>0</v>
      </c>
      <c r="M320" s="114">
        <v>0</v>
      </c>
      <c r="N320" s="113">
        <v>0</v>
      </c>
      <c r="O320" s="113">
        <v>0</v>
      </c>
      <c r="P320" s="146">
        <v>0</v>
      </c>
      <c r="Q320" s="116">
        <v>0</v>
      </c>
      <c r="R320" s="116">
        <v>0</v>
      </c>
      <c r="S320" s="114">
        <v>0</v>
      </c>
      <c r="T320" s="116">
        <v>0</v>
      </c>
      <c r="U320" s="116">
        <v>0</v>
      </c>
      <c r="V320" s="121">
        <f t="shared" si="32"/>
        <v>0</v>
      </c>
      <c r="W320" s="111"/>
      <c r="X320" s="111"/>
      <c r="Y320" s="111"/>
      <c r="Z320" s="111"/>
      <c r="AA320" s="111"/>
      <c r="AB320" s="111"/>
      <c r="AC320" s="111"/>
      <c r="AD320" s="111"/>
      <c r="AE320" s="139">
        <f t="shared" si="31"/>
        <v>0</v>
      </c>
      <c r="AF320" s="109"/>
      <c r="AG320" s="109"/>
    </row>
    <row r="321" spans="1:33">
      <c r="A321" s="117"/>
      <c r="B321" s="118"/>
      <c r="C321" s="118"/>
      <c r="D321" s="118"/>
      <c r="E321" s="119"/>
      <c r="F321" s="118"/>
      <c r="G321" s="110"/>
      <c r="H321" s="143"/>
      <c r="I321" s="114">
        <v>0</v>
      </c>
      <c r="J321" s="115">
        <v>0</v>
      </c>
      <c r="K321" s="116">
        <v>0</v>
      </c>
      <c r="L321" s="116">
        <v>0</v>
      </c>
      <c r="M321" s="114">
        <v>0</v>
      </c>
      <c r="N321" s="113">
        <v>0</v>
      </c>
      <c r="O321" s="113">
        <v>0</v>
      </c>
      <c r="P321" s="146">
        <v>0</v>
      </c>
      <c r="Q321" s="116">
        <v>0</v>
      </c>
      <c r="R321" s="116">
        <v>0</v>
      </c>
      <c r="S321" s="114">
        <v>0</v>
      </c>
      <c r="T321" s="116">
        <v>0</v>
      </c>
      <c r="U321" s="116">
        <v>0</v>
      </c>
      <c r="V321" s="121">
        <f t="shared" si="32"/>
        <v>0</v>
      </c>
      <c r="W321" s="111"/>
      <c r="X321" s="111"/>
      <c r="Y321" s="111"/>
      <c r="Z321" s="111"/>
      <c r="AA321" s="111"/>
      <c r="AB321" s="111"/>
      <c r="AC321" s="111"/>
      <c r="AD321" s="111"/>
      <c r="AE321" s="139">
        <f t="shared" si="31"/>
        <v>0</v>
      </c>
      <c r="AF321" s="109"/>
      <c r="AG321" s="109"/>
    </row>
    <row r="322" spans="1:33">
      <c r="A322" s="117"/>
      <c r="B322" s="118"/>
      <c r="C322" s="118"/>
      <c r="D322" s="118"/>
      <c r="E322" s="119"/>
      <c r="F322" s="118"/>
      <c r="G322" s="110"/>
      <c r="H322" s="143"/>
      <c r="I322" s="114">
        <v>0</v>
      </c>
      <c r="J322" s="115">
        <v>0</v>
      </c>
      <c r="K322" s="116">
        <v>0</v>
      </c>
      <c r="L322" s="116">
        <v>0</v>
      </c>
      <c r="M322" s="114">
        <v>0</v>
      </c>
      <c r="N322" s="113">
        <v>0</v>
      </c>
      <c r="O322" s="113">
        <v>0</v>
      </c>
      <c r="P322" s="146">
        <v>0</v>
      </c>
      <c r="Q322" s="116">
        <v>0</v>
      </c>
      <c r="R322" s="116">
        <v>0</v>
      </c>
      <c r="S322" s="114">
        <v>0</v>
      </c>
      <c r="T322" s="116">
        <v>0</v>
      </c>
      <c r="U322" s="116">
        <v>0</v>
      </c>
      <c r="V322" s="121">
        <f t="shared" si="32"/>
        <v>0</v>
      </c>
      <c r="W322" s="111"/>
      <c r="X322" s="111"/>
      <c r="Y322" s="111"/>
      <c r="Z322" s="111"/>
      <c r="AA322" s="111"/>
      <c r="AB322" s="111"/>
      <c r="AC322" s="111"/>
      <c r="AD322" s="111"/>
      <c r="AE322" s="139">
        <f t="shared" si="31"/>
        <v>0</v>
      </c>
      <c r="AF322" s="109"/>
      <c r="AG322" s="109"/>
    </row>
    <row r="323" spans="1:33">
      <c r="A323" s="117"/>
      <c r="B323" s="118"/>
      <c r="C323" s="118"/>
      <c r="D323" s="118"/>
      <c r="E323" s="119"/>
      <c r="F323" s="118"/>
      <c r="G323" s="110"/>
      <c r="H323" s="143"/>
      <c r="I323" s="114">
        <v>0</v>
      </c>
      <c r="J323" s="115">
        <v>0</v>
      </c>
      <c r="K323" s="116">
        <v>0</v>
      </c>
      <c r="L323" s="116">
        <v>0</v>
      </c>
      <c r="M323" s="114">
        <v>0</v>
      </c>
      <c r="N323" s="113">
        <v>0</v>
      </c>
      <c r="O323" s="113">
        <v>0</v>
      </c>
      <c r="P323" s="146">
        <v>0</v>
      </c>
      <c r="Q323" s="116">
        <v>0</v>
      </c>
      <c r="R323" s="116">
        <v>0</v>
      </c>
      <c r="S323" s="114">
        <v>0</v>
      </c>
      <c r="T323" s="116">
        <v>0</v>
      </c>
      <c r="U323" s="116">
        <v>0</v>
      </c>
      <c r="V323" s="121">
        <f t="shared" si="32"/>
        <v>0</v>
      </c>
      <c r="W323" s="111"/>
      <c r="X323" s="111"/>
      <c r="Y323" s="111"/>
      <c r="Z323" s="111"/>
      <c r="AA323" s="111"/>
      <c r="AB323" s="111"/>
      <c r="AC323" s="111"/>
      <c r="AD323" s="111"/>
      <c r="AE323" s="139">
        <f t="shared" si="31"/>
        <v>0</v>
      </c>
      <c r="AF323" s="109"/>
      <c r="AG323" s="109"/>
    </row>
    <row r="324" spans="1:33">
      <c r="A324" s="117"/>
      <c r="B324" s="118"/>
      <c r="C324" s="118"/>
      <c r="D324" s="118"/>
      <c r="E324" s="119"/>
      <c r="F324" s="118"/>
      <c r="G324" s="110"/>
      <c r="H324" s="143"/>
      <c r="I324" s="114">
        <v>0</v>
      </c>
      <c r="J324" s="115">
        <v>0</v>
      </c>
      <c r="K324" s="116">
        <v>0</v>
      </c>
      <c r="L324" s="116">
        <v>0</v>
      </c>
      <c r="M324" s="114">
        <v>0</v>
      </c>
      <c r="N324" s="113">
        <v>0</v>
      </c>
      <c r="O324" s="113">
        <v>0</v>
      </c>
      <c r="P324" s="146">
        <v>0</v>
      </c>
      <c r="Q324" s="116">
        <v>0</v>
      </c>
      <c r="R324" s="116">
        <v>0</v>
      </c>
      <c r="S324" s="114">
        <v>0</v>
      </c>
      <c r="T324" s="116">
        <v>0</v>
      </c>
      <c r="U324" s="116">
        <v>0</v>
      </c>
      <c r="V324" s="121">
        <f t="shared" si="32"/>
        <v>0</v>
      </c>
      <c r="W324" s="111"/>
      <c r="X324" s="111"/>
      <c r="Y324" s="111"/>
      <c r="Z324" s="111"/>
      <c r="AA324" s="111"/>
      <c r="AB324" s="111"/>
      <c r="AC324" s="111"/>
      <c r="AD324" s="111"/>
      <c r="AE324" s="139">
        <f t="shared" si="31"/>
        <v>0</v>
      </c>
      <c r="AF324" s="109"/>
      <c r="AG324" s="109"/>
    </row>
    <row r="325" spans="1:33">
      <c r="A325" s="117"/>
      <c r="B325" s="118"/>
      <c r="C325" s="118"/>
      <c r="D325" s="118"/>
      <c r="E325" s="119"/>
      <c r="F325" s="118"/>
      <c r="G325" s="110"/>
      <c r="H325" s="143"/>
      <c r="I325" s="114">
        <v>0</v>
      </c>
      <c r="J325" s="115">
        <v>0</v>
      </c>
      <c r="K325" s="116">
        <v>0</v>
      </c>
      <c r="L325" s="116">
        <v>0</v>
      </c>
      <c r="M325" s="114">
        <v>0</v>
      </c>
      <c r="N325" s="113">
        <v>0</v>
      </c>
      <c r="O325" s="113">
        <v>0</v>
      </c>
      <c r="P325" s="146">
        <v>0</v>
      </c>
      <c r="Q325" s="116">
        <v>0</v>
      </c>
      <c r="R325" s="116">
        <v>0</v>
      </c>
      <c r="S325" s="114">
        <v>0</v>
      </c>
      <c r="T325" s="116">
        <v>0</v>
      </c>
      <c r="U325" s="116">
        <v>0</v>
      </c>
      <c r="V325" s="121">
        <f t="shared" si="32"/>
        <v>0</v>
      </c>
      <c r="W325" s="111"/>
      <c r="X325" s="111"/>
      <c r="Y325" s="111"/>
      <c r="Z325" s="111"/>
      <c r="AA325" s="111"/>
      <c r="AB325" s="111"/>
      <c r="AC325" s="111"/>
      <c r="AD325" s="111"/>
      <c r="AE325" s="139">
        <f t="shared" si="31"/>
        <v>0</v>
      </c>
      <c r="AF325" s="109"/>
      <c r="AG325" s="109"/>
    </row>
    <row r="326" spans="1:33">
      <c r="A326" s="117"/>
      <c r="B326" s="118"/>
      <c r="C326" s="118"/>
      <c r="D326" s="118"/>
      <c r="E326" s="119"/>
      <c r="F326" s="118"/>
      <c r="G326" s="110"/>
      <c r="H326" s="143"/>
      <c r="I326" s="114">
        <v>0</v>
      </c>
      <c r="J326" s="115">
        <v>0</v>
      </c>
      <c r="K326" s="116">
        <v>0</v>
      </c>
      <c r="L326" s="116">
        <v>0</v>
      </c>
      <c r="M326" s="114">
        <v>0</v>
      </c>
      <c r="N326" s="113">
        <v>0</v>
      </c>
      <c r="O326" s="113">
        <v>0</v>
      </c>
      <c r="P326" s="146">
        <v>0</v>
      </c>
      <c r="Q326" s="116">
        <v>0</v>
      </c>
      <c r="R326" s="116">
        <v>0</v>
      </c>
      <c r="S326" s="114">
        <v>0</v>
      </c>
      <c r="T326" s="116">
        <v>0</v>
      </c>
      <c r="U326" s="116">
        <v>0</v>
      </c>
      <c r="V326" s="121">
        <f t="shared" si="32"/>
        <v>0</v>
      </c>
      <c r="W326" s="111"/>
      <c r="X326" s="111"/>
      <c r="Y326" s="111"/>
      <c r="Z326" s="111"/>
      <c r="AA326" s="111"/>
      <c r="AB326" s="111"/>
      <c r="AC326" s="111"/>
      <c r="AD326" s="111"/>
      <c r="AE326" s="139">
        <f t="shared" si="31"/>
        <v>0</v>
      </c>
      <c r="AF326" s="109"/>
      <c r="AG326" s="109"/>
    </row>
    <row r="327" spans="1:33">
      <c r="A327" s="117"/>
      <c r="B327" s="118"/>
      <c r="C327" s="118"/>
      <c r="D327" s="118"/>
      <c r="E327" s="119"/>
      <c r="F327" s="118"/>
      <c r="G327" s="110"/>
      <c r="H327" s="143"/>
      <c r="I327" s="114">
        <v>0</v>
      </c>
      <c r="J327" s="115">
        <v>0</v>
      </c>
      <c r="K327" s="116">
        <v>0</v>
      </c>
      <c r="L327" s="116">
        <v>0</v>
      </c>
      <c r="M327" s="114">
        <v>0</v>
      </c>
      <c r="N327" s="113">
        <v>0</v>
      </c>
      <c r="O327" s="113">
        <v>0</v>
      </c>
      <c r="P327" s="146">
        <v>0</v>
      </c>
      <c r="Q327" s="116">
        <v>0</v>
      </c>
      <c r="R327" s="116">
        <v>0</v>
      </c>
      <c r="S327" s="114">
        <v>0</v>
      </c>
      <c r="T327" s="116">
        <v>0</v>
      </c>
      <c r="U327" s="116">
        <v>0</v>
      </c>
      <c r="V327" s="121">
        <f t="shared" si="32"/>
        <v>0</v>
      </c>
      <c r="W327" s="111"/>
      <c r="X327" s="111"/>
      <c r="Y327" s="111"/>
      <c r="Z327" s="111"/>
      <c r="AA327" s="111"/>
      <c r="AB327" s="111"/>
      <c r="AC327" s="111"/>
      <c r="AD327" s="111"/>
      <c r="AE327" s="139">
        <f t="shared" si="31"/>
        <v>0</v>
      </c>
      <c r="AF327" s="109"/>
      <c r="AG327" s="109"/>
    </row>
    <row r="328" spans="1:33">
      <c r="A328" s="117"/>
      <c r="B328" s="118"/>
      <c r="C328" s="118"/>
      <c r="D328" s="118"/>
      <c r="E328" s="119"/>
      <c r="F328" s="118"/>
      <c r="G328" s="110"/>
      <c r="H328" s="143"/>
      <c r="I328" s="114">
        <v>0</v>
      </c>
      <c r="J328" s="115">
        <v>0</v>
      </c>
      <c r="K328" s="116">
        <v>0</v>
      </c>
      <c r="L328" s="116">
        <v>0</v>
      </c>
      <c r="M328" s="114">
        <v>0</v>
      </c>
      <c r="N328" s="113">
        <v>0</v>
      </c>
      <c r="O328" s="113">
        <v>0</v>
      </c>
      <c r="P328" s="146">
        <v>0</v>
      </c>
      <c r="Q328" s="116">
        <v>0</v>
      </c>
      <c r="R328" s="116">
        <v>0</v>
      </c>
      <c r="S328" s="114">
        <v>0</v>
      </c>
      <c r="T328" s="116">
        <v>0</v>
      </c>
      <c r="U328" s="116">
        <v>0</v>
      </c>
      <c r="V328" s="121">
        <f t="shared" si="32"/>
        <v>0</v>
      </c>
      <c r="W328" s="111"/>
      <c r="X328" s="111"/>
      <c r="Y328" s="111"/>
      <c r="Z328" s="111"/>
      <c r="AA328" s="111"/>
      <c r="AB328" s="111"/>
      <c r="AC328" s="111"/>
      <c r="AD328" s="111"/>
      <c r="AE328" s="139">
        <f t="shared" si="31"/>
        <v>0</v>
      </c>
      <c r="AF328" s="109"/>
      <c r="AG328" s="109"/>
    </row>
    <row r="329" spans="1:33">
      <c r="A329" s="117"/>
      <c r="B329" s="118"/>
      <c r="C329" s="118"/>
      <c r="D329" s="118"/>
      <c r="E329" s="119"/>
      <c r="F329" s="118"/>
      <c r="G329" s="110"/>
      <c r="H329" s="143"/>
      <c r="I329" s="114">
        <v>0</v>
      </c>
      <c r="J329" s="115">
        <v>0</v>
      </c>
      <c r="K329" s="116">
        <v>0</v>
      </c>
      <c r="L329" s="116">
        <v>0</v>
      </c>
      <c r="M329" s="114">
        <v>0</v>
      </c>
      <c r="N329" s="113">
        <v>0</v>
      </c>
      <c r="O329" s="113">
        <v>0</v>
      </c>
      <c r="P329" s="146">
        <v>0</v>
      </c>
      <c r="Q329" s="116">
        <v>0</v>
      </c>
      <c r="R329" s="116">
        <v>0</v>
      </c>
      <c r="S329" s="114">
        <v>0</v>
      </c>
      <c r="T329" s="116">
        <v>0</v>
      </c>
      <c r="U329" s="116">
        <v>0</v>
      </c>
      <c r="V329" s="121">
        <f t="shared" si="32"/>
        <v>0</v>
      </c>
      <c r="W329" s="111"/>
      <c r="X329" s="111"/>
      <c r="Y329" s="111"/>
      <c r="Z329" s="111"/>
      <c r="AA329" s="111"/>
      <c r="AB329" s="111"/>
      <c r="AC329" s="111"/>
      <c r="AD329" s="111"/>
      <c r="AE329" s="139">
        <f t="shared" si="31"/>
        <v>0</v>
      </c>
      <c r="AF329" s="109"/>
      <c r="AG329" s="109"/>
    </row>
    <row r="330" spans="1:33">
      <c r="A330" s="117"/>
      <c r="B330" s="118"/>
      <c r="C330" s="118"/>
      <c r="D330" s="118"/>
      <c r="E330" s="119"/>
      <c r="F330" s="118"/>
      <c r="G330" s="110"/>
      <c r="H330" s="143"/>
      <c r="I330" s="114">
        <v>0</v>
      </c>
      <c r="J330" s="115">
        <v>0</v>
      </c>
      <c r="K330" s="116">
        <v>0</v>
      </c>
      <c r="L330" s="116">
        <v>0</v>
      </c>
      <c r="M330" s="114">
        <v>0</v>
      </c>
      <c r="N330" s="113">
        <v>0</v>
      </c>
      <c r="O330" s="113">
        <v>0</v>
      </c>
      <c r="P330" s="146">
        <v>0</v>
      </c>
      <c r="Q330" s="116">
        <v>0</v>
      </c>
      <c r="R330" s="116">
        <v>0</v>
      </c>
      <c r="S330" s="114">
        <v>0</v>
      </c>
      <c r="T330" s="116">
        <v>0</v>
      </c>
      <c r="U330" s="116">
        <v>0</v>
      </c>
      <c r="V330" s="121">
        <f t="shared" si="32"/>
        <v>0</v>
      </c>
      <c r="W330" s="111"/>
      <c r="X330" s="111"/>
      <c r="Y330" s="111"/>
      <c r="Z330" s="111"/>
      <c r="AA330" s="111"/>
      <c r="AB330" s="111"/>
      <c r="AC330" s="111"/>
      <c r="AD330" s="111"/>
      <c r="AE330" s="139">
        <f t="shared" si="31"/>
        <v>0</v>
      </c>
      <c r="AF330" s="109"/>
      <c r="AG330" s="109"/>
    </row>
    <row r="331" spans="1:33">
      <c r="A331" s="117"/>
      <c r="B331" s="118"/>
      <c r="C331" s="118"/>
      <c r="D331" s="118"/>
      <c r="E331" s="119"/>
      <c r="F331" s="118"/>
      <c r="G331" s="110"/>
      <c r="H331" s="143"/>
      <c r="I331" s="114">
        <v>0</v>
      </c>
      <c r="J331" s="115">
        <v>0</v>
      </c>
      <c r="K331" s="116">
        <v>0</v>
      </c>
      <c r="L331" s="116">
        <v>0</v>
      </c>
      <c r="M331" s="114">
        <v>0</v>
      </c>
      <c r="N331" s="113">
        <v>0</v>
      </c>
      <c r="O331" s="113">
        <v>0</v>
      </c>
      <c r="P331" s="146">
        <v>0</v>
      </c>
      <c r="Q331" s="116">
        <v>0</v>
      </c>
      <c r="R331" s="116">
        <v>0</v>
      </c>
      <c r="S331" s="114">
        <v>0</v>
      </c>
      <c r="T331" s="116">
        <v>0</v>
      </c>
      <c r="U331" s="116">
        <v>0</v>
      </c>
      <c r="V331" s="121">
        <f t="shared" si="32"/>
        <v>0</v>
      </c>
      <c r="W331" s="111"/>
      <c r="X331" s="111"/>
      <c r="Y331" s="111"/>
      <c r="Z331" s="111"/>
      <c r="AA331" s="111"/>
      <c r="AB331" s="111"/>
      <c r="AC331" s="111"/>
      <c r="AD331" s="111"/>
      <c r="AE331" s="139">
        <f t="shared" si="31"/>
        <v>0</v>
      </c>
      <c r="AF331" s="109"/>
      <c r="AG331" s="109"/>
    </row>
    <row r="332" spans="1:33">
      <c r="A332" s="117"/>
      <c r="B332" s="118"/>
      <c r="C332" s="118"/>
      <c r="D332" s="118"/>
      <c r="E332" s="119"/>
      <c r="F332" s="118"/>
      <c r="G332" s="110"/>
      <c r="H332" s="143"/>
      <c r="I332" s="114">
        <v>0</v>
      </c>
      <c r="J332" s="115">
        <v>0</v>
      </c>
      <c r="K332" s="116">
        <v>0</v>
      </c>
      <c r="L332" s="116">
        <v>0</v>
      </c>
      <c r="M332" s="114">
        <v>0</v>
      </c>
      <c r="N332" s="113">
        <v>0</v>
      </c>
      <c r="O332" s="113">
        <v>0</v>
      </c>
      <c r="P332" s="146">
        <v>0</v>
      </c>
      <c r="Q332" s="116">
        <v>0</v>
      </c>
      <c r="R332" s="116">
        <v>0</v>
      </c>
      <c r="S332" s="114">
        <v>0</v>
      </c>
      <c r="T332" s="116">
        <v>0</v>
      </c>
      <c r="U332" s="116">
        <v>0</v>
      </c>
      <c r="V332" s="121">
        <f t="shared" si="32"/>
        <v>0</v>
      </c>
      <c r="W332" s="111"/>
      <c r="X332" s="111"/>
      <c r="Y332" s="111"/>
      <c r="Z332" s="111"/>
      <c r="AA332" s="111"/>
      <c r="AB332" s="111"/>
      <c r="AC332" s="111"/>
      <c r="AD332" s="111"/>
      <c r="AE332" s="139">
        <f t="shared" si="31"/>
        <v>0</v>
      </c>
      <c r="AF332" s="109"/>
      <c r="AG332" s="109"/>
    </row>
    <row r="333" spans="1:33">
      <c r="A333" s="117"/>
      <c r="B333" s="118"/>
      <c r="C333" s="118"/>
      <c r="D333" s="118"/>
      <c r="E333" s="119"/>
      <c r="F333" s="118"/>
      <c r="G333" s="110"/>
      <c r="H333" s="143"/>
      <c r="I333" s="114">
        <v>0</v>
      </c>
      <c r="J333" s="115">
        <v>0</v>
      </c>
      <c r="K333" s="116">
        <v>0</v>
      </c>
      <c r="L333" s="116">
        <v>0</v>
      </c>
      <c r="M333" s="114">
        <v>0</v>
      </c>
      <c r="N333" s="113">
        <v>0</v>
      </c>
      <c r="O333" s="113">
        <v>0</v>
      </c>
      <c r="P333" s="146">
        <v>0</v>
      </c>
      <c r="Q333" s="116">
        <v>0</v>
      </c>
      <c r="R333" s="116">
        <v>0</v>
      </c>
      <c r="S333" s="114">
        <v>0</v>
      </c>
      <c r="T333" s="116">
        <v>0</v>
      </c>
      <c r="U333" s="116">
        <v>0</v>
      </c>
      <c r="V333" s="121">
        <f t="shared" si="32"/>
        <v>0</v>
      </c>
      <c r="W333" s="111"/>
      <c r="X333" s="111"/>
      <c r="Y333" s="111"/>
      <c r="Z333" s="111"/>
      <c r="AA333" s="111"/>
      <c r="AB333" s="111"/>
      <c r="AC333" s="111"/>
      <c r="AD333" s="111"/>
      <c r="AE333" s="139">
        <f t="shared" si="31"/>
        <v>0</v>
      </c>
      <c r="AF333" s="109"/>
      <c r="AG333" s="109"/>
    </row>
    <row r="334" spans="1:33">
      <c r="A334" s="117"/>
      <c r="B334" s="118"/>
      <c r="C334" s="118"/>
      <c r="D334" s="118"/>
      <c r="E334" s="119"/>
      <c r="F334" s="118"/>
      <c r="G334" s="110"/>
      <c r="H334" s="143"/>
      <c r="I334" s="114">
        <v>0</v>
      </c>
      <c r="J334" s="115">
        <v>0</v>
      </c>
      <c r="K334" s="116">
        <v>0</v>
      </c>
      <c r="L334" s="116">
        <v>0</v>
      </c>
      <c r="M334" s="114">
        <v>0</v>
      </c>
      <c r="N334" s="113">
        <v>0</v>
      </c>
      <c r="O334" s="113">
        <v>0</v>
      </c>
      <c r="P334" s="146">
        <v>0</v>
      </c>
      <c r="Q334" s="116">
        <v>0</v>
      </c>
      <c r="R334" s="116">
        <v>0</v>
      </c>
      <c r="S334" s="114">
        <v>0</v>
      </c>
      <c r="T334" s="116">
        <v>0</v>
      </c>
      <c r="U334" s="116">
        <v>0</v>
      </c>
      <c r="V334" s="121">
        <f t="shared" si="32"/>
        <v>0</v>
      </c>
      <c r="W334" s="111"/>
      <c r="X334" s="111"/>
      <c r="Y334" s="111"/>
      <c r="Z334" s="111"/>
      <c r="AA334" s="111"/>
      <c r="AB334" s="111"/>
      <c r="AC334" s="111"/>
      <c r="AD334" s="111"/>
      <c r="AE334" s="139">
        <f t="shared" si="31"/>
        <v>0</v>
      </c>
      <c r="AF334" s="109"/>
      <c r="AG334" s="109"/>
    </row>
    <row r="335" spans="1:33">
      <c r="A335" s="117"/>
      <c r="B335" s="118"/>
      <c r="C335" s="118"/>
      <c r="D335" s="118"/>
      <c r="E335" s="119"/>
      <c r="F335" s="118"/>
      <c r="G335" s="110"/>
      <c r="H335" s="143"/>
      <c r="I335" s="114">
        <v>0</v>
      </c>
      <c r="J335" s="115">
        <v>0</v>
      </c>
      <c r="K335" s="116">
        <v>0</v>
      </c>
      <c r="L335" s="116">
        <v>0</v>
      </c>
      <c r="M335" s="114">
        <v>0</v>
      </c>
      <c r="N335" s="113">
        <v>0</v>
      </c>
      <c r="O335" s="113">
        <v>0</v>
      </c>
      <c r="P335" s="146">
        <v>0</v>
      </c>
      <c r="Q335" s="116">
        <v>0</v>
      </c>
      <c r="R335" s="116">
        <v>0</v>
      </c>
      <c r="S335" s="114">
        <v>0</v>
      </c>
      <c r="T335" s="116">
        <v>0</v>
      </c>
      <c r="U335" s="116">
        <v>0</v>
      </c>
      <c r="V335" s="121">
        <f t="shared" si="32"/>
        <v>0</v>
      </c>
      <c r="W335" s="111"/>
      <c r="X335" s="111"/>
      <c r="Y335" s="111"/>
      <c r="Z335" s="111"/>
      <c r="AA335" s="111"/>
      <c r="AB335" s="111"/>
      <c r="AC335" s="111"/>
      <c r="AD335" s="111"/>
      <c r="AE335" s="139">
        <f t="shared" si="31"/>
        <v>0</v>
      </c>
      <c r="AF335" s="109"/>
      <c r="AG335" s="109"/>
    </row>
    <row r="336" spans="1:33">
      <c r="A336" s="117"/>
      <c r="B336" s="118"/>
      <c r="C336" s="118"/>
      <c r="D336" s="118"/>
      <c r="E336" s="119"/>
      <c r="F336" s="118"/>
      <c r="G336" s="110"/>
      <c r="H336" s="143"/>
      <c r="I336" s="114">
        <v>0</v>
      </c>
      <c r="J336" s="115">
        <v>0</v>
      </c>
      <c r="K336" s="116">
        <v>0</v>
      </c>
      <c r="L336" s="116">
        <v>0</v>
      </c>
      <c r="M336" s="114">
        <v>0</v>
      </c>
      <c r="N336" s="113">
        <v>0</v>
      </c>
      <c r="O336" s="113">
        <v>0</v>
      </c>
      <c r="P336" s="146">
        <v>0</v>
      </c>
      <c r="Q336" s="116">
        <v>0</v>
      </c>
      <c r="R336" s="116">
        <v>0</v>
      </c>
      <c r="S336" s="114">
        <v>0</v>
      </c>
      <c r="T336" s="116">
        <v>0</v>
      </c>
      <c r="U336" s="116">
        <v>0</v>
      </c>
      <c r="V336" s="121">
        <f t="shared" si="32"/>
        <v>0</v>
      </c>
      <c r="W336" s="111"/>
      <c r="X336" s="111"/>
      <c r="Y336" s="111"/>
      <c r="Z336" s="111"/>
      <c r="AA336" s="111"/>
      <c r="AB336" s="111"/>
      <c r="AC336" s="111"/>
      <c r="AD336" s="111"/>
      <c r="AE336" s="139">
        <f t="shared" si="31"/>
        <v>0</v>
      </c>
      <c r="AF336" s="109"/>
      <c r="AG336" s="109"/>
    </row>
    <row r="337" spans="1:33">
      <c r="A337" s="117"/>
      <c r="B337" s="118"/>
      <c r="C337" s="118"/>
      <c r="D337" s="118"/>
      <c r="E337" s="119"/>
      <c r="F337" s="118"/>
      <c r="G337" s="110"/>
      <c r="H337" s="143"/>
      <c r="I337" s="114">
        <v>0</v>
      </c>
      <c r="J337" s="115">
        <v>0</v>
      </c>
      <c r="K337" s="116">
        <v>0</v>
      </c>
      <c r="L337" s="116">
        <v>0</v>
      </c>
      <c r="M337" s="114">
        <v>0</v>
      </c>
      <c r="N337" s="113">
        <v>0</v>
      </c>
      <c r="O337" s="113">
        <v>0</v>
      </c>
      <c r="P337" s="146">
        <v>0</v>
      </c>
      <c r="Q337" s="116">
        <v>0</v>
      </c>
      <c r="R337" s="116">
        <v>0</v>
      </c>
      <c r="S337" s="114">
        <v>0</v>
      </c>
      <c r="T337" s="116">
        <v>0</v>
      </c>
      <c r="U337" s="116">
        <v>0</v>
      </c>
      <c r="V337" s="121">
        <f t="shared" si="32"/>
        <v>0</v>
      </c>
      <c r="W337" s="111"/>
      <c r="X337" s="111"/>
      <c r="Y337" s="111"/>
      <c r="Z337" s="111"/>
      <c r="AA337" s="111"/>
      <c r="AB337" s="111"/>
      <c r="AC337" s="111"/>
      <c r="AD337" s="111"/>
      <c r="AE337" s="139">
        <f t="shared" si="31"/>
        <v>0</v>
      </c>
      <c r="AF337" s="109"/>
      <c r="AG337" s="109"/>
    </row>
    <row r="338" spans="1:33">
      <c r="A338" s="117"/>
      <c r="B338" s="118"/>
      <c r="C338" s="118"/>
      <c r="D338" s="118"/>
      <c r="E338" s="119"/>
      <c r="F338" s="118"/>
      <c r="G338" s="110"/>
      <c r="H338" s="143"/>
      <c r="I338" s="114">
        <v>0</v>
      </c>
      <c r="J338" s="115">
        <v>0</v>
      </c>
      <c r="K338" s="116">
        <v>0</v>
      </c>
      <c r="L338" s="116">
        <v>0</v>
      </c>
      <c r="M338" s="114">
        <v>0</v>
      </c>
      <c r="N338" s="113">
        <v>0</v>
      </c>
      <c r="O338" s="113">
        <v>0</v>
      </c>
      <c r="P338" s="146">
        <v>0</v>
      </c>
      <c r="Q338" s="116">
        <v>0</v>
      </c>
      <c r="R338" s="116">
        <v>0</v>
      </c>
      <c r="S338" s="114">
        <v>0</v>
      </c>
      <c r="T338" s="116">
        <v>0</v>
      </c>
      <c r="U338" s="116">
        <v>0</v>
      </c>
      <c r="V338" s="121">
        <f t="shared" si="32"/>
        <v>0</v>
      </c>
      <c r="W338" s="111"/>
      <c r="X338" s="111"/>
      <c r="Y338" s="111"/>
      <c r="Z338" s="111"/>
      <c r="AA338" s="111"/>
      <c r="AB338" s="111"/>
      <c r="AC338" s="111"/>
      <c r="AD338" s="111"/>
      <c r="AE338" s="139">
        <f t="shared" si="31"/>
        <v>0</v>
      </c>
      <c r="AF338" s="109"/>
      <c r="AG338" s="109"/>
    </row>
    <row r="339" spans="1:33">
      <c r="A339" s="117"/>
      <c r="B339" s="118"/>
      <c r="C339" s="118"/>
      <c r="D339" s="118"/>
      <c r="E339" s="119"/>
      <c r="F339" s="118"/>
      <c r="G339" s="110"/>
      <c r="H339" s="143"/>
      <c r="I339" s="114">
        <v>0</v>
      </c>
      <c r="J339" s="115">
        <v>0</v>
      </c>
      <c r="K339" s="116">
        <v>0</v>
      </c>
      <c r="L339" s="116">
        <v>0</v>
      </c>
      <c r="M339" s="114">
        <v>0</v>
      </c>
      <c r="N339" s="113">
        <v>0</v>
      </c>
      <c r="O339" s="113">
        <v>0</v>
      </c>
      <c r="P339" s="146">
        <v>0</v>
      </c>
      <c r="Q339" s="116">
        <v>0</v>
      </c>
      <c r="R339" s="116">
        <v>0</v>
      </c>
      <c r="S339" s="114">
        <v>0</v>
      </c>
      <c r="T339" s="116">
        <v>0</v>
      </c>
      <c r="U339" s="116">
        <v>0</v>
      </c>
      <c r="V339" s="121">
        <f t="shared" si="32"/>
        <v>0</v>
      </c>
      <c r="W339" s="111"/>
      <c r="X339" s="111"/>
      <c r="Y339" s="111"/>
      <c r="Z339" s="111"/>
      <c r="AA339" s="111"/>
      <c r="AB339" s="111"/>
      <c r="AC339" s="111"/>
      <c r="AD339" s="111"/>
      <c r="AE339" s="139">
        <f t="shared" si="31"/>
        <v>0</v>
      </c>
      <c r="AF339" s="109"/>
      <c r="AG339" s="109"/>
    </row>
    <row r="340" spans="1:33">
      <c r="A340" s="117"/>
      <c r="B340" s="118"/>
      <c r="C340" s="118"/>
      <c r="D340" s="118"/>
      <c r="E340" s="119"/>
      <c r="F340" s="118"/>
      <c r="G340" s="110"/>
      <c r="H340" s="143"/>
      <c r="I340" s="114">
        <v>0</v>
      </c>
      <c r="J340" s="115">
        <v>0</v>
      </c>
      <c r="K340" s="116">
        <v>0</v>
      </c>
      <c r="L340" s="116">
        <v>0</v>
      </c>
      <c r="M340" s="114">
        <v>0</v>
      </c>
      <c r="N340" s="113">
        <v>0</v>
      </c>
      <c r="O340" s="113">
        <v>0</v>
      </c>
      <c r="P340" s="146">
        <v>0</v>
      </c>
      <c r="Q340" s="116">
        <v>0</v>
      </c>
      <c r="R340" s="116">
        <v>0</v>
      </c>
      <c r="S340" s="114">
        <v>0</v>
      </c>
      <c r="T340" s="116">
        <v>0</v>
      </c>
      <c r="U340" s="116">
        <v>0</v>
      </c>
      <c r="V340" s="121">
        <f t="shared" si="32"/>
        <v>0</v>
      </c>
      <c r="W340" s="111"/>
      <c r="X340" s="111"/>
      <c r="Y340" s="111"/>
      <c r="Z340" s="111"/>
      <c r="AA340" s="111"/>
      <c r="AB340" s="111"/>
      <c r="AC340" s="111"/>
      <c r="AD340" s="111"/>
      <c r="AE340" s="139">
        <f t="shared" si="31"/>
        <v>0</v>
      </c>
      <c r="AF340" s="109"/>
      <c r="AG340" s="109"/>
    </row>
    <row r="341" spans="1:33">
      <c r="A341" s="117"/>
      <c r="B341" s="118"/>
      <c r="C341" s="118"/>
      <c r="D341" s="118"/>
      <c r="E341" s="119"/>
      <c r="F341" s="118"/>
      <c r="G341" s="110"/>
      <c r="H341" s="143"/>
      <c r="I341" s="114">
        <v>0</v>
      </c>
      <c r="J341" s="115">
        <v>0</v>
      </c>
      <c r="K341" s="116">
        <v>0</v>
      </c>
      <c r="L341" s="116">
        <v>0</v>
      </c>
      <c r="M341" s="114">
        <v>0</v>
      </c>
      <c r="N341" s="113">
        <v>0</v>
      </c>
      <c r="O341" s="113">
        <v>0</v>
      </c>
      <c r="P341" s="146">
        <v>0</v>
      </c>
      <c r="Q341" s="116">
        <v>0</v>
      </c>
      <c r="R341" s="116">
        <v>0</v>
      </c>
      <c r="S341" s="114">
        <v>0</v>
      </c>
      <c r="T341" s="116">
        <v>0</v>
      </c>
      <c r="U341" s="116">
        <v>0</v>
      </c>
      <c r="V341" s="121">
        <f t="shared" si="32"/>
        <v>0</v>
      </c>
      <c r="W341" s="111"/>
      <c r="X341" s="111"/>
      <c r="Y341" s="111"/>
      <c r="Z341" s="111"/>
      <c r="AA341" s="111"/>
      <c r="AB341" s="111"/>
      <c r="AC341" s="111"/>
      <c r="AD341" s="111"/>
      <c r="AE341" s="139">
        <f t="shared" si="31"/>
        <v>0</v>
      </c>
      <c r="AF341" s="109"/>
      <c r="AG341" s="109"/>
    </row>
    <row r="342" spans="1:33">
      <c r="A342" s="117"/>
      <c r="B342" s="118"/>
      <c r="C342" s="118"/>
      <c r="D342" s="118"/>
      <c r="E342" s="119"/>
      <c r="F342" s="118"/>
      <c r="G342" s="110"/>
      <c r="H342" s="143"/>
      <c r="I342" s="114">
        <v>0</v>
      </c>
      <c r="J342" s="115">
        <v>0</v>
      </c>
      <c r="K342" s="116">
        <v>0</v>
      </c>
      <c r="L342" s="116">
        <v>0</v>
      </c>
      <c r="M342" s="114">
        <v>0</v>
      </c>
      <c r="N342" s="113">
        <v>0</v>
      </c>
      <c r="O342" s="113">
        <v>0</v>
      </c>
      <c r="P342" s="146">
        <v>0</v>
      </c>
      <c r="Q342" s="116">
        <v>0</v>
      </c>
      <c r="R342" s="116">
        <v>0</v>
      </c>
      <c r="S342" s="114">
        <v>0</v>
      </c>
      <c r="T342" s="116">
        <v>0</v>
      </c>
      <c r="U342" s="116">
        <v>0</v>
      </c>
      <c r="V342" s="121">
        <f t="shared" si="32"/>
        <v>0</v>
      </c>
      <c r="W342" s="111"/>
      <c r="X342" s="111"/>
      <c r="Y342" s="111"/>
      <c r="Z342" s="111"/>
      <c r="AA342" s="111"/>
      <c r="AB342" s="111"/>
      <c r="AC342" s="111"/>
      <c r="AD342" s="111"/>
      <c r="AE342" s="139">
        <f t="shared" si="31"/>
        <v>0</v>
      </c>
      <c r="AF342" s="109"/>
      <c r="AG342" s="109"/>
    </row>
    <row r="343" spans="1:33">
      <c r="A343" s="117"/>
      <c r="B343" s="118"/>
      <c r="C343" s="118"/>
      <c r="D343" s="118"/>
      <c r="E343" s="119"/>
      <c r="F343" s="118"/>
      <c r="G343" s="110"/>
      <c r="H343" s="143"/>
      <c r="I343" s="114">
        <v>0</v>
      </c>
      <c r="J343" s="115">
        <v>0</v>
      </c>
      <c r="K343" s="116">
        <v>0</v>
      </c>
      <c r="L343" s="116">
        <v>0</v>
      </c>
      <c r="M343" s="114">
        <v>0</v>
      </c>
      <c r="N343" s="113">
        <v>0</v>
      </c>
      <c r="O343" s="113">
        <v>0</v>
      </c>
      <c r="P343" s="146">
        <v>0</v>
      </c>
      <c r="Q343" s="116">
        <v>0</v>
      </c>
      <c r="R343" s="116">
        <v>0</v>
      </c>
      <c r="S343" s="114">
        <v>0</v>
      </c>
      <c r="T343" s="116">
        <v>0</v>
      </c>
      <c r="U343" s="116">
        <v>0</v>
      </c>
      <c r="V343" s="121">
        <f t="shared" si="32"/>
        <v>0</v>
      </c>
      <c r="W343" s="111"/>
      <c r="X343" s="111"/>
      <c r="Y343" s="111"/>
      <c r="Z343" s="111"/>
      <c r="AA343" s="111"/>
      <c r="AB343" s="111"/>
      <c r="AC343" s="111"/>
      <c r="AD343" s="111"/>
      <c r="AE343" s="139">
        <f t="shared" si="31"/>
        <v>0</v>
      </c>
      <c r="AF343" s="109"/>
      <c r="AG343" s="109"/>
    </row>
    <row r="344" spans="1:33">
      <c r="A344" s="117"/>
      <c r="B344" s="118"/>
      <c r="C344" s="118"/>
      <c r="D344" s="118"/>
      <c r="E344" s="119"/>
      <c r="F344" s="118"/>
      <c r="G344" s="110"/>
      <c r="H344" s="143"/>
      <c r="I344" s="114">
        <v>0</v>
      </c>
      <c r="J344" s="115">
        <v>0</v>
      </c>
      <c r="K344" s="116">
        <v>0</v>
      </c>
      <c r="L344" s="116">
        <v>0</v>
      </c>
      <c r="M344" s="114">
        <v>0</v>
      </c>
      <c r="N344" s="113">
        <v>0</v>
      </c>
      <c r="O344" s="113">
        <v>0</v>
      </c>
      <c r="P344" s="146">
        <v>0</v>
      </c>
      <c r="Q344" s="116">
        <v>0</v>
      </c>
      <c r="R344" s="116">
        <v>0</v>
      </c>
      <c r="S344" s="114">
        <v>0</v>
      </c>
      <c r="T344" s="116">
        <v>0</v>
      </c>
      <c r="U344" s="116">
        <v>0</v>
      </c>
      <c r="V344" s="121">
        <f t="shared" si="32"/>
        <v>0</v>
      </c>
      <c r="W344" s="111"/>
      <c r="X344" s="111"/>
      <c r="Y344" s="111"/>
      <c r="Z344" s="111"/>
      <c r="AA344" s="111"/>
      <c r="AB344" s="111"/>
      <c r="AC344" s="111"/>
      <c r="AD344" s="111"/>
      <c r="AE344" s="139">
        <f t="shared" si="31"/>
        <v>0</v>
      </c>
      <c r="AF344" s="109"/>
      <c r="AG344" s="109"/>
    </row>
    <row r="345" spans="1:33">
      <c r="A345" s="117"/>
      <c r="B345" s="118"/>
      <c r="C345" s="118"/>
      <c r="D345" s="118"/>
      <c r="E345" s="119"/>
      <c r="F345" s="118"/>
      <c r="G345" s="110"/>
      <c r="H345" s="143"/>
      <c r="I345" s="114">
        <v>0</v>
      </c>
      <c r="J345" s="115">
        <v>0</v>
      </c>
      <c r="K345" s="116">
        <v>0</v>
      </c>
      <c r="L345" s="116">
        <v>0</v>
      </c>
      <c r="M345" s="114">
        <v>0</v>
      </c>
      <c r="N345" s="113">
        <v>0</v>
      </c>
      <c r="O345" s="113">
        <v>0</v>
      </c>
      <c r="P345" s="146">
        <v>0</v>
      </c>
      <c r="Q345" s="116">
        <v>0</v>
      </c>
      <c r="R345" s="116">
        <v>0</v>
      </c>
      <c r="S345" s="114">
        <v>0</v>
      </c>
      <c r="T345" s="116">
        <v>0</v>
      </c>
      <c r="U345" s="116">
        <v>0</v>
      </c>
      <c r="V345" s="121">
        <f t="shared" si="32"/>
        <v>0</v>
      </c>
      <c r="W345" s="111"/>
      <c r="X345" s="111"/>
      <c r="Y345" s="111"/>
      <c r="Z345" s="111"/>
      <c r="AA345" s="111"/>
      <c r="AB345" s="111"/>
      <c r="AC345" s="111"/>
      <c r="AD345" s="111"/>
      <c r="AE345" s="139">
        <f t="shared" si="31"/>
        <v>0</v>
      </c>
      <c r="AF345" s="109"/>
      <c r="AG345" s="109"/>
    </row>
    <row r="346" spans="1:33">
      <c r="A346" s="117"/>
      <c r="B346" s="118"/>
      <c r="C346" s="118"/>
      <c r="D346" s="118"/>
      <c r="E346" s="119"/>
      <c r="F346" s="118"/>
      <c r="G346" s="110"/>
      <c r="H346" s="143"/>
      <c r="I346" s="114">
        <v>0</v>
      </c>
      <c r="J346" s="115">
        <v>0</v>
      </c>
      <c r="K346" s="116">
        <v>0</v>
      </c>
      <c r="L346" s="116">
        <v>0</v>
      </c>
      <c r="M346" s="114">
        <v>0</v>
      </c>
      <c r="N346" s="113">
        <v>0</v>
      </c>
      <c r="O346" s="113">
        <v>0</v>
      </c>
      <c r="P346" s="146">
        <v>0</v>
      </c>
      <c r="Q346" s="116">
        <v>0</v>
      </c>
      <c r="R346" s="116">
        <v>0</v>
      </c>
      <c r="S346" s="114">
        <v>0</v>
      </c>
      <c r="T346" s="116">
        <v>0</v>
      </c>
      <c r="U346" s="116">
        <v>0</v>
      </c>
      <c r="V346" s="121">
        <f t="shared" si="32"/>
        <v>0</v>
      </c>
      <c r="W346" s="111"/>
      <c r="X346" s="111"/>
      <c r="Y346" s="111"/>
      <c r="Z346" s="111"/>
      <c r="AA346" s="111"/>
      <c r="AB346" s="111"/>
      <c r="AC346" s="111"/>
      <c r="AD346" s="111"/>
      <c r="AE346" s="139">
        <f t="shared" si="31"/>
        <v>0</v>
      </c>
      <c r="AF346" s="109"/>
      <c r="AG346" s="109"/>
    </row>
    <row r="347" spans="1:33">
      <c r="A347" s="117"/>
      <c r="B347" s="118"/>
      <c r="C347" s="118"/>
      <c r="D347" s="118"/>
      <c r="E347" s="119"/>
      <c r="F347" s="118"/>
      <c r="G347" s="110"/>
      <c r="H347" s="143"/>
      <c r="I347" s="114">
        <v>0</v>
      </c>
      <c r="J347" s="115">
        <v>0</v>
      </c>
      <c r="K347" s="116">
        <v>0</v>
      </c>
      <c r="L347" s="116">
        <v>0</v>
      </c>
      <c r="M347" s="114">
        <v>0</v>
      </c>
      <c r="N347" s="113">
        <v>0</v>
      </c>
      <c r="O347" s="113">
        <v>0</v>
      </c>
      <c r="P347" s="146">
        <v>0</v>
      </c>
      <c r="Q347" s="116">
        <v>0</v>
      </c>
      <c r="R347" s="116">
        <v>0</v>
      </c>
      <c r="S347" s="114">
        <v>0</v>
      </c>
      <c r="T347" s="116">
        <v>0</v>
      </c>
      <c r="U347" s="116">
        <v>0</v>
      </c>
      <c r="V347" s="121">
        <f t="shared" si="32"/>
        <v>0</v>
      </c>
      <c r="W347" s="111"/>
      <c r="X347" s="111"/>
      <c r="Y347" s="111"/>
      <c r="Z347" s="111"/>
      <c r="AA347" s="111"/>
      <c r="AB347" s="111"/>
      <c r="AC347" s="111"/>
      <c r="AD347" s="111"/>
      <c r="AE347" s="139">
        <f t="shared" si="31"/>
        <v>0</v>
      </c>
      <c r="AF347" s="109"/>
      <c r="AG347" s="109"/>
    </row>
    <row r="348" spans="1:33">
      <c r="A348" s="117"/>
      <c r="B348" s="118"/>
      <c r="C348" s="118"/>
      <c r="D348" s="118"/>
      <c r="E348" s="119"/>
      <c r="F348" s="118"/>
      <c r="G348" s="110"/>
      <c r="H348" s="143"/>
      <c r="I348" s="114">
        <v>0</v>
      </c>
      <c r="J348" s="115">
        <v>0</v>
      </c>
      <c r="K348" s="116">
        <v>0</v>
      </c>
      <c r="L348" s="116">
        <v>0</v>
      </c>
      <c r="M348" s="114">
        <v>0</v>
      </c>
      <c r="N348" s="113">
        <v>0</v>
      </c>
      <c r="O348" s="113">
        <v>0</v>
      </c>
      <c r="P348" s="146">
        <v>0</v>
      </c>
      <c r="Q348" s="116">
        <v>0</v>
      </c>
      <c r="R348" s="116">
        <v>0</v>
      </c>
      <c r="S348" s="114">
        <v>0</v>
      </c>
      <c r="T348" s="116">
        <v>0</v>
      </c>
      <c r="U348" s="116">
        <v>0</v>
      </c>
      <c r="V348" s="121">
        <f t="shared" si="32"/>
        <v>0</v>
      </c>
      <c r="W348" s="111"/>
      <c r="X348" s="111"/>
      <c r="Y348" s="111"/>
      <c r="Z348" s="111"/>
      <c r="AA348" s="111"/>
      <c r="AB348" s="111"/>
      <c r="AC348" s="111"/>
      <c r="AD348" s="111"/>
      <c r="AE348" s="139">
        <f t="shared" si="31"/>
        <v>0</v>
      </c>
      <c r="AF348" s="109"/>
      <c r="AG348" s="109"/>
    </row>
    <row r="349" spans="1:33">
      <c r="A349" s="117"/>
      <c r="B349" s="118"/>
      <c r="C349" s="118"/>
      <c r="D349" s="118"/>
      <c r="E349" s="119"/>
      <c r="F349" s="118"/>
      <c r="G349" s="110"/>
      <c r="H349" s="143"/>
      <c r="I349" s="114">
        <v>0</v>
      </c>
      <c r="J349" s="115">
        <v>0</v>
      </c>
      <c r="K349" s="116">
        <v>0</v>
      </c>
      <c r="L349" s="116">
        <v>0</v>
      </c>
      <c r="M349" s="114">
        <v>0</v>
      </c>
      <c r="N349" s="113">
        <v>0</v>
      </c>
      <c r="O349" s="113">
        <v>0</v>
      </c>
      <c r="P349" s="146">
        <v>0</v>
      </c>
      <c r="Q349" s="116">
        <v>0</v>
      </c>
      <c r="R349" s="116">
        <v>0</v>
      </c>
      <c r="S349" s="114">
        <v>0</v>
      </c>
      <c r="T349" s="116">
        <v>0</v>
      </c>
      <c r="U349" s="116">
        <v>0</v>
      </c>
      <c r="V349" s="121">
        <f t="shared" si="32"/>
        <v>0</v>
      </c>
      <c r="W349" s="111"/>
      <c r="X349" s="111"/>
      <c r="Y349" s="111"/>
      <c r="Z349" s="111"/>
      <c r="AA349" s="111"/>
      <c r="AB349" s="111"/>
      <c r="AC349" s="111"/>
      <c r="AD349" s="111"/>
      <c r="AE349" s="139">
        <f t="shared" si="31"/>
        <v>0</v>
      </c>
      <c r="AF349" s="109"/>
      <c r="AG349" s="109"/>
    </row>
    <row r="350" spans="1:33">
      <c r="A350" s="117"/>
      <c r="B350" s="118"/>
      <c r="C350" s="118"/>
      <c r="D350" s="118"/>
      <c r="E350" s="119"/>
      <c r="F350" s="118"/>
      <c r="G350" s="110"/>
      <c r="H350" s="143"/>
      <c r="I350" s="114">
        <v>0</v>
      </c>
      <c r="J350" s="115">
        <v>0</v>
      </c>
      <c r="K350" s="116">
        <v>0</v>
      </c>
      <c r="L350" s="116">
        <v>0</v>
      </c>
      <c r="M350" s="114">
        <v>0</v>
      </c>
      <c r="N350" s="113">
        <v>0</v>
      </c>
      <c r="O350" s="113">
        <v>0</v>
      </c>
      <c r="P350" s="146">
        <v>0</v>
      </c>
      <c r="Q350" s="116">
        <v>0</v>
      </c>
      <c r="R350" s="116">
        <v>0</v>
      </c>
      <c r="S350" s="114">
        <v>0</v>
      </c>
      <c r="T350" s="116">
        <v>0</v>
      </c>
      <c r="U350" s="116">
        <v>0</v>
      </c>
      <c r="V350" s="121">
        <f t="shared" si="32"/>
        <v>0</v>
      </c>
      <c r="W350" s="111"/>
      <c r="X350" s="111"/>
      <c r="Y350" s="111"/>
      <c r="Z350" s="111"/>
      <c r="AA350" s="111"/>
      <c r="AB350" s="111"/>
      <c r="AC350" s="111"/>
      <c r="AD350" s="111"/>
      <c r="AE350" s="139">
        <f t="shared" si="31"/>
        <v>0</v>
      </c>
      <c r="AF350" s="109"/>
      <c r="AG350" s="109"/>
    </row>
    <row r="351" spans="1:33">
      <c r="A351" s="117"/>
      <c r="B351" s="118"/>
      <c r="C351" s="118"/>
      <c r="D351" s="118"/>
      <c r="E351" s="119"/>
      <c r="F351" s="118"/>
      <c r="G351" s="110"/>
      <c r="H351" s="143"/>
      <c r="I351" s="114">
        <v>0</v>
      </c>
      <c r="J351" s="115">
        <v>0</v>
      </c>
      <c r="K351" s="116">
        <v>0</v>
      </c>
      <c r="L351" s="116">
        <v>0</v>
      </c>
      <c r="M351" s="114">
        <v>0</v>
      </c>
      <c r="N351" s="113">
        <v>0</v>
      </c>
      <c r="O351" s="113">
        <v>0</v>
      </c>
      <c r="P351" s="146">
        <v>0</v>
      </c>
      <c r="Q351" s="116">
        <v>0</v>
      </c>
      <c r="R351" s="116">
        <v>0</v>
      </c>
      <c r="S351" s="114">
        <v>0</v>
      </c>
      <c r="T351" s="116">
        <v>0</v>
      </c>
      <c r="U351" s="116">
        <v>0</v>
      </c>
      <c r="V351" s="121">
        <f t="shared" si="32"/>
        <v>0</v>
      </c>
      <c r="W351" s="111"/>
      <c r="X351" s="111"/>
      <c r="Y351" s="111"/>
      <c r="Z351" s="111"/>
      <c r="AA351" s="111"/>
      <c r="AB351" s="111"/>
      <c r="AC351" s="111"/>
      <c r="AD351" s="111"/>
      <c r="AE351" s="139">
        <f t="shared" si="31"/>
        <v>0</v>
      </c>
      <c r="AF351" s="109"/>
      <c r="AG351" s="109"/>
    </row>
    <row r="352" spans="1:33">
      <c r="A352" s="117"/>
      <c r="B352" s="118"/>
      <c r="C352" s="118"/>
      <c r="D352" s="118"/>
      <c r="E352" s="119"/>
      <c r="F352" s="118"/>
      <c r="G352" s="110"/>
      <c r="H352" s="143"/>
      <c r="I352" s="114">
        <v>0</v>
      </c>
      <c r="J352" s="115">
        <v>0</v>
      </c>
      <c r="K352" s="116">
        <v>0</v>
      </c>
      <c r="L352" s="116">
        <v>0</v>
      </c>
      <c r="M352" s="114">
        <v>0</v>
      </c>
      <c r="N352" s="113">
        <v>0</v>
      </c>
      <c r="O352" s="113">
        <v>0</v>
      </c>
      <c r="P352" s="146">
        <v>0</v>
      </c>
      <c r="Q352" s="116">
        <v>0</v>
      </c>
      <c r="R352" s="116">
        <v>0</v>
      </c>
      <c r="S352" s="114">
        <v>0</v>
      </c>
      <c r="T352" s="116">
        <v>0</v>
      </c>
      <c r="U352" s="116">
        <v>0</v>
      </c>
      <c r="V352" s="121">
        <f t="shared" si="32"/>
        <v>0</v>
      </c>
      <c r="W352" s="111"/>
      <c r="X352" s="111"/>
      <c r="Y352" s="111"/>
      <c r="Z352" s="111"/>
      <c r="AA352" s="111"/>
      <c r="AB352" s="111"/>
      <c r="AC352" s="111"/>
      <c r="AD352" s="111"/>
      <c r="AE352" s="139">
        <f t="shared" si="31"/>
        <v>0</v>
      </c>
      <c r="AF352" s="109"/>
      <c r="AG352" s="109"/>
    </row>
    <row r="353" spans="1:33">
      <c r="A353" s="117"/>
      <c r="B353" s="118"/>
      <c r="C353" s="118"/>
      <c r="D353" s="118"/>
      <c r="E353" s="119"/>
      <c r="F353" s="118"/>
      <c r="G353" s="110"/>
      <c r="H353" s="143"/>
      <c r="I353" s="114">
        <v>0</v>
      </c>
      <c r="J353" s="115">
        <v>0</v>
      </c>
      <c r="K353" s="116">
        <v>0</v>
      </c>
      <c r="L353" s="116">
        <v>0</v>
      </c>
      <c r="M353" s="114">
        <v>0</v>
      </c>
      <c r="N353" s="113">
        <v>0</v>
      </c>
      <c r="O353" s="113">
        <v>0</v>
      </c>
      <c r="P353" s="116">
        <v>0</v>
      </c>
      <c r="Q353" s="116">
        <v>0</v>
      </c>
      <c r="R353" s="116">
        <v>0</v>
      </c>
      <c r="S353" s="114">
        <v>0</v>
      </c>
      <c r="T353" s="116">
        <v>0</v>
      </c>
      <c r="U353" s="116">
        <v>0</v>
      </c>
      <c r="V353" s="121">
        <f t="shared" si="32"/>
        <v>0</v>
      </c>
      <c r="W353" s="111"/>
      <c r="X353" s="111"/>
      <c r="Y353" s="111"/>
      <c r="Z353" s="111"/>
      <c r="AA353" s="111"/>
      <c r="AB353" s="111"/>
      <c r="AC353" s="111"/>
      <c r="AD353" s="111"/>
      <c r="AE353" s="139">
        <f t="shared" si="31"/>
        <v>0</v>
      </c>
      <c r="AF353" s="109"/>
      <c r="AG353" s="109"/>
    </row>
    <row r="354" spans="1:33">
      <c r="A354" s="117"/>
      <c r="B354" s="118"/>
      <c r="C354" s="118"/>
      <c r="D354" s="118"/>
      <c r="E354" s="119"/>
      <c r="F354" s="118"/>
      <c r="G354" s="110"/>
      <c r="H354" s="143"/>
      <c r="I354" s="114">
        <v>0</v>
      </c>
      <c r="J354" s="115">
        <v>0</v>
      </c>
      <c r="K354" s="116">
        <v>0</v>
      </c>
      <c r="L354" s="116">
        <v>0</v>
      </c>
      <c r="M354" s="114">
        <v>0</v>
      </c>
      <c r="N354" s="113">
        <v>0</v>
      </c>
      <c r="O354" s="113">
        <v>0</v>
      </c>
      <c r="P354" s="116">
        <v>0</v>
      </c>
      <c r="Q354" s="116">
        <v>0</v>
      </c>
      <c r="R354" s="116">
        <v>0</v>
      </c>
      <c r="S354" s="114">
        <v>0</v>
      </c>
      <c r="T354" s="116">
        <v>0</v>
      </c>
      <c r="U354" s="116">
        <v>0</v>
      </c>
      <c r="V354" s="121">
        <f t="shared" si="32"/>
        <v>0</v>
      </c>
      <c r="W354" s="111"/>
      <c r="X354" s="111"/>
      <c r="Y354" s="111"/>
      <c r="Z354" s="111"/>
      <c r="AA354" s="111"/>
      <c r="AB354" s="111"/>
      <c r="AC354" s="111"/>
      <c r="AD354" s="111"/>
      <c r="AE354" s="139">
        <f t="shared" si="31"/>
        <v>0</v>
      </c>
      <c r="AF354" s="109"/>
      <c r="AG354" s="109"/>
    </row>
    <row r="355" spans="1:33">
      <c r="A355" s="117"/>
      <c r="B355" s="118"/>
      <c r="C355" s="118"/>
      <c r="D355" s="118"/>
      <c r="E355" s="119"/>
      <c r="F355" s="118"/>
      <c r="G355" s="110"/>
      <c r="H355" s="143"/>
      <c r="I355" s="114">
        <v>0</v>
      </c>
      <c r="J355" s="115">
        <v>0</v>
      </c>
      <c r="K355" s="116">
        <v>0</v>
      </c>
      <c r="L355" s="116">
        <v>0</v>
      </c>
      <c r="M355" s="114">
        <v>0</v>
      </c>
      <c r="N355" s="113">
        <v>0</v>
      </c>
      <c r="O355" s="113">
        <v>0</v>
      </c>
      <c r="P355" s="116">
        <v>0</v>
      </c>
      <c r="Q355" s="116">
        <v>0</v>
      </c>
      <c r="R355" s="116">
        <v>0</v>
      </c>
      <c r="S355" s="114">
        <v>0</v>
      </c>
      <c r="T355" s="116">
        <v>0</v>
      </c>
      <c r="U355" s="116">
        <v>0</v>
      </c>
      <c r="V355" s="121">
        <f t="shared" si="32"/>
        <v>0</v>
      </c>
      <c r="W355" s="111"/>
      <c r="X355" s="111"/>
      <c r="Y355" s="111"/>
      <c r="Z355" s="111"/>
      <c r="AA355" s="111"/>
      <c r="AB355" s="111"/>
      <c r="AC355" s="111"/>
      <c r="AD355" s="111"/>
      <c r="AE355" s="139">
        <f t="shared" si="31"/>
        <v>0</v>
      </c>
      <c r="AF355" s="109"/>
      <c r="AG355" s="109"/>
    </row>
    <row r="356" spans="1:33">
      <c r="A356" s="117"/>
      <c r="B356" s="118"/>
      <c r="C356" s="118"/>
      <c r="D356" s="118"/>
      <c r="E356" s="119"/>
      <c r="F356" s="118"/>
      <c r="G356" s="110"/>
      <c r="H356" s="143"/>
      <c r="I356" s="114">
        <v>0</v>
      </c>
      <c r="J356" s="115">
        <v>0</v>
      </c>
      <c r="K356" s="116">
        <v>0</v>
      </c>
      <c r="L356" s="116">
        <v>0</v>
      </c>
      <c r="M356" s="114">
        <v>0</v>
      </c>
      <c r="N356" s="113">
        <v>0</v>
      </c>
      <c r="O356" s="113">
        <v>0</v>
      </c>
      <c r="P356" s="116">
        <v>0</v>
      </c>
      <c r="Q356" s="116">
        <v>0</v>
      </c>
      <c r="R356" s="116">
        <v>0</v>
      </c>
      <c r="S356" s="114">
        <v>0</v>
      </c>
      <c r="T356" s="116">
        <v>0</v>
      </c>
      <c r="U356" s="116">
        <v>0</v>
      </c>
      <c r="V356" s="121">
        <f t="shared" si="32"/>
        <v>0</v>
      </c>
      <c r="W356" s="111"/>
      <c r="X356" s="111"/>
      <c r="Y356" s="111"/>
      <c r="Z356" s="111"/>
      <c r="AA356" s="111"/>
      <c r="AB356" s="111"/>
      <c r="AC356" s="111"/>
      <c r="AD356" s="111"/>
      <c r="AE356" s="139">
        <f t="shared" si="31"/>
        <v>0</v>
      </c>
      <c r="AF356" s="109"/>
      <c r="AG356" s="109"/>
    </row>
    <row r="357" spans="1:33">
      <c r="A357" s="117"/>
      <c r="B357" s="118"/>
      <c r="C357" s="118"/>
      <c r="D357" s="118"/>
      <c r="E357" s="119"/>
      <c r="F357" s="118"/>
      <c r="G357" s="110"/>
      <c r="H357" s="143"/>
      <c r="I357" s="114">
        <v>0</v>
      </c>
      <c r="J357" s="115">
        <v>0</v>
      </c>
      <c r="K357" s="116">
        <v>0</v>
      </c>
      <c r="L357" s="116">
        <v>0</v>
      </c>
      <c r="M357" s="114">
        <v>0</v>
      </c>
      <c r="N357" s="113">
        <v>0</v>
      </c>
      <c r="O357" s="113">
        <v>0</v>
      </c>
      <c r="P357" s="116">
        <v>0</v>
      </c>
      <c r="Q357" s="116">
        <v>0</v>
      </c>
      <c r="R357" s="116">
        <v>0</v>
      </c>
      <c r="S357" s="114">
        <v>0</v>
      </c>
      <c r="T357" s="116">
        <v>0</v>
      </c>
      <c r="U357" s="116">
        <v>0</v>
      </c>
      <c r="V357" s="121">
        <f t="shared" si="32"/>
        <v>0</v>
      </c>
      <c r="W357" s="111"/>
      <c r="X357" s="111"/>
      <c r="Y357" s="111"/>
      <c r="Z357" s="111"/>
      <c r="AA357" s="111"/>
      <c r="AB357" s="111"/>
      <c r="AC357" s="111"/>
      <c r="AD357" s="111"/>
      <c r="AE357" s="139">
        <f t="shared" si="31"/>
        <v>0</v>
      </c>
      <c r="AF357" s="109"/>
      <c r="AG357" s="109"/>
    </row>
    <row r="358" spans="1:33">
      <c r="A358" s="117"/>
      <c r="B358" s="118"/>
      <c r="C358" s="118"/>
      <c r="D358" s="118"/>
      <c r="E358" s="119"/>
      <c r="F358" s="118"/>
      <c r="G358" s="110"/>
      <c r="H358" s="143"/>
      <c r="I358" s="114">
        <v>0</v>
      </c>
      <c r="J358" s="115">
        <v>0</v>
      </c>
      <c r="K358" s="116">
        <v>0</v>
      </c>
      <c r="L358" s="116">
        <v>0</v>
      </c>
      <c r="M358" s="114">
        <v>0</v>
      </c>
      <c r="N358" s="113">
        <v>0</v>
      </c>
      <c r="O358" s="113">
        <v>0</v>
      </c>
      <c r="P358" s="116">
        <v>0</v>
      </c>
      <c r="Q358" s="116">
        <v>0</v>
      </c>
      <c r="R358" s="116">
        <v>0</v>
      </c>
      <c r="S358" s="114">
        <v>0</v>
      </c>
      <c r="T358" s="116">
        <v>0</v>
      </c>
      <c r="U358" s="116">
        <v>0</v>
      </c>
      <c r="V358" s="121">
        <f t="shared" si="32"/>
        <v>0</v>
      </c>
      <c r="W358" s="111"/>
      <c r="X358" s="111"/>
      <c r="Y358" s="111"/>
      <c r="Z358" s="111"/>
      <c r="AA358" s="111"/>
      <c r="AB358" s="111"/>
      <c r="AC358" s="111"/>
      <c r="AD358" s="111"/>
      <c r="AE358" s="139">
        <f t="shared" si="31"/>
        <v>0</v>
      </c>
      <c r="AF358" s="109"/>
      <c r="AG358" s="109"/>
    </row>
    <row r="359" spans="1:33">
      <c r="A359" s="117"/>
      <c r="B359" s="118"/>
      <c r="C359" s="118"/>
      <c r="D359" s="118"/>
      <c r="E359" s="119"/>
      <c r="F359" s="118"/>
      <c r="G359" s="110"/>
      <c r="H359" s="143"/>
      <c r="I359" s="114">
        <v>0</v>
      </c>
      <c r="J359" s="115">
        <v>0</v>
      </c>
      <c r="K359" s="116">
        <v>0</v>
      </c>
      <c r="L359" s="116">
        <v>0</v>
      </c>
      <c r="M359" s="114">
        <v>0</v>
      </c>
      <c r="N359" s="113">
        <v>0</v>
      </c>
      <c r="O359" s="113">
        <v>0</v>
      </c>
      <c r="P359" s="116">
        <v>0</v>
      </c>
      <c r="Q359" s="116">
        <v>0</v>
      </c>
      <c r="R359" s="116">
        <v>0</v>
      </c>
      <c r="S359" s="114">
        <v>0</v>
      </c>
      <c r="T359" s="116">
        <v>0</v>
      </c>
      <c r="U359" s="116">
        <v>0</v>
      </c>
      <c r="V359" s="121">
        <f t="shared" si="32"/>
        <v>0</v>
      </c>
      <c r="W359" s="111"/>
      <c r="X359" s="111"/>
      <c r="Y359" s="111"/>
      <c r="Z359" s="111"/>
      <c r="AA359" s="111"/>
      <c r="AB359" s="111"/>
      <c r="AC359" s="111"/>
      <c r="AD359" s="111"/>
      <c r="AE359" s="139">
        <f t="shared" si="31"/>
        <v>0</v>
      </c>
      <c r="AF359" s="109"/>
      <c r="AG359" s="109"/>
    </row>
    <row r="360" spans="1:33">
      <c r="A360" s="117"/>
      <c r="B360" s="118"/>
      <c r="C360" s="118"/>
      <c r="D360" s="118"/>
      <c r="E360" s="119"/>
      <c r="F360" s="118"/>
      <c r="G360" s="110"/>
      <c r="H360" s="143"/>
      <c r="I360" s="114">
        <v>0</v>
      </c>
      <c r="J360" s="115">
        <v>0</v>
      </c>
      <c r="K360" s="116">
        <v>0</v>
      </c>
      <c r="L360" s="116">
        <v>0</v>
      </c>
      <c r="M360" s="114">
        <v>0</v>
      </c>
      <c r="N360" s="113">
        <v>0</v>
      </c>
      <c r="O360" s="113">
        <v>0</v>
      </c>
      <c r="P360" s="116">
        <v>0</v>
      </c>
      <c r="Q360" s="116">
        <v>0</v>
      </c>
      <c r="R360" s="116">
        <v>0</v>
      </c>
      <c r="S360" s="114">
        <v>0</v>
      </c>
      <c r="T360" s="116">
        <v>0</v>
      </c>
      <c r="U360" s="116">
        <v>0</v>
      </c>
      <c r="V360" s="121">
        <f t="shared" si="32"/>
        <v>0</v>
      </c>
      <c r="W360" s="111"/>
      <c r="X360" s="111"/>
      <c r="Y360" s="111"/>
      <c r="Z360" s="111"/>
      <c r="AA360" s="111"/>
      <c r="AB360" s="111"/>
      <c r="AC360" s="111"/>
      <c r="AD360" s="111"/>
      <c r="AE360" s="139">
        <f t="shared" si="31"/>
        <v>0</v>
      </c>
      <c r="AF360" s="109"/>
      <c r="AG360" s="109"/>
    </row>
    <row r="361" spans="1:33">
      <c r="A361" s="117"/>
      <c r="B361" s="118"/>
      <c r="C361" s="118"/>
      <c r="D361" s="118"/>
      <c r="E361" s="119"/>
      <c r="F361" s="118"/>
      <c r="G361" s="110"/>
      <c r="H361" s="143"/>
      <c r="I361" s="114">
        <v>0</v>
      </c>
      <c r="J361" s="115">
        <v>0</v>
      </c>
      <c r="K361" s="116">
        <v>0</v>
      </c>
      <c r="L361" s="116">
        <v>0</v>
      </c>
      <c r="M361" s="114">
        <v>0</v>
      </c>
      <c r="N361" s="113">
        <v>0</v>
      </c>
      <c r="O361" s="113">
        <v>0</v>
      </c>
      <c r="P361" s="116">
        <v>0</v>
      </c>
      <c r="Q361" s="116">
        <v>0</v>
      </c>
      <c r="R361" s="116">
        <v>0</v>
      </c>
      <c r="S361" s="114">
        <v>0</v>
      </c>
      <c r="T361" s="116">
        <v>0</v>
      </c>
      <c r="U361" s="116">
        <v>0</v>
      </c>
      <c r="V361" s="121">
        <f t="shared" si="32"/>
        <v>0</v>
      </c>
      <c r="W361" s="111"/>
      <c r="X361" s="111"/>
      <c r="Y361" s="111"/>
      <c r="Z361" s="111"/>
      <c r="AA361" s="111"/>
      <c r="AB361" s="111"/>
      <c r="AC361" s="111"/>
      <c r="AD361" s="111"/>
      <c r="AE361" s="139">
        <f t="shared" ref="AE361:AE424" si="33">V361-(X361+Y361)</f>
        <v>0</v>
      </c>
      <c r="AF361" s="109"/>
      <c r="AG361" s="109"/>
    </row>
    <row r="362" spans="1:33">
      <c r="A362" s="117"/>
      <c r="B362" s="118"/>
      <c r="C362" s="118"/>
      <c r="D362" s="118"/>
      <c r="E362" s="119"/>
      <c r="F362" s="118"/>
      <c r="G362" s="110"/>
      <c r="H362" s="143"/>
      <c r="I362" s="114">
        <v>0</v>
      </c>
      <c r="J362" s="115">
        <v>0</v>
      </c>
      <c r="K362" s="116">
        <v>0</v>
      </c>
      <c r="L362" s="116">
        <v>0</v>
      </c>
      <c r="M362" s="114">
        <v>0</v>
      </c>
      <c r="N362" s="113">
        <v>0</v>
      </c>
      <c r="O362" s="113">
        <v>0</v>
      </c>
      <c r="P362" s="116">
        <v>0</v>
      </c>
      <c r="Q362" s="116">
        <v>0</v>
      </c>
      <c r="R362" s="116">
        <v>0</v>
      </c>
      <c r="S362" s="114">
        <v>0</v>
      </c>
      <c r="T362" s="116">
        <v>0</v>
      </c>
      <c r="U362" s="116">
        <v>0</v>
      </c>
      <c r="V362" s="121">
        <f t="shared" si="32"/>
        <v>0</v>
      </c>
      <c r="W362" s="111"/>
      <c r="X362" s="111"/>
      <c r="Y362" s="111"/>
      <c r="Z362" s="111"/>
      <c r="AA362" s="111"/>
      <c r="AB362" s="111"/>
      <c r="AC362" s="111"/>
      <c r="AD362" s="111"/>
      <c r="AE362" s="139">
        <f t="shared" si="33"/>
        <v>0</v>
      </c>
      <c r="AF362" s="109"/>
      <c r="AG362" s="109"/>
    </row>
    <row r="363" spans="1:33">
      <c r="A363" s="117"/>
      <c r="B363" s="118"/>
      <c r="C363" s="118"/>
      <c r="D363" s="118"/>
      <c r="E363" s="119"/>
      <c r="F363" s="118"/>
      <c r="G363" s="110"/>
      <c r="H363" s="143"/>
      <c r="I363" s="114">
        <v>0</v>
      </c>
      <c r="J363" s="115">
        <v>0</v>
      </c>
      <c r="K363" s="116">
        <v>0</v>
      </c>
      <c r="L363" s="116">
        <v>0</v>
      </c>
      <c r="M363" s="114">
        <v>0</v>
      </c>
      <c r="N363" s="113">
        <v>0</v>
      </c>
      <c r="O363" s="113">
        <v>0</v>
      </c>
      <c r="P363" s="116">
        <v>0</v>
      </c>
      <c r="Q363" s="116">
        <v>0</v>
      </c>
      <c r="R363" s="116">
        <v>0</v>
      </c>
      <c r="S363" s="114">
        <v>0</v>
      </c>
      <c r="T363" s="116">
        <v>0</v>
      </c>
      <c r="U363" s="116">
        <v>0</v>
      </c>
      <c r="V363" s="121">
        <f t="shared" si="32"/>
        <v>0</v>
      </c>
      <c r="W363" s="111"/>
      <c r="X363" s="111"/>
      <c r="Y363" s="111"/>
      <c r="Z363" s="111"/>
      <c r="AA363" s="111"/>
      <c r="AB363" s="111"/>
      <c r="AC363" s="111"/>
      <c r="AD363" s="111"/>
      <c r="AE363" s="139">
        <f t="shared" si="33"/>
        <v>0</v>
      </c>
      <c r="AF363" s="109"/>
      <c r="AG363" s="109"/>
    </row>
    <row r="364" spans="1:33">
      <c r="A364" s="117"/>
      <c r="B364" s="118"/>
      <c r="C364" s="118"/>
      <c r="D364" s="118"/>
      <c r="E364" s="119"/>
      <c r="F364" s="118"/>
      <c r="G364" s="110"/>
      <c r="H364" s="143"/>
      <c r="I364" s="114">
        <v>0</v>
      </c>
      <c r="J364" s="115">
        <v>0</v>
      </c>
      <c r="K364" s="116">
        <v>0</v>
      </c>
      <c r="L364" s="116">
        <v>0</v>
      </c>
      <c r="M364" s="114">
        <v>0</v>
      </c>
      <c r="N364" s="113">
        <v>0</v>
      </c>
      <c r="O364" s="113">
        <v>0</v>
      </c>
      <c r="P364" s="116">
        <v>0</v>
      </c>
      <c r="Q364" s="116">
        <v>0</v>
      </c>
      <c r="R364" s="116">
        <v>0</v>
      </c>
      <c r="S364" s="114">
        <v>0</v>
      </c>
      <c r="T364" s="116">
        <v>0</v>
      </c>
      <c r="U364" s="116">
        <v>0</v>
      </c>
      <c r="V364" s="121">
        <f t="shared" si="32"/>
        <v>0</v>
      </c>
      <c r="W364" s="111"/>
      <c r="X364" s="111"/>
      <c r="Y364" s="111"/>
      <c r="Z364" s="111"/>
      <c r="AA364" s="111"/>
      <c r="AB364" s="111"/>
      <c r="AC364" s="111"/>
      <c r="AD364" s="111"/>
      <c r="AE364" s="139">
        <f t="shared" si="33"/>
        <v>0</v>
      </c>
      <c r="AF364" s="109"/>
      <c r="AG364" s="109"/>
    </row>
    <row r="365" spans="1:33">
      <c r="A365" s="117"/>
      <c r="B365" s="118"/>
      <c r="C365" s="118"/>
      <c r="D365" s="118"/>
      <c r="E365" s="119"/>
      <c r="F365" s="118"/>
      <c r="G365" s="110"/>
      <c r="H365" s="143"/>
      <c r="I365" s="114">
        <v>0</v>
      </c>
      <c r="J365" s="115">
        <v>0</v>
      </c>
      <c r="K365" s="116">
        <v>0</v>
      </c>
      <c r="L365" s="116">
        <v>0</v>
      </c>
      <c r="M365" s="114">
        <v>0</v>
      </c>
      <c r="N365" s="113">
        <v>0</v>
      </c>
      <c r="O365" s="113">
        <v>0</v>
      </c>
      <c r="P365" s="116">
        <v>0</v>
      </c>
      <c r="Q365" s="116">
        <v>0</v>
      </c>
      <c r="R365" s="116">
        <v>0</v>
      </c>
      <c r="S365" s="114">
        <v>0</v>
      </c>
      <c r="T365" s="116">
        <v>0</v>
      </c>
      <c r="U365" s="116">
        <v>0</v>
      </c>
      <c r="V365" s="121">
        <f t="shared" si="32"/>
        <v>0</v>
      </c>
      <c r="W365" s="111"/>
      <c r="X365" s="111"/>
      <c r="Y365" s="111"/>
      <c r="Z365" s="111"/>
      <c r="AA365" s="111"/>
      <c r="AB365" s="111"/>
      <c r="AC365" s="111"/>
      <c r="AD365" s="111"/>
      <c r="AE365" s="139">
        <f t="shared" si="33"/>
        <v>0</v>
      </c>
      <c r="AF365" s="109"/>
      <c r="AG365" s="109"/>
    </row>
    <row r="366" spans="1:33">
      <c r="A366" s="117"/>
      <c r="B366" s="118"/>
      <c r="C366" s="118"/>
      <c r="D366" s="118"/>
      <c r="E366" s="119"/>
      <c r="F366" s="118"/>
      <c r="G366" s="110"/>
      <c r="H366" s="143"/>
      <c r="I366" s="114">
        <v>0</v>
      </c>
      <c r="J366" s="115">
        <v>0</v>
      </c>
      <c r="K366" s="116">
        <v>0</v>
      </c>
      <c r="L366" s="116">
        <v>0</v>
      </c>
      <c r="M366" s="114">
        <v>0</v>
      </c>
      <c r="N366" s="113">
        <v>0</v>
      </c>
      <c r="O366" s="113">
        <v>0</v>
      </c>
      <c r="P366" s="116">
        <v>0</v>
      </c>
      <c r="Q366" s="116">
        <v>0</v>
      </c>
      <c r="R366" s="116">
        <v>0</v>
      </c>
      <c r="S366" s="114">
        <v>0</v>
      </c>
      <c r="T366" s="116">
        <v>0</v>
      </c>
      <c r="U366" s="116">
        <v>0</v>
      </c>
      <c r="V366" s="121">
        <f t="shared" si="32"/>
        <v>0</v>
      </c>
      <c r="W366" s="111"/>
      <c r="X366" s="111"/>
      <c r="Y366" s="111"/>
      <c r="Z366" s="111"/>
      <c r="AA366" s="111"/>
      <c r="AB366" s="111"/>
      <c r="AC366" s="111"/>
      <c r="AD366" s="111"/>
      <c r="AE366" s="139">
        <f t="shared" si="33"/>
        <v>0</v>
      </c>
      <c r="AF366" s="109"/>
      <c r="AG366" s="109"/>
    </row>
    <row r="367" spans="1:33">
      <c r="A367" s="117"/>
      <c r="B367" s="118"/>
      <c r="C367" s="118"/>
      <c r="D367" s="118"/>
      <c r="E367" s="119"/>
      <c r="F367" s="118"/>
      <c r="G367" s="110"/>
      <c r="H367" s="143"/>
      <c r="I367" s="114">
        <v>0</v>
      </c>
      <c r="J367" s="115">
        <v>0</v>
      </c>
      <c r="K367" s="116">
        <v>0</v>
      </c>
      <c r="L367" s="116">
        <v>0</v>
      </c>
      <c r="M367" s="114">
        <v>0</v>
      </c>
      <c r="N367" s="113">
        <v>0</v>
      </c>
      <c r="O367" s="113">
        <v>0</v>
      </c>
      <c r="P367" s="116">
        <v>0</v>
      </c>
      <c r="Q367" s="116">
        <v>0</v>
      </c>
      <c r="R367" s="116">
        <v>0</v>
      </c>
      <c r="S367" s="114">
        <v>0</v>
      </c>
      <c r="T367" s="116">
        <v>0</v>
      </c>
      <c r="U367" s="116">
        <v>0</v>
      </c>
      <c r="V367" s="121">
        <f t="shared" si="32"/>
        <v>0</v>
      </c>
      <c r="W367" s="111"/>
      <c r="X367" s="111"/>
      <c r="Y367" s="111"/>
      <c r="Z367" s="111"/>
      <c r="AA367" s="111"/>
      <c r="AB367" s="111"/>
      <c r="AC367" s="111"/>
      <c r="AD367" s="111"/>
      <c r="AE367" s="139">
        <f t="shared" si="33"/>
        <v>0</v>
      </c>
      <c r="AF367" s="109"/>
      <c r="AG367" s="109"/>
    </row>
    <row r="368" spans="1:33">
      <c r="A368" s="117"/>
      <c r="B368" s="118"/>
      <c r="C368" s="118"/>
      <c r="D368" s="118"/>
      <c r="E368" s="119"/>
      <c r="F368" s="118"/>
      <c r="G368" s="110"/>
      <c r="H368" s="143"/>
      <c r="I368" s="114">
        <v>0</v>
      </c>
      <c r="J368" s="115">
        <v>0</v>
      </c>
      <c r="K368" s="116">
        <v>0</v>
      </c>
      <c r="L368" s="116">
        <v>0</v>
      </c>
      <c r="M368" s="114">
        <v>0</v>
      </c>
      <c r="N368" s="113">
        <v>0</v>
      </c>
      <c r="O368" s="113">
        <v>0</v>
      </c>
      <c r="P368" s="116">
        <v>0</v>
      </c>
      <c r="Q368" s="116">
        <v>0</v>
      </c>
      <c r="R368" s="116">
        <v>0</v>
      </c>
      <c r="S368" s="114">
        <v>0</v>
      </c>
      <c r="T368" s="116">
        <v>0</v>
      </c>
      <c r="U368" s="116">
        <v>0</v>
      </c>
      <c r="V368" s="121">
        <f t="shared" si="32"/>
        <v>0</v>
      </c>
      <c r="W368" s="111"/>
      <c r="X368" s="111"/>
      <c r="Y368" s="111"/>
      <c r="Z368" s="111"/>
      <c r="AA368" s="111"/>
      <c r="AB368" s="111"/>
      <c r="AC368" s="111"/>
      <c r="AD368" s="111"/>
      <c r="AE368" s="139">
        <f t="shared" si="33"/>
        <v>0</v>
      </c>
      <c r="AF368" s="109"/>
      <c r="AG368" s="109"/>
    </row>
    <row r="369" spans="1:33">
      <c r="A369" s="117"/>
      <c r="B369" s="118"/>
      <c r="C369" s="118"/>
      <c r="D369" s="118"/>
      <c r="E369" s="119"/>
      <c r="F369" s="118"/>
      <c r="G369" s="110"/>
      <c r="H369" s="143"/>
      <c r="I369" s="114">
        <v>0</v>
      </c>
      <c r="J369" s="115">
        <v>0</v>
      </c>
      <c r="K369" s="116">
        <v>0</v>
      </c>
      <c r="L369" s="116">
        <v>0</v>
      </c>
      <c r="M369" s="114">
        <v>0</v>
      </c>
      <c r="N369" s="113">
        <v>0</v>
      </c>
      <c r="O369" s="113">
        <v>0</v>
      </c>
      <c r="P369" s="116">
        <v>0</v>
      </c>
      <c r="Q369" s="116">
        <v>0</v>
      </c>
      <c r="R369" s="116">
        <v>0</v>
      </c>
      <c r="S369" s="114">
        <v>0</v>
      </c>
      <c r="T369" s="116">
        <v>0</v>
      </c>
      <c r="U369" s="116">
        <v>0</v>
      </c>
      <c r="V369" s="121">
        <f t="shared" ref="V369:V432" si="34">+G369-(SUM(I369:N369,P369:S369,U369))</f>
        <v>0</v>
      </c>
      <c r="W369" s="111"/>
      <c r="X369" s="111"/>
      <c r="Y369" s="111"/>
      <c r="Z369" s="111"/>
      <c r="AA369" s="111"/>
      <c r="AB369" s="111"/>
      <c r="AC369" s="111"/>
      <c r="AD369" s="111"/>
      <c r="AE369" s="139">
        <f t="shared" si="33"/>
        <v>0</v>
      </c>
      <c r="AF369" s="109"/>
      <c r="AG369" s="109"/>
    </row>
    <row r="370" spans="1:33">
      <c r="A370" s="117"/>
      <c r="B370" s="118"/>
      <c r="C370" s="118"/>
      <c r="D370" s="118"/>
      <c r="E370" s="119"/>
      <c r="F370" s="118"/>
      <c r="G370" s="110"/>
      <c r="H370" s="143"/>
      <c r="I370" s="114">
        <v>0</v>
      </c>
      <c r="J370" s="115">
        <v>0</v>
      </c>
      <c r="K370" s="116">
        <v>0</v>
      </c>
      <c r="L370" s="116">
        <v>0</v>
      </c>
      <c r="M370" s="114">
        <v>0</v>
      </c>
      <c r="N370" s="113">
        <v>0</v>
      </c>
      <c r="O370" s="113">
        <v>0</v>
      </c>
      <c r="P370" s="116">
        <v>0</v>
      </c>
      <c r="Q370" s="116">
        <v>0</v>
      </c>
      <c r="R370" s="116">
        <v>0</v>
      </c>
      <c r="S370" s="114">
        <v>0</v>
      </c>
      <c r="T370" s="116">
        <v>0</v>
      </c>
      <c r="U370" s="116">
        <v>0</v>
      </c>
      <c r="V370" s="121">
        <f t="shared" si="34"/>
        <v>0</v>
      </c>
      <c r="W370" s="111"/>
      <c r="X370" s="111"/>
      <c r="Y370" s="111"/>
      <c r="Z370" s="111"/>
      <c r="AA370" s="111"/>
      <c r="AB370" s="111"/>
      <c r="AC370" s="111"/>
      <c r="AD370" s="111"/>
      <c r="AE370" s="139">
        <f t="shared" si="33"/>
        <v>0</v>
      </c>
      <c r="AF370" s="109"/>
      <c r="AG370" s="109"/>
    </row>
    <row r="371" spans="1:33">
      <c r="A371" s="117"/>
      <c r="B371" s="118"/>
      <c r="C371" s="118"/>
      <c r="D371" s="118"/>
      <c r="E371" s="119"/>
      <c r="F371" s="118"/>
      <c r="G371" s="110"/>
      <c r="H371" s="143"/>
      <c r="I371" s="114">
        <v>0</v>
      </c>
      <c r="J371" s="115">
        <v>0</v>
      </c>
      <c r="K371" s="116">
        <v>0</v>
      </c>
      <c r="L371" s="116">
        <v>0</v>
      </c>
      <c r="M371" s="114">
        <v>0</v>
      </c>
      <c r="N371" s="113">
        <v>0</v>
      </c>
      <c r="O371" s="113">
        <v>0</v>
      </c>
      <c r="P371" s="116">
        <v>0</v>
      </c>
      <c r="Q371" s="116">
        <v>0</v>
      </c>
      <c r="R371" s="116">
        <v>0</v>
      </c>
      <c r="S371" s="114">
        <v>0</v>
      </c>
      <c r="T371" s="116">
        <v>0</v>
      </c>
      <c r="U371" s="116">
        <v>0</v>
      </c>
      <c r="V371" s="121">
        <f t="shared" si="34"/>
        <v>0</v>
      </c>
      <c r="W371" s="111"/>
      <c r="X371" s="111"/>
      <c r="Y371" s="111"/>
      <c r="Z371" s="111"/>
      <c r="AA371" s="111"/>
      <c r="AB371" s="111"/>
      <c r="AC371" s="111"/>
      <c r="AD371" s="111"/>
      <c r="AE371" s="139">
        <f t="shared" si="33"/>
        <v>0</v>
      </c>
      <c r="AF371" s="109"/>
      <c r="AG371" s="109"/>
    </row>
    <row r="372" spans="1:33">
      <c r="A372" s="117"/>
      <c r="B372" s="118"/>
      <c r="C372" s="118"/>
      <c r="D372" s="118"/>
      <c r="E372" s="119"/>
      <c r="F372" s="118"/>
      <c r="G372" s="110"/>
      <c r="H372" s="143"/>
      <c r="I372" s="114">
        <v>0</v>
      </c>
      <c r="J372" s="115">
        <v>0</v>
      </c>
      <c r="K372" s="116">
        <v>0</v>
      </c>
      <c r="L372" s="116">
        <v>0</v>
      </c>
      <c r="M372" s="114">
        <v>0</v>
      </c>
      <c r="N372" s="113">
        <v>0</v>
      </c>
      <c r="O372" s="113">
        <v>0</v>
      </c>
      <c r="P372" s="116">
        <v>0</v>
      </c>
      <c r="Q372" s="116">
        <v>0</v>
      </c>
      <c r="R372" s="116">
        <v>0</v>
      </c>
      <c r="S372" s="114">
        <v>0</v>
      </c>
      <c r="T372" s="116">
        <v>0</v>
      </c>
      <c r="U372" s="116">
        <v>0</v>
      </c>
      <c r="V372" s="121">
        <f t="shared" si="34"/>
        <v>0</v>
      </c>
      <c r="W372" s="111"/>
      <c r="X372" s="111"/>
      <c r="Y372" s="111"/>
      <c r="Z372" s="111"/>
      <c r="AA372" s="111"/>
      <c r="AB372" s="111"/>
      <c r="AC372" s="111"/>
      <c r="AD372" s="111"/>
      <c r="AE372" s="139">
        <f t="shared" si="33"/>
        <v>0</v>
      </c>
      <c r="AF372" s="109"/>
      <c r="AG372" s="109"/>
    </row>
    <row r="373" spans="1:33">
      <c r="A373" s="117"/>
      <c r="B373" s="118"/>
      <c r="C373" s="118"/>
      <c r="D373" s="118"/>
      <c r="E373" s="119"/>
      <c r="F373" s="118"/>
      <c r="G373" s="110"/>
      <c r="H373" s="143"/>
      <c r="I373" s="114">
        <v>0</v>
      </c>
      <c r="J373" s="115">
        <v>0</v>
      </c>
      <c r="K373" s="116">
        <v>0</v>
      </c>
      <c r="L373" s="116">
        <v>0</v>
      </c>
      <c r="M373" s="114">
        <v>0</v>
      </c>
      <c r="N373" s="113">
        <v>0</v>
      </c>
      <c r="O373" s="113">
        <v>0</v>
      </c>
      <c r="P373" s="116">
        <v>0</v>
      </c>
      <c r="Q373" s="116">
        <v>0</v>
      </c>
      <c r="R373" s="116">
        <v>0</v>
      </c>
      <c r="S373" s="114">
        <v>0</v>
      </c>
      <c r="T373" s="116">
        <v>0</v>
      </c>
      <c r="U373" s="116">
        <v>0</v>
      </c>
      <c r="V373" s="121">
        <f t="shared" si="34"/>
        <v>0</v>
      </c>
      <c r="W373" s="111"/>
      <c r="X373" s="111"/>
      <c r="Y373" s="111"/>
      <c r="Z373" s="111"/>
      <c r="AA373" s="111"/>
      <c r="AB373" s="111"/>
      <c r="AC373" s="111"/>
      <c r="AD373" s="111"/>
      <c r="AE373" s="139">
        <f t="shared" si="33"/>
        <v>0</v>
      </c>
      <c r="AF373" s="109"/>
      <c r="AG373" s="109"/>
    </row>
    <row r="374" spans="1:33">
      <c r="A374" s="117"/>
      <c r="B374" s="118"/>
      <c r="C374" s="118"/>
      <c r="D374" s="118"/>
      <c r="E374" s="119"/>
      <c r="F374" s="118"/>
      <c r="G374" s="110"/>
      <c r="H374" s="143"/>
      <c r="I374" s="114">
        <v>0</v>
      </c>
      <c r="J374" s="115">
        <v>0</v>
      </c>
      <c r="K374" s="116">
        <v>0</v>
      </c>
      <c r="L374" s="116">
        <v>0</v>
      </c>
      <c r="M374" s="114">
        <v>0</v>
      </c>
      <c r="N374" s="113">
        <v>0</v>
      </c>
      <c r="O374" s="113">
        <v>0</v>
      </c>
      <c r="P374" s="116">
        <v>0</v>
      </c>
      <c r="Q374" s="116">
        <v>0</v>
      </c>
      <c r="R374" s="116">
        <v>0</v>
      </c>
      <c r="S374" s="114">
        <v>0</v>
      </c>
      <c r="T374" s="116">
        <v>0</v>
      </c>
      <c r="U374" s="116">
        <v>0</v>
      </c>
      <c r="V374" s="121">
        <f t="shared" si="34"/>
        <v>0</v>
      </c>
      <c r="W374" s="111"/>
      <c r="X374" s="111"/>
      <c r="Y374" s="111"/>
      <c r="Z374" s="111"/>
      <c r="AA374" s="111"/>
      <c r="AB374" s="111"/>
      <c r="AC374" s="111"/>
      <c r="AD374" s="111"/>
      <c r="AE374" s="139">
        <f t="shared" si="33"/>
        <v>0</v>
      </c>
      <c r="AF374" s="109"/>
      <c r="AG374" s="109"/>
    </row>
    <row r="375" spans="1:33">
      <c r="A375" s="117"/>
      <c r="B375" s="118"/>
      <c r="C375" s="118"/>
      <c r="D375" s="118"/>
      <c r="E375" s="119"/>
      <c r="F375" s="118"/>
      <c r="G375" s="110"/>
      <c r="H375" s="143"/>
      <c r="I375" s="114">
        <v>0</v>
      </c>
      <c r="J375" s="115">
        <v>0</v>
      </c>
      <c r="K375" s="116">
        <v>0</v>
      </c>
      <c r="L375" s="116">
        <v>0</v>
      </c>
      <c r="M375" s="114">
        <v>0</v>
      </c>
      <c r="N375" s="113">
        <v>0</v>
      </c>
      <c r="O375" s="113">
        <v>0</v>
      </c>
      <c r="P375" s="116">
        <v>0</v>
      </c>
      <c r="Q375" s="116">
        <v>0</v>
      </c>
      <c r="R375" s="116">
        <v>0</v>
      </c>
      <c r="S375" s="114">
        <v>0</v>
      </c>
      <c r="T375" s="116">
        <v>0</v>
      </c>
      <c r="U375" s="116">
        <v>0</v>
      </c>
      <c r="V375" s="121">
        <f t="shared" si="34"/>
        <v>0</v>
      </c>
      <c r="W375" s="111"/>
      <c r="X375" s="111"/>
      <c r="Y375" s="111"/>
      <c r="Z375" s="111"/>
      <c r="AA375" s="111"/>
      <c r="AB375" s="111"/>
      <c r="AC375" s="111"/>
      <c r="AD375" s="111"/>
      <c r="AE375" s="139">
        <f t="shared" si="33"/>
        <v>0</v>
      </c>
      <c r="AF375" s="109"/>
      <c r="AG375" s="109"/>
    </row>
    <row r="376" spans="1:33">
      <c r="A376" s="117"/>
      <c r="B376" s="118"/>
      <c r="C376" s="118"/>
      <c r="D376" s="118"/>
      <c r="E376" s="119"/>
      <c r="F376" s="118"/>
      <c r="G376" s="110"/>
      <c r="H376" s="143"/>
      <c r="I376" s="114">
        <v>0</v>
      </c>
      <c r="J376" s="115">
        <v>0</v>
      </c>
      <c r="K376" s="116">
        <v>0</v>
      </c>
      <c r="L376" s="116">
        <v>0</v>
      </c>
      <c r="M376" s="114">
        <v>0</v>
      </c>
      <c r="N376" s="113">
        <v>0</v>
      </c>
      <c r="O376" s="113">
        <v>0</v>
      </c>
      <c r="P376" s="116">
        <v>0</v>
      </c>
      <c r="Q376" s="116">
        <v>0</v>
      </c>
      <c r="R376" s="116">
        <v>0</v>
      </c>
      <c r="S376" s="114">
        <v>0</v>
      </c>
      <c r="T376" s="116">
        <v>0</v>
      </c>
      <c r="U376" s="116">
        <v>0</v>
      </c>
      <c r="V376" s="121">
        <f t="shared" si="34"/>
        <v>0</v>
      </c>
      <c r="W376" s="111"/>
      <c r="X376" s="111"/>
      <c r="Y376" s="111"/>
      <c r="Z376" s="111"/>
      <c r="AA376" s="111"/>
      <c r="AB376" s="111"/>
      <c r="AC376" s="111"/>
      <c r="AD376" s="111"/>
      <c r="AE376" s="139">
        <f t="shared" si="33"/>
        <v>0</v>
      </c>
      <c r="AF376" s="109"/>
      <c r="AG376" s="109"/>
    </row>
    <row r="377" spans="1:33">
      <c r="A377" s="117"/>
      <c r="B377" s="118"/>
      <c r="C377" s="118"/>
      <c r="D377" s="118"/>
      <c r="E377" s="119"/>
      <c r="F377" s="118"/>
      <c r="G377" s="110"/>
      <c r="H377" s="143"/>
      <c r="I377" s="114">
        <v>0</v>
      </c>
      <c r="J377" s="115">
        <v>0</v>
      </c>
      <c r="K377" s="116">
        <v>0</v>
      </c>
      <c r="L377" s="116">
        <v>0</v>
      </c>
      <c r="M377" s="114">
        <v>0</v>
      </c>
      <c r="N377" s="113">
        <v>0</v>
      </c>
      <c r="O377" s="113">
        <v>0</v>
      </c>
      <c r="P377" s="116">
        <v>0</v>
      </c>
      <c r="Q377" s="116">
        <v>0</v>
      </c>
      <c r="R377" s="116">
        <v>0</v>
      </c>
      <c r="S377" s="114">
        <v>0</v>
      </c>
      <c r="T377" s="116">
        <v>0</v>
      </c>
      <c r="U377" s="116">
        <v>0</v>
      </c>
      <c r="V377" s="121">
        <f t="shared" si="34"/>
        <v>0</v>
      </c>
      <c r="W377" s="111"/>
      <c r="X377" s="111"/>
      <c r="Y377" s="111"/>
      <c r="Z377" s="111"/>
      <c r="AA377" s="111"/>
      <c r="AB377" s="111"/>
      <c r="AC377" s="111"/>
      <c r="AD377" s="111"/>
      <c r="AE377" s="139">
        <f t="shared" si="33"/>
        <v>0</v>
      </c>
      <c r="AF377" s="109"/>
      <c r="AG377" s="109"/>
    </row>
    <row r="378" spans="1:33">
      <c r="A378" s="117"/>
      <c r="B378" s="118"/>
      <c r="C378" s="118"/>
      <c r="D378" s="118"/>
      <c r="E378" s="119"/>
      <c r="F378" s="118"/>
      <c r="G378" s="110"/>
      <c r="H378" s="143"/>
      <c r="I378" s="114">
        <v>0</v>
      </c>
      <c r="J378" s="115">
        <v>0</v>
      </c>
      <c r="K378" s="116">
        <v>0</v>
      </c>
      <c r="L378" s="116">
        <v>0</v>
      </c>
      <c r="M378" s="114">
        <v>0</v>
      </c>
      <c r="N378" s="113">
        <v>0</v>
      </c>
      <c r="O378" s="113">
        <v>0</v>
      </c>
      <c r="P378" s="116">
        <v>0</v>
      </c>
      <c r="Q378" s="116">
        <v>0</v>
      </c>
      <c r="R378" s="116">
        <v>0</v>
      </c>
      <c r="S378" s="114">
        <v>0</v>
      </c>
      <c r="T378" s="116">
        <v>0</v>
      </c>
      <c r="U378" s="116">
        <v>0</v>
      </c>
      <c r="V378" s="121">
        <f t="shared" si="34"/>
        <v>0</v>
      </c>
      <c r="W378" s="111"/>
      <c r="X378" s="111"/>
      <c r="Y378" s="111"/>
      <c r="Z378" s="111"/>
      <c r="AA378" s="111"/>
      <c r="AB378" s="111"/>
      <c r="AC378" s="111"/>
      <c r="AD378" s="111"/>
      <c r="AE378" s="139">
        <f t="shared" si="33"/>
        <v>0</v>
      </c>
      <c r="AF378" s="109"/>
      <c r="AG378" s="109"/>
    </row>
    <row r="379" spans="1:33">
      <c r="A379" s="117"/>
      <c r="B379" s="118"/>
      <c r="C379" s="118"/>
      <c r="D379" s="118"/>
      <c r="E379" s="119"/>
      <c r="F379" s="118"/>
      <c r="G379" s="110"/>
      <c r="H379" s="143"/>
      <c r="I379" s="114">
        <v>0</v>
      </c>
      <c r="J379" s="115">
        <v>0</v>
      </c>
      <c r="K379" s="116">
        <v>0</v>
      </c>
      <c r="L379" s="116">
        <v>0</v>
      </c>
      <c r="M379" s="114">
        <v>0</v>
      </c>
      <c r="N379" s="113">
        <v>0</v>
      </c>
      <c r="O379" s="113">
        <v>0</v>
      </c>
      <c r="P379" s="116">
        <v>0</v>
      </c>
      <c r="Q379" s="116">
        <v>0</v>
      </c>
      <c r="R379" s="116">
        <v>0</v>
      </c>
      <c r="S379" s="114">
        <v>0</v>
      </c>
      <c r="T379" s="116">
        <v>0</v>
      </c>
      <c r="U379" s="116">
        <v>0</v>
      </c>
      <c r="V379" s="121">
        <f t="shared" si="34"/>
        <v>0</v>
      </c>
      <c r="W379" s="111"/>
      <c r="X379" s="111"/>
      <c r="Y379" s="111"/>
      <c r="Z379" s="111"/>
      <c r="AA379" s="111"/>
      <c r="AB379" s="111"/>
      <c r="AC379" s="111"/>
      <c r="AD379" s="111"/>
      <c r="AE379" s="139">
        <f t="shared" si="33"/>
        <v>0</v>
      </c>
      <c r="AF379" s="109"/>
      <c r="AG379" s="109"/>
    </row>
    <row r="380" spans="1:33">
      <c r="A380" s="117"/>
      <c r="B380" s="118"/>
      <c r="C380" s="118"/>
      <c r="D380" s="118"/>
      <c r="E380" s="119"/>
      <c r="F380" s="118"/>
      <c r="G380" s="110"/>
      <c r="H380" s="143"/>
      <c r="I380" s="114">
        <v>0</v>
      </c>
      <c r="J380" s="115">
        <v>0</v>
      </c>
      <c r="K380" s="116">
        <v>0</v>
      </c>
      <c r="L380" s="116">
        <v>0</v>
      </c>
      <c r="M380" s="114">
        <v>0</v>
      </c>
      <c r="N380" s="113">
        <v>0</v>
      </c>
      <c r="O380" s="113">
        <v>0</v>
      </c>
      <c r="P380" s="116">
        <v>0</v>
      </c>
      <c r="Q380" s="116">
        <v>0</v>
      </c>
      <c r="R380" s="116">
        <v>0</v>
      </c>
      <c r="S380" s="114">
        <v>0</v>
      </c>
      <c r="T380" s="116">
        <v>0</v>
      </c>
      <c r="U380" s="116">
        <v>0</v>
      </c>
      <c r="V380" s="121">
        <f t="shared" si="34"/>
        <v>0</v>
      </c>
      <c r="W380" s="111"/>
      <c r="X380" s="111"/>
      <c r="Y380" s="111"/>
      <c r="Z380" s="111"/>
      <c r="AA380" s="111"/>
      <c r="AB380" s="111"/>
      <c r="AC380" s="111"/>
      <c r="AD380" s="111"/>
      <c r="AE380" s="139">
        <f t="shared" si="33"/>
        <v>0</v>
      </c>
      <c r="AF380" s="109"/>
      <c r="AG380" s="109"/>
    </row>
    <row r="381" spans="1:33">
      <c r="A381" s="117"/>
      <c r="B381" s="118"/>
      <c r="C381" s="118"/>
      <c r="D381" s="118"/>
      <c r="E381" s="119"/>
      <c r="F381" s="118"/>
      <c r="G381" s="110"/>
      <c r="H381" s="143"/>
      <c r="I381" s="114">
        <v>0</v>
      </c>
      <c r="J381" s="115">
        <v>0</v>
      </c>
      <c r="K381" s="116">
        <v>0</v>
      </c>
      <c r="L381" s="116">
        <v>0</v>
      </c>
      <c r="M381" s="114">
        <v>0</v>
      </c>
      <c r="N381" s="113">
        <v>0</v>
      </c>
      <c r="O381" s="113">
        <v>0</v>
      </c>
      <c r="P381" s="116">
        <v>0</v>
      </c>
      <c r="Q381" s="116">
        <v>0</v>
      </c>
      <c r="R381" s="116">
        <v>0</v>
      </c>
      <c r="S381" s="114">
        <v>0</v>
      </c>
      <c r="T381" s="116">
        <v>0</v>
      </c>
      <c r="U381" s="116">
        <v>0</v>
      </c>
      <c r="V381" s="121">
        <f t="shared" si="34"/>
        <v>0</v>
      </c>
      <c r="W381" s="111"/>
      <c r="X381" s="111"/>
      <c r="Y381" s="111"/>
      <c r="Z381" s="111"/>
      <c r="AA381" s="111"/>
      <c r="AB381" s="111"/>
      <c r="AC381" s="111"/>
      <c r="AD381" s="111"/>
      <c r="AE381" s="139">
        <f t="shared" si="33"/>
        <v>0</v>
      </c>
      <c r="AF381" s="109"/>
      <c r="AG381" s="109"/>
    </row>
    <row r="382" spans="1:33">
      <c r="A382" s="117"/>
      <c r="B382" s="118"/>
      <c r="C382" s="118"/>
      <c r="D382" s="118"/>
      <c r="E382" s="119"/>
      <c r="F382" s="118"/>
      <c r="G382" s="110"/>
      <c r="H382" s="143"/>
      <c r="I382" s="114">
        <v>0</v>
      </c>
      <c r="J382" s="115">
        <v>0</v>
      </c>
      <c r="K382" s="116">
        <v>0</v>
      </c>
      <c r="L382" s="116">
        <v>0</v>
      </c>
      <c r="M382" s="114">
        <v>0</v>
      </c>
      <c r="N382" s="113">
        <v>0</v>
      </c>
      <c r="O382" s="113">
        <v>0</v>
      </c>
      <c r="P382" s="116">
        <v>0</v>
      </c>
      <c r="Q382" s="116">
        <v>0</v>
      </c>
      <c r="R382" s="116">
        <v>0</v>
      </c>
      <c r="S382" s="114">
        <v>0</v>
      </c>
      <c r="T382" s="116">
        <v>0</v>
      </c>
      <c r="U382" s="116">
        <v>0</v>
      </c>
      <c r="V382" s="121">
        <f t="shared" si="34"/>
        <v>0</v>
      </c>
      <c r="W382" s="111"/>
      <c r="X382" s="111"/>
      <c r="Y382" s="111"/>
      <c r="Z382" s="111"/>
      <c r="AA382" s="111"/>
      <c r="AB382" s="111"/>
      <c r="AC382" s="111"/>
      <c r="AD382" s="111"/>
      <c r="AE382" s="139">
        <f t="shared" si="33"/>
        <v>0</v>
      </c>
      <c r="AF382" s="109"/>
      <c r="AG382" s="109"/>
    </row>
    <row r="383" spans="1:33">
      <c r="A383" s="117"/>
      <c r="B383" s="118"/>
      <c r="C383" s="118"/>
      <c r="D383" s="118"/>
      <c r="E383" s="119"/>
      <c r="F383" s="118"/>
      <c r="G383" s="110"/>
      <c r="H383" s="143"/>
      <c r="I383" s="114">
        <v>0</v>
      </c>
      <c r="J383" s="115">
        <v>0</v>
      </c>
      <c r="K383" s="116">
        <v>0</v>
      </c>
      <c r="L383" s="116">
        <v>0</v>
      </c>
      <c r="M383" s="114">
        <v>0</v>
      </c>
      <c r="N383" s="113">
        <v>0</v>
      </c>
      <c r="O383" s="113">
        <v>0</v>
      </c>
      <c r="P383" s="116">
        <v>0</v>
      </c>
      <c r="Q383" s="116">
        <v>0</v>
      </c>
      <c r="R383" s="116">
        <v>0</v>
      </c>
      <c r="S383" s="114">
        <v>0</v>
      </c>
      <c r="T383" s="116">
        <v>0</v>
      </c>
      <c r="U383" s="116">
        <v>0</v>
      </c>
      <c r="V383" s="121">
        <f t="shared" si="34"/>
        <v>0</v>
      </c>
      <c r="W383" s="111"/>
      <c r="X383" s="111"/>
      <c r="Y383" s="111"/>
      <c r="Z383" s="111"/>
      <c r="AA383" s="111"/>
      <c r="AB383" s="111"/>
      <c r="AC383" s="111"/>
      <c r="AD383" s="111"/>
      <c r="AE383" s="139">
        <f t="shared" si="33"/>
        <v>0</v>
      </c>
      <c r="AF383" s="109"/>
      <c r="AG383" s="109"/>
    </row>
    <row r="384" spans="1:33">
      <c r="A384" s="117"/>
      <c r="B384" s="118"/>
      <c r="C384" s="118"/>
      <c r="D384" s="118"/>
      <c r="E384" s="119"/>
      <c r="F384" s="118"/>
      <c r="G384" s="110"/>
      <c r="H384" s="143"/>
      <c r="I384" s="114">
        <v>0</v>
      </c>
      <c r="J384" s="115">
        <v>0</v>
      </c>
      <c r="K384" s="116">
        <v>0</v>
      </c>
      <c r="L384" s="116">
        <v>0</v>
      </c>
      <c r="M384" s="114">
        <v>0</v>
      </c>
      <c r="N384" s="113">
        <v>0</v>
      </c>
      <c r="O384" s="113">
        <v>0</v>
      </c>
      <c r="P384" s="116">
        <v>0</v>
      </c>
      <c r="Q384" s="116">
        <v>0</v>
      </c>
      <c r="R384" s="116">
        <v>0</v>
      </c>
      <c r="S384" s="114">
        <v>0</v>
      </c>
      <c r="T384" s="116">
        <v>0</v>
      </c>
      <c r="U384" s="116">
        <v>0</v>
      </c>
      <c r="V384" s="121">
        <f t="shared" si="34"/>
        <v>0</v>
      </c>
      <c r="W384" s="111"/>
      <c r="X384" s="111"/>
      <c r="Y384" s="111"/>
      <c r="Z384" s="111"/>
      <c r="AA384" s="111"/>
      <c r="AB384" s="111"/>
      <c r="AC384" s="111"/>
      <c r="AD384" s="111"/>
      <c r="AE384" s="139">
        <f t="shared" si="33"/>
        <v>0</v>
      </c>
      <c r="AF384" s="109"/>
      <c r="AG384" s="109"/>
    </row>
    <row r="385" spans="1:33">
      <c r="A385" s="117"/>
      <c r="B385" s="118"/>
      <c r="C385" s="118"/>
      <c r="D385" s="118"/>
      <c r="E385" s="119"/>
      <c r="F385" s="118"/>
      <c r="G385" s="110"/>
      <c r="H385" s="143"/>
      <c r="I385" s="114">
        <v>0</v>
      </c>
      <c r="J385" s="115">
        <v>0</v>
      </c>
      <c r="K385" s="116">
        <v>0</v>
      </c>
      <c r="L385" s="116">
        <v>0</v>
      </c>
      <c r="M385" s="114">
        <v>0</v>
      </c>
      <c r="N385" s="113">
        <v>0</v>
      </c>
      <c r="O385" s="113">
        <v>0</v>
      </c>
      <c r="P385" s="116">
        <v>0</v>
      </c>
      <c r="Q385" s="116">
        <v>0</v>
      </c>
      <c r="R385" s="116">
        <v>0</v>
      </c>
      <c r="S385" s="114">
        <v>0</v>
      </c>
      <c r="T385" s="116">
        <v>0</v>
      </c>
      <c r="U385" s="116">
        <v>0</v>
      </c>
      <c r="V385" s="121">
        <f t="shared" si="34"/>
        <v>0</v>
      </c>
      <c r="W385" s="111"/>
      <c r="X385" s="111"/>
      <c r="Y385" s="111"/>
      <c r="Z385" s="111"/>
      <c r="AA385" s="111"/>
      <c r="AB385" s="111"/>
      <c r="AC385" s="111"/>
      <c r="AD385" s="111"/>
      <c r="AE385" s="139">
        <f t="shared" si="33"/>
        <v>0</v>
      </c>
      <c r="AF385" s="109"/>
      <c r="AG385" s="109"/>
    </row>
    <row r="386" spans="1:33">
      <c r="A386" s="117"/>
      <c r="B386" s="118"/>
      <c r="C386" s="118"/>
      <c r="D386" s="118"/>
      <c r="E386" s="119"/>
      <c r="F386" s="118"/>
      <c r="G386" s="110"/>
      <c r="H386" s="143"/>
      <c r="I386" s="114">
        <v>0</v>
      </c>
      <c r="J386" s="115">
        <v>0</v>
      </c>
      <c r="K386" s="116">
        <v>0</v>
      </c>
      <c r="L386" s="116">
        <v>0</v>
      </c>
      <c r="M386" s="114">
        <v>0</v>
      </c>
      <c r="N386" s="113">
        <v>0</v>
      </c>
      <c r="O386" s="113">
        <v>0</v>
      </c>
      <c r="P386" s="116">
        <v>0</v>
      </c>
      <c r="Q386" s="116">
        <v>0</v>
      </c>
      <c r="R386" s="116">
        <v>0</v>
      </c>
      <c r="S386" s="114">
        <v>0</v>
      </c>
      <c r="T386" s="116">
        <v>0</v>
      </c>
      <c r="U386" s="116">
        <v>0</v>
      </c>
      <c r="V386" s="121">
        <f t="shared" si="34"/>
        <v>0</v>
      </c>
      <c r="W386" s="111"/>
      <c r="X386" s="111"/>
      <c r="Y386" s="111"/>
      <c r="Z386" s="111"/>
      <c r="AA386" s="111"/>
      <c r="AB386" s="111"/>
      <c r="AC386" s="111"/>
      <c r="AD386" s="111"/>
      <c r="AE386" s="139">
        <f t="shared" si="33"/>
        <v>0</v>
      </c>
      <c r="AF386" s="109"/>
      <c r="AG386" s="109"/>
    </row>
    <row r="387" spans="1:33">
      <c r="A387" s="117"/>
      <c r="B387" s="118"/>
      <c r="C387" s="118"/>
      <c r="D387" s="118"/>
      <c r="E387" s="119"/>
      <c r="F387" s="118"/>
      <c r="G387" s="110"/>
      <c r="H387" s="143"/>
      <c r="I387" s="114">
        <v>0</v>
      </c>
      <c r="J387" s="115">
        <v>0</v>
      </c>
      <c r="K387" s="116">
        <v>0</v>
      </c>
      <c r="L387" s="116">
        <v>0</v>
      </c>
      <c r="M387" s="114">
        <v>0</v>
      </c>
      <c r="N387" s="113">
        <v>0</v>
      </c>
      <c r="O387" s="113">
        <v>0</v>
      </c>
      <c r="P387" s="116">
        <v>0</v>
      </c>
      <c r="Q387" s="116">
        <v>0</v>
      </c>
      <c r="R387" s="116">
        <v>0</v>
      </c>
      <c r="S387" s="114">
        <v>0</v>
      </c>
      <c r="T387" s="116">
        <v>0</v>
      </c>
      <c r="U387" s="116">
        <v>0</v>
      </c>
      <c r="V387" s="121">
        <f t="shared" si="34"/>
        <v>0</v>
      </c>
      <c r="W387" s="111"/>
      <c r="X387" s="111"/>
      <c r="Y387" s="111"/>
      <c r="Z387" s="111"/>
      <c r="AA387" s="111"/>
      <c r="AB387" s="111"/>
      <c r="AC387" s="111"/>
      <c r="AD387" s="111"/>
      <c r="AE387" s="139">
        <f t="shared" si="33"/>
        <v>0</v>
      </c>
      <c r="AF387" s="109"/>
      <c r="AG387" s="109"/>
    </row>
    <row r="388" spans="1:33">
      <c r="A388" s="117"/>
      <c r="B388" s="118"/>
      <c r="C388" s="118"/>
      <c r="D388" s="118"/>
      <c r="E388" s="119"/>
      <c r="F388" s="118"/>
      <c r="G388" s="110"/>
      <c r="H388" s="143"/>
      <c r="I388" s="114">
        <v>0</v>
      </c>
      <c r="J388" s="115">
        <v>0</v>
      </c>
      <c r="K388" s="116">
        <v>0</v>
      </c>
      <c r="L388" s="116">
        <v>0</v>
      </c>
      <c r="M388" s="114">
        <v>0</v>
      </c>
      <c r="N388" s="113">
        <v>0</v>
      </c>
      <c r="O388" s="113">
        <v>0</v>
      </c>
      <c r="P388" s="116">
        <v>0</v>
      </c>
      <c r="Q388" s="116">
        <v>0</v>
      </c>
      <c r="R388" s="116">
        <v>0</v>
      </c>
      <c r="S388" s="114">
        <v>0</v>
      </c>
      <c r="T388" s="116">
        <v>0</v>
      </c>
      <c r="U388" s="116">
        <v>0</v>
      </c>
      <c r="V388" s="121">
        <f t="shared" si="34"/>
        <v>0</v>
      </c>
      <c r="W388" s="111"/>
      <c r="X388" s="111"/>
      <c r="Y388" s="111"/>
      <c r="Z388" s="111"/>
      <c r="AA388" s="111"/>
      <c r="AB388" s="111"/>
      <c r="AC388" s="111"/>
      <c r="AD388" s="111"/>
      <c r="AE388" s="139">
        <f t="shared" si="33"/>
        <v>0</v>
      </c>
      <c r="AF388" s="109"/>
      <c r="AG388" s="109"/>
    </row>
    <row r="389" spans="1:33">
      <c r="A389" s="117"/>
      <c r="B389" s="118"/>
      <c r="C389" s="118"/>
      <c r="D389" s="118"/>
      <c r="E389" s="119"/>
      <c r="F389" s="118"/>
      <c r="G389" s="110"/>
      <c r="H389" s="143"/>
      <c r="I389" s="114">
        <v>0</v>
      </c>
      <c r="J389" s="115">
        <v>0</v>
      </c>
      <c r="K389" s="116">
        <v>0</v>
      </c>
      <c r="L389" s="116">
        <v>0</v>
      </c>
      <c r="M389" s="114">
        <v>0</v>
      </c>
      <c r="N389" s="113">
        <v>0</v>
      </c>
      <c r="O389" s="113">
        <v>0</v>
      </c>
      <c r="P389" s="116">
        <v>0</v>
      </c>
      <c r="Q389" s="116">
        <v>0</v>
      </c>
      <c r="R389" s="116">
        <v>0</v>
      </c>
      <c r="S389" s="114">
        <v>0</v>
      </c>
      <c r="T389" s="116">
        <v>0</v>
      </c>
      <c r="U389" s="116">
        <v>0</v>
      </c>
      <c r="V389" s="121">
        <f t="shared" si="34"/>
        <v>0</v>
      </c>
      <c r="W389" s="111"/>
      <c r="X389" s="111"/>
      <c r="Y389" s="111"/>
      <c r="Z389" s="111"/>
      <c r="AA389" s="111"/>
      <c r="AB389" s="111"/>
      <c r="AC389" s="111"/>
      <c r="AD389" s="111"/>
      <c r="AE389" s="139">
        <f t="shared" si="33"/>
        <v>0</v>
      </c>
      <c r="AF389" s="109"/>
      <c r="AG389" s="109"/>
    </row>
    <row r="390" spans="1:33">
      <c r="A390" s="117"/>
      <c r="B390" s="118"/>
      <c r="C390" s="118"/>
      <c r="D390" s="118"/>
      <c r="E390" s="119"/>
      <c r="F390" s="118"/>
      <c r="G390" s="110"/>
      <c r="H390" s="143"/>
      <c r="I390" s="114">
        <v>0</v>
      </c>
      <c r="J390" s="115">
        <v>0</v>
      </c>
      <c r="K390" s="116">
        <v>0</v>
      </c>
      <c r="L390" s="116">
        <v>0</v>
      </c>
      <c r="M390" s="114">
        <v>0</v>
      </c>
      <c r="N390" s="113">
        <v>0</v>
      </c>
      <c r="O390" s="113">
        <v>0</v>
      </c>
      <c r="P390" s="116">
        <v>0</v>
      </c>
      <c r="Q390" s="116">
        <v>0</v>
      </c>
      <c r="R390" s="116">
        <v>0</v>
      </c>
      <c r="S390" s="114">
        <v>0</v>
      </c>
      <c r="T390" s="116">
        <v>0</v>
      </c>
      <c r="U390" s="116">
        <v>0</v>
      </c>
      <c r="V390" s="121">
        <f t="shared" si="34"/>
        <v>0</v>
      </c>
      <c r="W390" s="111"/>
      <c r="X390" s="111"/>
      <c r="Y390" s="111"/>
      <c r="Z390" s="111"/>
      <c r="AA390" s="111"/>
      <c r="AB390" s="111"/>
      <c r="AC390" s="111"/>
      <c r="AD390" s="111"/>
      <c r="AE390" s="139">
        <f t="shared" si="33"/>
        <v>0</v>
      </c>
      <c r="AF390" s="109"/>
      <c r="AG390" s="109"/>
    </row>
    <row r="391" spans="1:33">
      <c r="A391" s="117"/>
      <c r="B391" s="118"/>
      <c r="C391" s="118"/>
      <c r="D391" s="118"/>
      <c r="E391" s="119"/>
      <c r="F391" s="118"/>
      <c r="G391" s="110"/>
      <c r="H391" s="143"/>
      <c r="I391" s="114">
        <v>0</v>
      </c>
      <c r="J391" s="115">
        <v>0</v>
      </c>
      <c r="K391" s="116">
        <v>0</v>
      </c>
      <c r="L391" s="116">
        <v>0</v>
      </c>
      <c r="M391" s="114">
        <v>0</v>
      </c>
      <c r="N391" s="113">
        <v>0</v>
      </c>
      <c r="O391" s="113">
        <v>0</v>
      </c>
      <c r="P391" s="116">
        <v>0</v>
      </c>
      <c r="Q391" s="116">
        <v>0</v>
      </c>
      <c r="R391" s="116">
        <v>0</v>
      </c>
      <c r="S391" s="114">
        <v>0</v>
      </c>
      <c r="T391" s="116">
        <v>0</v>
      </c>
      <c r="U391" s="116">
        <v>0</v>
      </c>
      <c r="V391" s="121">
        <f t="shared" si="34"/>
        <v>0</v>
      </c>
      <c r="W391" s="111"/>
      <c r="X391" s="111"/>
      <c r="Y391" s="111"/>
      <c r="Z391" s="111"/>
      <c r="AA391" s="111"/>
      <c r="AB391" s="111"/>
      <c r="AC391" s="111"/>
      <c r="AD391" s="111"/>
      <c r="AE391" s="139">
        <f t="shared" si="33"/>
        <v>0</v>
      </c>
      <c r="AF391" s="109"/>
      <c r="AG391" s="109"/>
    </row>
    <row r="392" spans="1:33">
      <c r="A392" s="117"/>
      <c r="B392" s="118"/>
      <c r="C392" s="118"/>
      <c r="D392" s="118"/>
      <c r="E392" s="119"/>
      <c r="F392" s="118"/>
      <c r="G392" s="110"/>
      <c r="H392" s="143"/>
      <c r="I392" s="114">
        <v>0</v>
      </c>
      <c r="J392" s="115">
        <v>0</v>
      </c>
      <c r="K392" s="116">
        <v>0</v>
      </c>
      <c r="L392" s="116">
        <v>0</v>
      </c>
      <c r="M392" s="114">
        <v>0</v>
      </c>
      <c r="N392" s="113">
        <v>0</v>
      </c>
      <c r="O392" s="113">
        <v>0</v>
      </c>
      <c r="P392" s="116">
        <v>0</v>
      </c>
      <c r="Q392" s="116">
        <v>0</v>
      </c>
      <c r="R392" s="116">
        <v>0</v>
      </c>
      <c r="S392" s="114">
        <v>0</v>
      </c>
      <c r="T392" s="116">
        <v>0</v>
      </c>
      <c r="U392" s="116">
        <v>0</v>
      </c>
      <c r="V392" s="121">
        <f t="shared" si="34"/>
        <v>0</v>
      </c>
      <c r="W392" s="111"/>
      <c r="X392" s="111"/>
      <c r="Y392" s="111"/>
      <c r="Z392" s="111"/>
      <c r="AA392" s="111"/>
      <c r="AB392" s="111"/>
      <c r="AC392" s="111"/>
      <c r="AD392" s="111"/>
      <c r="AE392" s="139">
        <f t="shared" si="33"/>
        <v>0</v>
      </c>
      <c r="AF392" s="109"/>
      <c r="AG392" s="109"/>
    </row>
    <row r="393" spans="1:33">
      <c r="A393" s="117"/>
      <c r="B393" s="118"/>
      <c r="C393" s="118"/>
      <c r="D393" s="118"/>
      <c r="E393" s="119"/>
      <c r="F393" s="118"/>
      <c r="G393" s="110"/>
      <c r="H393" s="143"/>
      <c r="I393" s="114">
        <v>0</v>
      </c>
      <c r="J393" s="115">
        <v>0</v>
      </c>
      <c r="K393" s="116">
        <v>0</v>
      </c>
      <c r="L393" s="116">
        <v>0</v>
      </c>
      <c r="M393" s="114">
        <v>0</v>
      </c>
      <c r="N393" s="113">
        <v>0</v>
      </c>
      <c r="O393" s="113">
        <v>0</v>
      </c>
      <c r="P393" s="116">
        <v>0</v>
      </c>
      <c r="Q393" s="116">
        <v>0</v>
      </c>
      <c r="R393" s="116">
        <v>0</v>
      </c>
      <c r="S393" s="114">
        <v>0</v>
      </c>
      <c r="T393" s="116">
        <v>0</v>
      </c>
      <c r="U393" s="116">
        <v>0</v>
      </c>
      <c r="V393" s="121">
        <f t="shared" si="34"/>
        <v>0</v>
      </c>
      <c r="W393" s="111"/>
      <c r="X393" s="111"/>
      <c r="Y393" s="111"/>
      <c r="Z393" s="111"/>
      <c r="AA393" s="111"/>
      <c r="AB393" s="111"/>
      <c r="AC393" s="111"/>
      <c r="AD393" s="111"/>
      <c r="AE393" s="139">
        <f t="shared" si="33"/>
        <v>0</v>
      </c>
      <c r="AF393" s="109"/>
      <c r="AG393" s="109"/>
    </row>
    <row r="394" spans="1:33">
      <c r="A394" s="117"/>
      <c r="B394" s="118"/>
      <c r="C394" s="118"/>
      <c r="D394" s="118"/>
      <c r="E394" s="119"/>
      <c r="F394" s="118"/>
      <c r="G394" s="110"/>
      <c r="H394" s="143"/>
      <c r="I394" s="114">
        <v>0</v>
      </c>
      <c r="J394" s="115">
        <v>0</v>
      </c>
      <c r="K394" s="116">
        <v>0</v>
      </c>
      <c r="L394" s="116">
        <v>0</v>
      </c>
      <c r="M394" s="114">
        <v>0</v>
      </c>
      <c r="N394" s="113">
        <v>0</v>
      </c>
      <c r="O394" s="113">
        <v>0</v>
      </c>
      <c r="P394" s="116">
        <v>0</v>
      </c>
      <c r="Q394" s="116">
        <v>0</v>
      </c>
      <c r="R394" s="116">
        <v>0</v>
      </c>
      <c r="S394" s="114">
        <v>0</v>
      </c>
      <c r="T394" s="116">
        <v>0</v>
      </c>
      <c r="U394" s="116">
        <v>0</v>
      </c>
      <c r="V394" s="121">
        <f t="shared" si="34"/>
        <v>0</v>
      </c>
      <c r="W394" s="111"/>
      <c r="X394" s="111"/>
      <c r="Y394" s="111"/>
      <c r="Z394" s="111"/>
      <c r="AA394" s="111"/>
      <c r="AB394" s="111"/>
      <c r="AC394" s="111"/>
      <c r="AD394" s="111"/>
      <c r="AE394" s="139">
        <f t="shared" si="33"/>
        <v>0</v>
      </c>
      <c r="AF394" s="109"/>
      <c r="AG394" s="109"/>
    </row>
    <row r="395" spans="1:33">
      <c r="A395" s="117"/>
      <c r="B395" s="118"/>
      <c r="C395" s="118"/>
      <c r="D395" s="118"/>
      <c r="E395" s="119"/>
      <c r="F395" s="118"/>
      <c r="G395" s="110"/>
      <c r="H395" s="143"/>
      <c r="I395" s="114">
        <v>0</v>
      </c>
      <c r="J395" s="115">
        <v>0</v>
      </c>
      <c r="K395" s="116">
        <v>0</v>
      </c>
      <c r="L395" s="116">
        <v>0</v>
      </c>
      <c r="M395" s="114">
        <v>0</v>
      </c>
      <c r="N395" s="113">
        <v>0</v>
      </c>
      <c r="O395" s="113">
        <v>0</v>
      </c>
      <c r="P395" s="116">
        <v>0</v>
      </c>
      <c r="Q395" s="116">
        <v>0</v>
      </c>
      <c r="R395" s="116">
        <v>0</v>
      </c>
      <c r="S395" s="114">
        <v>0</v>
      </c>
      <c r="T395" s="116">
        <v>0</v>
      </c>
      <c r="U395" s="116">
        <v>0</v>
      </c>
      <c r="V395" s="121">
        <f t="shared" si="34"/>
        <v>0</v>
      </c>
      <c r="W395" s="111"/>
      <c r="X395" s="111"/>
      <c r="Y395" s="111"/>
      <c r="Z395" s="111"/>
      <c r="AA395" s="111"/>
      <c r="AB395" s="111"/>
      <c r="AC395" s="111"/>
      <c r="AD395" s="111"/>
      <c r="AE395" s="139">
        <f t="shared" si="33"/>
        <v>0</v>
      </c>
      <c r="AF395" s="109"/>
      <c r="AG395" s="109"/>
    </row>
    <row r="396" spans="1:33">
      <c r="A396" s="117"/>
      <c r="B396" s="118"/>
      <c r="C396" s="118"/>
      <c r="D396" s="118"/>
      <c r="E396" s="119"/>
      <c r="F396" s="118"/>
      <c r="G396" s="110"/>
      <c r="H396" s="143"/>
      <c r="I396" s="114">
        <v>0</v>
      </c>
      <c r="J396" s="115">
        <v>0</v>
      </c>
      <c r="K396" s="116">
        <v>0</v>
      </c>
      <c r="L396" s="116">
        <v>0</v>
      </c>
      <c r="M396" s="114">
        <v>0</v>
      </c>
      <c r="N396" s="113">
        <v>0</v>
      </c>
      <c r="O396" s="113">
        <v>0</v>
      </c>
      <c r="P396" s="116">
        <v>0</v>
      </c>
      <c r="Q396" s="116">
        <v>0</v>
      </c>
      <c r="R396" s="116">
        <v>0</v>
      </c>
      <c r="S396" s="114">
        <v>0</v>
      </c>
      <c r="T396" s="116">
        <v>0</v>
      </c>
      <c r="U396" s="116">
        <v>0</v>
      </c>
      <c r="V396" s="121">
        <f t="shared" si="34"/>
        <v>0</v>
      </c>
      <c r="W396" s="111"/>
      <c r="X396" s="111"/>
      <c r="Y396" s="111"/>
      <c r="Z396" s="111"/>
      <c r="AA396" s="111"/>
      <c r="AB396" s="111"/>
      <c r="AC396" s="111"/>
      <c r="AD396" s="111"/>
      <c r="AE396" s="139">
        <f t="shared" si="33"/>
        <v>0</v>
      </c>
      <c r="AF396" s="109"/>
      <c r="AG396" s="109"/>
    </row>
    <row r="397" spans="1:33">
      <c r="A397" s="117"/>
      <c r="B397" s="118"/>
      <c r="C397" s="118"/>
      <c r="D397" s="118"/>
      <c r="E397" s="119"/>
      <c r="F397" s="118"/>
      <c r="G397" s="110"/>
      <c r="H397" s="143"/>
      <c r="I397" s="114">
        <v>0</v>
      </c>
      <c r="J397" s="115">
        <v>0</v>
      </c>
      <c r="K397" s="116">
        <v>0</v>
      </c>
      <c r="L397" s="116">
        <v>0</v>
      </c>
      <c r="M397" s="114">
        <v>0</v>
      </c>
      <c r="N397" s="113">
        <v>0</v>
      </c>
      <c r="O397" s="113">
        <v>0</v>
      </c>
      <c r="P397" s="116">
        <v>0</v>
      </c>
      <c r="Q397" s="116">
        <v>0</v>
      </c>
      <c r="R397" s="116">
        <v>0</v>
      </c>
      <c r="S397" s="114">
        <v>0</v>
      </c>
      <c r="T397" s="116">
        <v>0</v>
      </c>
      <c r="U397" s="116">
        <v>0</v>
      </c>
      <c r="V397" s="121">
        <f t="shared" si="34"/>
        <v>0</v>
      </c>
      <c r="W397" s="111"/>
      <c r="X397" s="111"/>
      <c r="Y397" s="111"/>
      <c r="Z397" s="111"/>
      <c r="AA397" s="111"/>
      <c r="AB397" s="111"/>
      <c r="AC397" s="111"/>
      <c r="AD397" s="111"/>
      <c r="AE397" s="139">
        <f t="shared" si="33"/>
        <v>0</v>
      </c>
      <c r="AF397" s="109"/>
      <c r="AG397" s="109"/>
    </row>
    <row r="398" spans="1:33">
      <c r="A398" s="117"/>
      <c r="B398" s="118"/>
      <c r="C398" s="118"/>
      <c r="D398" s="118"/>
      <c r="E398" s="119"/>
      <c r="F398" s="118"/>
      <c r="G398" s="110"/>
      <c r="H398" s="143"/>
      <c r="I398" s="114">
        <v>0</v>
      </c>
      <c r="J398" s="115">
        <v>0</v>
      </c>
      <c r="K398" s="116">
        <v>0</v>
      </c>
      <c r="L398" s="116">
        <v>0</v>
      </c>
      <c r="M398" s="114">
        <v>0</v>
      </c>
      <c r="N398" s="113">
        <v>0</v>
      </c>
      <c r="O398" s="113">
        <v>0</v>
      </c>
      <c r="P398" s="116">
        <v>0</v>
      </c>
      <c r="Q398" s="116">
        <v>0</v>
      </c>
      <c r="R398" s="116">
        <v>0</v>
      </c>
      <c r="S398" s="114">
        <v>0</v>
      </c>
      <c r="T398" s="116">
        <v>0</v>
      </c>
      <c r="U398" s="116">
        <v>0</v>
      </c>
      <c r="V398" s="121">
        <f t="shared" si="34"/>
        <v>0</v>
      </c>
      <c r="W398" s="111"/>
      <c r="X398" s="111"/>
      <c r="Y398" s="111"/>
      <c r="Z398" s="111"/>
      <c r="AA398" s="111"/>
      <c r="AB398" s="111"/>
      <c r="AC398" s="111"/>
      <c r="AD398" s="111"/>
      <c r="AE398" s="139">
        <f t="shared" si="33"/>
        <v>0</v>
      </c>
      <c r="AF398" s="109"/>
      <c r="AG398" s="109"/>
    </row>
    <row r="399" spans="1:33">
      <c r="A399" s="117"/>
      <c r="B399" s="118"/>
      <c r="C399" s="118"/>
      <c r="D399" s="118"/>
      <c r="E399" s="119"/>
      <c r="F399" s="118"/>
      <c r="G399" s="110"/>
      <c r="H399" s="143"/>
      <c r="I399" s="114">
        <v>0</v>
      </c>
      <c r="J399" s="115">
        <v>0</v>
      </c>
      <c r="K399" s="116">
        <v>0</v>
      </c>
      <c r="L399" s="116">
        <v>0</v>
      </c>
      <c r="M399" s="114">
        <v>0</v>
      </c>
      <c r="N399" s="113">
        <v>0</v>
      </c>
      <c r="O399" s="113">
        <v>0</v>
      </c>
      <c r="P399" s="116">
        <v>0</v>
      </c>
      <c r="Q399" s="116">
        <v>0</v>
      </c>
      <c r="R399" s="116">
        <v>0</v>
      </c>
      <c r="S399" s="114">
        <v>0</v>
      </c>
      <c r="T399" s="116">
        <v>0</v>
      </c>
      <c r="U399" s="116">
        <v>0</v>
      </c>
      <c r="V399" s="121">
        <f t="shared" si="34"/>
        <v>0</v>
      </c>
      <c r="W399" s="111"/>
      <c r="X399" s="111"/>
      <c r="Y399" s="111"/>
      <c r="Z399" s="111"/>
      <c r="AA399" s="111"/>
      <c r="AB399" s="111"/>
      <c r="AC399" s="111"/>
      <c r="AD399" s="111"/>
      <c r="AE399" s="139">
        <f t="shared" si="33"/>
        <v>0</v>
      </c>
      <c r="AF399" s="109"/>
      <c r="AG399" s="109"/>
    </row>
    <row r="400" spans="1:33">
      <c r="A400" s="117"/>
      <c r="B400" s="118"/>
      <c r="C400" s="118"/>
      <c r="D400" s="118"/>
      <c r="E400" s="119"/>
      <c r="F400" s="118"/>
      <c r="G400" s="110"/>
      <c r="H400" s="143"/>
      <c r="I400" s="114">
        <v>0</v>
      </c>
      <c r="J400" s="115">
        <v>0</v>
      </c>
      <c r="K400" s="116">
        <v>0</v>
      </c>
      <c r="L400" s="116">
        <v>0</v>
      </c>
      <c r="M400" s="114">
        <v>0</v>
      </c>
      <c r="N400" s="113">
        <v>0</v>
      </c>
      <c r="O400" s="113">
        <v>0</v>
      </c>
      <c r="P400" s="116">
        <v>0</v>
      </c>
      <c r="Q400" s="116">
        <v>0</v>
      </c>
      <c r="R400" s="116">
        <v>0</v>
      </c>
      <c r="S400" s="114">
        <v>0</v>
      </c>
      <c r="T400" s="116">
        <v>0</v>
      </c>
      <c r="U400" s="116">
        <v>0</v>
      </c>
      <c r="V400" s="121">
        <f t="shared" si="34"/>
        <v>0</v>
      </c>
      <c r="W400" s="111"/>
      <c r="X400" s="111"/>
      <c r="Y400" s="111"/>
      <c r="Z400" s="111"/>
      <c r="AA400" s="111"/>
      <c r="AB400" s="111"/>
      <c r="AC400" s="111"/>
      <c r="AD400" s="111"/>
      <c r="AE400" s="139">
        <f t="shared" si="33"/>
        <v>0</v>
      </c>
      <c r="AF400" s="109"/>
      <c r="AG400" s="109"/>
    </row>
    <row r="401" spans="1:33">
      <c r="A401" s="117"/>
      <c r="B401" s="118"/>
      <c r="C401" s="118"/>
      <c r="D401" s="118"/>
      <c r="E401" s="119"/>
      <c r="F401" s="118"/>
      <c r="G401" s="110"/>
      <c r="H401" s="143"/>
      <c r="I401" s="114">
        <v>0</v>
      </c>
      <c r="J401" s="115">
        <v>0</v>
      </c>
      <c r="K401" s="116">
        <v>0</v>
      </c>
      <c r="L401" s="116">
        <v>0</v>
      </c>
      <c r="M401" s="114">
        <v>0</v>
      </c>
      <c r="N401" s="113">
        <v>0</v>
      </c>
      <c r="O401" s="113">
        <v>0</v>
      </c>
      <c r="P401" s="116">
        <v>0</v>
      </c>
      <c r="Q401" s="116">
        <v>0</v>
      </c>
      <c r="R401" s="116">
        <v>0</v>
      </c>
      <c r="S401" s="114">
        <v>0</v>
      </c>
      <c r="T401" s="116">
        <v>0</v>
      </c>
      <c r="U401" s="116">
        <v>0</v>
      </c>
      <c r="V401" s="121">
        <f t="shared" si="34"/>
        <v>0</v>
      </c>
      <c r="W401" s="111"/>
      <c r="X401" s="111"/>
      <c r="Y401" s="111"/>
      <c r="Z401" s="111"/>
      <c r="AA401" s="111"/>
      <c r="AB401" s="111"/>
      <c r="AC401" s="111"/>
      <c r="AD401" s="111"/>
      <c r="AE401" s="139">
        <f t="shared" si="33"/>
        <v>0</v>
      </c>
      <c r="AF401" s="109"/>
      <c r="AG401" s="109"/>
    </row>
    <row r="402" spans="1:33">
      <c r="A402" s="117"/>
      <c r="B402" s="118"/>
      <c r="C402" s="118"/>
      <c r="D402" s="118"/>
      <c r="E402" s="119"/>
      <c r="F402" s="118"/>
      <c r="G402" s="110"/>
      <c r="H402" s="143"/>
      <c r="I402" s="114">
        <v>0</v>
      </c>
      <c r="J402" s="115">
        <v>0</v>
      </c>
      <c r="K402" s="116">
        <v>0</v>
      </c>
      <c r="L402" s="116">
        <v>0</v>
      </c>
      <c r="M402" s="114">
        <v>0</v>
      </c>
      <c r="N402" s="113">
        <v>0</v>
      </c>
      <c r="O402" s="113">
        <v>0</v>
      </c>
      <c r="P402" s="116">
        <v>0</v>
      </c>
      <c r="Q402" s="116">
        <v>0</v>
      </c>
      <c r="R402" s="116">
        <v>0</v>
      </c>
      <c r="S402" s="114">
        <v>0</v>
      </c>
      <c r="T402" s="116">
        <v>0</v>
      </c>
      <c r="U402" s="116">
        <v>0</v>
      </c>
      <c r="V402" s="121">
        <f t="shared" si="34"/>
        <v>0</v>
      </c>
      <c r="W402" s="111"/>
      <c r="X402" s="111"/>
      <c r="Y402" s="111"/>
      <c r="Z402" s="111"/>
      <c r="AA402" s="111"/>
      <c r="AB402" s="111"/>
      <c r="AC402" s="111"/>
      <c r="AD402" s="111"/>
      <c r="AE402" s="139">
        <f t="shared" si="33"/>
        <v>0</v>
      </c>
      <c r="AF402" s="109"/>
      <c r="AG402" s="109"/>
    </row>
    <row r="403" spans="1:33">
      <c r="A403" s="117"/>
      <c r="B403" s="118"/>
      <c r="C403" s="118"/>
      <c r="D403" s="118"/>
      <c r="E403" s="119"/>
      <c r="F403" s="118"/>
      <c r="G403" s="110"/>
      <c r="H403" s="143"/>
      <c r="I403" s="114">
        <v>0</v>
      </c>
      <c r="J403" s="115">
        <v>0</v>
      </c>
      <c r="K403" s="116">
        <v>0</v>
      </c>
      <c r="L403" s="116">
        <v>0</v>
      </c>
      <c r="M403" s="114">
        <v>0</v>
      </c>
      <c r="N403" s="113">
        <v>0</v>
      </c>
      <c r="O403" s="113">
        <v>0</v>
      </c>
      <c r="P403" s="116">
        <v>0</v>
      </c>
      <c r="Q403" s="116">
        <v>0</v>
      </c>
      <c r="R403" s="116">
        <v>0</v>
      </c>
      <c r="S403" s="114">
        <v>0</v>
      </c>
      <c r="T403" s="116">
        <v>0</v>
      </c>
      <c r="U403" s="116">
        <v>0</v>
      </c>
      <c r="V403" s="121">
        <f t="shared" si="34"/>
        <v>0</v>
      </c>
      <c r="W403" s="111"/>
      <c r="X403" s="111"/>
      <c r="Y403" s="111"/>
      <c r="Z403" s="111"/>
      <c r="AA403" s="111"/>
      <c r="AB403" s="111"/>
      <c r="AC403" s="111"/>
      <c r="AD403" s="111"/>
      <c r="AE403" s="139">
        <f t="shared" si="33"/>
        <v>0</v>
      </c>
      <c r="AF403" s="109"/>
      <c r="AG403" s="109"/>
    </row>
    <row r="404" spans="1:33">
      <c r="A404" s="117"/>
      <c r="B404" s="118"/>
      <c r="C404" s="118"/>
      <c r="D404" s="118"/>
      <c r="E404" s="119"/>
      <c r="F404" s="118"/>
      <c r="G404" s="110"/>
      <c r="H404" s="143"/>
      <c r="I404" s="114">
        <v>0</v>
      </c>
      <c r="J404" s="115">
        <v>0</v>
      </c>
      <c r="K404" s="116">
        <v>0</v>
      </c>
      <c r="L404" s="116">
        <v>0</v>
      </c>
      <c r="M404" s="114">
        <v>0</v>
      </c>
      <c r="N404" s="113">
        <v>0</v>
      </c>
      <c r="O404" s="113">
        <v>0</v>
      </c>
      <c r="P404" s="116">
        <v>0</v>
      </c>
      <c r="Q404" s="116">
        <v>0</v>
      </c>
      <c r="R404" s="116">
        <v>0</v>
      </c>
      <c r="S404" s="114">
        <v>0</v>
      </c>
      <c r="T404" s="116">
        <v>0</v>
      </c>
      <c r="U404" s="116">
        <v>0</v>
      </c>
      <c r="V404" s="121">
        <f t="shared" si="34"/>
        <v>0</v>
      </c>
      <c r="W404" s="111"/>
      <c r="X404" s="111"/>
      <c r="Y404" s="111"/>
      <c r="Z404" s="111"/>
      <c r="AA404" s="111"/>
      <c r="AB404" s="111"/>
      <c r="AC404" s="111"/>
      <c r="AD404" s="111"/>
      <c r="AE404" s="139">
        <f t="shared" si="33"/>
        <v>0</v>
      </c>
      <c r="AF404" s="109"/>
      <c r="AG404" s="109"/>
    </row>
    <row r="405" spans="1:33">
      <c r="A405" s="117"/>
      <c r="B405" s="118"/>
      <c r="C405" s="118"/>
      <c r="D405" s="118"/>
      <c r="E405" s="119"/>
      <c r="F405" s="118"/>
      <c r="G405" s="110"/>
      <c r="H405" s="143"/>
      <c r="I405" s="114">
        <v>0</v>
      </c>
      <c r="J405" s="115">
        <v>0</v>
      </c>
      <c r="K405" s="116">
        <v>0</v>
      </c>
      <c r="L405" s="116">
        <v>0</v>
      </c>
      <c r="M405" s="114">
        <v>0</v>
      </c>
      <c r="N405" s="113">
        <v>0</v>
      </c>
      <c r="O405" s="113">
        <v>0</v>
      </c>
      <c r="P405" s="116">
        <v>0</v>
      </c>
      <c r="Q405" s="116">
        <v>0</v>
      </c>
      <c r="R405" s="116">
        <v>0</v>
      </c>
      <c r="S405" s="114">
        <v>0</v>
      </c>
      <c r="T405" s="116">
        <v>0</v>
      </c>
      <c r="U405" s="116">
        <v>0</v>
      </c>
      <c r="V405" s="121">
        <f t="shared" si="34"/>
        <v>0</v>
      </c>
      <c r="W405" s="111"/>
      <c r="X405" s="111"/>
      <c r="Y405" s="111"/>
      <c r="Z405" s="111"/>
      <c r="AA405" s="111"/>
      <c r="AB405" s="111"/>
      <c r="AC405" s="111"/>
      <c r="AD405" s="111"/>
      <c r="AE405" s="139">
        <f t="shared" si="33"/>
        <v>0</v>
      </c>
      <c r="AF405" s="109"/>
      <c r="AG405" s="109"/>
    </row>
    <row r="406" spans="1:33">
      <c r="A406" s="117"/>
      <c r="B406" s="118"/>
      <c r="C406" s="118"/>
      <c r="D406" s="118"/>
      <c r="E406" s="119"/>
      <c r="F406" s="118"/>
      <c r="G406" s="110"/>
      <c r="H406" s="143"/>
      <c r="I406" s="114">
        <v>0</v>
      </c>
      <c r="J406" s="115">
        <v>0</v>
      </c>
      <c r="K406" s="116">
        <v>0</v>
      </c>
      <c r="L406" s="116">
        <v>0</v>
      </c>
      <c r="M406" s="114">
        <v>0</v>
      </c>
      <c r="N406" s="113">
        <v>0</v>
      </c>
      <c r="O406" s="113">
        <v>0</v>
      </c>
      <c r="P406" s="116">
        <v>0</v>
      </c>
      <c r="Q406" s="116">
        <v>0</v>
      </c>
      <c r="R406" s="116">
        <v>0</v>
      </c>
      <c r="S406" s="114">
        <v>0</v>
      </c>
      <c r="T406" s="116">
        <v>0</v>
      </c>
      <c r="U406" s="116">
        <v>0</v>
      </c>
      <c r="V406" s="121">
        <f t="shared" si="34"/>
        <v>0</v>
      </c>
      <c r="W406" s="111"/>
      <c r="X406" s="111"/>
      <c r="Y406" s="111"/>
      <c r="Z406" s="111"/>
      <c r="AA406" s="111"/>
      <c r="AB406" s="111"/>
      <c r="AC406" s="111"/>
      <c r="AD406" s="111"/>
      <c r="AE406" s="139">
        <f t="shared" si="33"/>
        <v>0</v>
      </c>
      <c r="AF406" s="109"/>
      <c r="AG406" s="109"/>
    </row>
    <row r="407" spans="1:33">
      <c r="A407" s="117"/>
      <c r="B407" s="118"/>
      <c r="C407" s="118"/>
      <c r="D407" s="118"/>
      <c r="E407" s="119"/>
      <c r="F407" s="118"/>
      <c r="G407" s="110"/>
      <c r="H407" s="143"/>
      <c r="I407" s="114">
        <v>0</v>
      </c>
      <c r="J407" s="115">
        <v>0</v>
      </c>
      <c r="K407" s="116">
        <v>0</v>
      </c>
      <c r="L407" s="116">
        <v>0</v>
      </c>
      <c r="M407" s="114">
        <v>0</v>
      </c>
      <c r="N407" s="113">
        <v>0</v>
      </c>
      <c r="O407" s="113">
        <v>0</v>
      </c>
      <c r="P407" s="116">
        <v>0</v>
      </c>
      <c r="Q407" s="116">
        <v>0</v>
      </c>
      <c r="R407" s="116">
        <v>0</v>
      </c>
      <c r="S407" s="114">
        <v>0</v>
      </c>
      <c r="T407" s="116">
        <v>0</v>
      </c>
      <c r="U407" s="116">
        <v>0</v>
      </c>
      <c r="V407" s="121">
        <f t="shared" si="34"/>
        <v>0</v>
      </c>
      <c r="W407" s="111"/>
      <c r="X407" s="111"/>
      <c r="Y407" s="111"/>
      <c r="Z407" s="111"/>
      <c r="AA407" s="111"/>
      <c r="AB407" s="111"/>
      <c r="AC407" s="111"/>
      <c r="AD407" s="111"/>
      <c r="AE407" s="139">
        <f t="shared" si="33"/>
        <v>0</v>
      </c>
      <c r="AF407" s="109"/>
      <c r="AG407" s="109"/>
    </row>
    <row r="408" spans="1:33">
      <c r="A408" s="117"/>
      <c r="B408" s="118"/>
      <c r="C408" s="118"/>
      <c r="D408" s="118"/>
      <c r="E408" s="119"/>
      <c r="F408" s="118"/>
      <c r="G408" s="110"/>
      <c r="H408" s="143"/>
      <c r="I408" s="114">
        <v>0</v>
      </c>
      <c r="J408" s="115">
        <v>0</v>
      </c>
      <c r="K408" s="116">
        <v>0</v>
      </c>
      <c r="L408" s="116">
        <v>0</v>
      </c>
      <c r="M408" s="114">
        <v>0</v>
      </c>
      <c r="N408" s="113">
        <v>0</v>
      </c>
      <c r="O408" s="113">
        <v>0</v>
      </c>
      <c r="P408" s="116">
        <v>0</v>
      </c>
      <c r="Q408" s="116">
        <v>0</v>
      </c>
      <c r="R408" s="116">
        <v>0</v>
      </c>
      <c r="S408" s="114">
        <v>0</v>
      </c>
      <c r="T408" s="116">
        <v>0</v>
      </c>
      <c r="U408" s="116">
        <v>0</v>
      </c>
      <c r="V408" s="121">
        <f t="shared" si="34"/>
        <v>0</v>
      </c>
      <c r="W408" s="111"/>
      <c r="X408" s="111"/>
      <c r="Y408" s="111"/>
      <c r="Z408" s="111"/>
      <c r="AA408" s="111"/>
      <c r="AB408" s="111"/>
      <c r="AC408" s="111"/>
      <c r="AD408" s="111"/>
      <c r="AE408" s="139">
        <f t="shared" si="33"/>
        <v>0</v>
      </c>
      <c r="AF408" s="109"/>
      <c r="AG408" s="109"/>
    </row>
    <row r="409" spans="1:33">
      <c r="A409" s="117"/>
      <c r="B409" s="118"/>
      <c r="C409" s="118"/>
      <c r="D409" s="118"/>
      <c r="E409" s="119"/>
      <c r="F409" s="118"/>
      <c r="G409" s="110"/>
      <c r="H409" s="143"/>
      <c r="I409" s="114">
        <v>0</v>
      </c>
      <c r="J409" s="115">
        <v>0</v>
      </c>
      <c r="K409" s="116">
        <v>0</v>
      </c>
      <c r="L409" s="116">
        <v>0</v>
      </c>
      <c r="M409" s="114">
        <v>0</v>
      </c>
      <c r="N409" s="113">
        <v>0</v>
      </c>
      <c r="O409" s="113">
        <v>0</v>
      </c>
      <c r="P409" s="116">
        <v>0</v>
      </c>
      <c r="Q409" s="116">
        <v>0</v>
      </c>
      <c r="R409" s="116">
        <v>0</v>
      </c>
      <c r="S409" s="114">
        <v>0</v>
      </c>
      <c r="T409" s="116">
        <v>0</v>
      </c>
      <c r="U409" s="116">
        <v>0</v>
      </c>
      <c r="V409" s="121">
        <f t="shared" si="34"/>
        <v>0</v>
      </c>
      <c r="W409" s="111"/>
      <c r="X409" s="111"/>
      <c r="Y409" s="111"/>
      <c r="Z409" s="111"/>
      <c r="AA409" s="111"/>
      <c r="AB409" s="111"/>
      <c r="AC409" s="111"/>
      <c r="AD409" s="111"/>
      <c r="AE409" s="139">
        <f t="shared" si="33"/>
        <v>0</v>
      </c>
      <c r="AF409" s="109"/>
      <c r="AG409" s="109"/>
    </row>
    <row r="410" spans="1:33">
      <c r="A410" s="117"/>
      <c r="B410" s="118"/>
      <c r="C410" s="118"/>
      <c r="D410" s="118"/>
      <c r="E410" s="119"/>
      <c r="F410" s="118"/>
      <c r="G410" s="110"/>
      <c r="H410" s="143"/>
      <c r="I410" s="114">
        <v>0</v>
      </c>
      <c r="J410" s="115">
        <v>0</v>
      </c>
      <c r="K410" s="116">
        <v>0</v>
      </c>
      <c r="L410" s="116">
        <v>0</v>
      </c>
      <c r="M410" s="114">
        <v>0</v>
      </c>
      <c r="N410" s="113">
        <v>0</v>
      </c>
      <c r="O410" s="113">
        <v>0</v>
      </c>
      <c r="P410" s="116">
        <v>0</v>
      </c>
      <c r="Q410" s="116">
        <v>0</v>
      </c>
      <c r="R410" s="116">
        <v>0</v>
      </c>
      <c r="S410" s="114">
        <v>0</v>
      </c>
      <c r="T410" s="116">
        <v>0</v>
      </c>
      <c r="U410" s="116">
        <v>0</v>
      </c>
      <c r="V410" s="121">
        <f t="shared" si="34"/>
        <v>0</v>
      </c>
      <c r="W410" s="111"/>
      <c r="X410" s="111"/>
      <c r="Y410" s="111"/>
      <c r="Z410" s="111"/>
      <c r="AA410" s="111"/>
      <c r="AB410" s="111"/>
      <c r="AC410" s="111"/>
      <c r="AD410" s="111"/>
      <c r="AE410" s="139">
        <f t="shared" si="33"/>
        <v>0</v>
      </c>
      <c r="AF410" s="109"/>
      <c r="AG410" s="109"/>
    </row>
    <row r="411" spans="1:33">
      <c r="A411" s="117"/>
      <c r="B411" s="118"/>
      <c r="C411" s="118"/>
      <c r="D411" s="118"/>
      <c r="E411" s="119"/>
      <c r="F411" s="118"/>
      <c r="G411" s="110"/>
      <c r="H411" s="143"/>
      <c r="I411" s="114">
        <v>0</v>
      </c>
      <c r="J411" s="115">
        <v>0</v>
      </c>
      <c r="K411" s="116">
        <v>0</v>
      </c>
      <c r="L411" s="116">
        <v>0</v>
      </c>
      <c r="M411" s="114">
        <v>0</v>
      </c>
      <c r="N411" s="113">
        <v>0</v>
      </c>
      <c r="O411" s="113">
        <v>0</v>
      </c>
      <c r="P411" s="116">
        <v>0</v>
      </c>
      <c r="Q411" s="116">
        <v>0</v>
      </c>
      <c r="R411" s="116">
        <v>0</v>
      </c>
      <c r="S411" s="114">
        <v>0</v>
      </c>
      <c r="T411" s="116">
        <v>0</v>
      </c>
      <c r="U411" s="116">
        <v>0</v>
      </c>
      <c r="V411" s="121">
        <f t="shared" si="34"/>
        <v>0</v>
      </c>
      <c r="W411" s="111"/>
      <c r="X411" s="111"/>
      <c r="Y411" s="111"/>
      <c r="Z411" s="111"/>
      <c r="AA411" s="111"/>
      <c r="AB411" s="111"/>
      <c r="AC411" s="111"/>
      <c r="AD411" s="111"/>
      <c r="AE411" s="139">
        <f t="shared" si="33"/>
        <v>0</v>
      </c>
      <c r="AF411" s="109"/>
      <c r="AG411" s="109"/>
    </row>
    <row r="412" spans="1:33">
      <c r="A412" s="117"/>
      <c r="B412" s="118"/>
      <c r="C412" s="118"/>
      <c r="D412" s="118"/>
      <c r="E412" s="119"/>
      <c r="F412" s="118"/>
      <c r="G412" s="110"/>
      <c r="H412" s="143"/>
      <c r="I412" s="114">
        <v>0</v>
      </c>
      <c r="J412" s="115">
        <v>0</v>
      </c>
      <c r="K412" s="116">
        <v>0</v>
      </c>
      <c r="L412" s="116">
        <v>0</v>
      </c>
      <c r="M412" s="114">
        <v>0</v>
      </c>
      <c r="N412" s="113">
        <v>0</v>
      </c>
      <c r="O412" s="113">
        <v>0</v>
      </c>
      <c r="P412" s="116">
        <v>0</v>
      </c>
      <c r="Q412" s="116">
        <v>0</v>
      </c>
      <c r="R412" s="116">
        <v>0</v>
      </c>
      <c r="S412" s="114">
        <v>0</v>
      </c>
      <c r="T412" s="116">
        <v>0</v>
      </c>
      <c r="U412" s="116">
        <v>0</v>
      </c>
      <c r="V412" s="121">
        <f t="shared" si="34"/>
        <v>0</v>
      </c>
      <c r="W412" s="111"/>
      <c r="X412" s="111"/>
      <c r="Y412" s="111"/>
      <c r="Z412" s="111"/>
      <c r="AA412" s="111"/>
      <c r="AB412" s="111"/>
      <c r="AC412" s="111"/>
      <c r="AD412" s="111"/>
      <c r="AE412" s="139">
        <f t="shared" si="33"/>
        <v>0</v>
      </c>
      <c r="AF412" s="109"/>
      <c r="AG412" s="109"/>
    </row>
    <row r="413" spans="1:33">
      <c r="A413" s="117"/>
      <c r="B413" s="118"/>
      <c r="C413" s="118"/>
      <c r="D413" s="118"/>
      <c r="E413" s="119"/>
      <c r="F413" s="118"/>
      <c r="G413" s="110"/>
      <c r="H413" s="143"/>
      <c r="I413" s="114">
        <v>0</v>
      </c>
      <c r="J413" s="115">
        <v>0</v>
      </c>
      <c r="K413" s="116">
        <v>0</v>
      </c>
      <c r="L413" s="116">
        <v>0</v>
      </c>
      <c r="M413" s="114">
        <v>0</v>
      </c>
      <c r="N413" s="113">
        <v>0</v>
      </c>
      <c r="O413" s="113">
        <v>0</v>
      </c>
      <c r="P413" s="116">
        <v>0</v>
      </c>
      <c r="Q413" s="116">
        <v>0</v>
      </c>
      <c r="R413" s="116">
        <v>0</v>
      </c>
      <c r="S413" s="114">
        <v>0</v>
      </c>
      <c r="T413" s="116">
        <v>0</v>
      </c>
      <c r="U413" s="116">
        <v>0</v>
      </c>
      <c r="V413" s="121">
        <f t="shared" si="34"/>
        <v>0</v>
      </c>
      <c r="W413" s="111"/>
      <c r="X413" s="111"/>
      <c r="Y413" s="111"/>
      <c r="Z413" s="111"/>
      <c r="AA413" s="111"/>
      <c r="AB413" s="111"/>
      <c r="AC413" s="111"/>
      <c r="AD413" s="111"/>
      <c r="AE413" s="139">
        <f t="shared" si="33"/>
        <v>0</v>
      </c>
      <c r="AF413" s="109"/>
      <c r="AG413" s="109"/>
    </row>
    <row r="414" spans="1:33">
      <c r="A414" s="117"/>
      <c r="B414" s="118"/>
      <c r="C414" s="118"/>
      <c r="D414" s="118"/>
      <c r="E414" s="119"/>
      <c r="F414" s="118"/>
      <c r="G414" s="110"/>
      <c r="H414" s="143"/>
      <c r="I414" s="114">
        <v>0</v>
      </c>
      <c r="J414" s="115">
        <v>0</v>
      </c>
      <c r="K414" s="116">
        <v>0</v>
      </c>
      <c r="L414" s="116">
        <v>0</v>
      </c>
      <c r="M414" s="114">
        <v>0</v>
      </c>
      <c r="N414" s="113">
        <v>0</v>
      </c>
      <c r="O414" s="113">
        <v>0</v>
      </c>
      <c r="P414" s="116">
        <v>0</v>
      </c>
      <c r="Q414" s="116">
        <v>0</v>
      </c>
      <c r="R414" s="116">
        <v>0</v>
      </c>
      <c r="S414" s="114">
        <v>0</v>
      </c>
      <c r="T414" s="116">
        <v>0</v>
      </c>
      <c r="U414" s="116">
        <v>0</v>
      </c>
      <c r="V414" s="121">
        <f t="shared" si="34"/>
        <v>0</v>
      </c>
      <c r="W414" s="111"/>
      <c r="X414" s="111"/>
      <c r="Y414" s="111"/>
      <c r="Z414" s="111"/>
      <c r="AA414" s="111"/>
      <c r="AB414" s="111"/>
      <c r="AC414" s="111"/>
      <c r="AD414" s="111"/>
      <c r="AE414" s="139">
        <f t="shared" si="33"/>
        <v>0</v>
      </c>
      <c r="AF414" s="109"/>
      <c r="AG414" s="109"/>
    </row>
    <row r="415" spans="1:33">
      <c r="A415" s="117"/>
      <c r="B415" s="118"/>
      <c r="C415" s="118"/>
      <c r="D415" s="118"/>
      <c r="E415" s="119"/>
      <c r="F415" s="118"/>
      <c r="G415" s="110"/>
      <c r="H415" s="143"/>
      <c r="I415" s="114">
        <v>0</v>
      </c>
      <c r="J415" s="115">
        <v>0</v>
      </c>
      <c r="K415" s="116">
        <v>0</v>
      </c>
      <c r="L415" s="116">
        <v>0</v>
      </c>
      <c r="M415" s="114">
        <v>0</v>
      </c>
      <c r="N415" s="113">
        <v>0</v>
      </c>
      <c r="O415" s="113">
        <v>0</v>
      </c>
      <c r="P415" s="116">
        <v>0</v>
      </c>
      <c r="Q415" s="116">
        <v>0</v>
      </c>
      <c r="R415" s="116">
        <v>0</v>
      </c>
      <c r="S415" s="114">
        <v>0</v>
      </c>
      <c r="T415" s="116">
        <v>0</v>
      </c>
      <c r="U415" s="116">
        <v>0</v>
      </c>
      <c r="V415" s="121">
        <f t="shared" si="34"/>
        <v>0</v>
      </c>
      <c r="W415" s="111"/>
      <c r="X415" s="111"/>
      <c r="Y415" s="111"/>
      <c r="Z415" s="111"/>
      <c r="AA415" s="111"/>
      <c r="AB415" s="111"/>
      <c r="AC415" s="111"/>
      <c r="AD415" s="111"/>
      <c r="AE415" s="139">
        <f t="shared" si="33"/>
        <v>0</v>
      </c>
      <c r="AF415" s="109"/>
      <c r="AG415" s="109"/>
    </row>
    <row r="416" spans="1:33">
      <c r="A416" s="117"/>
      <c r="B416" s="118"/>
      <c r="C416" s="118"/>
      <c r="D416" s="118"/>
      <c r="E416" s="119"/>
      <c r="F416" s="118"/>
      <c r="G416" s="110"/>
      <c r="H416" s="143"/>
      <c r="I416" s="114">
        <v>0</v>
      </c>
      <c r="J416" s="115">
        <v>0</v>
      </c>
      <c r="K416" s="116">
        <v>0</v>
      </c>
      <c r="L416" s="116">
        <v>0</v>
      </c>
      <c r="M416" s="114">
        <v>0</v>
      </c>
      <c r="N416" s="113">
        <v>0</v>
      </c>
      <c r="O416" s="113">
        <v>0</v>
      </c>
      <c r="P416" s="116">
        <v>0</v>
      </c>
      <c r="Q416" s="116">
        <v>0</v>
      </c>
      <c r="R416" s="116">
        <v>0</v>
      </c>
      <c r="S416" s="114">
        <v>0</v>
      </c>
      <c r="T416" s="116">
        <v>0</v>
      </c>
      <c r="U416" s="116">
        <v>0</v>
      </c>
      <c r="V416" s="121">
        <f t="shared" si="34"/>
        <v>0</v>
      </c>
      <c r="W416" s="111"/>
      <c r="X416" s="111"/>
      <c r="Y416" s="111"/>
      <c r="Z416" s="111"/>
      <c r="AA416" s="111"/>
      <c r="AB416" s="111"/>
      <c r="AC416" s="111"/>
      <c r="AD416" s="111"/>
      <c r="AE416" s="139">
        <f t="shared" si="33"/>
        <v>0</v>
      </c>
      <c r="AF416" s="109"/>
      <c r="AG416" s="109"/>
    </row>
    <row r="417" spans="1:33">
      <c r="A417" s="117"/>
      <c r="B417" s="118"/>
      <c r="C417" s="118"/>
      <c r="D417" s="118"/>
      <c r="E417" s="119"/>
      <c r="F417" s="118"/>
      <c r="G417" s="110"/>
      <c r="H417" s="143"/>
      <c r="I417" s="114">
        <v>0</v>
      </c>
      <c r="J417" s="115">
        <v>0</v>
      </c>
      <c r="K417" s="116">
        <v>0</v>
      </c>
      <c r="L417" s="116">
        <v>0</v>
      </c>
      <c r="M417" s="114">
        <v>0</v>
      </c>
      <c r="N417" s="113">
        <v>0</v>
      </c>
      <c r="O417" s="113">
        <v>0</v>
      </c>
      <c r="P417" s="116">
        <v>0</v>
      </c>
      <c r="Q417" s="116">
        <v>0</v>
      </c>
      <c r="R417" s="116">
        <v>0</v>
      </c>
      <c r="S417" s="114">
        <v>0</v>
      </c>
      <c r="T417" s="116">
        <v>0</v>
      </c>
      <c r="U417" s="116">
        <v>0</v>
      </c>
      <c r="V417" s="121">
        <f t="shared" si="34"/>
        <v>0</v>
      </c>
      <c r="W417" s="111"/>
      <c r="X417" s="111"/>
      <c r="Y417" s="111"/>
      <c r="Z417" s="111"/>
      <c r="AA417" s="111"/>
      <c r="AB417" s="111"/>
      <c r="AC417" s="111"/>
      <c r="AD417" s="111"/>
      <c r="AE417" s="139">
        <f t="shared" si="33"/>
        <v>0</v>
      </c>
      <c r="AF417" s="109"/>
      <c r="AG417" s="109"/>
    </row>
    <row r="418" spans="1:33">
      <c r="A418" s="117"/>
      <c r="B418" s="118"/>
      <c r="C418" s="118"/>
      <c r="D418" s="118"/>
      <c r="E418" s="119"/>
      <c r="F418" s="118"/>
      <c r="G418" s="110"/>
      <c r="H418" s="143"/>
      <c r="I418" s="114">
        <v>0</v>
      </c>
      <c r="J418" s="115">
        <v>0</v>
      </c>
      <c r="K418" s="116">
        <v>0</v>
      </c>
      <c r="L418" s="116">
        <v>0</v>
      </c>
      <c r="M418" s="114">
        <v>0</v>
      </c>
      <c r="N418" s="113">
        <v>0</v>
      </c>
      <c r="O418" s="113">
        <v>0</v>
      </c>
      <c r="P418" s="116">
        <v>0</v>
      </c>
      <c r="Q418" s="116">
        <v>0</v>
      </c>
      <c r="R418" s="116">
        <v>0</v>
      </c>
      <c r="S418" s="114">
        <v>0</v>
      </c>
      <c r="T418" s="116">
        <v>0</v>
      </c>
      <c r="U418" s="116">
        <v>0</v>
      </c>
      <c r="V418" s="121">
        <f t="shared" si="34"/>
        <v>0</v>
      </c>
      <c r="W418" s="111"/>
      <c r="X418" s="111"/>
      <c r="Y418" s="111"/>
      <c r="Z418" s="111"/>
      <c r="AA418" s="111"/>
      <c r="AB418" s="111"/>
      <c r="AC418" s="111"/>
      <c r="AD418" s="111"/>
      <c r="AE418" s="139">
        <f t="shared" si="33"/>
        <v>0</v>
      </c>
      <c r="AF418" s="109"/>
      <c r="AG418" s="109"/>
    </row>
    <row r="419" spans="1:33">
      <c r="A419" s="117"/>
      <c r="B419" s="118"/>
      <c r="C419" s="118"/>
      <c r="D419" s="118"/>
      <c r="E419" s="119"/>
      <c r="F419" s="118"/>
      <c r="G419" s="110"/>
      <c r="H419" s="143"/>
      <c r="I419" s="114">
        <v>0</v>
      </c>
      <c r="J419" s="115">
        <v>0</v>
      </c>
      <c r="K419" s="116">
        <v>0</v>
      </c>
      <c r="L419" s="116">
        <v>0</v>
      </c>
      <c r="M419" s="114">
        <v>0</v>
      </c>
      <c r="N419" s="113">
        <v>0</v>
      </c>
      <c r="O419" s="113">
        <v>0</v>
      </c>
      <c r="P419" s="116">
        <v>0</v>
      </c>
      <c r="Q419" s="116">
        <v>0</v>
      </c>
      <c r="R419" s="116">
        <v>0</v>
      </c>
      <c r="S419" s="114">
        <v>0</v>
      </c>
      <c r="T419" s="116">
        <v>0</v>
      </c>
      <c r="U419" s="116">
        <v>0</v>
      </c>
      <c r="V419" s="121">
        <f t="shared" si="34"/>
        <v>0</v>
      </c>
      <c r="W419" s="111"/>
      <c r="X419" s="111"/>
      <c r="Y419" s="111"/>
      <c r="Z419" s="111"/>
      <c r="AA419" s="111"/>
      <c r="AB419" s="111"/>
      <c r="AC419" s="111"/>
      <c r="AD419" s="111"/>
      <c r="AE419" s="139">
        <f t="shared" si="33"/>
        <v>0</v>
      </c>
      <c r="AF419" s="109"/>
      <c r="AG419" s="109"/>
    </row>
    <row r="420" spans="1:33">
      <c r="A420" s="117"/>
      <c r="B420" s="118"/>
      <c r="C420" s="118"/>
      <c r="D420" s="118"/>
      <c r="E420" s="119"/>
      <c r="F420" s="118"/>
      <c r="G420" s="110"/>
      <c r="H420" s="143"/>
      <c r="I420" s="114">
        <v>0</v>
      </c>
      <c r="J420" s="115">
        <v>0</v>
      </c>
      <c r="K420" s="116">
        <v>0</v>
      </c>
      <c r="L420" s="116">
        <v>0</v>
      </c>
      <c r="M420" s="114">
        <v>0</v>
      </c>
      <c r="N420" s="113">
        <v>0</v>
      </c>
      <c r="O420" s="113">
        <v>0</v>
      </c>
      <c r="P420" s="116">
        <v>0</v>
      </c>
      <c r="Q420" s="116">
        <v>0</v>
      </c>
      <c r="R420" s="116">
        <v>0</v>
      </c>
      <c r="S420" s="114">
        <v>0</v>
      </c>
      <c r="T420" s="116">
        <v>0</v>
      </c>
      <c r="U420" s="116">
        <v>0</v>
      </c>
      <c r="V420" s="121">
        <f t="shared" si="34"/>
        <v>0</v>
      </c>
      <c r="W420" s="111"/>
      <c r="X420" s="111"/>
      <c r="Y420" s="111"/>
      <c r="Z420" s="111"/>
      <c r="AA420" s="111"/>
      <c r="AB420" s="111"/>
      <c r="AC420" s="111"/>
      <c r="AD420" s="111"/>
      <c r="AE420" s="139">
        <f t="shared" si="33"/>
        <v>0</v>
      </c>
      <c r="AF420" s="109"/>
      <c r="AG420" s="109"/>
    </row>
    <row r="421" spans="1:33">
      <c r="A421" s="117"/>
      <c r="B421" s="118"/>
      <c r="C421" s="118"/>
      <c r="D421" s="118"/>
      <c r="E421" s="119"/>
      <c r="F421" s="118"/>
      <c r="G421" s="110"/>
      <c r="H421" s="143"/>
      <c r="I421" s="114">
        <v>0</v>
      </c>
      <c r="J421" s="115">
        <v>0</v>
      </c>
      <c r="K421" s="116">
        <v>0</v>
      </c>
      <c r="L421" s="116">
        <v>0</v>
      </c>
      <c r="M421" s="114">
        <v>0</v>
      </c>
      <c r="N421" s="113">
        <v>0</v>
      </c>
      <c r="O421" s="113">
        <v>0</v>
      </c>
      <c r="P421" s="116">
        <v>0</v>
      </c>
      <c r="Q421" s="116">
        <v>0</v>
      </c>
      <c r="R421" s="116">
        <v>0</v>
      </c>
      <c r="S421" s="114">
        <v>0</v>
      </c>
      <c r="T421" s="116">
        <v>0</v>
      </c>
      <c r="U421" s="116">
        <v>0</v>
      </c>
      <c r="V421" s="121">
        <f t="shared" si="34"/>
        <v>0</v>
      </c>
      <c r="W421" s="111"/>
      <c r="X421" s="111"/>
      <c r="Y421" s="111"/>
      <c r="Z421" s="111"/>
      <c r="AA421" s="111"/>
      <c r="AB421" s="111"/>
      <c r="AC421" s="111"/>
      <c r="AD421" s="111"/>
      <c r="AE421" s="139">
        <f t="shared" si="33"/>
        <v>0</v>
      </c>
      <c r="AF421" s="109"/>
      <c r="AG421" s="109"/>
    </row>
    <row r="422" spans="1:33">
      <c r="A422" s="117"/>
      <c r="B422" s="118"/>
      <c r="C422" s="118"/>
      <c r="D422" s="118"/>
      <c r="E422" s="119"/>
      <c r="F422" s="118"/>
      <c r="G422" s="110"/>
      <c r="H422" s="143"/>
      <c r="I422" s="114">
        <v>0</v>
      </c>
      <c r="J422" s="115">
        <v>0</v>
      </c>
      <c r="K422" s="116">
        <v>0</v>
      </c>
      <c r="L422" s="116">
        <v>0</v>
      </c>
      <c r="M422" s="114">
        <v>0</v>
      </c>
      <c r="N422" s="113">
        <v>0</v>
      </c>
      <c r="O422" s="113">
        <v>0</v>
      </c>
      <c r="P422" s="116">
        <v>0</v>
      </c>
      <c r="Q422" s="116">
        <v>0</v>
      </c>
      <c r="R422" s="116">
        <v>0</v>
      </c>
      <c r="S422" s="114">
        <v>0</v>
      </c>
      <c r="T422" s="116">
        <v>0</v>
      </c>
      <c r="U422" s="116">
        <v>0</v>
      </c>
      <c r="V422" s="121">
        <f t="shared" si="34"/>
        <v>0</v>
      </c>
      <c r="W422" s="111"/>
      <c r="X422" s="111"/>
      <c r="Y422" s="111"/>
      <c r="Z422" s="111"/>
      <c r="AA422" s="111"/>
      <c r="AB422" s="111"/>
      <c r="AC422" s="111"/>
      <c r="AD422" s="111"/>
      <c r="AE422" s="139">
        <f t="shared" si="33"/>
        <v>0</v>
      </c>
      <c r="AF422" s="109"/>
      <c r="AG422" s="109"/>
    </row>
    <row r="423" spans="1:33">
      <c r="A423" s="117"/>
      <c r="B423" s="118"/>
      <c r="C423" s="118"/>
      <c r="D423" s="118"/>
      <c r="E423" s="119"/>
      <c r="F423" s="118"/>
      <c r="G423" s="110"/>
      <c r="H423" s="143"/>
      <c r="I423" s="114">
        <v>0</v>
      </c>
      <c r="J423" s="115">
        <v>0</v>
      </c>
      <c r="K423" s="116">
        <v>0</v>
      </c>
      <c r="L423" s="116">
        <v>0</v>
      </c>
      <c r="M423" s="114">
        <v>0</v>
      </c>
      <c r="N423" s="113">
        <v>0</v>
      </c>
      <c r="O423" s="113">
        <v>0</v>
      </c>
      <c r="P423" s="116">
        <v>0</v>
      </c>
      <c r="Q423" s="116">
        <v>0</v>
      </c>
      <c r="R423" s="116">
        <v>0</v>
      </c>
      <c r="S423" s="114">
        <v>0</v>
      </c>
      <c r="T423" s="116">
        <v>0</v>
      </c>
      <c r="U423" s="116">
        <v>0</v>
      </c>
      <c r="V423" s="121">
        <f t="shared" si="34"/>
        <v>0</v>
      </c>
      <c r="W423" s="111"/>
      <c r="X423" s="111"/>
      <c r="Y423" s="111"/>
      <c r="Z423" s="111"/>
      <c r="AA423" s="111"/>
      <c r="AB423" s="111"/>
      <c r="AC423" s="111"/>
      <c r="AD423" s="111"/>
      <c r="AE423" s="139">
        <f t="shared" si="33"/>
        <v>0</v>
      </c>
      <c r="AF423" s="109"/>
      <c r="AG423" s="109"/>
    </row>
    <row r="424" spans="1:33">
      <c r="A424" s="117"/>
      <c r="B424" s="118"/>
      <c r="C424" s="118"/>
      <c r="D424" s="118"/>
      <c r="E424" s="119"/>
      <c r="F424" s="118"/>
      <c r="G424" s="110"/>
      <c r="H424" s="143"/>
      <c r="I424" s="114">
        <v>0</v>
      </c>
      <c r="J424" s="115">
        <v>0</v>
      </c>
      <c r="K424" s="116">
        <v>0</v>
      </c>
      <c r="L424" s="116">
        <v>0</v>
      </c>
      <c r="M424" s="114">
        <v>0</v>
      </c>
      <c r="N424" s="113">
        <v>0</v>
      </c>
      <c r="O424" s="113">
        <v>0</v>
      </c>
      <c r="P424" s="116">
        <v>0</v>
      </c>
      <c r="Q424" s="116">
        <v>0</v>
      </c>
      <c r="R424" s="116">
        <v>0</v>
      </c>
      <c r="S424" s="114">
        <v>0</v>
      </c>
      <c r="T424" s="116">
        <v>0</v>
      </c>
      <c r="U424" s="116">
        <v>0</v>
      </c>
      <c r="V424" s="121">
        <f t="shared" si="34"/>
        <v>0</v>
      </c>
      <c r="W424" s="111"/>
      <c r="X424" s="111"/>
      <c r="Y424" s="111"/>
      <c r="Z424" s="111"/>
      <c r="AA424" s="111"/>
      <c r="AB424" s="111"/>
      <c r="AC424" s="111"/>
      <c r="AD424" s="111"/>
      <c r="AE424" s="139">
        <f t="shared" si="33"/>
        <v>0</v>
      </c>
      <c r="AF424" s="109"/>
      <c r="AG424" s="109"/>
    </row>
    <row r="425" spans="1:33">
      <c r="A425" s="117"/>
      <c r="B425" s="118"/>
      <c r="C425" s="118"/>
      <c r="D425" s="118"/>
      <c r="E425" s="119"/>
      <c r="F425" s="118"/>
      <c r="G425" s="110"/>
      <c r="H425" s="143"/>
      <c r="I425" s="114">
        <v>0</v>
      </c>
      <c r="J425" s="115">
        <v>0</v>
      </c>
      <c r="K425" s="116">
        <v>0</v>
      </c>
      <c r="L425" s="116">
        <v>0</v>
      </c>
      <c r="M425" s="114">
        <v>0</v>
      </c>
      <c r="N425" s="113">
        <v>0</v>
      </c>
      <c r="O425" s="113">
        <v>0</v>
      </c>
      <c r="P425" s="116">
        <v>0</v>
      </c>
      <c r="Q425" s="116">
        <v>0</v>
      </c>
      <c r="R425" s="116">
        <v>0</v>
      </c>
      <c r="S425" s="114">
        <v>0</v>
      </c>
      <c r="T425" s="116">
        <v>0</v>
      </c>
      <c r="U425" s="116">
        <v>0</v>
      </c>
      <c r="V425" s="121">
        <f t="shared" si="34"/>
        <v>0</v>
      </c>
      <c r="W425" s="111"/>
      <c r="X425" s="111"/>
      <c r="Y425" s="111"/>
      <c r="Z425" s="111"/>
      <c r="AA425" s="111"/>
      <c r="AB425" s="111"/>
      <c r="AC425" s="111"/>
      <c r="AD425" s="111"/>
      <c r="AE425" s="139">
        <f t="shared" ref="AE425:AE488" si="35">V425-(X425+Y425)</f>
        <v>0</v>
      </c>
      <c r="AF425" s="109"/>
      <c r="AG425" s="109"/>
    </row>
    <row r="426" spans="1:33">
      <c r="A426" s="117"/>
      <c r="B426" s="118"/>
      <c r="C426" s="118"/>
      <c r="D426" s="118"/>
      <c r="E426" s="119"/>
      <c r="F426" s="118"/>
      <c r="G426" s="110"/>
      <c r="H426" s="143"/>
      <c r="I426" s="114">
        <v>0</v>
      </c>
      <c r="J426" s="115">
        <v>0</v>
      </c>
      <c r="K426" s="116">
        <v>0</v>
      </c>
      <c r="L426" s="116">
        <v>0</v>
      </c>
      <c r="M426" s="114">
        <v>0</v>
      </c>
      <c r="N426" s="113">
        <v>0</v>
      </c>
      <c r="O426" s="113">
        <v>0</v>
      </c>
      <c r="P426" s="116">
        <v>0</v>
      </c>
      <c r="Q426" s="116">
        <v>0</v>
      </c>
      <c r="R426" s="116">
        <v>0</v>
      </c>
      <c r="S426" s="114">
        <v>0</v>
      </c>
      <c r="T426" s="116">
        <v>0</v>
      </c>
      <c r="U426" s="116">
        <v>0</v>
      </c>
      <c r="V426" s="121">
        <f t="shared" si="34"/>
        <v>0</v>
      </c>
      <c r="W426" s="111"/>
      <c r="X426" s="111"/>
      <c r="Y426" s="111"/>
      <c r="Z426" s="111"/>
      <c r="AA426" s="111"/>
      <c r="AB426" s="111"/>
      <c r="AC426" s="111"/>
      <c r="AD426" s="111"/>
      <c r="AE426" s="139">
        <f t="shared" si="35"/>
        <v>0</v>
      </c>
      <c r="AF426" s="109"/>
      <c r="AG426" s="109"/>
    </row>
    <row r="427" spans="1:33">
      <c r="A427" s="117"/>
      <c r="B427" s="118"/>
      <c r="C427" s="118"/>
      <c r="D427" s="118"/>
      <c r="E427" s="119"/>
      <c r="F427" s="118"/>
      <c r="G427" s="110"/>
      <c r="H427" s="143"/>
      <c r="I427" s="114">
        <v>0</v>
      </c>
      <c r="J427" s="115">
        <v>0</v>
      </c>
      <c r="K427" s="116">
        <v>0</v>
      </c>
      <c r="L427" s="116">
        <v>0</v>
      </c>
      <c r="M427" s="114">
        <v>0</v>
      </c>
      <c r="N427" s="113">
        <v>0</v>
      </c>
      <c r="O427" s="113">
        <v>0</v>
      </c>
      <c r="P427" s="116">
        <v>0</v>
      </c>
      <c r="Q427" s="116">
        <v>0</v>
      </c>
      <c r="R427" s="116">
        <v>0</v>
      </c>
      <c r="S427" s="114">
        <v>0</v>
      </c>
      <c r="T427" s="116">
        <v>0</v>
      </c>
      <c r="U427" s="116">
        <v>0</v>
      </c>
      <c r="V427" s="121">
        <f t="shared" si="34"/>
        <v>0</v>
      </c>
      <c r="W427" s="111"/>
      <c r="X427" s="111"/>
      <c r="Y427" s="111"/>
      <c r="Z427" s="111"/>
      <c r="AA427" s="111"/>
      <c r="AB427" s="111"/>
      <c r="AC427" s="111"/>
      <c r="AD427" s="111"/>
      <c r="AE427" s="139">
        <f t="shared" si="35"/>
        <v>0</v>
      </c>
      <c r="AF427" s="109"/>
      <c r="AG427" s="109"/>
    </row>
    <row r="428" spans="1:33">
      <c r="A428" s="117"/>
      <c r="B428" s="118"/>
      <c r="C428" s="118"/>
      <c r="D428" s="118"/>
      <c r="E428" s="119"/>
      <c r="F428" s="118"/>
      <c r="G428" s="110"/>
      <c r="H428" s="143"/>
      <c r="I428" s="114">
        <v>0</v>
      </c>
      <c r="J428" s="115">
        <v>0</v>
      </c>
      <c r="K428" s="116">
        <v>0</v>
      </c>
      <c r="L428" s="116">
        <v>0</v>
      </c>
      <c r="M428" s="114">
        <v>0</v>
      </c>
      <c r="N428" s="113">
        <v>0</v>
      </c>
      <c r="O428" s="113">
        <v>0</v>
      </c>
      <c r="P428" s="116">
        <v>0</v>
      </c>
      <c r="Q428" s="116">
        <v>0</v>
      </c>
      <c r="R428" s="116">
        <v>0</v>
      </c>
      <c r="S428" s="114">
        <v>0</v>
      </c>
      <c r="T428" s="116">
        <v>0</v>
      </c>
      <c r="U428" s="116">
        <v>0</v>
      </c>
      <c r="V428" s="121">
        <f t="shared" si="34"/>
        <v>0</v>
      </c>
      <c r="W428" s="111"/>
      <c r="X428" s="111"/>
      <c r="Y428" s="111"/>
      <c r="Z428" s="111"/>
      <c r="AA428" s="111"/>
      <c r="AB428" s="111"/>
      <c r="AC428" s="111"/>
      <c r="AD428" s="111"/>
      <c r="AE428" s="139">
        <f t="shared" si="35"/>
        <v>0</v>
      </c>
      <c r="AF428" s="109"/>
      <c r="AG428" s="109"/>
    </row>
    <row r="429" spans="1:33">
      <c r="A429" s="117"/>
      <c r="B429" s="118"/>
      <c r="C429" s="118"/>
      <c r="D429" s="118"/>
      <c r="E429" s="119"/>
      <c r="F429" s="118"/>
      <c r="G429" s="110"/>
      <c r="H429" s="143"/>
      <c r="I429" s="114">
        <v>0</v>
      </c>
      <c r="J429" s="115">
        <v>0</v>
      </c>
      <c r="K429" s="116">
        <v>0</v>
      </c>
      <c r="L429" s="116">
        <v>0</v>
      </c>
      <c r="M429" s="114">
        <v>0</v>
      </c>
      <c r="N429" s="113">
        <v>0</v>
      </c>
      <c r="O429" s="113">
        <v>0</v>
      </c>
      <c r="P429" s="116">
        <v>0</v>
      </c>
      <c r="Q429" s="116">
        <v>0</v>
      </c>
      <c r="R429" s="116">
        <v>0</v>
      </c>
      <c r="S429" s="114">
        <v>0</v>
      </c>
      <c r="T429" s="116">
        <v>0</v>
      </c>
      <c r="U429" s="116">
        <v>0</v>
      </c>
      <c r="V429" s="121">
        <f t="shared" si="34"/>
        <v>0</v>
      </c>
      <c r="W429" s="111"/>
      <c r="X429" s="111"/>
      <c r="Y429" s="111"/>
      <c r="Z429" s="111"/>
      <c r="AA429" s="111"/>
      <c r="AB429" s="111"/>
      <c r="AC429" s="111"/>
      <c r="AD429" s="111"/>
      <c r="AE429" s="139">
        <f t="shared" si="35"/>
        <v>0</v>
      </c>
      <c r="AF429" s="109"/>
      <c r="AG429" s="109"/>
    </row>
    <row r="430" spans="1:33">
      <c r="A430" s="117"/>
      <c r="B430" s="118"/>
      <c r="C430" s="118"/>
      <c r="D430" s="118"/>
      <c r="E430" s="119"/>
      <c r="F430" s="118"/>
      <c r="G430" s="110"/>
      <c r="H430" s="143"/>
      <c r="I430" s="114">
        <v>0</v>
      </c>
      <c r="J430" s="115">
        <v>0</v>
      </c>
      <c r="K430" s="116">
        <v>0</v>
      </c>
      <c r="L430" s="116">
        <v>0</v>
      </c>
      <c r="M430" s="114">
        <v>0</v>
      </c>
      <c r="N430" s="113">
        <v>0</v>
      </c>
      <c r="O430" s="113">
        <v>0</v>
      </c>
      <c r="P430" s="116">
        <v>0</v>
      </c>
      <c r="Q430" s="116">
        <v>0</v>
      </c>
      <c r="R430" s="116">
        <v>0</v>
      </c>
      <c r="S430" s="114">
        <v>0</v>
      </c>
      <c r="T430" s="116">
        <v>0</v>
      </c>
      <c r="U430" s="116">
        <v>0</v>
      </c>
      <c r="V430" s="121">
        <f t="shared" si="34"/>
        <v>0</v>
      </c>
      <c r="W430" s="111"/>
      <c r="X430" s="111"/>
      <c r="Y430" s="111"/>
      <c r="Z430" s="111"/>
      <c r="AA430" s="111"/>
      <c r="AB430" s="111"/>
      <c r="AC430" s="111"/>
      <c r="AD430" s="111"/>
      <c r="AE430" s="139">
        <f t="shared" si="35"/>
        <v>0</v>
      </c>
      <c r="AF430" s="109"/>
      <c r="AG430" s="109"/>
    </row>
    <row r="431" spans="1:33">
      <c r="A431" s="117"/>
      <c r="B431" s="118"/>
      <c r="C431" s="118"/>
      <c r="D431" s="118"/>
      <c r="E431" s="119"/>
      <c r="F431" s="118"/>
      <c r="G431" s="110"/>
      <c r="H431" s="143"/>
      <c r="I431" s="114">
        <v>0</v>
      </c>
      <c r="J431" s="115">
        <v>0</v>
      </c>
      <c r="K431" s="116">
        <v>0</v>
      </c>
      <c r="L431" s="116">
        <v>0</v>
      </c>
      <c r="M431" s="114">
        <v>0</v>
      </c>
      <c r="N431" s="113">
        <v>0</v>
      </c>
      <c r="O431" s="113">
        <v>0</v>
      </c>
      <c r="P431" s="116">
        <v>0</v>
      </c>
      <c r="Q431" s="116">
        <v>0</v>
      </c>
      <c r="R431" s="116">
        <v>0</v>
      </c>
      <c r="S431" s="114">
        <v>0</v>
      </c>
      <c r="T431" s="116">
        <v>0</v>
      </c>
      <c r="U431" s="116">
        <v>0</v>
      </c>
      <c r="V431" s="121">
        <f t="shared" si="34"/>
        <v>0</v>
      </c>
      <c r="W431" s="111"/>
      <c r="X431" s="111"/>
      <c r="Y431" s="111"/>
      <c r="Z431" s="111"/>
      <c r="AA431" s="111"/>
      <c r="AB431" s="111"/>
      <c r="AC431" s="111"/>
      <c r="AD431" s="111"/>
      <c r="AE431" s="139">
        <f t="shared" si="35"/>
        <v>0</v>
      </c>
      <c r="AF431" s="109"/>
      <c r="AG431" s="109"/>
    </row>
    <row r="432" spans="1:33">
      <c r="A432" s="117"/>
      <c r="B432" s="118"/>
      <c r="C432" s="118"/>
      <c r="D432" s="118"/>
      <c r="E432" s="119"/>
      <c r="F432" s="118"/>
      <c r="G432" s="110"/>
      <c r="H432" s="143"/>
      <c r="I432" s="114">
        <v>0</v>
      </c>
      <c r="J432" s="115">
        <v>0</v>
      </c>
      <c r="K432" s="116">
        <v>0</v>
      </c>
      <c r="L432" s="116">
        <v>0</v>
      </c>
      <c r="M432" s="114">
        <v>0</v>
      </c>
      <c r="N432" s="113">
        <v>0</v>
      </c>
      <c r="O432" s="113">
        <v>0</v>
      </c>
      <c r="P432" s="116">
        <v>0</v>
      </c>
      <c r="Q432" s="116">
        <v>0</v>
      </c>
      <c r="R432" s="116">
        <v>0</v>
      </c>
      <c r="S432" s="114">
        <v>0</v>
      </c>
      <c r="T432" s="116">
        <v>0</v>
      </c>
      <c r="U432" s="116">
        <v>0</v>
      </c>
      <c r="V432" s="121">
        <f t="shared" si="34"/>
        <v>0</v>
      </c>
      <c r="W432" s="111"/>
      <c r="X432" s="111"/>
      <c r="Y432" s="111"/>
      <c r="Z432" s="111"/>
      <c r="AA432" s="111"/>
      <c r="AB432" s="111"/>
      <c r="AC432" s="111"/>
      <c r="AD432" s="111"/>
      <c r="AE432" s="139">
        <f t="shared" si="35"/>
        <v>0</v>
      </c>
      <c r="AF432" s="109"/>
      <c r="AG432" s="109"/>
    </row>
    <row r="433" spans="1:33">
      <c r="A433" s="117"/>
      <c r="B433" s="118"/>
      <c r="C433" s="118"/>
      <c r="D433" s="118"/>
      <c r="E433" s="119"/>
      <c r="F433" s="118"/>
      <c r="G433" s="110"/>
      <c r="H433" s="143"/>
      <c r="I433" s="114">
        <v>0</v>
      </c>
      <c r="J433" s="115">
        <v>0</v>
      </c>
      <c r="K433" s="116">
        <v>0</v>
      </c>
      <c r="L433" s="116">
        <v>0</v>
      </c>
      <c r="M433" s="114">
        <v>0</v>
      </c>
      <c r="N433" s="113">
        <v>0</v>
      </c>
      <c r="O433" s="113">
        <v>0</v>
      </c>
      <c r="P433" s="116">
        <v>0</v>
      </c>
      <c r="Q433" s="116">
        <v>0</v>
      </c>
      <c r="R433" s="116">
        <v>0</v>
      </c>
      <c r="S433" s="114">
        <v>0</v>
      </c>
      <c r="T433" s="116">
        <v>0</v>
      </c>
      <c r="U433" s="116">
        <v>0</v>
      </c>
      <c r="V433" s="121">
        <f t="shared" ref="V433:V496" si="36">+G433-(SUM(I433:N433,P433:S433,U433))</f>
        <v>0</v>
      </c>
      <c r="W433" s="111"/>
      <c r="X433" s="111"/>
      <c r="Y433" s="111"/>
      <c r="Z433" s="111"/>
      <c r="AA433" s="111"/>
      <c r="AB433" s="111"/>
      <c r="AC433" s="111"/>
      <c r="AD433" s="111"/>
      <c r="AE433" s="139">
        <f t="shared" si="35"/>
        <v>0</v>
      </c>
      <c r="AF433" s="109"/>
      <c r="AG433" s="109"/>
    </row>
    <row r="434" spans="1:33">
      <c r="A434" s="117"/>
      <c r="B434" s="118"/>
      <c r="C434" s="118"/>
      <c r="D434" s="118"/>
      <c r="E434" s="119"/>
      <c r="F434" s="118"/>
      <c r="G434" s="110"/>
      <c r="H434" s="143"/>
      <c r="I434" s="114">
        <v>0</v>
      </c>
      <c r="J434" s="115">
        <v>0</v>
      </c>
      <c r="K434" s="116">
        <v>0</v>
      </c>
      <c r="L434" s="116">
        <v>0</v>
      </c>
      <c r="M434" s="114">
        <v>0</v>
      </c>
      <c r="N434" s="113">
        <v>0</v>
      </c>
      <c r="O434" s="113">
        <v>0</v>
      </c>
      <c r="P434" s="116">
        <v>0</v>
      </c>
      <c r="Q434" s="116">
        <v>0</v>
      </c>
      <c r="R434" s="116">
        <v>0</v>
      </c>
      <c r="S434" s="114">
        <v>0</v>
      </c>
      <c r="T434" s="116">
        <v>0</v>
      </c>
      <c r="U434" s="116">
        <v>0</v>
      </c>
      <c r="V434" s="121">
        <f t="shared" si="36"/>
        <v>0</v>
      </c>
      <c r="W434" s="111"/>
      <c r="X434" s="111"/>
      <c r="Y434" s="111"/>
      <c r="Z434" s="111"/>
      <c r="AA434" s="111"/>
      <c r="AB434" s="111"/>
      <c r="AC434" s="111"/>
      <c r="AD434" s="111"/>
      <c r="AE434" s="139">
        <f t="shared" si="35"/>
        <v>0</v>
      </c>
      <c r="AF434" s="109"/>
      <c r="AG434" s="109"/>
    </row>
    <row r="435" spans="1:33">
      <c r="A435" s="117"/>
      <c r="B435" s="118"/>
      <c r="C435" s="118"/>
      <c r="D435" s="118"/>
      <c r="E435" s="119"/>
      <c r="F435" s="118"/>
      <c r="G435" s="110"/>
      <c r="H435" s="143"/>
      <c r="I435" s="114">
        <v>0</v>
      </c>
      <c r="J435" s="115">
        <v>0</v>
      </c>
      <c r="K435" s="116">
        <v>0</v>
      </c>
      <c r="L435" s="116">
        <v>0</v>
      </c>
      <c r="M435" s="114">
        <v>0</v>
      </c>
      <c r="N435" s="113">
        <v>0</v>
      </c>
      <c r="O435" s="113">
        <v>0</v>
      </c>
      <c r="P435" s="116">
        <v>0</v>
      </c>
      <c r="Q435" s="116">
        <v>0</v>
      </c>
      <c r="R435" s="116">
        <v>0</v>
      </c>
      <c r="S435" s="114">
        <v>0</v>
      </c>
      <c r="T435" s="116">
        <v>0</v>
      </c>
      <c r="U435" s="116">
        <v>0</v>
      </c>
      <c r="V435" s="121">
        <f t="shared" si="36"/>
        <v>0</v>
      </c>
      <c r="W435" s="111"/>
      <c r="X435" s="111"/>
      <c r="Y435" s="111"/>
      <c r="Z435" s="111"/>
      <c r="AA435" s="111"/>
      <c r="AB435" s="111"/>
      <c r="AC435" s="111"/>
      <c r="AD435" s="111"/>
      <c r="AE435" s="139">
        <f t="shared" si="35"/>
        <v>0</v>
      </c>
      <c r="AF435" s="109"/>
      <c r="AG435" s="109"/>
    </row>
    <row r="436" spans="1:33">
      <c r="A436" s="117"/>
      <c r="B436" s="118"/>
      <c r="C436" s="118"/>
      <c r="D436" s="118"/>
      <c r="E436" s="119"/>
      <c r="F436" s="118"/>
      <c r="G436" s="110"/>
      <c r="H436" s="143"/>
      <c r="I436" s="114">
        <v>0</v>
      </c>
      <c r="J436" s="115">
        <v>0</v>
      </c>
      <c r="K436" s="116">
        <v>0</v>
      </c>
      <c r="L436" s="116">
        <v>0</v>
      </c>
      <c r="M436" s="114">
        <v>0</v>
      </c>
      <c r="N436" s="113">
        <v>0</v>
      </c>
      <c r="O436" s="113">
        <v>0</v>
      </c>
      <c r="P436" s="116">
        <v>0</v>
      </c>
      <c r="Q436" s="116">
        <v>0</v>
      </c>
      <c r="R436" s="116">
        <v>0</v>
      </c>
      <c r="S436" s="114">
        <v>0</v>
      </c>
      <c r="T436" s="116">
        <v>0</v>
      </c>
      <c r="U436" s="116">
        <v>0</v>
      </c>
      <c r="V436" s="121">
        <f t="shared" si="36"/>
        <v>0</v>
      </c>
      <c r="W436" s="111"/>
      <c r="X436" s="111"/>
      <c r="Y436" s="111"/>
      <c r="Z436" s="111"/>
      <c r="AA436" s="111"/>
      <c r="AB436" s="111"/>
      <c r="AC436" s="111"/>
      <c r="AD436" s="111"/>
      <c r="AE436" s="139">
        <f t="shared" si="35"/>
        <v>0</v>
      </c>
      <c r="AF436" s="109"/>
      <c r="AG436" s="109"/>
    </row>
    <row r="437" spans="1:33">
      <c r="A437" s="117"/>
      <c r="B437" s="118"/>
      <c r="C437" s="118"/>
      <c r="D437" s="118"/>
      <c r="E437" s="119"/>
      <c r="F437" s="118"/>
      <c r="G437" s="110"/>
      <c r="H437" s="143"/>
      <c r="I437" s="114">
        <v>0</v>
      </c>
      <c r="J437" s="115">
        <v>0</v>
      </c>
      <c r="K437" s="116">
        <v>0</v>
      </c>
      <c r="L437" s="116">
        <v>0</v>
      </c>
      <c r="M437" s="114">
        <v>0</v>
      </c>
      <c r="N437" s="113">
        <v>0</v>
      </c>
      <c r="O437" s="113">
        <v>0</v>
      </c>
      <c r="P437" s="116">
        <v>0</v>
      </c>
      <c r="Q437" s="116">
        <v>0</v>
      </c>
      <c r="R437" s="116">
        <v>0</v>
      </c>
      <c r="S437" s="114">
        <v>0</v>
      </c>
      <c r="T437" s="116">
        <v>0</v>
      </c>
      <c r="U437" s="116">
        <v>0</v>
      </c>
      <c r="V437" s="121">
        <f t="shared" si="36"/>
        <v>0</v>
      </c>
      <c r="W437" s="111"/>
      <c r="X437" s="111"/>
      <c r="Y437" s="111"/>
      <c r="Z437" s="111"/>
      <c r="AA437" s="111"/>
      <c r="AB437" s="111"/>
      <c r="AC437" s="111"/>
      <c r="AD437" s="111"/>
      <c r="AE437" s="139">
        <f t="shared" si="35"/>
        <v>0</v>
      </c>
      <c r="AF437" s="109"/>
      <c r="AG437" s="109"/>
    </row>
    <row r="438" spans="1:33">
      <c r="A438" s="117"/>
      <c r="B438" s="118"/>
      <c r="C438" s="118"/>
      <c r="D438" s="118"/>
      <c r="E438" s="119"/>
      <c r="F438" s="118"/>
      <c r="G438" s="110"/>
      <c r="H438" s="143"/>
      <c r="I438" s="114">
        <v>0</v>
      </c>
      <c r="J438" s="115">
        <v>0</v>
      </c>
      <c r="K438" s="116">
        <v>0</v>
      </c>
      <c r="L438" s="116">
        <v>0</v>
      </c>
      <c r="M438" s="114">
        <v>0</v>
      </c>
      <c r="N438" s="113">
        <v>0</v>
      </c>
      <c r="O438" s="113">
        <v>0</v>
      </c>
      <c r="P438" s="116">
        <v>0</v>
      </c>
      <c r="Q438" s="116">
        <v>0</v>
      </c>
      <c r="R438" s="116">
        <v>0</v>
      </c>
      <c r="S438" s="114">
        <v>0</v>
      </c>
      <c r="T438" s="116">
        <v>0</v>
      </c>
      <c r="U438" s="116">
        <v>0</v>
      </c>
      <c r="V438" s="121">
        <f t="shared" si="36"/>
        <v>0</v>
      </c>
      <c r="W438" s="111"/>
      <c r="X438" s="111"/>
      <c r="Y438" s="111"/>
      <c r="Z438" s="111"/>
      <c r="AA438" s="111"/>
      <c r="AB438" s="111"/>
      <c r="AC438" s="111"/>
      <c r="AD438" s="111"/>
      <c r="AE438" s="139">
        <f t="shared" si="35"/>
        <v>0</v>
      </c>
      <c r="AF438" s="109"/>
      <c r="AG438" s="109"/>
    </row>
    <row r="439" spans="1:33">
      <c r="A439" s="117"/>
      <c r="B439" s="118"/>
      <c r="C439" s="118"/>
      <c r="D439" s="118"/>
      <c r="E439" s="119"/>
      <c r="F439" s="118"/>
      <c r="G439" s="110"/>
      <c r="H439" s="143"/>
      <c r="I439" s="114">
        <v>0</v>
      </c>
      <c r="J439" s="115">
        <v>0</v>
      </c>
      <c r="K439" s="116">
        <v>0</v>
      </c>
      <c r="L439" s="116">
        <v>0</v>
      </c>
      <c r="M439" s="114">
        <v>0</v>
      </c>
      <c r="N439" s="113">
        <v>0</v>
      </c>
      <c r="O439" s="113">
        <v>0</v>
      </c>
      <c r="P439" s="116">
        <v>0</v>
      </c>
      <c r="Q439" s="116">
        <v>0</v>
      </c>
      <c r="R439" s="116">
        <v>0</v>
      </c>
      <c r="S439" s="114">
        <v>0</v>
      </c>
      <c r="T439" s="116">
        <v>0</v>
      </c>
      <c r="U439" s="116">
        <v>0</v>
      </c>
      <c r="V439" s="121">
        <f t="shared" si="36"/>
        <v>0</v>
      </c>
      <c r="W439" s="111"/>
      <c r="X439" s="111"/>
      <c r="Y439" s="111"/>
      <c r="Z439" s="111"/>
      <c r="AA439" s="111"/>
      <c r="AB439" s="111"/>
      <c r="AC439" s="111"/>
      <c r="AD439" s="111"/>
      <c r="AE439" s="139">
        <f t="shared" si="35"/>
        <v>0</v>
      </c>
      <c r="AF439" s="109"/>
      <c r="AG439" s="109"/>
    </row>
    <row r="440" spans="1:33">
      <c r="A440" s="117"/>
      <c r="B440" s="118"/>
      <c r="C440" s="118"/>
      <c r="D440" s="118"/>
      <c r="E440" s="119"/>
      <c r="F440" s="118"/>
      <c r="G440" s="110"/>
      <c r="H440" s="143"/>
      <c r="I440" s="114">
        <v>0</v>
      </c>
      <c r="J440" s="115">
        <v>0</v>
      </c>
      <c r="K440" s="116">
        <v>0</v>
      </c>
      <c r="L440" s="116">
        <v>0</v>
      </c>
      <c r="M440" s="114">
        <v>0</v>
      </c>
      <c r="N440" s="113">
        <v>0</v>
      </c>
      <c r="O440" s="113">
        <v>0</v>
      </c>
      <c r="P440" s="116">
        <v>0</v>
      </c>
      <c r="Q440" s="116">
        <v>0</v>
      </c>
      <c r="R440" s="116">
        <v>0</v>
      </c>
      <c r="S440" s="114">
        <v>0</v>
      </c>
      <c r="T440" s="116">
        <v>0</v>
      </c>
      <c r="U440" s="116">
        <v>0</v>
      </c>
      <c r="V440" s="121">
        <f t="shared" si="36"/>
        <v>0</v>
      </c>
      <c r="W440" s="111"/>
      <c r="X440" s="111"/>
      <c r="Y440" s="111"/>
      <c r="Z440" s="111"/>
      <c r="AA440" s="111"/>
      <c r="AB440" s="111"/>
      <c r="AC440" s="111"/>
      <c r="AD440" s="111"/>
      <c r="AE440" s="139">
        <f t="shared" si="35"/>
        <v>0</v>
      </c>
      <c r="AF440" s="109"/>
      <c r="AG440" s="109"/>
    </row>
    <row r="441" spans="1:33">
      <c r="A441" s="117"/>
      <c r="B441" s="118"/>
      <c r="C441" s="118"/>
      <c r="D441" s="118"/>
      <c r="E441" s="119"/>
      <c r="F441" s="118"/>
      <c r="G441" s="110"/>
      <c r="H441" s="143"/>
      <c r="I441" s="114">
        <v>0</v>
      </c>
      <c r="J441" s="115">
        <v>0</v>
      </c>
      <c r="K441" s="116">
        <v>0</v>
      </c>
      <c r="L441" s="116">
        <v>0</v>
      </c>
      <c r="M441" s="114">
        <v>0</v>
      </c>
      <c r="N441" s="113">
        <v>0</v>
      </c>
      <c r="O441" s="113">
        <v>0</v>
      </c>
      <c r="P441" s="116">
        <v>0</v>
      </c>
      <c r="Q441" s="116">
        <v>0</v>
      </c>
      <c r="R441" s="116">
        <v>0</v>
      </c>
      <c r="S441" s="114">
        <v>0</v>
      </c>
      <c r="T441" s="116">
        <v>0</v>
      </c>
      <c r="U441" s="116">
        <v>0</v>
      </c>
      <c r="V441" s="121">
        <f t="shared" si="36"/>
        <v>0</v>
      </c>
      <c r="W441" s="111"/>
      <c r="X441" s="111"/>
      <c r="Y441" s="111"/>
      <c r="Z441" s="111"/>
      <c r="AA441" s="111"/>
      <c r="AB441" s="111"/>
      <c r="AC441" s="111"/>
      <c r="AD441" s="111"/>
      <c r="AE441" s="139">
        <f t="shared" si="35"/>
        <v>0</v>
      </c>
      <c r="AF441" s="109"/>
      <c r="AG441" s="109"/>
    </row>
    <row r="442" spans="1:33">
      <c r="A442" s="117"/>
      <c r="B442" s="118"/>
      <c r="C442" s="118"/>
      <c r="D442" s="118"/>
      <c r="E442" s="119"/>
      <c r="F442" s="118"/>
      <c r="G442" s="110"/>
      <c r="H442" s="143"/>
      <c r="I442" s="114">
        <v>0</v>
      </c>
      <c r="J442" s="115">
        <v>0</v>
      </c>
      <c r="K442" s="116">
        <v>0</v>
      </c>
      <c r="L442" s="116">
        <v>0</v>
      </c>
      <c r="M442" s="114">
        <v>0</v>
      </c>
      <c r="N442" s="113">
        <v>0</v>
      </c>
      <c r="O442" s="113">
        <v>0</v>
      </c>
      <c r="P442" s="116">
        <v>0</v>
      </c>
      <c r="Q442" s="116">
        <v>0</v>
      </c>
      <c r="R442" s="116">
        <v>0</v>
      </c>
      <c r="S442" s="114">
        <v>0</v>
      </c>
      <c r="T442" s="116">
        <v>0</v>
      </c>
      <c r="U442" s="116">
        <v>0</v>
      </c>
      <c r="V442" s="121">
        <f t="shared" si="36"/>
        <v>0</v>
      </c>
      <c r="W442" s="111"/>
      <c r="X442" s="111"/>
      <c r="Y442" s="111"/>
      <c r="Z442" s="111"/>
      <c r="AA442" s="111"/>
      <c r="AB442" s="111"/>
      <c r="AC442" s="111"/>
      <c r="AD442" s="111"/>
      <c r="AE442" s="139">
        <f t="shared" si="35"/>
        <v>0</v>
      </c>
      <c r="AF442" s="109"/>
      <c r="AG442" s="109"/>
    </row>
    <row r="443" spans="1:33">
      <c r="A443" s="117"/>
      <c r="B443" s="118"/>
      <c r="C443" s="118"/>
      <c r="D443" s="118"/>
      <c r="E443" s="119"/>
      <c r="F443" s="118"/>
      <c r="G443" s="110"/>
      <c r="H443" s="143"/>
      <c r="I443" s="114">
        <v>0</v>
      </c>
      <c r="J443" s="115">
        <v>0</v>
      </c>
      <c r="K443" s="116">
        <v>0</v>
      </c>
      <c r="L443" s="116">
        <v>0</v>
      </c>
      <c r="M443" s="114">
        <v>0</v>
      </c>
      <c r="N443" s="113">
        <v>0</v>
      </c>
      <c r="O443" s="113">
        <v>0</v>
      </c>
      <c r="P443" s="116">
        <v>0</v>
      </c>
      <c r="Q443" s="116">
        <v>0</v>
      </c>
      <c r="R443" s="116">
        <v>0</v>
      </c>
      <c r="S443" s="114">
        <v>0</v>
      </c>
      <c r="T443" s="116">
        <v>0</v>
      </c>
      <c r="U443" s="116">
        <v>0</v>
      </c>
      <c r="V443" s="121">
        <f t="shared" si="36"/>
        <v>0</v>
      </c>
      <c r="W443" s="111"/>
      <c r="X443" s="111"/>
      <c r="Y443" s="111"/>
      <c r="Z443" s="111"/>
      <c r="AA443" s="111"/>
      <c r="AB443" s="111"/>
      <c r="AC443" s="111"/>
      <c r="AD443" s="111"/>
      <c r="AE443" s="139">
        <f t="shared" si="35"/>
        <v>0</v>
      </c>
      <c r="AF443" s="109"/>
      <c r="AG443" s="109"/>
    </row>
    <row r="444" spans="1:33">
      <c r="A444" s="117"/>
      <c r="B444" s="118"/>
      <c r="C444" s="118"/>
      <c r="D444" s="118"/>
      <c r="E444" s="119"/>
      <c r="F444" s="118"/>
      <c r="G444" s="110"/>
      <c r="H444" s="143"/>
      <c r="I444" s="114">
        <v>0</v>
      </c>
      <c r="J444" s="115">
        <v>0</v>
      </c>
      <c r="K444" s="116">
        <v>0</v>
      </c>
      <c r="L444" s="116">
        <v>0</v>
      </c>
      <c r="M444" s="114">
        <v>0</v>
      </c>
      <c r="N444" s="113">
        <v>0</v>
      </c>
      <c r="O444" s="113">
        <v>0</v>
      </c>
      <c r="P444" s="116">
        <v>0</v>
      </c>
      <c r="Q444" s="116">
        <v>0</v>
      </c>
      <c r="R444" s="116">
        <v>0</v>
      </c>
      <c r="S444" s="114">
        <v>0</v>
      </c>
      <c r="T444" s="116">
        <v>0</v>
      </c>
      <c r="U444" s="116">
        <v>0</v>
      </c>
      <c r="V444" s="121">
        <f t="shared" si="36"/>
        <v>0</v>
      </c>
      <c r="W444" s="111"/>
      <c r="X444" s="111"/>
      <c r="Y444" s="111"/>
      <c r="Z444" s="111"/>
      <c r="AA444" s="111"/>
      <c r="AB444" s="111"/>
      <c r="AC444" s="111"/>
      <c r="AD444" s="111"/>
      <c r="AE444" s="139">
        <f t="shared" si="35"/>
        <v>0</v>
      </c>
      <c r="AF444" s="109"/>
      <c r="AG444" s="109"/>
    </row>
    <row r="445" spans="1:33">
      <c r="A445" s="117"/>
      <c r="B445" s="118"/>
      <c r="C445" s="118"/>
      <c r="D445" s="118"/>
      <c r="E445" s="119"/>
      <c r="F445" s="118"/>
      <c r="G445" s="110"/>
      <c r="H445" s="143"/>
      <c r="I445" s="114">
        <v>0</v>
      </c>
      <c r="J445" s="115">
        <v>0</v>
      </c>
      <c r="K445" s="116">
        <v>0</v>
      </c>
      <c r="L445" s="116">
        <v>0</v>
      </c>
      <c r="M445" s="114">
        <v>0</v>
      </c>
      <c r="N445" s="113">
        <v>0</v>
      </c>
      <c r="O445" s="113">
        <v>0</v>
      </c>
      <c r="P445" s="116">
        <v>0</v>
      </c>
      <c r="Q445" s="116">
        <v>0</v>
      </c>
      <c r="R445" s="116">
        <v>0</v>
      </c>
      <c r="S445" s="114">
        <v>0</v>
      </c>
      <c r="T445" s="116">
        <v>0</v>
      </c>
      <c r="U445" s="116">
        <v>0</v>
      </c>
      <c r="V445" s="121">
        <f t="shared" si="36"/>
        <v>0</v>
      </c>
      <c r="W445" s="111"/>
      <c r="X445" s="111"/>
      <c r="Y445" s="111"/>
      <c r="Z445" s="111"/>
      <c r="AA445" s="111"/>
      <c r="AB445" s="111"/>
      <c r="AC445" s="111"/>
      <c r="AD445" s="111"/>
      <c r="AE445" s="139">
        <f t="shared" si="35"/>
        <v>0</v>
      </c>
      <c r="AF445" s="109"/>
      <c r="AG445" s="109"/>
    </row>
    <row r="446" spans="1:33">
      <c r="A446" s="117"/>
      <c r="B446" s="118"/>
      <c r="C446" s="118"/>
      <c r="D446" s="118"/>
      <c r="E446" s="119"/>
      <c r="F446" s="118"/>
      <c r="G446" s="110"/>
      <c r="H446" s="143"/>
      <c r="I446" s="114">
        <v>0</v>
      </c>
      <c r="J446" s="115">
        <v>0</v>
      </c>
      <c r="K446" s="116">
        <v>0</v>
      </c>
      <c r="L446" s="116">
        <v>0</v>
      </c>
      <c r="M446" s="114">
        <v>0</v>
      </c>
      <c r="N446" s="113">
        <v>0</v>
      </c>
      <c r="O446" s="113">
        <v>0</v>
      </c>
      <c r="P446" s="116">
        <v>0</v>
      </c>
      <c r="Q446" s="116">
        <v>0</v>
      </c>
      <c r="R446" s="116">
        <v>0</v>
      </c>
      <c r="S446" s="114">
        <v>0</v>
      </c>
      <c r="T446" s="116">
        <v>0</v>
      </c>
      <c r="U446" s="116">
        <v>0</v>
      </c>
      <c r="V446" s="121">
        <f t="shared" si="36"/>
        <v>0</v>
      </c>
      <c r="W446" s="111"/>
      <c r="X446" s="111"/>
      <c r="Y446" s="111"/>
      <c r="Z446" s="111"/>
      <c r="AA446" s="111"/>
      <c r="AB446" s="111"/>
      <c r="AC446" s="111"/>
      <c r="AD446" s="111"/>
      <c r="AE446" s="139">
        <f t="shared" si="35"/>
        <v>0</v>
      </c>
      <c r="AF446" s="109"/>
      <c r="AG446" s="109"/>
    </row>
    <row r="447" spans="1:33">
      <c r="A447" s="117"/>
      <c r="B447" s="118"/>
      <c r="C447" s="118"/>
      <c r="D447" s="118"/>
      <c r="E447" s="119"/>
      <c r="F447" s="118"/>
      <c r="G447" s="110"/>
      <c r="H447" s="143"/>
      <c r="I447" s="114">
        <v>0</v>
      </c>
      <c r="J447" s="115">
        <v>0</v>
      </c>
      <c r="K447" s="116">
        <v>0</v>
      </c>
      <c r="L447" s="116">
        <v>0</v>
      </c>
      <c r="M447" s="114">
        <v>0</v>
      </c>
      <c r="N447" s="113">
        <v>0</v>
      </c>
      <c r="O447" s="113">
        <v>0</v>
      </c>
      <c r="P447" s="116">
        <v>0</v>
      </c>
      <c r="Q447" s="116">
        <v>0</v>
      </c>
      <c r="R447" s="116">
        <v>0</v>
      </c>
      <c r="S447" s="114">
        <v>0</v>
      </c>
      <c r="T447" s="116">
        <v>0</v>
      </c>
      <c r="U447" s="116">
        <v>0</v>
      </c>
      <c r="V447" s="121">
        <f t="shared" si="36"/>
        <v>0</v>
      </c>
      <c r="W447" s="111"/>
      <c r="X447" s="111"/>
      <c r="Y447" s="111"/>
      <c r="Z447" s="111"/>
      <c r="AA447" s="111"/>
      <c r="AB447" s="111"/>
      <c r="AC447" s="111"/>
      <c r="AD447" s="111"/>
      <c r="AE447" s="139">
        <f t="shared" si="35"/>
        <v>0</v>
      </c>
      <c r="AF447" s="109"/>
      <c r="AG447" s="109"/>
    </row>
    <row r="448" spans="1:33">
      <c r="A448" s="117"/>
      <c r="B448" s="118"/>
      <c r="C448" s="118"/>
      <c r="D448" s="118"/>
      <c r="E448" s="119"/>
      <c r="F448" s="118"/>
      <c r="G448" s="110"/>
      <c r="H448" s="143"/>
      <c r="I448" s="114">
        <v>0</v>
      </c>
      <c r="J448" s="115">
        <v>0</v>
      </c>
      <c r="K448" s="116">
        <v>0</v>
      </c>
      <c r="L448" s="116">
        <v>0</v>
      </c>
      <c r="M448" s="114">
        <v>0</v>
      </c>
      <c r="N448" s="113">
        <v>0</v>
      </c>
      <c r="O448" s="113">
        <v>0</v>
      </c>
      <c r="P448" s="116">
        <v>0</v>
      </c>
      <c r="Q448" s="116">
        <v>0</v>
      </c>
      <c r="R448" s="116">
        <v>0</v>
      </c>
      <c r="S448" s="114">
        <v>0</v>
      </c>
      <c r="T448" s="116">
        <v>0</v>
      </c>
      <c r="U448" s="116">
        <v>0</v>
      </c>
      <c r="V448" s="121">
        <f t="shared" si="36"/>
        <v>0</v>
      </c>
      <c r="W448" s="111"/>
      <c r="X448" s="111"/>
      <c r="Y448" s="111"/>
      <c r="Z448" s="111"/>
      <c r="AA448" s="111"/>
      <c r="AB448" s="111"/>
      <c r="AC448" s="111"/>
      <c r="AD448" s="111"/>
      <c r="AE448" s="139">
        <f t="shared" si="35"/>
        <v>0</v>
      </c>
      <c r="AF448" s="109"/>
      <c r="AG448" s="109"/>
    </row>
    <row r="449" spans="1:33">
      <c r="A449" s="117"/>
      <c r="B449" s="118"/>
      <c r="C449" s="118"/>
      <c r="D449" s="118"/>
      <c r="E449" s="119"/>
      <c r="F449" s="118"/>
      <c r="G449" s="110"/>
      <c r="H449" s="143"/>
      <c r="I449" s="114">
        <v>0</v>
      </c>
      <c r="J449" s="115">
        <v>0</v>
      </c>
      <c r="K449" s="116">
        <v>0</v>
      </c>
      <c r="L449" s="116">
        <v>0</v>
      </c>
      <c r="M449" s="114">
        <v>0</v>
      </c>
      <c r="N449" s="113">
        <v>0</v>
      </c>
      <c r="O449" s="113">
        <v>0</v>
      </c>
      <c r="P449" s="116">
        <v>0</v>
      </c>
      <c r="Q449" s="116">
        <v>0</v>
      </c>
      <c r="R449" s="116">
        <v>0</v>
      </c>
      <c r="S449" s="114">
        <v>0</v>
      </c>
      <c r="T449" s="116">
        <v>0</v>
      </c>
      <c r="U449" s="116">
        <v>0</v>
      </c>
      <c r="V449" s="121">
        <f t="shared" si="36"/>
        <v>0</v>
      </c>
      <c r="W449" s="111"/>
      <c r="X449" s="111"/>
      <c r="Y449" s="111"/>
      <c r="Z449" s="111"/>
      <c r="AA449" s="111"/>
      <c r="AB449" s="111"/>
      <c r="AC449" s="111"/>
      <c r="AD449" s="111"/>
      <c r="AE449" s="139">
        <f t="shared" si="35"/>
        <v>0</v>
      </c>
      <c r="AF449" s="109"/>
      <c r="AG449" s="109"/>
    </row>
    <row r="450" spans="1:33">
      <c r="A450" s="117"/>
      <c r="B450" s="118"/>
      <c r="C450" s="118"/>
      <c r="D450" s="118"/>
      <c r="E450" s="119"/>
      <c r="F450" s="118"/>
      <c r="G450" s="110"/>
      <c r="H450" s="143"/>
      <c r="I450" s="114">
        <v>0</v>
      </c>
      <c r="J450" s="115">
        <v>0</v>
      </c>
      <c r="K450" s="116">
        <v>0</v>
      </c>
      <c r="L450" s="116">
        <v>0</v>
      </c>
      <c r="M450" s="114">
        <v>0</v>
      </c>
      <c r="N450" s="113">
        <v>0</v>
      </c>
      <c r="O450" s="113">
        <v>0</v>
      </c>
      <c r="P450" s="116">
        <v>0</v>
      </c>
      <c r="Q450" s="116">
        <v>0</v>
      </c>
      <c r="R450" s="116">
        <v>0</v>
      </c>
      <c r="S450" s="114">
        <v>0</v>
      </c>
      <c r="T450" s="116">
        <v>0</v>
      </c>
      <c r="U450" s="116">
        <v>0</v>
      </c>
      <c r="V450" s="121">
        <f t="shared" si="36"/>
        <v>0</v>
      </c>
      <c r="W450" s="111"/>
      <c r="X450" s="111"/>
      <c r="Y450" s="111"/>
      <c r="Z450" s="111"/>
      <c r="AA450" s="111"/>
      <c r="AB450" s="111"/>
      <c r="AC450" s="111"/>
      <c r="AD450" s="111"/>
      <c r="AE450" s="139">
        <f t="shared" si="35"/>
        <v>0</v>
      </c>
      <c r="AF450" s="109"/>
      <c r="AG450" s="109"/>
    </row>
    <row r="451" spans="1:33">
      <c r="A451" s="117"/>
      <c r="B451" s="118"/>
      <c r="C451" s="118"/>
      <c r="D451" s="118"/>
      <c r="E451" s="119"/>
      <c r="F451" s="118"/>
      <c r="G451" s="110"/>
      <c r="H451" s="143"/>
      <c r="I451" s="114">
        <v>0</v>
      </c>
      <c r="J451" s="115">
        <v>0</v>
      </c>
      <c r="K451" s="116">
        <v>0</v>
      </c>
      <c r="L451" s="116">
        <v>0</v>
      </c>
      <c r="M451" s="114">
        <v>0</v>
      </c>
      <c r="N451" s="113">
        <v>0</v>
      </c>
      <c r="O451" s="113">
        <v>0</v>
      </c>
      <c r="P451" s="116">
        <v>0</v>
      </c>
      <c r="Q451" s="116">
        <v>0</v>
      </c>
      <c r="R451" s="116">
        <v>0</v>
      </c>
      <c r="S451" s="114">
        <v>0</v>
      </c>
      <c r="T451" s="116">
        <v>0</v>
      </c>
      <c r="U451" s="116">
        <v>0</v>
      </c>
      <c r="V451" s="121">
        <f t="shared" si="36"/>
        <v>0</v>
      </c>
      <c r="W451" s="111"/>
      <c r="X451" s="111"/>
      <c r="Y451" s="111"/>
      <c r="Z451" s="111"/>
      <c r="AA451" s="111"/>
      <c r="AB451" s="111"/>
      <c r="AC451" s="111"/>
      <c r="AD451" s="111"/>
      <c r="AE451" s="139">
        <f t="shared" si="35"/>
        <v>0</v>
      </c>
      <c r="AF451" s="109"/>
      <c r="AG451" s="109"/>
    </row>
    <row r="452" spans="1:33">
      <c r="A452" s="117"/>
      <c r="B452" s="118"/>
      <c r="C452" s="118"/>
      <c r="D452" s="118"/>
      <c r="E452" s="119"/>
      <c r="F452" s="118"/>
      <c r="G452" s="110"/>
      <c r="H452" s="143"/>
      <c r="I452" s="114">
        <v>0</v>
      </c>
      <c r="J452" s="115">
        <v>0</v>
      </c>
      <c r="K452" s="116">
        <v>0</v>
      </c>
      <c r="L452" s="116">
        <v>0</v>
      </c>
      <c r="M452" s="114">
        <v>0</v>
      </c>
      <c r="N452" s="113">
        <v>0</v>
      </c>
      <c r="O452" s="113">
        <v>0</v>
      </c>
      <c r="P452" s="116">
        <v>0</v>
      </c>
      <c r="Q452" s="116">
        <v>0</v>
      </c>
      <c r="R452" s="116">
        <v>0</v>
      </c>
      <c r="S452" s="114">
        <v>0</v>
      </c>
      <c r="T452" s="116">
        <v>0</v>
      </c>
      <c r="U452" s="116">
        <v>0</v>
      </c>
      <c r="V452" s="121">
        <f t="shared" si="36"/>
        <v>0</v>
      </c>
      <c r="W452" s="111"/>
      <c r="X452" s="111"/>
      <c r="Y452" s="111"/>
      <c r="Z452" s="111"/>
      <c r="AA452" s="111"/>
      <c r="AB452" s="111"/>
      <c r="AC452" s="111"/>
      <c r="AD452" s="111"/>
      <c r="AE452" s="139">
        <f t="shared" si="35"/>
        <v>0</v>
      </c>
      <c r="AF452" s="109"/>
      <c r="AG452" s="109"/>
    </row>
    <row r="453" spans="1:33">
      <c r="A453" s="117"/>
      <c r="B453" s="118"/>
      <c r="C453" s="118"/>
      <c r="D453" s="118"/>
      <c r="E453" s="119"/>
      <c r="F453" s="118"/>
      <c r="G453" s="110"/>
      <c r="H453" s="143"/>
      <c r="I453" s="114">
        <v>0</v>
      </c>
      <c r="J453" s="115">
        <v>0</v>
      </c>
      <c r="K453" s="116">
        <v>0</v>
      </c>
      <c r="L453" s="116">
        <v>0</v>
      </c>
      <c r="M453" s="114">
        <v>0</v>
      </c>
      <c r="N453" s="113">
        <v>0</v>
      </c>
      <c r="O453" s="113">
        <v>0</v>
      </c>
      <c r="P453" s="116">
        <v>0</v>
      </c>
      <c r="Q453" s="116">
        <v>0</v>
      </c>
      <c r="R453" s="116">
        <v>0</v>
      </c>
      <c r="S453" s="114">
        <v>0</v>
      </c>
      <c r="T453" s="116">
        <v>0</v>
      </c>
      <c r="U453" s="116">
        <v>0</v>
      </c>
      <c r="V453" s="121">
        <f t="shared" si="36"/>
        <v>0</v>
      </c>
      <c r="W453" s="111"/>
      <c r="X453" s="111"/>
      <c r="Y453" s="111"/>
      <c r="Z453" s="111"/>
      <c r="AA453" s="111"/>
      <c r="AB453" s="111"/>
      <c r="AC453" s="111"/>
      <c r="AD453" s="111"/>
      <c r="AE453" s="139">
        <f t="shared" si="35"/>
        <v>0</v>
      </c>
      <c r="AF453" s="109"/>
      <c r="AG453" s="109"/>
    </row>
    <row r="454" spans="1:33">
      <c r="A454" s="117"/>
      <c r="B454" s="118"/>
      <c r="C454" s="118"/>
      <c r="D454" s="118"/>
      <c r="E454" s="119"/>
      <c r="F454" s="118"/>
      <c r="G454" s="110"/>
      <c r="H454" s="143"/>
      <c r="I454" s="114">
        <v>0</v>
      </c>
      <c r="J454" s="115">
        <v>0</v>
      </c>
      <c r="K454" s="116">
        <v>0</v>
      </c>
      <c r="L454" s="116">
        <v>0</v>
      </c>
      <c r="M454" s="114">
        <v>0</v>
      </c>
      <c r="N454" s="113">
        <v>0</v>
      </c>
      <c r="O454" s="113">
        <v>0</v>
      </c>
      <c r="P454" s="116">
        <v>0</v>
      </c>
      <c r="Q454" s="116">
        <v>0</v>
      </c>
      <c r="R454" s="116">
        <v>0</v>
      </c>
      <c r="S454" s="114">
        <v>0</v>
      </c>
      <c r="T454" s="116">
        <v>0</v>
      </c>
      <c r="U454" s="116">
        <v>0</v>
      </c>
      <c r="V454" s="121">
        <f t="shared" si="36"/>
        <v>0</v>
      </c>
      <c r="W454" s="111"/>
      <c r="X454" s="111"/>
      <c r="Y454" s="111"/>
      <c r="Z454" s="111"/>
      <c r="AA454" s="111"/>
      <c r="AB454" s="111"/>
      <c r="AC454" s="111"/>
      <c r="AD454" s="111"/>
      <c r="AE454" s="139">
        <f t="shared" si="35"/>
        <v>0</v>
      </c>
      <c r="AF454" s="109"/>
      <c r="AG454" s="109"/>
    </row>
    <row r="455" spans="1:33">
      <c r="A455" s="117"/>
      <c r="B455" s="118"/>
      <c r="C455" s="118"/>
      <c r="D455" s="118"/>
      <c r="E455" s="119"/>
      <c r="F455" s="118"/>
      <c r="G455" s="110"/>
      <c r="H455" s="143"/>
      <c r="I455" s="114">
        <v>0</v>
      </c>
      <c r="J455" s="115">
        <v>0</v>
      </c>
      <c r="K455" s="116">
        <v>0</v>
      </c>
      <c r="L455" s="116">
        <v>0</v>
      </c>
      <c r="M455" s="114">
        <v>0</v>
      </c>
      <c r="N455" s="113">
        <v>0</v>
      </c>
      <c r="O455" s="113">
        <v>0</v>
      </c>
      <c r="P455" s="116">
        <v>0</v>
      </c>
      <c r="Q455" s="116">
        <v>0</v>
      </c>
      <c r="R455" s="116">
        <v>0</v>
      </c>
      <c r="S455" s="114">
        <v>0</v>
      </c>
      <c r="T455" s="116">
        <v>0</v>
      </c>
      <c r="U455" s="116">
        <v>0</v>
      </c>
      <c r="V455" s="121">
        <f t="shared" si="36"/>
        <v>0</v>
      </c>
      <c r="W455" s="111"/>
      <c r="X455" s="111"/>
      <c r="Y455" s="111"/>
      <c r="Z455" s="111"/>
      <c r="AA455" s="111"/>
      <c r="AB455" s="111"/>
      <c r="AC455" s="111"/>
      <c r="AD455" s="111"/>
      <c r="AE455" s="139">
        <f t="shared" si="35"/>
        <v>0</v>
      </c>
      <c r="AF455" s="109"/>
      <c r="AG455" s="109"/>
    </row>
    <row r="456" spans="1:33">
      <c r="A456" s="117"/>
      <c r="B456" s="118"/>
      <c r="C456" s="118"/>
      <c r="D456" s="118"/>
      <c r="E456" s="119"/>
      <c r="F456" s="118"/>
      <c r="G456" s="110"/>
      <c r="H456" s="143"/>
      <c r="I456" s="114">
        <v>0</v>
      </c>
      <c r="J456" s="115">
        <v>0</v>
      </c>
      <c r="K456" s="116">
        <v>0</v>
      </c>
      <c r="L456" s="116">
        <v>0</v>
      </c>
      <c r="M456" s="114">
        <v>0</v>
      </c>
      <c r="N456" s="113">
        <v>0</v>
      </c>
      <c r="O456" s="113">
        <v>0</v>
      </c>
      <c r="P456" s="116">
        <v>0</v>
      </c>
      <c r="Q456" s="116">
        <v>0</v>
      </c>
      <c r="R456" s="116">
        <v>0</v>
      </c>
      <c r="S456" s="114">
        <v>0</v>
      </c>
      <c r="T456" s="116">
        <v>0</v>
      </c>
      <c r="U456" s="116">
        <v>0</v>
      </c>
      <c r="V456" s="121">
        <f t="shared" si="36"/>
        <v>0</v>
      </c>
      <c r="W456" s="111"/>
      <c r="X456" s="111"/>
      <c r="Y456" s="111"/>
      <c r="Z456" s="111"/>
      <c r="AA456" s="111"/>
      <c r="AB456" s="111"/>
      <c r="AC456" s="111"/>
      <c r="AD456" s="111"/>
      <c r="AE456" s="139">
        <f t="shared" si="35"/>
        <v>0</v>
      </c>
      <c r="AF456" s="109"/>
      <c r="AG456" s="109"/>
    </row>
    <row r="457" spans="1:33">
      <c r="A457" s="117"/>
      <c r="B457" s="118"/>
      <c r="C457" s="118"/>
      <c r="D457" s="118"/>
      <c r="E457" s="119"/>
      <c r="F457" s="118"/>
      <c r="G457" s="110"/>
      <c r="H457" s="143"/>
      <c r="I457" s="114">
        <v>0</v>
      </c>
      <c r="J457" s="115">
        <v>0</v>
      </c>
      <c r="K457" s="116">
        <v>0</v>
      </c>
      <c r="L457" s="116">
        <v>0</v>
      </c>
      <c r="M457" s="114">
        <v>0</v>
      </c>
      <c r="N457" s="113">
        <v>0</v>
      </c>
      <c r="O457" s="113">
        <v>0</v>
      </c>
      <c r="P457" s="116">
        <v>0</v>
      </c>
      <c r="Q457" s="116">
        <v>0</v>
      </c>
      <c r="R457" s="116">
        <v>0</v>
      </c>
      <c r="S457" s="114">
        <v>0</v>
      </c>
      <c r="T457" s="116">
        <v>0</v>
      </c>
      <c r="U457" s="116">
        <v>0</v>
      </c>
      <c r="V457" s="121">
        <f t="shared" si="36"/>
        <v>0</v>
      </c>
      <c r="W457" s="111"/>
      <c r="X457" s="111"/>
      <c r="Y457" s="111"/>
      <c r="Z457" s="111"/>
      <c r="AA457" s="111"/>
      <c r="AB457" s="111"/>
      <c r="AC457" s="111"/>
      <c r="AD457" s="111"/>
      <c r="AE457" s="139">
        <f t="shared" si="35"/>
        <v>0</v>
      </c>
      <c r="AF457" s="109"/>
      <c r="AG457" s="109"/>
    </row>
    <row r="458" spans="1:33">
      <c r="A458" s="117"/>
      <c r="B458" s="118"/>
      <c r="C458" s="118"/>
      <c r="D458" s="118"/>
      <c r="E458" s="119"/>
      <c r="F458" s="118"/>
      <c r="G458" s="110"/>
      <c r="H458" s="143"/>
      <c r="I458" s="114">
        <v>0</v>
      </c>
      <c r="J458" s="115">
        <v>0</v>
      </c>
      <c r="K458" s="116">
        <v>0</v>
      </c>
      <c r="L458" s="116">
        <v>0</v>
      </c>
      <c r="M458" s="114">
        <v>0</v>
      </c>
      <c r="N458" s="113">
        <v>0</v>
      </c>
      <c r="O458" s="113">
        <v>0</v>
      </c>
      <c r="P458" s="116">
        <v>0</v>
      </c>
      <c r="Q458" s="116">
        <v>0</v>
      </c>
      <c r="R458" s="116">
        <v>0</v>
      </c>
      <c r="S458" s="114">
        <v>0</v>
      </c>
      <c r="T458" s="116">
        <v>0</v>
      </c>
      <c r="U458" s="116">
        <v>0</v>
      </c>
      <c r="V458" s="121">
        <f t="shared" si="36"/>
        <v>0</v>
      </c>
      <c r="W458" s="111"/>
      <c r="X458" s="111"/>
      <c r="Y458" s="111"/>
      <c r="Z458" s="111"/>
      <c r="AA458" s="111"/>
      <c r="AB458" s="111"/>
      <c r="AC458" s="111"/>
      <c r="AD458" s="111"/>
      <c r="AE458" s="139">
        <f t="shared" si="35"/>
        <v>0</v>
      </c>
      <c r="AF458" s="109"/>
      <c r="AG458" s="109"/>
    </row>
    <row r="459" spans="1:33">
      <c r="A459" s="117"/>
      <c r="B459" s="118"/>
      <c r="C459" s="118"/>
      <c r="D459" s="118"/>
      <c r="E459" s="119"/>
      <c r="F459" s="118"/>
      <c r="G459" s="110"/>
      <c r="H459" s="143"/>
      <c r="I459" s="114">
        <v>0</v>
      </c>
      <c r="J459" s="115">
        <v>0</v>
      </c>
      <c r="K459" s="116">
        <v>0</v>
      </c>
      <c r="L459" s="116">
        <v>0</v>
      </c>
      <c r="M459" s="114">
        <v>0</v>
      </c>
      <c r="N459" s="113">
        <v>0</v>
      </c>
      <c r="O459" s="113">
        <v>0</v>
      </c>
      <c r="P459" s="116">
        <v>0</v>
      </c>
      <c r="Q459" s="116">
        <v>0</v>
      </c>
      <c r="R459" s="116">
        <v>0</v>
      </c>
      <c r="S459" s="114">
        <v>0</v>
      </c>
      <c r="T459" s="116">
        <v>0</v>
      </c>
      <c r="U459" s="116">
        <v>0</v>
      </c>
      <c r="V459" s="121">
        <f t="shared" si="36"/>
        <v>0</v>
      </c>
      <c r="W459" s="111"/>
      <c r="X459" s="111"/>
      <c r="Y459" s="111"/>
      <c r="Z459" s="111"/>
      <c r="AA459" s="111"/>
      <c r="AB459" s="111"/>
      <c r="AC459" s="111"/>
      <c r="AD459" s="111"/>
      <c r="AE459" s="139">
        <f t="shared" si="35"/>
        <v>0</v>
      </c>
      <c r="AF459" s="109"/>
      <c r="AG459" s="109"/>
    </row>
    <row r="460" spans="1:33">
      <c r="A460" s="117"/>
      <c r="B460" s="118"/>
      <c r="C460" s="118"/>
      <c r="D460" s="118"/>
      <c r="E460" s="119"/>
      <c r="F460" s="118"/>
      <c r="G460" s="110"/>
      <c r="H460" s="143"/>
      <c r="I460" s="114">
        <v>0</v>
      </c>
      <c r="J460" s="115">
        <v>0</v>
      </c>
      <c r="K460" s="116">
        <v>0</v>
      </c>
      <c r="L460" s="116">
        <v>0</v>
      </c>
      <c r="M460" s="114">
        <v>0</v>
      </c>
      <c r="N460" s="113">
        <v>0</v>
      </c>
      <c r="O460" s="113">
        <v>0</v>
      </c>
      <c r="P460" s="116">
        <v>0</v>
      </c>
      <c r="Q460" s="116">
        <v>0</v>
      </c>
      <c r="R460" s="116">
        <v>0</v>
      </c>
      <c r="S460" s="114">
        <v>0</v>
      </c>
      <c r="T460" s="116">
        <v>0</v>
      </c>
      <c r="U460" s="116">
        <v>0</v>
      </c>
      <c r="V460" s="121">
        <f t="shared" si="36"/>
        <v>0</v>
      </c>
      <c r="W460" s="111"/>
      <c r="X460" s="111"/>
      <c r="Y460" s="111"/>
      <c r="Z460" s="111"/>
      <c r="AA460" s="111"/>
      <c r="AB460" s="111"/>
      <c r="AC460" s="111"/>
      <c r="AD460" s="111"/>
      <c r="AE460" s="139">
        <f t="shared" si="35"/>
        <v>0</v>
      </c>
      <c r="AF460" s="109"/>
      <c r="AG460" s="109"/>
    </row>
    <row r="461" spans="1:33">
      <c r="A461" s="117"/>
      <c r="B461" s="118"/>
      <c r="C461" s="118"/>
      <c r="D461" s="118"/>
      <c r="E461" s="119"/>
      <c r="F461" s="118"/>
      <c r="G461" s="110"/>
      <c r="H461" s="143"/>
      <c r="I461" s="114">
        <v>0</v>
      </c>
      <c r="J461" s="115">
        <v>0</v>
      </c>
      <c r="K461" s="116">
        <v>0</v>
      </c>
      <c r="L461" s="116">
        <v>0</v>
      </c>
      <c r="M461" s="114">
        <v>0</v>
      </c>
      <c r="N461" s="113">
        <v>0</v>
      </c>
      <c r="O461" s="113">
        <v>0</v>
      </c>
      <c r="P461" s="116">
        <v>0</v>
      </c>
      <c r="Q461" s="116">
        <v>0</v>
      </c>
      <c r="R461" s="116">
        <v>0</v>
      </c>
      <c r="S461" s="114">
        <v>0</v>
      </c>
      <c r="T461" s="116">
        <v>0</v>
      </c>
      <c r="U461" s="116">
        <v>0</v>
      </c>
      <c r="V461" s="121">
        <f t="shared" si="36"/>
        <v>0</v>
      </c>
      <c r="W461" s="111"/>
      <c r="X461" s="111"/>
      <c r="Y461" s="111"/>
      <c r="Z461" s="111"/>
      <c r="AA461" s="111"/>
      <c r="AB461" s="111"/>
      <c r="AC461" s="111"/>
      <c r="AD461" s="111"/>
      <c r="AE461" s="139">
        <f t="shared" si="35"/>
        <v>0</v>
      </c>
      <c r="AF461" s="109"/>
      <c r="AG461" s="109"/>
    </row>
    <row r="462" spans="1:33">
      <c r="A462" s="117"/>
      <c r="B462" s="118"/>
      <c r="C462" s="118"/>
      <c r="D462" s="118"/>
      <c r="E462" s="119"/>
      <c r="F462" s="118"/>
      <c r="G462" s="110"/>
      <c r="H462" s="143"/>
      <c r="I462" s="114">
        <v>0</v>
      </c>
      <c r="J462" s="115">
        <v>0</v>
      </c>
      <c r="K462" s="116">
        <v>0</v>
      </c>
      <c r="L462" s="116">
        <v>0</v>
      </c>
      <c r="M462" s="114">
        <v>0</v>
      </c>
      <c r="N462" s="113">
        <v>0</v>
      </c>
      <c r="O462" s="113">
        <v>0</v>
      </c>
      <c r="P462" s="116">
        <v>0</v>
      </c>
      <c r="Q462" s="116">
        <v>0</v>
      </c>
      <c r="R462" s="116">
        <v>0</v>
      </c>
      <c r="S462" s="114">
        <v>0</v>
      </c>
      <c r="T462" s="116">
        <v>0</v>
      </c>
      <c r="U462" s="116">
        <v>0</v>
      </c>
      <c r="V462" s="121">
        <f t="shared" si="36"/>
        <v>0</v>
      </c>
      <c r="W462" s="111"/>
      <c r="X462" s="111"/>
      <c r="Y462" s="111"/>
      <c r="Z462" s="111"/>
      <c r="AA462" s="111"/>
      <c r="AB462" s="111"/>
      <c r="AC462" s="111"/>
      <c r="AD462" s="111"/>
      <c r="AE462" s="139">
        <f t="shared" si="35"/>
        <v>0</v>
      </c>
      <c r="AF462" s="109"/>
      <c r="AG462" s="109"/>
    </row>
    <row r="463" spans="1:33">
      <c r="A463" s="117"/>
      <c r="B463" s="118"/>
      <c r="C463" s="118"/>
      <c r="D463" s="118"/>
      <c r="E463" s="119"/>
      <c r="F463" s="118"/>
      <c r="G463" s="110"/>
      <c r="H463" s="143"/>
      <c r="I463" s="114">
        <v>0</v>
      </c>
      <c r="J463" s="115">
        <v>0</v>
      </c>
      <c r="K463" s="116">
        <v>0</v>
      </c>
      <c r="L463" s="116">
        <v>0</v>
      </c>
      <c r="M463" s="114">
        <v>0</v>
      </c>
      <c r="N463" s="113">
        <v>0</v>
      </c>
      <c r="O463" s="113">
        <v>0</v>
      </c>
      <c r="P463" s="116">
        <v>0</v>
      </c>
      <c r="Q463" s="116">
        <v>0</v>
      </c>
      <c r="R463" s="116">
        <v>0</v>
      </c>
      <c r="S463" s="114">
        <v>0</v>
      </c>
      <c r="T463" s="116">
        <v>0</v>
      </c>
      <c r="U463" s="116">
        <v>0</v>
      </c>
      <c r="V463" s="121">
        <f t="shared" si="36"/>
        <v>0</v>
      </c>
      <c r="W463" s="111"/>
      <c r="X463" s="111"/>
      <c r="Y463" s="111"/>
      <c r="Z463" s="111"/>
      <c r="AA463" s="111"/>
      <c r="AB463" s="111"/>
      <c r="AC463" s="111"/>
      <c r="AD463" s="111"/>
      <c r="AE463" s="139">
        <f t="shared" si="35"/>
        <v>0</v>
      </c>
      <c r="AF463" s="109"/>
      <c r="AG463" s="109"/>
    </row>
    <row r="464" spans="1:33">
      <c r="A464" s="117"/>
      <c r="B464" s="118"/>
      <c r="C464" s="118"/>
      <c r="D464" s="118"/>
      <c r="E464" s="119"/>
      <c r="F464" s="118"/>
      <c r="G464" s="110"/>
      <c r="H464" s="143"/>
      <c r="I464" s="114">
        <v>0</v>
      </c>
      <c r="J464" s="115">
        <v>0</v>
      </c>
      <c r="K464" s="116">
        <v>0</v>
      </c>
      <c r="L464" s="116">
        <v>0</v>
      </c>
      <c r="M464" s="114">
        <v>0</v>
      </c>
      <c r="N464" s="113">
        <v>0</v>
      </c>
      <c r="O464" s="113">
        <v>0</v>
      </c>
      <c r="P464" s="116">
        <v>0</v>
      </c>
      <c r="Q464" s="116">
        <v>0</v>
      </c>
      <c r="R464" s="116">
        <v>0</v>
      </c>
      <c r="S464" s="114">
        <v>0</v>
      </c>
      <c r="T464" s="116">
        <v>0</v>
      </c>
      <c r="U464" s="116">
        <v>0</v>
      </c>
      <c r="V464" s="121">
        <f t="shared" si="36"/>
        <v>0</v>
      </c>
      <c r="W464" s="111"/>
      <c r="X464" s="111"/>
      <c r="Y464" s="111"/>
      <c r="Z464" s="111"/>
      <c r="AA464" s="111"/>
      <c r="AB464" s="111"/>
      <c r="AC464" s="111"/>
      <c r="AD464" s="111"/>
      <c r="AE464" s="139">
        <f t="shared" si="35"/>
        <v>0</v>
      </c>
      <c r="AF464" s="109"/>
      <c r="AG464" s="109"/>
    </row>
    <row r="465" spans="1:33">
      <c r="A465" s="117"/>
      <c r="B465" s="118"/>
      <c r="C465" s="118"/>
      <c r="D465" s="118"/>
      <c r="E465" s="119"/>
      <c r="F465" s="118"/>
      <c r="G465" s="110"/>
      <c r="H465" s="143"/>
      <c r="I465" s="114">
        <v>0</v>
      </c>
      <c r="J465" s="115">
        <v>0</v>
      </c>
      <c r="K465" s="116">
        <v>0</v>
      </c>
      <c r="L465" s="116">
        <v>0</v>
      </c>
      <c r="M465" s="114">
        <v>0</v>
      </c>
      <c r="N465" s="113">
        <v>0</v>
      </c>
      <c r="O465" s="113">
        <v>0</v>
      </c>
      <c r="P465" s="116">
        <v>0</v>
      </c>
      <c r="Q465" s="116">
        <v>0</v>
      </c>
      <c r="R465" s="116">
        <v>0</v>
      </c>
      <c r="S465" s="114">
        <v>0</v>
      </c>
      <c r="T465" s="116">
        <v>0</v>
      </c>
      <c r="U465" s="116">
        <v>0</v>
      </c>
      <c r="V465" s="121">
        <f t="shared" si="36"/>
        <v>0</v>
      </c>
      <c r="W465" s="111"/>
      <c r="X465" s="111"/>
      <c r="Y465" s="111"/>
      <c r="Z465" s="111"/>
      <c r="AA465" s="111"/>
      <c r="AB465" s="111"/>
      <c r="AC465" s="111"/>
      <c r="AD465" s="111"/>
      <c r="AE465" s="139">
        <f t="shared" si="35"/>
        <v>0</v>
      </c>
      <c r="AF465" s="109"/>
      <c r="AG465" s="109"/>
    </row>
    <row r="466" spans="1:33">
      <c r="A466" s="117"/>
      <c r="B466" s="118"/>
      <c r="C466" s="118"/>
      <c r="D466" s="118"/>
      <c r="E466" s="119"/>
      <c r="F466" s="118"/>
      <c r="G466" s="110"/>
      <c r="H466" s="143"/>
      <c r="I466" s="114">
        <v>0</v>
      </c>
      <c r="J466" s="115">
        <v>0</v>
      </c>
      <c r="K466" s="116">
        <v>0</v>
      </c>
      <c r="L466" s="116">
        <v>0</v>
      </c>
      <c r="M466" s="114">
        <v>0</v>
      </c>
      <c r="N466" s="113">
        <v>0</v>
      </c>
      <c r="O466" s="113">
        <v>0</v>
      </c>
      <c r="P466" s="116">
        <v>0</v>
      </c>
      <c r="Q466" s="116">
        <v>0</v>
      </c>
      <c r="R466" s="116">
        <v>0</v>
      </c>
      <c r="S466" s="114">
        <v>0</v>
      </c>
      <c r="T466" s="116">
        <v>0</v>
      </c>
      <c r="U466" s="116">
        <v>0</v>
      </c>
      <c r="V466" s="121">
        <f t="shared" si="36"/>
        <v>0</v>
      </c>
      <c r="W466" s="111"/>
      <c r="X466" s="111"/>
      <c r="Y466" s="111"/>
      <c r="Z466" s="111"/>
      <c r="AA466" s="111"/>
      <c r="AB466" s="111"/>
      <c r="AC466" s="111"/>
      <c r="AD466" s="111"/>
      <c r="AE466" s="139">
        <f t="shared" si="35"/>
        <v>0</v>
      </c>
      <c r="AF466" s="109"/>
      <c r="AG466" s="109"/>
    </row>
    <row r="467" spans="1:33">
      <c r="A467" s="117"/>
      <c r="B467" s="118"/>
      <c r="C467" s="118"/>
      <c r="D467" s="118"/>
      <c r="E467" s="119"/>
      <c r="F467" s="118"/>
      <c r="G467" s="110"/>
      <c r="H467" s="143"/>
      <c r="I467" s="114">
        <v>0</v>
      </c>
      <c r="J467" s="115">
        <v>0</v>
      </c>
      <c r="K467" s="116">
        <v>0</v>
      </c>
      <c r="L467" s="116">
        <v>0</v>
      </c>
      <c r="M467" s="114">
        <v>0</v>
      </c>
      <c r="N467" s="113">
        <v>0</v>
      </c>
      <c r="O467" s="113">
        <v>0</v>
      </c>
      <c r="P467" s="116">
        <v>0</v>
      </c>
      <c r="Q467" s="116">
        <v>0</v>
      </c>
      <c r="R467" s="116">
        <v>0</v>
      </c>
      <c r="S467" s="114">
        <v>0</v>
      </c>
      <c r="T467" s="116">
        <v>0</v>
      </c>
      <c r="U467" s="116">
        <v>0</v>
      </c>
      <c r="V467" s="121">
        <f t="shared" si="36"/>
        <v>0</v>
      </c>
      <c r="W467" s="111"/>
      <c r="X467" s="111"/>
      <c r="Y467" s="111"/>
      <c r="Z467" s="111"/>
      <c r="AA467" s="111"/>
      <c r="AB467" s="111"/>
      <c r="AC467" s="111"/>
      <c r="AD467" s="111"/>
      <c r="AE467" s="139">
        <f t="shared" si="35"/>
        <v>0</v>
      </c>
      <c r="AF467" s="109"/>
      <c r="AG467" s="109"/>
    </row>
    <row r="468" spans="1:33">
      <c r="A468" s="117"/>
      <c r="B468" s="118"/>
      <c r="C468" s="118"/>
      <c r="D468" s="118"/>
      <c r="E468" s="119"/>
      <c r="F468" s="118"/>
      <c r="G468" s="110"/>
      <c r="H468" s="143"/>
      <c r="I468" s="114">
        <v>0</v>
      </c>
      <c r="J468" s="115">
        <v>0</v>
      </c>
      <c r="K468" s="116">
        <v>0</v>
      </c>
      <c r="L468" s="116">
        <v>0</v>
      </c>
      <c r="M468" s="114">
        <v>0</v>
      </c>
      <c r="N468" s="113">
        <v>0</v>
      </c>
      <c r="O468" s="113">
        <v>0</v>
      </c>
      <c r="P468" s="116">
        <v>0</v>
      </c>
      <c r="Q468" s="116">
        <v>0</v>
      </c>
      <c r="R468" s="116">
        <v>0</v>
      </c>
      <c r="S468" s="114">
        <v>0</v>
      </c>
      <c r="T468" s="116">
        <v>0</v>
      </c>
      <c r="U468" s="116">
        <v>0</v>
      </c>
      <c r="V468" s="121">
        <f t="shared" si="36"/>
        <v>0</v>
      </c>
      <c r="W468" s="111"/>
      <c r="X468" s="111"/>
      <c r="Y468" s="111"/>
      <c r="Z468" s="111"/>
      <c r="AA468" s="111"/>
      <c r="AB468" s="111"/>
      <c r="AC468" s="111"/>
      <c r="AD468" s="111"/>
      <c r="AE468" s="139">
        <f t="shared" si="35"/>
        <v>0</v>
      </c>
      <c r="AF468" s="109"/>
      <c r="AG468" s="109"/>
    </row>
    <row r="469" spans="1:33">
      <c r="A469" s="117"/>
      <c r="B469" s="118"/>
      <c r="C469" s="118"/>
      <c r="D469" s="118"/>
      <c r="E469" s="119"/>
      <c r="F469" s="118"/>
      <c r="G469" s="110"/>
      <c r="H469" s="143"/>
      <c r="I469" s="114">
        <v>0</v>
      </c>
      <c r="J469" s="115">
        <v>0</v>
      </c>
      <c r="K469" s="116">
        <v>0</v>
      </c>
      <c r="L469" s="116">
        <v>0</v>
      </c>
      <c r="M469" s="114">
        <v>0</v>
      </c>
      <c r="N469" s="113">
        <v>0</v>
      </c>
      <c r="O469" s="113">
        <v>0</v>
      </c>
      <c r="P469" s="116">
        <v>0</v>
      </c>
      <c r="Q469" s="116">
        <v>0</v>
      </c>
      <c r="R469" s="116">
        <v>0</v>
      </c>
      <c r="S469" s="114">
        <v>0</v>
      </c>
      <c r="T469" s="116">
        <v>0</v>
      </c>
      <c r="U469" s="116">
        <v>0</v>
      </c>
      <c r="V469" s="121">
        <f t="shared" si="36"/>
        <v>0</v>
      </c>
      <c r="W469" s="111"/>
      <c r="X469" s="111"/>
      <c r="Y469" s="111"/>
      <c r="Z469" s="111"/>
      <c r="AA469" s="111"/>
      <c r="AB469" s="111"/>
      <c r="AC469" s="111"/>
      <c r="AD469" s="111"/>
      <c r="AE469" s="139">
        <f t="shared" si="35"/>
        <v>0</v>
      </c>
      <c r="AF469" s="109"/>
      <c r="AG469" s="109"/>
    </row>
    <row r="470" spans="1:33">
      <c r="A470" s="117"/>
      <c r="B470" s="118"/>
      <c r="C470" s="118"/>
      <c r="D470" s="118"/>
      <c r="E470" s="119"/>
      <c r="F470" s="118"/>
      <c r="G470" s="110"/>
      <c r="H470" s="143"/>
      <c r="I470" s="114">
        <v>0</v>
      </c>
      <c r="J470" s="115">
        <v>0</v>
      </c>
      <c r="K470" s="116">
        <v>0</v>
      </c>
      <c r="L470" s="116">
        <v>0</v>
      </c>
      <c r="M470" s="114">
        <v>0</v>
      </c>
      <c r="N470" s="113">
        <v>0</v>
      </c>
      <c r="O470" s="113">
        <v>0</v>
      </c>
      <c r="P470" s="116">
        <v>0</v>
      </c>
      <c r="Q470" s="116">
        <v>0</v>
      </c>
      <c r="R470" s="116">
        <v>0</v>
      </c>
      <c r="S470" s="114">
        <v>0</v>
      </c>
      <c r="T470" s="116">
        <v>0</v>
      </c>
      <c r="U470" s="116">
        <v>0</v>
      </c>
      <c r="V470" s="121">
        <f t="shared" si="36"/>
        <v>0</v>
      </c>
      <c r="W470" s="111"/>
      <c r="X470" s="111"/>
      <c r="Y470" s="111"/>
      <c r="Z470" s="111"/>
      <c r="AA470" s="111"/>
      <c r="AB470" s="111"/>
      <c r="AC470" s="111"/>
      <c r="AD470" s="111"/>
      <c r="AE470" s="139">
        <f t="shared" si="35"/>
        <v>0</v>
      </c>
      <c r="AF470" s="109"/>
      <c r="AG470" s="109"/>
    </row>
    <row r="471" spans="1:33">
      <c r="A471" s="117"/>
      <c r="B471" s="118"/>
      <c r="C471" s="118"/>
      <c r="D471" s="118"/>
      <c r="E471" s="119"/>
      <c r="F471" s="118"/>
      <c r="G471" s="110"/>
      <c r="H471" s="143"/>
      <c r="I471" s="114">
        <v>0</v>
      </c>
      <c r="J471" s="115">
        <v>0</v>
      </c>
      <c r="K471" s="116">
        <v>0</v>
      </c>
      <c r="L471" s="116">
        <v>0</v>
      </c>
      <c r="M471" s="114">
        <v>0</v>
      </c>
      <c r="N471" s="113">
        <v>0</v>
      </c>
      <c r="O471" s="113">
        <v>0</v>
      </c>
      <c r="P471" s="116">
        <v>0</v>
      </c>
      <c r="Q471" s="116">
        <v>0</v>
      </c>
      <c r="R471" s="116">
        <v>0</v>
      </c>
      <c r="S471" s="114">
        <v>0</v>
      </c>
      <c r="T471" s="116">
        <v>0</v>
      </c>
      <c r="U471" s="116">
        <v>0</v>
      </c>
      <c r="V471" s="121">
        <f t="shared" si="36"/>
        <v>0</v>
      </c>
      <c r="W471" s="111"/>
      <c r="X471" s="111"/>
      <c r="Y471" s="111"/>
      <c r="Z471" s="111"/>
      <c r="AA471" s="111"/>
      <c r="AB471" s="111"/>
      <c r="AC471" s="111"/>
      <c r="AD471" s="111"/>
      <c r="AE471" s="139">
        <f t="shared" si="35"/>
        <v>0</v>
      </c>
      <c r="AF471" s="109"/>
      <c r="AG471" s="109"/>
    </row>
    <row r="472" spans="1:33">
      <c r="A472" s="117"/>
      <c r="B472" s="118"/>
      <c r="C472" s="118"/>
      <c r="D472" s="118"/>
      <c r="E472" s="119"/>
      <c r="F472" s="118"/>
      <c r="G472" s="110"/>
      <c r="H472" s="143"/>
      <c r="I472" s="114">
        <v>0</v>
      </c>
      <c r="J472" s="115">
        <v>0</v>
      </c>
      <c r="K472" s="116">
        <v>0</v>
      </c>
      <c r="L472" s="116">
        <v>0</v>
      </c>
      <c r="M472" s="114">
        <v>0</v>
      </c>
      <c r="N472" s="113">
        <v>0</v>
      </c>
      <c r="O472" s="113">
        <v>0</v>
      </c>
      <c r="P472" s="116">
        <v>0</v>
      </c>
      <c r="Q472" s="116">
        <v>0</v>
      </c>
      <c r="R472" s="116">
        <v>0</v>
      </c>
      <c r="S472" s="114">
        <v>0</v>
      </c>
      <c r="T472" s="116">
        <v>0</v>
      </c>
      <c r="U472" s="116">
        <v>0</v>
      </c>
      <c r="V472" s="121">
        <f t="shared" si="36"/>
        <v>0</v>
      </c>
      <c r="W472" s="111"/>
      <c r="X472" s="111"/>
      <c r="Y472" s="111"/>
      <c r="Z472" s="111"/>
      <c r="AA472" s="111"/>
      <c r="AB472" s="111"/>
      <c r="AC472" s="111"/>
      <c r="AD472" s="111"/>
      <c r="AE472" s="139">
        <f t="shared" si="35"/>
        <v>0</v>
      </c>
      <c r="AF472" s="109"/>
      <c r="AG472" s="109"/>
    </row>
    <row r="473" spans="1:33">
      <c r="A473" s="117"/>
      <c r="B473" s="118"/>
      <c r="C473" s="118"/>
      <c r="D473" s="118"/>
      <c r="E473" s="119"/>
      <c r="F473" s="118"/>
      <c r="G473" s="110"/>
      <c r="H473" s="143"/>
      <c r="I473" s="114">
        <v>0</v>
      </c>
      <c r="J473" s="115">
        <v>0</v>
      </c>
      <c r="K473" s="116">
        <v>0</v>
      </c>
      <c r="L473" s="116">
        <v>0</v>
      </c>
      <c r="M473" s="114">
        <v>0</v>
      </c>
      <c r="N473" s="113">
        <v>0</v>
      </c>
      <c r="O473" s="113">
        <v>0</v>
      </c>
      <c r="P473" s="116">
        <v>0</v>
      </c>
      <c r="Q473" s="116">
        <v>0</v>
      </c>
      <c r="R473" s="116">
        <v>0</v>
      </c>
      <c r="S473" s="114">
        <v>0</v>
      </c>
      <c r="T473" s="116">
        <v>0</v>
      </c>
      <c r="U473" s="116">
        <v>0</v>
      </c>
      <c r="V473" s="121">
        <f t="shared" si="36"/>
        <v>0</v>
      </c>
      <c r="W473" s="111"/>
      <c r="X473" s="111"/>
      <c r="Y473" s="111"/>
      <c r="Z473" s="111"/>
      <c r="AA473" s="111"/>
      <c r="AB473" s="111"/>
      <c r="AC473" s="111"/>
      <c r="AD473" s="111"/>
      <c r="AE473" s="139">
        <f t="shared" si="35"/>
        <v>0</v>
      </c>
      <c r="AF473" s="109"/>
      <c r="AG473" s="109"/>
    </row>
    <row r="474" spans="1:33">
      <c r="A474" s="117"/>
      <c r="B474" s="118"/>
      <c r="C474" s="118"/>
      <c r="D474" s="118"/>
      <c r="E474" s="119"/>
      <c r="F474" s="118"/>
      <c r="G474" s="110"/>
      <c r="H474" s="143"/>
      <c r="I474" s="114">
        <v>0</v>
      </c>
      <c r="J474" s="115">
        <v>0</v>
      </c>
      <c r="K474" s="116">
        <v>0</v>
      </c>
      <c r="L474" s="116">
        <v>0</v>
      </c>
      <c r="M474" s="114">
        <v>0</v>
      </c>
      <c r="N474" s="113">
        <v>0</v>
      </c>
      <c r="O474" s="113">
        <v>0</v>
      </c>
      <c r="P474" s="116">
        <v>0</v>
      </c>
      <c r="Q474" s="116">
        <v>0</v>
      </c>
      <c r="R474" s="116">
        <v>0</v>
      </c>
      <c r="S474" s="114">
        <v>0</v>
      </c>
      <c r="T474" s="116">
        <v>0</v>
      </c>
      <c r="U474" s="116">
        <v>0</v>
      </c>
      <c r="V474" s="121">
        <f t="shared" si="36"/>
        <v>0</v>
      </c>
      <c r="W474" s="111"/>
      <c r="X474" s="111"/>
      <c r="Y474" s="111"/>
      <c r="Z474" s="111"/>
      <c r="AA474" s="111"/>
      <c r="AB474" s="111"/>
      <c r="AC474" s="111"/>
      <c r="AD474" s="111"/>
      <c r="AE474" s="139">
        <f t="shared" si="35"/>
        <v>0</v>
      </c>
      <c r="AF474" s="109"/>
      <c r="AG474" s="109"/>
    </row>
    <row r="475" spans="1:33">
      <c r="A475" s="117"/>
      <c r="B475" s="118"/>
      <c r="C475" s="118"/>
      <c r="D475" s="118"/>
      <c r="E475" s="119"/>
      <c r="F475" s="118"/>
      <c r="G475" s="110"/>
      <c r="H475" s="143"/>
      <c r="I475" s="114">
        <v>0</v>
      </c>
      <c r="J475" s="115">
        <v>0</v>
      </c>
      <c r="K475" s="116">
        <v>0</v>
      </c>
      <c r="L475" s="116">
        <v>0</v>
      </c>
      <c r="M475" s="114">
        <v>0</v>
      </c>
      <c r="N475" s="113">
        <v>0</v>
      </c>
      <c r="O475" s="113">
        <v>0</v>
      </c>
      <c r="P475" s="116">
        <v>0</v>
      </c>
      <c r="Q475" s="116">
        <v>0</v>
      </c>
      <c r="R475" s="116">
        <v>0</v>
      </c>
      <c r="S475" s="114">
        <v>0</v>
      </c>
      <c r="T475" s="116">
        <v>0</v>
      </c>
      <c r="U475" s="116">
        <v>0</v>
      </c>
      <c r="V475" s="121">
        <f t="shared" si="36"/>
        <v>0</v>
      </c>
      <c r="W475" s="111"/>
      <c r="X475" s="111"/>
      <c r="Y475" s="111"/>
      <c r="Z475" s="111"/>
      <c r="AA475" s="111"/>
      <c r="AB475" s="111"/>
      <c r="AC475" s="111"/>
      <c r="AD475" s="111"/>
      <c r="AE475" s="139">
        <f t="shared" si="35"/>
        <v>0</v>
      </c>
      <c r="AF475" s="109"/>
      <c r="AG475" s="109"/>
    </row>
    <row r="476" spans="1:33">
      <c r="A476" s="117"/>
      <c r="B476" s="118"/>
      <c r="C476" s="118"/>
      <c r="D476" s="118"/>
      <c r="E476" s="119"/>
      <c r="F476" s="118"/>
      <c r="G476" s="110"/>
      <c r="H476" s="143"/>
      <c r="I476" s="114">
        <v>0</v>
      </c>
      <c r="J476" s="115">
        <v>0</v>
      </c>
      <c r="K476" s="116">
        <v>0</v>
      </c>
      <c r="L476" s="116">
        <v>0</v>
      </c>
      <c r="M476" s="114">
        <v>0</v>
      </c>
      <c r="N476" s="113">
        <v>0</v>
      </c>
      <c r="O476" s="113">
        <v>0</v>
      </c>
      <c r="P476" s="116">
        <v>0</v>
      </c>
      <c r="Q476" s="116">
        <v>0</v>
      </c>
      <c r="R476" s="116">
        <v>0</v>
      </c>
      <c r="S476" s="114">
        <v>0</v>
      </c>
      <c r="T476" s="116">
        <v>0</v>
      </c>
      <c r="U476" s="116">
        <v>0</v>
      </c>
      <c r="V476" s="121">
        <f t="shared" si="36"/>
        <v>0</v>
      </c>
      <c r="W476" s="111"/>
      <c r="X476" s="111"/>
      <c r="Y476" s="111"/>
      <c r="Z476" s="111"/>
      <c r="AA476" s="111"/>
      <c r="AB476" s="111"/>
      <c r="AC476" s="111"/>
      <c r="AD476" s="111"/>
      <c r="AE476" s="139">
        <f t="shared" si="35"/>
        <v>0</v>
      </c>
      <c r="AF476" s="109"/>
      <c r="AG476" s="109"/>
    </row>
    <row r="477" spans="1:33">
      <c r="A477" s="117"/>
      <c r="B477" s="118"/>
      <c r="C477" s="118"/>
      <c r="D477" s="118"/>
      <c r="E477" s="119"/>
      <c r="F477" s="118"/>
      <c r="G477" s="110"/>
      <c r="H477" s="143"/>
      <c r="I477" s="114">
        <v>0</v>
      </c>
      <c r="J477" s="115">
        <v>0</v>
      </c>
      <c r="K477" s="116">
        <v>0</v>
      </c>
      <c r="L477" s="116">
        <v>0</v>
      </c>
      <c r="M477" s="114">
        <v>0</v>
      </c>
      <c r="N477" s="113">
        <v>0</v>
      </c>
      <c r="O477" s="113">
        <v>0</v>
      </c>
      <c r="P477" s="116">
        <v>0</v>
      </c>
      <c r="Q477" s="116">
        <v>0</v>
      </c>
      <c r="R477" s="116">
        <v>0</v>
      </c>
      <c r="S477" s="114">
        <v>0</v>
      </c>
      <c r="T477" s="116">
        <v>0</v>
      </c>
      <c r="U477" s="116">
        <v>0</v>
      </c>
      <c r="V477" s="121">
        <f t="shared" si="36"/>
        <v>0</v>
      </c>
      <c r="W477" s="111"/>
      <c r="X477" s="111"/>
      <c r="Y477" s="111"/>
      <c r="Z477" s="111"/>
      <c r="AA477" s="111"/>
      <c r="AB477" s="111"/>
      <c r="AC477" s="111"/>
      <c r="AD477" s="111"/>
      <c r="AE477" s="139">
        <f t="shared" si="35"/>
        <v>0</v>
      </c>
      <c r="AF477" s="109"/>
      <c r="AG477" s="109"/>
    </row>
    <row r="478" spans="1:33">
      <c r="A478" s="117"/>
      <c r="B478" s="118"/>
      <c r="C478" s="118"/>
      <c r="D478" s="118"/>
      <c r="E478" s="119"/>
      <c r="F478" s="118"/>
      <c r="G478" s="110"/>
      <c r="H478" s="143"/>
      <c r="I478" s="114">
        <v>0</v>
      </c>
      <c r="J478" s="115">
        <v>0</v>
      </c>
      <c r="K478" s="116">
        <v>0</v>
      </c>
      <c r="L478" s="116">
        <v>0</v>
      </c>
      <c r="M478" s="114">
        <v>0</v>
      </c>
      <c r="N478" s="113">
        <v>0</v>
      </c>
      <c r="O478" s="113">
        <v>0</v>
      </c>
      <c r="P478" s="116">
        <v>0</v>
      </c>
      <c r="Q478" s="116">
        <v>0</v>
      </c>
      <c r="R478" s="116">
        <v>0</v>
      </c>
      <c r="S478" s="114">
        <v>0</v>
      </c>
      <c r="T478" s="116">
        <v>0</v>
      </c>
      <c r="U478" s="116">
        <v>0</v>
      </c>
      <c r="V478" s="121">
        <f t="shared" si="36"/>
        <v>0</v>
      </c>
      <c r="W478" s="111"/>
      <c r="X478" s="111"/>
      <c r="Y478" s="111"/>
      <c r="Z478" s="111"/>
      <c r="AA478" s="111"/>
      <c r="AB478" s="111"/>
      <c r="AC478" s="111"/>
      <c r="AD478" s="111"/>
      <c r="AE478" s="139">
        <f t="shared" si="35"/>
        <v>0</v>
      </c>
      <c r="AF478" s="109"/>
      <c r="AG478" s="109"/>
    </row>
    <row r="479" spans="1:33">
      <c r="A479" s="117"/>
      <c r="B479" s="118"/>
      <c r="C479" s="118"/>
      <c r="D479" s="118"/>
      <c r="E479" s="119"/>
      <c r="F479" s="118"/>
      <c r="G479" s="110"/>
      <c r="H479" s="143"/>
      <c r="I479" s="114">
        <v>0</v>
      </c>
      <c r="J479" s="115">
        <v>0</v>
      </c>
      <c r="K479" s="116">
        <v>0</v>
      </c>
      <c r="L479" s="116">
        <v>0</v>
      </c>
      <c r="M479" s="114">
        <v>0</v>
      </c>
      <c r="N479" s="113">
        <v>0</v>
      </c>
      <c r="O479" s="113">
        <v>0</v>
      </c>
      <c r="P479" s="116">
        <v>0</v>
      </c>
      <c r="Q479" s="116">
        <v>0</v>
      </c>
      <c r="R479" s="116">
        <v>0</v>
      </c>
      <c r="S479" s="114">
        <v>0</v>
      </c>
      <c r="T479" s="116">
        <v>0</v>
      </c>
      <c r="U479" s="116">
        <v>0</v>
      </c>
      <c r="V479" s="121">
        <f t="shared" si="36"/>
        <v>0</v>
      </c>
      <c r="W479" s="111"/>
      <c r="X479" s="111"/>
      <c r="Y479" s="111"/>
      <c r="Z479" s="111"/>
      <c r="AA479" s="111"/>
      <c r="AB479" s="111"/>
      <c r="AC479" s="111"/>
      <c r="AD479" s="111"/>
      <c r="AE479" s="139">
        <f t="shared" si="35"/>
        <v>0</v>
      </c>
      <c r="AF479" s="109"/>
      <c r="AG479" s="109"/>
    </row>
    <row r="480" spans="1:33">
      <c r="A480" s="117"/>
      <c r="B480" s="118"/>
      <c r="C480" s="118"/>
      <c r="D480" s="118"/>
      <c r="E480" s="119"/>
      <c r="F480" s="118"/>
      <c r="G480" s="110"/>
      <c r="H480" s="143"/>
      <c r="I480" s="114">
        <v>0</v>
      </c>
      <c r="J480" s="115">
        <v>0</v>
      </c>
      <c r="K480" s="116">
        <v>0</v>
      </c>
      <c r="L480" s="116">
        <v>0</v>
      </c>
      <c r="M480" s="114">
        <v>0</v>
      </c>
      <c r="N480" s="113">
        <v>0</v>
      </c>
      <c r="O480" s="113">
        <v>0</v>
      </c>
      <c r="P480" s="116">
        <v>0</v>
      </c>
      <c r="Q480" s="116">
        <v>0</v>
      </c>
      <c r="R480" s="116">
        <v>0</v>
      </c>
      <c r="S480" s="114">
        <v>0</v>
      </c>
      <c r="T480" s="116">
        <v>0</v>
      </c>
      <c r="U480" s="116">
        <v>0</v>
      </c>
      <c r="V480" s="121">
        <f t="shared" si="36"/>
        <v>0</v>
      </c>
      <c r="W480" s="111"/>
      <c r="X480" s="111"/>
      <c r="Y480" s="111"/>
      <c r="Z480" s="111"/>
      <c r="AA480" s="111"/>
      <c r="AB480" s="111"/>
      <c r="AC480" s="111"/>
      <c r="AD480" s="111"/>
      <c r="AE480" s="139">
        <f t="shared" si="35"/>
        <v>0</v>
      </c>
      <c r="AF480" s="109"/>
      <c r="AG480" s="109"/>
    </row>
    <row r="481" spans="1:33">
      <c r="A481" s="117"/>
      <c r="B481" s="118"/>
      <c r="C481" s="118"/>
      <c r="D481" s="118"/>
      <c r="E481" s="119"/>
      <c r="F481" s="118"/>
      <c r="G481" s="110"/>
      <c r="H481" s="143"/>
      <c r="I481" s="114">
        <v>0</v>
      </c>
      <c r="J481" s="115">
        <v>0</v>
      </c>
      <c r="K481" s="116">
        <v>0</v>
      </c>
      <c r="L481" s="116">
        <v>0</v>
      </c>
      <c r="M481" s="114">
        <v>0</v>
      </c>
      <c r="N481" s="113">
        <v>0</v>
      </c>
      <c r="O481" s="113">
        <v>0</v>
      </c>
      <c r="P481" s="116">
        <v>0</v>
      </c>
      <c r="Q481" s="116">
        <v>0</v>
      </c>
      <c r="R481" s="116">
        <v>0</v>
      </c>
      <c r="S481" s="114">
        <v>0</v>
      </c>
      <c r="T481" s="116">
        <v>0</v>
      </c>
      <c r="U481" s="116">
        <v>0</v>
      </c>
      <c r="V481" s="121">
        <f t="shared" si="36"/>
        <v>0</v>
      </c>
      <c r="W481" s="111"/>
      <c r="X481" s="111"/>
      <c r="Y481" s="111"/>
      <c r="Z481" s="111"/>
      <c r="AA481" s="111"/>
      <c r="AB481" s="111"/>
      <c r="AC481" s="111"/>
      <c r="AD481" s="111"/>
      <c r="AE481" s="139">
        <f t="shared" si="35"/>
        <v>0</v>
      </c>
      <c r="AF481" s="109"/>
      <c r="AG481" s="109"/>
    </row>
    <row r="482" spans="1:33">
      <c r="A482" s="117"/>
      <c r="B482" s="118"/>
      <c r="C482" s="118"/>
      <c r="D482" s="118"/>
      <c r="E482" s="119"/>
      <c r="F482" s="118"/>
      <c r="G482" s="110"/>
      <c r="H482" s="143"/>
      <c r="I482" s="114">
        <v>0</v>
      </c>
      <c r="J482" s="115">
        <v>0</v>
      </c>
      <c r="K482" s="116">
        <v>0</v>
      </c>
      <c r="L482" s="116">
        <v>0</v>
      </c>
      <c r="M482" s="114">
        <v>0</v>
      </c>
      <c r="N482" s="113">
        <v>0</v>
      </c>
      <c r="O482" s="113">
        <v>0</v>
      </c>
      <c r="P482" s="116">
        <v>0</v>
      </c>
      <c r="Q482" s="116">
        <v>0</v>
      </c>
      <c r="R482" s="116">
        <v>0</v>
      </c>
      <c r="S482" s="114">
        <v>0</v>
      </c>
      <c r="T482" s="116">
        <v>0</v>
      </c>
      <c r="U482" s="116">
        <v>0</v>
      </c>
      <c r="V482" s="121">
        <f t="shared" si="36"/>
        <v>0</v>
      </c>
      <c r="W482" s="111"/>
      <c r="X482" s="111"/>
      <c r="Y482" s="111"/>
      <c r="Z482" s="111"/>
      <c r="AA482" s="111"/>
      <c r="AB482" s="111"/>
      <c r="AC482" s="111"/>
      <c r="AD482" s="111"/>
      <c r="AE482" s="139">
        <f t="shared" si="35"/>
        <v>0</v>
      </c>
      <c r="AF482" s="109"/>
      <c r="AG482" s="109"/>
    </row>
    <row r="483" spans="1:33">
      <c r="A483" s="117"/>
      <c r="B483" s="118"/>
      <c r="C483" s="118"/>
      <c r="D483" s="118"/>
      <c r="E483" s="119"/>
      <c r="F483" s="118"/>
      <c r="G483" s="110"/>
      <c r="H483" s="143"/>
      <c r="I483" s="114">
        <v>0</v>
      </c>
      <c r="J483" s="115">
        <v>0</v>
      </c>
      <c r="K483" s="116">
        <v>0</v>
      </c>
      <c r="L483" s="116">
        <v>0</v>
      </c>
      <c r="M483" s="114">
        <v>0</v>
      </c>
      <c r="N483" s="113">
        <v>0</v>
      </c>
      <c r="O483" s="113">
        <v>0</v>
      </c>
      <c r="P483" s="116">
        <v>0</v>
      </c>
      <c r="Q483" s="116">
        <v>0</v>
      </c>
      <c r="R483" s="116">
        <v>0</v>
      </c>
      <c r="S483" s="114">
        <v>0</v>
      </c>
      <c r="T483" s="116">
        <v>0</v>
      </c>
      <c r="U483" s="116">
        <v>0</v>
      </c>
      <c r="V483" s="121">
        <f t="shared" si="36"/>
        <v>0</v>
      </c>
      <c r="W483" s="111"/>
      <c r="X483" s="111"/>
      <c r="Y483" s="111"/>
      <c r="Z483" s="111"/>
      <c r="AA483" s="111"/>
      <c r="AB483" s="111"/>
      <c r="AC483" s="111"/>
      <c r="AD483" s="111"/>
      <c r="AE483" s="139">
        <f t="shared" si="35"/>
        <v>0</v>
      </c>
      <c r="AF483" s="109"/>
      <c r="AG483" s="109"/>
    </row>
    <row r="484" spans="1:33">
      <c r="A484" s="117"/>
      <c r="B484" s="118"/>
      <c r="C484" s="118"/>
      <c r="D484" s="118"/>
      <c r="E484" s="119"/>
      <c r="F484" s="118"/>
      <c r="G484" s="110"/>
      <c r="H484" s="143"/>
      <c r="I484" s="114">
        <v>0</v>
      </c>
      <c r="J484" s="115">
        <v>0</v>
      </c>
      <c r="K484" s="116">
        <v>0</v>
      </c>
      <c r="L484" s="116">
        <v>0</v>
      </c>
      <c r="M484" s="114">
        <v>0</v>
      </c>
      <c r="N484" s="113">
        <v>0</v>
      </c>
      <c r="O484" s="113">
        <v>0</v>
      </c>
      <c r="P484" s="116">
        <v>0</v>
      </c>
      <c r="Q484" s="116">
        <v>0</v>
      </c>
      <c r="R484" s="116">
        <v>0</v>
      </c>
      <c r="S484" s="114">
        <v>0</v>
      </c>
      <c r="T484" s="116">
        <v>0</v>
      </c>
      <c r="U484" s="116">
        <v>0</v>
      </c>
      <c r="V484" s="121">
        <f t="shared" si="36"/>
        <v>0</v>
      </c>
      <c r="W484" s="111"/>
      <c r="X484" s="111"/>
      <c r="Y484" s="111"/>
      <c r="Z484" s="111"/>
      <c r="AA484" s="111"/>
      <c r="AB484" s="111"/>
      <c r="AC484" s="111"/>
      <c r="AD484" s="111"/>
      <c r="AE484" s="139">
        <f t="shared" si="35"/>
        <v>0</v>
      </c>
      <c r="AF484" s="109"/>
      <c r="AG484" s="109"/>
    </row>
    <row r="485" spans="1:33">
      <c r="A485" s="117"/>
      <c r="B485" s="118"/>
      <c r="C485" s="118"/>
      <c r="D485" s="118"/>
      <c r="E485" s="119"/>
      <c r="F485" s="118"/>
      <c r="G485" s="110"/>
      <c r="H485" s="143"/>
      <c r="I485" s="114">
        <v>0</v>
      </c>
      <c r="J485" s="115">
        <v>0</v>
      </c>
      <c r="K485" s="116">
        <v>0</v>
      </c>
      <c r="L485" s="116">
        <v>0</v>
      </c>
      <c r="M485" s="114">
        <v>0</v>
      </c>
      <c r="N485" s="113">
        <v>0</v>
      </c>
      <c r="O485" s="113">
        <v>0</v>
      </c>
      <c r="P485" s="116">
        <v>0</v>
      </c>
      <c r="Q485" s="116">
        <v>0</v>
      </c>
      <c r="R485" s="116">
        <v>0</v>
      </c>
      <c r="S485" s="114">
        <v>0</v>
      </c>
      <c r="T485" s="116">
        <v>0</v>
      </c>
      <c r="U485" s="116">
        <v>0</v>
      </c>
      <c r="V485" s="121">
        <f t="shared" si="36"/>
        <v>0</v>
      </c>
      <c r="W485" s="111"/>
      <c r="X485" s="111"/>
      <c r="Y485" s="111"/>
      <c r="Z485" s="111"/>
      <c r="AA485" s="111"/>
      <c r="AB485" s="111"/>
      <c r="AC485" s="111"/>
      <c r="AD485" s="111"/>
      <c r="AE485" s="139">
        <f t="shared" si="35"/>
        <v>0</v>
      </c>
      <c r="AF485" s="109"/>
      <c r="AG485" s="109"/>
    </row>
    <row r="486" spans="1:33">
      <c r="A486" s="117"/>
      <c r="B486" s="118"/>
      <c r="C486" s="118"/>
      <c r="D486" s="118"/>
      <c r="E486" s="119"/>
      <c r="F486" s="118"/>
      <c r="G486" s="110"/>
      <c r="H486" s="143"/>
      <c r="I486" s="114">
        <v>0</v>
      </c>
      <c r="J486" s="115">
        <v>0</v>
      </c>
      <c r="K486" s="116">
        <v>0</v>
      </c>
      <c r="L486" s="116">
        <v>0</v>
      </c>
      <c r="M486" s="114">
        <v>0</v>
      </c>
      <c r="N486" s="113">
        <v>0</v>
      </c>
      <c r="O486" s="113">
        <v>0</v>
      </c>
      <c r="P486" s="116">
        <v>0</v>
      </c>
      <c r="Q486" s="116">
        <v>0</v>
      </c>
      <c r="R486" s="116">
        <v>0</v>
      </c>
      <c r="S486" s="114">
        <v>0</v>
      </c>
      <c r="T486" s="116">
        <v>0</v>
      </c>
      <c r="U486" s="116">
        <v>0</v>
      </c>
      <c r="V486" s="121">
        <f t="shared" si="36"/>
        <v>0</v>
      </c>
      <c r="W486" s="111"/>
      <c r="X486" s="111"/>
      <c r="Y486" s="111"/>
      <c r="Z486" s="111"/>
      <c r="AA486" s="111"/>
      <c r="AB486" s="111"/>
      <c r="AC486" s="111"/>
      <c r="AD486" s="111"/>
      <c r="AE486" s="139">
        <f t="shared" si="35"/>
        <v>0</v>
      </c>
      <c r="AF486" s="109"/>
      <c r="AG486" s="109"/>
    </row>
    <row r="487" spans="1:33">
      <c r="A487" s="117"/>
      <c r="B487" s="118"/>
      <c r="C487" s="118"/>
      <c r="D487" s="118"/>
      <c r="E487" s="119"/>
      <c r="F487" s="118"/>
      <c r="G487" s="110"/>
      <c r="H487" s="143"/>
      <c r="I487" s="114">
        <v>0</v>
      </c>
      <c r="J487" s="115">
        <v>0</v>
      </c>
      <c r="K487" s="116">
        <v>0</v>
      </c>
      <c r="L487" s="116">
        <v>0</v>
      </c>
      <c r="M487" s="114">
        <v>0</v>
      </c>
      <c r="N487" s="113">
        <v>0</v>
      </c>
      <c r="O487" s="113">
        <v>0</v>
      </c>
      <c r="P487" s="116">
        <v>0</v>
      </c>
      <c r="Q487" s="116">
        <v>0</v>
      </c>
      <c r="R487" s="116">
        <v>0</v>
      </c>
      <c r="S487" s="114">
        <v>0</v>
      </c>
      <c r="T487" s="116">
        <v>0</v>
      </c>
      <c r="U487" s="116">
        <v>0</v>
      </c>
      <c r="V487" s="121">
        <f t="shared" si="36"/>
        <v>0</v>
      </c>
      <c r="W487" s="111"/>
      <c r="X487" s="111"/>
      <c r="Y487" s="111"/>
      <c r="Z487" s="111"/>
      <c r="AA487" s="111"/>
      <c r="AB487" s="111"/>
      <c r="AC487" s="111"/>
      <c r="AD487" s="111"/>
      <c r="AE487" s="139">
        <f t="shared" si="35"/>
        <v>0</v>
      </c>
      <c r="AF487" s="109"/>
      <c r="AG487" s="109"/>
    </row>
    <row r="488" spans="1:33">
      <c r="A488" s="117"/>
      <c r="B488" s="118"/>
      <c r="C488" s="118"/>
      <c r="D488" s="118"/>
      <c r="E488" s="119"/>
      <c r="F488" s="118"/>
      <c r="G488" s="110"/>
      <c r="H488" s="143"/>
      <c r="I488" s="114">
        <v>0</v>
      </c>
      <c r="J488" s="115">
        <v>0</v>
      </c>
      <c r="K488" s="116">
        <v>0</v>
      </c>
      <c r="L488" s="116">
        <v>0</v>
      </c>
      <c r="M488" s="114">
        <v>0</v>
      </c>
      <c r="N488" s="113">
        <v>0</v>
      </c>
      <c r="O488" s="113">
        <v>0</v>
      </c>
      <c r="P488" s="116">
        <v>0</v>
      </c>
      <c r="Q488" s="116">
        <v>0</v>
      </c>
      <c r="R488" s="116">
        <v>0</v>
      </c>
      <c r="S488" s="114">
        <v>0</v>
      </c>
      <c r="T488" s="116">
        <v>0</v>
      </c>
      <c r="U488" s="116">
        <v>0</v>
      </c>
      <c r="V488" s="121">
        <f t="shared" si="36"/>
        <v>0</v>
      </c>
      <c r="W488" s="111"/>
      <c r="X488" s="111"/>
      <c r="Y488" s="111"/>
      <c r="Z488" s="111"/>
      <c r="AA488" s="111"/>
      <c r="AB488" s="111"/>
      <c r="AC488" s="111"/>
      <c r="AD488" s="111"/>
      <c r="AE488" s="139">
        <f t="shared" si="35"/>
        <v>0</v>
      </c>
      <c r="AF488" s="109"/>
      <c r="AG488" s="109"/>
    </row>
    <row r="489" spans="1:33">
      <c r="A489" s="117"/>
      <c r="B489" s="118"/>
      <c r="C489" s="118"/>
      <c r="D489" s="118"/>
      <c r="E489" s="119"/>
      <c r="F489" s="118"/>
      <c r="G489" s="110"/>
      <c r="H489" s="143"/>
      <c r="I489" s="114">
        <v>0</v>
      </c>
      <c r="J489" s="115">
        <v>0</v>
      </c>
      <c r="K489" s="116">
        <v>0</v>
      </c>
      <c r="L489" s="116">
        <v>0</v>
      </c>
      <c r="M489" s="114">
        <v>0</v>
      </c>
      <c r="N489" s="113">
        <v>0</v>
      </c>
      <c r="O489" s="113">
        <v>0</v>
      </c>
      <c r="P489" s="116">
        <v>0</v>
      </c>
      <c r="Q489" s="116">
        <v>0</v>
      </c>
      <c r="R489" s="116">
        <v>0</v>
      </c>
      <c r="S489" s="114">
        <v>0</v>
      </c>
      <c r="T489" s="116">
        <v>0</v>
      </c>
      <c r="U489" s="116">
        <v>0</v>
      </c>
      <c r="V489" s="121">
        <f t="shared" si="36"/>
        <v>0</v>
      </c>
      <c r="W489" s="111"/>
      <c r="X489" s="111"/>
      <c r="Y489" s="111"/>
      <c r="Z489" s="111"/>
      <c r="AA489" s="111"/>
      <c r="AB489" s="111"/>
      <c r="AC489" s="111"/>
      <c r="AD489" s="111"/>
      <c r="AE489" s="139">
        <f t="shared" ref="AE489:AE552" si="37">V489-(X489+Y489)</f>
        <v>0</v>
      </c>
      <c r="AF489" s="109"/>
      <c r="AG489" s="109"/>
    </row>
    <row r="490" spans="1:33">
      <c r="A490" s="117"/>
      <c r="B490" s="118"/>
      <c r="C490" s="118"/>
      <c r="D490" s="118"/>
      <c r="E490" s="119"/>
      <c r="F490" s="118"/>
      <c r="G490" s="110"/>
      <c r="H490" s="143"/>
      <c r="I490" s="114">
        <v>0</v>
      </c>
      <c r="J490" s="115">
        <v>0</v>
      </c>
      <c r="K490" s="116">
        <v>0</v>
      </c>
      <c r="L490" s="116">
        <v>0</v>
      </c>
      <c r="M490" s="114">
        <v>0</v>
      </c>
      <c r="N490" s="113">
        <v>0</v>
      </c>
      <c r="O490" s="113">
        <v>0</v>
      </c>
      <c r="P490" s="116">
        <v>0</v>
      </c>
      <c r="Q490" s="116">
        <v>0</v>
      </c>
      <c r="R490" s="116">
        <v>0</v>
      </c>
      <c r="S490" s="114">
        <v>0</v>
      </c>
      <c r="T490" s="116">
        <v>0</v>
      </c>
      <c r="U490" s="116">
        <v>0</v>
      </c>
      <c r="V490" s="121">
        <f t="shared" si="36"/>
        <v>0</v>
      </c>
      <c r="W490" s="111"/>
      <c r="X490" s="111"/>
      <c r="Y490" s="111"/>
      <c r="Z490" s="111"/>
      <c r="AA490" s="111"/>
      <c r="AB490" s="111"/>
      <c r="AC490" s="111"/>
      <c r="AD490" s="111"/>
      <c r="AE490" s="139">
        <f t="shared" si="37"/>
        <v>0</v>
      </c>
      <c r="AF490" s="109"/>
      <c r="AG490" s="109"/>
    </row>
    <row r="491" spans="1:33">
      <c r="A491" s="117"/>
      <c r="B491" s="118"/>
      <c r="C491" s="118"/>
      <c r="D491" s="118"/>
      <c r="E491" s="119"/>
      <c r="F491" s="118"/>
      <c r="G491" s="110"/>
      <c r="H491" s="143"/>
      <c r="I491" s="114">
        <v>0</v>
      </c>
      <c r="J491" s="115">
        <v>0</v>
      </c>
      <c r="K491" s="116">
        <v>0</v>
      </c>
      <c r="L491" s="116">
        <v>0</v>
      </c>
      <c r="M491" s="114">
        <v>0</v>
      </c>
      <c r="N491" s="113">
        <v>0</v>
      </c>
      <c r="O491" s="113">
        <v>0</v>
      </c>
      <c r="P491" s="116">
        <v>0</v>
      </c>
      <c r="Q491" s="116">
        <v>0</v>
      </c>
      <c r="R491" s="116">
        <v>0</v>
      </c>
      <c r="S491" s="114">
        <v>0</v>
      </c>
      <c r="T491" s="116">
        <v>0</v>
      </c>
      <c r="U491" s="116">
        <v>0</v>
      </c>
      <c r="V491" s="121">
        <f t="shared" si="36"/>
        <v>0</v>
      </c>
      <c r="W491" s="111"/>
      <c r="X491" s="111"/>
      <c r="Y491" s="111"/>
      <c r="Z491" s="111"/>
      <c r="AA491" s="111"/>
      <c r="AB491" s="111"/>
      <c r="AC491" s="111"/>
      <c r="AD491" s="111"/>
      <c r="AE491" s="139">
        <f t="shared" si="37"/>
        <v>0</v>
      </c>
      <c r="AF491" s="109"/>
      <c r="AG491" s="109"/>
    </row>
    <row r="492" spans="1:33">
      <c r="A492" s="117"/>
      <c r="B492" s="118"/>
      <c r="C492" s="118"/>
      <c r="D492" s="118"/>
      <c r="E492" s="119"/>
      <c r="F492" s="118"/>
      <c r="G492" s="110"/>
      <c r="H492" s="143"/>
      <c r="I492" s="114">
        <v>0</v>
      </c>
      <c r="J492" s="115">
        <v>0</v>
      </c>
      <c r="K492" s="116">
        <v>0</v>
      </c>
      <c r="L492" s="116">
        <v>0</v>
      </c>
      <c r="M492" s="114">
        <v>0</v>
      </c>
      <c r="N492" s="113">
        <v>0</v>
      </c>
      <c r="O492" s="113">
        <v>0</v>
      </c>
      <c r="P492" s="116">
        <v>0</v>
      </c>
      <c r="Q492" s="116">
        <v>0</v>
      </c>
      <c r="R492" s="116">
        <v>0</v>
      </c>
      <c r="S492" s="114">
        <v>0</v>
      </c>
      <c r="T492" s="116">
        <v>0</v>
      </c>
      <c r="U492" s="116">
        <v>0</v>
      </c>
      <c r="V492" s="121">
        <f t="shared" si="36"/>
        <v>0</v>
      </c>
      <c r="W492" s="111"/>
      <c r="X492" s="111"/>
      <c r="Y492" s="111"/>
      <c r="Z492" s="111"/>
      <c r="AA492" s="111"/>
      <c r="AB492" s="111"/>
      <c r="AC492" s="111"/>
      <c r="AD492" s="111"/>
      <c r="AE492" s="139">
        <f t="shared" si="37"/>
        <v>0</v>
      </c>
      <c r="AF492" s="109"/>
      <c r="AG492" s="109"/>
    </row>
    <row r="493" spans="1:33">
      <c r="A493" s="117"/>
      <c r="B493" s="118"/>
      <c r="C493" s="118"/>
      <c r="D493" s="118"/>
      <c r="E493" s="119"/>
      <c r="F493" s="118"/>
      <c r="G493" s="110"/>
      <c r="H493" s="143"/>
      <c r="I493" s="114">
        <v>0</v>
      </c>
      <c r="J493" s="115">
        <v>0</v>
      </c>
      <c r="K493" s="116">
        <v>0</v>
      </c>
      <c r="L493" s="116">
        <v>0</v>
      </c>
      <c r="M493" s="114">
        <v>0</v>
      </c>
      <c r="N493" s="113">
        <v>0</v>
      </c>
      <c r="O493" s="113">
        <v>0</v>
      </c>
      <c r="P493" s="116">
        <v>0</v>
      </c>
      <c r="Q493" s="116">
        <v>0</v>
      </c>
      <c r="R493" s="116">
        <v>0</v>
      </c>
      <c r="S493" s="114">
        <v>0</v>
      </c>
      <c r="T493" s="116">
        <v>0</v>
      </c>
      <c r="U493" s="116">
        <v>0</v>
      </c>
      <c r="V493" s="121">
        <f t="shared" si="36"/>
        <v>0</v>
      </c>
      <c r="W493" s="111"/>
      <c r="X493" s="111"/>
      <c r="Y493" s="111"/>
      <c r="Z493" s="111"/>
      <c r="AA493" s="111"/>
      <c r="AB493" s="111"/>
      <c r="AC493" s="111"/>
      <c r="AD493" s="111"/>
      <c r="AE493" s="139">
        <f t="shared" si="37"/>
        <v>0</v>
      </c>
      <c r="AF493" s="109"/>
      <c r="AG493" s="109"/>
    </row>
    <row r="494" spans="1:33">
      <c r="A494" s="117"/>
      <c r="B494" s="118"/>
      <c r="C494" s="118"/>
      <c r="D494" s="118"/>
      <c r="E494" s="119"/>
      <c r="F494" s="118"/>
      <c r="G494" s="110"/>
      <c r="H494" s="143"/>
      <c r="I494" s="114">
        <v>0</v>
      </c>
      <c r="J494" s="115">
        <v>0</v>
      </c>
      <c r="K494" s="116">
        <v>0</v>
      </c>
      <c r="L494" s="116">
        <v>0</v>
      </c>
      <c r="M494" s="114">
        <v>0</v>
      </c>
      <c r="N494" s="113">
        <v>0</v>
      </c>
      <c r="O494" s="113">
        <v>0</v>
      </c>
      <c r="P494" s="116">
        <v>0</v>
      </c>
      <c r="Q494" s="116">
        <v>0</v>
      </c>
      <c r="R494" s="116">
        <v>0</v>
      </c>
      <c r="S494" s="114">
        <v>0</v>
      </c>
      <c r="T494" s="116">
        <v>0</v>
      </c>
      <c r="U494" s="116">
        <v>0</v>
      </c>
      <c r="V494" s="121">
        <f t="shared" si="36"/>
        <v>0</v>
      </c>
      <c r="W494" s="111"/>
      <c r="X494" s="111"/>
      <c r="Y494" s="111"/>
      <c r="Z494" s="111"/>
      <c r="AA494" s="111"/>
      <c r="AB494" s="111"/>
      <c r="AC494" s="111"/>
      <c r="AD494" s="111"/>
      <c r="AE494" s="139">
        <f t="shared" si="37"/>
        <v>0</v>
      </c>
      <c r="AF494" s="109"/>
      <c r="AG494" s="109"/>
    </row>
    <row r="495" spans="1:33">
      <c r="A495" s="117"/>
      <c r="B495" s="118"/>
      <c r="C495" s="118"/>
      <c r="D495" s="118"/>
      <c r="E495" s="119"/>
      <c r="F495" s="118"/>
      <c r="G495" s="110"/>
      <c r="H495" s="143"/>
      <c r="I495" s="114">
        <v>0</v>
      </c>
      <c r="J495" s="115">
        <v>0</v>
      </c>
      <c r="K495" s="116">
        <v>0</v>
      </c>
      <c r="L495" s="116">
        <v>0</v>
      </c>
      <c r="M495" s="114">
        <v>0</v>
      </c>
      <c r="N495" s="113">
        <v>0</v>
      </c>
      <c r="O495" s="113">
        <v>0</v>
      </c>
      <c r="P495" s="116">
        <v>0</v>
      </c>
      <c r="Q495" s="116">
        <v>0</v>
      </c>
      <c r="R495" s="116">
        <v>0</v>
      </c>
      <c r="S495" s="114">
        <v>0</v>
      </c>
      <c r="T495" s="116">
        <v>0</v>
      </c>
      <c r="U495" s="116">
        <v>0</v>
      </c>
      <c r="V495" s="121">
        <f t="shared" si="36"/>
        <v>0</v>
      </c>
      <c r="W495" s="111"/>
      <c r="X495" s="111"/>
      <c r="Y495" s="111"/>
      <c r="Z495" s="111"/>
      <c r="AA495" s="111"/>
      <c r="AB495" s="111"/>
      <c r="AC495" s="111"/>
      <c r="AD495" s="111"/>
      <c r="AE495" s="139">
        <f t="shared" si="37"/>
        <v>0</v>
      </c>
      <c r="AF495" s="109"/>
      <c r="AG495" s="109"/>
    </row>
    <row r="496" spans="1:33">
      <c r="A496" s="117"/>
      <c r="B496" s="118"/>
      <c r="C496" s="118"/>
      <c r="D496" s="118"/>
      <c r="E496" s="119"/>
      <c r="F496" s="118"/>
      <c r="G496" s="110"/>
      <c r="H496" s="143"/>
      <c r="I496" s="114">
        <v>0</v>
      </c>
      <c r="J496" s="115">
        <v>0</v>
      </c>
      <c r="K496" s="116">
        <v>0</v>
      </c>
      <c r="L496" s="116">
        <v>0</v>
      </c>
      <c r="M496" s="114">
        <v>0</v>
      </c>
      <c r="N496" s="113">
        <v>0</v>
      </c>
      <c r="O496" s="113">
        <v>0</v>
      </c>
      <c r="P496" s="116">
        <v>0</v>
      </c>
      <c r="Q496" s="116">
        <v>0</v>
      </c>
      <c r="R496" s="116">
        <v>0</v>
      </c>
      <c r="S496" s="114">
        <v>0</v>
      </c>
      <c r="T496" s="116">
        <v>0</v>
      </c>
      <c r="U496" s="116">
        <v>0</v>
      </c>
      <c r="V496" s="121">
        <f t="shared" si="36"/>
        <v>0</v>
      </c>
      <c r="W496" s="111"/>
      <c r="X496" s="111"/>
      <c r="Y496" s="111"/>
      <c r="Z496" s="111"/>
      <c r="AA496" s="111"/>
      <c r="AB496" s="111"/>
      <c r="AC496" s="111"/>
      <c r="AD496" s="111"/>
      <c r="AE496" s="139">
        <f t="shared" si="37"/>
        <v>0</v>
      </c>
      <c r="AF496" s="109"/>
      <c r="AG496" s="109"/>
    </row>
    <row r="497" spans="1:33">
      <c r="A497" s="117"/>
      <c r="B497" s="118"/>
      <c r="C497" s="118"/>
      <c r="D497" s="118"/>
      <c r="E497" s="119"/>
      <c r="F497" s="118"/>
      <c r="G497" s="110"/>
      <c r="H497" s="143"/>
      <c r="I497" s="114">
        <v>0</v>
      </c>
      <c r="J497" s="115">
        <v>0</v>
      </c>
      <c r="K497" s="116">
        <v>0</v>
      </c>
      <c r="L497" s="116">
        <v>0</v>
      </c>
      <c r="M497" s="114">
        <v>0</v>
      </c>
      <c r="N497" s="113">
        <v>0</v>
      </c>
      <c r="O497" s="113">
        <v>0</v>
      </c>
      <c r="P497" s="116">
        <v>0</v>
      </c>
      <c r="Q497" s="116">
        <v>0</v>
      </c>
      <c r="R497" s="116">
        <v>0</v>
      </c>
      <c r="S497" s="114">
        <v>0</v>
      </c>
      <c r="T497" s="116">
        <v>0</v>
      </c>
      <c r="U497" s="116">
        <v>0</v>
      </c>
      <c r="V497" s="121">
        <f t="shared" ref="V497:V560" si="38">+G497-(SUM(I497:N497,P497:S497,U497))</f>
        <v>0</v>
      </c>
      <c r="W497" s="111"/>
      <c r="X497" s="111"/>
      <c r="Y497" s="111"/>
      <c r="Z497" s="111"/>
      <c r="AA497" s="111"/>
      <c r="AB497" s="111"/>
      <c r="AC497" s="111"/>
      <c r="AD497" s="111"/>
      <c r="AE497" s="139">
        <f t="shared" si="37"/>
        <v>0</v>
      </c>
      <c r="AF497" s="109"/>
      <c r="AG497" s="109"/>
    </row>
    <row r="498" spans="1:33">
      <c r="A498" s="117"/>
      <c r="B498" s="118"/>
      <c r="C498" s="118"/>
      <c r="D498" s="118"/>
      <c r="E498" s="119"/>
      <c r="F498" s="118"/>
      <c r="G498" s="110"/>
      <c r="H498" s="143"/>
      <c r="I498" s="114">
        <v>0</v>
      </c>
      <c r="J498" s="115">
        <v>0</v>
      </c>
      <c r="K498" s="116">
        <v>0</v>
      </c>
      <c r="L498" s="116">
        <v>0</v>
      </c>
      <c r="M498" s="114">
        <v>0</v>
      </c>
      <c r="N498" s="113">
        <v>0</v>
      </c>
      <c r="O498" s="113">
        <v>0</v>
      </c>
      <c r="P498" s="116">
        <v>0</v>
      </c>
      <c r="Q498" s="116">
        <v>0</v>
      </c>
      <c r="R498" s="116">
        <v>0</v>
      </c>
      <c r="S498" s="114">
        <v>0</v>
      </c>
      <c r="T498" s="116">
        <v>0</v>
      </c>
      <c r="U498" s="116">
        <v>0</v>
      </c>
      <c r="V498" s="121">
        <f t="shared" si="38"/>
        <v>0</v>
      </c>
      <c r="W498" s="111"/>
      <c r="X498" s="111"/>
      <c r="Y498" s="111"/>
      <c r="Z498" s="111"/>
      <c r="AA498" s="111"/>
      <c r="AB498" s="111"/>
      <c r="AC498" s="111"/>
      <c r="AD498" s="111"/>
      <c r="AE498" s="139">
        <f t="shared" si="37"/>
        <v>0</v>
      </c>
      <c r="AF498" s="109"/>
      <c r="AG498" s="109"/>
    </row>
    <row r="499" spans="1:33">
      <c r="A499" s="117"/>
      <c r="B499" s="118"/>
      <c r="C499" s="118"/>
      <c r="D499" s="118"/>
      <c r="E499" s="119"/>
      <c r="F499" s="118"/>
      <c r="G499" s="110"/>
      <c r="H499" s="143"/>
      <c r="I499" s="114">
        <v>0</v>
      </c>
      <c r="J499" s="115">
        <v>0</v>
      </c>
      <c r="K499" s="116">
        <v>0</v>
      </c>
      <c r="L499" s="116">
        <v>0</v>
      </c>
      <c r="M499" s="114">
        <v>0</v>
      </c>
      <c r="N499" s="113">
        <v>0</v>
      </c>
      <c r="O499" s="113">
        <v>0</v>
      </c>
      <c r="P499" s="116">
        <v>0</v>
      </c>
      <c r="Q499" s="116">
        <v>0</v>
      </c>
      <c r="R499" s="116">
        <v>0</v>
      </c>
      <c r="S499" s="114">
        <v>0</v>
      </c>
      <c r="T499" s="116">
        <v>0</v>
      </c>
      <c r="U499" s="116">
        <v>0</v>
      </c>
      <c r="V499" s="121">
        <f t="shared" si="38"/>
        <v>0</v>
      </c>
      <c r="W499" s="111"/>
      <c r="X499" s="111"/>
      <c r="Y499" s="111"/>
      <c r="Z499" s="111"/>
      <c r="AA499" s="111"/>
      <c r="AB499" s="111"/>
      <c r="AC499" s="111"/>
      <c r="AD499" s="111"/>
      <c r="AE499" s="139">
        <f t="shared" si="37"/>
        <v>0</v>
      </c>
      <c r="AF499" s="109"/>
      <c r="AG499" s="109"/>
    </row>
    <row r="500" spans="1:33">
      <c r="A500" s="117"/>
      <c r="B500" s="118"/>
      <c r="C500" s="118"/>
      <c r="D500" s="118"/>
      <c r="E500" s="119"/>
      <c r="F500" s="118"/>
      <c r="G500" s="110"/>
      <c r="H500" s="143"/>
      <c r="I500" s="114">
        <v>0</v>
      </c>
      <c r="J500" s="115">
        <v>0</v>
      </c>
      <c r="K500" s="116">
        <v>0</v>
      </c>
      <c r="L500" s="116">
        <v>0</v>
      </c>
      <c r="M500" s="114">
        <v>0</v>
      </c>
      <c r="N500" s="113">
        <v>0</v>
      </c>
      <c r="O500" s="113">
        <v>0</v>
      </c>
      <c r="P500" s="116">
        <v>0</v>
      </c>
      <c r="Q500" s="116">
        <v>0</v>
      </c>
      <c r="R500" s="116">
        <v>0</v>
      </c>
      <c r="S500" s="114">
        <v>0</v>
      </c>
      <c r="T500" s="116">
        <v>0</v>
      </c>
      <c r="U500" s="116">
        <v>0</v>
      </c>
      <c r="V500" s="121">
        <f t="shared" si="38"/>
        <v>0</v>
      </c>
      <c r="W500" s="111"/>
      <c r="X500" s="111"/>
      <c r="Y500" s="111"/>
      <c r="Z500" s="111"/>
      <c r="AA500" s="111"/>
      <c r="AB500" s="111"/>
      <c r="AC500" s="111"/>
      <c r="AD500" s="111"/>
      <c r="AE500" s="139">
        <f t="shared" si="37"/>
        <v>0</v>
      </c>
      <c r="AF500" s="109"/>
      <c r="AG500" s="109"/>
    </row>
    <row r="501" spans="1:33">
      <c r="A501" s="117"/>
      <c r="B501" s="118"/>
      <c r="C501" s="118"/>
      <c r="D501" s="118"/>
      <c r="E501" s="119"/>
      <c r="F501" s="118"/>
      <c r="G501" s="110"/>
      <c r="H501" s="143"/>
      <c r="I501" s="114">
        <v>0</v>
      </c>
      <c r="J501" s="115">
        <v>0</v>
      </c>
      <c r="K501" s="116">
        <v>0</v>
      </c>
      <c r="L501" s="116">
        <v>0</v>
      </c>
      <c r="M501" s="114">
        <v>0</v>
      </c>
      <c r="N501" s="113">
        <v>0</v>
      </c>
      <c r="O501" s="113">
        <v>0</v>
      </c>
      <c r="P501" s="116">
        <v>0</v>
      </c>
      <c r="Q501" s="116">
        <v>0</v>
      </c>
      <c r="R501" s="116">
        <v>0</v>
      </c>
      <c r="S501" s="114">
        <v>0</v>
      </c>
      <c r="T501" s="116">
        <v>0</v>
      </c>
      <c r="U501" s="116">
        <v>0</v>
      </c>
      <c r="V501" s="121">
        <f t="shared" si="38"/>
        <v>0</v>
      </c>
      <c r="W501" s="111"/>
      <c r="X501" s="111"/>
      <c r="Y501" s="111"/>
      <c r="Z501" s="111"/>
      <c r="AA501" s="111"/>
      <c r="AB501" s="111"/>
      <c r="AC501" s="111"/>
      <c r="AD501" s="111"/>
      <c r="AE501" s="139">
        <f t="shared" si="37"/>
        <v>0</v>
      </c>
      <c r="AF501" s="109"/>
      <c r="AG501" s="109"/>
    </row>
    <row r="502" spans="1:33">
      <c r="A502" s="117"/>
      <c r="B502" s="118"/>
      <c r="C502" s="118"/>
      <c r="D502" s="118"/>
      <c r="E502" s="119"/>
      <c r="F502" s="118"/>
      <c r="G502" s="110"/>
      <c r="H502" s="143"/>
      <c r="I502" s="114">
        <v>0</v>
      </c>
      <c r="J502" s="115">
        <v>0</v>
      </c>
      <c r="K502" s="116">
        <v>0</v>
      </c>
      <c r="L502" s="116">
        <v>0</v>
      </c>
      <c r="M502" s="114">
        <v>0</v>
      </c>
      <c r="N502" s="113">
        <v>0</v>
      </c>
      <c r="O502" s="113">
        <v>0</v>
      </c>
      <c r="P502" s="116">
        <v>0</v>
      </c>
      <c r="Q502" s="116">
        <v>0</v>
      </c>
      <c r="R502" s="116">
        <v>0</v>
      </c>
      <c r="S502" s="114">
        <v>0</v>
      </c>
      <c r="T502" s="116">
        <v>0</v>
      </c>
      <c r="U502" s="116">
        <v>0</v>
      </c>
      <c r="V502" s="121">
        <f t="shared" si="38"/>
        <v>0</v>
      </c>
      <c r="W502" s="111"/>
      <c r="X502" s="111"/>
      <c r="Y502" s="111"/>
      <c r="Z502" s="111"/>
      <c r="AA502" s="111"/>
      <c r="AB502" s="111"/>
      <c r="AC502" s="111"/>
      <c r="AD502" s="111"/>
      <c r="AE502" s="139">
        <f t="shared" si="37"/>
        <v>0</v>
      </c>
      <c r="AF502" s="109"/>
      <c r="AG502" s="109"/>
    </row>
    <row r="503" spans="1:33">
      <c r="A503" s="117"/>
      <c r="B503" s="118"/>
      <c r="C503" s="118"/>
      <c r="D503" s="118"/>
      <c r="E503" s="119"/>
      <c r="F503" s="118"/>
      <c r="G503" s="110"/>
      <c r="H503" s="143"/>
      <c r="I503" s="114">
        <v>0</v>
      </c>
      <c r="J503" s="115">
        <v>0</v>
      </c>
      <c r="K503" s="116">
        <v>0</v>
      </c>
      <c r="L503" s="116">
        <v>0</v>
      </c>
      <c r="M503" s="114">
        <v>0</v>
      </c>
      <c r="N503" s="113">
        <v>0</v>
      </c>
      <c r="O503" s="113">
        <v>0</v>
      </c>
      <c r="P503" s="116">
        <v>0</v>
      </c>
      <c r="Q503" s="116">
        <v>0</v>
      </c>
      <c r="R503" s="116">
        <v>0</v>
      </c>
      <c r="S503" s="114">
        <v>0</v>
      </c>
      <c r="T503" s="116">
        <v>0</v>
      </c>
      <c r="U503" s="116">
        <v>0</v>
      </c>
      <c r="V503" s="121">
        <f t="shared" si="38"/>
        <v>0</v>
      </c>
      <c r="W503" s="111"/>
      <c r="X503" s="111"/>
      <c r="Y503" s="111"/>
      <c r="Z503" s="111"/>
      <c r="AA503" s="111"/>
      <c r="AB503" s="111"/>
      <c r="AC503" s="111"/>
      <c r="AD503" s="111"/>
      <c r="AE503" s="139">
        <f t="shared" si="37"/>
        <v>0</v>
      </c>
      <c r="AF503" s="109"/>
      <c r="AG503" s="109"/>
    </row>
    <row r="504" spans="1:33">
      <c r="A504" s="117"/>
      <c r="B504" s="118"/>
      <c r="C504" s="118"/>
      <c r="D504" s="118"/>
      <c r="E504" s="119"/>
      <c r="F504" s="118"/>
      <c r="G504" s="110"/>
      <c r="H504" s="143"/>
      <c r="I504" s="114">
        <v>0</v>
      </c>
      <c r="J504" s="115">
        <v>0</v>
      </c>
      <c r="K504" s="116">
        <v>0</v>
      </c>
      <c r="L504" s="116">
        <v>0</v>
      </c>
      <c r="M504" s="114">
        <v>0</v>
      </c>
      <c r="N504" s="113">
        <v>0</v>
      </c>
      <c r="O504" s="113">
        <v>0</v>
      </c>
      <c r="P504" s="116">
        <v>0</v>
      </c>
      <c r="Q504" s="116">
        <v>0</v>
      </c>
      <c r="R504" s="116">
        <v>0</v>
      </c>
      <c r="S504" s="114">
        <v>0</v>
      </c>
      <c r="T504" s="116">
        <v>0</v>
      </c>
      <c r="U504" s="116">
        <v>0</v>
      </c>
      <c r="V504" s="121">
        <f t="shared" si="38"/>
        <v>0</v>
      </c>
      <c r="W504" s="111"/>
      <c r="X504" s="111"/>
      <c r="Y504" s="111"/>
      <c r="Z504" s="111"/>
      <c r="AA504" s="111"/>
      <c r="AB504" s="111"/>
      <c r="AC504" s="111"/>
      <c r="AD504" s="111"/>
      <c r="AE504" s="139">
        <f t="shared" si="37"/>
        <v>0</v>
      </c>
      <c r="AF504" s="109"/>
      <c r="AG504" s="109"/>
    </row>
    <row r="505" spans="1:33">
      <c r="A505" s="117"/>
      <c r="B505" s="118"/>
      <c r="C505" s="118"/>
      <c r="D505" s="118"/>
      <c r="E505" s="119"/>
      <c r="F505" s="118"/>
      <c r="G505" s="110"/>
      <c r="H505" s="143"/>
      <c r="I505" s="114">
        <v>0</v>
      </c>
      <c r="J505" s="115">
        <v>0</v>
      </c>
      <c r="K505" s="116">
        <v>0</v>
      </c>
      <c r="L505" s="116">
        <v>0</v>
      </c>
      <c r="M505" s="114">
        <v>0</v>
      </c>
      <c r="N505" s="113">
        <v>0</v>
      </c>
      <c r="O505" s="113">
        <v>0</v>
      </c>
      <c r="P505" s="116">
        <v>0</v>
      </c>
      <c r="Q505" s="116">
        <v>0</v>
      </c>
      <c r="R505" s="116">
        <v>0</v>
      </c>
      <c r="S505" s="114">
        <v>0</v>
      </c>
      <c r="T505" s="116">
        <v>0</v>
      </c>
      <c r="U505" s="116">
        <v>0</v>
      </c>
      <c r="V505" s="121">
        <f t="shared" si="38"/>
        <v>0</v>
      </c>
      <c r="W505" s="111"/>
      <c r="X505" s="111"/>
      <c r="Y505" s="111"/>
      <c r="Z505" s="111"/>
      <c r="AA505" s="111"/>
      <c r="AB505" s="111"/>
      <c r="AC505" s="111"/>
      <c r="AD505" s="111"/>
      <c r="AE505" s="139">
        <f t="shared" si="37"/>
        <v>0</v>
      </c>
      <c r="AF505" s="109"/>
      <c r="AG505" s="109"/>
    </row>
    <row r="506" spans="1:33">
      <c r="A506" s="117"/>
      <c r="B506" s="118"/>
      <c r="C506" s="118"/>
      <c r="D506" s="118"/>
      <c r="E506" s="119"/>
      <c r="F506" s="118"/>
      <c r="G506" s="110"/>
      <c r="H506" s="143"/>
      <c r="I506" s="114">
        <v>0</v>
      </c>
      <c r="J506" s="115">
        <v>0</v>
      </c>
      <c r="K506" s="116">
        <v>0</v>
      </c>
      <c r="L506" s="116">
        <v>0</v>
      </c>
      <c r="M506" s="114">
        <v>0</v>
      </c>
      <c r="N506" s="113">
        <v>0</v>
      </c>
      <c r="O506" s="113">
        <v>0</v>
      </c>
      <c r="P506" s="116">
        <v>0</v>
      </c>
      <c r="Q506" s="116">
        <v>0</v>
      </c>
      <c r="R506" s="116">
        <v>0</v>
      </c>
      <c r="S506" s="114">
        <v>0</v>
      </c>
      <c r="T506" s="116">
        <v>0</v>
      </c>
      <c r="U506" s="116">
        <v>0</v>
      </c>
      <c r="V506" s="121">
        <f t="shared" si="38"/>
        <v>0</v>
      </c>
      <c r="W506" s="111"/>
      <c r="X506" s="111"/>
      <c r="Y506" s="111"/>
      <c r="Z506" s="111"/>
      <c r="AA506" s="111"/>
      <c r="AB506" s="111"/>
      <c r="AC506" s="111"/>
      <c r="AD506" s="111"/>
      <c r="AE506" s="139">
        <f t="shared" si="37"/>
        <v>0</v>
      </c>
      <c r="AF506" s="109"/>
      <c r="AG506" s="109"/>
    </row>
    <row r="507" spans="1:33">
      <c r="A507" s="117"/>
      <c r="B507" s="118"/>
      <c r="C507" s="118"/>
      <c r="D507" s="118"/>
      <c r="E507" s="119"/>
      <c r="F507" s="118"/>
      <c r="G507" s="110"/>
      <c r="H507" s="143"/>
      <c r="I507" s="114">
        <v>0</v>
      </c>
      <c r="J507" s="115">
        <v>0</v>
      </c>
      <c r="K507" s="116">
        <v>0</v>
      </c>
      <c r="L507" s="116">
        <v>0</v>
      </c>
      <c r="M507" s="114">
        <v>0</v>
      </c>
      <c r="N507" s="113">
        <v>0</v>
      </c>
      <c r="O507" s="113">
        <v>0</v>
      </c>
      <c r="P507" s="116">
        <v>0</v>
      </c>
      <c r="Q507" s="116">
        <v>0</v>
      </c>
      <c r="R507" s="116">
        <v>0</v>
      </c>
      <c r="S507" s="114">
        <v>0</v>
      </c>
      <c r="T507" s="116">
        <v>0</v>
      </c>
      <c r="U507" s="116">
        <v>0</v>
      </c>
      <c r="V507" s="121">
        <f t="shared" si="38"/>
        <v>0</v>
      </c>
      <c r="W507" s="111"/>
      <c r="X507" s="111"/>
      <c r="Y507" s="111"/>
      <c r="Z507" s="111"/>
      <c r="AA507" s="111"/>
      <c r="AB507" s="111"/>
      <c r="AC507" s="111"/>
      <c r="AD507" s="111"/>
      <c r="AE507" s="139">
        <f t="shared" si="37"/>
        <v>0</v>
      </c>
      <c r="AF507" s="109"/>
      <c r="AG507" s="109"/>
    </row>
    <row r="508" spans="1:33">
      <c r="A508" s="117"/>
      <c r="B508" s="118"/>
      <c r="C508" s="118"/>
      <c r="D508" s="118"/>
      <c r="E508" s="119"/>
      <c r="F508" s="118"/>
      <c r="G508" s="110"/>
      <c r="H508" s="143"/>
      <c r="I508" s="114">
        <v>0</v>
      </c>
      <c r="J508" s="115">
        <v>0</v>
      </c>
      <c r="K508" s="116">
        <v>0</v>
      </c>
      <c r="L508" s="116">
        <v>0</v>
      </c>
      <c r="M508" s="114">
        <v>0</v>
      </c>
      <c r="N508" s="113">
        <v>0</v>
      </c>
      <c r="O508" s="113">
        <v>0</v>
      </c>
      <c r="P508" s="116">
        <v>0</v>
      </c>
      <c r="Q508" s="116">
        <v>0</v>
      </c>
      <c r="R508" s="116">
        <v>0</v>
      </c>
      <c r="S508" s="114">
        <v>0</v>
      </c>
      <c r="T508" s="116">
        <v>0</v>
      </c>
      <c r="U508" s="116">
        <v>0</v>
      </c>
      <c r="V508" s="121">
        <f t="shared" si="38"/>
        <v>0</v>
      </c>
      <c r="W508" s="111"/>
      <c r="X508" s="111"/>
      <c r="Y508" s="111"/>
      <c r="Z508" s="111"/>
      <c r="AA508" s="111"/>
      <c r="AB508" s="111"/>
      <c r="AC508" s="111"/>
      <c r="AD508" s="111"/>
      <c r="AE508" s="139">
        <f t="shared" si="37"/>
        <v>0</v>
      </c>
      <c r="AF508" s="109"/>
      <c r="AG508" s="109"/>
    </row>
    <row r="509" spans="1:33">
      <c r="A509" s="117"/>
      <c r="B509" s="118"/>
      <c r="C509" s="118"/>
      <c r="D509" s="118"/>
      <c r="E509" s="119"/>
      <c r="F509" s="118"/>
      <c r="G509" s="110"/>
      <c r="H509" s="143"/>
      <c r="I509" s="114">
        <v>0</v>
      </c>
      <c r="J509" s="115">
        <v>0</v>
      </c>
      <c r="K509" s="116">
        <v>0</v>
      </c>
      <c r="L509" s="116">
        <v>0</v>
      </c>
      <c r="M509" s="114">
        <v>0</v>
      </c>
      <c r="N509" s="113">
        <v>0</v>
      </c>
      <c r="O509" s="113">
        <v>0</v>
      </c>
      <c r="P509" s="116">
        <v>0</v>
      </c>
      <c r="Q509" s="116">
        <v>0</v>
      </c>
      <c r="R509" s="116">
        <v>0</v>
      </c>
      <c r="S509" s="114">
        <v>0</v>
      </c>
      <c r="T509" s="116">
        <v>0</v>
      </c>
      <c r="U509" s="116">
        <v>0</v>
      </c>
      <c r="V509" s="121">
        <f t="shared" si="38"/>
        <v>0</v>
      </c>
      <c r="W509" s="111"/>
      <c r="X509" s="111"/>
      <c r="Y509" s="111"/>
      <c r="Z509" s="111"/>
      <c r="AA509" s="111"/>
      <c r="AB509" s="111"/>
      <c r="AC509" s="111"/>
      <c r="AD509" s="111"/>
      <c r="AE509" s="139">
        <f t="shared" si="37"/>
        <v>0</v>
      </c>
      <c r="AF509" s="109"/>
      <c r="AG509" s="109"/>
    </row>
    <row r="510" spans="1:33">
      <c r="A510" s="117"/>
      <c r="B510" s="118"/>
      <c r="C510" s="118"/>
      <c r="D510" s="118"/>
      <c r="E510" s="119"/>
      <c r="F510" s="118"/>
      <c r="G510" s="110"/>
      <c r="H510" s="143"/>
      <c r="I510" s="114">
        <v>0</v>
      </c>
      <c r="J510" s="115">
        <v>0</v>
      </c>
      <c r="K510" s="116">
        <v>0</v>
      </c>
      <c r="L510" s="116">
        <v>0</v>
      </c>
      <c r="M510" s="114">
        <v>0</v>
      </c>
      <c r="N510" s="113">
        <v>0</v>
      </c>
      <c r="O510" s="113">
        <v>0</v>
      </c>
      <c r="P510" s="116">
        <v>0</v>
      </c>
      <c r="Q510" s="116">
        <v>0</v>
      </c>
      <c r="R510" s="116">
        <v>0</v>
      </c>
      <c r="S510" s="114">
        <v>0</v>
      </c>
      <c r="T510" s="116">
        <v>0</v>
      </c>
      <c r="U510" s="116">
        <v>0</v>
      </c>
      <c r="V510" s="121">
        <f t="shared" si="38"/>
        <v>0</v>
      </c>
      <c r="W510" s="111"/>
      <c r="X510" s="111"/>
      <c r="Y510" s="111"/>
      <c r="Z510" s="111"/>
      <c r="AA510" s="111"/>
      <c r="AB510" s="111"/>
      <c r="AC510" s="111"/>
      <c r="AD510" s="111"/>
      <c r="AE510" s="139">
        <f t="shared" si="37"/>
        <v>0</v>
      </c>
      <c r="AF510" s="109"/>
      <c r="AG510" s="109"/>
    </row>
    <row r="511" spans="1:33">
      <c r="A511" s="117"/>
      <c r="B511" s="118"/>
      <c r="C511" s="118"/>
      <c r="D511" s="118"/>
      <c r="E511" s="119"/>
      <c r="F511" s="118"/>
      <c r="G511" s="110"/>
      <c r="H511" s="143"/>
      <c r="I511" s="114">
        <v>0</v>
      </c>
      <c r="J511" s="115">
        <v>0</v>
      </c>
      <c r="K511" s="116">
        <v>0</v>
      </c>
      <c r="L511" s="116">
        <v>0</v>
      </c>
      <c r="M511" s="114">
        <v>0</v>
      </c>
      <c r="N511" s="113">
        <v>0</v>
      </c>
      <c r="O511" s="113">
        <v>0</v>
      </c>
      <c r="P511" s="116">
        <v>0</v>
      </c>
      <c r="Q511" s="116">
        <v>0</v>
      </c>
      <c r="R511" s="116">
        <v>0</v>
      </c>
      <c r="S511" s="114">
        <v>0</v>
      </c>
      <c r="T511" s="116">
        <v>0</v>
      </c>
      <c r="U511" s="116">
        <v>0</v>
      </c>
      <c r="V511" s="121">
        <f t="shared" si="38"/>
        <v>0</v>
      </c>
      <c r="W511" s="111"/>
      <c r="X511" s="111"/>
      <c r="Y511" s="111"/>
      <c r="Z511" s="111"/>
      <c r="AA511" s="111"/>
      <c r="AB511" s="111"/>
      <c r="AC511" s="111"/>
      <c r="AD511" s="111"/>
      <c r="AE511" s="139">
        <f t="shared" si="37"/>
        <v>0</v>
      </c>
      <c r="AF511" s="109"/>
      <c r="AG511" s="109"/>
    </row>
    <row r="512" spans="1:33">
      <c r="A512" s="117"/>
      <c r="B512" s="118"/>
      <c r="C512" s="118"/>
      <c r="D512" s="118"/>
      <c r="E512" s="119"/>
      <c r="F512" s="118"/>
      <c r="G512" s="110"/>
      <c r="H512" s="143"/>
      <c r="I512" s="114">
        <v>0</v>
      </c>
      <c r="J512" s="115">
        <v>0</v>
      </c>
      <c r="K512" s="116">
        <v>0</v>
      </c>
      <c r="L512" s="116">
        <v>0</v>
      </c>
      <c r="M512" s="114">
        <v>0</v>
      </c>
      <c r="N512" s="113">
        <v>0</v>
      </c>
      <c r="O512" s="113">
        <v>0</v>
      </c>
      <c r="P512" s="116">
        <v>0</v>
      </c>
      <c r="Q512" s="116">
        <v>0</v>
      </c>
      <c r="R512" s="116">
        <v>0</v>
      </c>
      <c r="S512" s="114">
        <v>0</v>
      </c>
      <c r="T512" s="116">
        <v>0</v>
      </c>
      <c r="U512" s="116">
        <v>0</v>
      </c>
      <c r="V512" s="121">
        <f t="shared" si="38"/>
        <v>0</v>
      </c>
      <c r="W512" s="111"/>
      <c r="X512" s="111"/>
      <c r="Y512" s="111"/>
      <c r="Z512" s="111"/>
      <c r="AA512" s="111"/>
      <c r="AB512" s="111"/>
      <c r="AC512" s="111"/>
      <c r="AD512" s="111"/>
      <c r="AE512" s="139">
        <f t="shared" si="37"/>
        <v>0</v>
      </c>
      <c r="AF512" s="109"/>
      <c r="AG512" s="109"/>
    </row>
    <row r="513" spans="1:33">
      <c r="A513" s="117"/>
      <c r="B513" s="118"/>
      <c r="C513" s="118"/>
      <c r="D513" s="118"/>
      <c r="E513" s="119"/>
      <c r="F513" s="118"/>
      <c r="G513" s="110"/>
      <c r="H513" s="143"/>
      <c r="I513" s="114">
        <v>0</v>
      </c>
      <c r="J513" s="115">
        <v>0</v>
      </c>
      <c r="K513" s="116">
        <v>0</v>
      </c>
      <c r="L513" s="116">
        <v>0</v>
      </c>
      <c r="M513" s="114">
        <v>0</v>
      </c>
      <c r="N513" s="113">
        <v>0</v>
      </c>
      <c r="O513" s="113">
        <v>0</v>
      </c>
      <c r="P513" s="116">
        <v>0</v>
      </c>
      <c r="Q513" s="116">
        <v>0</v>
      </c>
      <c r="R513" s="116">
        <v>0</v>
      </c>
      <c r="S513" s="114">
        <v>0</v>
      </c>
      <c r="T513" s="116">
        <v>0</v>
      </c>
      <c r="U513" s="116">
        <v>0</v>
      </c>
      <c r="V513" s="121">
        <f t="shared" si="38"/>
        <v>0</v>
      </c>
      <c r="W513" s="111"/>
      <c r="X513" s="111"/>
      <c r="Y513" s="111"/>
      <c r="Z513" s="111"/>
      <c r="AA513" s="111"/>
      <c r="AB513" s="111"/>
      <c r="AC513" s="111"/>
      <c r="AD513" s="111"/>
      <c r="AE513" s="139">
        <f t="shared" si="37"/>
        <v>0</v>
      </c>
      <c r="AF513" s="109"/>
      <c r="AG513" s="109"/>
    </row>
    <row r="514" spans="1:33">
      <c r="A514" s="117"/>
      <c r="B514" s="118"/>
      <c r="C514" s="118"/>
      <c r="D514" s="118"/>
      <c r="E514" s="119"/>
      <c r="F514" s="118"/>
      <c r="G514" s="110"/>
      <c r="H514" s="143"/>
      <c r="I514" s="114">
        <v>0</v>
      </c>
      <c r="J514" s="115">
        <v>0</v>
      </c>
      <c r="K514" s="116">
        <v>0</v>
      </c>
      <c r="L514" s="116">
        <v>0</v>
      </c>
      <c r="M514" s="114">
        <v>0</v>
      </c>
      <c r="N514" s="113">
        <v>0</v>
      </c>
      <c r="O514" s="113">
        <v>0</v>
      </c>
      <c r="P514" s="116">
        <v>0</v>
      </c>
      <c r="Q514" s="116">
        <v>0</v>
      </c>
      <c r="R514" s="116">
        <v>0</v>
      </c>
      <c r="S514" s="114">
        <v>0</v>
      </c>
      <c r="T514" s="116">
        <v>0</v>
      </c>
      <c r="U514" s="116">
        <v>0</v>
      </c>
      <c r="V514" s="121">
        <f t="shared" si="38"/>
        <v>0</v>
      </c>
      <c r="W514" s="111"/>
      <c r="X514" s="111"/>
      <c r="Y514" s="111"/>
      <c r="Z514" s="111"/>
      <c r="AA514" s="111"/>
      <c r="AB514" s="111"/>
      <c r="AC514" s="111"/>
      <c r="AD514" s="111"/>
      <c r="AE514" s="139">
        <f t="shared" si="37"/>
        <v>0</v>
      </c>
      <c r="AF514" s="109"/>
      <c r="AG514" s="109"/>
    </row>
    <row r="515" spans="1:33">
      <c r="A515" s="117"/>
      <c r="B515" s="118"/>
      <c r="C515" s="118"/>
      <c r="D515" s="118"/>
      <c r="E515" s="119"/>
      <c r="F515" s="118"/>
      <c r="G515" s="110"/>
      <c r="H515" s="143"/>
      <c r="I515" s="114">
        <v>0</v>
      </c>
      <c r="J515" s="115">
        <v>0</v>
      </c>
      <c r="K515" s="116">
        <v>0</v>
      </c>
      <c r="L515" s="116">
        <v>0</v>
      </c>
      <c r="M515" s="114">
        <v>0</v>
      </c>
      <c r="N515" s="113">
        <v>0</v>
      </c>
      <c r="O515" s="113">
        <v>0</v>
      </c>
      <c r="P515" s="116">
        <v>0</v>
      </c>
      <c r="Q515" s="116">
        <v>0</v>
      </c>
      <c r="R515" s="116">
        <v>0</v>
      </c>
      <c r="S515" s="114">
        <v>0</v>
      </c>
      <c r="T515" s="116">
        <v>0</v>
      </c>
      <c r="U515" s="116">
        <v>0</v>
      </c>
      <c r="V515" s="121">
        <f t="shared" si="38"/>
        <v>0</v>
      </c>
      <c r="W515" s="111"/>
      <c r="X515" s="111"/>
      <c r="Y515" s="111"/>
      <c r="Z515" s="111"/>
      <c r="AA515" s="111"/>
      <c r="AB515" s="111"/>
      <c r="AC515" s="111"/>
      <c r="AD515" s="111"/>
      <c r="AE515" s="139">
        <f t="shared" si="37"/>
        <v>0</v>
      </c>
      <c r="AF515" s="109"/>
      <c r="AG515" s="109"/>
    </row>
    <row r="516" spans="1:33">
      <c r="A516" s="117"/>
      <c r="B516" s="118"/>
      <c r="C516" s="118"/>
      <c r="D516" s="118"/>
      <c r="E516" s="119"/>
      <c r="F516" s="118"/>
      <c r="G516" s="110"/>
      <c r="H516" s="143"/>
      <c r="I516" s="114">
        <v>0</v>
      </c>
      <c r="J516" s="115">
        <v>0</v>
      </c>
      <c r="K516" s="116">
        <v>0</v>
      </c>
      <c r="L516" s="116">
        <v>0</v>
      </c>
      <c r="M516" s="114">
        <v>0</v>
      </c>
      <c r="N516" s="113">
        <v>0</v>
      </c>
      <c r="O516" s="113">
        <v>0</v>
      </c>
      <c r="P516" s="116">
        <v>0</v>
      </c>
      <c r="Q516" s="116">
        <v>0</v>
      </c>
      <c r="R516" s="116">
        <v>0</v>
      </c>
      <c r="S516" s="114">
        <v>0</v>
      </c>
      <c r="T516" s="116">
        <v>0</v>
      </c>
      <c r="U516" s="116">
        <v>0</v>
      </c>
      <c r="V516" s="121">
        <f t="shared" si="38"/>
        <v>0</v>
      </c>
      <c r="W516" s="111"/>
      <c r="X516" s="111"/>
      <c r="Y516" s="111"/>
      <c r="Z516" s="111"/>
      <c r="AA516" s="111"/>
      <c r="AB516" s="111"/>
      <c r="AC516" s="111"/>
      <c r="AD516" s="111"/>
      <c r="AE516" s="139">
        <f t="shared" si="37"/>
        <v>0</v>
      </c>
      <c r="AF516" s="109"/>
      <c r="AG516" s="109"/>
    </row>
    <row r="517" spans="1:33">
      <c r="A517" s="117"/>
      <c r="B517" s="118"/>
      <c r="C517" s="118"/>
      <c r="D517" s="118"/>
      <c r="E517" s="119"/>
      <c r="F517" s="118"/>
      <c r="G517" s="110"/>
      <c r="H517" s="143"/>
      <c r="I517" s="114">
        <v>0</v>
      </c>
      <c r="J517" s="115">
        <v>0</v>
      </c>
      <c r="K517" s="116">
        <v>0</v>
      </c>
      <c r="L517" s="116">
        <v>0</v>
      </c>
      <c r="M517" s="114">
        <v>0</v>
      </c>
      <c r="N517" s="113">
        <v>0</v>
      </c>
      <c r="O517" s="113">
        <v>0</v>
      </c>
      <c r="P517" s="116">
        <v>0</v>
      </c>
      <c r="Q517" s="116">
        <v>0</v>
      </c>
      <c r="R517" s="116">
        <v>0</v>
      </c>
      <c r="S517" s="114">
        <v>0</v>
      </c>
      <c r="T517" s="116">
        <v>0</v>
      </c>
      <c r="U517" s="116">
        <v>0</v>
      </c>
      <c r="V517" s="121">
        <f t="shared" si="38"/>
        <v>0</v>
      </c>
      <c r="W517" s="111"/>
      <c r="X517" s="111"/>
      <c r="Y517" s="111"/>
      <c r="Z517" s="111"/>
      <c r="AA517" s="111"/>
      <c r="AB517" s="111"/>
      <c r="AC517" s="111"/>
      <c r="AD517" s="111"/>
      <c r="AE517" s="139">
        <f t="shared" si="37"/>
        <v>0</v>
      </c>
      <c r="AF517" s="109"/>
      <c r="AG517" s="109"/>
    </row>
    <row r="518" spans="1:33">
      <c r="A518" s="117"/>
      <c r="B518" s="118"/>
      <c r="C518" s="118"/>
      <c r="D518" s="118"/>
      <c r="E518" s="119"/>
      <c r="F518" s="118"/>
      <c r="G518" s="110"/>
      <c r="H518" s="143"/>
      <c r="I518" s="114">
        <v>0</v>
      </c>
      <c r="J518" s="115">
        <v>0</v>
      </c>
      <c r="K518" s="116">
        <v>0</v>
      </c>
      <c r="L518" s="116">
        <v>0</v>
      </c>
      <c r="M518" s="114">
        <v>0</v>
      </c>
      <c r="N518" s="113">
        <v>0</v>
      </c>
      <c r="O518" s="113">
        <v>0</v>
      </c>
      <c r="P518" s="116">
        <v>0</v>
      </c>
      <c r="Q518" s="116">
        <v>0</v>
      </c>
      <c r="R518" s="116">
        <v>0</v>
      </c>
      <c r="S518" s="114">
        <v>0</v>
      </c>
      <c r="T518" s="116">
        <v>0</v>
      </c>
      <c r="U518" s="116">
        <v>0</v>
      </c>
      <c r="V518" s="121">
        <f t="shared" si="38"/>
        <v>0</v>
      </c>
      <c r="W518" s="111"/>
      <c r="X518" s="111"/>
      <c r="Y518" s="111"/>
      <c r="Z518" s="111"/>
      <c r="AA518" s="111"/>
      <c r="AB518" s="111"/>
      <c r="AC518" s="111"/>
      <c r="AD518" s="111"/>
      <c r="AE518" s="139">
        <f t="shared" si="37"/>
        <v>0</v>
      </c>
      <c r="AF518" s="109"/>
      <c r="AG518" s="109"/>
    </row>
    <row r="519" spans="1:33">
      <c r="A519" s="117"/>
      <c r="B519" s="118"/>
      <c r="C519" s="118"/>
      <c r="D519" s="118"/>
      <c r="E519" s="119"/>
      <c r="F519" s="118"/>
      <c r="G519" s="110"/>
      <c r="H519" s="143"/>
      <c r="I519" s="114">
        <v>0</v>
      </c>
      <c r="J519" s="115">
        <v>0</v>
      </c>
      <c r="K519" s="116">
        <v>0</v>
      </c>
      <c r="L519" s="116">
        <v>0</v>
      </c>
      <c r="M519" s="114">
        <v>0</v>
      </c>
      <c r="N519" s="113">
        <v>0</v>
      </c>
      <c r="O519" s="113">
        <v>0</v>
      </c>
      <c r="P519" s="116">
        <v>0</v>
      </c>
      <c r="Q519" s="116">
        <v>0</v>
      </c>
      <c r="R519" s="116">
        <v>0</v>
      </c>
      <c r="S519" s="114">
        <v>0</v>
      </c>
      <c r="T519" s="116">
        <v>0</v>
      </c>
      <c r="U519" s="116">
        <v>0</v>
      </c>
      <c r="V519" s="121">
        <f t="shared" si="38"/>
        <v>0</v>
      </c>
      <c r="W519" s="111"/>
      <c r="X519" s="111"/>
      <c r="Y519" s="111"/>
      <c r="Z519" s="111"/>
      <c r="AA519" s="111"/>
      <c r="AB519" s="111"/>
      <c r="AC519" s="111"/>
      <c r="AD519" s="111"/>
      <c r="AE519" s="139">
        <f t="shared" si="37"/>
        <v>0</v>
      </c>
      <c r="AF519" s="109"/>
      <c r="AG519" s="109"/>
    </row>
    <row r="520" spans="1:33">
      <c r="A520" s="117"/>
      <c r="B520" s="118"/>
      <c r="C520" s="118"/>
      <c r="D520" s="118"/>
      <c r="E520" s="119"/>
      <c r="F520" s="118"/>
      <c r="G520" s="110"/>
      <c r="H520" s="143"/>
      <c r="I520" s="114">
        <v>0</v>
      </c>
      <c r="J520" s="115">
        <v>0</v>
      </c>
      <c r="K520" s="116">
        <v>0</v>
      </c>
      <c r="L520" s="116">
        <v>0</v>
      </c>
      <c r="M520" s="114">
        <v>0</v>
      </c>
      <c r="N520" s="113">
        <v>0</v>
      </c>
      <c r="O520" s="113">
        <v>0</v>
      </c>
      <c r="P520" s="116">
        <v>0</v>
      </c>
      <c r="Q520" s="116">
        <v>0</v>
      </c>
      <c r="R520" s="116">
        <v>0</v>
      </c>
      <c r="S520" s="114">
        <v>0</v>
      </c>
      <c r="T520" s="116">
        <v>0</v>
      </c>
      <c r="U520" s="116">
        <v>0</v>
      </c>
      <c r="V520" s="121">
        <f t="shared" si="38"/>
        <v>0</v>
      </c>
      <c r="W520" s="111"/>
      <c r="X520" s="111"/>
      <c r="Y520" s="111"/>
      <c r="Z520" s="111"/>
      <c r="AA520" s="111"/>
      <c r="AB520" s="111"/>
      <c r="AC520" s="111"/>
      <c r="AD520" s="111"/>
      <c r="AE520" s="139">
        <f t="shared" si="37"/>
        <v>0</v>
      </c>
      <c r="AF520" s="109"/>
      <c r="AG520" s="109"/>
    </row>
    <row r="521" spans="1:33">
      <c r="A521" s="117"/>
      <c r="B521" s="118"/>
      <c r="C521" s="118"/>
      <c r="D521" s="118"/>
      <c r="E521" s="119"/>
      <c r="F521" s="118"/>
      <c r="G521" s="110"/>
      <c r="H521" s="143"/>
      <c r="I521" s="114">
        <v>0</v>
      </c>
      <c r="J521" s="115">
        <v>0</v>
      </c>
      <c r="K521" s="116">
        <v>0</v>
      </c>
      <c r="L521" s="116">
        <v>0</v>
      </c>
      <c r="M521" s="114">
        <v>0</v>
      </c>
      <c r="N521" s="113">
        <v>0</v>
      </c>
      <c r="O521" s="113">
        <v>0</v>
      </c>
      <c r="P521" s="116">
        <v>0</v>
      </c>
      <c r="Q521" s="116">
        <v>0</v>
      </c>
      <c r="R521" s="116">
        <v>0</v>
      </c>
      <c r="S521" s="114">
        <v>0</v>
      </c>
      <c r="T521" s="116">
        <v>0</v>
      </c>
      <c r="U521" s="116">
        <v>0</v>
      </c>
      <c r="V521" s="121">
        <f t="shared" si="38"/>
        <v>0</v>
      </c>
      <c r="W521" s="111"/>
      <c r="X521" s="111"/>
      <c r="Y521" s="111"/>
      <c r="Z521" s="111"/>
      <c r="AA521" s="111"/>
      <c r="AB521" s="111"/>
      <c r="AC521" s="111"/>
      <c r="AD521" s="111"/>
      <c r="AE521" s="139">
        <f t="shared" si="37"/>
        <v>0</v>
      </c>
      <c r="AF521" s="109"/>
      <c r="AG521" s="109"/>
    </row>
    <row r="522" spans="1:33">
      <c r="A522" s="117"/>
      <c r="B522" s="118"/>
      <c r="C522" s="118"/>
      <c r="D522" s="118"/>
      <c r="E522" s="119"/>
      <c r="F522" s="118"/>
      <c r="G522" s="110"/>
      <c r="H522" s="143"/>
      <c r="I522" s="114">
        <v>0</v>
      </c>
      <c r="J522" s="115">
        <v>0</v>
      </c>
      <c r="K522" s="116">
        <v>0</v>
      </c>
      <c r="L522" s="116">
        <v>0</v>
      </c>
      <c r="M522" s="114">
        <v>0</v>
      </c>
      <c r="N522" s="113">
        <v>0</v>
      </c>
      <c r="O522" s="113">
        <v>0</v>
      </c>
      <c r="P522" s="116">
        <v>0</v>
      </c>
      <c r="Q522" s="116">
        <v>0</v>
      </c>
      <c r="R522" s="116">
        <v>0</v>
      </c>
      <c r="S522" s="114">
        <v>0</v>
      </c>
      <c r="T522" s="116">
        <v>0</v>
      </c>
      <c r="U522" s="116">
        <v>0</v>
      </c>
      <c r="V522" s="121">
        <f t="shared" si="38"/>
        <v>0</v>
      </c>
      <c r="W522" s="111"/>
      <c r="X522" s="111"/>
      <c r="Y522" s="111"/>
      <c r="Z522" s="111"/>
      <c r="AA522" s="111"/>
      <c r="AB522" s="111"/>
      <c r="AC522" s="111"/>
      <c r="AD522" s="111"/>
      <c r="AE522" s="139">
        <f t="shared" si="37"/>
        <v>0</v>
      </c>
      <c r="AF522" s="109"/>
      <c r="AG522" s="109"/>
    </row>
    <row r="523" spans="1:33">
      <c r="A523" s="117"/>
      <c r="B523" s="118"/>
      <c r="C523" s="118"/>
      <c r="D523" s="118"/>
      <c r="E523" s="119"/>
      <c r="F523" s="118"/>
      <c r="G523" s="110"/>
      <c r="H523" s="143"/>
      <c r="I523" s="114">
        <v>0</v>
      </c>
      <c r="J523" s="115">
        <v>0</v>
      </c>
      <c r="K523" s="116">
        <v>0</v>
      </c>
      <c r="L523" s="116">
        <v>0</v>
      </c>
      <c r="M523" s="114">
        <v>0</v>
      </c>
      <c r="N523" s="113">
        <v>0</v>
      </c>
      <c r="O523" s="113">
        <v>0</v>
      </c>
      <c r="P523" s="116">
        <v>0</v>
      </c>
      <c r="Q523" s="116">
        <v>0</v>
      </c>
      <c r="R523" s="116">
        <v>0</v>
      </c>
      <c r="S523" s="114">
        <v>0</v>
      </c>
      <c r="T523" s="116">
        <v>0</v>
      </c>
      <c r="U523" s="116">
        <v>0</v>
      </c>
      <c r="V523" s="121">
        <f t="shared" si="38"/>
        <v>0</v>
      </c>
      <c r="W523" s="111"/>
      <c r="X523" s="111"/>
      <c r="Y523" s="111"/>
      <c r="Z523" s="111"/>
      <c r="AA523" s="111"/>
      <c r="AB523" s="111"/>
      <c r="AC523" s="111"/>
      <c r="AD523" s="111"/>
      <c r="AE523" s="139">
        <f t="shared" si="37"/>
        <v>0</v>
      </c>
      <c r="AF523" s="109"/>
      <c r="AG523" s="109"/>
    </row>
    <row r="524" spans="1:33">
      <c r="A524" s="117"/>
      <c r="B524" s="118"/>
      <c r="C524" s="118"/>
      <c r="D524" s="118"/>
      <c r="E524" s="119"/>
      <c r="F524" s="118"/>
      <c r="G524" s="110"/>
      <c r="H524" s="143"/>
      <c r="I524" s="114">
        <v>0</v>
      </c>
      <c r="J524" s="115">
        <v>0</v>
      </c>
      <c r="K524" s="116">
        <v>0</v>
      </c>
      <c r="L524" s="116">
        <v>0</v>
      </c>
      <c r="M524" s="114">
        <v>0</v>
      </c>
      <c r="N524" s="113">
        <v>0</v>
      </c>
      <c r="O524" s="113">
        <v>0</v>
      </c>
      <c r="P524" s="116">
        <v>0</v>
      </c>
      <c r="Q524" s="116">
        <v>0</v>
      </c>
      <c r="R524" s="116">
        <v>0</v>
      </c>
      <c r="S524" s="114">
        <v>0</v>
      </c>
      <c r="T524" s="116">
        <v>0</v>
      </c>
      <c r="U524" s="116">
        <v>0</v>
      </c>
      <c r="V524" s="121">
        <f t="shared" si="38"/>
        <v>0</v>
      </c>
      <c r="W524" s="111"/>
      <c r="X524" s="111"/>
      <c r="Y524" s="111"/>
      <c r="Z524" s="111"/>
      <c r="AA524" s="111"/>
      <c r="AB524" s="111"/>
      <c r="AC524" s="111"/>
      <c r="AD524" s="111"/>
      <c r="AE524" s="139">
        <f t="shared" si="37"/>
        <v>0</v>
      </c>
      <c r="AF524" s="109"/>
      <c r="AG524" s="109"/>
    </row>
    <row r="525" spans="1:33">
      <c r="A525" s="117"/>
      <c r="B525" s="118"/>
      <c r="C525" s="118"/>
      <c r="D525" s="118"/>
      <c r="E525" s="119"/>
      <c r="F525" s="118"/>
      <c r="G525" s="110"/>
      <c r="H525" s="143"/>
      <c r="I525" s="114">
        <v>0</v>
      </c>
      <c r="J525" s="115">
        <v>0</v>
      </c>
      <c r="K525" s="116">
        <v>0</v>
      </c>
      <c r="L525" s="116">
        <v>0</v>
      </c>
      <c r="M525" s="114">
        <v>0</v>
      </c>
      <c r="N525" s="113">
        <v>0</v>
      </c>
      <c r="O525" s="113">
        <v>0</v>
      </c>
      <c r="P525" s="116">
        <v>0</v>
      </c>
      <c r="Q525" s="116">
        <v>0</v>
      </c>
      <c r="R525" s="116">
        <v>0</v>
      </c>
      <c r="S525" s="114">
        <v>0</v>
      </c>
      <c r="T525" s="116">
        <v>0</v>
      </c>
      <c r="U525" s="116">
        <v>0</v>
      </c>
      <c r="V525" s="121">
        <f t="shared" si="38"/>
        <v>0</v>
      </c>
      <c r="W525" s="111"/>
      <c r="X525" s="111"/>
      <c r="Y525" s="111"/>
      <c r="Z525" s="111"/>
      <c r="AA525" s="111"/>
      <c r="AB525" s="111"/>
      <c r="AC525" s="111"/>
      <c r="AD525" s="111"/>
      <c r="AE525" s="139">
        <f t="shared" si="37"/>
        <v>0</v>
      </c>
      <c r="AF525" s="109"/>
      <c r="AG525" s="109"/>
    </row>
    <row r="526" spans="1:33">
      <c r="A526" s="117"/>
      <c r="B526" s="118"/>
      <c r="C526" s="118"/>
      <c r="D526" s="118"/>
      <c r="E526" s="119"/>
      <c r="F526" s="118"/>
      <c r="G526" s="110"/>
      <c r="H526" s="143"/>
      <c r="I526" s="114">
        <v>0</v>
      </c>
      <c r="J526" s="115">
        <v>0</v>
      </c>
      <c r="K526" s="116">
        <v>0</v>
      </c>
      <c r="L526" s="116">
        <v>0</v>
      </c>
      <c r="M526" s="114">
        <v>0</v>
      </c>
      <c r="N526" s="113">
        <v>0</v>
      </c>
      <c r="O526" s="113">
        <v>0</v>
      </c>
      <c r="P526" s="116">
        <v>0</v>
      </c>
      <c r="Q526" s="116">
        <v>0</v>
      </c>
      <c r="R526" s="116">
        <v>0</v>
      </c>
      <c r="S526" s="114">
        <v>0</v>
      </c>
      <c r="T526" s="116">
        <v>0</v>
      </c>
      <c r="U526" s="116">
        <v>0</v>
      </c>
      <c r="V526" s="121">
        <f t="shared" si="38"/>
        <v>0</v>
      </c>
      <c r="W526" s="111"/>
      <c r="X526" s="111"/>
      <c r="Y526" s="111"/>
      <c r="Z526" s="111"/>
      <c r="AA526" s="111"/>
      <c r="AB526" s="111"/>
      <c r="AC526" s="111"/>
      <c r="AD526" s="111"/>
      <c r="AE526" s="139">
        <f t="shared" si="37"/>
        <v>0</v>
      </c>
      <c r="AF526" s="109"/>
      <c r="AG526" s="109"/>
    </row>
    <row r="527" spans="1:33">
      <c r="A527" s="117"/>
      <c r="B527" s="118"/>
      <c r="C527" s="118"/>
      <c r="D527" s="118"/>
      <c r="E527" s="119"/>
      <c r="F527" s="118"/>
      <c r="G527" s="110"/>
      <c r="H527" s="143"/>
      <c r="I527" s="114">
        <v>0</v>
      </c>
      <c r="J527" s="115">
        <v>0</v>
      </c>
      <c r="K527" s="116">
        <v>0</v>
      </c>
      <c r="L527" s="116">
        <v>0</v>
      </c>
      <c r="M527" s="114">
        <v>0</v>
      </c>
      <c r="N527" s="113">
        <v>0</v>
      </c>
      <c r="O527" s="113">
        <v>0</v>
      </c>
      <c r="P527" s="116">
        <v>0</v>
      </c>
      <c r="Q527" s="116">
        <v>0</v>
      </c>
      <c r="R527" s="116">
        <v>0</v>
      </c>
      <c r="S527" s="114">
        <v>0</v>
      </c>
      <c r="T527" s="116">
        <v>0</v>
      </c>
      <c r="U527" s="116">
        <v>0</v>
      </c>
      <c r="V527" s="121">
        <f t="shared" si="38"/>
        <v>0</v>
      </c>
      <c r="W527" s="111"/>
      <c r="X527" s="111"/>
      <c r="Y527" s="111"/>
      <c r="Z527" s="111"/>
      <c r="AA527" s="111"/>
      <c r="AB527" s="111"/>
      <c r="AC527" s="111"/>
      <c r="AD527" s="111"/>
      <c r="AE527" s="139">
        <f t="shared" si="37"/>
        <v>0</v>
      </c>
      <c r="AF527" s="109"/>
      <c r="AG527" s="109"/>
    </row>
    <row r="528" spans="1:33">
      <c r="A528" s="117"/>
      <c r="B528" s="118"/>
      <c r="C528" s="118"/>
      <c r="D528" s="118"/>
      <c r="E528" s="119"/>
      <c r="F528" s="118"/>
      <c r="G528" s="110"/>
      <c r="H528" s="143"/>
      <c r="I528" s="114">
        <v>0</v>
      </c>
      <c r="J528" s="115">
        <v>0</v>
      </c>
      <c r="K528" s="116">
        <v>0</v>
      </c>
      <c r="L528" s="116">
        <v>0</v>
      </c>
      <c r="M528" s="114">
        <v>0</v>
      </c>
      <c r="N528" s="113">
        <v>0</v>
      </c>
      <c r="O528" s="113">
        <v>0</v>
      </c>
      <c r="P528" s="116">
        <v>0</v>
      </c>
      <c r="Q528" s="116">
        <v>0</v>
      </c>
      <c r="R528" s="116">
        <v>0</v>
      </c>
      <c r="S528" s="114">
        <v>0</v>
      </c>
      <c r="T528" s="116">
        <v>0</v>
      </c>
      <c r="U528" s="116">
        <v>0</v>
      </c>
      <c r="V528" s="121">
        <f t="shared" si="38"/>
        <v>0</v>
      </c>
      <c r="W528" s="111"/>
      <c r="X528" s="111"/>
      <c r="Y528" s="111"/>
      <c r="Z528" s="111"/>
      <c r="AA528" s="111"/>
      <c r="AB528" s="111"/>
      <c r="AC528" s="111"/>
      <c r="AD528" s="111"/>
      <c r="AE528" s="139">
        <f t="shared" si="37"/>
        <v>0</v>
      </c>
      <c r="AF528" s="109"/>
      <c r="AG528" s="109"/>
    </row>
    <row r="529" spans="1:33">
      <c r="A529" s="117"/>
      <c r="B529" s="118"/>
      <c r="C529" s="118"/>
      <c r="D529" s="118"/>
      <c r="E529" s="119"/>
      <c r="F529" s="118"/>
      <c r="G529" s="110"/>
      <c r="H529" s="143"/>
      <c r="I529" s="114">
        <v>0</v>
      </c>
      <c r="J529" s="115">
        <v>0</v>
      </c>
      <c r="K529" s="116">
        <v>0</v>
      </c>
      <c r="L529" s="116">
        <v>0</v>
      </c>
      <c r="M529" s="114">
        <v>0</v>
      </c>
      <c r="N529" s="113">
        <v>0</v>
      </c>
      <c r="O529" s="113">
        <v>0</v>
      </c>
      <c r="P529" s="116">
        <v>0</v>
      </c>
      <c r="Q529" s="116">
        <v>0</v>
      </c>
      <c r="R529" s="116">
        <v>0</v>
      </c>
      <c r="S529" s="114">
        <v>0</v>
      </c>
      <c r="T529" s="116">
        <v>0</v>
      </c>
      <c r="U529" s="116">
        <v>0</v>
      </c>
      <c r="V529" s="121">
        <f t="shared" si="38"/>
        <v>0</v>
      </c>
      <c r="W529" s="111"/>
      <c r="X529" s="111"/>
      <c r="Y529" s="111"/>
      <c r="Z529" s="111"/>
      <c r="AA529" s="111"/>
      <c r="AB529" s="111"/>
      <c r="AC529" s="111"/>
      <c r="AD529" s="111"/>
      <c r="AE529" s="139">
        <f t="shared" si="37"/>
        <v>0</v>
      </c>
      <c r="AF529" s="109"/>
      <c r="AG529" s="109"/>
    </row>
    <row r="530" spans="1:33">
      <c r="A530" s="117"/>
      <c r="B530" s="118"/>
      <c r="C530" s="118"/>
      <c r="D530" s="118"/>
      <c r="E530" s="119"/>
      <c r="F530" s="118"/>
      <c r="G530" s="110"/>
      <c r="H530" s="143"/>
      <c r="I530" s="114">
        <v>0</v>
      </c>
      <c r="J530" s="115">
        <v>0</v>
      </c>
      <c r="K530" s="116">
        <v>0</v>
      </c>
      <c r="L530" s="116">
        <v>0</v>
      </c>
      <c r="M530" s="114">
        <v>0</v>
      </c>
      <c r="N530" s="113">
        <v>0</v>
      </c>
      <c r="O530" s="113">
        <v>0</v>
      </c>
      <c r="P530" s="116">
        <v>0</v>
      </c>
      <c r="Q530" s="116">
        <v>0</v>
      </c>
      <c r="R530" s="116">
        <v>0</v>
      </c>
      <c r="S530" s="114">
        <v>0</v>
      </c>
      <c r="T530" s="116">
        <v>0</v>
      </c>
      <c r="U530" s="116">
        <v>0</v>
      </c>
      <c r="V530" s="121">
        <f t="shared" si="38"/>
        <v>0</v>
      </c>
      <c r="W530" s="111"/>
      <c r="X530" s="111"/>
      <c r="Y530" s="111"/>
      <c r="Z530" s="111"/>
      <c r="AA530" s="111"/>
      <c r="AB530" s="111"/>
      <c r="AC530" s="111"/>
      <c r="AD530" s="111"/>
      <c r="AE530" s="139">
        <f t="shared" si="37"/>
        <v>0</v>
      </c>
      <c r="AF530" s="109"/>
      <c r="AG530" s="109"/>
    </row>
    <row r="531" spans="1:33">
      <c r="A531" s="117"/>
      <c r="B531" s="118"/>
      <c r="C531" s="118"/>
      <c r="D531" s="118"/>
      <c r="E531" s="119"/>
      <c r="F531" s="118"/>
      <c r="G531" s="110"/>
      <c r="H531" s="143"/>
      <c r="I531" s="114">
        <v>0</v>
      </c>
      <c r="J531" s="115">
        <v>0</v>
      </c>
      <c r="K531" s="116">
        <v>0</v>
      </c>
      <c r="L531" s="116">
        <v>0</v>
      </c>
      <c r="M531" s="114">
        <v>0</v>
      </c>
      <c r="N531" s="113">
        <v>0</v>
      </c>
      <c r="O531" s="113">
        <v>0</v>
      </c>
      <c r="P531" s="116">
        <v>0</v>
      </c>
      <c r="Q531" s="116">
        <v>0</v>
      </c>
      <c r="R531" s="116">
        <v>0</v>
      </c>
      <c r="S531" s="114">
        <v>0</v>
      </c>
      <c r="T531" s="116">
        <v>0</v>
      </c>
      <c r="U531" s="116">
        <v>0</v>
      </c>
      <c r="V531" s="121">
        <f t="shared" si="38"/>
        <v>0</v>
      </c>
      <c r="W531" s="111"/>
      <c r="X531" s="111"/>
      <c r="Y531" s="111"/>
      <c r="Z531" s="111"/>
      <c r="AA531" s="111"/>
      <c r="AB531" s="111"/>
      <c r="AC531" s="111"/>
      <c r="AD531" s="111"/>
      <c r="AE531" s="139">
        <f t="shared" si="37"/>
        <v>0</v>
      </c>
      <c r="AF531" s="109"/>
      <c r="AG531" s="109"/>
    </row>
    <row r="532" spans="1:33">
      <c r="A532" s="117"/>
      <c r="B532" s="118"/>
      <c r="C532" s="118"/>
      <c r="D532" s="118"/>
      <c r="E532" s="119"/>
      <c r="F532" s="118"/>
      <c r="G532" s="110"/>
      <c r="H532" s="143"/>
      <c r="I532" s="114">
        <v>0</v>
      </c>
      <c r="J532" s="115">
        <v>0</v>
      </c>
      <c r="K532" s="116">
        <v>0</v>
      </c>
      <c r="L532" s="116">
        <v>0</v>
      </c>
      <c r="M532" s="114">
        <v>0</v>
      </c>
      <c r="N532" s="113">
        <v>0</v>
      </c>
      <c r="O532" s="113">
        <v>0</v>
      </c>
      <c r="P532" s="116">
        <v>0</v>
      </c>
      <c r="Q532" s="116">
        <v>0</v>
      </c>
      <c r="R532" s="116">
        <v>0</v>
      </c>
      <c r="S532" s="114">
        <v>0</v>
      </c>
      <c r="T532" s="116">
        <v>0</v>
      </c>
      <c r="U532" s="116">
        <v>0</v>
      </c>
      <c r="V532" s="121">
        <f t="shared" si="38"/>
        <v>0</v>
      </c>
      <c r="W532" s="111"/>
      <c r="X532" s="111"/>
      <c r="Y532" s="111"/>
      <c r="Z532" s="111"/>
      <c r="AA532" s="111"/>
      <c r="AB532" s="111"/>
      <c r="AC532" s="111"/>
      <c r="AD532" s="111"/>
      <c r="AE532" s="139">
        <f t="shared" si="37"/>
        <v>0</v>
      </c>
      <c r="AF532" s="109"/>
      <c r="AG532" s="109"/>
    </row>
    <row r="533" spans="1:33">
      <c r="A533" s="117"/>
      <c r="B533" s="118"/>
      <c r="C533" s="118"/>
      <c r="D533" s="118"/>
      <c r="E533" s="119"/>
      <c r="F533" s="118"/>
      <c r="G533" s="110"/>
      <c r="H533" s="143"/>
      <c r="I533" s="114">
        <v>0</v>
      </c>
      <c r="J533" s="115">
        <v>0</v>
      </c>
      <c r="K533" s="116">
        <v>0</v>
      </c>
      <c r="L533" s="116">
        <v>0</v>
      </c>
      <c r="M533" s="114">
        <v>0</v>
      </c>
      <c r="N533" s="113">
        <v>0</v>
      </c>
      <c r="O533" s="113">
        <v>0</v>
      </c>
      <c r="P533" s="116">
        <v>0</v>
      </c>
      <c r="Q533" s="116">
        <v>0</v>
      </c>
      <c r="R533" s="116">
        <v>0</v>
      </c>
      <c r="S533" s="114">
        <v>0</v>
      </c>
      <c r="T533" s="116">
        <v>0</v>
      </c>
      <c r="U533" s="116">
        <v>0</v>
      </c>
      <c r="V533" s="121">
        <f t="shared" si="38"/>
        <v>0</v>
      </c>
      <c r="W533" s="111"/>
      <c r="X533" s="111"/>
      <c r="Y533" s="111"/>
      <c r="Z533" s="111"/>
      <c r="AA533" s="111"/>
      <c r="AB533" s="111"/>
      <c r="AC533" s="111"/>
      <c r="AD533" s="111"/>
      <c r="AE533" s="139">
        <f t="shared" si="37"/>
        <v>0</v>
      </c>
      <c r="AF533" s="109"/>
      <c r="AG533" s="109"/>
    </row>
    <row r="534" spans="1:33">
      <c r="A534" s="117"/>
      <c r="B534" s="118"/>
      <c r="C534" s="118"/>
      <c r="D534" s="118"/>
      <c r="E534" s="119"/>
      <c r="F534" s="118"/>
      <c r="G534" s="110"/>
      <c r="H534" s="143"/>
      <c r="I534" s="114">
        <v>0</v>
      </c>
      <c r="J534" s="115">
        <v>0</v>
      </c>
      <c r="K534" s="116">
        <v>0</v>
      </c>
      <c r="L534" s="116">
        <v>0</v>
      </c>
      <c r="M534" s="114">
        <v>0</v>
      </c>
      <c r="N534" s="113">
        <v>0</v>
      </c>
      <c r="O534" s="113">
        <v>0</v>
      </c>
      <c r="P534" s="116">
        <v>0</v>
      </c>
      <c r="Q534" s="116">
        <v>0</v>
      </c>
      <c r="R534" s="116">
        <v>0</v>
      </c>
      <c r="S534" s="114">
        <v>0</v>
      </c>
      <c r="T534" s="116">
        <v>0</v>
      </c>
      <c r="U534" s="116">
        <v>0</v>
      </c>
      <c r="V534" s="121">
        <f t="shared" si="38"/>
        <v>0</v>
      </c>
      <c r="W534" s="111"/>
      <c r="X534" s="111"/>
      <c r="Y534" s="111"/>
      <c r="Z534" s="111"/>
      <c r="AA534" s="111"/>
      <c r="AB534" s="111"/>
      <c r="AC534" s="111"/>
      <c r="AD534" s="111"/>
      <c r="AE534" s="139">
        <f t="shared" si="37"/>
        <v>0</v>
      </c>
      <c r="AF534" s="109"/>
      <c r="AG534" s="109"/>
    </row>
    <row r="535" spans="1:33">
      <c r="A535" s="117"/>
      <c r="B535" s="118"/>
      <c r="C535" s="118"/>
      <c r="D535" s="118"/>
      <c r="E535" s="119"/>
      <c r="F535" s="118"/>
      <c r="G535" s="110"/>
      <c r="H535" s="143"/>
      <c r="I535" s="114">
        <v>0</v>
      </c>
      <c r="J535" s="115">
        <v>0</v>
      </c>
      <c r="K535" s="116">
        <v>0</v>
      </c>
      <c r="L535" s="116">
        <v>0</v>
      </c>
      <c r="M535" s="114">
        <v>0</v>
      </c>
      <c r="N535" s="113">
        <v>0</v>
      </c>
      <c r="O535" s="113">
        <v>0</v>
      </c>
      <c r="P535" s="116">
        <v>0</v>
      </c>
      <c r="Q535" s="116">
        <v>0</v>
      </c>
      <c r="R535" s="116">
        <v>0</v>
      </c>
      <c r="S535" s="114">
        <v>0</v>
      </c>
      <c r="T535" s="116">
        <v>0</v>
      </c>
      <c r="U535" s="116">
        <v>0</v>
      </c>
      <c r="V535" s="121">
        <f t="shared" si="38"/>
        <v>0</v>
      </c>
      <c r="W535" s="111"/>
      <c r="X535" s="111"/>
      <c r="Y535" s="111"/>
      <c r="Z535" s="111"/>
      <c r="AA535" s="111"/>
      <c r="AB535" s="111"/>
      <c r="AC535" s="111"/>
      <c r="AD535" s="111"/>
      <c r="AE535" s="139">
        <f t="shared" si="37"/>
        <v>0</v>
      </c>
      <c r="AF535" s="109"/>
      <c r="AG535" s="109"/>
    </row>
    <row r="536" spans="1:33">
      <c r="A536" s="117"/>
      <c r="B536" s="118"/>
      <c r="C536" s="118"/>
      <c r="D536" s="118"/>
      <c r="E536" s="119"/>
      <c r="F536" s="118"/>
      <c r="G536" s="110"/>
      <c r="H536" s="143"/>
      <c r="I536" s="114">
        <v>0</v>
      </c>
      <c r="J536" s="115">
        <v>0</v>
      </c>
      <c r="K536" s="116">
        <v>0</v>
      </c>
      <c r="L536" s="116">
        <v>0</v>
      </c>
      <c r="M536" s="114">
        <v>0</v>
      </c>
      <c r="N536" s="113">
        <v>0</v>
      </c>
      <c r="O536" s="113">
        <v>0</v>
      </c>
      <c r="P536" s="116">
        <v>0</v>
      </c>
      <c r="Q536" s="116">
        <v>0</v>
      </c>
      <c r="R536" s="116">
        <v>0</v>
      </c>
      <c r="S536" s="114">
        <v>0</v>
      </c>
      <c r="T536" s="116">
        <v>0</v>
      </c>
      <c r="U536" s="116">
        <v>0</v>
      </c>
      <c r="V536" s="121">
        <f t="shared" si="38"/>
        <v>0</v>
      </c>
      <c r="W536" s="111"/>
      <c r="X536" s="111"/>
      <c r="Y536" s="111"/>
      <c r="Z536" s="111"/>
      <c r="AA536" s="111"/>
      <c r="AB536" s="111"/>
      <c r="AC536" s="111"/>
      <c r="AD536" s="111"/>
      <c r="AE536" s="139">
        <f t="shared" si="37"/>
        <v>0</v>
      </c>
      <c r="AF536" s="109"/>
      <c r="AG536" s="109"/>
    </row>
    <row r="537" spans="1:33">
      <c r="A537" s="117"/>
      <c r="B537" s="118"/>
      <c r="C537" s="118"/>
      <c r="D537" s="118"/>
      <c r="E537" s="119"/>
      <c r="F537" s="118"/>
      <c r="G537" s="110"/>
      <c r="H537" s="143"/>
      <c r="I537" s="114">
        <v>0</v>
      </c>
      <c r="J537" s="115">
        <v>0</v>
      </c>
      <c r="K537" s="116">
        <v>0</v>
      </c>
      <c r="L537" s="116">
        <v>0</v>
      </c>
      <c r="M537" s="114">
        <v>0</v>
      </c>
      <c r="N537" s="113">
        <v>0</v>
      </c>
      <c r="O537" s="113">
        <v>0</v>
      </c>
      <c r="P537" s="116">
        <v>0</v>
      </c>
      <c r="Q537" s="116">
        <v>0</v>
      </c>
      <c r="R537" s="116">
        <v>0</v>
      </c>
      <c r="S537" s="114">
        <v>0</v>
      </c>
      <c r="T537" s="116">
        <v>0</v>
      </c>
      <c r="U537" s="116">
        <v>0</v>
      </c>
      <c r="V537" s="121">
        <f t="shared" si="38"/>
        <v>0</v>
      </c>
      <c r="W537" s="111"/>
      <c r="X537" s="111"/>
      <c r="Y537" s="111"/>
      <c r="Z537" s="111"/>
      <c r="AA537" s="111"/>
      <c r="AB537" s="111"/>
      <c r="AC537" s="111"/>
      <c r="AD537" s="111"/>
      <c r="AE537" s="139">
        <f t="shared" si="37"/>
        <v>0</v>
      </c>
      <c r="AF537" s="109"/>
      <c r="AG537" s="109"/>
    </row>
    <row r="538" spans="1:33">
      <c r="A538" s="117"/>
      <c r="B538" s="118"/>
      <c r="C538" s="118"/>
      <c r="D538" s="118"/>
      <c r="E538" s="119"/>
      <c r="F538" s="118"/>
      <c r="G538" s="110"/>
      <c r="H538" s="143"/>
      <c r="I538" s="114">
        <v>0</v>
      </c>
      <c r="J538" s="115">
        <v>0</v>
      </c>
      <c r="K538" s="116">
        <v>0</v>
      </c>
      <c r="L538" s="116">
        <v>0</v>
      </c>
      <c r="M538" s="114">
        <v>0</v>
      </c>
      <c r="N538" s="113">
        <v>0</v>
      </c>
      <c r="O538" s="113">
        <v>0</v>
      </c>
      <c r="P538" s="116">
        <v>0</v>
      </c>
      <c r="Q538" s="116">
        <v>0</v>
      </c>
      <c r="R538" s="116">
        <v>0</v>
      </c>
      <c r="S538" s="114">
        <v>0</v>
      </c>
      <c r="T538" s="116">
        <v>0</v>
      </c>
      <c r="U538" s="116">
        <v>0</v>
      </c>
      <c r="V538" s="121">
        <f t="shared" si="38"/>
        <v>0</v>
      </c>
      <c r="W538" s="111"/>
      <c r="X538" s="111"/>
      <c r="Y538" s="111"/>
      <c r="Z538" s="111"/>
      <c r="AA538" s="111"/>
      <c r="AB538" s="111"/>
      <c r="AC538" s="111"/>
      <c r="AD538" s="111"/>
      <c r="AE538" s="139">
        <f t="shared" si="37"/>
        <v>0</v>
      </c>
      <c r="AF538" s="109"/>
      <c r="AG538" s="109"/>
    </row>
    <row r="539" spans="1:33">
      <c r="A539" s="117"/>
      <c r="B539" s="118"/>
      <c r="C539" s="118"/>
      <c r="D539" s="118"/>
      <c r="E539" s="119"/>
      <c r="F539" s="118"/>
      <c r="G539" s="110"/>
      <c r="H539" s="143"/>
      <c r="I539" s="114">
        <v>0</v>
      </c>
      <c r="J539" s="115">
        <v>0</v>
      </c>
      <c r="K539" s="116">
        <v>0</v>
      </c>
      <c r="L539" s="116">
        <v>0</v>
      </c>
      <c r="M539" s="114">
        <v>0</v>
      </c>
      <c r="N539" s="113">
        <v>0</v>
      </c>
      <c r="O539" s="113">
        <v>0</v>
      </c>
      <c r="P539" s="116">
        <v>0</v>
      </c>
      <c r="Q539" s="116">
        <v>0</v>
      </c>
      <c r="R539" s="116">
        <v>0</v>
      </c>
      <c r="S539" s="114">
        <v>0</v>
      </c>
      <c r="T539" s="116">
        <v>0</v>
      </c>
      <c r="U539" s="116">
        <v>0</v>
      </c>
      <c r="V539" s="121">
        <f t="shared" si="38"/>
        <v>0</v>
      </c>
      <c r="W539" s="111"/>
      <c r="X539" s="111"/>
      <c r="Y539" s="111"/>
      <c r="Z539" s="111"/>
      <c r="AA539" s="111"/>
      <c r="AB539" s="111"/>
      <c r="AC539" s="111"/>
      <c r="AD539" s="111"/>
      <c r="AE539" s="139">
        <f t="shared" si="37"/>
        <v>0</v>
      </c>
      <c r="AF539" s="109"/>
      <c r="AG539" s="109"/>
    </row>
    <row r="540" spans="1:33">
      <c r="A540" s="117"/>
      <c r="B540" s="118"/>
      <c r="C540" s="118"/>
      <c r="D540" s="118"/>
      <c r="E540" s="119"/>
      <c r="F540" s="118"/>
      <c r="G540" s="110"/>
      <c r="H540" s="143"/>
      <c r="I540" s="114">
        <v>0</v>
      </c>
      <c r="J540" s="115">
        <v>0</v>
      </c>
      <c r="K540" s="116">
        <v>0</v>
      </c>
      <c r="L540" s="116">
        <v>0</v>
      </c>
      <c r="M540" s="114">
        <v>0</v>
      </c>
      <c r="N540" s="113">
        <v>0</v>
      </c>
      <c r="O540" s="113">
        <v>0</v>
      </c>
      <c r="P540" s="116">
        <v>0</v>
      </c>
      <c r="Q540" s="116">
        <v>0</v>
      </c>
      <c r="R540" s="116">
        <v>0</v>
      </c>
      <c r="S540" s="114">
        <v>0</v>
      </c>
      <c r="T540" s="116">
        <v>0</v>
      </c>
      <c r="U540" s="116">
        <v>0</v>
      </c>
      <c r="V540" s="121">
        <f t="shared" si="38"/>
        <v>0</v>
      </c>
      <c r="W540" s="111"/>
      <c r="X540" s="111"/>
      <c r="Y540" s="111"/>
      <c r="Z540" s="111"/>
      <c r="AA540" s="111"/>
      <c r="AB540" s="111"/>
      <c r="AC540" s="111"/>
      <c r="AD540" s="111"/>
      <c r="AE540" s="139">
        <f t="shared" si="37"/>
        <v>0</v>
      </c>
      <c r="AF540" s="109"/>
      <c r="AG540" s="109"/>
    </row>
    <row r="541" spans="1:33">
      <c r="A541" s="117"/>
      <c r="B541" s="118"/>
      <c r="C541" s="118"/>
      <c r="D541" s="118"/>
      <c r="E541" s="119"/>
      <c r="F541" s="118"/>
      <c r="G541" s="110"/>
      <c r="H541" s="143"/>
      <c r="I541" s="114">
        <v>0</v>
      </c>
      <c r="J541" s="115">
        <v>0</v>
      </c>
      <c r="K541" s="116">
        <v>0</v>
      </c>
      <c r="L541" s="116">
        <v>0</v>
      </c>
      <c r="M541" s="114">
        <v>0</v>
      </c>
      <c r="N541" s="113">
        <v>0</v>
      </c>
      <c r="O541" s="113">
        <v>0</v>
      </c>
      <c r="P541" s="116">
        <v>0</v>
      </c>
      <c r="Q541" s="116">
        <v>0</v>
      </c>
      <c r="R541" s="116">
        <v>0</v>
      </c>
      <c r="S541" s="114">
        <v>0</v>
      </c>
      <c r="T541" s="116">
        <v>0</v>
      </c>
      <c r="U541" s="116">
        <v>0</v>
      </c>
      <c r="V541" s="121">
        <f t="shared" si="38"/>
        <v>0</v>
      </c>
      <c r="W541" s="111"/>
      <c r="X541" s="111"/>
      <c r="Y541" s="111"/>
      <c r="Z541" s="111"/>
      <c r="AA541" s="111"/>
      <c r="AB541" s="111"/>
      <c r="AC541" s="111"/>
      <c r="AD541" s="111"/>
      <c r="AE541" s="139">
        <f t="shared" si="37"/>
        <v>0</v>
      </c>
      <c r="AF541" s="109"/>
      <c r="AG541" s="109"/>
    </row>
    <row r="542" spans="1:33">
      <c r="A542" s="117"/>
      <c r="B542" s="118"/>
      <c r="C542" s="118"/>
      <c r="D542" s="118"/>
      <c r="E542" s="119"/>
      <c r="F542" s="118"/>
      <c r="G542" s="110"/>
      <c r="H542" s="143"/>
      <c r="I542" s="114">
        <v>0</v>
      </c>
      <c r="J542" s="115">
        <v>0</v>
      </c>
      <c r="K542" s="116">
        <v>0</v>
      </c>
      <c r="L542" s="116">
        <v>0</v>
      </c>
      <c r="M542" s="114">
        <v>0</v>
      </c>
      <c r="N542" s="113">
        <v>0</v>
      </c>
      <c r="O542" s="113">
        <v>0</v>
      </c>
      <c r="P542" s="116">
        <v>0</v>
      </c>
      <c r="Q542" s="116">
        <v>0</v>
      </c>
      <c r="R542" s="116">
        <v>0</v>
      </c>
      <c r="S542" s="114">
        <v>0</v>
      </c>
      <c r="T542" s="116">
        <v>0</v>
      </c>
      <c r="U542" s="116">
        <v>0</v>
      </c>
      <c r="V542" s="121">
        <f t="shared" si="38"/>
        <v>0</v>
      </c>
      <c r="W542" s="111"/>
      <c r="X542" s="111"/>
      <c r="Y542" s="111"/>
      <c r="Z542" s="111"/>
      <c r="AA542" s="111"/>
      <c r="AB542" s="111"/>
      <c r="AC542" s="111"/>
      <c r="AD542" s="111"/>
      <c r="AE542" s="139">
        <f t="shared" si="37"/>
        <v>0</v>
      </c>
      <c r="AF542" s="109"/>
      <c r="AG542" s="109"/>
    </row>
    <row r="543" spans="1:33">
      <c r="A543" s="117"/>
      <c r="B543" s="118"/>
      <c r="C543" s="118"/>
      <c r="D543" s="118"/>
      <c r="E543" s="119"/>
      <c r="F543" s="118"/>
      <c r="G543" s="110"/>
      <c r="H543" s="143"/>
      <c r="I543" s="114">
        <v>0</v>
      </c>
      <c r="J543" s="115">
        <v>0</v>
      </c>
      <c r="K543" s="116">
        <v>0</v>
      </c>
      <c r="L543" s="116">
        <v>0</v>
      </c>
      <c r="M543" s="114">
        <v>0</v>
      </c>
      <c r="N543" s="113">
        <v>0</v>
      </c>
      <c r="O543" s="113">
        <v>0</v>
      </c>
      <c r="P543" s="116">
        <v>0</v>
      </c>
      <c r="Q543" s="116">
        <v>0</v>
      </c>
      <c r="R543" s="116">
        <v>0</v>
      </c>
      <c r="S543" s="114">
        <v>0</v>
      </c>
      <c r="T543" s="116">
        <v>0</v>
      </c>
      <c r="U543" s="116">
        <v>0</v>
      </c>
      <c r="V543" s="121">
        <f t="shared" si="38"/>
        <v>0</v>
      </c>
      <c r="W543" s="111"/>
      <c r="X543" s="111"/>
      <c r="Y543" s="111"/>
      <c r="Z543" s="111"/>
      <c r="AA543" s="111"/>
      <c r="AB543" s="111"/>
      <c r="AC543" s="111"/>
      <c r="AD543" s="111"/>
      <c r="AE543" s="139">
        <f t="shared" si="37"/>
        <v>0</v>
      </c>
      <c r="AF543" s="109"/>
      <c r="AG543" s="109"/>
    </row>
    <row r="544" spans="1:33">
      <c r="A544" s="117"/>
      <c r="B544" s="118"/>
      <c r="C544" s="118"/>
      <c r="D544" s="118"/>
      <c r="E544" s="119"/>
      <c r="F544" s="118"/>
      <c r="G544" s="110"/>
      <c r="H544" s="143"/>
      <c r="I544" s="114">
        <v>0</v>
      </c>
      <c r="J544" s="115">
        <v>0</v>
      </c>
      <c r="K544" s="116">
        <v>0</v>
      </c>
      <c r="L544" s="116">
        <v>0</v>
      </c>
      <c r="M544" s="114">
        <v>0</v>
      </c>
      <c r="N544" s="113">
        <v>0</v>
      </c>
      <c r="O544" s="113">
        <v>0</v>
      </c>
      <c r="P544" s="116">
        <v>0</v>
      </c>
      <c r="Q544" s="116">
        <v>0</v>
      </c>
      <c r="R544" s="116">
        <v>0</v>
      </c>
      <c r="S544" s="114">
        <v>0</v>
      </c>
      <c r="T544" s="116">
        <v>0</v>
      </c>
      <c r="U544" s="116">
        <v>0</v>
      </c>
      <c r="V544" s="121">
        <f t="shared" si="38"/>
        <v>0</v>
      </c>
      <c r="W544" s="111"/>
      <c r="X544" s="111"/>
      <c r="Y544" s="111"/>
      <c r="Z544" s="111"/>
      <c r="AA544" s="111"/>
      <c r="AB544" s="111"/>
      <c r="AC544" s="111"/>
      <c r="AD544" s="111"/>
      <c r="AE544" s="139">
        <f t="shared" si="37"/>
        <v>0</v>
      </c>
      <c r="AF544" s="109"/>
      <c r="AG544" s="109"/>
    </row>
    <row r="545" spans="1:33">
      <c r="A545" s="117"/>
      <c r="B545" s="118"/>
      <c r="C545" s="118"/>
      <c r="D545" s="118"/>
      <c r="E545" s="119"/>
      <c r="F545" s="118"/>
      <c r="G545" s="110"/>
      <c r="H545" s="143"/>
      <c r="I545" s="114">
        <v>0</v>
      </c>
      <c r="J545" s="115">
        <v>0</v>
      </c>
      <c r="K545" s="116">
        <v>0</v>
      </c>
      <c r="L545" s="116">
        <v>0</v>
      </c>
      <c r="M545" s="114">
        <v>0</v>
      </c>
      <c r="N545" s="113">
        <v>0</v>
      </c>
      <c r="O545" s="113">
        <v>0</v>
      </c>
      <c r="P545" s="116">
        <v>0</v>
      </c>
      <c r="Q545" s="116">
        <v>0</v>
      </c>
      <c r="R545" s="116">
        <v>0</v>
      </c>
      <c r="S545" s="114">
        <v>0</v>
      </c>
      <c r="T545" s="116">
        <v>0</v>
      </c>
      <c r="U545" s="116">
        <v>0</v>
      </c>
      <c r="V545" s="121">
        <f t="shared" si="38"/>
        <v>0</v>
      </c>
      <c r="W545" s="111"/>
      <c r="X545" s="111"/>
      <c r="Y545" s="111"/>
      <c r="Z545" s="111"/>
      <c r="AA545" s="111"/>
      <c r="AB545" s="111"/>
      <c r="AC545" s="111"/>
      <c r="AD545" s="111"/>
      <c r="AE545" s="139">
        <f t="shared" si="37"/>
        <v>0</v>
      </c>
      <c r="AF545" s="109"/>
      <c r="AG545" s="109"/>
    </row>
    <row r="546" spans="1:33">
      <c r="A546" s="117"/>
      <c r="B546" s="118"/>
      <c r="C546" s="118"/>
      <c r="D546" s="118"/>
      <c r="E546" s="119"/>
      <c r="F546" s="118"/>
      <c r="G546" s="110"/>
      <c r="H546" s="143"/>
      <c r="I546" s="114">
        <v>0</v>
      </c>
      <c r="J546" s="115">
        <v>0</v>
      </c>
      <c r="K546" s="116">
        <v>0</v>
      </c>
      <c r="L546" s="116">
        <v>0</v>
      </c>
      <c r="M546" s="114">
        <v>0</v>
      </c>
      <c r="N546" s="113">
        <v>0</v>
      </c>
      <c r="O546" s="113">
        <v>0</v>
      </c>
      <c r="P546" s="116">
        <v>0</v>
      </c>
      <c r="Q546" s="116">
        <v>0</v>
      </c>
      <c r="R546" s="116">
        <v>0</v>
      </c>
      <c r="S546" s="114">
        <v>0</v>
      </c>
      <c r="T546" s="116">
        <v>0</v>
      </c>
      <c r="U546" s="116">
        <v>0</v>
      </c>
      <c r="V546" s="121">
        <f t="shared" si="38"/>
        <v>0</v>
      </c>
      <c r="W546" s="111"/>
      <c r="X546" s="111"/>
      <c r="Y546" s="111"/>
      <c r="Z546" s="111"/>
      <c r="AA546" s="111"/>
      <c r="AB546" s="111"/>
      <c r="AC546" s="111"/>
      <c r="AD546" s="111"/>
      <c r="AE546" s="139">
        <f t="shared" si="37"/>
        <v>0</v>
      </c>
      <c r="AF546" s="109"/>
      <c r="AG546" s="109"/>
    </row>
    <row r="547" spans="1:33">
      <c r="A547" s="117"/>
      <c r="B547" s="118"/>
      <c r="C547" s="118"/>
      <c r="D547" s="118"/>
      <c r="E547" s="119"/>
      <c r="F547" s="118"/>
      <c r="G547" s="110"/>
      <c r="H547" s="143"/>
      <c r="I547" s="114">
        <v>0</v>
      </c>
      <c r="J547" s="115">
        <v>0</v>
      </c>
      <c r="K547" s="116">
        <v>0</v>
      </c>
      <c r="L547" s="116">
        <v>0</v>
      </c>
      <c r="M547" s="114">
        <v>0</v>
      </c>
      <c r="N547" s="113">
        <v>0</v>
      </c>
      <c r="O547" s="113">
        <v>0</v>
      </c>
      <c r="P547" s="116">
        <v>0</v>
      </c>
      <c r="Q547" s="116">
        <v>0</v>
      </c>
      <c r="R547" s="116">
        <v>0</v>
      </c>
      <c r="S547" s="114">
        <v>0</v>
      </c>
      <c r="T547" s="116">
        <v>0</v>
      </c>
      <c r="U547" s="116">
        <v>0</v>
      </c>
      <c r="V547" s="121">
        <f t="shared" si="38"/>
        <v>0</v>
      </c>
      <c r="W547" s="111"/>
      <c r="X547" s="111"/>
      <c r="Y547" s="111"/>
      <c r="Z547" s="111"/>
      <c r="AA547" s="111"/>
      <c r="AB547" s="111"/>
      <c r="AC547" s="111"/>
      <c r="AD547" s="111"/>
      <c r="AE547" s="139">
        <f t="shared" si="37"/>
        <v>0</v>
      </c>
      <c r="AF547" s="109"/>
      <c r="AG547" s="109"/>
    </row>
    <row r="548" spans="1:33">
      <c r="A548" s="117"/>
      <c r="B548" s="118"/>
      <c r="C548" s="118"/>
      <c r="D548" s="118"/>
      <c r="E548" s="119"/>
      <c r="F548" s="118"/>
      <c r="G548" s="110"/>
      <c r="H548" s="126"/>
      <c r="I548" s="114">
        <v>0</v>
      </c>
      <c r="J548" s="115">
        <v>0</v>
      </c>
      <c r="K548" s="116">
        <v>0</v>
      </c>
      <c r="L548" s="116">
        <v>0</v>
      </c>
      <c r="M548" s="114">
        <v>0</v>
      </c>
      <c r="N548" s="113">
        <v>0</v>
      </c>
      <c r="O548" s="113">
        <v>0</v>
      </c>
      <c r="P548" s="116">
        <v>0</v>
      </c>
      <c r="Q548" s="116">
        <v>0</v>
      </c>
      <c r="R548" s="116">
        <v>0</v>
      </c>
      <c r="S548" s="114">
        <v>0</v>
      </c>
      <c r="T548" s="116">
        <v>0</v>
      </c>
      <c r="U548" s="116">
        <v>0</v>
      </c>
      <c r="V548" s="121">
        <f t="shared" si="38"/>
        <v>0</v>
      </c>
      <c r="W548" s="111"/>
      <c r="X548" s="111"/>
      <c r="Y548" s="111"/>
      <c r="Z548" s="111"/>
      <c r="AA548" s="111"/>
      <c r="AB548" s="111"/>
      <c r="AC548" s="111"/>
      <c r="AD548" s="111"/>
      <c r="AE548" s="139">
        <f t="shared" si="37"/>
        <v>0</v>
      </c>
      <c r="AF548" s="109"/>
      <c r="AG548" s="109"/>
    </row>
    <row r="549" spans="1:33">
      <c r="A549" s="117"/>
      <c r="B549" s="118"/>
      <c r="C549" s="118"/>
      <c r="D549" s="118"/>
      <c r="E549" s="119"/>
      <c r="F549" s="118"/>
      <c r="G549" s="110"/>
      <c r="H549" s="126"/>
      <c r="I549" s="114">
        <v>0</v>
      </c>
      <c r="J549" s="115">
        <v>0</v>
      </c>
      <c r="K549" s="116">
        <v>0</v>
      </c>
      <c r="L549" s="116">
        <v>0</v>
      </c>
      <c r="M549" s="114">
        <v>0</v>
      </c>
      <c r="N549" s="113">
        <v>0</v>
      </c>
      <c r="O549" s="113">
        <v>0</v>
      </c>
      <c r="P549" s="116">
        <v>0</v>
      </c>
      <c r="Q549" s="116">
        <v>0</v>
      </c>
      <c r="R549" s="116">
        <v>0</v>
      </c>
      <c r="S549" s="114">
        <v>0</v>
      </c>
      <c r="T549" s="116">
        <v>0</v>
      </c>
      <c r="U549" s="116">
        <v>0</v>
      </c>
      <c r="V549" s="121">
        <f t="shared" si="38"/>
        <v>0</v>
      </c>
      <c r="W549" s="111"/>
      <c r="X549" s="111"/>
      <c r="Y549" s="111"/>
      <c r="Z549" s="111"/>
      <c r="AA549" s="111"/>
      <c r="AB549" s="111"/>
      <c r="AC549" s="111"/>
      <c r="AD549" s="111"/>
      <c r="AE549" s="139">
        <f t="shared" si="37"/>
        <v>0</v>
      </c>
      <c r="AF549" s="109"/>
      <c r="AG549" s="109"/>
    </row>
    <row r="550" spans="1:33">
      <c r="A550" s="117"/>
      <c r="B550" s="118"/>
      <c r="C550" s="118"/>
      <c r="D550" s="118"/>
      <c r="E550" s="119"/>
      <c r="F550" s="118"/>
      <c r="G550" s="110"/>
      <c r="H550" s="126"/>
      <c r="I550" s="114">
        <v>0</v>
      </c>
      <c r="J550" s="115">
        <v>0</v>
      </c>
      <c r="K550" s="116">
        <v>0</v>
      </c>
      <c r="L550" s="116">
        <v>0</v>
      </c>
      <c r="M550" s="114">
        <v>0</v>
      </c>
      <c r="N550" s="113">
        <v>0</v>
      </c>
      <c r="O550" s="113">
        <v>0</v>
      </c>
      <c r="P550" s="116">
        <v>0</v>
      </c>
      <c r="Q550" s="116">
        <v>0</v>
      </c>
      <c r="R550" s="116">
        <v>0</v>
      </c>
      <c r="S550" s="114">
        <v>0</v>
      </c>
      <c r="T550" s="116">
        <v>0</v>
      </c>
      <c r="U550" s="116">
        <v>0</v>
      </c>
      <c r="V550" s="121">
        <f t="shared" si="38"/>
        <v>0</v>
      </c>
      <c r="W550" s="111"/>
      <c r="X550" s="111"/>
      <c r="Y550" s="111"/>
      <c r="Z550" s="111"/>
      <c r="AA550" s="111"/>
      <c r="AB550" s="111"/>
      <c r="AC550" s="111"/>
      <c r="AD550" s="111"/>
      <c r="AE550" s="139">
        <f t="shared" si="37"/>
        <v>0</v>
      </c>
      <c r="AF550" s="109"/>
      <c r="AG550" s="109"/>
    </row>
    <row r="551" spans="1:33">
      <c r="A551" s="117"/>
      <c r="B551" s="118"/>
      <c r="C551" s="118"/>
      <c r="D551" s="118"/>
      <c r="E551" s="119"/>
      <c r="F551" s="118"/>
      <c r="G551" s="110"/>
      <c r="H551" s="126"/>
      <c r="I551" s="114">
        <v>0</v>
      </c>
      <c r="J551" s="115">
        <v>0</v>
      </c>
      <c r="K551" s="116">
        <v>0</v>
      </c>
      <c r="L551" s="116">
        <v>0</v>
      </c>
      <c r="M551" s="114">
        <v>0</v>
      </c>
      <c r="N551" s="113">
        <v>0</v>
      </c>
      <c r="O551" s="113">
        <v>0</v>
      </c>
      <c r="P551" s="116">
        <v>0</v>
      </c>
      <c r="Q551" s="116">
        <v>0</v>
      </c>
      <c r="R551" s="116">
        <v>0</v>
      </c>
      <c r="S551" s="114">
        <v>0</v>
      </c>
      <c r="T551" s="116">
        <v>0</v>
      </c>
      <c r="U551" s="116">
        <v>0</v>
      </c>
      <c r="V551" s="121">
        <f t="shared" si="38"/>
        <v>0</v>
      </c>
      <c r="W551" s="111"/>
      <c r="X551" s="111"/>
      <c r="Y551" s="111"/>
      <c r="Z551" s="111"/>
      <c r="AA551" s="111"/>
      <c r="AB551" s="111"/>
      <c r="AC551" s="111"/>
      <c r="AD551" s="111"/>
      <c r="AE551" s="139">
        <f t="shared" si="37"/>
        <v>0</v>
      </c>
      <c r="AF551" s="109"/>
      <c r="AG551" s="109"/>
    </row>
    <row r="552" spans="1:33">
      <c r="A552" s="117"/>
      <c r="B552" s="118"/>
      <c r="C552" s="118"/>
      <c r="D552" s="118"/>
      <c r="E552" s="119"/>
      <c r="F552" s="118"/>
      <c r="G552" s="110"/>
      <c r="H552" s="126"/>
      <c r="I552" s="114">
        <v>0</v>
      </c>
      <c r="J552" s="115">
        <v>0</v>
      </c>
      <c r="K552" s="116">
        <v>0</v>
      </c>
      <c r="L552" s="116">
        <v>0</v>
      </c>
      <c r="M552" s="114">
        <v>0</v>
      </c>
      <c r="N552" s="113">
        <v>0</v>
      </c>
      <c r="O552" s="113">
        <v>0</v>
      </c>
      <c r="P552" s="116">
        <v>0</v>
      </c>
      <c r="Q552" s="116">
        <v>0</v>
      </c>
      <c r="R552" s="116">
        <v>0</v>
      </c>
      <c r="S552" s="114">
        <v>0</v>
      </c>
      <c r="T552" s="116">
        <v>0</v>
      </c>
      <c r="U552" s="116">
        <v>0</v>
      </c>
      <c r="V552" s="121">
        <f t="shared" si="38"/>
        <v>0</v>
      </c>
      <c r="W552" s="111"/>
      <c r="X552" s="111"/>
      <c r="Y552" s="111"/>
      <c r="Z552" s="111"/>
      <c r="AA552" s="111"/>
      <c r="AB552" s="111"/>
      <c r="AC552" s="111"/>
      <c r="AD552" s="111"/>
      <c r="AE552" s="139">
        <f t="shared" si="37"/>
        <v>0</v>
      </c>
      <c r="AF552" s="109"/>
      <c r="AG552" s="109"/>
    </row>
    <row r="553" spans="1:33">
      <c r="A553" s="117"/>
      <c r="B553" s="118"/>
      <c r="C553" s="118"/>
      <c r="D553" s="118"/>
      <c r="E553" s="119"/>
      <c r="F553" s="118"/>
      <c r="G553" s="110"/>
      <c r="H553" s="126"/>
      <c r="I553" s="114">
        <v>0</v>
      </c>
      <c r="J553" s="115">
        <v>0</v>
      </c>
      <c r="K553" s="116">
        <v>0</v>
      </c>
      <c r="L553" s="116">
        <v>0</v>
      </c>
      <c r="M553" s="114">
        <v>0</v>
      </c>
      <c r="N553" s="113">
        <v>0</v>
      </c>
      <c r="O553" s="113">
        <v>0</v>
      </c>
      <c r="P553" s="116">
        <v>0</v>
      </c>
      <c r="Q553" s="116">
        <v>0</v>
      </c>
      <c r="R553" s="116">
        <v>0</v>
      </c>
      <c r="S553" s="114">
        <v>0</v>
      </c>
      <c r="T553" s="116">
        <v>0</v>
      </c>
      <c r="U553" s="116">
        <v>0</v>
      </c>
      <c r="V553" s="121">
        <f t="shared" si="38"/>
        <v>0</v>
      </c>
      <c r="W553" s="111"/>
      <c r="X553" s="111"/>
      <c r="Y553" s="111"/>
      <c r="Z553" s="111"/>
      <c r="AA553" s="111"/>
      <c r="AB553" s="111"/>
      <c r="AC553" s="111"/>
      <c r="AD553" s="111"/>
      <c r="AE553" s="139">
        <f t="shared" ref="AE553:AE616" si="39">V553-(X553+Y553)</f>
        <v>0</v>
      </c>
      <c r="AF553" s="109"/>
      <c r="AG553" s="109"/>
    </row>
    <row r="554" spans="1:33">
      <c r="A554" s="117"/>
      <c r="B554" s="118"/>
      <c r="C554" s="118"/>
      <c r="D554" s="118"/>
      <c r="E554" s="119"/>
      <c r="F554" s="118"/>
      <c r="G554" s="110"/>
      <c r="H554" s="126"/>
      <c r="I554" s="114">
        <v>0</v>
      </c>
      <c r="J554" s="115">
        <v>0</v>
      </c>
      <c r="K554" s="116">
        <v>0</v>
      </c>
      <c r="L554" s="116">
        <v>0</v>
      </c>
      <c r="M554" s="114">
        <v>0</v>
      </c>
      <c r="N554" s="113">
        <v>0</v>
      </c>
      <c r="O554" s="113">
        <v>0</v>
      </c>
      <c r="P554" s="116">
        <v>0</v>
      </c>
      <c r="Q554" s="116">
        <v>0</v>
      </c>
      <c r="R554" s="116">
        <v>0</v>
      </c>
      <c r="S554" s="114">
        <v>0</v>
      </c>
      <c r="T554" s="116">
        <v>0</v>
      </c>
      <c r="U554" s="116">
        <v>0</v>
      </c>
      <c r="V554" s="121">
        <f t="shared" si="38"/>
        <v>0</v>
      </c>
      <c r="W554" s="111"/>
      <c r="X554" s="111"/>
      <c r="Y554" s="111"/>
      <c r="Z554" s="111"/>
      <c r="AA554" s="111"/>
      <c r="AB554" s="111"/>
      <c r="AC554" s="111"/>
      <c r="AD554" s="111"/>
      <c r="AE554" s="139">
        <f t="shared" si="39"/>
        <v>0</v>
      </c>
      <c r="AF554" s="109"/>
      <c r="AG554" s="109"/>
    </row>
    <row r="555" spans="1:33">
      <c r="A555" s="117"/>
      <c r="B555" s="118"/>
      <c r="C555" s="118"/>
      <c r="D555" s="118"/>
      <c r="E555" s="119"/>
      <c r="F555" s="118"/>
      <c r="G555" s="110"/>
      <c r="H555" s="126"/>
      <c r="I555" s="114">
        <v>0</v>
      </c>
      <c r="J555" s="115">
        <v>0</v>
      </c>
      <c r="K555" s="116">
        <v>0</v>
      </c>
      <c r="L555" s="116">
        <v>0</v>
      </c>
      <c r="M555" s="114">
        <v>0</v>
      </c>
      <c r="N555" s="113">
        <v>0</v>
      </c>
      <c r="O555" s="113">
        <v>0</v>
      </c>
      <c r="P555" s="116">
        <v>0</v>
      </c>
      <c r="Q555" s="116">
        <v>0</v>
      </c>
      <c r="R555" s="116">
        <v>0</v>
      </c>
      <c r="S555" s="114">
        <v>0</v>
      </c>
      <c r="T555" s="116">
        <v>0</v>
      </c>
      <c r="U555" s="116">
        <v>0</v>
      </c>
      <c r="V555" s="121">
        <f t="shared" si="38"/>
        <v>0</v>
      </c>
      <c r="W555" s="111"/>
      <c r="X555" s="111"/>
      <c r="Y555" s="111"/>
      <c r="Z555" s="111"/>
      <c r="AA555" s="111"/>
      <c r="AB555" s="111"/>
      <c r="AC555" s="111"/>
      <c r="AD555" s="111"/>
      <c r="AE555" s="139">
        <f t="shared" si="39"/>
        <v>0</v>
      </c>
      <c r="AF555" s="109"/>
      <c r="AG555" s="109"/>
    </row>
    <row r="556" spans="1:33">
      <c r="A556" s="117"/>
      <c r="B556" s="118"/>
      <c r="C556" s="118"/>
      <c r="D556" s="118"/>
      <c r="E556" s="119"/>
      <c r="F556" s="118"/>
      <c r="G556" s="110"/>
      <c r="H556" s="126"/>
      <c r="I556" s="114">
        <v>0</v>
      </c>
      <c r="J556" s="115">
        <v>0</v>
      </c>
      <c r="K556" s="116">
        <v>0</v>
      </c>
      <c r="L556" s="116">
        <v>0</v>
      </c>
      <c r="M556" s="114">
        <v>0</v>
      </c>
      <c r="N556" s="113">
        <v>0</v>
      </c>
      <c r="O556" s="113">
        <v>0</v>
      </c>
      <c r="P556" s="116">
        <v>0</v>
      </c>
      <c r="Q556" s="116">
        <v>0</v>
      </c>
      <c r="R556" s="116">
        <v>0</v>
      </c>
      <c r="S556" s="114">
        <v>0</v>
      </c>
      <c r="T556" s="116">
        <v>0</v>
      </c>
      <c r="U556" s="116">
        <v>0</v>
      </c>
      <c r="V556" s="121">
        <f t="shared" si="38"/>
        <v>0</v>
      </c>
      <c r="W556" s="111"/>
      <c r="X556" s="111"/>
      <c r="Y556" s="111"/>
      <c r="Z556" s="111"/>
      <c r="AA556" s="111"/>
      <c r="AB556" s="111"/>
      <c r="AC556" s="111"/>
      <c r="AD556" s="111"/>
      <c r="AE556" s="139">
        <f t="shared" si="39"/>
        <v>0</v>
      </c>
      <c r="AF556" s="109"/>
      <c r="AG556" s="109"/>
    </row>
    <row r="557" spans="1:33">
      <c r="A557" s="117"/>
      <c r="B557" s="118"/>
      <c r="C557" s="118"/>
      <c r="D557" s="118"/>
      <c r="E557" s="119"/>
      <c r="F557" s="118"/>
      <c r="G557" s="110"/>
      <c r="H557" s="126"/>
      <c r="I557" s="114">
        <v>0</v>
      </c>
      <c r="J557" s="115">
        <v>0</v>
      </c>
      <c r="K557" s="116">
        <v>0</v>
      </c>
      <c r="L557" s="116">
        <v>0</v>
      </c>
      <c r="M557" s="114">
        <v>0</v>
      </c>
      <c r="N557" s="113">
        <v>0</v>
      </c>
      <c r="O557" s="113">
        <v>0</v>
      </c>
      <c r="P557" s="116">
        <v>0</v>
      </c>
      <c r="Q557" s="116">
        <v>0</v>
      </c>
      <c r="R557" s="116">
        <v>0</v>
      </c>
      <c r="S557" s="114">
        <v>0</v>
      </c>
      <c r="T557" s="116">
        <v>0</v>
      </c>
      <c r="U557" s="116">
        <v>0</v>
      </c>
      <c r="V557" s="121">
        <f t="shared" si="38"/>
        <v>0</v>
      </c>
      <c r="W557" s="111"/>
      <c r="X557" s="111"/>
      <c r="Y557" s="111"/>
      <c r="Z557" s="111"/>
      <c r="AA557" s="111"/>
      <c r="AB557" s="111"/>
      <c r="AC557" s="111"/>
      <c r="AD557" s="111"/>
      <c r="AE557" s="139">
        <f t="shared" si="39"/>
        <v>0</v>
      </c>
      <c r="AF557" s="109"/>
      <c r="AG557" s="109"/>
    </row>
    <row r="558" spans="1:33">
      <c r="A558" s="117"/>
      <c r="B558" s="118"/>
      <c r="C558" s="118"/>
      <c r="D558" s="118"/>
      <c r="E558" s="119"/>
      <c r="F558" s="118"/>
      <c r="G558" s="110"/>
      <c r="H558" s="126"/>
      <c r="I558" s="114">
        <v>0</v>
      </c>
      <c r="J558" s="115">
        <v>0</v>
      </c>
      <c r="K558" s="116">
        <v>0</v>
      </c>
      <c r="L558" s="116">
        <v>0</v>
      </c>
      <c r="M558" s="114">
        <v>0</v>
      </c>
      <c r="N558" s="113">
        <v>0</v>
      </c>
      <c r="O558" s="113">
        <v>0</v>
      </c>
      <c r="P558" s="116">
        <v>0</v>
      </c>
      <c r="Q558" s="116">
        <v>0</v>
      </c>
      <c r="R558" s="116">
        <v>0</v>
      </c>
      <c r="S558" s="114">
        <v>0</v>
      </c>
      <c r="T558" s="116">
        <v>0</v>
      </c>
      <c r="U558" s="116">
        <v>0</v>
      </c>
      <c r="V558" s="121">
        <f t="shared" si="38"/>
        <v>0</v>
      </c>
      <c r="W558" s="111"/>
      <c r="X558" s="111"/>
      <c r="Y558" s="111"/>
      <c r="Z558" s="111"/>
      <c r="AA558" s="111"/>
      <c r="AB558" s="111"/>
      <c r="AC558" s="111"/>
      <c r="AD558" s="111"/>
      <c r="AE558" s="139">
        <f t="shared" si="39"/>
        <v>0</v>
      </c>
      <c r="AF558" s="109"/>
      <c r="AG558" s="109"/>
    </row>
    <row r="559" spans="1:33">
      <c r="A559" s="117"/>
      <c r="B559" s="118"/>
      <c r="C559" s="118"/>
      <c r="D559" s="118"/>
      <c r="E559" s="119"/>
      <c r="F559" s="118"/>
      <c r="G559" s="110"/>
      <c r="H559" s="126"/>
      <c r="I559" s="114">
        <v>0</v>
      </c>
      <c r="J559" s="115">
        <v>0</v>
      </c>
      <c r="K559" s="116">
        <v>0</v>
      </c>
      <c r="L559" s="116">
        <v>0</v>
      </c>
      <c r="M559" s="114">
        <v>0</v>
      </c>
      <c r="N559" s="113">
        <v>0</v>
      </c>
      <c r="O559" s="113">
        <v>0</v>
      </c>
      <c r="P559" s="116">
        <v>0</v>
      </c>
      <c r="Q559" s="116">
        <v>0</v>
      </c>
      <c r="R559" s="116">
        <v>0</v>
      </c>
      <c r="S559" s="114">
        <v>0</v>
      </c>
      <c r="T559" s="116">
        <v>0</v>
      </c>
      <c r="U559" s="116">
        <v>0</v>
      </c>
      <c r="V559" s="121">
        <f t="shared" si="38"/>
        <v>0</v>
      </c>
      <c r="W559" s="111"/>
      <c r="X559" s="111"/>
      <c r="Y559" s="111"/>
      <c r="Z559" s="111"/>
      <c r="AA559" s="111"/>
      <c r="AB559" s="111"/>
      <c r="AC559" s="111"/>
      <c r="AD559" s="111"/>
      <c r="AE559" s="139">
        <f t="shared" si="39"/>
        <v>0</v>
      </c>
      <c r="AF559" s="109"/>
      <c r="AG559" s="109"/>
    </row>
    <row r="560" spans="1:33">
      <c r="A560" s="117"/>
      <c r="B560" s="118"/>
      <c r="C560" s="118"/>
      <c r="D560" s="118"/>
      <c r="E560" s="119"/>
      <c r="F560" s="118"/>
      <c r="G560" s="110"/>
      <c r="H560" s="126"/>
      <c r="I560" s="114">
        <v>0</v>
      </c>
      <c r="J560" s="115">
        <v>0</v>
      </c>
      <c r="K560" s="116">
        <v>0</v>
      </c>
      <c r="L560" s="116">
        <v>0</v>
      </c>
      <c r="M560" s="114">
        <v>0</v>
      </c>
      <c r="N560" s="113">
        <v>0</v>
      </c>
      <c r="O560" s="113">
        <v>0</v>
      </c>
      <c r="P560" s="116">
        <v>0</v>
      </c>
      <c r="Q560" s="116">
        <v>0</v>
      </c>
      <c r="R560" s="116">
        <v>0</v>
      </c>
      <c r="S560" s="114">
        <v>0</v>
      </c>
      <c r="T560" s="116">
        <v>0</v>
      </c>
      <c r="U560" s="116">
        <v>0</v>
      </c>
      <c r="V560" s="121">
        <f t="shared" si="38"/>
        <v>0</v>
      </c>
      <c r="W560" s="111"/>
      <c r="X560" s="111"/>
      <c r="Y560" s="111"/>
      <c r="Z560" s="111"/>
      <c r="AA560" s="111"/>
      <c r="AB560" s="111"/>
      <c r="AC560" s="111"/>
      <c r="AD560" s="111"/>
      <c r="AE560" s="139">
        <f t="shared" si="39"/>
        <v>0</v>
      </c>
      <c r="AF560" s="109"/>
      <c r="AG560" s="109"/>
    </row>
    <row r="561" spans="1:33">
      <c r="A561" s="117"/>
      <c r="B561" s="118"/>
      <c r="C561" s="118"/>
      <c r="D561" s="118"/>
      <c r="E561" s="119"/>
      <c r="F561" s="118"/>
      <c r="G561" s="110"/>
      <c r="H561" s="126"/>
      <c r="I561" s="114">
        <v>0</v>
      </c>
      <c r="J561" s="115">
        <v>0</v>
      </c>
      <c r="K561" s="116">
        <v>0</v>
      </c>
      <c r="L561" s="116">
        <v>0</v>
      </c>
      <c r="M561" s="114">
        <v>0</v>
      </c>
      <c r="N561" s="113">
        <v>0</v>
      </c>
      <c r="O561" s="113">
        <v>0</v>
      </c>
      <c r="P561" s="116">
        <v>0</v>
      </c>
      <c r="Q561" s="116">
        <v>0</v>
      </c>
      <c r="R561" s="116">
        <v>0</v>
      </c>
      <c r="S561" s="114">
        <v>0</v>
      </c>
      <c r="T561" s="116">
        <v>0</v>
      </c>
      <c r="U561" s="116">
        <v>0</v>
      </c>
      <c r="V561" s="121">
        <f t="shared" ref="V561:V624" si="40">+G561-(SUM(I561:N561,P561:S561,U561))</f>
        <v>0</v>
      </c>
      <c r="W561" s="111"/>
      <c r="X561" s="111"/>
      <c r="Y561" s="111"/>
      <c r="Z561" s="111"/>
      <c r="AA561" s="111"/>
      <c r="AB561" s="111"/>
      <c r="AC561" s="111"/>
      <c r="AD561" s="111"/>
      <c r="AE561" s="139">
        <f t="shared" si="39"/>
        <v>0</v>
      </c>
      <c r="AF561" s="109"/>
      <c r="AG561" s="109"/>
    </row>
    <row r="562" spans="1:33">
      <c r="A562" s="117"/>
      <c r="B562" s="118"/>
      <c r="C562" s="118"/>
      <c r="D562" s="118"/>
      <c r="E562" s="119"/>
      <c r="F562" s="118"/>
      <c r="G562" s="110"/>
      <c r="H562" s="126"/>
      <c r="I562" s="114">
        <v>0</v>
      </c>
      <c r="J562" s="115">
        <v>0</v>
      </c>
      <c r="K562" s="116">
        <v>0</v>
      </c>
      <c r="L562" s="116">
        <v>0</v>
      </c>
      <c r="M562" s="114">
        <v>0</v>
      </c>
      <c r="N562" s="113">
        <v>0</v>
      </c>
      <c r="O562" s="113">
        <v>0</v>
      </c>
      <c r="P562" s="116">
        <v>0</v>
      </c>
      <c r="Q562" s="116">
        <v>0</v>
      </c>
      <c r="R562" s="116">
        <v>0</v>
      </c>
      <c r="S562" s="114">
        <v>0</v>
      </c>
      <c r="T562" s="116">
        <v>0</v>
      </c>
      <c r="U562" s="116">
        <v>0</v>
      </c>
      <c r="V562" s="121">
        <f t="shared" si="40"/>
        <v>0</v>
      </c>
      <c r="W562" s="111"/>
      <c r="X562" s="111"/>
      <c r="Y562" s="111"/>
      <c r="Z562" s="111"/>
      <c r="AA562" s="111"/>
      <c r="AB562" s="111"/>
      <c r="AC562" s="111"/>
      <c r="AD562" s="111"/>
      <c r="AE562" s="139">
        <f t="shared" si="39"/>
        <v>0</v>
      </c>
      <c r="AF562" s="109"/>
      <c r="AG562" s="109"/>
    </row>
    <row r="563" spans="1:33">
      <c r="A563" s="117"/>
      <c r="B563" s="118"/>
      <c r="C563" s="118"/>
      <c r="D563" s="118"/>
      <c r="E563" s="119"/>
      <c r="F563" s="118"/>
      <c r="G563" s="110"/>
      <c r="H563" s="126"/>
      <c r="I563" s="114">
        <v>0</v>
      </c>
      <c r="J563" s="115">
        <v>0</v>
      </c>
      <c r="K563" s="116">
        <v>0</v>
      </c>
      <c r="L563" s="116">
        <v>0</v>
      </c>
      <c r="M563" s="114">
        <v>0</v>
      </c>
      <c r="N563" s="113">
        <v>0</v>
      </c>
      <c r="O563" s="113">
        <v>0</v>
      </c>
      <c r="P563" s="116">
        <v>0</v>
      </c>
      <c r="Q563" s="116">
        <v>0</v>
      </c>
      <c r="R563" s="116">
        <v>0</v>
      </c>
      <c r="S563" s="114">
        <v>0</v>
      </c>
      <c r="T563" s="116">
        <v>0</v>
      </c>
      <c r="U563" s="116">
        <v>0</v>
      </c>
      <c r="V563" s="121">
        <f t="shared" si="40"/>
        <v>0</v>
      </c>
      <c r="W563" s="111"/>
      <c r="X563" s="111"/>
      <c r="Y563" s="111"/>
      <c r="Z563" s="111"/>
      <c r="AA563" s="111"/>
      <c r="AB563" s="111"/>
      <c r="AC563" s="111"/>
      <c r="AD563" s="111"/>
      <c r="AE563" s="139">
        <f t="shared" si="39"/>
        <v>0</v>
      </c>
      <c r="AF563" s="109"/>
      <c r="AG563" s="109"/>
    </row>
    <row r="564" spans="1:33">
      <c r="A564" s="117"/>
      <c r="B564" s="118"/>
      <c r="C564" s="118"/>
      <c r="D564" s="118"/>
      <c r="E564" s="119"/>
      <c r="F564" s="118"/>
      <c r="G564" s="110"/>
      <c r="H564" s="126"/>
      <c r="I564" s="114">
        <v>0</v>
      </c>
      <c r="J564" s="115">
        <v>0</v>
      </c>
      <c r="K564" s="116">
        <v>0</v>
      </c>
      <c r="L564" s="116">
        <v>0</v>
      </c>
      <c r="M564" s="114">
        <v>0</v>
      </c>
      <c r="N564" s="113">
        <v>0</v>
      </c>
      <c r="O564" s="113">
        <v>0</v>
      </c>
      <c r="P564" s="116">
        <v>0</v>
      </c>
      <c r="Q564" s="116">
        <v>0</v>
      </c>
      <c r="R564" s="116">
        <v>0</v>
      </c>
      <c r="S564" s="114">
        <v>0</v>
      </c>
      <c r="T564" s="116">
        <v>0</v>
      </c>
      <c r="U564" s="116">
        <v>0</v>
      </c>
      <c r="V564" s="121">
        <f t="shared" si="40"/>
        <v>0</v>
      </c>
      <c r="W564" s="111"/>
      <c r="X564" s="111"/>
      <c r="Y564" s="111"/>
      <c r="Z564" s="111"/>
      <c r="AA564" s="111"/>
      <c r="AB564" s="111"/>
      <c r="AC564" s="111"/>
      <c r="AD564" s="111"/>
      <c r="AE564" s="139">
        <f t="shared" si="39"/>
        <v>0</v>
      </c>
      <c r="AF564" s="109"/>
      <c r="AG564" s="109"/>
    </row>
    <row r="565" spans="1:33">
      <c r="A565" s="117"/>
      <c r="B565" s="118"/>
      <c r="C565" s="118"/>
      <c r="D565" s="118"/>
      <c r="E565" s="119"/>
      <c r="F565" s="118"/>
      <c r="G565" s="110"/>
      <c r="H565" s="126"/>
      <c r="I565" s="114">
        <v>0</v>
      </c>
      <c r="J565" s="115">
        <v>0</v>
      </c>
      <c r="K565" s="116">
        <v>0</v>
      </c>
      <c r="L565" s="116">
        <v>0</v>
      </c>
      <c r="M565" s="114">
        <v>0</v>
      </c>
      <c r="N565" s="113">
        <v>0</v>
      </c>
      <c r="O565" s="113">
        <v>0</v>
      </c>
      <c r="P565" s="116">
        <v>0</v>
      </c>
      <c r="Q565" s="116">
        <v>0</v>
      </c>
      <c r="R565" s="116">
        <v>0</v>
      </c>
      <c r="S565" s="114">
        <v>0</v>
      </c>
      <c r="T565" s="116">
        <v>0</v>
      </c>
      <c r="U565" s="116">
        <v>0</v>
      </c>
      <c r="V565" s="121">
        <f t="shared" si="40"/>
        <v>0</v>
      </c>
      <c r="W565" s="111"/>
      <c r="X565" s="111"/>
      <c r="Y565" s="111"/>
      <c r="Z565" s="111"/>
      <c r="AA565" s="111"/>
      <c r="AB565" s="111"/>
      <c r="AC565" s="111"/>
      <c r="AD565" s="111"/>
      <c r="AE565" s="139">
        <f t="shared" si="39"/>
        <v>0</v>
      </c>
      <c r="AF565" s="109"/>
      <c r="AG565" s="109"/>
    </row>
    <row r="566" spans="1:33">
      <c r="A566" s="117"/>
      <c r="B566" s="118"/>
      <c r="C566" s="118"/>
      <c r="D566" s="118"/>
      <c r="E566" s="119"/>
      <c r="F566" s="118"/>
      <c r="G566" s="110"/>
      <c r="H566" s="126"/>
      <c r="I566" s="114">
        <v>0</v>
      </c>
      <c r="J566" s="115">
        <v>0</v>
      </c>
      <c r="K566" s="116">
        <v>0</v>
      </c>
      <c r="L566" s="116">
        <v>0</v>
      </c>
      <c r="M566" s="114">
        <v>0</v>
      </c>
      <c r="N566" s="113">
        <v>0</v>
      </c>
      <c r="O566" s="113">
        <v>0</v>
      </c>
      <c r="P566" s="116">
        <v>0</v>
      </c>
      <c r="Q566" s="116">
        <v>0</v>
      </c>
      <c r="R566" s="116">
        <v>0</v>
      </c>
      <c r="S566" s="114">
        <v>0</v>
      </c>
      <c r="T566" s="116">
        <v>0</v>
      </c>
      <c r="U566" s="116">
        <v>0</v>
      </c>
      <c r="V566" s="121">
        <f t="shared" si="40"/>
        <v>0</v>
      </c>
      <c r="W566" s="111"/>
      <c r="X566" s="111"/>
      <c r="Y566" s="111"/>
      <c r="Z566" s="111"/>
      <c r="AA566" s="111"/>
      <c r="AB566" s="111"/>
      <c r="AC566" s="111"/>
      <c r="AD566" s="111"/>
      <c r="AE566" s="139">
        <f t="shared" si="39"/>
        <v>0</v>
      </c>
      <c r="AF566" s="109"/>
      <c r="AG566" s="109"/>
    </row>
    <row r="567" spans="1:33">
      <c r="A567" s="117"/>
      <c r="B567" s="118"/>
      <c r="C567" s="118"/>
      <c r="D567" s="118"/>
      <c r="E567" s="119"/>
      <c r="F567" s="118"/>
      <c r="G567" s="110"/>
      <c r="H567" s="126"/>
      <c r="I567" s="114">
        <v>0</v>
      </c>
      <c r="J567" s="115">
        <v>0</v>
      </c>
      <c r="K567" s="116">
        <v>0</v>
      </c>
      <c r="L567" s="116">
        <v>0</v>
      </c>
      <c r="M567" s="114">
        <v>0</v>
      </c>
      <c r="N567" s="113">
        <v>0</v>
      </c>
      <c r="O567" s="113">
        <v>0</v>
      </c>
      <c r="P567" s="116">
        <v>0</v>
      </c>
      <c r="Q567" s="116">
        <v>0</v>
      </c>
      <c r="R567" s="116">
        <v>0</v>
      </c>
      <c r="S567" s="114">
        <v>0</v>
      </c>
      <c r="T567" s="116">
        <v>0</v>
      </c>
      <c r="U567" s="116">
        <v>0</v>
      </c>
      <c r="V567" s="121">
        <f t="shared" si="40"/>
        <v>0</v>
      </c>
      <c r="W567" s="111"/>
      <c r="X567" s="111"/>
      <c r="Y567" s="111"/>
      <c r="Z567" s="111"/>
      <c r="AA567" s="111"/>
      <c r="AB567" s="111"/>
      <c r="AC567" s="111"/>
      <c r="AD567" s="111"/>
      <c r="AE567" s="139">
        <f t="shared" si="39"/>
        <v>0</v>
      </c>
      <c r="AF567" s="109"/>
      <c r="AG567" s="109"/>
    </row>
    <row r="568" spans="1:33">
      <c r="A568" s="117"/>
      <c r="B568" s="118"/>
      <c r="C568" s="118"/>
      <c r="D568" s="118"/>
      <c r="E568" s="119"/>
      <c r="F568" s="118"/>
      <c r="G568" s="110"/>
      <c r="H568" s="126"/>
      <c r="I568" s="114">
        <v>0</v>
      </c>
      <c r="J568" s="115">
        <v>0</v>
      </c>
      <c r="K568" s="116">
        <v>0</v>
      </c>
      <c r="L568" s="116">
        <v>0</v>
      </c>
      <c r="M568" s="114">
        <v>0</v>
      </c>
      <c r="N568" s="113">
        <v>0</v>
      </c>
      <c r="O568" s="113">
        <v>0</v>
      </c>
      <c r="P568" s="116">
        <v>0</v>
      </c>
      <c r="Q568" s="116">
        <v>0</v>
      </c>
      <c r="R568" s="116">
        <v>0</v>
      </c>
      <c r="S568" s="114">
        <v>0</v>
      </c>
      <c r="T568" s="116">
        <v>0</v>
      </c>
      <c r="U568" s="116">
        <v>0</v>
      </c>
      <c r="V568" s="121">
        <f t="shared" si="40"/>
        <v>0</v>
      </c>
      <c r="W568" s="111"/>
      <c r="X568" s="111"/>
      <c r="Y568" s="111"/>
      <c r="Z568" s="111"/>
      <c r="AA568" s="111"/>
      <c r="AB568" s="111"/>
      <c r="AC568" s="111"/>
      <c r="AD568" s="111"/>
      <c r="AE568" s="139">
        <f t="shared" si="39"/>
        <v>0</v>
      </c>
      <c r="AF568" s="109"/>
      <c r="AG568" s="109"/>
    </row>
    <row r="569" spans="1:33">
      <c r="A569" s="117"/>
      <c r="B569" s="118"/>
      <c r="C569" s="118"/>
      <c r="D569" s="118"/>
      <c r="E569" s="119"/>
      <c r="F569" s="118"/>
      <c r="G569" s="110"/>
      <c r="H569" s="126"/>
      <c r="I569" s="114">
        <v>0</v>
      </c>
      <c r="J569" s="115">
        <v>0</v>
      </c>
      <c r="K569" s="116">
        <v>0</v>
      </c>
      <c r="L569" s="116">
        <v>0</v>
      </c>
      <c r="M569" s="114">
        <v>0</v>
      </c>
      <c r="N569" s="113">
        <v>0</v>
      </c>
      <c r="O569" s="113">
        <v>0</v>
      </c>
      <c r="P569" s="116">
        <v>0</v>
      </c>
      <c r="Q569" s="116">
        <v>0</v>
      </c>
      <c r="R569" s="116">
        <v>0</v>
      </c>
      <c r="S569" s="114">
        <v>0</v>
      </c>
      <c r="T569" s="116">
        <v>0</v>
      </c>
      <c r="U569" s="116">
        <v>0</v>
      </c>
      <c r="V569" s="121">
        <f t="shared" si="40"/>
        <v>0</v>
      </c>
      <c r="W569" s="111"/>
      <c r="X569" s="111"/>
      <c r="Y569" s="111"/>
      <c r="Z569" s="111"/>
      <c r="AA569" s="111"/>
      <c r="AB569" s="111"/>
      <c r="AC569" s="111"/>
      <c r="AD569" s="111"/>
      <c r="AE569" s="139">
        <f t="shared" si="39"/>
        <v>0</v>
      </c>
      <c r="AF569" s="109"/>
      <c r="AG569" s="109"/>
    </row>
    <row r="570" spans="1:33">
      <c r="A570" s="117"/>
      <c r="B570" s="118"/>
      <c r="C570" s="118"/>
      <c r="D570" s="118"/>
      <c r="E570" s="119"/>
      <c r="F570" s="118"/>
      <c r="G570" s="110"/>
      <c r="H570" s="126"/>
      <c r="I570" s="114">
        <v>0</v>
      </c>
      <c r="J570" s="115">
        <v>0</v>
      </c>
      <c r="K570" s="116">
        <v>0</v>
      </c>
      <c r="L570" s="116">
        <v>0</v>
      </c>
      <c r="M570" s="114">
        <v>0</v>
      </c>
      <c r="N570" s="113">
        <v>0</v>
      </c>
      <c r="O570" s="113">
        <v>0</v>
      </c>
      <c r="P570" s="116">
        <v>0</v>
      </c>
      <c r="Q570" s="116">
        <v>0</v>
      </c>
      <c r="R570" s="116">
        <v>0</v>
      </c>
      <c r="S570" s="114">
        <v>0</v>
      </c>
      <c r="T570" s="116">
        <v>0</v>
      </c>
      <c r="U570" s="116">
        <v>0</v>
      </c>
      <c r="V570" s="121">
        <f t="shared" si="40"/>
        <v>0</v>
      </c>
      <c r="W570" s="111"/>
      <c r="X570" s="111"/>
      <c r="Y570" s="111"/>
      <c r="Z570" s="111"/>
      <c r="AA570" s="111"/>
      <c r="AB570" s="111"/>
      <c r="AC570" s="111"/>
      <c r="AD570" s="111"/>
      <c r="AE570" s="139">
        <f t="shared" si="39"/>
        <v>0</v>
      </c>
      <c r="AF570" s="109"/>
      <c r="AG570" s="109"/>
    </row>
    <row r="571" spans="1:33">
      <c r="A571" s="117"/>
      <c r="B571" s="118"/>
      <c r="C571" s="118"/>
      <c r="D571" s="118"/>
      <c r="E571" s="119"/>
      <c r="F571" s="118"/>
      <c r="G571" s="110"/>
      <c r="H571" s="126"/>
      <c r="I571" s="114">
        <v>0</v>
      </c>
      <c r="J571" s="115">
        <v>0</v>
      </c>
      <c r="K571" s="116">
        <v>0</v>
      </c>
      <c r="L571" s="116">
        <v>0</v>
      </c>
      <c r="M571" s="114">
        <v>0</v>
      </c>
      <c r="N571" s="113">
        <v>0</v>
      </c>
      <c r="O571" s="113">
        <v>0</v>
      </c>
      <c r="P571" s="116">
        <v>0</v>
      </c>
      <c r="Q571" s="116">
        <v>0</v>
      </c>
      <c r="R571" s="116">
        <v>0</v>
      </c>
      <c r="S571" s="114">
        <v>0</v>
      </c>
      <c r="T571" s="116">
        <v>0</v>
      </c>
      <c r="U571" s="116">
        <v>0</v>
      </c>
      <c r="V571" s="121">
        <f t="shared" si="40"/>
        <v>0</v>
      </c>
      <c r="W571" s="111"/>
      <c r="X571" s="111"/>
      <c r="Y571" s="111"/>
      <c r="Z571" s="111"/>
      <c r="AA571" s="111"/>
      <c r="AB571" s="111"/>
      <c r="AC571" s="111"/>
      <c r="AD571" s="111"/>
      <c r="AE571" s="139">
        <f t="shared" si="39"/>
        <v>0</v>
      </c>
      <c r="AF571" s="109"/>
      <c r="AG571" s="109"/>
    </row>
    <row r="572" spans="1:33">
      <c r="A572" s="117"/>
      <c r="B572" s="118"/>
      <c r="C572" s="118"/>
      <c r="D572" s="118"/>
      <c r="E572" s="119"/>
      <c r="F572" s="118"/>
      <c r="G572" s="110"/>
      <c r="H572" s="126"/>
      <c r="I572" s="114">
        <v>0</v>
      </c>
      <c r="J572" s="115">
        <v>0</v>
      </c>
      <c r="K572" s="116">
        <v>0</v>
      </c>
      <c r="L572" s="116">
        <v>0</v>
      </c>
      <c r="M572" s="114">
        <v>0</v>
      </c>
      <c r="N572" s="113">
        <v>0</v>
      </c>
      <c r="O572" s="113">
        <v>0</v>
      </c>
      <c r="P572" s="116">
        <v>0</v>
      </c>
      <c r="Q572" s="116">
        <v>0</v>
      </c>
      <c r="R572" s="116">
        <v>0</v>
      </c>
      <c r="S572" s="114">
        <v>0</v>
      </c>
      <c r="T572" s="116">
        <v>0</v>
      </c>
      <c r="U572" s="116">
        <v>0</v>
      </c>
      <c r="V572" s="121">
        <f t="shared" si="40"/>
        <v>0</v>
      </c>
      <c r="W572" s="111"/>
      <c r="X572" s="111"/>
      <c r="Y572" s="111"/>
      <c r="Z572" s="111"/>
      <c r="AA572" s="111"/>
      <c r="AB572" s="111"/>
      <c r="AC572" s="111"/>
      <c r="AD572" s="111"/>
      <c r="AE572" s="139">
        <f t="shared" si="39"/>
        <v>0</v>
      </c>
      <c r="AF572" s="109"/>
      <c r="AG572" s="109"/>
    </row>
    <row r="573" spans="1:33">
      <c r="A573" s="117"/>
      <c r="B573" s="118"/>
      <c r="C573" s="118"/>
      <c r="D573" s="118"/>
      <c r="E573" s="119"/>
      <c r="F573" s="118"/>
      <c r="G573" s="110"/>
      <c r="H573" s="126"/>
      <c r="I573" s="114">
        <v>0</v>
      </c>
      <c r="J573" s="115">
        <v>0</v>
      </c>
      <c r="K573" s="116">
        <v>0</v>
      </c>
      <c r="L573" s="116">
        <v>0</v>
      </c>
      <c r="M573" s="114">
        <v>0</v>
      </c>
      <c r="N573" s="113">
        <v>0</v>
      </c>
      <c r="O573" s="113">
        <v>0</v>
      </c>
      <c r="P573" s="116">
        <v>0</v>
      </c>
      <c r="Q573" s="116">
        <v>0</v>
      </c>
      <c r="R573" s="116">
        <v>0</v>
      </c>
      <c r="S573" s="114">
        <v>0</v>
      </c>
      <c r="T573" s="116">
        <v>0</v>
      </c>
      <c r="U573" s="116">
        <v>0</v>
      </c>
      <c r="V573" s="121">
        <f t="shared" si="40"/>
        <v>0</v>
      </c>
      <c r="W573" s="111"/>
      <c r="X573" s="111"/>
      <c r="Y573" s="111"/>
      <c r="Z573" s="111"/>
      <c r="AA573" s="111"/>
      <c r="AB573" s="111"/>
      <c r="AC573" s="111"/>
      <c r="AD573" s="111"/>
      <c r="AE573" s="139">
        <f t="shared" si="39"/>
        <v>0</v>
      </c>
      <c r="AF573" s="109"/>
      <c r="AG573" s="109"/>
    </row>
    <row r="574" spans="1:33">
      <c r="A574" s="117"/>
      <c r="B574" s="118"/>
      <c r="C574" s="118"/>
      <c r="D574" s="118"/>
      <c r="E574" s="119"/>
      <c r="F574" s="118"/>
      <c r="G574" s="110"/>
      <c r="H574" s="126"/>
      <c r="I574" s="114">
        <v>0</v>
      </c>
      <c r="J574" s="115">
        <v>0</v>
      </c>
      <c r="K574" s="116">
        <v>0</v>
      </c>
      <c r="L574" s="116">
        <v>0</v>
      </c>
      <c r="M574" s="114">
        <v>0</v>
      </c>
      <c r="N574" s="113">
        <v>0</v>
      </c>
      <c r="O574" s="113">
        <v>0</v>
      </c>
      <c r="P574" s="116">
        <v>0</v>
      </c>
      <c r="Q574" s="116">
        <v>0</v>
      </c>
      <c r="R574" s="116">
        <v>0</v>
      </c>
      <c r="S574" s="114">
        <v>0</v>
      </c>
      <c r="T574" s="116">
        <v>0</v>
      </c>
      <c r="U574" s="116">
        <v>0</v>
      </c>
      <c r="V574" s="121">
        <f t="shared" si="40"/>
        <v>0</v>
      </c>
      <c r="W574" s="111"/>
      <c r="X574" s="111"/>
      <c r="Y574" s="111"/>
      <c r="Z574" s="111"/>
      <c r="AA574" s="111"/>
      <c r="AB574" s="111"/>
      <c r="AC574" s="111"/>
      <c r="AD574" s="111"/>
      <c r="AE574" s="139">
        <f t="shared" si="39"/>
        <v>0</v>
      </c>
      <c r="AF574" s="109"/>
      <c r="AG574" s="109"/>
    </row>
    <row r="575" spans="1:33">
      <c r="A575" s="117"/>
      <c r="B575" s="118"/>
      <c r="C575" s="118"/>
      <c r="D575" s="118"/>
      <c r="E575" s="119"/>
      <c r="F575" s="118"/>
      <c r="G575" s="110"/>
      <c r="H575" s="126"/>
      <c r="I575" s="114">
        <v>0</v>
      </c>
      <c r="J575" s="115">
        <v>0</v>
      </c>
      <c r="K575" s="116">
        <v>0</v>
      </c>
      <c r="L575" s="116">
        <v>0</v>
      </c>
      <c r="M575" s="114">
        <v>0</v>
      </c>
      <c r="N575" s="113">
        <v>0</v>
      </c>
      <c r="O575" s="113">
        <v>0</v>
      </c>
      <c r="P575" s="116">
        <v>0</v>
      </c>
      <c r="Q575" s="116">
        <v>0</v>
      </c>
      <c r="R575" s="116">
        <v>0</v>
      </c>
      <c r="S575" s="114">
        <v>0</v>
      </c>
      <c r="T575" s="116">
        <v>0</v>
      </c>
      <c r="U575" s="116">
        <v>0</v>
      </c>
      <c r="V575" s="121">
        <f t="shared" si="40"/>
        <v>0</v>
      </c>
      <c r="W575" s="111"/>
      <c r="X575" s="111"/>
      <c r="Y575" s="111"/>
      <c r="Z575" s="111"/>
      <c r="AA575" s="111"/>
      <c r="AB575" s="111"/>
      <c r="AC575" s="111"/>
      <c r="AD575" s="111"/>
      <c r="AE575" s="139">
        <f t="shared" si="39"/>
        <v>0</v>
      </c>
      <c r="AF575" s="109"/>
      <c r="AG575" s="109"/>
    </row>
    <row r="576" spans="1:33">
      <c r="A576" s="117"/>
      <c r="B576" s="118"/>
      <c r="C576" s="118"/>
      <c r="D576" s="118"/>
      <c r="E576" s="119"/>
      <c r="F576" s="118"/>
      <c r="G576" s="110"/>
      <c r="H576" s="126"/>
      <c r="I576" s="114">
        <v>0</v>
      </c>
      <c r="J576" s="115">
        <v>0</v>
      </c>
      <c r="K576" s="116">
        <v>0</v>
      </c>
      <c r="L576" s="116">
        <v>0</v>
      </c>
      <c r="M576" s="114">
        <v>0</v>
      </c>
      <c r="N576" s="113">
        <v>0</v>
      </c>
      <c r="O576" s="113">
        <v>0</v>
      </c>
      <c r="P576" s="116">
        <v>0</v>
      </c>
      <c r="Q576" s="116">
        <v>0</v>
      </c>
      <c r="R576" s="116">
        <v>0</v>
      </c>
      <c r="S576" s="114">
        <v>0</v>
      </c>
      <c r="T576" s="116">
        <v>0</v>
      </c>
      <c r="U576" s="116">
        <v>0</v>
      </c>
      <c r="V576" s="121">
        <f t="shared" si="40"/>
        <v>0</v>
      </c>
      <c r="W576" s="111"/>
      <c r="X576" s="111"/>
      <c r="Y576" s="111"/>
      <c r="Z576" s="111"/>
      <c r="AA576" s="111"/>
      <c r="AB576" s="111"/>
      <c r="AC576" s="111"/>
      <c r="AD576" s="111"/>
      <c r="AE576" s="139">
        <f t="shared" si="39"/>
        <v>0</v>
      </c>
      <c r="AF576" s="109"/>
      <c r="AG576" s="109"/>
    </row>
    <row r="577" spans="1:33">
      <c r="A577" s="117"/>
      <c r="B577" s="118"/>
      <c r="C577" s="118"/>
      <c r="D577" s="118"/>
      <c r="E577" s="119"/>
      <c r="F577" s="118"/>
      <c r="G577" s="110"/>
      <c r="H577" s="126"/>
      <c r="I577" s="114">
        <v>0</v>
      </c>
      <c r="J577" s="115">
        <v>0</v>
      </c>
      <c r="K577" s="116">
        <v>0</v>
      </c>
      <c r="L577" s="116">
        <v>0</v>
      </c>
      <c r="M577" s="114">
        <v>0</v>
      </c>
      <c r="N577" s="113">
        <v>0</v>
      </c>
      <c r="O577" s="113">
        <v>0</v>
      </c>
      <c r="P577" s="116">
        <v>0</v>
      </c>
      <c r="Q577" s="116">
        <v>0</v>
      </c>
      <c r="R577" s="116">
        <v>0</v>
      </c>
      <c r="S577" s="114">
        <v>0</v>
      </c>
      <c r="T577" s="116">
        <v>0</v>
      </c>
      <c r="U577" s="116">
        <v>0</v>
      </c>
      <c r="V577" s="121">
        <f t="shared" si="40"/>
        <v>0</v>
      </c>
      <c r="W577" s="111"/>
      <c r="X577" s="111"/>
      <c r="Y577" s="111"/>
      <c r="Z577" s="111"/>
      <c r="AA577" s="111"/>
      <c r="AB577" s="111"/>
      <c r="AC577" s="111"/>
      <c r="AD577" s="111"/>
      <c r="AE577" s="139">
        <f t="shared" si="39"/>
        <v>0</v>
      </c>
      <c r="AF577" s="109"/>
      <c r="AG577" s="109"/>
    </row>
    <row r="578" spans="1:33">
      <c r="A578" s="117"/>
      <c r="B578" s="118"/>
      <c r="C578" s="118"/>
      <c r="D578" s="118"/>
      <c r="E578" s="119"/>
      <c r="F578" s="118"/>
      <c r="G578" s="110"/>
      <c r="H578" s="126"/>
      <c r="I578" s="114">
        <v>0</v>
      </c>
      <c r="J578" s="115">
        <v>0</v>
      </c>
      <c r="K578" s="116">
        <v>0</v>
      </c>
      <c r="L578" s="116">
        <v>0</v>
      </c>
      <c r="M578" s="114">
        <v>0</v>
      </c>
      <c r="N578" s="113">
        <v>0</v>
      </c>
      <c r="O578" s="113">
        <v>0</v>
      </c>
      <c r="P578" s="116">
        <v>0</v>
      </c>
      <c r="Q578" s="116">
        <v>0</v>
      </c>
      <c r="R578" s="116">
        <v>0</v>
      </c>
      <c r="S578" s="114">
        <v>0</v>
      </c>
      <c r="T578" s="116">
        <v>0</v>
      </c>
      <c r="U578" s="116">
        <v>0</v>
      </c>
      <c r="V578" s="121">
        <f t="shared" si="40"/>
        <v>0</v>
      </c>
      <c r="W578" s="111"/>
      <c r="X578" s="111"/>
      <c r="Y578" s="111"/>
      <c r="Z578" s="111"/>
      <c r="AA578" s="111"/>
      <c r="AB578" s="111"/>
      <c r="AC578" s="111"/>
      <c r="AD578" s="111"/>
      <c r="AE578" s="139">
        <f t="shared" si="39"/>
        <v>0</v>
      </c>
      <c r="AF578" s="109"/>
      <c r="AG578" s="109"/>
    </row>
    <row r="579" spans="1:33">
      <c r="A579" s="117"/>
      <c r="B579" s="118"/>
      <c r="C579" s="118"/>
      <c r="D579" s="118"/>
      <c r="E579" s="119"/>
      <c r="F579" s="118"/>
      <c r="G579" s="110"/>
      <c r="H579" s="126"/>
      <c r="I579" s="114">
        <v>0</v>
      </c>
      <c r="J579" s="115">
        <v>0</v>
      </c>
      <c r="K579" s="116">
        <v>0</v>
      </c>
      <c r="L579" s="116">
        <v>0</v>
      </c>
      <c r="M579" s="114">
        <v>0</v>
      </c>
      <c r="N579" s="113">
        <v>0</v>
      </c>
      <c r="O579" s="113">
        <v>0</v>
      </c>
      <c r="P579" s="116">
        <v>0</v>
      </c>
      <c r="Q579" s="116">
        <v>0</v>
      </c>
      <c r="R579" s="116">
        <v>0</v>
      </c>
      <c r="S579" s="114">
        <v>0</v>
      </c>
      <c r="T579" s="116">
        <v>0</v>
      </c>
      <c r="U579" s="116">
        <v>0</v>
      </c>
      <c r="V579" s="121">
        <f t="shared" si="40"/>
        <v>0</v>
      </c>
      <c r="W579" s="111"/>
      <c r="X579" s="111"/>
      <c r="Y579" s="111"/>
      <c r="Z579" s="111"/>
      <c r="AA579" s="111"/>
      <c r="AB579" s="111"/>
      <c r="AC579" s="111"/>
      <c r="AD579" s="111"/>
      <c r="AE579" s="139">
        <f t="shared" si="39"/>
        <v>0</v>
      </c>
      <c r="AF579" s="109"/>
      <c r="AG579" s="109"/>
    </row>
    <row r="580" spans="1:33">
      <c r="A580" s="117"/>
      <c r="B580" s="118"/>
      <c r="C580" s="118"/>
      <c r="D580" s="118"/>
      <c r="E580" s="119"/>
      <c r="F580" s="118"/>
      <c r="G580" s="110"/>
      <c r="H580" s="126"/>
      <c r="I580" s="114">
        <v>0</v>
      </c>
      <c r="J580" s="115">
        <v>0</v>
      </c>
      <c r="K580" s="116">
        <v>0</v>
      </c>
      <c r="L580" s="116">
        <v>0</v>
      </c>
      <c r="M580" s="114">
        <v>0</v>
      </c>
      <c r="N580" s="113">
        <v>0</v>
      </c>
      <c r="O580" s="113">
        <v>0</v>
      </c>
      <c r="P580" s="116">
        <v>0</v>
      </c>
      <c r="Q580" s="116">
        <v>0</v>
      </c>
      <c r="R580" s="116">
        <v>0</v>
      </c>
      <c r="S580" s="114">
        <v>0</v>
      </c>
      <c r="T580" s="116">
        <v>0</v>
      </c>
      <c r="U580" s="116">
        <v>0</v>
      </c>
      <c r="V580" s="121">
        <f t="shared" si="40"/>
        <v>0</v>
      </c>
      <c r="W580" s="111"/>
      <c r="X580" s="111"/>
      <c r="Y580" s="111"/>
      <c r="Z580" s="111"/>
      <c r="AA580" s="111"/>
      <c r="AB580" s="111"/>
      <c r="AC580" s="111"/>
      <c r="AD580" s="111"/>
      <c r="AE580" s="139">
        <f t="shared" si="39"/>
        <v>0</v>
      </c>
      <c r="AF580" s="109"/>
      <c r="AG580" s="109"/>
    </row>
    <row r="581" spans="1:33">
      <c r="A581" s="117"/>
      <c r="B581" s="118"/>
      <c r="C581" s="118"/>
      <c r="D581" s="118"/>
      <c r="E581" s="119"/>
      <c r="F581" s="118"/>
      <c r="G581" s="110"/>
      <c r="H581" s="126"/>
      <c r="I581" s="114">
        <v>0</v>
      </c>
      <c r="J581" s="115">
        <v>0</v>
      </c>
      <c r="K581" s="116">
        <v>0</v>
      </c>
      <c r="L581" s="116">
        <v>0</v>
      </c>
      <c r="M581" s="114">
        <v>0</v>
      </c>
      <c r="N581" s="113">
        <v>0</v>
      </c>
      <c r="O581" s="113">
        <v>0</v>
      </c>
      <c r="P581" s="116">
        <v>0</v>
      </c>
      <c r="Q581" s="116">
        <v>0</v>
      </c>
      <c r="R581" s="116">
        <v>0</v>
      </c>
      <c r="S581" s="114">
        <v>0</v>
      </c>
      <c r="T581" s="116">
        <v>0</v>
      </c>
      <c r="U581" s="116">
        <v>0</v>
      </c>
      <c r="V581" s="121">
        <f t="shared" si="40"/>
        <v>0</v>
      </c>
      <c r="W581" s="111"/>
      <c r="X581" s="111"/>
      <c r="Y581" s="111"/>
      <c r="Z581" s="111"/>
      <c r="AA581" s="111"/>
      <c r="AB581" s="111"/>
      <c r="AC581" s="111"/>
      <c r="AD581" s="111"/>
      <c r="AE581" s="139">
        <f t="shared" si="39"/>
        <v>0</v>
      </c>
      <c r="AF581" s="109"/>
      <c r="AG581" s="109"/>
    </row>
    <row r="582" spans="1:33">
      <c r="A582" s="117"/>
      <c r="B582" s="118"/>
      <c r="C582" s="118"/>
      <c r="D582" s="118"/>
      <c r="E582" s="119"/>
      <c r="F582" s="118"/>
      <c r="G582" s="110"/>
      <c r="H582" s="126"/>
      <c r="I582" s="114">
        <v>0</v>
      </c>
      <c r="J582" s="115">
        <v>0</v>
      </c>
      <c r="K582" s="116">
        <v>0</v>
      </c>
      <c r="L582" s="116">
        <v>0</v>
      </c>
      <c r="M582" s="114">
        <v>0</v>
      </c>
      <c r="N582" s="113">
        <v>0</v>
      </c>
      <c r="O582" s="113">
        <v>0</v>
      </c>
      <c r="P582" s="116">
        <v>0</v>
      </c>
      <c r="Q582" s="116">
        <v>0</v>
      </c>
      <c r="R582" s="116">
        <v>0</v>
      </c>
      <c r="S582" s="114">
        <v>0</v>
      </c>
      <c r="T582" s="116">
        <v>0</v>
      </c>
      <c r="U582" s="116">
        <v>0</v>
      </c>
      <c r="V582" s="121">
        <f t="shared" si="40"/>
        <v>0</v>
      </c>
      <c r="W582" s="111"/>
      <c r="X582" s="111"/>
      <c r="Y582" s="111"/>
      <c r="Z582" s="111"/>
      <c r="AA582" s="111"/>
      <c r="AB582" s="111"/>
      <c r="AC582" s="111"/>
      <c r="AD582" s="111"/>
      <c r="AE582" s="139">
        <f t="shared" si="39"/>
        <v>0</v>
      </c>
      <c r="AF582" s="109"/>
      <c r="AG582" s="109"/>
    </row>
    <row r="583" spans="1:33">
      <c r="A583" s="117"/>
      <c r="B583" s="118"/>
      <c r="C583" s="118"/>
      <c r="D583" s="118"/>
      <c r="E583" s="119"/>
      <c r="F583" s="118"/>
      <c r="G583" s="110"/>
      <c r="H583" s="126"/>
      <c r="I583" s="114">
        <v>0</v>
      </c>
      <c r="J583" s="115">
        <v>0</v>
      </c>
      <c r="K583" s="116">
        <v>0</v>
      </c>
      <c r="L583" s="116">
        <v>0</v>
      </c>
      <c r="M583" s="114">
        <v>0</v>
      </c>
      <c r="N583" s="113">
        <v>0</v>
      </c>
      <c r="O583" s="113">
        <v>0</v>
      </c>
      <c r="P583" s="116">
        <v>0</v>
      </c>
      <c r="Q583" s="116">
        <v>0</v>
      </c>
      <c r="R583" s="116">
        <v>0</v>
      </c>
      <c r="S583" s="114">
        <v>0</v>
      </c>
      <c r="T583" s="116">
        <v>0</v>
      </c>
      <c r="U583" s="116">
        <v>0</v>
      </c>
      <c r="V583" s="121">
        <f t="shared" si="40"/>
        <v>0</v>
      </c>
      <c r="W583" s="111"/>
      <c r="X583" s="111"/>
      <c r="Y583" s="111"/>
      <c r="Z583" s="111"/>
      <c r="AA583" s="111"/>
      <c r="AB583" s="111"/>
      <c r="AC583" s="111"/>
      <c r="AD583" s="111"/>
      <c r="AE583" s="139">
        <f t="shared" si="39"/>
        <v>0</v>
      </c>
      <c r="AF583" s="109"/>
      <c r="AG583" s="109"/>
    </row>
    <row r="584" spans="1:33">
      <c r="A584" s="117"/>
      <c r="B584" s="118"/>
      <c r="C584" s="118"/>
      <c r="D584" s="118"/>
      <c r="E584" s="119"/>
      <c r="F584" s="118"/>
      <c r="G584" s="110"/>
      <c r="H584" s="126"/>
      <c r="I584" s="114">
        <v>0</v>
      </c>
      <c r="J584" s="115">
        <v>0</v>
      </c>
      <c r="K584" s="116">
        <v>0</v>
      </c>
      <c r="L584" s="116">
        <v>0</v>
      </c>
      <c r="M584" s="114">
        <v>0</v>
      </c>
      <c r="N584" s="113">
        <v>0</v>
      </c>
      <c r="O584" s="113">
        <v>0</v>
      </c>
      <c r="P584" s="116">
        <v>0</v>
      </c>
      <c r="Q584" s="116">
        <v>0</v>
      </c>
      <c r="R584" s="116">
        <v>0</v>
      </c>
      <c r="S584" s="114">
        <v>0</v>
      </c>
      <c r="T584" s="116">
        <v>0</v>
      </c>
      <c r="U584" s="116">
        <v>0</v>
      </c>
      <c r="V584" s="121">
        <f t="shared" si="40"/>
        <v>0</v>
      </c>
      <c r="W584" s="111"/>
      <c r="X584" s="111"/>
      <c r="Y584" s="111"/>
      <c r="Z584" s="111"/>
      <c r="AA584" s="111"/>
      <c r="AB584" s="111"/>
      <c r="AC584" s="111"/>
      <c r="AD584" s="111"/>
      <c r="AE584" s="139">
        <f t="shared" si="39"/>
        <v>0</v>
      </c>
      <c r="AF584" s="109"/>
      <c r="AG584" s="109"/>
    </row>
    <row r="585" spans="1:33">
      <c r="A585" s="117"/>
      <c r="B585" s="118"/>
      <c r="C585" s="118"/>
      <c r="D585" s="118"/>
      <c r="E585" s="119"/>
      <c r="F585" s="118"/>
      <c r="G585" s="110"/>
      <c r="H585" s="126"/>
      <c r="I585" s="114">
        <v>0</v>
      </c>
      <c r="J585" s="115">
        <v>0</v>
      </c>
      <c r="K585" s="116">
        <v>0</v>
      </c>
      <c r="L585" s="116">
        <v>0</v>
      </c>
      <c r="M585" s="114">
        <v>0</v>
      </c>
      <c r="N585" s="113">
        <v>0</v>
      </c>
      <c r="O585" s="113">
        <v>0</v>
      </c>
      <c r="P585" s="116">
        <v>0</v>
      </c>
      <c r="Q585" s="116">
        <v>0</v>
      </c>
      <c r="R585" s="116">
        <v>0</v>
      </c>
      <c r="S585" s="114">
        <v>0</v>
      </c>
      <c r="T585" s="116">
        <v>0</v>
      </c>
      <c r="U585" s="116">
        <v>0</v>
      </c>
      <c r="V585" s="121">
        <f t="shared" si="40"/>
        <v>0</v>
      </c>
      <c r="W585" s="111"/>
      <c r="X585" s="111"/>
      <c r="Y585" s="111"/>
      <c r="Z585" s="111"/>
      <c r="AA585" s="111"/>
      <c r="AB585" s="111"/>
      <c r="AC585" s="111"/>
      <c r="AD585" s="111"/>
      <c r="AE585" s="139">
        <f t="shared" si="39"/>
        <v>0</v>
      </c>
      <c r="AF585" s="109"/>
      <c r="AG585" s="109"/>
    </row>
    <row r="586" spans="1:33">
      <c r="A586" s="117"/>
      <c r="B586" s="118"/>
      <c r="C586" s="118"/>
      <c r="D586" s="118"/>
      <c r="E586" s="119"/>
      <c r="F586" s="118"/>
      <c r="G586" s="110"/>
      <c r="H586" s="126"/>
      <c r="I586" s="114">
        <v>0</v>
      </c>
      <c r="J586" s="115">
        <v>0</v>
      </c>
      <c r="K586" s="116">
        <v>0</v>
      </c>
      <c r="L586" s="116">
        <v>0</v>
      </c>
      <c r="M586" s="114">
        <v>0</v>
      </c>
      <c r="N586" s="113">
        <v>0</v>
      </c>
      <c r="O586" s="113">
        <v>0</v>
      </c>
      <c r="P586" s="116">
        <v>0</v>
      </c>
      <c r="Q586" s="116">
        <v>0</v>
      </c>
      <c r="R586" s="116">
        <v>0</v>
      </c>
      <c r="S586" s="114">
        <v>0</v>
      </c>
      <c r="T586" s="116">
        <v>0</v>
      </c>
      <c r="U586" s="116">
        <v>0</v>
      </c>
      <c r="V586" s="121">
        <f t="shared" si="40"/>
        <v>0</v>
      </c>
      <c r="W586" s="111"/>
      <c r="X586" s="111"/>
      <c r="Y586" s="111"/>
      <c r="Z586" s="111"/>
      <c r="AA586" s="111"/>
      <c r="AB586" s="111"/>
      <c r="AC586" s="111"/>
      <c r="AD586" s="111"/>
      <c r="AE586" s="139">
        <f t="shared" si="39"/>
        <v>0</v>
      </c>
      <c r="AF586" s="109"/>
      <c r="AG586" s="109"/>
    </row>
    <row r="587" spans="1:33">
      <c r="A587" s="117"/>
      <c r="B587" s="118"/>
      <c r="C587" s="118"/>
      <c r="D587" s="118"/>
      <c r="E587" s="119"/>
      <c r="F587" s="118"/>
      <c r="G587" s="110"/>
      <c r="H587" s="126"/>
      <c r="I587" s="114">
        <v>0</v>
      </c>
      <c r="J587" s="115">
        <v>0</v>
      </c>
      <c r="K587" s="116">
        <v>0</v>
      </c>
      <c r="L587" s="116">
        <v>0</v>
      </c>
      <c r="M587" s="114">
        <v>0</v>
      </c>
      <c r="N587" s="113">
        <v>0</v>
      </c>
      <c r="O587" s="113">
        <v>0</v>
      </c>
      <c r="P587" s="116">
        <v>0</v>
      </c>
      <c r="Q587" s="116">
        <v>0</v>
      </c>
      <c r="R587" s="116">
        <v>0</v>
      </c>
      <c r="S587" s="114">
        <v>0</v>
      </c>
      <c r="T587" s="116">
        <v>0</v>
      </c>
      <c r="U587" s="116">
        <v>0</v>
      </c>
      <c r="V587" s="121">
        <f t="shared" si="40"/>
        <v>0</v>
      </c>
      <c r="W587" s="111"/>
      <c r="X587" s="111"/>
      <c r="Y587" s="111"/>
      <c r="Z587" s="111"/>
      <c r="AA587" s="111"/>
      <c r="AB587" s="111"/>
      <c r="AC587" s="111"/>
      <c r="AD587" s="111"/>
      <c r="AE587" s="139">
        <f t="shared" si="39"/>
        <v>0</v>
      </c>
      <c r="AF587" s="109"/>
      <c r="AG587" s="109"/>
    </row>
    <row r="588" spans="1:33">
      <c r="A588" s="117"/>
      <c r="B588" s="118"/>
      <c r="C588" s="118"/>
      <c r="D588" s="118"/>
      <c r="E588" s="119"/>
      <c r="F588" s="118"/>
      <c r="G588" s="110"/>
      <c r="H588" s="126"/>
      <c r="I588" s="114">
        <v>0</v>
      </c>
      <c r="J588" s="115">
        <v>0</v>
      </c>
      <c r="K588" s="116">
        <v>0</v>
      </c>
      <c r="L588" s="116">
        <v>0</v>
      </c>
      <c r="M588" s="114">
        <v>0</v>
      </c>
      <c r="N588" s="113">
        <v>0</v>
      </c>
      <c r="O588" s="113">
        <v>0</v>
      </c>
      <c r="P588" s="116">
        <v>0</v>
      </c>
      <c r="Q588" s="116">
        <v>0</v>
      </c>
      <c r="R588" s="116">
        <v>0</v>
      </c>
      <c r="S588" s="114">
        <v>0</v>
      </c>
      <c r="T588" s="116">
        <v>0</v>
      </c>
      <c r="U588" s="116">
        <v>0</v>
      </c>
      <c r="V588" s="121">
        <f t="shared" si="40"/>
        <v>0</v>
      </c>
      <c r="W588" s="111"/>
      <c r="X588" s="111"/>
      <c r="Y588" s="111"/>
      <c r="Z588" s="111"/>
      <c r="AA588" s="111"/>
      <c r="AB588" s="111"/>
      <c r="AC588" s="111"/>
      <c r="AD588" s="111"/>
      <c r="AE588" s="139">
        <f t="shared" si="39"/>
        <v>0</v>
      </c>
      <c r="AF588" s="109"/>
      <c r="AG588" s="109"/>
    </row>
    <row r="589" spans="1:33">
      <c r="A589" s="117"/>
      <c r="B589" s="118"/>
      <c r="C589" s="118"/>
      <c r="D589" s="118"/>
      <c r="E589" s="119"/>
      <c r="F589" s="118"/>
      <c r="G589" s="110"/>
      <c r="H589" s="126"/>
      <c r="I589" s="114">
        <v>0</v>
      </c>
      <c r="J589" s="115">
        <v>0</v>
      </c>
      <c r="K589" s="116">
        <v>0</v>
      </c>
      <c r="L589" s="116">
        <v>0</v>
      </c>
      <c r="M589" s="114">
        <v>0</v>
      </c>
      <c r="N589" s="113">
        <v>0</v>
      </c>
      <c r="O589" s="113">
        <v>0</v>
      </c>
      <c r="P589" s="116">
        <v>0</v>
      </c>
      <c r="Q589" s="116">
        <v>0</v>
      </c>
      <c r="R589" s="116">
        <v>0</v>
      </c>
      <c r="S589" s="114">
        <v>0</v>
      </c>
      <c r="T589" s="116">
        <v>0</v>
      </c>
      <c r="U589" s="116">
        <v>0</v>
      </c>
      <c r="V589" s="121">
        <f t="shared" si="40"/>
        <v>0</v>
      </c>
      <c r="W589" s="111"/>
      <c r="X589" s="111"/>
      <c r="Y589" s="111"/>
      <c r="Z589" s="111"/>
      <c r="AA589" s="111"/>
      <c r="AB589" s="111"/>
      <c r="AC589" s="111"/>
      <c r="AD589" s="111"/>
      <c r="AE589" s="139">
        <f t="shared" si="39"/>
        <v>0</v>
      </c>
      <c r="AF589" s="109"/>
      <c r="AG589" s="109"/>
    </row>
    <row r="590" spans="1:33">
      <c r="A590" s="117"/>
      <c r="B590" s="118"/>
      <c r="C590" s="118"/>
      <c r="D590" s="118"/>
      <c r="E590" s="119"/>
      <c r="F590" s="118"/>
      <c r="G590" s="110"/>
      <c r="H590" s="126"/>
      <c r="I590" s="114">
        <v>0</v>
      </c>
      <c r="J590" s="115">
        <v>0</v>
      </c>
      <c r="K590" s="116">
        <v>0</v>
      </c>
      <c r="L590" s="116">
        <v>0</v>
      </c>
      <c r="M590" s="114">
        <v>0</v>
      </c>
      <c r="N590" s="113">
        <v>0</v>
      </c>
      <c r="O590" s="113">
        <v>0</v>
      </c>
      <c r="P590" s="116">
        <v>0</v>
      </c>
      <c r="Q590" s="116">
        <v>0</v>
      </c>
      <c r="R590" s="116">
        <v>0</v>
      </c>
      <c r="S590" s="114">
        <v>0</v>
      </c>
      <c r="T590" s="116">
        <v>0</v>
      </c>
      <c r="U590" s="116">
        <v>0</v>
      </c>
      <c r="V590" s="121">
        <f t="shared" si="40"/>
        <v>0</v>
      </c>
      <c r="W590" s="111"/>
      <c r="X590" s="111"/>
      <c r="Y590" s="111"/>
      <c r="Z590" s="111"/>
      <c r="AA590" s="111"/>
      <c r="AB590" s="111"/>
      <c r="AC590" s="111"/>
      <c r="AD590" s="111"/>
      <c r="AE590" s="139">
        <f t="shared" si="39"/>
        <v>0</v>
      </c>
      <c r="AF590" s="109"/>
      <c r="AG590" s="109"/>
    </row>
    <row r="591" spans="1:33">
      <c r="A591" s="117"/>
      <c r="B591" s="118"/>
      <c r="C591" s="118"/>
      <c r="D591" s="118"/>
      <c r="E591" s="119"/>
      <c r="F591" s="118"/>
      <c r="G591" s="110"/>
      <c r="H591" s="126"/>
      <c r="I591" s="114">
        <v>0</v>
      </c>
      <c r="J591" s="115">
        <v>0</v>
      </c>
      <c r="K591" s="116">
        <v>0</v>
      </c>
      <c r="L591" s="116">
        <v>0</v>
      </c>
      <c r="M591" s="114">
        <v>0</v>
      </c>
      <c r="N591" s="113">
        <v>0</v>
      </c>
      <c r="O591" s="113">
        <v>0</v>
      </c>
      <c r="P591" s="116">
        <v>0</v>
      </c>
      <c r="Q591" s="116">
        <v>0</v>
      </c>
      <c r="R591" s="116">
        <v>0</v>
      </c>
      <c r="S591" s="114">
        <v>0</v>
      </c>
      <c r="T591" s="116">
        <v>0</v>
      </c>
      <c r="U591" s="116">
        <v>0</v>
      </c>
      <c r="V591" s="121">
        <f t="shared" si="40"/>
        <v>0</v>
      </c>
      <c r="W591" s="111"/>
      <c r="X591" s="111"/>
      <c r="Y591" s="111"/>
      <c r="Z591" s="111"/>
      <c r="AA591" s="111"/>
      <c r="AB591" s="111"/>
      <c r="AC591" s="111"/>
      <c r="AD591" s="111"/>
      <c r="AE591" s="139">
        <f t="shared" si="39"/>
        <v>0</v>
      </c>
      <c r="AF591" s="109"/>
      <c r="AG591" s="109"/>
    </row>
    <row r="592" spans="1:33">
      <c r="A592" s="117"/>
      <c r="B592" s="118"/>
      <c r="C592" s="118"/>
      <c r="D592" s="118"/>
      <c r="E592" s="119"/>
      <c r="F592" s="118"/>
      <c r="G592" s="110"/>
      <c r="H592" s="126"/>
      <c r="I592" s="114">
        <v>0</v>
      </c>
      <c r="J592" s="115">
        <v>0</v>
      </c>
      <c r="K592" s="116">
        <v>0</v>
      </c>
      <c r="L592" s="116">
        <v>0</v>
      </c>
      <c r="M592" s="114">
        <v>0</v>
      </c>
      <c r="N592" s="113">
        <v>0</v>
      </c>
      <c r="O592" s="113">
        <v>0</v>
      </c>
      <c r="P592" s="116">
        <v>0</v>
      </c>
      <c r="Q592" s="116">
        <v>0</v>
      </c>
      <c r="R592" s="116">
        <v>0</v>
      </c>
      <c r="S592" s="114">
        <v>0</v>
      </c>
      <c r="T592" s="116">
        <v>0</v>
      </c>
      <c r="U592" s="116">
        <v>0</v>
      </c>
      <c r="V592" s="121">
        <f t="shared" si="40"/>
        <v>0</v>
      </c>
      <c r="W592" s="111"/>
      <c r="X592" s="111"/>
      <c r="Y592" s="111"/>
      <c r="Z592" s="111"/>
      <c r="AA592" s="111"/>
      <c r="AB592" s="111"/>
      <c r="AC592" s="111"/>
      <c r="AD592" s="111"/>
      <c r="AE592" s="139">
        <f t="shared" si="39"/>
        <v>0</v>
      </c>
      <c r="AF592" s="109"/>
      <c r="AG592" s="109"/>
    </row>
    <row r="593" spans="1:33">
      <c r="A593" s="117"/>
      <c r="B593" s="118"/>
      <c r="C593" s="118"/>
      <c r="D593" s="118"/>
      <c r="E593" s="119"/>
      <c r="F593" s="118"/>
      <c r="G593" s="110"/>
      <c r="H593" s="126"/>
      <c r="I593" s="114">
        <v>0</v>
      </c>
      <c r="J593" s="115">
        <v>0</v>
      </c>
      <c r="K593" s="116">
        <v>0</v>
      </c>
      <c r="L593" s="116">
        <v>0</v>
      </c>
      <c r="M593" s="114">
        <v>0</v>
      </c>
      <c r="N593" s="113">
        <v>0</v>
      </c>
      <c r="O593" s="113">
        <v>0</v>
      </c>
      <c r="P593" s="116">
        <v>0</v>
      </c>
      <c r="Q593" s="116">
        <v>0</v>
      </c>
      <c r="R593" s="116">
        <v>0</v>
      </c>
      <c r="S593" s="114">
        <v>0</v>
      </c>
      <c r="T593" s="116">
        <v>0</v>
      </c>
      <c r="U593" s="116">
        <v>0</v>
      </c>
      <c r="V593" s="121">
        <f t="shared" si="40"/>
        <v>0</v>
      </c>
      <c r="W593" s="111"/>
      <c r="X593" s="111"/>
      <c r="Y593" s="111"/>
      <c r="Z593" s="111"/>
      <c r="AA593" s="111"/>
      <c r="AB593" s="111"/>
      <c r="AC593" s="111"/>
      <c r="AD593" s="111"/>
      <c r="AE593" s="139">
        <f t="shared" si="39"/>
        <v>0</v>
      </c>
      <c r="AF593" s="109"/>
      <c r="AG593" s="109"/>
    </row>
    <row r="594" spans="1:33">
      <c r="A594" s="117"/>
      <c r="B594" s="118"/>
      <c r="C594" s="118"/>
      <c r="D594" s="118"/>
      <c r="E594" s="119"/>
      <c r="F594" s="118"/>
      <c r="G594" s="110"/>
      <c r="H594" s="126"/>
      <c r="I594" s="114">
        <v>0</v>
      </c>
      <c r="J594" s="115">
        <v>0</v>
      </c>
      <c r="K594" s="116">
        <v>0</v>
      </c>
      <c r="L594" s="116">
        <v>0</v>
      </c>
      <c r="M594" s="114">
        <v>0</v>
      </c>
      <c r="N594" s="113">
        <v>0</v>
      </c>
      <c r="O594" s="113">
        <v>0</v>
      </c>
      <c r="P594" s="116">
        <v>0</v>
      </c>
      <c r="Q594" s="116">
        <v>0</v>
      </c>
      <c r="R594" s="116">
        <v>0</v>
      </c>
      <c r="S594" s="114">
        <v>0</v>
      </c>
      <c r="T594" s="116">
        <v>0</v>
      </c>
      <c r="U594" s="116">
        <v>0</v>
      </c>
      <c r="V594" s="121">
        <f t="shared" si="40"/>
        <v>0</v>
      </c>
      <c r="W594" s="111"/>
      <c r="X594" s="111"/>
      <c r="Y594" s="111"/>
      <c r="Z594" s="111"/>
      <c r="AA594" s="111"/>
      <c r="AB594" s="111"/>
      <c r="AC594" s="111"/>
      <c r="AD594" s="111"/>
      <c r="AE594" s="139">
        <f t="shared" si="39"/>
        <v>0</v>
      </c>
      <c r="AF594" s="109"/>
      <c r="AG594" s="109"/>
    </row>
    <row r="595" spans="1:33">
      <c r="A595" s="117"/>
      <c r="B595" s="118"/>
      <c r="C595" s="118"/>
      <c r="D595" s="118"/>
      <c r="E595" s="119"/>
      <c r="F595" s="118"/>
      <c r="G595" s="110"/>
      <c r="H595" s="126"/>
      <c r="I595" s="114">
        <v>0</v>
      </c>
      <c r="J595" s="115">
        <v>0</v>
      </c>
      <c r="K595" s="116">
        <v>0</v>
      </c>
      <c r="L595" s="116">
        <v>0</v>
      </c>
      <c r="M595" s="114">
        <v>0</v>
      </c>
      <c r="N595" s="113">
        <v>0</v>
      </c>
      <c r="O595" s="113">
        <v>0</v>
      </c>
      <c r="P595" s="116">
        <v>0</v>
      </c>
      <c r="Q595" s="116">
        <v>0</v>
      </c>
      <c r="R595" s="116">
        <v>0</v>
      </c>
      <c r="S595" s="114">
        <v>0</v>
      </c>
      <c r="T595" s="116">
        <v>0</v>
      </c>
      <c r="U595" s="116">
        <v>0</v>
      </c>
      <c r="V595" s="121">
        <f t="shared" si="40"/>
        <v>0</v>
      </c>
      <c r="W595" s="111"/>
      <c r="X595" s="111"/>
      <c r="Y595" s="111"/>
      <c r="Z595" s="111"/>
      <c r="AA595" s="111"/>
      <c r="AB595" s="111"/>
      <c r="AC595" s="111"/>
      <c r="AD595" s="111"/>
      <c r="AE595" s="139">
        <f t="shared" si="39"/>
        <v>0</v>
      </c>
      <c r="AF595" s="109"/>
      <c r="AG595" s="109"/>
    </row>
    <row r="596" spans="1:33">
      <c r="A596" s="117"/>
      <c r="B596" s="118"/>
      <c r="C596" s="118"/>
      <c r="D596" s="118"/>
      <c r="E596" s="119"/>
      <c r="F596" s="118"/>
      <c r="G596" s="110"/>
      <c r="H596" s="126"/>
      <c r="I596" s="114">
        <v>0</v>
      </c>
      <c r="J596" s="115">
        <v>0</v>
      </c>
      <c r="K596" s="116">
        <v>0</v>
      </c>
      <c r="L596" s="116">
        <v>0</v>
      </c>
      <c r="M596" s="114">
        <v>0</v>
      </c>
      <c r="N596" s="113">
        <v>0</v>
      </c>
      <c r="O596" s="113">
        <v>0</v>
      </c>
      <c r="P596" s="116">
        <v>0</v>
      </c>
      <c r="Q596" s="116">
        <v>0</v>
      </c>
      <c r="R596" s="116">
        <v>0</v>
      </c>
      <c r="S596" s="114">
        <v>0</v>
      </c>
      <c r="T596" s="116">
        <v>0</v>
      </c>
      <c r="U596" s="116">
        <v>0</v>
      </c>
      <c r="V596" s="121">
        <f t="shared" si="40"/>
        <v>0</v>
      </c>
      <c r="W596" s="111"/>
      <c r="X596" s="111"/>
      <c r="Y596" s="111"/>
      <c r="Z596" s="111"/>
      <c r="AA596" s="111"/>
      <c r="AB596" s="111"/>
      <c r="AC596" s="111"/>
      <c r="AD596" s="111"/>
      <c r="AE596" s="139">
        <f t="shared" si="39"/>
        <v>0</v>
      </c>
      <c r="AF596" s="109"/>
      <c r="AG596" s="109"/>
    </row>
    <row r="597" spans="1:33">
      <c r="A597" s="117"/>
      <c r="B597" s="118"/>
      <c r="C597" s="118"/>
      <c r="D597" s="118"/>
      <c r="E597" s="119"/>
      <c r="F597" s="118"/>
      <c r="G597" s="110"/>
      <c r="H597" s="126"/>
      <c r="I597" s="114">
        <v>0</v>
      </c>
      <c r="J597" s="115">
        <v>0</v>
      </c>
      <c r="K597" s="116">
        <v>0</v>
      </c>
      <c r="L597" s="116">
        <v>0</v>
      </c>
      <c r="M597" s="114">
        <v>0</v>
      </c>
      <c r="N597" s="113">
        <v>0</v>
      </c>
      <c r="O597" s="113">
        <v>0</v>
      </c>
      <c r="P597" s="116">
        <v>0</v>
      </c>
      <c r="Q597" s="116">
        <v>0</v>
      </c>
      <c r="R597" s="116">
        <v>0</v>
      </c>
      <c r="S597" s="114">
        <v>0</v>
      </c>
      <c r="T597" s="116">
        <v>0</v>
      </c>
      <c r="U597" s="116">
        <v>0</v>
      </c>
      <c r="V597" s="121">
        <f t="shared" si="40"/>
        <v>0</v>
      </c>
      <c r="W597" s="111"/>
      <c r="X597" s="111"/>
      <c r="Y597" s="111"/>
      <c r="Z597" s="111"/>
      <c r="AA597" s="111"/>
      <c r="AB597" s="111"/>
      <c r="AC597" s="111"/>
      <c r="AD597" s="111"/>
      <c r="AE597" s="139">
        <f t="shared" si="39"/>
        <v>0</v>
      </c>
      <c r="AF597" s="109"/>
      <c r="AG597" s="109"/>
    </row>
    <row r="598" spans="1:33">
      <c r="A598" s="117"/>
      <c r="B598" s="118"/>
      <c r="C598" s="118"/>
      <c r="D598" s="118"/>
      <c r="E598" s="119"/>
      <c r="F598" s="118"/>
      <c r="G598" s="110"/>
      <c r="H598" s="126"/>
      <c r="I598" s="114">
        <v>0</v>
      </c>
      <c r="J598" s="115">
        <v>0</v>
      </c>
      <c r="K598" s="116">
        <v>0</v>
      </c>
      <c r="L598" s="116">
        <v>0</v>
      </c>
      <c r="M598" s="114">
        <v>0</v>
      </c>
      <c r="N598" s="113">
        <v>0</v>
      </c>
      <c r="O598" s="113">
        <v>0</v>
      </c>
      <c r="P598" s="116">
        <v>0</v>
      </c>
      <c r="Q598" s="116">
        <v>0</v>
      </c>
      <c r="R598" s="116">
        <v>0</v>
      </c>
      <c r="S598" s="114">
        <v>0</v>
      </c>
      <c r="T598" s="116">
        <v>0</v>
      </c>
      <c r="U598" s="116">
        <v>0</v>
      </c>
      <c r="V598" s="121">
        <f t="shared" si="40"/>
        <v>0</v>
      </c>
      <c r="W598" s="111"/>
      <c r="X598" s="111"/>
      <c r="Y598" s="111"/>
      <c r="Z598" s="111"/>
      <c r="AA598" s="111"/>
      <c r="AB598" s="111"/>
      <c r="AC598" s="111"/>
      <c r="AD598" s="111"/>
      <c r="AE598" s="139">
        <f t="shared" si="39"/>
        <v>0</v>
      </c>
      <c r="AF598" s="109"/>
      <c r="AG598" s="109"/>
    </row>
    <row r="599" spans="1:33">
      <c r="A599" s="117"/>
      <c r="B599" s="118"/>
      <c r="C599" s="118"/>
      <c r="D599" s="118"/>
      <c r="E599" s="119"/>
      <c r="F599" s="118"/>
      <c r="G599" s="110"/>
      <c r="H599" s="126"/>
      <c r="I599" s="114">
        <v>0</v>
      </c>
      <c r="J599" s="115">
        <v>0</v>
      </c>
      <c r="K599" s="116">
        <v>0</v>
      </c>
      <c r="L599" s="116">
        <v>0</v>
      </c>
      <c r="M599" s="114">
        <v>0</v>
      </c>
      <c r="N599" s="113">
        <v>0</v>
      </c>
      <c r="O599" s="113">
        <v>0</v>
      </c>
      <c r="P599" s="116">
        <v>0</v>
      </c>
      <c r="Q599" s="116">
        <v>0</v>
      </c>
      <c r="R599" s="116">
        <v>0</v>
      </c>
      <c r="S599" s="114">
        <v>0</v>
      </c>
      <c r="T599" s="116">
        <v>0</v>
      </c>
      <c r="U599" s="116">
        <v>0</v>
      </c>
      <c r="V599" s="121">
        <f t="shared" si="40"/>
        <v>0</v>
      </c>
      <c r="W599" s="111"/>
      <c r="X599" s="111"/>
      <c r="Y599" s="111"/>
      <c r="Z599" s="111"/>
      <c r="AA599" s="111"/>
      <c r="AB599" s="111"/>
      <c r="AC599" s="111"/>
      <c r="AD599" s="111"/>
      <c r="AE599" s="139">
        <f t="shared" si="39"/>
        <v>0</v>
      </c>
      <c r="AF599" s="109"/>
      <c r="AG599" s="109"/>
    </row>
    <row r="600" spans="1:33">
      <c r="A600" s="117"/>
      <c r="B600" s="118"/>
      <c r="C600" s="118"/>
      <c r="D600" s="118"/>
      <c r="E600" s="119"/>
      <c r="F600" s="118"/>
      <c r="G600" s="110"/>
      <c r="H600" s="126"/>
      <c r="I600" s="114">
        <v>0</v>
      </c>
      <c r="J600" s="115">
        <v>0</v>
      </c>
      <c r="K600" s="116">
        <v>0</v>
      </c>
      <c r="L600" s="116">
        <v>0</v>
      </c>
      <c r="M600" s="114">
        <v>0</v>
      </c>
      <c r="N600" s="113">
        <v>0</v>
      </c>
      <c r="O600" s="113">
        <v>0</v>
      </c>
      <c r="P600" s="116">
        <v>0</v>
      </c>
      <c r="Q600" s="116">
        <v>0</v>
      </c>
      <c r="R600" s="116">
        <v>0</v>
      </c>
      <c r="S600" s="114">
        <v>0</v>
      </c>
      <c r="T600" s="116">
        <v>0</v>
      </c>
      <c r="U600" s="116">
        <v>0</v>
      </c>
      <c r="V600" s="121">
        <f t="shared" si="40"/>
        <v>0</v>
      </c>
      <c r="W600" s="111"/>
      <c r="X600" s="111"/>
      <c r="Y600" s="111"/>
      <c r="Z600" s="111"/>
      <c r="AA600" s="111"/>
      <c r="AB600" s="111"/>
      <c r="AC600" s="111"/>
      <c r="AD600" s="111"/>
      <c r="AE600" s="139">
        <f t="shared" si="39"/>
        <v>0</v>
      </c>
      <c r="AF600" s="109"/>
      <c r="AG600" s="109"/>
    </row>
    <row r="601" spans="1:33">
      <c r="A601" s="117"/>
      <c r="B601" s="118"/>
      <c r="C601" s="118"/>
      <c r="D601" s="118"/>
      <c r="E601" s="119"/>
      <c r="F601" s="118"/>
      <c r="G601" s="110"/>
      <c r="H601" s="126"/>
      <c r="I601" s="114">
        <v>0</v>
      </c>
      <c r="J601" s="115">
        <v>0</v>
      </c>
      <c r="K601" s="116">
        <v>0</v>
      </c>
      <c r="L601" s="116">
        <v>0</v>
      </c>
      <c r="M601" s="114">
        <v>0</v>
      </c>
      <c r="N601" s="113">
        <v>0</v>
      </c>
      <c r="O601" s="113">
        <v>0</v>
      </c>
      <c r="P601" s="116">
        <v>0</v>
      </c>
      <c r="Q601" s="116">
        <v>0</v>
      </c>
      <c r="R601" s="116">
        <v>0</v>
      </c>
      <c r="S601" s="114">
        <v>0</v>
      </c>
      <c r="T601" s="116">
        <v>0</v>
      </c>
      <c r="U601" s="116">
        <v>0</v>
      </c>
      <c r="V601" s="121">
        <f t="shared" si="40"/>
        <v>0</v>
      </c>
      <c r="W601" s="111"/>
      <c r="X601" s="111"/>
      <c r="Y601" s="111"/>
      <c r="Z601" s="111"/>
      <c r="AA601" s="111"/>
      <c r="AB601" s="111"/>
      <c r="AC601" s="111"/>
      <c r="AD601" s="111"/>
      <c r="AE601" s="139">
        <f t="shared" si="39"/>
        <v>0</v>
      </c>
      <c r="AF601" s="109"/>
      <c r="AG601" s="109"/>
    </row>
    <row r="602" spans="1:33">
      <c r="A602" s="117"/>
      <c r="B602" s="118"/>
      <c r="C602" s="118"/>
      <c r="D602" s="118"/>
      <c r="E602" s="119"/>
      <c r="F602" s="118"/>
      <c r="G602" s="110"/>
      <c r="H602" s="126"/>
      <c r="I602" s="114">
        <v>0</v>
      </c>
      <c r="J602" s="115">
        <v>0</v>
      </c>
      <c r="K602" s="116">
        <v>0</v>
      </c>
      <c r="L602" s="116">
        <v>0</v>
      </c>
      <c r="M602" s="114">
        <v>0</v>
      </c>
      <c r="N602" s="113">
        <v>0</v>
      </c>
      <c r="O602" s="113">
        <v>0</v>
      </c>
      <c r="P602" s="116">
        <v>0</v>
      </c>
      <c r="Q602" s="116">
        <v>0</v>
      </c>
      <c r="R602" s="116">
        <v>0</v>
      </c>
      <c r="S602" s="114">
        <v>0</v>
      </c>
      <c r="T602" s="116">
        <v>0</v>
      </c>
      <c r="U602" s="116">
        <v>0</v>
      </c>
      <c r="V602" s="121">
        <f t="shared" si="40"/>
        <v>0</v>
      </c>
      <c r="W602" s="111"/>
      <c r="X602" s="111"/>
      <c r="Y602" s="111"/>
      <c r="Z602" s="111"/>
      <c r="AA602" s="111"/>
      <c r="AB602" s="111"/>
      <c r="AC602" s="111"/>
      <c r="AD602" s="111"/>
      <c r="AE602" s="139">
        <f t="shared" si="39"/>
        <v>0</v>
      </c>
      <c r="AF602" s="109"/>
      <c r="AG602" s="109"/>
    </row>
    <row r="603" spans="1:33">
      <c r="A603" s="117"/>
      <c r="B603" s="118"/>
      <c r="C603" s="118"/>
      <c r="D603" s="118"/>
      <c r="E603" s="119"/>
      <c r="F603" s="118"/>
      <c r="G603" s="110"/>
      <c r="H603" s="126"/>
      <c r="I603" s="114">
        <v>0</v>
      </c>
      <c r="J603" s="115">
        <v>0</v>
      </c>
      <c r="K603" s="116">
        <v>0</v>
      </c>
      <c r="L603" s="116">
        <v>0</v>
      </c>
      <c r="M603" s="114">
        <v>0</v>
      </c>
      <c r="N603" s="113">
        <v>0</v>
      </c>
      <c r="O603" s="113">
        <v>0</v>
      </c>
      <c r="P603" s="116">
        <v>0</v>
      </c>
      <c r="Q603" s="116">
        <v>0</v>
      </c>
      <c r="R603" s="116">
        <v>0</v>
      </c>
      <c r="S603" s="114">
        <v>0</v>
      </c>
      <c r="T603" s="116">
        <v>0</v>
      </c>
      <c r="U603" s="116">
        <v>0</v>
      </c>
      <c r="V603" s="121">
        <f t="shared" si="40"/>
        <v>0</v>
      </c>
      <c r="W603" s="111"/>
      <c r="X603" s="111"/>
      <c r="Y603" s="111"/>
      <c r="Z603" s="111"/>
      <c r="AA603" s="111"/>
      <c r="AB603" s="111"/>
      <c r="AC603" s="111"/>
      <c r="AD603" s="111"/>
      <c r="AE603" s="139">
        <f t="shared" si="39"/>
        <v>0</v>
      </c>
      <c r="AF603" s="109"/>
      <c r="AG603" s="109"/>
    </row>
    <row r="604" spans="1:33">
      <c r="A604" s="117"/>
      <c r="B604" s="118"/>
      <c r="C604" s="118"/>
      <c r="D604" s="118"/>
      <c r="E604" s="119"/>
      <c r="F604" s="118"/>
      <c r="G604" s="110"/>
      <c r="H604" s="126"/>
      <c r="I604" s="114">
        <v>0</v>
      </c>
      <c r="J604" s="115">
        <v>0</v>
      </c>
      <c r="K604" s="116">
        <v>0</v>
      </c>
      <c r="L604" s="116">
        <v>0</v>
      </c>
      <c r="M604" s="114">
        <v>0</v>
      </c>
      <c r="N604" s="113">
        <v>0</v>
      </c>
      <c r="O604" s="113">
        <v>0</v>
      </c>
      <c r="P604" s="116">
        <v>0</v>
      </c>
      <c r="Q604" s="116">
        <v>0</v>
      </c>
      <c r="R604" s="116">
        <v>0</v>
      </c>
      <c r="S604" s="114">
        <v>0</v>
      </c>
      <c r="T604" s="116">
        <v>0</v>
      </c>
      <c r="U604" s="116">
        <v>0</v>
      </c>
      <c r="V604" s="121">
        <f t="shared" si="40"/>
        <v>0</v>
      </c>
      <c r="W604" s="111"/>
      <c r="X604" s="111"/>
      <c r="Y604" s="111"/>
      <c r="Z604" s="111"/>
      <c r="AA604" s="111"/>
      <c r="AB604" s="111"/>
      <c r="AC604" s="111"/>
      <c r="AD604" s="111"/>
      <c r="AE604" s="139">
        <f t="shared" si="39"/>
        <v>0</v>
      </c>
      <c r="AF604" s="109"/>
      <c r="AG604" s="109"/>
    </row>
    <row r="605" spans="1:33">
      <c r="A605" s="117"/>
      <c r="B605" s="118"/>
      <c r="C605" s="118"/>
      <c r="D605" s="118"/>
      <c r="E605" s="119"/>
      <c r="F605" s="118"/>
      <c r="G605" s="110"/>
      <c r="H605" s="126"/>
      <c r="I605" s="114">
        <v>0</v>
      </c>
      <c r="J605" s="115">
        <v>0</v>
      </c>
      <c r="K605" s="116">
        <v>0</v>
      </c>
      <c r="L605" s="116">
        <v>0</v>
      </c>
      <c r="M605" s="114">
        <v>0</v>
      </c>
      <c r="N605" s="113">
        <v>0</v>
      </c>
      <c r="O605" s="113">
        <v>0</v>
      </c>
      <c r="P605" s="116">
        <v>0</v>
      </c>
      <c r="Q605" s="116">
        <v>0</v>
      </c>
      <c r="R605" s="116">
        <v>0</v>
      </c>
      <c r="S605" s="114">
        <v>0</v>
      </c>
      <c r="T605" s="116">
        <v>0</v>
      </c>
      <c r="U605" s="116">
        <v>0</v>
      </c>
      <c r="V605" s="121">
        <f t="shared" si="40"/>
        <v>0</v>
      </c>
      <c r="W605" s="111"/>
      <c r="X605" s="111"/>
      <c r="Y605" s="111"/>
      <c r="Z605" s="111"/>
      <c r="AA605" s="111"/>
      <c r="AB605" s="111"/>
      <c r="AC605" s="111"/>
      <c r="AD605" s="111"/>
      <c r="AE605" s="139">
        <f t="shared" si="39"/>
        <v>0</v>
      </c>
      <c r="AF605" s="109"/>
      <c r="AG605" s="109"/>
    </row>
    <row r="606" spans="1:33">
      <c r="A606" s="117"/>
      <c r="B606" s="118"/>
      <c r="C606" s="118"/>
      <c r="D606" s="118"/>
      <c r="E606" s="119"/>
      <c r="F606" s="118"/>
      <c r="G606" s="110"/>
      <c r="H606" s="126"/>
      <c r="I606" s="114">
        <v>0</v>
      </c>
      <c r="J606" s="115">
        <v>0</v>
      </c>
      <c r="K606" s="116">
        <v>0</v>
      </c>
      <c r="L606" s="116">
        <v>0</v>
      </c>
      <c r="M606" s="114">
        <v>0</v>
      </c>
      <c r="N606" s="113">
        <v>0</v>
      </c>
      <c r="O606" s="113">
        <v>0</v>
      </c>
      <c r="P606" s="116">
        <v>0</v>
      </c>
      <c r="Q606" s="116">
        <v>0</v>
      </c>
      <c r="R606" s="116">
        <v>0</v>
      </c>
      <c r="S606" s="114">
        <v>0</v>
      </c>
      <c r="T606" s="116">
        <v>0</v>
      </c>
      <c r="U606" s="116">
        <v>0</v>
      </c>
      <c r="V606" s="121">
        <f t="shared" si="40"/>
        <v>0</v>
      </c>
      <c r="W606" s="111"/>
      <c r="X606" s="111"/>
      <c r="Y606" s="111"/>
      <c r="Z606" s="111"/>
      <c r="AA606" s="111"/>
      <c r="AB606" s="111"/>
      <c r="AC606" s="111"/>
      <c r="AD606" s="111"/>
      <c r="AE606" s="139">
        <f t="shared" si="39"/>
        <v>0</v>
      </c>
      <c r="AF606" s="109"/>
      <c r="AG606" s="109"/>
    </row>
    <row r="607" spans="1:33">
      <c r="A607" s="117"/>
      <c r="B607" s="118"/>
      <c r="C607" s="118"/>
      <c r="D607" s="118"/>
      <c r="E607" s="119"/>
      <c r="F607" s="118"/>
      <c r="G607" s="110"/>
      <c r="H607" s="126"/>
      <c r="I607" s="114">
        <v>0</v>
      </c>
      <c r="J607" s="115">
        <v>0</v>
      </c>
      <c r="K607" s="116">
        <v>0</v>
      </c>
      <c r="L607" s="116">
        <v>0</v>
      </c>
      <c r="M607" s="114">
        <v>0</v>
      </c>
      <c r="N607" s="113">
        <v>0</v>
      </c>
      <c r="O607" s="113">
        <v>0</v>
      </c>
      <c r="P607" s="116">
        <v>0</v>
      </c>
      <c r="Q607" s="116">
        <v>0</v>
      </c>
      <c r="R607" s="116">
        <v>0</v>
      </c>
      <c r="S607" s="114">
        <v>0</v>
      </c>
      <c r="T607" s="116">
        <v>0</v>
      </c>
      <c r="U607" s="116">
        <v>0</v>
      </c>
      <c r="V607" s="121">
        <f t="shared" si="40"/>
        <v>0</v>
      </c>
      <c r="W607" s="111"/>
      <c r="X607" s="111"/>
      <c r="Y607" s="111"/>
      <c r="Z607" s="111"/>
      <c r="AA607" s="111"/>
      <c r="AB607" s="111"/>
      <c r="AC607" s="111"/>
      <c r="AD607" s="111"/>
      <c r="AE607" s="139">
        <f t="shared" si="39"/>
        <v>0</v>
      </c>
      <c r="AF607" s="109"/>
      <c r="AG607" s="109"/>
    </row>
    <row r="608" spans="1:33">
      <c r="A608" s="117"/>
      <c r="B608" s="118"/>
      <c r="C608" s="118"/>
      <c r="D608" s="118"/>
      <c r="E608" s="119"/>
      <c r="F608" s="118"/>
      <c r="G608" s="110"/>
      <c r="H608" s="126"/>
      <c r="I608" s="114">
        <v>0</v>
      </c>
      <c r="J608" s="115">
        <v>0</v>
      </c>
      <c r="K608" s="116">
        <v>0</v>
      </c>
      <c r="L608" s="116">
        <v>0</v>
      </c>
      <c r="M608" s="114">
        <v>0</v>
      </c>
      <c r="N608" s="113">
        <v>0</v>
      </c>
      <c r="O608" s="113">
        <v>0</v>
      </c>
      <c r="P608" s="116">
        <v>0</v>
      </c>
      <c r="Q608" s="116">
        <v>0</v>
      </c>
      <c r="R608" s="116">
        <v>0</v>
      </c>
      <c r="S608" s="114">
        <v>0</v>
      </c>
      <c r="T608" s="116">
        <v>0</v>
      </c>
      <c r="U608" s="116">
        <v>0</v>
      </c>
      <c r="V608" s="121">
        <f t="shared" si="40"/>
        <v>0</v>
      </c>
      <c r="W608" s="111"/>
      <c r="X608" s="111"/>
      <c r="Y608" s="111"/>
      <c r="Z608" s="111"/>
      <c r="AA608" s="111"/>
      <c r="AB608" s="111"/>
      <c r="AC608" s="111"/>
      <c r="AD608" s="111"/>
      <c r="AE608" s="139">
        <f t="shared" si="39"/>
        <v>0</v>
      </c>
      <c r="AF608" s="109"/>
      <c r="AG608" s="109"/>
    </row>
    <row r="609" spans="1:33">
      <c r="A609" s="117"/>
      <c r="B609" s="118"/>
      <c r="C609" s="118"/>
      <c r="D609" s="118"/>
      <c r="E609" s="119"/>
      <c r="F609" s="118"/>
      <c r="G609" s="110"/>
      <c r="H609" s="126"/>
      <c r="I609" s="114">
        <v>0</v>
      </c>
      <c r="J609" s="115">
        <v>0</v>
      </c>
      <c r="K609" s="116">
        <v>0</v>
      </c>
      <c r="L609" s="116">
        <v>0</v>
      </c>
      <c r="M609" s="114">
        <v>0</v>
      </c>
      <c r="N609" s="113">
        <v>0</v>
      </c>
      <c r="O609" s="113">
        <v>0</v>
      </c>
      <c r="P609" s="116">
        <v>0</v>
      </c>
      <c r="Q609" s="116">
        <v>0</v>
      </c>
      <c r="R609" s="116">
        <v>0</v>
      </c>
      <c r="S609" s="114">
        <v>0</v>
      </c>
      <c r="T609" s="116">
        <v>0</v>
      </c>
      <c r="U609" s="116">
        <v>0</v>
      </c>
      <c r="V609" s="121">
        <f t="shared" si="40"/>
        <v>0</v>
      </c>
      <c r="W609" s="111"/>
      <c r="X609" s="111"/>
      <c r="Y609" s="111"/>
      <c r="Z609" s="111"/>
      <c r="AA609" s="111"/>
      <c r="AB609" s="111"/>
      <c r="AC609" s="111"/>
      <c r="AD609" s="111"/>
      <c r="AE609" s="139">
        <f t="shared" si="39"/>
        <v>0</v>
      </c>
      <c r="AF609" s="109"/>
      <c r="AG609" s="109"/>
    </row>
    <row r="610" spans="1:33">
      <c r="A610" s="117"/>
      <c r="B610" s="118"/>
      <c r="C610" s="118"/>
      <c r="D610" s="118"/>
      <c r="E610" s="119"/>
      <c r="F610" s="118"/>
      <c r="G610" s="110"/>
      <c r="H610" s="126"/>
      <c r="I610" s="114">
        <v>0</v>
      </c>
      <c r="J610" s="115">
        <v>0</v>
      </c>
      <c r="K610" s="116">
        <v>0</v>
      </c>
      <c r="L610" s="116">
        <v>0</v>
      </c>
      <c r="M610" s="114">
        <v>0</v>
      </c>
      <c r="N610" s="113">
        <v>0</v>
      </c>
      <c r="O610" s="113">
        <v>0</v>
      </c>
      <c r="P610" s="116">
        <v>0</v>
      </c>
      <c r="Q610" s="116">
        <v>0</v>
      </c>
      <c r="R610" s="116">
        <v>0</v>
      </c>
      <c r="S610" s="114">
        <v>0</v>
      </c>
      <c r="T610" s="116">
        <v>0</v>
      </c>
      <c r="U610" s="116">
        <v>0</v>
      </c>
      <c r="V610" s="121">
        <f t="shared" si="40"/>
        <v>0</v>
      </c>
      <c r="W610" s="111"/>
      <c r="X610" s="111"/>
      <c r="Y610" s="111"/>
      <c r="Z610" s="111"/>
      <c r="AA610" s="111"/>
      <c r="AB610" s="111"/>
      <c r="AC610" s="111"/>
      <c r="AD610" s="111"/>
      <c r="AE610" s="139">
        <f t="shared" si="39"/>
        <v>0</v>
      </c>
      <c r="AF610" s="109"/>
      <c r="AG610" s="109"/>
    </row>
    <row r="611" spans="1:33">
      <c r="A611" s="117"/>
      <c r="B611" s="118"/>
      <c r="C611" s="118"/>
      <c r="D611" s="118"/>
      <c r="E611" s="119"/>
      <c r="F611" s="118"/>
      <c r="G611" s="110"/>
      <c r="H611" s="126"/>
      <c r="I611" s="114">
        <v>0</v>
      </c>
      <c r="J611" s="115">
        <v>0</v>
      </c>
      <c r="K611" s="116">
        <v>0</v>
      </c>
      <c r="L611" s="116">
        <v>0</v>
      </c>
      <c r="M611" s="114">
        <v>0</v>
      </c>
      <c r="N611" s="113">
        <v>0</v>
      </c>
      <c r="O611" s="113">
        <v>0</v>
      </c>
      <c r="P611" s="116">
        <v>0</v>
      </c>
      <c r="Q611" s="116">
        <v>0</v>
      </c>
      <c r="R611" s="116">
        <v>0</v>
      </c>
      <c r="S611" s="114">
        <v>0</v>
      </c>
      <c r="T611" s="116">
        <v>0</v>
      </c>
      <c r="U611" s="116">
        <v>0</v>
      </c>
      <c r="V611" s="121">
        <f t="shared" si="40"/>
        <v>0</v>
      </c>
      <c r="W611" s="111"/>
      <c r="X611" s="111"/>
      <c r="Y611" s="111"/>
      <c r="Z611" s="111"/>
      <c r="AA611" s="111"/>
      <c r="AB611" s="111"/>
      <c r="AC611" s="111"/>
      <c r="AD611" s="111"/>
      <c r="AE611" s="139">
        <f t="shared" si="39"/>
        <v>0</v>
      </c>
      <c r="AF611" s="109"/>
      <c r="AG611" s="109"/>
    </row>
    <row r="612" spans="1:33">
      <c r="A612" s="117"/>
      <c r="B612" s="118"/>
      <c r="C612" s="118"/>
      <c r="D612" s="118"/>
      <c r="E612" s="119"/>
      <c r="F612" s="118"/>
      <c r="G612" s="110"/>
      <c r="H612" s="126"/>
      <c r="I612" s="114">
        <v>0</v>
      </c>
      <c r="J612" s="115">
        <v>0</v>
      </c>
      <c r="K612" s="116">
        <v>0</v>
      </c>
      <c r="L612" s="116">
        <v>0</v>
      </c>
      <c r="M612" s="114">
        <v>0</v>
      </c>
      <c r="N612" s="113">
        <v>0</v>
      </c>
      <c r="O612" s="113">
        <v>0</v>
      </c>
      <c r="P612" s="116">
        <v>0</v>
      </c>
      <c r="Q612" s="116">
        <v>0</v>
      </c>
      <c r="R612" s="116">
        <v>0</v>
      </c>
      <c r="S612" s="114">
        <v>0</v>
      </c>
      <c r="T612" s="116">
        <v>0</v>
      </c>
      <c r="U612" s="116">
        <v>0</v>
      </c>
      <c r="V612" s="121">
        <f t="shared" si="40"/>
        <v>0</v>
      </c>
      <c r="W612" s="111"/>
      <c r="X612" s="111"/>
      <c r="Y612" s="111"/>
      <c r="Z612" s="111"/>
      <c r="AA612" s="111"/>
      <c r="AB612" s="111"/>
      <c r="AC612" s="111"/>
      <c r="AD612" s="111"/>
      <c r="AE612" s="139">
        <f t="shared" si="39"/>
        <v>0</v>
      </c>
      <c r="AF612" s="109"/>
      <c r="AG612" s="109"/>
    </row>
    <row r="613" spans="1:33">
      <c r="A613" s="117"/>
      <c r="B613" s="118"/>
      <c r="C613" s="118"/>
      <c r="D613" s="118"/>
      <c r="E613" s="119"/>
      <c r="F613" s="118"/>
      <c r="G613" s="110"/>
      <c r="H613" s="126"/>
      <c r="I613" s="114">
        <v>0</v>
      </c>
      <c r="J613" s="115">
        <v>0</v>
      </c>
      <c r="K613" s="116">
        <v>0</v>
      </c>
      <c r="L613" s="116">
        <v>0</v>
      </c>
      <c r="M613" s="114">
        <v>0</v>
      </c>
      <c r="N613" s="113">
        <v>0</v>
      </c>
      <c r="O613" s="113">
        <v>0</v>
      </c>
      <c r="P613" s="116">
        <v>0</v>
      </c>
      <c r="Q613" s="116">
        <v>0</v>
      </c>
      <c r="R613" s="116">
        <v>0</v>
      </c>
      <c r="S613" s="114">
        <v>0</v>
      </c>
      <c r="T613" s="116">
        <v>0</v>
      </c>
      <c r="U613" s="116">
        <v>0</v>
      </c>
      <c r="V613" s="121">
        <f t="shared" si="40"/>
        <v>0</v>
      </c>
      <c r="W613" s="111"/>
      <c r="X613" s="111"/>
      <c r="Y613" s="111"/>
      <c r="Z613" s="111"/>
      <c r="AA613" s="111"/>
      <c r="AB613" s="111"/>
      <c r="AC613" s="111"/>
      <c r="AD613" s="111"/>
      <c r="AE613" s="139">
        <f t="shared" si="39"/>
        <v>0</v>
      </c>
      <c r="AF613" s="109"/>
      <c r="AG613" s="109"/>
    </row>
    <row r="614" spans="1:33">
      <c r="A614" s="117"/>
      <c r="B614" s="118"/>
      <c r="C614" s="118"/>
      <c r="D614" s="118"/>
      <c r="E614" s="119"/>
      <c r="F614" s="118"/>
      <c r="G614" s="110"/>
      <c r="H614" s="126"/>
      <c r="I614" s="114">
        <v>0</v>
      </c>
      <c r="J614" s="115">
        <v>0</v>
      </c>
      <c r="K614" s="116">
        <v>0</v>
      </c>
      <c r="L614" s="116">
        <v>0</v>
      </c>
      <c r="M614" s="114">
        <v>0</v>
      </c>
      <c r="N614" s="113">
        <v>0</v>
      </c>
      <c r="O614" s="113">
        <v>0</v>
      </c>
      <c r="P614" s="116">
        <v>0</v>
      </c>
      <c r="Q614" s="116">
        <v>0</v>
      </c>
      <c r="R614" s="116">
        <v>0</v>
      </c>
      <c r="S614" s="114">
        <v>0</v>
      </c>
      <c r="T614" s="116">
        <v>0</v>
      </c>
      <c r="U614" s="116">
        <v>0</v>
      </c>
      <c r="V614" s="121">
        <f t="shared" si="40"/>
        <v>0</v>
      </c>
      <c r="W614" s="111"/>
      <c r="X614" s="111"/>
      <c r="Y614" s="111"/>
      <c r="Z614" s="111"/>
      <c r="AA614" s="111"/>
      <c r="AB614" s="111"/>
      <c r="AC614" s="111"/>
      <c r="AD614" s="111"/>
      <c r="AE614" s="139">
        <f t="shared" si="39"/>
        <v>0</v>
      </c>
      <c r="AF614" s="109"/>
      <c r="AG614" s="109"/>
    </row>
    <row r="615" spans="1:33">
      <c r="A615" s="117"/>
      <c r="B615" s="118"/>
      <c r="C615" s="118"/>
      <c r="D615" s="118"/>
      <c r="E615" s="119"/>
      <c r="F615" s="118"/>
      <c r="G615" s="110"/>
      <c r="H615" s="126"/>
      <c r="I615" s="114">
        <v>0</v>
      </c>
      <c r="J615" s="115">
        <v>0</v>
      </c>
      <c r="K615" s="116">
        <v>0</v>
      </c>
      <c r="L615" s="116">
        <v>0</v>
      </c>
      <c r="M615" s="114">
        <v>0</v>
      </c>
      <c r="N615" s="113">
        <v>0</v>
      </c>
      <c r="O615" s="113">
        <v>0</v>
      </c>
      <c r="P615" s="116">
        <v>0</v>
      </c>
      <c r="Q615" s="116">
        <v>0</v>
      </c>
      <c r="R615" s="116">
        <v>0</v>
      </c>
      <c r="S615" s="114">
        <v>0</v>
      </c>
      <c r="T615" s="116">
        <v>0</v>
      </c>
      <c r="U615" s="116">
        <v>0</v>
      </c>
      <c r="V615" s="121">
        <f t="shared" si="40"/>
        <v>0</v>
      </c>
      <c r="W615" s="111"/>
      <c r="X615" s="111"/>
      <c r="Y615" s="111"/>
      <c r="Z615" s="111"/>
      <c r="AA615" s="111"/>
      <c r="AB615" s="111"/>
      <c r="AC615" s="111"/>
      <c r="AD615" s="111"/>
      <c r="AE615" s="139">
        <f t="shared" si="39"/>
        <v>0</v>
      </c>
      <c r="AF615" s="109"/>
      <c r="AG615" s="109"/>
    </row>
    <row r="616" spans="1:33">
      <c r="A616" s="117"/>
      <c r="B616" s="118"/>
      <c r="C616" s="118"/>
      <c r="D616" s="118"/>
      <c r="E616" s="119"/>
      <c r="F616" s="118"/>
      <c r="G616" s="110"/>
      <c r="H616" s="126"/>
      <c r="I616" s="114">
        <v>0</v>
      </c>
      <c r="J616" s="115">
        <v>0</v>
      </c>
      <c r="K616" s="116">
        <v>0</v>
      </c>
      <c r="L616" s="116">
        <v>0</v>
      </c>
      <c r="M616" s="114">
        <v>0</v>
      </c>
      <c r="N616" s="113">
        <v>0</v>
      </c>
      <c r="O616" s="113">
        <v>0</v>
      </c>
      <c r="P616" s="116">
        <v>0</v>
      </c>
      <c r="Q616" s="116">
        <v>0</v>
      </c>
      <c r="R616" s="116">
        <v>0</v>
      </c>
      <c r="S616" s="114">
        <v>0</v>
      </c>
      <c r="T616" s="116">
        <v>0</v>
      </c>
      <c r="U616" s="116">
        <v>0</v>
      </c>
      <c r="V616" s="121">
        <f t="shared" si="40"/>
        <v>0</v>
      </c>
      <c r="W616" s="111"/>
      <c r="X616" s="111"/>
      <c r="Y616" s="111"/>
      <c r="Z616" s="111"/>
      <c r="AA616" s="111"/>
      <c r="AB616" s="111"/>
      <c r="AC616" s="111"/>
      <c r="AD616" s="111"/>
      <c r="AE616" s="139">
        <f t="shared" si="39"/>
        <v>0</v>
      </c>
      <c r="AF616" s="109"/>
      <c r="AG616" s="109"/>
    </row>
    <row r="617" spans="1:33">
      <c r="A617" s="117"/>
      <c r="B617" s="118"/>
      <c r="C617" s="118"/>
      <c r="D617" s="118"/>
      <c r="E617" s="119"/>
      <c r="F617" s="118"/>
      <c r="G617" s="110"/>
      <c r="H617" s="126"/>
      <c r="I617" s="114">
        <v>0</v>
      </c>
      <c r="J617" s="115">
        <v>0</v>
      </c>
      <c r="K617" s="116">
        <v>0</v>
      </c>
      <c r="L617" s="116">
        <v>0</v>
      </c>
      <c r="M617" s="114">
        <v>0</v>
      </c>
      <c r="N617" s="113">
        <v>0</v>
      </c>
      <c r="O617" s="113">
        <v>0</v>
      </c>
      <c r="P617" s="116">
        <v>0</v>
      </c>
      <c r="Q617" s="116">
        <v>0</v>
      </c>
      <c r="R617" s="116">
        <v>0</v>
      </c>
      <c r="S617" s="114">
        <v>0</v>
      </c>
      <c r="T617" s="116">
        <v>0</v>
      </c>
      <c r="U617" s="116">
        <v>0</v>
      </c>
      <c r="V617" s="121">
        <f t="shared" si="40"/>
        <v>0</v>
      </c>
      <c r="W617" s="111"/>
      <c r="X617" s="111"/>
      <c r="Y617" s="111"/>
      <c r="Z617" s="111"/>
      <c r="AA617" s="111"/>
      <c r="AB617" s="111"/>
      <c r="AC617" s="111"/>
      <c r="AD617" s="111"/>
      <c r="AE617" s="139">
        <f t="shared" ref="AE617:AE680" si="41">V617-(X617+Y617)</f>
        <v>0</v>
      </c>
      <c r="AF617" s="109"/>
      <c r="AG617" s="109"/>
    </row>
    <row r="618" spans="1:33">
      <c r="A618" s="117"/>
      <c r="B618" s="118"/>
      <c r="C618" s="118"/>
      <c r="D618" s="118"/>
      <c r="E618" s="119"/>
      <c r="F618" s="118"/>
      <c r="G618" s="110"/>
      <c r="H618" s="126"/>
      <c r="I618" s="114">
        <v>0</v>
      </c>
      <c r="J618" s="115">
        <v>0</v>
      </c>
      <c r="K618" s="116">
        <v>0</v>
      </c>
      <c r="L618" s="116">
        <v>0</v>
      </c>
      <c r="M618" s="114">
        <v>0</v>
      </c>
      <c r="N618" s="113">
        <v>0</v>
      </c>
      <c r="O618" s="113">
        <v>0</v>
      </c>
      <c r="P618" s="116">
        <v>0</v>
      </c>
      <c r="Q618" s="116">
        <v>0</v>
      </c>
      <c r="R618" s="116">
        <v>0</v>
      </c>
      <c r="S618" s="114">
        <v>0</v>
      </c>
      <c r="T618" s="116">
        <v>0</v>
      </c>
      <c r="U618" s="116">
        <v>0</v>
      </c>
      <c r="V618" s="121">
        <f t="shared" si="40"/>
        <v>0</v>
      </c>
      <c r="W618" s="111"/>
      <c r="X618" s="111"/>
      <c r="Y618" s="111"/>
      <c r="Z618" s="111"/>
      <c r="AA618" s="111"/>
      <c r="AB618" s="111"/>
      <c r="AC618" s="111"/>
      <c r="AD618" s="111"/>
      <c r="AE618" s="139">
        <f t="shared" si="41"/>
        <v>0</v>
      </c>
      <c r="AF618" s="109"/>
      <c r="AG618" s="109"/>
    </row>
    <row r="619" spans="1:33">
      <c r="A619" s="117"/>
      <c r="B619" s="118"/>
      <c r="C619" s="118"/>
      <c r="D619" s="118"/>
      <c r="E619" s="119"/>
      <c r="F619" s="118"/>
      <c r="G619" s="110"/>
      <c r="H619" s="126"/>
      <c r="I619" s="114">
        <v>0</v>
      </c>
      <c r="J619" s="115">
        <v>0</v>
      </c>
      <c r="K619" s="116">
        <v>0</v>
      </c>
      <c r="L619" s="116">
        <v>0</v>
      </c>
      <c r="M619" s="114">
        <v>0</v>
      </c>
      <c r="N619" s="113">
        <v>0</v>
      </c>
      <c r="O619" s="113">
        <v>0</v>
      </c>
      <c r="P619" s="116">
        <v>0</v>
      </c>
      <c r="Q619" s="116">
        <v>0</v>
      </c>
      <c r="R619" s="116">
        <v>0</v>
      </c>
      <c r="S619" s="114">
        <v>0</v>
      </c>
      <c r="T619" s="116">
        <v>0</v>
      </c>
      <c r="U619" s="116">
        <v>0</v>
      </c>
      <c r="V619" s="121">
        <f t="shared" si="40"/>
        <v>0</v>
      </c>
      <c r="W619" s="111"/>
      <c r="X619" s="111"/>
      <c r="Y619" s="111"/>
      <c r="Z619" s="111"/>
      <c r="AA619" s="111"/>
      <c r="AB619" s="111"/>
      <c r="AC619" s="111"/>
      <c r="AD619" s="111"/>
      <c r="AE619" s="139">
        <f t="shared" si="41"/>
        <v>0</v>
      </c>
      <c r="AF619" s="109"/>
      <c r="AG619" s="109"/>
    </row>
    <row r="620" spans="1:33">
      <c r="A620" s="117"/>
      <c r="B620" s="118"/>
      <c r="C620" s="118"/>
      <c r="D620" s="118"/>
      <c r="E620" s="119"/>
      <c r="F620" s="118"/>
      <c r="G620" s="110"/>
      <c r="H620" s="126"/>
      <c r="I620" s="114">
        <v>0</v>
      </c>
      <c r="J620" s="115">
        <v>0</v>
      </c>
      <c r="K620" s="116">
        <v>0</v>
      </c>
      <c r="L620" s="116">
        <v>0</v>
      </c>
      <c r="M620" s="114">
        <v>0</v>
      </c>
      <c r="N620" s="113">
        <v>0</v>
      </c>
      <c r="O620" s="113">
        <v>0</v>
      </c>
      <c r="P620" s="116">
        <v>0</v>
      </c>
      <c r="Q620" s="116">
        <v>0</v>
      </c>
      <c r="R620" s="116">
        <v>0</v>
      </c>
      <c r="S620" s="114">
        <v>0</v>
      </c>
      <c r="T620" s="116">
        <v>0</v>
      </c>
      <c r="U620" s="116">
        <v>0</v>
      </c>
      <c r="V620" s="121">
        <f t="shared" si="40"/>
        <v>0</v>
      </c>
      <c r="W620" s="111"/>
      <c r="X620" s="111"/>
      <c r="Y620" s="111"/>
      <c r="Z620" s="111"/>
      <c r="AA620" s="111"/>
      <c r="AB620" s="111"/>
      <c r="AC620" s="111"/>
      <c r="AD620" s="111"/>
      <c r="AE620" s="139">
        <f t="shared" si="41"/>
        <v>0</v>
      </c>
      <c r="AF620" s="109"/>
      <c r="AG620" s="109"/>
    </row>
    <row r="621" spans="1:33">
      <c r="A621" s="117"/>
      <c r="B621" s="118"/>
      <c r="C621" s="118"/>
      <c r="D621" s="118"/>
      <c r="E621" s="119"/>
      <c r="F621" s="118"/>
      <c r="G621" s="110"/>
      <c r="H621" s="126"/>
      <c r="I621" s="114">
        <v>0</v>
      </c>
      <c r="J621" s="115">
        <v>0</v>
      </c>
      <c r="K621" s="116">
        <v>0</v>
      </c>
      <c r="L621" s="116">
        <v>0</v>
      </c>
      <c r="M621" s="114">
        <v>0</v>
      </c>
      <c r="N621" s="113">
        <v>0</v>
      </c>
      <c r="O621" s="113">
        <v>0</v>
      </c>
      <c r="P621" s="116">
        <v>0</v>
      </c>
      <c r="Q621" s="116">
        <v>0</v>
      </c>
      <c r="R621" s="116">
        <v>0</v>
      </c>
      <c r="S621" s="114">
        <v>0</v>
      </c>
      <c r="T621" s="116">
        <v>0</v>
      </c>
      <c r="U621" s="116">
        <v>0</v>
      </c>
      <c r="V621" s="121">
        <f t="shared" si="40"/>
        <v>0</v>
      </c>
      <c r="W621" s="111"/>
      <c r="X621" s="111"/>
      <c r="Y621" s="111"/>
      <c r="Z621" s="111"/>
      <c r="AA621" s="111"/>
      <c r="AB621" s="111"/>
      <c r="AC621" s="111"/>
      <c r="AD621" s="111"/>
      <c r="AE621" s="139">
        <f t="shared" si="41"/>
        <v>0</v>
      </c>
      <c r="AF621" s="109"/>
      <c r="AG621" s="109"/>
    </row>
    <row r="622" spans="1:33">
      <c r="A622" s="117"/>
      <c r="B622" s="118"/>
      <c r="C622" s="118"/>
      <c r="D622" s="118"/>
      <c r="E622" s="119"/>
      <c r="F622" s="118"/>
      <c r="G622" s="110"/>
      <c r="H622" s="126"/>
      <c r="I622" s="114">
        <v>0</v>
      </c>
      <c r="J622" s="115">
        <v>0</v>
      </c>
      <c r="K622" s="116">
        <v>0</v>
      </c>
      <c r="L622" s="116">
        <v>0</v>
      </c>
      <c r="M622" s="114">
        <v>0</v>
      </c>
      <c r="N622" s="113">
        <v>0</v>
      </c>
      <c r="O622" s="113">
        <v>0</v>
      </c>
      <c r="P622" s="116">
        <v>0</v>
      </c>
      <c r="Q622" s="116">
        <v>0</v>
      </c>
      <c r="R622" s="116">
        <v>0</v>
      </c>
      <c r="S622" s="114">
        <v>0</v>
      </c>
      <c r="T622" s="116">
        <v>0</v>
      </c>
      <c r="U622" s="116">
        <v>0</v>
      </c>
      <c r="V622" s="121">
        <f t="shared" si="40"/>
        <v>0</v>
      </c>
      <c r="W622" s="111"/>
      <c r="X622" s="111"/>
      <c r="Y622" s="111"/>
      <c r="Z622" s="111"/>
      <c r="AA622" s="111"/>
      <c r="AB622" s="111"/>
      <c r="AC622" s="111"/>
      <c r="AD622" s="111"/>
      <c r="AE622" s="139">
        <f t="shared" si="41"/>
        <v>0</v>
      </c>
      <c r="AF622" s="109"/>
      <c r="AG622" s="109"/>
    </row>
    <row r="623" spans="1:33">
      <c r="A623" s="117"/>
      <c r="B623" s="118"/>
      <c r="C623" s="118"/>
      <c r="D623" s="118"/>
      <c r="E623" s="119"/>
      <c r="F623" s="118"/>
      <c r="G623" s="110"/>
      <c r="H623" s="126"/>
      <c r="I623" s="114">
        <v>0</v>
      </c>
      <c r="J623" s="115">
        <v>0</v>
      </c>
      <c r="K623" s="116">
        <v>0</v>
      </c>
      <c r="L623" s="116">
        <v>0</v>
      </c>
      <c r="M623" s="114">
        <v>0</v>
      </c>
      <c r="N623" s="113">
        <v>0</v>
      </c>
      <c r="O623" s="113">
        <v>0</v>
      </c>
      <c r="P623" s="116">
        <v>0</v>
      </c>
      <c r="Q623" s="116">
        <v>0</v>
      </c>
      <c r="R623" s="116">
        <v>0</v>
      </c>
      <c r="S623" s="114">
        <v>0</v>
      </c>
      <c r="T623" s="116">
        <v>0</v>
      </c>
      <c r="U623" s="116">
        <v>0</v>
      </c>
      <c r="V623" s="121">
        <f t="shared" si="40"/>
        <v>0</v>
      </c>
      <c r="W623" s="111"/>
      <c r="X623" s="111"/>
      <c r="Y623" s="111"/>
      <c r="Z623" s="111"/>
      <c r="AA623" s="111"/>
      <c r="AB623" s="111"/>
      <c r="AC623" s="111"/>
      <c r="AD623" s="111"/>
      <c r="AE623" s="139">
        <f t="shared" si="41"/>
        <v>0</v>
      </c>
      <c r="AF623" s="109"/>
      <c r="AG623" s="109"/>
    </row>
    <row r="624" spans="1:33">
      <c r="A624" s="117"/>
      <c r="B624" s="118"/>
      <c r="C624" s="118"/>
      <c r="D624" s="118"/>
      <c r="E624" s="119"/>
      <c r="F624" s="118"/>
      <c r="G624" s="110"/>
      <c r="H624" s="126"/>
      <c r="I624" s="114">
        <v>0</v>
      </c>
      <c r="J624" s="115">
        <v>0</v>
      </c>
      <c r="K624" s="116">
        <v>0</v>
      </c>
      <c r="L624" s="116">
        <v>0</v>
      </c>
      <c r="M624" s="114">
        <v>0</v>
      </c>
      <c r="N624" s="113">
        <v>0</v>
      </c>
      <c r="O624" s="113">
        <v>0</v>
      </c>
      <c r="P624" s="116">
        <v>0</v>
      </c>
      <c r="Q624" s="116">
        <v>0</v>
      </c>
      <c r="R624" s="116">
        <v>0</v>
      </c>
      <c r="S624" s="114">
        <v>0</v>
      </c>
      <c r="T624" s="116">
        <v>0</v>
      </c>
      <c r="U624" s="116">
        <v>0</v>
      </c>
      <c r="V624" s="121">
        <f t="shared" si="40"/>
        <v>0</v>
      </c>
      <c r="W624" s="111"/>
      <c r="X624" s="111"/>
      <c r="Y624" s="111"/>
      <c r="Z624" s="111"/>
      <c r="AA624" s="111"/>
      <c r="AB624" s="111"/>
      <c r="AC624" s="111"/>
      <c r="AD624" s="111"/>
      <c r="AE624" s="139">
        <f t="shared" si="41"/>
        <v>0</v>
      </c>
      <c r="AF624" s="109"/>
      <c r="AG624" s="109"/>
    </row>
    <row r="625" spans="1:33">
      <c r="A625" s="117"/>
      <c r="B625" s="118"/>
      <c r="C625" s="118"/>
      <c r="D625" s="118"/>
      <c r="E625" s="119"/>
      <c r="F625" s="118"/>
      <c r="G625" s="110"/>
      <c r="H625" s="126"/>
      <c r="I625" s="114">
        <v>0</v>
      </c>
      <c r="J625" s="115">
        <v>0</v>
      </c>
      <c r="K625" s="116">
        <v>0</v>
      </c>
      <c r="L625" s="116">
        <v>0</v>
      </c>
      <c r="M625" s="114">
        <v>0</v>
      </c>
      <c r="N625" s="113">
        <v>0</v>
      </c>
      <c r="O625" s="113">
        <v>0</v>
      </c>
      <c r="P625" s="116">
        <v>0</v>
      </c>
      <c r="Q625" s="116">
        <v>0</v>
      </c>
      <c r="R625" s="116">
        <v>0</v>
      </c>
      <c r="S625" s="114">
        <v>0</v>
      </c>
      <c r="T625" s="116">
        <v>0</v>
      </c>
      <c r="U625" s="116">
        <v>0</v>
      </c>
      <c r="V625" s="121">
        <f t="shared" ref="V625:V688" si="42">+G625-(SUM(I625:N625,P625:S625,U625))</f>
        <v>0</v>
      </c>
      <c r="W625" s="111"/>
      <c r="X625" s="111"/>
      <c r="Y625" s="111"/>
      <c r="Z625" s="111"/>
      <c r="AA625" s="111"/>
      <c r="AB625" s="111"/>
      <c r="AC625" s="111"/>
      <c r="AD625" s="111"/>
      <c r="AE625" s="139">
        <f t="shared" si="41"/>
        <v>0</v>
      </c>
      <c r="AF625" s="109"/>
      <c r="AG625" s="109"/>
    </row>
    <row r="626" spans="1:33">
      <c r="A626" s="117"/>
      <c r="B626" s="118"/>
      <c r="C626" s="118"/>
      <c r="D626" s="118"/>
      <c r="E626" s="119"/>
      <c r="F626" s="118"/>
      <c r="G626" s="110"/>
      <c r="H626" s="126"/>
      <c r="I626" s="114">
        <v>0</v>
      </c>
      <c r="J626" s="115">
        <v>0</v>
      </c>
      <c r="K626" s="116">
        <v>0</v>
      </c>
      <c r="L626" s="116">
        <v>0</v>
      </c>
      <c r="M626" s="114">
        <v>0</v>
      </c>
      <c r="N626" s="113">
        <v>0</v>
      </c>
      <c r="O626" s="113">
        <v>0</v>
      </c>
      <c r="P626" s="116">
        <v>0</v>
      </c>
      <c r="Q626" s="116">
        <v>0</v>
      </c>
      <c r="R626" s="116">
        <v>0</v>
      </c>
      <c r="S626" s="114">
        <v>0</v>
      </c>
      <c r="T626" s="116">
        <v>0</v>
      </c>
      <c r="U626" s="116">
        <v>0</v>
      </c>
      <c r="V626" s="121">
        <f t="shared" si="42"/>
        <v>0</v>
      </c>
      <c r="W626" s="111"/>
      <c r="X626" s="111"/>
      <c r="Y626" s="111"/>
      <c r="Z626" s="111"/>
      <c r="AA626" s="111"/>
      <c r="AB626" s="111"/>
      <c r="AC626" s="111"/>
      <c r="AD626" s="111"/>
      <c r="AE626" s="139">
        <f t="shared" si="41"/>
        <v>0</v>
      </c>
      <c r="AF626" s="109"/>
      <c r="AG626" s="109"/>
    </row>
    <row r="627" spans="1:33">
      <c r="A627" s="117"/>
      <c r="B627" s="118"/>
      <c r="C627" s="118"/>
      <c r="D627" s="118"/>
      <c r="E627" s="119"/>
      <c r="F627" s="118"/>
      <c r="G627" s="110"/>
      <c r="H627" s="126"/>
      <c r="I627" s="114">
        <v>0</v>
      </c>
      <c r="J627" s="115">
        <v>0</v>
      </c>
      <c r="K627" s="116">
        <v>0</v>
      </c>
      <c r="L627" s="116">
        <v>0</v>
      </c>
      <c r="M627" s="114">
        <v>0</v>
      </c>
      <c r="N627" s="113">
        <v>0</v>
      </c>
      <c r="O627" s="113">
        <v>0</v>
      </c>
      <c r="P627" s="116">
        <v>0</v>
      </c>
      <c r="Q627" s="116">
        <v>0</v>
      </c>
      <c r="R627" s="116">
        <v>0</v>
      </c>
      <c r="S627" s="114">
        <v>0</v>
      </c>
      <c r="T627" s="116">
        <v>0</v>
      </c>
      <c r="U627" s="116">
        <v>0</v>
      </c>
      <c r="V627" s="121">
        <f t="shared" si="42"/>
        <v>0</v>
      </c>
      <c r="W627" s="111"/>
      <c r="X627" s="111"/>
      <c r="Y627" s="111"/>
      <c r="Z627" s="111"/>
      <c r="AA627" s="111"/>
      <c r="AB627" s="111"/>
      <c r="AC627" s="111"/>
      <c r="AD627" s="111"/>
      <c r="AE627" s="139">
        <f t="shared" si="41"/>
        <v>0</v>
      </c>
      <c r="AF627" s="109"/>
      <c r="AG627" s="109"/>
    </row>
    <row r="628" spans="1:33">
      <c r="A628" s="117"/>
      <c r="B628" s="118"/>
      <c r="C628" s="118"/>
      <c r="D628" s="118"/>
      <c r="E628" s="119"/>
      <c r="F628" s="118"/>
      <c r="G628" s="110"/>
      <c r="H628" s="126"/>
      <c r="I628" s="114">
        <v>0</v>
      </c>
      <c r="J628" s="115">
        <v>0</v>
      </c>
      <c r="K628" s="116">
        <v>0</v>
      </c>
      <c r="L628" s="116">
        <v>0</v>
      </c>
      <c r="M628" s="114">
        <v>0</v>
      </c>
      <c r="N628" s="113">
        <v>0</v>
      </c>
      <c r="O628" s="113">
        <v>0</v>
      </c>
      <c r="P628" s="116">
        <v>0</v>
      </c>
      <c r="Q628" s="116">
        <v>0</v>
      </c>
      <c r="R628" s="116">
        <v>0</v>
      </c>
      <c r="S628" s="114">
        <v>0</v>
      </c>
      <c r="T628" s="116">
        <v>0</v>
      </c>
      <c r="U628" s="116">
        <v>0</v>
      </c>
      <c r="V628" s="121">
        <f t="shared" si="42"/>
        <v>0</v>
      </c>
      <c r="W628" s="111"/>
      <c r="X628" s="111"/>
      <c r="Y628" s="111"/>
      <c r="Z628" s="111"/>
      <c r="AA628" s="111"/>
      <c r="AB628" s="111"/>
      <c r="AC628" s="111"/>
      <c r="AD628" s="111"/>
      <c r="AE628" s="139">
        <f t="shared" si="41"/>
        <v>0</v>
      </c>
      <c r="AF628" s="109"/>
      <c r="AG628" s="109"/>
    </row>
    <row r="629" spans="1:33">
      <c r="A629" s="117"/>
      <c r="B629" s="118"/>
      <c r="C629" s="118"/>
      <c r="D629" s="118"/>
      <c r="E629" s="119"/>
      <c r="F629" s="118"/>
      <c r="G629" s="110"/>
      <c r="H629" s="126"/>
      <c r="I629" s="114">
        <v>0</v>
      </c>
      <c r="J629" s="115">
        <v>0</v>
      </c>
      <c r="K629" s="116">
        <v>0</v>
      </c>
      <c r="L629" s="116">
        <v>0</v>
      </c>
      <c r="M629" s="114">
        <v>0</v>
      </c>
      <c r="N629" s="113">
        <v>0</v>
      </c>
      <c r="O629" s="113">
        <v>0</v>
      </c>
      <c r="P629" s="116">
        <v>0</v>
      </c>
      <c r="Q629" s="116">
        <v>0</v>
      </c>
      <c r="R629" s="116">
        <v>0</v>
      </c>
      <c r="S629" s="114">
        <v>0</v>
      </c>
      <c r="T629" s="116">
        <v>0</v>
      </c>
      <c r="U629" s="116">
        <v>0</v>
      </c>
      <c r="V629" s="121">
        <f t="shared" si="42"/>
        <v>0</v>
      </c>
      <c r="W629" s="111"/>
      <c r="X629" s="111"/>
      <c r="Y629" s="111"/>
      <c r="Z629" s="111"/>
      <c r="AA629" s="111"/>
      <c r="AB629" s="111"/>
      <c r="AC629" s="111"/>
      <c r="AD629" s="111"/>
      <c r="AE629" s="139">
        <f t="shared" si="41"/>
        <v>0</v>
      </c>
      <c r="AF629" s="109"/>
      <c r="AG629" s="109"/>
    </row>
    <row r="630" spans="1:33">
      <c r="A630" s="117"/>
      <c r="B630" s="118"/>
      <c r="C630" s="118"/>
      <c r="D630" s="118"/>
      <c r="E630" s="119"/>
      <c r="F630" s="118"/>
      <c r="G630" s="110"/>
      <c r="H630" s="126"/>
      <c r="I630" s="114">
        <v>0</v>
      </c>
      <c r="J630" s="115">
        <v>0</v>
      </c>
      <c r="K630" s="116">
        <v>0</v>
      </c>
      <c r="L630" s="116">
        <v>0</v>
      </c>
      <c r="M630" s="114">
        <v>0</v>
      </c>
      <c r="N630" s="113">
        <v>0</v>
      </c>
      <c r="O630" s="113">
        <v>0</v>
      </c>
      <c r="P630" s="116">
        <v>0</v>
      </c>
      <c r="Q630" s="116">
        <v>0</v>
      </c>
      <c r="R630" s="116">
        <v>0</v>
      </c>
      <c r="S630" s="114">
        <v>0</v>
      </c>
      <c r="T630" s="116">
        <v>0</v>
      </c>
      <c r="U630" s="116">
        <v>0</v>
      </c>
      <c r="V630" s="121">
        <f t="shared" si="42"/>
        <v>0</v>
      </c>
      <c r="W630" s="111"/>
      <c r="X630" s="111"/>
      <c r="Y630" s="111"/>
      <c r="Z630" s="111"/>
      <c r="AA630" s="111"/>
      <c r="AB630" s="111"/>
      <c r="AC630" s="111"/>
      <c r="AD630" s="111"/>
      <c r="AE630" s="139">
        <f t="shared" si="41"/>
        <v>0</v>
      </c>
      <c r="AF630" s="109"/>
      <c r="AG630" s="109"/>
    </row>
    <row r="631" spans="1:33">
      <c r="A631" s="117"/>
      <c r="B631" s="118"/>
      <c r="C631" s="118"/>
      <c r="D631" s="118"/>
      <c r="E631" s="119"/>
      <c r="F631" s="118"/>
      <c r="G631" s="110"/>
      <c r="H631" s="126"/>
      <c r="I631" s="114">
        <v>0</v>
      </c>
      <c r="J631" s="115">
        <v>0</v>
      </c>
      <c r="K631" s="116">
        <v>0</v>
      </c>
      <c r="L631" s="116">
        <v>0</v>
      </c>
      <c r="M631" s="114">
        <v>0</v>
      </c>
      <c r="N631" s="113">
        <v>0</v>
      </c>
      <c r="O631" s="113">
        <v>0</v>
      </c>
      <c r="P631" s="116">
        <v>0</v>
      </c>
      <c r="Q631" s="116">
        <v>0</v>
      </c>
      <c r="R631" s="116">
        <v>0</v>
      </c>
      <c r="S631" s="114">
        <v>0</v>
      </c>
      <c r="T631" s="116">
        <v>0</v>
      </c>
      <c r="U631" s="116">
        <v>0</v>
      </c>
      <c r="V631" s="121">
        <f t="shared" si="42"/>
        <v>0</v>
      </c>
      <c r="W631" s="111"/>
      <c r="X631" s="111"/>
      <c r="Y631" s="111"/>
      <c r="Z631" s="111"/>
      <c r="AA631" s="111"/>
      <c r="AB631" s="111"/>
      <c r="AC631" s="111"/>
      <c r="AD631" s="111"/>
      <c r="AE631" s="139">
        <f t="shared" si="41"/>
        <v>0</v>
      </c>
      <c r="AF631" s="109"/>
      <c r="AG631" s="109"/>
    </row>
    <row r="632" spans="1:33">
      <c r="A632" s="117"/>
      <c r="B632" s="118"/>
      <c r="C632" s="118"/>
      <c r="D632" s="118"/>
      <c r="E632" s="119"/>
      <c r="F632" s="118"/>
      <c r="G632" s="110"/>
      <c r="H632" s="126"/>
      <c r="I632" s="114">
        <v>0</v>
      </c>
      <c r="J632" s="115">
        <v>0</v>
      </c>
      <c r="K632" s="116">
        <v>0</v>
      </c>
      <c r="L632" s="116">
        <v>0</v>
      </c>
      <c r="M632" s="114">
        <v>0</v>
      </c>
      <c r="N632" s="113">
        <v>0</v>
      </c>
      <c r="O632" s="113">
        <v>0</v>
      </c>
      <c r="P632" s="116">
        <v>0</v>
      </c>
      <c r="Q632" s="116">
        <v>0</v>
      </c>
      <c r="R632" s="116">
        <v>0</v>
      </c>
      <c r="S632" s="114">
        <v>0</v>
      </c>
      <c r="T632" s="116">
        <v>0</v>
      </c>
      <c r="U632" s="116">
        <v>0</v>
      </c>
      <c r="V632" s="121">
        <f t="shared" si="42"/>
        <v>0</v>
      </c>
      <c r="W632" s="111"/>
      <c r="X632" s="111"/>
      <c r="Y632" s="111"/>
      <c r="Z632" s="111"/>
      <c r="AA632" s="111"/>
      <c r="AB632" s="111"/>
      <c r="AC632" s="111"/>
      <c r="AD632" s="111"/>
      <c r="AE632" s="139">
        <f t="shared" si="41"/>
        <v>0</v>
      </c>
      <c r="AF632" s="109"/>
      <c r="AG632" s="109"/>
    </row>
    <row r="633" spans="1:33">
      <c r="A633" s="117"/>
      <c r="B633" s="118"/>
      <c r="C633" s="118"/>
      <c r="D633" s="118"/>
      <c r="E633" s="119"/>
      <c r="F633" s="118"/>
      <c r="G633" s="110"/>
      <c r="H633" s="126"/>
      <c r="I633" s="114">
        <v>0</v>
      </c>
      <c r="J633" s="115">
        <v>0</v>
      </c>
      <c r="K633" s="116">
        <v>0</v>
      </c>
      <c r="L633" s="116">
        <v>0</v>
      </c>
      <c r="M633" s="114">
        <v>0</v>
      </c>
      <c r="N633" s="113">
        <v>0</v>
      </c>
      <c r="O633" s="113">
        <v>0</v>
      </c>
      <c r="P633" s="116">
        <v>0</v>
      </c>
      <c r="Q633" s="116">
        <v>0</v>
      </c>
      <c r="R633" s="116">
        <v>0</v>
      </c>
      <c r="S633" s="114">
        <v>0</v>
      </c>
      <c r="T633" s="116">
        <v>0</v>
      </c>
      <c r="U633" s="116">
        <v>0</v>
      </c>
      <c r="V633" s="121">
        <f t="shared" si="42"/>
        <v>0</v>
      </c>
      <c r="W633" s="111"/>
      <c r="X633" s="111"/>
      <c r="Y633" s="111"/>
      <c r="Z633" s="111"/>
      <c r="AA633" s="111"/>
      <c r="AB633" s="111"/>
      <c r="AC633" s="111"/>
      <c r="AD633" s="111"/>
      <c r="AE633" s="139">
        <f t="shared" si="41"/>
        <v>0</v>
      </c>
      <c r="AF633" s="109"/>
      <c r="AG633" s="109"/>
    </row>
    <row r="634" spans="1:33">
      <c r="A634" s="117"/>
      <c r="B634" s="118"/>
      <c r="C634" s="118"/>
      <c r="D634" s="118"/>
      <c r="E634" s="119"/>
      <c r="F634" s="118"/>
      <c r="G634" s="110"/>
      <c r="H634" s="126"/>
      <c r="I634" s="114">
        <v>0</v>
      </c>
      <c r="J634" s="115">
        <v>0</v>
      </c>
      <c r="K634" s="116">
        <v>0</v>
      </c>
      <c r="L634" s="116">
        <v>0</v>
      </c>
      <c r="M634" s="114">
        <v>0</v>
      </c>
      <c r="N634" s="113">
        <v>0</v>
      </c>
      <c r="O634" s="113">
        <v>0</v>
      </c>
      <c r="P634" s="116">
        <v>0</v>
      </c>
      <c r="Q634" s="116">
        <v>0</v>
      </c>
      <c r="R634" s="116">
        <v>0</v>
      </c>
      <c r="S634" s="114">
        <v>0</v>
      </c>
      <c r="T634" s="116">
        <v>0</v>
      </c>
      <c r="U634" s="116">
        <v>0</v>
      </c>
      <c r="V634" s="121">
        <f t="shared" si="42"/>
        <v>0</v>
      </c>
      <c r="W634" s="111"/>
      <c r="X634" s="111"/>
      <c r="Y634" s="111"/>
      <c r="Z634" s="111"/>
      <c r="AA634" s="111"/>
      <c r="AB634" s="111"/>
      <c r="AC634" s="111"/>
      <c r="AD634" s="111"/>
      <c r="AE634" s="139">
        <f t="shared" si="41"/>
        <v>0</v>
      </c>
      <c r="AF634" s="109"/>
      <c r="AG634" s="109"/>
    </row>
    <row r="635" spans="1:33">
      <c r="A635" s="117"/>
      <c r="B635" s="118"/>
      <c r="C635" s="118"/>
      <c r="D635" s="118"/>
      <c r="E635" s="119"/>
      <c r="F635" s="118"/>
      <c r="G635" s="110"/>
      <c r="H635" s="126"/>
      <c r="I635" s="114">
        <v>0</v>
      </c>
      <c r="J635" s="115">
        <v>0</v>
      </c>
      <c r="K635" s="116">
        <v>0</v>
      </c>
      <c r="L635" s="116">
        <v>0</v>
      </c>
      <c r="M635" s="114">
        <v>0</v>
      </c>
      <c r="N635" s="113">
        <v>0</v>
      </c>
      <c r="O635" s="113">
        <v>0</v>
      </c>
      <c r="P635" s="116">
        <v>0</v>
      </c>
      <c r="Q635" s="116">
        <v>0</v>
      </c>
      <c r="R635" s="116">
        <v>0</v>
      </c>
      <c r="S635" s="114">
        <v>0</v>
      </c>
      <c r="T635" s="116">
        <v>0</v>
      </c>
      <c r="U635" s="116">
        <v>0</v>
      </c>
      <c r="V635" s="121">
        <f t="shared" si="42"/>
        <v>0</v>
      </c>
      <c r="W635" s="111"/>
      <c r="X635" s="111"/>
      <c r="Y635" s="111"/>
      <c r="Z635" s="111"/>
      <c r="AA635" s="111"/>
      <c r="AB635" s="111"/>
      <c r="AC635" s="111"/>
      <c r="AD635" s="111"/>
      <c r="AE635" s="139">
        <f t="shared" si="41"/>
        <v>0</v>
      </c>
      <c r="AF635" s="109"/>
      <c r="AG635" s="109"/>
    </row>
    <row r="636" spans="1:33">
      <c r="A636" s="117"/>
      <c r="B636" s="118"/>
      <c r="C636" s="118"/>
      <c r="D636" s="118"/>
      <c r="E636" s="119"/>
      <c r="F636" s="118"/>
      <c r="G636" s="110"/>
      <c r="H636" s="126"/>
      <c r="I636" s="114">
        <v>0</v>
      </c>
      <c r="J636" s="115">
        <v>0</v>
      </c>
      <c r="K636" s="116">
        <v>0</v>
      </c>
      <c r="L636" s="116">
        <v>0</v>
      </c>
      <c r="M636" s="114">
        <v>0</v>
      </c>
      <c r="N636" s="113">
        <v>0</v>
      </c>
      <c r="O636" s="113">
        <v>0</v>
      </c>
      <c r="P636" s="116">
        <v>0</v>
      </c>
      <c r="Q636" s="116">
        <v>0</v>
      </c>
      <c r="R636" s="116">
        <v>0</v>
      </c>
      <c r="S636" s="114">
        <v>0</v>
      </c>
      <c r="T636" s="116">
        <v>0</v>
      </c>
      <c r="U636" s="116">
        <v>0</v>
      </c>
      <c r="V636" s="121">
        <f t="shared" si="42"/>
        <v>0</v>
      </c>
      <c r="W636" s="111"/>
      <c r="X636" s="111"/>
      <c r="Y636" s="111"/>
      <c r="Z636" s="111"/>
      <c r="AA636" s="111"/>
      <c r="AB636" s="111"/>
      <c r="AC636" s="111"/>
      <c r="AD636" s="111"/>
      <c r="AE636" s="139">
        <f t="shared" si="41"/>
        <v>0</v>
      </c>
      <c r="AF636" s="109"/>
      <c r="AG636" s="109"/>
    </row>
    <row r="637" spans="1:33">
      <c r="A637" s="117"/>
      <c r="B637" s="118"/>
      <c r="C637" s="118"/>
      <c r="D637" s="118"/>
      <c r="E637" s="119"/>
      <c r="F637" s="118"/>
      <c r="G637" s="110"/>
      <c r="H637" s="126"/>
      <c r="I637" s="114">
        <v>0</v>
      </c>
      <c r="J637" s="115">
        <v>0</v>
      </c>
      <c r="K637" s="116">
        <v>0</v>
      </c>
      <c r="L637" s="116">
        <v>0</v>
      </c>
      <c r="M637" s="114">
        <v>0</v>
      </c>
      <c r="N637" s="113">
        <v>0</v>
      </c>
      <c r="O637" s="113">
        <v>0</v>
      </c>
      <c r="P637" s="116">
        <v>0</v>
      </c>
      <c r="Q637" s="116">
        <v>0</v>
      </c>
      <c r="R637" s="116">
        <v>0</v>
      </c>
      <c r="S637" s="114">
        <v>0</v>
      </c>
      <c r="T637" s="116">
        <v>0</v>
      </c>
      <c r="U637" s="116">
        <v>0</v>
      </c>
      <c r="V637" s="121">
        <f t="shared" si="42"/>
        <v>0</v>
      </c>
      <c r="W637" s="111"/>
      <c r="X637" s="111"/>
      <c r="Y637" s="111"/>
      <c r="Z637" s="111"/>
      <c r="AA637" s="111"/>
      <c r="AB637" s="111"/>
      <c r="AC637" s="111"/>
      <c r="AD637" s="111"/>
      <c r="AE637" s="139">
        <f t="shared" si="41"/>
        <v>0</v>
      </c>
      <c r="AF637" s="109"/>
      <c r="AG637" s="109"/>
    </row>
    <row r="638" spans="1:33">
      <c r="A638" s="117"/>
      <c r="B638" s="118"/>
      <c r="C638" s="118"/>
      <c r="D638" s="118"/>
      <c r="E638" s="119"/>
      <c r="F638" s="118"/>
      <c r="G638" s="110"/>
      <c r="H638" s="126"/>
      <c r="I638" s="114">
        <v>0</v>
      </c>
      <c r="J638" s="115">
        <v>0</v>
      </c>
      <c r="K638" s="116">
        <v>0</v>
      </c>
      <c r="L638" s="116">
        <v>0</v>
      </c>
      <c r="M638" s="114">
        <v>0</v>
      </c>
      <c r="N638" s="113">
        <v>0</v>
      </c>
      <c r="O638" s="113">
        <v>0</v>
      </c>
      <c r="P638" s="116">
        <v>0</v>
      </c>
      <c r="Q638" s="116">
        <v>0</v>
      </c>
      <c r="R638" s="116">
        <v>0</v>
      </c>
      <c r="S638" s="114">
        <v>0</v>
      </c>
      <c r="T638" s="116">
        <v>0</v>
      </c>
      <c r="U638" s="116">
        <v>0</v>
      </c>
      <c r="V638" s="121">
        <f t="shared" si="42"/>
        <v>0</v>
      </c>
      <c r="W638" s="111"/>
      <c r="X638" s="111"/>
      <c r="Y638" s="111"/>
      <c r="Z638" s="111"/>
      <c r="AA638" s="111"/>
      <c r="AB638" s="111"/>
      <c r="AC638" s="111"/>
      <c r="AD638" s="111"/>
      <c r="AE638" s="139">
        <f t="shared" si="41"/>
        <v>0</v>
      </c>
      <c r="AF638" s="109"/>
      <c r="AG638" s="109"/>
    </row>
    <row r="639" spans="1:33">
      <c r="A639" s="117"/>
      <c r="B639" s="118"/>
      <c r="C639" s="118"/>
      <c r="D639" s="118"/>
      <c r="E639" s="119"/>
      <c r="F639" s="118"/>
      <c r="G639" s="110"/>
      <c r="H639" s="126"/>
      <c r="I639" s="114">
        <v>0</v>
      </c>
      <c r="J639" s="115">
        <v>0</v>
      </c>
      <c r="K639" s="116">
        <v>0</v>
      </c>
      <c r="L639" s="116">
        <v>0</v>
      </c>
      <c r="M639" s="114">
        <v>0</v>
      </c>
      <c r="N639" s="113">
        <v>0</v>
      </c>
      <c r="O639" s="113">
        <v>0</v>
      </c>
      <c r="P639" s="116">
        <v>0</v>
      </c>
      <c r="Q639" s="116">
        <v>0</v>
      </c>
      <c r="R639" s="116">
        <v>0</v>
      </c>
      <c r="S639" s="114">
        <v>0</v>
      </c>
      <c r="T639" s="116">
        <v>0</v>
      </c>
      <c r="U639" s="116">
        <v>0</v>
      </c>
      <c r="V639" s="121">
        <f t="shared" si="42"/>
        <v>0</v>
      </c>
      <c r="W639" s="111"/>
      <c r="X639" s="111"/>
      <c r="Y639" s="111"/>
      <c r="Z639" s="111"/>
      <c r="AA639" s="111"/>
      <c r="AB639" s="111"/>
      <c r="AC639" s="111"/>
      <c r="AD639" s="111"/>
      <c r="AE639" s="139">
        <f t="shared" si="41"/>
        <v>0</v>
      </c>
      <c r="AF639" s="109"/>
      <c r="AG639" s="109"/>
    </row>
    <row r="640" spans="1:33">
      <c r="A640" s="117"/>
      <c r="B640" s="118"/>
      <c r="C640" s="118"/>
      <c r="D640" s="118"/>
      <c r="E640" s="119"/>
      <c r="F640" s="118"/>
      <c r="G640" s="110"/>
      <c r="H640" s="126"/>
      <c r="I640" s="114">
        <v>0</v>
      </c>
      <c r="J640" s="115">
        <v>0</v>
      </c>
      <c r="K640" s="116">
        <v>0</v>
      </c>
      <c r="L640" s="116">
        <v>0</v>
      </c>
      <c r="M640" s="114">
        <v>0</v>
      </c>
      <c r="N640" s="113">
        <v>0</v>
      </c>
      <c r="O640" s="113">
        <v>0</v>
      </c>
      <c r="P640" s="116">
        <v>0</v>
      </c>
      <c r="Q640" s="116">
        <v>0</v>
      </c>
      <c r="R640" s="116">
        <v>0</v>
      </c>
      <c r="S640" s="114">
        <v>0</v>
      </c>
      <c r="T640" s="116">
        <v>0</v>
      </c>
      <c r="U640" s="116">
        <v>0</v>
      </c>
      <c r="V640" s="121">
        <f t="shared" si="42"/>
        <v>0</v>
      </c>
      <c r="W640" s="111"/>
      <c r="X640" s="111"/>
      <c r="Y640" s="111"/>
      <c r="Z640" s="111"/>
      <c r="AA640" s="111"/>
      <c r="AB640" s="111"/>
      <c r="AC640" s="111"/>
      <c r="AD640" s="111"/>
      <c r="AE640" s="139">
        <f t="shared" si="41"/>
        <v>0</v>
      </c>
      <c r="AF640" s="109"/>
      <c r="AG640" s="109"/>
    </row>
    <row r="641" spans="1:33">
      <c r="A641" s="117"/>
      <c r="B641" s="118"/>
      <c r="C641" s="118"/>
      <c r="D641" s="118"/>
      <c r="E641" s="119"/>
      <c r="F641" s="118"/>
      <c r="G641" s="110"/>
      <c r="H641" s="126"/>
      <c r="I641" s="114">
        <v>0</v>
      </c>
      <c r="J641" s="115">
        <v>0</v>
      </c>
      <c r="K641" s="116">
        <v>0</v>
      </c>
      <c r="L641" s="116">
        <v>0</v>
      </c>
      <c r="M641" s="114">
        <v>0</v>
      </c>
      <c r="N641" s="113">
        <v>0</v>
      </c>
      <c r="O641" s="113">
        <v>0</v>
      </c>
      <c r="P641" s="116">
        <v>0</v>
      </c>
      <c r="Q641" s="116">
        <v>0</v>
      </c>
      <c r="R641" s="116">
        <v>0</v>
      </c>
      <c r="S641" s="114">
        <v>0</v>
      </c>
      <c r="T641" s="116">
        <v>0</v>
      </c>
      <c r="U641" s="116">
        <v>0</v>
      </c>
      <c r="V641" s="121">
        <f t="shared" si="42"/>
        <v>0</v>
      </c>
      <c r="W641" s="111"/>
      <c r="X641" s="111"/>
      <c r="Y641" s="111"/>
      <c r="Z641" s="111"/>
      <c r="AA641" s="111"/>
      <c r="AB641" s="111"/>
      <c r="AC641" s="111"/>
      <c r="AD641" s="111"/>
      <c r="AE641" s="139">
        <f t="shared" si="41"/>
        <v>0</v>
      </c>
      <c r="AF641" s="109"/>
      <c r="AG641" s="109"/>
    </row>
    <row r="642" spans="1:33">
      <c r="A642" s="117"/>
      <c r="B642" s="118"/>
      <c r="C642" s="118"/>
      <c r="D642" s="118"/>
      <c r="E642" s="119"/>
      <c r="F642" s="118"/>
      <c r="G642" s="110"/>
      <c r="H642" s="126"/>
      <c r="I642" s="114">
        <v>0</v>
      </c>
      <c r="J642" s="115">
        <v>0</v>
      </c>
      <c r="K642" s="116">
        <v>0</v>
      </c>
      <c r="L642" s="116">
        <v>0</v>
      </c>
      <c r="M642" s="114">
        <v>0</v>
      </c>
      <c r="N642" s="113">
        <v>0</v>
      </c>
      <c r="O642" s="113">
        <v>0</v>
      </c>
      <c r="P642" s="116">
        <v>0</v>
      </c>
      <c r="Q642" s="116">
        <v>0</v>
      </c>
      <c r="R642" s="116">
        <v>0</v>
      </c>
      <c r="S642" s="114">
        <v>0</v>
      </c>
      <c r="T642" s="116">
        <v>0</v>
      </c>
      <c r="U642" s="116">
        <v>0</v>
      </c>
      <c r="V642" s="121">
        <f t="shared" si="42"/>
        <v>0</v>
      </c>
      <c r="W642" s="111"/>
      <c r="X642" s="111"/>
      <c r="Y642" s="111"/>
      <c r="Z642" s="111"/>
      <c r="AA642" s="111"/>
      <c r="AB642" s="111"/>
      <c r="AC642" s="111"/>
      <c r="AD642" s="111"/>
      <c r="AE642" s="139">
        <f t="shared" si="41"/>
        <v>0</v>
      </c>
      <c r="AF642" s="109"/>
      <c r="AG642" s="109"/>
    </row>
    <row r="643" spans="1:33">
      <c r="A643" s="117"/>
      <c r="B643" s="118"/>
      <c r="C643" s="118"/>
      <c r="D643" s="118"/>
      <c r="E643" s="119"/>
      <c r="F643" s="118"/>
      <c r="G643" s="110"/>
      <c r="H643" s="126"/>
      <c r="I643" s="114">
        <v>0</v>
      </c>
      <c r="J643" s="115">
        <v>0</v>
      </c>
      <c r="K643" s="116">
        <v>0</v>
      </c>
      <c r="L643" s="116">
        <v>0</v>
      </c>
      <c r="M643" s="114">
        <v>0</v>
      </c>
      <c r="N643" s="113">
        <v>0</v>
      </c>
      <c r="O643" s="113">
        <v>0</v>
      </c>
      <c r="P643" s="116">
        <v>0</v>
      </c>
      <c r="Q643" s="116">
        <v>0</v>
      </c>
      <c r="R643" s="116">
        <v>0</v>
      </c>
      <c r="S643" s="114">
        <v>0</v>
      </c>
      <c r="T643" s="116">
        <v>0</v>
      </c>
      <c r="U643" s="116">
        <v>0</v>
      </c>
      <c r="V643" s="121">
        <f t="shared" si="42"/>
        <v>0</v>
      </c>
      <c r="W643" s="111"/>
      <c r="X643" s="111"/>
      <c r="Y643" s="111"/>
      <c r="Z643" s="111"/>
      <c r="AA643" s="111"/>
      <c r="AB643" s="111"/>
      <c r="AC643" s="111"/>
      <c r="AD643" s="111"/>
      <c r="AE643" s="139">
        <f t="shared" si="41"/>
        <v>0</v>
      </c>
      <c r="AF643" s="109"/>
      <c r="AG643" s="109"/>
    </row>
    <row r="644" spans="1:33">
      <c r="A644" s="117"/>
      <c r="B644" s="118"/>
      <c r="C644" s="118"/>
      <c r="D644" s="118"/>
      <c r="E644" s="119"/>
      <c r="F644" s="118"/>
      <c r="G644" s="110"/>
      <c r="H644" s="126"/>
      <c r="I644" s="114">
        <v>0</v>
      </c>
      <c r="J644" s="115">
        <v>0</v>
      </c>
      <c r="K644" s="116">
        <v>0</v>
      </c>
      <c r="L644" s="116">
        <v>0</v>
      </c>
      <c r="M644" s="114">
        <v>0</v>
      </c>
      <c r="N644" s="113">
        <v>0</v>
      </c>
      <c r="O644" s="113">
        <v>0</v>
      </c>
      <c r="P644" s="116">
        <v>0</v>
      </c>
      <c r="Q644" s="116">
        <v>0</v>
      </c>
      <c r="R644" s="116">
        <v>0</v>
      </c>
      <c r="S644" s="114">
        <v>0</v>
      </c>
      <c r="T644" s="116">
        <v>0</v>
      </c>
      <c r="U644" s="116">
        <v>0</v>
      </c>
      <c r="V644" s="121">
        <f t="shared" si="42"/>
        <v>0</v>
      </c>
      <c r="W644" s="111"/>
      <c r="X644" s="111"/>
      <c r="Y644" s="111"/>
      <c r="Z644" s="111"/>
      <c r="AA644" s="111"/>
      <c r="AB644" s="111"/>
      <c r="AC644" s="111"/>
      <c r="AD644" s="111"/>
      <c r="AE644" s="139">
        <f t="shared" si="41"/>
        <v>0</v>
      </c>
      <c r="AF644" s="109"/>
      <c r="AG644" s="109"/>
    </row>
    <row r="645" spans="1:33">
      <c r="A645" s="117"/>
      <c r="B645" s="118"/>
      <c r="C645" s="118"/>
      <c r="D645" s="118"/>
      <c r="E645" s="119"/>
      <c r="F645" s="118"/>
      <c r="G645" s="110"/>
      <c r="H645" s="126"/>
      <c r="I645" s="114">
        <v>0</v>
      </c>
      <c r="J645" s="115">
        <v>0</v>
      </c>
      <c r="K645" s="116">
        <v>0</v>
      </c>
      <c r="L645" s="116">
        <v>0</v>
      </c>
      <c r="M645" s="114">
        <v>0</v>
      </c>
      <c r="N645" s="113">
        <v>0</v>
      </c>
      <c r="O645" s="113">
        <v>0</v>
      </c>
      <c r="P645" s="116">
        <v>0</v>
      </c>
      <c r="Q645" s="116">
        <v>0</v>
      </c>
      <c r="R645" s="116">
        <v>0</v>
      </c>
      <c r="S645" s="114">
        <v>0</v>
      </c>
      <c r="T645" s="116">
        <v>0</v>
      </c>
      <c r="U645" s="116">
        <v>0</v>
      </c>
      <c r="V645" s="121">
        <f t="shared" si="42"/>
        <v>0</v>
      </c>
      <c r="W645" s="111"/>
      <c r="X645" s="111"/>
      <c r="Y645" s="111"/>
      <c r="Z645" s="111"/>
      <c r="AA645" s="111"/>
      <c r="AB645" s="111"/>
      <c r="AC645" s="111"/>
      <c r="AD645" s="111"/>
      <c r="AE645" s="139">
        <f t="shared" si="41"/>
        <v>0</v>
      </c>
      <c r="AF645" s="109"/>
      <c r="AG645" s="109"/>
    </row>
    <row r="646" spans="1:33">
      <c r="A646" s="117"/>
      <c r="B646" s="118"/>
      <c r="C646" s="118"/>
      <c r="D646" s="118"/>
      <c r="E646" s="119"/>
      <c r="F646" s="118"/>
      <c r="G646" s="110"/>
      <c r="H646" s="126"/>
      <c r="I646" s="114">
        <v>0</v>
      </c>
      <c r="J646" s="115">
        <v>0</v>
      </c>
      <c r="K646" s="116">
        <v>0</v>
      </c>
      <c r="L646" s="116">
        <v>0</v>
      </c>
      <c r="M646" s="114">
        <v>0</v>
      </c>
      <c r="N646" s="113">
        <v>0</v>
      </c>
      <c r="O646" s="113">
        <v>0</v>
      </c>
      <c r="P646" s="116">
        <v>0</v>
      </c>
      <c r="Q646" s="116">
        <v>0</v>
      </c>
      <c r="R646" s="116">
        <v>0</v>
      </c>
      <c r="S646" s="114">
        <v>0</v>
      </c>
      <c r="T646" s="116">
        <v>0</v>
      </c>
      <c r="U646" s="116">
        <v>0</v>
      </c>
      <c r="V646" s="121">
        <f t="shared" si="42"/>
        <v>0</v>
      </c>
      <c r="W646" s="111"/>
      <c r="X646" s="111"/>
      <c r="Y646" s="111"/>
      <c r="Z646" s="111"/>
      <c r="AA646" s="111"/>
      <c r="AB646" s="111"/>
      <c r="AC646" s="111"/>
      <c r="AD646" s="111"/>
      <c r="AE646" s="139">
        <f t="shared" si="41"/>
        <v>0</v>
      </c>
      <c r="AF646" s="109"/>
      <c r="AG646" s="109"/>
    </row>
    <row r="647" spans="1:33">
      <c r="A647" s="117"/>
      <c r="B647" s="118"/>
      <c r="C647" s="118"/>
      <c r="D647" s="118"/>
      <c r="E647" s="119"/>
      <c r="F647" s="118"/>
      <c r="G647" s="110"/>
      <c r="H647" s="126"/>
      <c r="I647" s="114">
        <v>0</v>
      </c>
      <c r="J647" s="115">
        <v>0</v>
      </c>
      <c r="K647" s="116">
        <v>0</v>
      </c>
      <c r="L647" s="116">
        <v>0</v>
      </c>
      <c r="M647" s="114">
        <v>0</v>
      </c>
      <c r="N647" s="113">
        <v>0</v>
      </c>
      <c r="O647" s="113">
        <v>0</v>
      </c>
      <c r="P647" s="116">
        <v>0</v>
      </c>
      <c r="Q647" s="116">
        <v>0</v>
      </c>
      <c r="R647" s="116">
        <v>0</v>
      </c>
      <c r="S647" s="114">
        <v>0</v>
      </c>
      <c r="T647" s="116">
        <v>0</v>
      </c>
      <c r="U647" s="116">
        <v>0</v>
      </c>
      <c r="V647" s="121">
        <f t="shared" si="42"/>
        <v>0</v>
      </c>
      <c r="W647" s="111"/>
      <c r="X647" s="111"/>
      <c r="Y647" s="111"/>
      <c r="Z647" s="111"/>
      <c r="AA647" s="111"/>
      <c r="AB647" s="111"/>
      <c r="AC647" s="111"/>
      <c r="AD647" s="111"/>
      <c r="AE647" s="139">
        <f t="shared" si="41"/>
        <v>0</v>
      </c>
      <c r="AF647" s="109"/>
      <c r="AG647" s="109"/>
    </row>
    <row r="648" spans="1:33">
      <c r="A648" s="117"/>
      <c r="B648" s="118"/>
      <c r="C648" s="118"/>
      <c r="D648" s="118"/>
      <c r="E648" s="119"/>
      <c r="F648" s="118"/>
      <c r="G648" s="110"/>
      <c r="H648" s="126"/>
      <c r="I648" s="114">
        <v>0</v>
      </c>
      <c r="J648" s="115">
        <v>0</v>
      </c>
      <c r="K648" s="116">
        <v>0</v>
      </c>
      <c r="L648" s="116">
        <v>0</v>
      </c>
      <c r="M648" s="114">
        <v>0</v>
      </c>
      <c r="N648" s="113">
        <v>0</v>
      </c>
      <c r="O648" s="113">
        <v>0</v>
      </c>
      <c r="P648" s="116">
        <v>0</v>
      </c>
      <c r="Q648" s="116">
        <v>0</v>
      </c>
      <c r="R648" s="116">
        <v>0</v>
      </c>
      <c r="S648" s="114">
        <v>0</v>
      </c>
      <c r="T648" s="116">
        <v>0</v>
      </c>
      <c r="U648" s="116">
        <v>0</v>
      </c>
      <c r="V648" s="121">
        <f t="shared" si="42"/>
        <v>0</v>
      </c>
      <c r="W648" s="111"/>
      <c r="X648" s="111"/>
      <c r="Y648" s="111"/>
      <c r="Z648" s="111"/>
      <c r="AA648" s="111"/>
      <c r="AB648" s="111"/>
      <c r="AC648" s="111"/>
      <c r="AD648" s="111"/>
      <c r="AE648" s="139">
        <f t="shared" si="41"/>
        <v>0</v>
      </c>
      <c r="AF648" s="109"/>
      <c r="AG648" s="109"/>
    </row>
    <row r="649" spans="1:33">
      <c r="A649" s="117"/>
      <c r="B649" s="118"/>
      <c r="C649" s="118"/>
      <c r="D649" s="118"/>
      <c r="E649" s="119"/>
      <c r="F649" s="118"/>
      <c r="G649" s="110"/>
      <c r="H649" s="126"/>
      <c r="I649" s="114">
        <v>0</v>
      </c>
      <c r="J649" s="115">
        <v>0</v>
      </c>
      <c r="K649" s="116">
        <v>0</v>
      </c>
      <c r="L649" s="116">
        <v>0</v>
      </c>
      <c r="M649" s="114">
        <v>0</v>
      </c>
      <c r="N649" s="113">
        <v>0</v>
      </c>
      <c r="O649" s="113">
        <v>0</v>
      </c>
      <c r="P649" s="116">
        <v>0</v>
      </c>
      <c r="Q649" s="116">
        <v>0</v>
      </c>
      <c r="R649" s="116">
        <v>0</v>
      </c>
      <c r="S649" s="114">
        <v>0</v>
      </c>
      <c r="T649" s="116">
        <v>0</v>
      </c>
      <c r="U649" s="116">
        <v>0</v>
      </c>
      <c r="V649" s="121">
        <f t="shared" si="42"/>
        <v>0</v>
      </c>
      <c r="W649" s="111"/>
      <c r="X649" s="111"/>
      <c r="Y649" s="111"/>
      <c r="Z649" s="111"/>
      <c r="AA649" s="111"/>
      <c r="AB649" s="111"/>
      <c r="AC649" s="111"/>
      <c r="AD649" s="111"/>
      <c r="AE649" s="139">
        <f t="shared" si="41"/>
        <v>0</v>
      </c>
      <c r="AF649" s="109"/>
      <c r="AG649" s="109"/>
    </row>
    <row r="650" spans="1:33">
      <c r="A650" s="117"/>
      <c r="B650" s="118"/>
      <c r="C650" s="118"/>
      <c r="D650" s="118"/>
      <c r="E650" s="119"/>
      <c r="F650" s="118"/>
      <c r="G650" s="110"/>
      <c r="H650" s="126"/>
      <c r="I650" s="114">
        <v>0</v>
      </c>
      <c r="J650" s="115">
        <v>0</v>
      </c>
      <c r="K650" s="116">
        <v>0</v>
      </c>
      <c r="L650" s="116">
        <v>0</v>
      </c>
      <c r="M650" s="114">
        <v>0</v>
      </c>
      <c r="N650" s="113">
        <v>0</v>
      </c>
      <c r="O650" s="113">
        <v>0</v>
      </c>
      <c r="P650" s="116">
        <v>0</v>
      </c>
      <c r="Q650" s="116">
        <v>0</v>
      </c>
      <c r="R650" s="116">
        <v>0</v>
      </c>
      <c r="S650" s="114">
        <v>0</v>
      </c>
      <c r="T650" s="116">
        <v>0</v>
      </c>
      <c r="U650" s="116">
        <v>0</v>
      </c>
      <c r="V650" s="121">
        <f t="shared" si="42"/>
        <v>0</v>
      </c>
      <c r="W650" s="111"/>
      <c r="X650" s="111"/>
      <c r="Y650" s="111"/>
      <c r="Z650" s="111"/>
      <c r="AA650" s="111"/>
      <c r="AB650" s="111"/>
      <c r="AC650" s="111"/>
      <c r="AD650" s="111"/>
      <c r="AE650" s="139">
        <f t="shared" si="41"/>
        <v>0</v>
      </c>
      <c r="AF650" s="109"/>
      <c r="AG650" s="109"/>
    </row>
    <row r="651" spans="1:33">
      <c r="A651" s="117"/>
      <c r="B651" s="118"/>
      <c r="C651" s="118"/>
      <c r="D651" s="118"/>
      <c r="E651" s="119"/>
      <c r="F651" s="118"/>
      <c r="G651" s="110"/>
      <c r="H651" s="126"/>
      <c r="I651" s="114">
        <v>0</v>
      </c>
      <c r="J651" s="115">
        <v>0</v>
      </c>
      <c r="K651" s="116">
        <v>0</v>
      </c>
      <c r="L651" s="116">
        <v>0</v>
      </c>
      <c r="M651" s="114">
        <v>0</v>
      </c>
      <c r="N651" s="113">
        <v>0</v>
      </c>
      <c r="O651" s="113">
        <v>0</v>
      </c>
      <c r="P651" s="116">
        <v>0</v>
      </c>
      <c r="Q651" s="116">
        <v>0</v>
      </c>
      <c r="R651" s="116">
        <v>0</v>
      </c>
      <c r="S651" s="114">
        <v>0</v>
      </c>
      <c r="T651" s="116">
        <v>0</v>
      </c>
      <c r="U651" s="116">
        <v>0</v>
      </c>
      <c r="V651" s="121">
        <f t="shared" si="42"/>
        <v>0</v>
      </c>
      <c r="W651" s="111"/>
      <c r="X651" s="111"/>
      <c r="Y651" s="111"/>
      <c r="Z651" s="111"/>
      <c r="AA651" s="111"/>
      <c r="AB651" s="111"/>
      <c r="AC651" s="111"/>
      <c r="AD651" s="111"/>
      <c r="AE651" s="139">
        <f t="shared" si="41"/>
        <v>0</v>
      </c>
      <c r="AF651" s="109"/>
      <c r="AG651" s="109"/>
    </row>
    <row r="652" spans="1:33">
      <c r="A652" s="117"/>
      <c r="B652" s="118"/>
      <c r="C652" s="118"/>
      <c r="D652" s="118"/>
      <c r="E652" s="119"/>
      <c r="F652" s="118"/>
      <c r="G652" s="110"/>
      <c r="H652" s="126"/>
      <c r="I652" s="114">
        <v>0</v>
      </c>
      <c r="J652" s="115">
        <v>0</v>
      </c>
      <c r="K652" s="116">
        <v>0</v>
      </c>
      <c r="L652" s="116">
        <v>0</v>
      </c>
      <c r="M652" s="114">
        <v>0</v>
      </c>
      <c r="N652" s="113">
        <v>0</v>
      </c>
      <c r="O652" s="113">
        <v>0</v>
      </c>
      <c r="P652" s="116">
        <v>0</v>
      </c>
      <c r="Q652" s="116">
        <v>0</v>
      </c>
      <c r="R652" s="116">
        <v>0</v>
      </c>
      <c r="S652" s="114">
        <v>0</v>
      </c>
      <c r="T652" s="116">
        <v>0</v>
      </c>
      <c r="U652" s="116">
        <v>0</v>
      </c>
      <c r="V652" s="121">
        <f t="shared" si="42"/>
        <v>0</v>
      </c>
      <c r="W652" s="111"/>
      <c r="X652" s="111"/>
      <c r="Y652" s="111"/>
      <c r="Z652" s="111"/>
      <c r="AA652" s="111"/>
      <c r="AB652" s="111"/>
      <c r="AC652" s="111"/>
      <c r="AD652" s="111"/>
      <c r="AE652" s="139">
        <f t="shared" si="41"/>
        <v>0</v>
      </c>
      <c r="AF652" s="109"/>
      <c r="AG652" s="109"/>
    </row>
    <row r="653" spans="1:33">
      <c r="A653" s="117"/>
      <c r="B653" s="118"/>
      <c r="C653" s="118"/>
      <c r="D653" s="118"/>
      <c r="E653" s="119"/>
      <c r="F653" s="118"/>
      <c r="G653" s="110"/>
      <c r="H653" s="126"/>
      <c r="I653" s="114">
        <v>0</v>
      </c>
      <c r="J653" s="115">
        <v>0</v>
      </c>
      <c r="K653" s="116">
        <v>0</v>
      </c>
      <c r="L653" s="116">
        <v>0</v>
      </c>
      <c r="M653" s="114">
        <v>0</v>
      </c>
      <c r="N653" s="113">
        <v>0</v>
      </c>
      <c r="O653" s="113">
        <v>0</v>
      </c>
      <c r="P653" s="116">
        <v>0</v>
      </c>
      <c r="Q653" s="116">
        <v>0</v>
      </c>
      <c r="R653" s="116">
        <v>0</v>
      </c>
      <c r="S653" s="114">
        <v>0</v>
      </c>
      <c r="T653" s="116">
        <v>0</v>
      </c>
      <c r="U653" s="116">
        <v>0</v>
      </c>
      <c r="V653" s="121">
        <f t="shared" si="42"/>
        <v>0</v>
      </c>
      <c r="W653" s="111"/>
      <c r="X653" s="111"/>
      <c r="Y653" s="111"/>
      <c r="Z653" s="111"/>
      <c r="AA653" s="111"/>
      <c r="AB653" s="111"/>
      <c r="AC653" s="111"/>
      <c r="AD653" s="111"/>
      <c r="AE653" s="139">
        <f t="shared" si="41"/>
        <v>0</v>
      </c>
      <c r="AF653" s="109"/>
      <c r="AG653" s="109"/>
    </row>
    <row r="654" spans="1:33">
      <c r="A654" s="117"/>
      <c r="B654" s="118"/>
      <c r="C654" s="118"/>
      <c r="D654" s="118"/>
      <c r="E654" s="119"/>
      <c r="F654" s="118"/>
      <c r="G654" s="110"/>
      <c r="H654" s="126"/>
      <c r="I654" s="114">
        <v>0</v>
      </c>
      <c r="J654" s="115">
        <v>0</v>
      </c>
      <c r="K654" s="116">
        <v>0</v>
      </c>
      <c r="L654" s="116">
        <v>0</v>
      </c>
      <c r="M654" s="114">
        <v>0</v>
      </c>
      <c r="N654" s="113">
        <v>0</v>
      </c>
      <c r="O654" s="113">
        <v>0</v>
      </c>
      <c r="P654" s="116">
        <v>0</v>
      </c>
      <c r="Q654" s="116">
        <v>0</v>
      </c>
      <c r="R654" s="116">
        <v>0</v>
      </c>
      <c r="S654" s="114">
        <v>0</v>
      </c>
      <c r="T654" s="116">
        <v>0</v>
      </c>
      <c r="U654" s="116">
        <v>0</v>
      </c>
      <c r="V654" s="121">
        <f t="shared" si="42"/>
        <v>0</v>
      </c>
      <c r="W654" s="111"/>
      <c r="X654" s="111"/>
      <c r="Y654" s="111"/>
      <c r="Z654" s="111"/>
      <c r="AA654" s="111"/>
      <c r="AB654" s="111"/>
      <c r="AC654" s="111"/>
      <c r="AD654" s="111"/>
      <c r="AE654" s="139">
        <f t="shared" si="41"/>
        <v>0</v>
      </c>
      <c r="AF654" s="109"/>
      <c r="AG654" s="109"/>
    </row>
    <row r="655" spans="1:33">
      <c r="A655" s="117"/>
      <c r="B655" s="118"/>
      <c r="C655" s="118"/>
      <c r="D655" s="118"/>
      <c r="E655" s="119"/>
      <c r="F655" s="118"/>
      <c r="G655" s="110"/>
      <c r="H655" s="126"/>
      <c r="I655" s="114">
        <v>0</v>
      </c>
      <c r="J655" s="115">
        <v>0</v>
      </c>
      <c r="K655" s="116">
        <v>0</v>
      </c>
      <c r="L655" s="116">
        <v>0</v>
      </c>
      <c r="M655" s="114">
        <v>0</v>
      </c>
      <c r="N655" s="113">
        <v>0</v>
      </c>
      <c r="O655" s="113">
        <v>0</v>
      </c>
      <c r="P655" s="116">
        <v>0</v>
      </c>
      <c r="Q655" s="116">
        <v>0</v>
      </c>
      <c r="R655" s="116">
        <v>0</v>
      </c>
      <c r="S655" s="114">
        <v>0</v>
      </c>
      <c r="T655" s="116">
        <v>0</v>
      </c>
      <c r="U655" s="116">
        <v>0</v>
      </c>
      <c r="V655" s="121">
        <f t="shared" si="42"/>
        <v>0</v>
      </c>
      <c r="W655" s="111"/>
      <c r="X655" s="111"/>
      <c r="Y655" s="111"/>
      <c r="Z655" s="111"/>
      <c r="AA655" s="111"/>
      <c r="AB655" s="111"/>
      <c r="AC655" s="111"/>
      <c r="AD655" s="111"/>
      <c r="AE655" s="139">
        <f t="shared" si="41"/>
        <v>0</v>
      </c>
      <c r="AF655" s="109"/>
      <c r="AG655" s="109"/>
    </row>
    <row r="656" spans="1:33">
      <c r="A656" s="117"/>
      <c r="B656" s="118"/>
      <c r="C656" s="118"/>
      <c r="D656" s="118"/>
      <c r="E656" s="119"/>
      <c r="F656" s="118"/>
      <c r="G656" s="110"/>
      <c r="H656" s="126"/>
      <c r="I656" s="114">
        <v>0</v>
      </c>
      <c r="J656" s="115">
        <v>0</v>
      </c>
      <c r="K656" s="116">
        <v>0</v>
      </c>
      <c r="L656" s="116">
        <v>0</v>
      </c>
      <c r="M656" s="114">
        <v>0</v>
      </c>
      <c r="N656" s="113">
        <v>0</v>
      </c>
      <c r="O656" s="113">
        <v>0</v>
      </c>
      <c r="P656" s="116">
        <v>0</v>
      </c>
      <c r="Q656" s="116">
        <v>0</v>
      </c>
      <c r="R656" s="116">
        <v>0</v>
      </c>
      <c r="S656" s="114">
        <v>0</v>
      </c>
      <c r="T656" s="116">
        <v>0</v>
      </c>
      <c r="U656" s="116">
        <v>0</v>
      </c>
      <c r="V656" s="121">
        <f t="shared" si="42"/>
        <v>0</v>
      </c>
      <c r="W656" s="111"/>
      <c r="X656" s="111"/>
      <c r="Y656" s="111"/>
      <c r="Z656" s="111"/>
      <c r="AA656" s="111"/>
      <c r="AB656" s="111"/>
      <c r="AC656" s="111"/>
      <c r="AD656" s="111"/>
      <c r="AE656" s="139">
        <f t="shared" si="41"/>
        <v>0</v>
      </c>
      <c r="AF656" s="109"/>
      <c r="AG656" s="109"/>
    </row>
    <row r="657" spans="1:33">
      <c r="A657" s="117"/>
      <c r="B657" s="118"/>
      <c r="C657" s="118"/>
      <c r="D657" s="118"/>
      <c r="E657" s="119"/>
      <c r="F657" s="118"/>
      <c r="G657" s="110"/>
      <c r="H657" s="126"/>
      <c r="I657" s="114">
        <v>0</v>
      </c>
      <c r="J657" s="115">
        <v>0</v>
      </c>
      <c r="K657" s="116">
        <v>0</v>
      </c>
      <c r="L657" s="116">
        <v>0</v>
      </c>
      <c r="M657" s="114">
        <v>0</v>
      </c>
      <c r="N657" s="113">
        <v>0</v>
      </c>
      <c r="O657" s="113">
        <v>0</v>
      </c>
      <c r="P657" s="116">
        <v>0</v>
      </c>
      <c r="Q657" s="116">
        <v>0</v>
      </c>
      <c r="R657" s="116">
        <v>0</v>
      </c>
      <c r="S657" s="114">
        <v>0</v>
      </c>
      <c r="T657" s="116">
        <v>0</v>
      </c>
      <c r="U657" s="116">
        <v>0</v>
      </c>
      <c r="V657" s="121">
        <f t="shared" si="42"/>
        <v>0</v>
      </c>
      <c r="W657" s="111"/>
      <c r="X657" s="111"/>
      <c r="Y657" s="111"/>
      <c r="Z657" s="111"/>
      <c r="AA657" s="111"/>
      <c r="AB657" s="111"/>
      <c r="AC657" s="111"/>
      <c r="AD657" s="111"/>
      <c r="AE657" s="139">
        <f t="shared" si="41"/>
        <v>0</v>
      </c>
      <c r="AF657" s="109"/>
      <c r="AG657" s="109"/>
    </row>
    <row r="658" spans="1:33">
      <c r="A658" s="117"/>
      <c r="B658" s="118"/>
      <c r="C658" s="118"/>
      <c r="D658" s="118"/>
      <c r="E658" s="119"/>
      <c r="F658" s="118"/>
      <c r="G658" s="110"/>
      <c r="H658" s="126"/>
      <c r="I658" s="114">
        <v>0</v>
      </c>
      <c r="J658" s="115">
        <v>0</v>
      </c>
      <c r="K658" s="116">
        <v>0</v>
      </c>
      <c r="L658" s="116">
        <v>0</v>
      </c>
      <c r="M658" s="114">
        <v>0</v>
      </c>
      <c r="N658" s="113">
        <v>0</v>
      </c>
      <c r="O658" s="113">
        <v>0</v>
      </c>
      <c r="P658" s="116">
        <v>0</v>
      </c>
      <c r="Q658" s="116">
        <v>0</v>
      </c>
      <c r="R658" s="116">
        <v>0</v>
      </c>
      <c r="S658" s="114">
        <v>0</v>
      </c>
      <c r="T658" s="116">
        <v>0</v>
      </c>
      <c r="U658" s="116">
        <v>0</v>
      </c>
      <c r="V658" s="121">
        <f t="shared" si="42"/>
        <v>0</v>
      </c>
      <c r="W658" s="111"/>
      <c r="X658" s="111"/>
      <c r="Y658" s="111"/>
      <c r="Z658" s="111"/>
      <c r="AA658" s="111"/>
      <c r="AB658" s="111"/>
      <c r="AC658" s="111"/>
      <c r="AD658" s="111"/>
      <c r="AE658" s="139">
        <f t="shared" si="41"/>
        <v>0</v>
      </c>
      <c r="AF658" s="109"/>
      <c r="AG658" s="109"/>
    </row>
    <row r="659" spans="1:33">
      <c r="A659" s="117"/>
      <c r="B659" s="118"/>
      <c r="C659" s="118"/>
      <c r="D659" s="118"/>
      <c r="E659" s="119"/>
      <c r="F659" s="118"/>
      <c r="G659" s="110"/>
      <c r="H659" s="126"/>
      <c r="I659" s="114">
        <v>0</v>
      </c>
      <c r="J659" s="115">
        <v>0</v>
      </c>
      <c r="K659" s="116">
        <v>0</v>
      </c>
      <c r="L659" s="116">
        <v>0</v>
      </c>
      <c r="M659" s="114">
        <v>0</v>
      </c>
      <c r="N659" s="113">
        <v>0</v>
      </c>
      <c r="O659" s="113">
        <v>0</v>
      </c>
      <c r="P659" s="116">
        <v>0</v>
      </c>
      <c r="Q659" s="116">
        <v>0</v>
      </c>
      <c r="R659" s="116">
        <v>0</v>
      </c>
      <c r="S659" s="114">
        <v>0</v>
      </c>
      <c r="T659" s="116">
        <v>0</v>
      </c>
      <c r="U659" s="116">
        <v>0</v>
      </c>
      <c r="V659" s="121">
        <f t="shared" si="42"/>
        <v>0</v>
      </c>
      <c r="W659" s="111"/>
      <c r="X659" s="111"/>
      <c r="Y659" s="111"/>
      <c r="Z659" s="111"/>
      <c r="AA659" s="111"/>
      <c r="AB659" s="111"/>
      <c r="AC659" s="111"/>
      <c r="AD659" s="111"/>
      <c r="AE659" s="139">
        <f t="shared" si="41"/>
        <v>0</v>
      </c>
      <c r="AF659" s="109"/>
      <c r="AG659" s="109"/>
    </row>
    <row r="660" spans="1:33">
      <c r="A660" s="117"/>
      <c r="B660" s="118"/>
      <c r="C660" s="118"/>
      <c r="D660" s="118"/>
      <c r="E660" s="119"/>
      <c r="F660" s="118"/>
      <c r="G660" s="110"/>
      <c r="H660" s="126"/>
      <c r="I660" s="114">
        <v>0</v>
      </c>
      <c r="J660" s="115">
        <v>0</v>
      </c>
      <c r="K660" s="116">
        <v>0</v>
      </c>
      <c r="L660" s="116">
        <v>0</v>
      </c>
      <c r="M660" s="114">
        <v>0</v>
      </c>
      <c r="N660" s="113">
        <v>0</v>
      </c>
      <c r="O660" s="113">
        <v>0</v>
      </c>
      <c r="P660" s="116">
        <v>0</v>
      </c>
      <c r="Q660" s="116">
        <v>0</v>
      </c>
      <c r="R660" s="116">
        <v>0</v>
      </c>
      <c r="S660" s="114">
        <v>0</v>
      </c>
      <c r="T660" s="116">
        <v>0</v>
      </c>
      <c r="U660" s="116">
        <v>0</v>
      </c>
      <c r="V660" s="121">
        <f t="shared" si="42"/>
        <v>0</v>
      </c>
      <c r="W660" s="111"/>
      <c r="X660" s="111"/>
      <c r="Y660" s="111"/>
      <c r="Z660" s="111"/>
      <c r="AA660" s="111"/>
      <c r="AB660" s="111"/>
      <c r="AC660" s="111"/>
      <c r="AD660" s="111"/>
      <c r="AE660" s="139">
        <f t="shared" si="41"/>
        <v>0</v>
      </c>
      <c r="AF660" s="109"/>
      <c r="AG660" s="109"/>
    </row>
    <row r="661" spans="1:33">
      <c r="A661" s="117"/>
      <c r="B661" s="118"/>
      <c r="C661" s="118"/>
      <c r="D661" s="118"/>
      <c r="E661" s="119"/>
      <c r="F661" s="118"/>
      <c r="G661" s="110"/>
      <c r="H661" s="126"/>
      <c r="I661" s="114">
        <v>0</v>
      </c>
      <c r="J661" s="115">
        <v>0</v>
      </c>
      <c r="K661" s="116">
        <v>0</v>
      </c>
      <c r="L661" s="116">
        <v>0</v>
      </c>
      <c r="M661" s="114">
        <v>0</v>
      </c>
      <c r="N661" s="113">
        <v>0</v>
      </c>
      <c r="O661" s="113">
        <v>0</v>
      </c>
      <c r="P661" s="116">
        <v>0</v>
      </c>
      <c r="Q661" s="116">
        <v>0</v>
      </c>
      <c r="R661" s="116">
        <v>0</v>
      </c>
      <c r="S661" s="114">
        <v>0</v>
      </c>
      <c r="T661" s="116">
        <v>0</v>
      </c>
      <c r="U661" s="116">
        <v>0</v>
      </c>
      <c r="V661" s="121">
        <f t="shared" si="42"/>
        <v>0</v>
      </c>
      <c r="W661" s="111"/>
      <c r="X661" s="111"/>
      <c r="Y661" s="111"/>
      <c r="Z661" s="111"/>
      <c r="AA661" s="111"/>
      <c r="AB661" s="111"/>
      <c r="AC661" s="111"/>
      <c r="AD661" s="111"/>
      <c r="AE661" s="139">
        <f t="shared" si="41"/>
        <v>0</v>
      </c>
      <c r="AF661" s="109"/>
      <c r="AG661" s="109"/>
    </row>
    <row r="662" spans="1:33">
      <c r="A662" s="117"/>
      <c r="B662" s="118"/>
      <c r="C662" s="118"/>
      <c r="D662" s="118"/>
      <c r="E662" s="119"/>
      <c r="F662" s="118"/>
      <c r="G662" s="110"/>
      <c r="H662" s="126"/>
      <c r="I662" s="114">
        <v>0</v>
      </c>
      <c r="J662" s="115">
        <v>0</v>
      </c>
      <c r="K662" s="116">
        <v>0</v>
      </c>
      <c r="L662" s="116">
        <v>0</v>
      </c>
      <c r="M662" s="114">
        <v>0</v>
      </c>
      <c r="N662" s="113">
        <v>0</v>
      </c>
      <c r="O662" s="113">
        <v>0</v>
      </c>
      <c r="P662" s="116">
        <v>0</v>
      </c>
      <c r="Q662" s="116">
        <v>0</v>
      </c>
      <c r="R662" s="116">
        <v>0</v>
      </c>
      <c r="S662" s="114">
        <v>0</v>
      </c>
      <c r="T662" s="116">
        <v>0</v>
      </c>
      <c r="U662" s="116">
        <v>0</v>
      </c>
      <c r="V662" s="121">
        <f t="shared" si="42"/>
        <v>0</v>
      </c>
      <c r="W662" s="111"/>
      <c r="X662" s="111"/>
      <c r="Y662" s="111"/>
      <c r="Z662" s="111"/>
      <c r="AA662" s="111"/>
      <c r="AB662" s="111"/>
      <c r="AC662" s="111"/>
      <c r="AD662" s="111"/>
      <c r="AE662" s="139">
        <f t="shared" si="41"/>
        <v>0</v>
      </c>
      <c r="AF662" s="109"/>
      <c r="AG662" s="109"/>
    </row>
    <row r="663" spans="1:33">
      <c r="A663" s="117"/>
      <c r="B663" s="118"/>
      <c r="C663" s="118"/>
      <c r="D663" s="118"/>
      <c r="E663" s="119"/>
      <c r="F663" s="118"/>
      <c r="G663" s="110"/>
      <c r="H663" s="126"/>
      <c r="I663" s="114">
        <v>0</v>
      </c>
      <c r="J663" s="115">
        <v>0</v>
      </c>
      <c r="K663" s="116">
        <v>0</v>
      </c>
      <c r="L663" s="116">
        <v>0</v>
      </c>
      <c r="M663" s="114">
        <v>0</v>
      </c>
      <c r="N663" s="113">
        <v>0</v>
      </c>
      <c r="O663" s="113">
        <v>0</v>
      </c>
      <c r="P663" s="116">
        <v>0</v>
      </c>
      <c r="Q663" s="116">
        <v>0</v>
      </c>
      <c r="R663" s="116">
        <v>0</v>
      </c>
      <c r="S663" s="114">
        <v>0</v>
      </c>
      <c r="T663" s="116">
        <v>0</v>
      </c>
      <c r="U663" s="116">
        <v>0</v>
      </c>
      <c r="V663" s="121">
        <f t="shared" si="42"/>
        <v>0</v>
      </c>
      <c r="W663" s="111"/>
      <c r="X663" s="111"/>
      <c r="Y663" s="111"/>
      <c r="Z663" s="111"/>
      <c r="AA663" s="111"/>
      <c r="AB663" s="111"/>
      <c r="AC663" s="111"/>
      <c r="AD663" s="111"/>
      <c r="AE663" s="139">
        <f t="shared" si="41"/>
        <v>0</v>
      </c>
      <c r="AF663" s="109"/>
      <c r="AG663" s="109"/>
    </row>
    <row r="664" spans="1:33">
      <c r="A664" s="117"/>
      <c r="B664" s="118"/>
      <c r="C664" s="118"/>
      <c r="D664" s="118"/>
      <c r="E664" s="119"/>
      <c r="F664" s="118"/>
      <c r="G664" s="110"/>
      <c r="H664" s="126"/>
      <c r="I664" s="114">
        <v>0</v>
      </c>
      <c r="J664" s="115">
        <v>0</v>
      </c>
      <c r="K664" s="116">
        <v>0</v>
      </c>
      <c r="L664" s="116">
        <v>0</v>
      </c>
      <c r="M664" s="114">
        <v>0</v>
      </c>
      <c r="N664" s="113">
        <v>0</v>
      </c>
      <c r="O664" s="113">
        <v>0</v>
      </c>
      <c r="P664" s="116">
        <v>0</v>
      </c>
      <c r="Q664" s="116">
        <v>0</v>
      </c>
      <c r="R664" s="116">
        <v>0</v>
      </c>
      <c r="S664" s="114">
        <v>0</v>
      </c>
      <c r="T664" s="116">
        <v>0</v>
      </c>
      <c r="U664" s="116">
        <v>0</v>
      </c>
      <c r="V664" s="121">
        <f t="shared" si="42"/>
        <v>0</v>
      </c>
      <c r="W664" s="111"/>
      <c r="X664" s="111"/>
      <c r="Y664" s="111"/>
      <c r="Z664" s="111"/>
      <c r="AA664" s="111"/>
      <c r="AB664" s="111"/>
      <c r="AC664" s="111"/>
      <c r="AD664" s="111"/>
      <c r="AE664" s="139">
        <f t="shared" si="41"/>
        <v>0</v>
      </c>
      <c r="AF664" s="109"/>
      <c r="AG664" s="109"/>
    </row>
    <row r="665" spans="1:33">
      <c r="A665" s="117"/>
      <c r="B665" s="118"/>
      <c r="C665" s="118"/>
      <c r="D665" s="118"/>
      <c r="E665" s="119"/>
      <c r="F665" s="118"/>
      <c r="G665" s="110"/>
      <c r="H665" s="126"/>
      <c r="I665" s="114">
        <v>0</v>
      </c>
      <c r="J665" s="115">
        <v>0</v>
      </c>
      <c r="K665" s="116">
        <v>0</v>
      </c>
      <c r="L665" s="116">
        <v>0</v>
      </c>
      <c r="M665" s="114">
        <v>0</v>
      </c>
      <c r="N665" s="113">
        <v>0</v>
      </c>
      <c r="O665" s="113">
        <v>0</v>
      </c>
      <c r="P665" s="116">
        <v>0</v>
      </c>
      <c r="Q665" s="116">
        <v>0</v>
      </c>
      <c r="R665" s="116">
        <v>0</v>
      </c>
      <c r="S665" s="114">
        <v>0</v>
      </c>
      <c r="T665" s="116">
        <v>0</v>
      </c>
      <c r="U665" s="116">
        <v>0</v>
      </c>
      <c r="V665" s="121">
        <f t="shared" si="42"/>
        <v>0</v>
      </c>
      <c r="W665" s="111"/>
      <c r="X665" s="111"/>
      <c r="Y665" s="111"/>
      <c r="Z665" s="111"/>
      <c r="AA665" s="111"/>
      <c r="AB665" s="111"/>
      <c r="AC665" s="111"/>
      <c r="AD665" s="111"/>
      <c r="AE665" s="139">
        <f t="shared" si="41"/>
        <v>0</v>
      </c>
      <c r="AF665" s="109"/>
      <c r="AG665" s="109"/>
    </row>
    <row r="666" spans="1:33">
      <c r="A666" s="117"/>
      <c r="B666" s="118"/>
      <c r="C666" s="118"/>
      <c r="D666" s="118"/>
      <c r="E666" s="119"/>
      <c r="F666" s="118"/>
      <c r="G666" s="110"/>
      <c r="H666" s="126"/>
      <c r="I666" s="114">
        <v>0</v>
      </c>
      <c r="J666" s="115">
        <v>0</v>
      </c>
      <c r="K666" s="116">
        <v>0</v>
      </c>
      <c r="L666" s="116">
        <v>0</v>
      </c>
      <c r="M666" s="114">
        <v>0</v>
      </c>
      <c r="N666" s="113">
        <v>0</v>
      </c>
      <c r="O666" s="113">
        <v>0</v>
      </c>
      <c r="P666" s="116">
        <v>0</v>
      </c>
      <c r="Q666" s="116">
        <v>0</v>
      </c>
      <c r="R666" s="116">
        <v>0</v>
      </c>
      <c r="S666" s="114">
        <v>0</v>
      </c>
      <c r="T666" s="116">
        <v>0</v>
      </c>
      <c r="U666" s="116">
        <v>0</v>
      </c>
      <c r="V666" s="121">
        <f t="shared" si="42"/>
        <v>0</v>
      </c>
      <c r="W666" s="111"/>
      <c r="X666" s="111"/>
      <c r="Y666" s="111"/>
      <c r="Z666" s="111"/>
      <c r="AA666" s="111"/>
      <c r="AB666" s="111"/>
      <c r="AC666" s="111"/>
      <c r="AD666" s="111"/>
      <c r="AE666" s="139">
        <f t="shared" si="41"/>
        <v>0</v>
      </c>
      <c r="AF666" s="109"/>
      <c r="AG666" s="109"/>
    </row>
    <row r="667" spans="1:33">
      <c r="A667" s="117"/>
      <c r="B667" s="118"/>
      <c r="C667" s="118"/>
      <c r="D667" s="118"/>
      <c r="E667" s="119"/>
      <c r="F667" s="118"/>
      <c r="G667" s="110"/>
      <c r="H667" s="126"/>
      <c r="I667" s="114">
        <v>0</v>
      </c>
      <c r="J667" s="115">
        <v>0</v>
      </c>
      <c r="K667" s="116">
        <v>0</v>
      </c>
      <c r="L667" s="116">
        <v>0</v>
      </c>
      <c r="M667" s="114">
        <v>0</v>
      </c>
      <c r="N667" s="113">
        <v>0</v>
      </c>
      <c r="O667" s="113">
        <v>0</v>
      </c>
      <c r="P667" s="116">
        <v>0</v>
      </c>
      <c r="Q667" s="116">
        <v>0</v>
      </c>
      <c r="R667" s="116">
        <v>0</v>
      </c>
      <c r="S667" s="114">
        <v>0</v>
      </c>
      <c r="T667" s="116">
        <v>0</v>
      </c>
      <c r="U667" s="116">
        <v>0</v>
      </c>
      <c r="V667" s="121">
        <f t="shared" si="42"/>
        <v>0</v>
      </c>
      <c r="W667" s="111"/>
      <c r="X667" s="111"/>
      <c r="Y667" s="111"/>
      <c r="Z667" s="111"/>
      <c r="AA667" s="111"/>
      <c r="AB667" s="111"/>
      <c r="AC667" s="111"/>
      <c r="AD667" s="111"/>
      <c r="AE667" s="139">
        <f t="shared" si="41"/>
        <v>0</v>
      </c>
      <c r="AF667" s="109"/>
      <c r="AG667" s="109"/>
    </row>
    <row r="668" spans="1:33">
      <c r="A668" s="117"/>
      <c r="B668" s="118"/>
      <c r="C668" s="118"/>
      <c r="D668" s="118"/>
      <c r="E668" s="119"/>
      <c r="F668" s="118"/>
      <c r="G668" s="110"/>
      <c r="H668" s="126"/>
      <c r="I668" s="114">
        <v>0</v>
      </c>
      <c r="J668" s="115">
        <v>0</v>
      </c>
      <c r="K668" s="116">
        <v>0</v>
      </c>
      <c r="L668" s="116">
        <v>0</v>
      </c>
      <c r="M668" s="114">
        <v>0</v>
      </c>
      <c r="N668" s="113">
        <v>0</v>
      </c>
      <c r="O668" s="113">
        <v>0</v>
      </c>
      <c r="P668" s="116">
        <v>0</v>
      </c>
      <c r="Q668" s="116">
        <v>0</v>
      </c>
      <c r="R668" s="116">
        <v>0</v>
      </c>
      <c r="S668" s="114">
        <v>0</v>
      </c>
      <c r="T668" s="116">
        <v>0</v>
      </c>
      <c r="U668" s="116">
        <v>0</v>
      </c>
      <c r="V668" s="121">
        <f t="shared" si="42"/>
        <v>0</v>
      </c>
      <c r="W668" s="111"/>
      <c r="X668" s="111"/>
      <c r="Y668" s="111"/>
      <c r="Z668" s="111"/>
      <c r="AA668" s="111"/>
      <c r="AB668" s="111"/>
      <c r="AC668" s="111"/>
      <c r="AD668" s="111"/>
      <c r="AE668" s="139">
        <f t="shared" si="41"/>
        <v>0</v>
      </c>
      <c r="AF668" s="109"/>
      <c r="AG668" s="109"/>
    </row>
    <row r="669" spans="1:33">
      <c r="A669" s="117"/>
      <c r="B669" s="118"/>
      <c r="C669" s="118"/>
      <c r="D669" s="118"/>
      <c r="E669" s="119"/>
      <c r="F669" s="118"/>
      <c r="G669" s="110"/>
      <c r="H669" s="126"/>
      <c r="I669" s="114">
        <v>0</v>
      </c>
      <c r="J669" s="115">
        <v>0</v>
      </c>
      <c r="K669" s="116">
        <v>0</v>
      </c>
      <c r="L669" s="116">
        <v>0</v>
      </c>
      <c r="M669" s="114">
        <v>0</v>
      </c>
      <c r="N669" s="113">
        <v>0</v>
      </c>
      <c r="O669" s="113">
        <v>0</v>
      </c>
      <c r="P669" s="116">
        <v>0</v>
      </c>
      <c r="Q669" s="116">
        <v>0</v>
      </c>
      <c r="R669" s="116">
        <v>0</v>
      </c>
      <c r="S669" s="114">
        <v>0</v>
      </c>
      <c r="T669" s="116">
        <v>0</v>
      </c>
      <c r="U669" s="116">
        <v>0</v>
      </c>
      <c r="V669" s="121">
        <f t="shared" si="42"/>
        <v>0</v>
      </c>
      <c r="W669" s="111"/>
      <c r="X669" s="111"/>
      <c r="Y669" s="111"/>
      <c r="Z669" s="111"/>
      <c r="AA669" s="111"/>
      <c r="AB669" s="111"/>
      <c r="AC669" s="111"/>
      <c r="AD669" s="111"/>
      <c r="AE669" s="139">
        <f t="shared" si="41"/>
        <v>0</v>
      </c>
      <c r="AF669" s="109"/>
      <c r="AG669" s="109"/>
    </row>
    <row r="670" spans="1:33">
      <c r="A670" s="117"/>
      <c r="B670" s="118"/>
      <c r="C670" s="118"/>
      <c r="D670" s="118"/>
      <c r="E670" s="119"/>
      <c r="F670" s="118"/>
      <c r="G670" s="110"/>
      <c r="H670" s="126"/>
      <c r="I670" s="114">
        <v>0</v>
      </c>
      <c r="J670" s="115">
        <v>0</v>
      </c>
      <c r="K670" s="116">
        <v>0</v>
      </c>
      <c r="L670" s="116">
        <v>0</v>
      </c>
      <c r="M670" s="114">
        <v>0</v>
      </c>
      <c r="N670" s="113">
        <v>0</v>
      </c>
      <c r="O670" s="113">
        <v>0</v>
      </c>
      <c r="P670" s="116">
        <v>0</v>
      </c>
      <c r="Q670" s="116">
        <v>0</v>
      </c>
      <c r="R670" s="116">
        <v>0</v>
      </c>
      <c r="S670" s="114">
        <v>0</v>
      </c>
      <c r="T670" s="116">
        <v>0</v>
      </c>
      <c r="U670" s="116">
        <v>0</v>
      </c>
      <c r="V670" s="121">
        <f t="shared" si="42"/>
        <v>0</v>
      </c>
      <c r="W670" s="111"/>
      <c r="X670" s="111"/>
      <c r="Y670" s="111"/>
      <c r="Z670" s="111"/>
      <c r="AA670" s="111"/>
      <c r="AB670" s="111"/>
      <c r="AC670" s="111"/>
      <c r="AD670" s="111"/>
      <c r="AE670" s="139">
        <f t="shared" si="41"/>
        <v>0</v>
      </c>
      <c r="AF670" s="109"/>
      <c r="AG670" s="109"/>
    </row>
    <row r="671" spans="1:33">
      <c r="A671" s="117"/>
      <c r="B671" s="118"/>
      <c r="C671" s="118"/>
      <c r="D671" s="118"/>
      <c r="E671" s="119"/>
      <c r="F671" s="118"/>
      <c r="G671" s="110"/>
      <c r="H671" s="126"/>
      <c r="I671" s="114">
        <v>0</v>
      </c>
      <c r="J671" s="115">
        <v>0</v>
      </c>
      <c r="K671" s="116">
        <v>0</v>
      </c>
      <c r="L671" s="116">
        <v>0</v>
      </c>
      <c r="M671" s="114">
        <v>0</v>
      </c>
      <c r="N671" s="113">
        <v>0</v>
      </c>
      <c r="O671" s="113">
        <v>0</v>
      </c>
      <c r="P671" s="116">
        <v>0</v>
      </c>
      <c r="Q671" s="116">
        <v>0</v>
      </c>
      <c r="R671" s="116">
        <v>0</v>
      </c>
      <c r="S671" s="114">
        <v>0</v>
      </c>
      <c r="T671" s="116">
        <v>0</v>
      </c>
      <c r="U671" s="116">
        <v>0</v>
      </c>
      <c r="V671" s="121">
        <f t="shared" si="42"/>
        <v>0</v>
      </c>
      <c r="W671" s="111"/>
      <c r="X671" s="111"/>
      <c r="Y671" s="111"/>
      <c r="Z671" s="111"/>
      <c r="AA671" s="111"/>
      <c r="AB671" s="111"/>
      <c r="AC671" s="111"/>
      <c r="AD671" s="111"/>
      <c r="AE671" s="139">
        <f t="shared" si="41"/>
        <v>0</v>
      </c>
      <c r="AF671" s="109"/>
      <c r="AG671" s="109"/>
    </row>
    <row r="672" spans="1:33">
      <c r="A672" s="117"/>
      <c r="B672" s="118"/>
      <c r="C672" s="118"/>
      <c r="D672" s="118"/>
      <c r="E672" s="119"/>
      <c r="F672" s="118"/>
      <c r="G672" s="110"/>
      <c r="H672" s="126"/>
      <c r="I672" s="114">
        <v>0</v>
      </c>
      <c r="J672" s="115">
        <v>0</v>
      </c>
      <c r="K672" s="116">
        <v>0</v>
      </c>
      <c r="L672" s="116">
        <v>0</v>
      </c>
      <c r="M672" s="114">
        <v>0</v>
      </c>
      <c r="N672" s="113">
        <v>0</v>
      </c>
      <c r="O672" s="113">
        <v>0</v>
      </c>
      <c r="P672" s="116">
        <v>0</v>
      </c>
      <c r="Q672" s="116">
        <v>0</v>
      </c>
      <c r="R672" s="116">
        <v>0</v>
      </c>
      <c r="S672" s="114">
        <v>0</v>
      </c>
      <c r="T672" s="116">
        <v>0</v>
      </c>
      <c r="U672" s="116">
        <v>0</v>
      </c>
      <c r="V672" s="121">
        <f t="shared" si="42"/>
        <v>0</v>
      </c>
      <c r="W672" s="111"/>
      <c r="X672" s="111"/>
      <c r="Y672" s="111"/>
      <c r="Z672" s="111"/>
      <c r="AA672" s="111"/>
      <c r="AB672" s="111"/>
      <c r="AC672" s="111"/>
      <c r="AD672" s="111"/>
      <c r="AE672" s="139">
        <f t="shared" si="41"/>
        <v>0</v>
      </c>
      <c r="AF672" s="109"/>
      <c r="AG672" s="109"/>
    </row>
    <row r="673" spans="1:33">
      <c r="A673" s="117"/>
      <c r="B673" s="118"/>
      <c r="C673" s="118"/>
      <c r="D673" s="118"/>
      <c r="E673" s="119"/>
      <c r="F673" s="118"/>
      <c r="G673" s="110"/>
      <c r="H673" s="126"/>
      <c r="I673" s="114">
        <v>0</v>
      </c>
      <c r="J673" s="115">
        <v>0</v>
      </c>
      <c r="K673" s="116">
        <v>0</v>
      </c>
      <c r="L673" s="116">
        <v>0</v>
      </c>
      <c r="M673" s="114">
        <v>0</v>
      </c>
      <c r="N673" s="113">
        <v>0</v>
      </c>
      <c r="O673" s="113">
        <v>0</v>
      </c>
      <c r="P673" s="116">
        <v>0</v>
      </c>
      <c r="Q673" s="116">
        <v>0</v>
      </c>
      <c r="R673" s="116">
        <v>0</v>
      </c>
      <c r="S673" s="114">
        <v>0</v>
      </c>
      <c r="T673" s="116">
        <v>0</v>
      </c>
      <c r="U673" s="116">
        <v>0</v>
      </c>
      <c r="V673" s="121">
        <f t="shared" si="42"/>
        <v>0</v>
      </c>
      <c r="W673" s="111"/>
      <c r="X673" s="111"/>
      <c r="Y673" s="111"/>
      <c r="Z673" s="111"/>
      <c r="AA673" s="111"/>
      <c r="AB673" s="111"/>
      <c r="AC673" s="111"/>
      <c r="AD673" s="111"/>
      <c r="AE673" s="139">
        <f t="shared" si="41"/>
        <v>0</v>
      </c>
      <c r="AF673" s="109"/>
      <c r="AG673" s="109"/>
    </row>
    <row r="674" spans="1:33">
      <c r="A674" s="117"/>
      <c r="B674" s="118"/>
      <c r="C674" s="118"/>
      <c r="D674" s="118"/>
      <c r="E674" s="119"/>
      <c r="F674" s="118"/>
      <c r="G674" s="110"/>
      <c r="H674" s="126"/>
      <c r="I674" s="114">
        <v>0</v>
      </c>
      <c r="J674" s="115">
        <v>0</v>
      </c>
      <c r="K674" s="116">
        <v>0</v>
      </c>
      <c r="L674" s="116">
        <v>0</v>
      </c>
      <c r="M674" s="114">
        <v>0</v>
      </c>
      <c r="N674" s="113">
        <v>0</v>
      </c>
      <c r="O674" s="113">
        <v>0</v>
      </c>
      <c r="P674" s="116">
        <v>0</v>
      </c>
      <c r="Q674" s="116">
        <v>0</v>
      </c>
      <c r="R674" s="116">
        <v>0</v>
      </c>
      <c r="S674" s="114">
        <v>0</v>
      </c>
      <c r="T674" s="116">
        <v>0</v>
      </c>
      <c r="U674" s="116">
        <v>0</v>
      </c>
      <c r="V674" s="121">
        <f t="shared" si="42"/>
        <v>0</v>
      </c>
      <c r="W674" s="111"/>
      <c r="X674" s="111"/>
      <c r="Y674" s="111"/>
      <c r="Z674" s="111"/>
      <c r="AA674" s="111"/>
      <c r="AB674" s="111"/>
      <c r="AC674" s="111"/>
      <c r="AD674" s="111"/>
      <c r="AE674" s="139">
        <f t="shared" si="41"/>
        <v>0</v>
      </c>
      <c r="AF674" s="109"/>
      <c r="AG674" s="109"/>
    </row>
    <row r="675" spans="1:33">
      <c r="A675" s="117"/>
      <c r="B675" s="118"/>
      <c r="C675" s="118"/>
      <c r="D675" s="118"/>
      <c r="E675" s="119"/>
      <c r="F675" s="118"/>
      <c r="G675" s="110"/>
      <c r="H675" s="126"/>
      <c r="I675" s="114">
        <v>0</v>
      </c>
      <c r="J675" s="115">
        <v>0</v>
      </c>
      <c r="K675" s="116">
        <v>0</v>
      </c>
      <c r="L675" s="116">
        <v>0</v>
      </c>
      <c r="M675" s="114">
        <v>0</v>
      </c>
      <c r="N675" s="113">
        <v>0</v>
      </c>
      <c r="O675" s="113">
        <v>0</v>
      </c>
      <c r="P675" s="116">
        <v>0</v>
      </c>
      <c r="Q675" s="116">
        <v>0</v>
      </c>
      <c r="R675" s="116">
        <v>0</v>
      </c>
      <c r="S675" s="114">
        <v>0</v>
      </c>
      <c r="T675" s="116">
        <v>0</v>
      </c>
      <c r="U675" s="116">
        <v>0</v>
      </c>
      <c r="V675" s="121">
        <f t="shared" si="42"/>
        <v>0</v>
      </c>
      <c r="W675" s="111"/>
      <c r="X675" s="111"/>
      <c r="Y675" s="111"/>
      <c r="Z675" s="111"/>
      <c r="AA675" s="111"/>
      <c r="AB675" s="111"/>
      <c r="AC675" s="111"/>
      <c r="AD675" s="111"/>
      <c r="AE675" s="139">
        <f t="shared" si="41"/>
        <v>0</v>
      </c>
      <c r="AF675" s="109"/>
      <c r="AG675" s="109"/>
    </row>
    <row r="676" spans="1:33">
      <c r="A676" s="117"/>
      <c r="B676" s="118"/>
      <c r="C676" s="118"/>
      <c r="D676" s="118"/>
      <c r="E676" s="119"/>
      <c r="F676" s="118"/>
      <c r="G676" s="110"/>
      <c r="H676" s="126"/>
      <c r="I676" s="114">
        <v>0</v>
      </c>
      <c r="J676" s="115">
        <v>0</v>
      </c>
      <c r="K676" s="116">
        <v>0</v>
      </c>
      <c r="L676" s="116">
        <v>0</v>
      </c>
      <c r="M676" s="114">
        <v>0</v>
      </c>
      <c r="N676" s="113">
        <v>0</v>
      </c>
      <c r="O676" s="113">
        <v>0</v>
      </c>
      <c r="P676" s="116">
        <v>0</v>
      </c>
      <c r="Q676" s="116">
        <v>0</v>
      </c>
      <c r="R676" s="116">
        <v>0</v>
      </c>
      <c r="S676" s="114">
        <v>0</v>
      </c>
      <c r="T676" s="116">
        <v>0</v>
      </c>
      <c r="U676" s="116">
        <v>0</v>
      </c>
      <c r="V676" s="121">
        <f t="shared" si="42"/>
        <v>0</v>
      </c>
      <c r="W676" s="111"/>
      <c r="X676" s="111"/>
      <c r="Y676" s="111"/>
      <c r="Z676" s="111"/>
      <c r="AA676" s="111"/>
      <c r="AB676" s="111"/>
      <c r="AC676" s="111"/>
      <c r="AD676" s="111"/>
      <c r="AE676" s="139">
        <f t="shared" si="41"/>
        <v>0</v>
      </c>
      <c r="AF676" s="109"/>
      <c r="AG676" s="109"/>
    </row>
    <row r="677" spans="1:33">
      <c r="A677" s="117"/>
      <c r="B677" s="118"/>
      <c r="C677" s="118"/>
      <c r="D677" s="118"/>
      <c r="E677" s="119"/>
      <c r="F677" s="118"/>
      <c r="G677" s="110"/>
      <c r="H677" s="126"/>
      <c r="I677" s="114">
        <v>0</v>
      </c>
      <c r="J677" s="115">
        <v>0</v>
      </c>
      <c r="K677" s="116">
        <v>0</v>
      </c>
      <c r="L677" s="116">
        <v>0</v>
      </c>
      <c r="M677" s="114">
        <v>0</v>
      </c>
      <c r="N677" s="113">
        <v>0</v>
      </c>
      <c r="O677" s="113">
        <v>0</v>
      </c>
      <c r="P677" s="116">
        <v>0</v>
      </c>
      <c r="Q677" s="116">
        <v>0</v>
      </c>
      <c r="R677" s="116">
        <v>0</v>
      </c>
      <c r="S677" s="114">
        <v>0</v>
      </c>
      <c r="T677" s="116">
        <v>0</v>
      </c>
      <c r="U677" s="116">
        <v>0</v>
      </c>
      <c r="V677" s="121">
        <f t="shared" si="42"/>
        <v>0</v>
      </c>
      <c r="W677" s="111"/>
      <c r="X677" s="111"/>
      <c r="Y677" s="111"/>
      <c r="Z677" s="111"/>
      <c r="AA677" s="111"/>
      <c r="AB677" s="111"/>
      <c r="AC677" s="111"/>
      <c r="AD677" s="111"/>
      <c r="AE677" s="139">
        <f t="shared" si="41"/>
        <v>0</v>
      </c>
      <c r="AF677" s="109"/>
      <c r="AG677" s="109"/>
    </row>
    <row r="678" spans="1:33">
      <c r="A678" s="117"/>
      <c r="B678" s="118"/>
      <c r="C678" s="118"/>
      <c r="D678" s="118"/>
      <c r="E678" s="119"/>
      <c r="F678" s="118"/>
      <c r="G678" s="110"/>
      <c r="H678" s="126"/>
      <c r="I678" s="114">
        <v>0</v>
      </c>
      <c r="J678" s="115">
        <v>0</v>
      </c>
      <c r="K678" s="116">
        <v>0</v>
      </c>
      <c r="L678" s="116">
        <v>0</v>
      </c>
      <c r="M678" s="114">
        <v>0</v>
      </c>
      <c r="N678" s="113">
        <v>0</v>
      </c>
      <c r="O678" s="113">
        <v>0</v>
      </c>
      <c r="P678" s="116">
        <v>0</v>
      </c>
      <c r="Q678" s="116">
        <v>0</v>
      </c>
      <c r="R678" s="116">
        <v>0</v>
      </c>
      <c r="S678" s="114">
        <v>0</v>
      </c>
      <c r="T678" s="116">
        <v>0</v>
      </c>
      <c r="U678" s="116">
        <v>0</v>
      </c>
      <c r="V678" s="121">
        <f t="shared" si="42"/>
        <v>0</v>
      </c>
      <c r="W678" s="111"/>
      <c r="X678" s="111"/>
      <c r="Y678" s="111"/>
      <c r="Z678" s="111"/>
      <c r="AA678" s="111"/>
      <c r="AB678" s="111"/>
      <c r="AC678" s="111"/>
      <c r="AD678" s="111"/>
      <c r="AE678" s="139">
        <f t="shared" si="41"/>
        <v>0</v>
      </c>
      <c r="AF678" s="109"/>
      <c r="AG678" s="109"/>
    </row>
    <row r="679" spans="1:33">
      <c r="A679" s="117"/>
      <c r="B679" s="118"/>
      <c r="C679" s="118"/>
      <c r="D679" s="118"/>
      <c r="E679" s="119"/>
      <c r="F679" s="118"/>
      <c r="G679" s="110"/>
      <c r="H679" s="126"/>
      <c r="I679" s="114">
        <v>0</v>
      </c>
      <c r="J679" s="115">
        <v>0</v>
      </c>
      <c r="K679" s="116">
        <v>0</v>
      </c>
      <c r="L679" s="116">
        <v>0</v>
      </c>
      <c r="M679" s="114">
        <v>0</v>
      </c>
      <c r="N679" s="113">
        <v>0</v>
      </c>
      <c r="O679" s="113">
        <v>0</v>
      </c>
      <c r="P679" s="116">
        <v>0</v>
      </c>
      <c r="Q679" s="116">
        <v>0</v>
      </c>
      <c r="R679" s="116">
        <v>0</v>
      </c>
      <c r="S679" s="114">
        <v>0</v>
      </c>
      <c r="T679" s="116">
        <v>0</v>
      </c>
      <c r="U679" s="116">
        <v>0</v>
      </c>
      <c r="V679" s="121">
        <f t="shared" si="42"/>
        <v>0</v>
      </c>
      <c r="W679" s="111"/>
      <c r="X679" s="111"/>
      <c r="Y679" s="111"/>
      <c r="Z679" s="111"/>
      <c r="AA679" s="111"/>
      <c r="AB679" s="111"/>
      <c r="AC679" s="111"/>
      <c r="AD679" s="111"/>
      <c r="AE679" s="139">
        <f t="shared" si="41"/>
        <v>0</v>
      </c>
      <c r="AF679" s="109"/>
      <c r="AG679" s="109"/>
    </row>
    <row r="680" spans="1:33">
      <c r="A680" s="117"/>
      <c r="B680" s="118"/>
      <c r="C680" s="118"/>
      <c r="D680" s="118"/>
      <c r="E680" s="119"/>
      <c r="F680" s="118"/>
      <c r="G680" s="110"/>
      <c r="H680" s="126"/>
      <c r="I680" s="114">
        <v>0</v>
      </c>
      <c r="J680" s="115">
        <v>0</v>
      </c>
      <c r="K680" s="116">
        <v>0</v>
      </c>
      <c r="L680" s="116">
        <v>0</v>
      </c>
      <c r="M680" s="114">
        <v>0</v>
      </c>
      <c r="N680" s="113">
        <v>0</v>
      </c>
      <c r="O680" s="113">
        <v>0</v>
      </c>
      <c r="P680" s="116">
        <v>0</v>
      </c>
      <c r="Q680" s="116">
        <v>0</v>
      </c>
      <c r="R680" s="116">
        <v>0</v>
      </c>
      <c r="S680" s="114">
        <v>0</v>
      </c>
      <c r="T680" s="116">
        <v>0</v>
      </c>
      <c r="U680" s="116">
        <v>0</v>
      </c>
      <c r="V680" s="121">
        <f t="shared" si="42"/>
        <v>0</v>
      </c>
      <c r="W680" s="111"/>
      <c r="X680" s="111"/>
      <c r="Y680" s="111"/>
      <c r="Z680" s="111"/>
      <c r="AA680" s="111"/>
      <c r="AB680" s="111"/>
      <c r="AC680" s="111"/>
      <c r="AD680" s="111"/>
      <c r="AE680" s="139">
        <f t="shared" si="41"/>
        <v>0</v>
      </c>
      <c r="AF680" s="109"/>
      <c r="AG680" s="109"/>
    </row>
    <row r="681" spans="1:33">
      <c r="A681" s="117"/>
      <c r="B681" s="118"/>
      <c r="C681" s="118"/>
      <c r="D681" s="118"/>
      <c r="E681" s="119"/>
      <c r="F681" s="118"/>
      <c r="G681" s="110"/>
      <c r="H681" s="126"/>
      <c r="I681" s="114">
        <v>0</v>
      </c>
      <c r="J681" s="115">
        <v>0</v>
      </c>
      <c r="K681" s="116">
        <v>0</v>
      </c>
      <c r="L681" s="116">
        <v>0</v>
      </c>
      <c r="M681" s="114">
        <v>0</v>
      </c>
      <c r="N681" s="113">
        <v>0</v>
      </c>
      <c r="O681" s="113">
        <v>0</v>
      </c>
      <c r="P681" s="116">
        <v>0</v>
      </c>
      <c r="Q681" s="116">
        <v>0</v>
      </c>
      <c r="R681" s="116">
        <v>0</v>
      </c>
      <c r="S681" s="114">
        <v>0</v>
      </c>
      <c r="T681" s="116">
        <v>0</v>
      </c>
      <c r="U681" s="116">
        <v>0</v>
      </c>
      <c r="V681" s="121">
        <f t="shared" si="42"/>
        <v>0</v>
      </c>
      <c r="W681" s="111"/>
      <c r="X681" s="111"/>
      <c r="Y681" s="111"/>
      <c r="Z681" s="111"/>
      <c r="AA681" s="111"/>
      <c r="AB681" s="111"/>
      <c r="AC681" s="111"/>
      <c r="AD681" s="111"/>
      <c r="AE681" s="139">
        <f t="shared" ref="AE681:AE744" si="43">V681-(X681+Y681)</f>
        <v>0</v>
      </c>
      <c r="AF681" s="109"/>
      <c r="AG681" s="109"/>
    </row>
    <row r="682" spans="1:33">
      <c r="A682" s="117"/>
      <c r="B682" s="118"/>
      <c r="C682" s="118"/>
      <c r="D682" s="118"/>
      <c r="E682" s="119"/>
      <c r="F682" s="118"/>
      <c r="G682" s="110"/>
      <c r="H682" s="126"/>
      <c r="I682" s="114">
        <v>0</v>
      </c>
      <c r="J682" s="115">
        <v>0</v>
      </c>
      <c r="K682" s="116">
        <v>0</v>
      </c>
      <c r="L682" s="116">
        <v>0</v>
      </c>
      <c r="M682" s="114">
        <v>0</v>
      </c>
      <c r="N682" s="113">
        <v>0</v>
      </c>
      <c r="O682" s="113">
        <v>0</v>
      </c>
      <c r="P682" s="116">
        <v>0</v>
      </c>
      <c r="Q682" s="116">
        <v>0</v>
      </c>
      <c r="R682" s="116">
        <v>0</v>
      </c>
      <c r="S682" s="114">
        <v>0</v>
      </c>
      <c r="T682" s="116">
        <v>0</v>
      </c>
      <c r="U682" s="116">
        <v>0</v>
      </c>
      <c r="V682" s="121">
        <f t="shared" si="42"/>
        <v>0</v>
      </c>
      <c r="W682" s="111"/>
      <c r="X682" s="111"/>
      <c r="Y682" s="111"/>
      <c r="Z682" s="111"/>
      <c r="AA682" s="111"/>
      <c r="AB682" s="111"/>
      <c r="AC682" s="111"/>
      <c r="AD682" s="111"/>
      <c r="AE682" s="139">
        <f t="shared" si="43"/>
        <v>0</v>
      </c>
      <c r="AF682" s="109"/>
      <c r="AG682" s="109"/>
    </row>
    <row r="683" spans="1:33">
      <c r="A683" s="117"/>
      <c r="B683" s="118"/>
      <c r="C683" s="118"/>
      <c r="D683" s="118"/>
      <c r="E683" s="119"/>
      <c r="F683" s="118"/>
      <c r="G683" s="110"/>
      <c r="H683" s="126"/>
      <c r="I683" s="114">
        <v>0</v>
      </c>
      <c r="J683" s="115">
        <v>0</v>
      </c>
      <c r="K683" s="116">
        <v>0</v>
      </c>
      <c r="L683" s="116">
        <v>0</v>
      </c>
      <c r="M683" s="114">
        <v>0</v>
      </c>
      <c r="N683" s="113">
        <v>0</v>
      </c>
      <c r="O683" s="113">
        <v>0</v>
      </c>
      <c r="P683" s="116">
        <v>0</v>
      </c>
      <c r="Q683" s="116">
        <v>0</v>
      </c>
      <c r="R683" s="116">
        <v>0</v>
      </c>
      <c r="S683" s="114">
        <v>0</v>
      </c>
      <c r="T683" s="116">
        <v>0</v>
      </c>
      <c r="U683" s="116">
        <v>0</v>
      </c>
      <c r="V683" s="121">
        <f t="shared" si="42"/>
        <v>0</v>
      </c>
      <c r="W683" s="111"/>
      <c r="X683" s="111"/>
      <c r="Y683" s="111"/>
      <c r="Z683" s="111"/>
      <c r="AA683" s="111"/>
      <c r="AB683" s="111"/>
      <c r="AC683" s="111"/>
      <c r="AD683" s="111"/>
      <c r="AE683" s="139">
        <f t="shared" si="43"/>
        <v>0</v>
      </c>
      <c r="AF683" s="109"/>
      <c r="AG683" s="109"/>
    </row>
    <row r="684" spans="1:33">
      <c r="A684" s="117"/>
      <c r="B684" s="118"/>
      <c r="C684" s="118"/>
      <c r="D684" s="118"/>
      <c r="E684" s="119"/>
      <c r="F684" s="118"/>
      <c r="G684" s="110"/>
      <c r="H684" s="126"/>
      <c r="I684" s="114">
        <v>0</v>
      </c>
      <c r="J684" s="115">
        <v>0</v>
      </c>
      <c r="K684" s="116">
        <v>0</v>
      </c>
      <c r="L684" s="116">
        <v>0</v>
      </c>
      <c r="M684" s="114">
        <v>0</v>
      </c>
      <c r="N684" s="113">
        <v>0</v>
      </c>
      <c r="O684" s="113">
        <v>0</v>
      </c>
      <c r="P684" s="116">
        <v>0</v>
      </c>
      <c r="Q684" s="116">
        <v>0</v>
      </c>
      <c r="R684" s="116">
        <v>0</v>
      </c>
      <c r="S684" s="114">
        <v>0</v>
      </c>
      <c r="T684" s="116">
        <v>0</v>
      </c>
      <c r="U684" s="116">
        <v>0</v>
      </c>
      <c r="V684" s="121">
        <f t="shared" si="42"/>
        <v>0</v>
      </c>
      <c r="W684" s="111"/>
      <c r="X684" s="111"/>
      <c r="Y684" s="111"/>
      <c r="Z684" s="111"/>
      <c r="AA684" s="111"/>
      <c r="AB684" s="111"/>
      <c r="AC684" s="111"/>
      <c r="AD684" s="111"/>
      <c r="AE684" s="139">
        <f t="shared" si="43"/>
        <v>0</v>
      </c>
      <c r="AF684" s="109"/>
      <c r="AG684" s="109"/>
    </row>
    <row r="685" spans="1:33">
      <c r="A685" s="117"/>
      <c r="B685" s="118"/>
      <c r="C685" s="118"/>
      <c r="D685" s="118"/>
      <c r="E685" s="119"/>
      <c r="F685" s="118"/>
      <c r="G685" s="110"/>
      <c r="H685" s="126"/>
      <c r="I685" s="114">
        <v>0</v>
      </c>
      <c r="J685" s="115">
        <v>0</v>
      </c>
      <c r="K685" s="116">
        <v>0</v>
      </c>
      <c r="L685" s="116">
        <v>0</v>
      </c>
      <c r="M685" s="114">
        <v>0</v>
      </c>
      <c r="N685" s="113">
        <v>0</v>
      </c>
      <c r="O685" s="113">
        <v>0</v>
      </c>
      <c r="P685" s="116">
        <v>0</v>
      </c>
      <c r="Q685" s="116">
        <v>0</v>
      </c>
      <c r="R685" s="116">
        <v>0</v>
      </c>
      <c r="S685" s="114">
        <v>0</v>
      </c>
      <c r="T685" s="116">
        <v>0</v>
      </c>
      <c r="U685" s="116">
        <v>0</v>
      </c>
      <c r="V685" s="121">
        <f t="shared" si="42"/>
        <v>0</v>
      </c>
      <c r="W685" s="111"/>
      <c r="X685" s="111"/>
      <c r="Y685" s="111"/>
      <c r="Z685" s="111"/>
      <c r="AA685" s="111"/>
      <c r="AB685" s="111"/>
      <c r="AC685" s="111"/>
      <c r="AD685" s="111"/>
      <c r="AE685" s="139">
        <f t="shared" si="43"/>
        <v>0</v>
      </c>
      <c r="AF685" s="109"/>
      <c r="AG685" s="109"/>
    </row>
    <row r="686" spans="1:33">
      <c r="A686" s="117"/>
      <c r="B686" s="118"/>
      <c r="C686" s="118"/>
      <c r="D686" s="118"/>
      <c r="E686" s="119"/>
      <c r="F686" s="118"/>
      <c r="G686" s="110"/>
      <c r="H686" s="126"/>
      <c r="I686" s="114">
        <v>0</v>
      </c>
      <c r="J686" s="115">
        <v>0</v>
      </c>
      <c r="K686" s="116">
        <v>0</v>
      </c>
      <c r="L686" s="116">
        <v>0</v>
      </c>
      <c r="M686" s="114">
        <v>0</v>
      </c>
      <c r="N686" s="113">
        <v>0</v>
      </c>
      <c r="O686" s="113">
        <v>0</v>
      </c>
      <c r="P686" s="116">
        <v>0</v>
      </c>
      <c r="Q686" s="116">
        <v>0</v>
      </c>
      <c r="R686" s="116">
        <v>0</v>
      </c>
      <c r="S686" s="114">
        <v>0</v>
      </c>
      <c r="T686" s="116">
        <v>0</v>
      </c>
      <c r="U686" s="116">
        <v>0</v>
      </c>
      <c r="V686" s="121">
        <f t="shared" si="42"/>
        <v>0</v>
      </c>
      <c r="W686" s="111"/>
      <c r="X686" s="111"/>
      <c r="Y686" s="111"/>
      <c r="Z686" s="111"/>
      <c r="AA686" s="111"/>
      <c r="AB686" s="111"/>
      <c r="AC686" s="111"/>
      <c r="AD686" s="111"/>
      <c r="AE686" s="139">
        <f t="shared" si="43"/>
        <v>0</v>
      </c>
      <c r="AF686" s="109"/>
      <c r="AG686" s="109"/>
    </row>
    <row r="687" spans="1:33">
      <c r="A687" s="117"/>
      <c r="B687" s="118"/>
      <c r="C687" s="118"/>
      <c r="D687" s="118"/>
      <c r="E687" s="119"/>
      <c r="F687" s="118"/>
      <c r="G687" s="110"/>
      <c r="H687" s="126"/>
      <c r="I687" s="114">
        <v>0</v>
      </c>
      <c r="J687" s="115">
        <v>0</v>
      </c>
      <c r="K687" s="116">
        <v>0</v>
      </c>
      <c r="L687" s="116">
        <v>0</v>
      </c>
      <c r="M687" s="114">
        <v>0</v>
      </c>
      <c r="N687" s="113">
        <v>0</v>
      </c>
      <c r="O687" s="113">
        <v>0</v>
      </c>
      <c r="P687" s="116">
        <v>0</v>
      </c>
      <c r="Q687" s="116">
        <v>0</v>
      </c>
      <c r="R687" s="116">
        <v>0</v>
      </c>
      <c r="S687" s="114">
        <v>0</v>
      </c>
      <c r="T687" s="116">
        <v>0</v>
      </c>
      <c r="U687" s="116">
        <v>0</v>
      </c>
      <c r="V687" s="121">
        <f t="shared" si="42"/>
        <v>0</v>
      </c>
      <c r="W687" s="111"/>
      <c r="X687" s="111"/>
      <c r="Y687" s="111"/>
      <c r="Z687" s="111"/>
      <c r="AA687" s="111"/>
      <c r="AB687" s="111"/>
      <c r="AC687" s="111"/>
      <c r="AD687" s="111"/>
      <c r="AE687" s="139">
        <f t="shared" si="43"/>
        <v>0</v>
      </c>
      <c r="AF687" s="109"/>
      <c r="AG687" s="109"/>
    </row>
    <row r="688" spans="1:33">
      <c r="A688" s="117"/>
      <c r="B688" s="118"/>
      <c r="C688" s="118"/>
      <c r="D688" s="118"/>
      <c r="E688" s="119"/>
      <c r="F688" s="118"/>
      <c r="G688" s="110"/>
      <c r="H688" s="126"/>
      <c r="I688" s="114">
        <v>0</v>
      </c>
      <c r="J688" s="115">
        <v>0</v>
      </c>
      <c r="K688" s="116">
        <v>0</v>
      </c>
      <c r="L688" s="116">
        <v>0</v>
      </c>
      <c r="M688" s="114">
        <v>0</v>
      </c>
      <c r="N688" s="113">
        <v>0</v>
      </c>
      <c r="O688" s="113">
        <v>0</v>
      </c>
      <c r="P688" s="116">
        <v>0</v>
      </c>
      <c r="Q688" s="116">
        <v>0</v>
      </c>
      <c r="R688" s="116">
        <v>0</v>
      </c>
      <c r="S688" s="114">
        <v>0</v>
      </c>
      <c r="T688" s="116">
        <v>0</v>
      </c>
      <c r="U688" s="116">
        <v>0</v>
      </c>
      <c r="V688" s="121">
        <f t="shared" si="42"/>
        <v>0</v>
      </c>
      <c r="W688" s="111"/>
      <c r="X688" s="111"/>
      <c r="Y688" s="111"/>
      <c r="Z688" s="111"/>
      <c r="AA688" s="111"/>
      <c r="AB688" s="111"/>
      <c r="AC688" s="111"/>
      <c r="AD688" s="111"/>
      <c r="AE688" s="139">
        <f t="shared" si="43"/>
        <v>0</v>
      </c>
      <c r="AF688" s="109"/>
      <c r="AG688" s="109"/>
    </row>
    <row r="689" spans="1:33">
      <c r="A689" s="117"/>
      <c r="B689" s="118"/>
      <c r="C689" s="118"/>
      <c r="D689" s="118"/>
      <c r="E689" s="119"/>
      <c r="F689" s="118"/>
      <c r="G689" s="110"/>
      <c r="H689" s="126"/>
      <c r="I689" s="114">
        <v>0</v>
      </c>
      <c r="J689" s="115">
        <v>0</v>
      </c>
      <c r="K689" s="116">
        <v>0</v>
      </c>
      <c r="L689" s="116">
        <v>0</v>
      </c>
      <c r="M689" s="114">
        <v>0</v>
      </c>
      <c r="N689" s="113">
        <v>0</v>
      </c>
      <c r="O689" s="113">
        <v>0</v>
      </c>
      <c r="P689" s="116">
        <v>0</v>
      </c>
      <c r="Q689" s="116">
        <v>0</v>
      </c>
      <c r="R689" s="116">
        <v>0</v>
      </c>
      <c r="S689" s="114">
        <v>0</v>
      </c>
      <c r="T689" s="116">
        <v>0</v>
      </c>
      <c r="U689" s="116">
        <v>0</v>
      </c>
      <c r="V689" s="121">
        <f t="shared" ref="V689:V752" si="44">+G689-(SUM(I689:N689,P689:S689,U689))</f>
        <v>0</v>
      </c>
      <c r="W689" s="111"/>
      <c r="X689" s="111"/>
      <c r="Y689" s="111"/>
      <c r="Z689" s="111"/>
      <c r="AA689" s="111"/>
      <c r="AB689" s="111"/>
      <c r="AC689" s="111"/>
      <c r="AD689" s="111"/>
      <c r="AE689" s="139">
        <f t="shared" si="43"/>
        <v>0</v>
      </c>
      <c r="AF689" s="109"/>
      <c r="AG689" s="109"/>
    </row>
    <row r="690" spans="1:33">
      <c r="A690" s="117"/>
      <c r="B690" s="118"/>
      <c r="C690" s="118"/>
      <c r="D690" s="118"/>
      <c r="E690" s="119"/>
      <c r="F690" s="118"/>
      <c r="G690" s="110"/>
      <c r="H690" s="126"/>
      <c r="I690" s="114">
        <v>0</v>
      </c>
      <c r="J690" s="115">
        <v>0</v>
      </c>
      <c r="K690" s="116">
        <v>0</v>
      </c>
      <c r="L690" s="116">
        <v>0</v>
      </c>
      <c r="M690" s="114">
        <v>0</v>
      </c>
      <c r="N690" s="113">
        <v>0</v>
      </c>
      <c r="O690" s="113">
        <v>0</v>
      </c>
      <c r="P690" s="116">
        <v>0</v>
      </c>
      <c r="Q690" s="116">
        <v>0</v>
      </c>
      <c r="R690" s="116">
        <v>0</v>
      </c>
      <c r="S690" s="114">
        <v>0</v>
      </c>
      <c r="T690" s="116">
        <v>0</v>
      </c>
      <c r="U690" s="116">
        <v>0</v>
      </c>
      <c r="V690" s="121">
        <f t="shared" si="44"/>
        <v>0</v>
      </c>
      <c r="W690" s="111"/>
      <c r="X690" s="111"/>
      <c r="Y690" s="111"/>
      <c r="Z690" s="111"/>
      <c r="AA690" s="111"/>
      <c r="AB690" s="111"/>
      <c r="AC690" s="111"/>
      <c r="AD690" s="111"/>
      <c r="AE690" s="139">
        <f t="shared" si="43"/>
        <v>0</v>
      </c>
      <c r="AF690" s="109"/>
      <c r="AG690" s="109"/>
    </row>
    <row r="691" spans="1:33">
      <c r="A691" s="117"/>
      <c r="B691" s="118"/>
      <c r="C691" s="118"/>
      <c r="D691" s="118"/>
      <c r="E691" s="119"/>
      <c r="F691" s="118"/>
      <c r="G691" s="110"/>
      <c r="H691" s="126"/>
      <c r="I691" s="114">
        <v>0</v>
      </c>
      <c r="J691" s="115">
        <v>0</v>
      </c>
      <c r="K691" s="116">
        <v>0</v>
      </c>
      <c r="L691" s="116">
        <v>0</v>
      </c>
      <c r="M691" s="114">
        <v>0</v>
      </c>
      <c r="N691" s="113">
        <v>0</v>
      </c>
      <c r="O691" s="113">
        <v>0</v>
      </c>
      <c r="P691" s="116">
        <v>0</v>
      </c>
      <c r="Q691" s="116">
        <v>0</v>
      </c>
      <c r="R691" s="116">
        <v>0</v>
      </c>
      <c r="S691" s="114">
        <v>0</v>
      </c>
      <c r="T691" s="116">
        <v>0</v>
      </c>
      <c r="U691" s="116">
        <v>0</v>
      </c>
      <c r="V691" s="121">
        <f t="shared" si="44"/>
        <v>0</v>
      </c>
      <c r="W691" s="111"/>
      <c r="X691" s="111"/>
      <c r="Y691" s="111"/>
      <c r="Z691" s="111"/>
      <c r="AA691" s="111"/>
      <c r="AB691" s="111"/>
      <c r="AC691" s="111"/>
      <c r="AD691" s="111"/>
      <c r="AE691" s="139">
        <f t="shared" si="43"/>
        <v>0</v>
      </c>
      <c r="AF691" s="109"/>
      <c r="AG691" s="109"/>
    </row>
    <row r="692" spans="1:33">
      <c r="A692" s="117"/>
      <c r="B692" s="118"/>
      <c r="C692" s="118"/>
      <c r="D692" s="118"/>
      <c r="E692" s="119"/>
      <c r="F692" s="118"/>
      <c r="G692" s="110"/>
      <c r="H692" s="126"/>
      <c r="I692" s="114">
        <v>0</v>
      </c>
      <c r="J692" s="115">
        <v>0</v>
      </c>
      <c r="K692" s="116">
        <v>0</v>
      </c>
      <c r="L692" s="116">
        <v>0</v>
      </c>
      <c r="M692" s="114">
        <v>0</v>
      </c>
      <c r="N692" s="113">
        <v>0</v>
      </c>
      <c r="O692" s="113">
        <v>0</v>
      </c>
      <c r="P692" s="116">
        <v>0</v>
      </c>
      <c r="Q692" s="116">
        <v>0</v>
      </c>
      <c r="R692" s="116">
        <v>0</v>
      </c>
      <c r="S692" s="114">
        <v>0</v>
      </c>
      <c r="T692" s="116">
        <v>0</v>
      </c>
      <c r="U692" s="116">
        <v>0</v>
      </c>
      <c r="V692" s="121">
        <f t="shared" si="44"/>
        <v>0</v>
      </c>
      <c r="W692" s="111"/>
      <c r="X692" s="111"/>
      <c r="Y692" s="111"/>
      <c r="Z692" s="111"/>
      <c r="AA692" s="111"/>
      <c r="AB692" s="111"/>
      <c r="AC692" s="111"/>
      <c r="AD692" s="111"/>
      <c r="AE692" s="139">
        <f t="shared" si="43"/>
        <v>0</v>
      </c>
      <c r="AF692" s="109"/>
      <c r="AG692" s="109"/>
    </row>
    <row r="693" spans="1:33">
      <c r="A693" s="117"/>
      <c r="B693" s="118"/>
      <c r="C693" s="118"/>
      <c r="D693" s="118"/>
      <c r="E693" s="119"/>
      <c r="F693" s="118"/>
      <c r="G693" s="110"/>
      <c r="H693" s="126"/>
      <c r="I693" s="114">
        <v>0</v>
      </c>
      <c r="J693" s="115">
        <v>0</v>
      </c>
      <c r="K693" s="116">
        <v>0</v>
      </c>
      <c r="L693" s="116">
        <v>0</v>
      </c>
      <c r="M693" s="114">
        <v>0</v>
      </c>
      <c r="N693" s="113">
        <v>0</v>
      </c>
      <c r="O693" s="113">
        <v>0</v>
      </c>
      <c r="P693" s="116">
        <v>0</v>
      </c>
      <c r="Q693" s="116">
        <v>0</v>
      </c>
      <c r="R693" s="116">
        <v>0</v>
      </c>
      <c r="S693" s="114">
        <v>0</v>
      </c>
      <c r="T693" s="116">
        <v>0</v>
      </c>
      <c r="U693" s="116">
        <v>0</v>
      </c>
      <c r="V693" s="121">
        <f t="shared" si="44"/>
        <v>0</v>
      </c>
      <c r="W693" s="111"/>
      <c r="X693" s="111"/>
      <c r="Y693" s="111"/>
      <c r="Z693" s="111"/>
      <c r="AA693" s="111"/>
      <c r="AB693" s="111"/>
      <c r="AC693" s="111"/>
      <c r="AD693" s="111"/>
      <c r="AE693" s="139">
        <f t="shared" si="43"/>
        <v>0</v>
      </c>
      <c r="AF693" s="109"/>
      <c r="AG693" s="109"/>
    </row>
    <row r="694" spans="1:33">
      <c r="A694" s="117"/>
      <c r="B694" s="118"/>
      <c r="C694" s="118"/>
      <c r="D694" s="118"/>
      <c r="E694" s="119"/>
      <c r="F694" s="118"/>
      <c r="G694" s="110"/>
      <c r="H694" s="126"/>
      <c r="I694" s="114">
        <v>0</v>
      </c>
      <c r="J694" s="115">
        <v>0</v>
      </c>
      <c r="K694" s="116">
        <v>0</v>
      </c>
      <c r="L694" s="116">
        <v>0</v>
      </c>
      <c r="M694" s="114">
        <v>0</v>
      </c>
      <c r="N694" s="113">
        <v>0</v>
      </c>
      <c r="O694" s="113">
        <v>0</v>
      </c>
      <c r="P694" s="116">
        <v>0</v>
      </c>
      <c r="Q694" s="116">
        <v>0</v>
      </c>
      <c r="R694" s="116">
        <v>0</v>
      </c>
      <c r="S694" s="114">
        <v>0</v>
      </c>
      <c r="T694" s="116">
        <v>0</v>
      </c>
      <c r="U694" s="116">
        <v>0</v>
      </c>
      <c r="V694" s="121">
        <f t="shared" si="44"/>
        <v>0</v>
      </c>
      <c r="W694" s="111"/>
      <c r="X694" s="111"/>
      <c r="Y694" s="111"/>
      <c r="Z694" s="111"/>
      <c r="AA694" s="111"/>
      <c r="AB694" s="111"/>
      <c r="AC694" s="111"/>
      <c r="AD694" s="111"/>
      <c r="AE694" s="139">
        <f t="shared" si="43"/>
        <v>0</v>
      </c>
      <c r="AF694" s="109"/>
      <c r="AG694" s="109"/>
    </row>
    <row r="695" spans="1:33">
      <c r="A695" s="117"/>
      <c r="B695" s="118"/>
      <c r="C695" s="118"/>
      <c r="D695" s="118"/>
      <c r="E695" s="119"/>
      <c r="F695" s="118"/>
      <c r="G695" s="110"/>
      <c r="H695" s="126"/>
      <c r="I695" s="114">
        <v>0</v>
      </c>
      <c r="J695" s="115">
        <v>0</v>
      </c>
      <c r="K695" s="116">
        <v>0</v>
      </c>
      <c r="L695" s="116">
        <v>0</v>
      </c>
      <c r="M695" s="114">
        <v>0</v>
      </c>
      <c r="N695" s="113">
        <v>0</v>
      </c>
      <c r="O695" s="113">
        <v>0</v>
      </c>
      <c r="P695" s="116">
        <v>0</v>
      </c>
      <c r="Q695" s="116">
        <v>0</v>
      </c>
      <c r="R695" s="116">
        <v>0</v>
      </c>
      <c r="S695" s="114">
        <v>0</v>
      </c>
      <c r="T695" s="116">
        <v>0</v>
      </c>
      <c r="U695" s="116">
        <v>0</v>
      </c>
      <c r="V695" s="121">
        <f t="shared" si="44"/>
        <v>0</v>
      </c>
      <c r="W695" s="111"/>
      <c r="X695" s="111"/>
      <c r="Y695" s="111"/>
      <c r="Z695" s="111"/>
      <c r="AA695" s="111"/>
      <c r="AB695" s="111"/>
      <c r="AC695" s="111"/>
      <c r="AD695" s="111"/>
      <c r="AE695" s="139">
        <f t="shared" si="43"/>
        <v>0</v>
      </c>
      <c r="AF695" s="109"/>
      <c r="AG695" s="109"/>
    </row>
    <row r="696" spans="1:33">
      <c r="A696" s="117"/>
      <c r="B696" s="118"/>
      <c r="C696" s="118"/>
      <c r="D696" s="118"/>
      <c r="E696" s="119"/>
      <c r="F696" s="118"/>
      <c r="G696" s="110"/>
      <c r="H696" s="126"/>
      <c r="I696" s="114">
        <v>0</v>
      </c>
      <c r="J696" s="115">
        <v>0</v>
      </c>
      <c r="K696" s="116">
        <v>0</v>
      </c>
      <c r="L696" s="116">
        <v>0</v>
      </c>
      <c r="M696" s="114">
        <v>0</v>
      </c>
      <c r="N696" s="113">
        <v>0</v>
      </c>
      <c r="O696" s="113">
        <v>0</v>
      </c>
      <c r="P696" s="116">
        <v>0</v>
      </c>
      <c r="Q696" s="116">
        <v>0</v>
      </c>
      <c r="R696" s="116">
        <v>0</v>
      </c>
      <c r="S696" s="114">
        <v>0</v>
      </c>
      <c r="T696" s="116">
        <v>0</v>
      </c>
      <c r="U696" s="116">
        <v>0</v>
      </c>
      <c r="V696" s="121">
        <f t="shared" si="44"/>
        <v>0</v>
      </c>
      <c r="W696" s="111"/>
      <c r="X696" s="111"/>
      <c r="Y696" s="111"/>
      <c r="Z696" s="111"/>
      <c r="AA696" s="111"/>
      <c r="AB696" s="111"/>
      <c r="AC696" s="111"/>
      <c r="AD696" s="111"/>
      <c r="AE696" s="139">
        <f t="shared" si="43"/>
        <v>0</v>
      </c>
      <c r="AF696" s="109"/>
      <c r="AG696" s="109"/>
    </row>
    <row r="697" spans="1:33">
      <c r="A697" s="117"/>
      <c r="B697" s="118"/>
      <c r="C697" s="118"/>
      <c r="D697" s="118"/>
      <c r="E697" s="119"/>
      <c r="F697" s="118"/>
      <c r="G697" s="110"/>
      <c r="H697" s="126"/>
      <c r="I697" s="114">
        <v>0</v>
      </c>
      <c r="J697" s="115">
        <v>0</v>
      </c>
      <c r="K697" s="116">
        <v>0</v>
      </c>
      <c r="L697" s="116">
        <v>0</v>
      </c>
      <c r="M697" s="114">
        <v>0</v>
      </c>
      <c r="N697" s="113">
        <v>0</v>
      </c>
      <c r="O697" s="113">
        <v>0</v>
      </c>
      <c r="P697" s="116">
        <v>0</v>
      </c>
      <c r="Q697" s="116">
        <v>0</v>
      </c>
      <c r="R697" s="116">
        <v>0</v>
      </c>
      <c r="S697" s="114">
        <v>0</v>
      </c>
      <c r="T697" s="116">
        <v>0</v>
      </c>
      <c r="U697" s="116">
        <v>0</v>
      </c>
      <c r="V697" s="121">
        <f t="shared" si="44"/>
        <v>0</v>
      </c>
      <c r="W697" s="111"/>
      <c r="X697" s="111"/>
      <c r="Y697" s="111"/>
      <c r="Z697" s="111"/>
      <c r="AA697" s="111"/>
      <c r="AB697" s="111"/>
      <c r="AC697" s="111"/>
      <c r="AD697" s="111"/>
      <c r="AE697" s="139">
        <f t="shared" si="43"/>
        <v>0</v>
      </c>
      <c r="AF697" s="109"/>
      <c r="AG697" s="109"/>
    </row>
    <row r="698" spans="1:33">
      <c r="A698" s="117"/>
      <c r="B698" s="118"/>
      <c r="C698" s="118"/>
      <c r="D698" s="118"/>
      <c r="E698" s="119"/>
      <c r="F698" s="118"/>
      <c r="G698" s="110"/>
      <c r="H698" s="126"/>
      <c r="I698" s="114">
        <v>0</v>
      </c>
      <c r="J698" s="115">
        <v>0</v>
      </c>
      <c r="K698" s="116">
        <v>0</v>
      </c>
      <c r="L698" s="116">
        <v>0</v>
      </c>
      <c r="M698" s="114">
        <v>0</v>
      </c>
      <c r="N698" s="113">
        <v>0</v>
      </c>
      <c r="O698" s="113">
        <v>0</v>
      </c>
      <c r="P698" s="116">
        <v>0</v>
      </c>
      <c r="Q698" s="116">
        <v>0</v>
      </c>
      <c r="R698" s="116">
        <v>0</v>
      </c>
      <c r="S698" s="114">
        <v>0</v>
      </c>
      <c r="T698" s="116">
        <v>0</v>
      </c>
      <c r="U698" s="116">
        <v>0</v>
      </c>
      <c r="V698" s="121">
        <f t="shared" si="44"/>
        <v>0</v>
      </c>
      <c r="W698" s="111"/>
      <c r="X698" s="111"/>
      <c r="Y698" s="111"/>
      <c r="Z698" s="111"/>
      <c r="AA698" s="111"/>
      <c r="AB698" s="111"/>
      <c r="AC698" s="111"/>
      <c r="AD698" s="111"/>
      <c r="AE698" s="139">
        <f t="shared" si="43"/>
        <v>0</v>
      </c>
      <c r="AF698" s="109"/>
      <c r="AG698" s="109"/>
    </row>
    <row r="699" spans="1:33">
      <c r="A699" s="117"/>
      <c r="B699" s="118"/>
      <c r="C699" s="118"/>
      <c r="D699" s="118"/>
      <c r="E699" s="119"/>
      <c r="F699" s="118"/>
      <c r="G699" s="110"/>
      <c r="H699" s="126"/>
      <c r="I699" s="114">
        <v>0</v>
      </c>
      <c r="J699" s="115">
        <v>0</v>
      </c>
      <c r="K699" s="116">
        <v>0</v>
      </c>
      <c r="L699" s="116">
        <v>0</v>
      </c>
      <c r="M699" s="114">
        <v>0</v>
      </c>
      <c r="N699" s="113">
        <v>0</v>
      </c>
      <c r="O699" s="113">
        <v>0</v>
      </c>
      <c r="P699" s="116">
        <v>0</v>
      </c>
      <c r="Q699" s="116">
        <v>0</v>
      </c>
      <c r="R699" s="116">
        <v>0</v>
      </c>
      <c r="S699" s="114">
        <v>0</v>
      </c>
      <c r="T699" s="116">
        <v>0</v>
      </c>
      <c r="U699" s="116">
        <v>0</v>
      </c>
      <c r="V699" s="121">
        <f t="shared" si="44"/>
        <v>0</v>
      </c>
      <c r="W699" s="111"/>
      <c r="X699" s="111"/>
      <c r="Y699" s="111"/>
      <c r="Z699" s="111"/>
      <c r="AA699" s="111"/>
      <c r="AB699" s="111"/>
      <c r="AC699" s="111"/>
      <c r="AD699" s="111"/>
      <c r="AE699" s="139">
        <f t="shared" si="43"/>
        <v>0</v>
      </c>
      <c r="AF699" s="109"/>
      <c r="AG699" s="109"/>
    </row>
    <row r="700" spans="1:33">
      <c r="A700" s="117"/>
      <c r="B700" s="118"/>
      <c r="C700" s="118"/>
      <c r="D700" s="118"/>
      <c r="E700" s="119"/>
      <c r="F700" s="118"/>
      <c r="G700" s="110"/>
      <c r="H700" s="126"/>
      <c r="I700" s="114">
        <v>0</v>
      </c>
      <c r="J700" s="115">
        <v>0</v>
      </c>
      <c r="K700" s="116">
        <v>0</v>
      </c>
      <c r="L700" s="116">
        <v>0</v>
      </c>
      <c r="M700" s="114">
        <v>0</v>
      </c>
      <c r="N700" s="113">
        <v>0</v>
      </c>
      <c r="O700" s="113">
        <v>0</v>
      </c>
      <c r="P700" s="116">
        <v>0</v>
      </c>
      <c r="Q700" s="116">
        <v>0</v>
      </c>
      <c r="R700" s="116">
        <v>0</v>
      </c>
      <c r="S700" s="114">
        <v>0</v>
      </c>
      <c r="T700" s="116">
        <v>0</v>
      </c>
      <c r="U700" s="116">
        <v>0</v>
      </c>
      <c r="V700" s="121">
        <f t="shared" si="44"/>
        <v>0</v>
      </c>
      <c r="W700" s="111"/>
      <c r="X700" s="111"/>
      <c r="Y700" s="111"/>
      <c r="Z700" s="111"/>
      <c r="AA700" s="111"/>
      <c r="AB700" s="111"/>
      <c r="AC700" s="111"/>
      <c r="AD700" s="111"/>
      <c r="AE700" s="139">
        <f t="shared" si="43"/>
        <v>0</v>
      </c>
      <c r="AF700" s="109"/>
      <c r="AG700" s="109"/>
    </row>
    <row r="701" spans="1:33">
      <c r="A701" s="117"/>
      <c r="B701" s="118"/>
      <c r="C701" s="118"/>
      <c r="D701" s="118"/>
      <c r="E701" s="119"/>
      <c r="F701" s="118"/>
      <c r="G701" s="110"/>
      <c r="H701" s="126"/>
      <c r="I701" s="114">
        <v>0</v>
      </c>
      <c r="J701" s="115">
        <v>0</v>
      </c>
      <c r="K701" s="116">
        <v>0</v>
      </c>
      <c r="L701" s="116">
        <v>0</v>
      </c>
      <c r="M701" s="114">
        <v>0</v>
      </c>
      <c r="N701" s="113">
        <v>0</v>
      </c>
      <c r="O701" s="113">
        <v>0</v>
      </c>
      <c r="P701" s="116">
        <v>0</v>
      </c>
      <c r="Q701" s="116">
        <v>0</v>
      </c>
      <c r="R701" s="116">
        <v>0</v>
      </c>
      <c r="S701" s="114">
        <v>0</v>
      </c>
      <c r="T701" s="116">
        <v>0</v>
      </c>
      <c r="U701" s="116">
        <v>0</v>
      </c>
      <c r="V701" s="121">
        <f t="shared" si="44"/>
        <v>0</v>
      </c>
      <c r="W701" s="111"/>
      <c r="X701" s="111"/>
      <c r="Y701" s="111"/>
      <c r="Z701" s="111"/>
      <c r="AA701" s="111"/>
      <c r="AB701" s="111"/>
      <c r="AC701" s="111"/>
      <c r="AD701" s="111"/>
      <c r="AE701" s="139">
        <f t="shared" si="43"/>
        <v>0</v>
      </c>
      <c r="AF701" s="109"/>
      <c r="AG701" s="109"/>
    </row>
    <row r="702" spans="1:33">
      <c r="A702" s="117"/>
      <c r="B702" s="118"/>
      <c r="C702" s="118"/>
      <c r="D702" s="118"/>
      <c r="E702" s="119"/>
      <c r="F702" s="118"/>
      <c r="G702" s="110"/>
      <c r="H702" s="126"/>
      <c r="I702" s="114">
        <v>0</v>
      </c>
      <c r="J702" s="115">
        <v>0</v>
      </c>
      <c r="K702" s="116">
        <v>0</v>
      </c>
      <c r="L702" s="116">
        <v>0</v>
      </c>
      <c r="M702" s="114">
        <v>0</v>
      </c>
      <c r="N702" s="113">
        <v>0</v>
      </c>
      <c r="O702" s="113">
        <v>0</v>
      </c>
      <c r="P702" s="116">
        <v>0</v>
      </c>
      <c r="Q702" s="116">
        <v>0</v>
      </c>
      <c r="R702" s="116">
        <v>0</v>
      </c>
      <c r="S702" s="114">
        <v>0</v>
      </c>
      <c r="T702" s="116">
        <v>0</v>
      </c>
      <c r="U702" s="116">
        <v>0</v>
      </c>
      <c r="V702" s="121">
        <f t="shared" si="44"/>
        <v>0</v>
      </c>
      <c r="W702" s="111"/>
      <c r="X702" s="111"/>
      <c r="Y702" s="111"/>
      <c r="Z702" s="111"/>
      <c r="AA702" s="111"/>
      <c r="AB702" s="111"/>
      <c r="AC702" s="111"/>
      <c r="AD702" s="111"/>
      <c r="AE702" s="139">
        <f t="shared" si="43"/>
        <v>0</v>
      </c>
      <c r="AF702" s="109"/>
      <c r="AG702" s="109"/>
    </row>
    <row r="703" spans="1:33">
      <c r="A703" s="117"/>
      <c r="B703" s="118"/>
      <c r="C703" s="118"/>
      <c r="D703" s="118"/>
      <c r="E703" s="119"/>
      <c r="F703" s="118"/>
      <c r="G703" s="110"/>
      <c r="H703" s="126"/>
      <c r="I703" s="114">
        <v>0</v>
      </c>
      <c r="J703" s="115">
        <v>0</v>
      </c>
      <c r="K703" s="116">
        <v>0</v>
      </c>
      <c r="L703" s="116">
        <v>0</v>
      </c>
      <c r="M703" s="114">
        <v>0</v>
      </c>
      <c r="N703" s="113">
        <v>0</v>
      </c>
      <c r="O703" s="113">
        <v>0</v>
      </c>
      <c r="P703" s="116">
        <v>0</v>
      </c>
      <c r="Q703" s="116">
        <v>0</v>
      </c>
      <c r="R703" s="116">
        <v>0</v>
      </c>
      <c r="S703" s="114">
        <v>0</v>
      </c>
      <c r="T703" s="116">
        <v>0</v>
      </c>
      <c r="U703" s="116">
        <v>0</v>
      </c>
      <c r="V703" s="121">
        <f t="shared" si="44"/>
        <v>0</v>
      </c>
      <c r="W703" s="111"/>
      <c r="X703" s="111"/>
      <c r="Y703" s="111"/>
      <c r="Z703" s="111"/>
      <c r="AA703" s="111"/>
      <c r="AB703" s="111"/>
      <c r="AC703" s="111"/>
      <c r="AD703" s="111"/>
      <c r="AE703" s="139">
        <f t="shared" si="43"/>
        <v>0</v>
      </c>
      <c r="AF703" s="109"/>
      <c r="AG703" s="109"/>
    </row>
    <row r="704" spans="1:33">
      <c r="A704" s="117"/>
      <c r="B704" s="118"/>
      <c r="C704" s="118"/>
      <c r="D704" s="118"/>
      <c r="E704" s="119"/>
      <c r="F704" s="118"/>
      <c r="G704" s="110"/>
      <c r="H704" s="126"/>
      <c r="I704" s="114">
        <v>0</v>
      </c>
      <c r="J704" s="115">
        <v>0</v>
      </c>
      <c r="K704" s="116">
        <v>0</v>
      </c>
      <c r="L704" s="116">
        <v>0</v>
      </c>
      <c r="M704" s="114">
        <v>0</v>
      </c>
      <c r="N704" s="113">
        <v>0</v>
      </c>
      <c r="O704" s="113">
        <v>0</v>
      </c>
      <c r="P704" s="116">
        <v>0</v>
      </c>
      <c r="Q704" s="116">
        <v>0</v>
      </c>
      <c r="R704" s="116">
        <v>0</v>
      </c>
      <c r="S704" s="114">
        <v>0</v>
      </c>
      <c r="T704" s="116">
        <v>0</v>
      </c>
      <c r="U704" s="116">
        <v>0</v>
      </c>
      <c r="V704" s="121">
        <f t="shared" si="44"/>
        <v>0</v>
      </c>
      <c r="W704" s="111"/>
      <c r="X704" s="111"/>
      <c r="Y704" s="111"/>
      <c r="Z704" s="111"/>
      <c r="AA704" s="111"/>
      <c r="AB704" s="111"/>
      <c r="AC704" s="111"/>
      <c r="AD704" s="111"/>
      <c r="AE704" s="139">
        <f t="shared" si="43"/>
        <v>0</v>
      </c>
      <c r="AF704" s="109"/>
      <c r="AG704" s="109"/>
    </row>
    <row r="705" spans="1:33">
      <c r="A705" s="117"/>
      <c r="B705" s="118"/>
      <c r="C705" s="118"/>
      <c r="D705" s="118"/>
      <c r="E705" s="119"/>
      <c r="F705" s="118"/>
      <c r="G705" s="110"/>
      <c r="H705" s="126"/>
      <c r="I705" s="114">
        <v>0</v>
      </c>
      <c r="J705" s="115">
        <v>0</v>
      </c>
      <c r="K705" s="116">
        <v>0</v>
      </c>
      <c r="L705" s="116">
        <v>0</v>
      </c>
      <c r="M705" s="114">
        <v>0</v>
      </c>
      <c r="N705" s="113">
        <v>0</v>
      </c>
      <c r="O705" s="113">
        <v>0</v>
      </c>
      <c r="P705" s="116">
        <v>0</v>
      </c>
      <c r="Q705" s="116">
        <v>0</v>
      </c>
      <c r="R705" s="116">
        <v>0</v>
      </c>
      <c r="S705" s="114">
        <v>0</v>
      </c>
      <c r="T705" s="116">
        <v>0</v>
      </c>
      <c r="U705" s="116">
        <v>0</v>
      </c>
      <c r="V705" s="121">
        <f t="shared" si="44"/>
        <v>0</v>
      </c>
      <c r="W705" s="111"/>
      <c r="X705" s="111"/>
      <c r="Y705" s="111"/>
      <c r="Z705" s="111"/>
      <c r="AA705" s="111"/>
      <c r="AB705" s="111"/>
      <c r="AC705" s="111"/>
      <c r="AD705" s="111"/>
      <c r="AE705" s="139">
        <f t="shared" si="43"/>
        <v>0</v>
      </c>
      <c r="AF705" s="109"/>
      <c r="AG705" s="109"/>
    </row>
    <row r="706" spans="1:33">
      <c r="A706" s="117"/>
      <c r="B706" s="118"/>
      <c r="C706" s="118"/>
      <c r="D706" s="118"/>
      <c r="E706" s="119"/>
      <c r="F706" s="118"/>
      <c r="G706" s="110"/>
      <c r="H706" s="126"/>
      <c r="I706" s="114">
        <v>0</v>
      </c>
      <c r="J706" s="115">
        <v>0</v>
      </c>
      <c r="K706" s="116">
        <v>0</v>
      </c>
      <c r="L706" s="116">
        <v>0</v>
      </c>
      <c r="M706" s="114">
        <v>0</v>
      </c>
      <c r="N706" s="113">
        <v>0</v>
      </c>
      <c r="O706" s="113">
        <v>0</v>
      </c>
      <c r="P706" s="116">
        <v>0</v>
      </c>
      <c r="Q706" s="116">
        <v>0</v>
      </c>
      <c r="R706" s="116">
        <v>0</v>
      </c>
      <c r="S706" s="114">
        <v>0</v>
      </c>
      <c r="T706" s="116">
        <v>0</v>
      </c>
      <c r="U706" s="116">
        <v>0</v>
      </c>
      <c r="V706" s="121">
        <f t="shared" si="44"/>
        <v>0</v>
      </c>
      <c r="W706" s="111"/>
      <c r="X706" s="111"/>
      <c r="Y706" s="111"/>
      <c r="Z706" s="111"/>
      <c r="AA706" s="111"/>
      <c r="AB706" s="111"/>
      <c r="AC706" s="111"/>
      <c r="AD706" s="111"/>
      <c r="AE706" s="139">
        <f t="shared" si="43"/>
        <v>0</v>
      </c>
      <c r="AF706" s="109"/>
      <c r="AG706" s="109"/>
    </row>
    <row r="707" spans="1:33">
      <c r="A707" s="117"/>
      <c r="B707" s="118"/>
      <c r="C707" s="118"/>
      <c r="D707" s="118"/>
      <c r="E707" s="119"/>
      <c r="F707" s="118"/>
      <c r="G707" s="110"/>
      <c r="H707" s="126"/>
      <c r="I707" s="114">
        <v>0</v>
      </c>
      <c r="J707" s="115">
        <v>0</v>
      </c>
      <c r="K707" s="116">
        <v>0</v>
      </c>
      <c r="L707" s="116">
        <v>0</v>
      </c>
      <c r="M707" s="114">
        <v>0</v>
      </c>
      <c r="N707" s="113">
        <v>0</v>
      </c>
      <c r="O707" s="113">
        <v>0</v>
      </c>
      <c r="P707" s="116">
        <v>0</v>
      </c>
      <c r="Q707" s="116">
        <v>0</v>
      </c>
      <c r="R707" s="116">
        <v>0</v>
      </c>
      <c r="S707" s="114">
        <v>0</v>
      </c>
      <c r="T707" s="116">
        <v>0</v>
      </c>
      <c r="U707" s="116">
        <v>0</v>
      </c>
      <c r="V707" s="121">
        <f t="shared" si="44"/>
        <v>0</v>
      </c>
      <c r="W707" s="111"/>
      <c r="X707" s="111"/>
      <c r="Y707" s="111"/>
      <c r="Z707" s="111"/>
      <c r="AA707" s="111"/>
      <c r="AB707" s="111"/>
      <c r="AC707" s="111"/>
      <c r="AD707" s="111"/>
      <c r="AE707" s="139">
        <f t="shared" si="43"/>
        <v>0</v>
      </c>
      <c r="AF707" s="109"/>
      <c r="AG707" s="109"/>
    </row>
    <row r="708" spans="1:33">
      <c r="A708" s="117"/>
      <c r="B708" s="118"/>
      <c r="C708" s="118"/>
      <c r="D708" s="118"/>
      <c r="E708" s="119"/>
      <c r="F708" s="118"/>
      <c r="G708" s="110"/>
      <c r="H708" s="126"/>
      <c r="I708" s="114">
        <v>0</v>
      </c>
      <c r="J708" s="115">
        <v>0</v>
      </c>
      <c r="K708" s="116">
        <v>0</v>
      </c>
      <c r="L708" s="116">
        <v>0</v>
      </c>
      <c r="M708" s="114">
        <v>0</v>
      </c>
      <c r="N708" s="113">
        <v>0</v>
      </c>
      <c r="O708" s="113">
        <v>0</v>
      </c>
      <c r="P708" s="116">
        <v>0</v>
      </c>
      <c r="Q708" s="116">
        <v>0</v>
      </c>
      <c r="R708" s="116">
        <v>0</v>
      </c>
      <c r="S708" s="114">
        <v>0</v>
      </c>
      <c r="T708" s="116">
        <v>0</v>
      </c>
      <c r="U708" s="116">
        <v>0</v>
      </c>
      <c r="V708" s="121">
        <f t="shared" si="44"/>
        <v>0</v>
      </c>
      <c r="W708" s="111"/>
      <c r="X708" s="111"/>
      <c r="Y708" s="111"/>
      <c r="Z708" s="111"/>
      <c r="AA708" s="111"/>
      <c r="AB708" s="111"/>
      <c r="AC708" s="111"/>
      <c r="AD708" s="111"/>
      <c r="AE708" s="139">
        <f t="shared" si="43"/>
        <v>0</v>
      </c>
      <c r="AF708" s="109"/>
      <c r="AG708" s="109"/>
    </row>
    <row r="709" spans="1:33">
      <c r="A709" s="117"/>
      <c r="B709" s="118"/>
      <c r="C709" s="118"/>
      <c r="D709" s="118"/>
      <c r="E709" s="119"/>
      <c r="F709" s="118"/>
      <c r="G709" s="110"/>
      <c r="H709" s="126"/>
      <c r="I709" s="114">
        <v>0</v>
      </c>
      <c r="J709" s="115">
        <v>0</v>
      </c>
      <c r="K709" s="116">
        <v>0</v>
      </c>
      <c r="L709" s="116">
        <v>0</v>
      </c>
      <c r="M709" s="114">
        <v>0</v>
      </c>
      <c r="N709" s="113">
        <v>0</v>
      </c>
      <c r="O709" s="113">
        <v>0</v>
      </c>
      <c r="P709" s="116">
        <v>0</v>
      </c>
      <c r="Q709" s="116">
        <v>0</v>
      </c>
      <c r="R709" s="116">
        <v>0</v>
      </c>
      <c r="S709" s="114">
        <v>0</v>
      </c>
      <c r="T709" s="116">
        <v>0</v>
      </c>
      <c r="U709" s="116">
        <v>0</v>
      </c>
      <c r="V709" s="121">
        <f t="shared" si="44"/>
        <v>0</v>
      </c>
      <c r="W709" s="111"/>
      <c r="X709" s="111"/>
      <c r="Y709" s="111"/>
      <c r="Z709" s="111"/>
      <c r="AA709" s="111"/>
      <c r="AB709" s="111"/>
      <c r="AC709" s="111"/>
      <c r="AD709" s="111"/>
      <c r="AE709" s="139">
        <f t="shared" si="43"/>
        <v>0</v>
      </c>
      <c r="AF709" s="109"/>
      <c r="AG709" s="109"/>
    </row>
    <row r="710" spans="1:33">
      <c r="A710" s="117"/>
      <c r="B710" s="118"/>
      <c r="C710" s="118"/>
      <c r="D710" s="118"/>
      <c r="E710" s="119"/>
      <c r="F710" s="118"/>
      <c r="G710" s="110"/>
      <c r="H710" s="126"/>
      <c r="I710" s="114">
        <v>0</v>
      </c>
      <c r="J710" s="115">
        <v>0</v>
      </c>
      <c r="K710" s="116">
        <v>0</v>
      </c>
      <c r="L710" s="116">
        <v>0</v>
      </c>
      <c r="M710" s="114">
        <v>0</v>
      </c>
      <c r="N710" s="113">
        <v>0</v>
      </c>
      <c r="O710" s="113">
        <v>0</v>
      </c>
      <c r="P710" s="116">
        <v>0</v>
      </c>
      <c r="Q710" s="116">
        <v>0</v>
      </c>
      <c r="R710" s="116">
        <v>0</v>
      </c>
      <c r="S710" s="114">
        <v>0</v>
      </c>
      <c r="T710" s="116">
        <v>0</v>
      </c>
      <c r="U710" s="116">
        <v>0</v>
      </c>
      <c r="V710" s="121">
        <f t="shared" si="44"/>
        <v>0</v>
      </c>
      <c r="W710" s="111"/>
      <c r="X710" s="111"/>
      <c r="Y710" s="111"/>
      <c r="Z710" s="111"/>
      <c r="AA710" s="111"/>
      <c r="AB710" s="111"/>
      <c r="AC710" s="111"/>
      <c r="AD710" s="111"/>
      <c r="AE710" s="139">
        <f t="shared" si="43"/>
        <v>0</v>
      </c>
      <c r="AF710" s="109"/>
      <c r="AG710" s="109"/>
    </row>
    <row r="711" spans="1:33">
      <c r="A711" s="117"/>
      <c r="B711" s="118"/>
      <c r="C711" s="118"/>
      <c r="D711" s="118"/>
      <c r="E711" s="119"/>
      <c r="F711" s="118"/>
      <c r="G711" s="110"/>
      <c r="H711" s="126"/>
      <c r="I711" s="114">
        <v>0</v>
      </c>
      <c r="J711" s="115">
        <v>0</v>
      </c>
      <c r="K711" s="116">
        <v>0</v>
      </c>
      <c r="L711" s="116">
        <v>0</v>
      </c>
      <c r="M711" s="114">
        <v>0</v>
      </c>
      <c r="N711" s="113">
        <v>0</v>
      </c>
      <c r="O711" s="113">
        <v>0</v>
      </c>
      <c r="P711" s="116">
        <v>0</v>
      </c>
      <c r="Q711" s="116">
        <v>0</v>
      </c>
      <c r="R711" s="116">
        <v>0</v>
      </c>
      <c r="S711" s="114">
        <v>0</v>
      </c>
      <c r="T711" s="116">
        <v>0</v>
      </c>
      <c r="U711" s="116">
        <v>0</v>
      </c>
      <c r="V711" s="121">
        <f t="shared" si="44"/>
        <v>0</v>
      </c>
      <c r="W711" s="111"/>
      <c r="X711" s="111"/>
      <c r="Y711" s="111"/>
      <c r="Z711" s="111"/>
      <c r="AA711" s="111"/>
      <c r="AB711" s="111"/>
      <c r="AC711" s="111"/>
      <c r="AD711" s="111"/>
      <c r="AE711" s="139">
        <f t="shared" si="43"/>
        <v>0</v>
      </c>
      <c r="AF711" s="109"/>
      <c r="AG711" s="109"/>
    </row>
    <row r="712" spans="1:33">
      <c r="A712" s="117"/>
      <c r="B712" s="118"/>
      <c r="C712" s="118"/>
      <c r="D712" s="118"/>
      <c r="E712" s="119"/>
      <c r="F712" s="118"/>
      <c r="G712" s="110"/>
      <c r="H712" s="126"/>
      <c r="I712" s="114">
        <v>0</v>
      </c>
      <c r="J712" s="115">
        <v>0</v>
      </c>
      <c r="K712" s="116">
        <v>0</v>
      </c>
      <c r="L712" s="116">
        <v>0</v>
      </c>
      <c r="M712" s="114">
        <v>0</v>
      </c>
      <c r="N712" s="113">
        <v>0</v>
      </c>
      <c r="O712" s="113">
        <v>0</v>
      </c>
      <c r="P712" s="116">
        <v>0</v>
      </c>
      <c r="Q712" s="116">
        <v>0</v>
      </c>
      <c r="R712" s="116">
        <v>0</v>
      </c>
      <c r="S712" s="114">
        <v>0</v>
      </c>
      <c r="T712" s="116">
        <v>0</v>
      </c>
      <c r="U712" s="116">
        <v>0</v>
      </c>
      <c r="V712" s="121">
        <f t="shared" si="44"/>
        <v>0</v>
      </c>
      <c r="W712" s="111"/>
      <c r="X712" s="111"/>
      <c r="Y712" s="111"/>
      <c r="Z712" s="111"/>
      <c r="AA712" s="111"/>
      <c r="AB712" s="111"/>
      <c r="AC712" s="111"/>
      <c r="AD712" s="111"/>
      <c r="AE712" s="139">
        <f t="shared" si="43"/>
        <v>0</v>
      </c>
      <c r="AF712" s="109"/>
      <c r="AG712" s="109"/>
    </row>
    <row r="713" spans="1:33">
      <c r="A713" s="117"/>
      <c r="B713" s="118"/>
      <c r="C713" s="118"/>
      <c r="D713" s="118"/>
      <c r="E713" s="119"/>
      <c r="F713" s="118"/>
      <c r="G713" s="110"/>
      <c r="H713" s="126"/>
      <c r="I713" s="114">
        <v>0</v>
      </c>
      <c r="J713" s="115">
        <v>0</v>
      </c>
      <c r="K713" s="116">
        <v>0</v>
      </c>
      <c r="L713" s="116">
        <v>0</v>
      </c>
      <c r="M713" s="114">
        <v>0</v>
      </c>
      <c r="N713" s="113">
        <v>0</v>
      </c>
      <c r="O713" s="113">
        <v>0</v>
      </c>
      <c r="P713" s="116">
        <v>0</v>
      </c>
      <c r="Q713" s="116">
        <v>0</v>
      </c>
      <c r="R713" s="116">
        <v>0</v>
      </c>
      <c r="S713" s="114">
        <v>0</v>
      </c>
      <c r="T713" s="116">
        <v>0</v>
      </c>
      <c r="U713" s="116">
        <v>0</v>
      </c>
      <c r="V713" s="121">
        <f t="shared" si="44"/>
        <v>0</v>
      </c>
      <c r="W713" s="111"/>
      <c r="X713" s="111"/>
      <c r="Y713" s="111"/>
      <c r="Z713" s="111"/>
      <c r="AA713" s="111"/>
      <c r="AB713" s="111"/>
      <c r="AC713" s="111"/>
      <c r="AD713" s="111"/>
      <c r="AE713" s="139">
        <f t="shared" si="43"/>
        <v>0</v>
      </c>
      <c r="AF713" s="109"/>
      <c r="AG713" s="109"/>
    </row>
    <row r="714" spans="1:33">
      <c r="A714" s="117"/>
      <c r="B714" s="118"/>
      <c r="C714" s="118"/>
      <c r="D714" s="118"/>
      <c r="E714" s="119"/>
      <c r="F714" s="118"/>
      <c r="G714" s="110"/>
      <c r="H714" s="126"/>
      <c r="I714" s="114">
        <v>0</v>
      </c>
      <c r="J714" s="115">
        <v>0</v>
      </c>
      <c r="K714" s="116">
        <v>0</v>
      </c>
      <c r="L714" s="116">
        <v>0</v>
      </c>
      <c r="M714" s="114">
        <v>0</v>
      </c>
      <c r="N714" s="113">
        <v>0</v>
      </c>
      <c r="O714" s="113">
        <v>0</v>
      </c>
      <c r="P714" s="116">
        <v>0</v>
      </c>
      <c r="Q714" s="116">
        <v>0</v>
      </c>
      <c r="R714" s="116">
        <v>0</v>
      </c>
      <c r="S714" s="114">
        <v>0</v>
      </c>
      <c r="T714" s="116">
        <v>0</v>
      </c>
      <c r="U714" s="116">
        <v>0</v>
      </c>
      <c r="V714" s="121">
        <f t="shared" si="44"/>
        <v>0</v>
      </c>
      <c r="W714" s="111"/>
      <c r="X714" s="111"/>
      <c r="Y714" s="111"/>
      <c r="Z714" s="111"/>
      <c r="AA714" s="111"/>
      <c r="AB714" s="111"/>
      <c r="AC714" s="111"/>
      <c r="AD714" s="111"/>
      <c r="AE714" s="139">
        <f t="shared" si="43"/>
        <v>0</v>
      </c>
      <c r="AF714" s="109"/>
      <c r="AG714" s="109"/>
    </row>
    <row r="715" spans="1:33">
      <c r="A715" s="117"/>
      <c r="B715" s="118"/>
      <c r="C715" s="118"/>
      <c r="D715" s="118"/>
      <c r="E715" s="119"/>
      <c r="F715" s="118"/>
      <c r="G715" s="110"/>
      <c r="H715" s="126"/>
      <c r="I715" s="114">
        <v>0</v>
      </c>
      <c r="J715" s="115">
        <v>0</v>
      </c>
      <c r="K715" s="116">
        <v>0</v>
      </c>
      <c r="L715" s="116">
        <v>0</v>
      </c>
      <c r="M715" s="114">
        <v>0</v>
      </c>
      <c r="N715" s="113">
        <v>0</v>
      </c>
      <c r="O715" s="113">
        <v>0</v>
      </c>
      <c r="P715" s="116">
        <v>0</v>
      </c>
      <c r="Q715" s="116">
        <v>0</v>
      </c>
      <c r="R715" s="116">
        <v>0</v>
      </c>
      <c r="S715" s="114">
        <v>0</v>
      </c>
      <c r="T715" s="116">
        <v>0</v>
      </c>
      <c r="U715" s="116">
        <v>0</v>
      </c>
      <c r="V715" s="121">
        <f t="shared" si="44"/>
        <v>0</v>
      </c>
      <c r="W715" s="111"/>
      <c r="X715" s="111"/>
      <c r="Y715" s="111"/>
      <c r="Z715" s="111"/>
      <c r="AA715" s="111"/>
      <c r="AB715" s="111"/>
      <c r="AC715" s="111"/>
      <c r="AD715" s="111"/>
      <c r="AE715" s="139">
        <f t="shared" si="43"/>
        <v>0</v>
      </c>
      <c r="AF715" s="109"/>
      <c r="AG715" s="109"/>
    </row>
    <row r="716" spans="1:33">
      <c r="A716" s="117"/>
      <c r="B716" s="118"/>
      <c r="C716" s="118"/>
      <c r="D716" s="118"/>
      <c r="E716" s="119"/>
      <c r="F716" s="118"/>
      <c r="G716" s="110"/>
      <c r="H716" s="126"/>
      <c r="I716" s="114">
        <v>0</v>
      </c>
      <c r="J716" s="115">
        <v>0</v>
      </c>
      <c r="K716" s="116">
        <v>0</v>
      </c>
      <c r="L716" s="116">
        <v>0</v>
      </c>
      <c r="M716" s="114">
        <v>0</v>
      </c>
      <c r="N716" s="113">
        <v>0</v>
      </c>
      <c r="O716" s="113">
        <v>0</v>
      </c>
      <c r="P716" s="116">
        <v>0</v>
      </c>
      <c r="Q716" s="116">
        <v>0</v>
      </c>
      <c r="R716" s="116">
        <v>0</v>
      </c>
      <c r="S716" s="114">
        <v>0</v>
      </c>
      <c r="T716" s="116">
        <v>0</v>
      </c>
      <c r="U716" s="116">
        <v>0</v>
      </c>
      <c r="V716" s="121">
        <f t="shared" si="44"/>
        <v>0</v>
      </c>
      <c r="W716" s="111"/>
      <c r="X716" s="111"/>
      <c r="Y716" s="111"/>
      <c r="Z716" s="111"/>
      <c r="AA716" s="111"/>
      <c r="AB716" s="111"/>
      <c r="AC716" s="111"/>
      <c r="AD716" s="111"/>
      <c r="AE716" s="139">
        <f t="shared" si="43"/>
        <v>0</v>
      </c>
      <c r="AF716" s="109"/>
      <c r="AG716" s="109"/>
    </row>
    <row r="717" spans="1:33">
      <c r="A717" s="117"/>
      <c r="B717" s="118"/>
      <c r="C717" s="118"/>
      <c r="D717" s="118"/>
      <c r="E717" s="119"/>
      <c r="F717" s="118"/>
      <c r="G717" s="110"/>
      <c r="H717" s="126"/>
      <c r="I717" s="114">
        <v>0</v>
      </c>
      <c r="J717" s="115">
        <v>0</v>
      </c>
      <c r="K717" s="116">
        <v>0</v>
      </c>
      <c r="L717" s="116">
        <v>0</v>
      </c>
      <c r="M717" s="114">
        <v>0</v>
      </c>
      <c r="N717" s="113">
        <v>0</v>
      </c>
      <c r="O717" s="113">
        <v>0</v>
      </c>
      <c r="P717" s="116">
        <v>0</v>
      </c>
      <c r="Q717" s="116">
        <v>0</v>
      </c>
      <c r="R717" s="116">
        <v>0</v>
      </c>
      <c r="S717" s="114">
        <v>0</v>
      </c>
      <c r="T717" s="116">
        <v>0</v>
      </c>
      <c r="U717" s="116">
        <v>0</v>
      </c>
      <c r="V717" s="121">
        <f t="shared" si="44"/>
        <v>0</v>
      </c>
      <c r="W717" s="111"/>
      <c r="X717" s="111"/>
      <c r="Y717" s="111"/>
      <c r="Z717" s="111"/>
      <c r="AA717" s="111"/>
      <c r="AB717" s="111"/>
      <c r="AC717" s="111"/>
      <c r="AD717" s="111"/>
      <c r="AE717" s="139">
        <f t="shared" si="43"/>
        <v>0</v>
      </c>
      <c r="AF717" s="109"/>
      <c r="AG717" s="109"/>
    </row>
    <row r="718" spans="1:33">
      <c r="A718" s="117"/>
      <c r="B718" s="118"/>
      <c r="C718" s="118"/>
      <c r="D718" s="118"/>
      <c r="E718" s="119"/>
      <c r="F718" s="118"/>
      <c r="G718" s="110"/>
      <c r="H718" s="126"/>
      <c r="I718" s="114">
        <v>0</v>
      </c>
      <c r="J718" s="115">
        <v>0</v>
      </c>
      <c r="K718" s="116">
        <v>0</v>
      </c>
      <c r="L718" s="116">
        <v>0</v>
      </c>
      <c r="M718" s="114">
        <v>0</v>
      </c>
      <c r="N718" s="113">
        <v>0</v>
      </c>
      <c r="O718" s="113">
        <v>0</v>
      </c>
      <c r="P718" s="116">
        <v>0</v>
      </c>
      <c r="Q718" s="116">
        <v>0</v>
      </c>
      <c r="R718" s="116">
        <v>0</v>
      </c>
      <c r="S718" s="114">
        <v>0</v>
      </c>
      <c r="T718" s="116">
        <v>0</v>
      </c>
      <c r="U718" s="116">
        <v>0</v>
      </c>
      <c r="V718" s="121">
        <f t="shared" si="44"/>
        <v>0</v>
      </c>
      <c r="W718" s="111"/>
      <c r="X718" s="111"/>
      <c r="Y718" s="111"/>
      <c r="Z718" s="111"/>
      <c r="AA718" s="111"/>
      <c r="AB718" s="111"/>
      <c r="AC718" s="111"/>
      <c r="AD718" s="111"/>
      <c r="AE718" s="139">
        <f t="shared" si="43"/>
        <v>0</v>
      </c>
      <c r="AF718" s="109"/>
      <c r="AG718" s="109"/>
    </row>
    <row r="719" spans="1:33">
      <c r="A719" s="117"/>
      <c r="B719" s="118"/>
      <c r="C719" s="118"/>
      <c r="D719" s="118"/>
      <c r="E719" s="119"/>
      <c r="F719" s="118"/>
      <c r="G719" s="110"/>
      <c r="H719" s="126"/>
      <c r="I719" s="114">
        <v>0</v>
      </c>
      <c r="J719" s="115">
        <v>0</v>
      </c>
      <c r="K719" s="116">
        <v>0</v>
      </c>
      <c r="L719" s="116">
        <v>0</v>
      </c>
      <c r="M719" s="114">
        <v>0</v>
      </c>
      <c r="N719" s="113">
        <v>0</v>
      </c>
      <c r="O719" s="113">
        <v>0</v>
      </c>
      <c r="P719" s="116">
        <v>0</v>
      </c>
      <c r="Q719" s="116">
        <v>0</v>
      </c>
      <c r="R719" s="116">
        <v>0</v>
      </c>
      <c r="S719" s="114">
        <v>0</v>
      </c>
      <c r="T719" s="116">
        <v>0</v>
      </c>
      <c r="U719" s="116">
        <v>0</v>
      </c>
      <c r="V719" s="121">
        <f t="shared" si="44"/>
        <v>0</v>
      </c>
      <c r="W719" s="111"/>
      <c r="X719" s="111"/>
      <c r="Y719" s="111"/>
      <c r="Z719" s="111"/>
      <c r="AA719" s="111"/>
      <c r="AB719" s="111"/>
      <c r="AC719" s="111"/>
      <c r="AD719" s="111"/>
      <c r="AE719" s="139">
        <f t="shared" si="43"/>
        <v>0</v>
      </c>
      <c r="AF719" s="109"/>
      <c r="AG719" s="109"/>
    </row>
    <row r="720" spans="1:33">
      <c r="A720" s="117"/>
      <c r="B720" s="118"/>
      <c r="C720" s="118"/>
      <c r="D720" s="118"/>
      <c r="E720" s="119"/>
      <c r="F720" s="118"/>
      <c r="G720" s="110"/>
      <c r="H720" s="126"/>
      <c r="I720" s="114">
        <v>0</v>
      </c>
      <c r="J720" s="115">
        <v>0</v>
      </c>
      <c r="K720" s="116">
        <v>0</v>
      </c>
      <c r="L720" s="116">
        <v>0</v>
      </c>
      <c r="M720" s="114">
        <v>0</v>
      </c>
      <c r="N720" s="113">
        <v>0</v>
      </c>
      <c r="O720" s="113">
        <v>0</v>
      </c>
      <c r="P720" s="116">
        <v>0</v>
      </c>
      <c r="Q720" s="116">
        <v>0</v>
      </c>
      <c r="R720" s="116">
        <v>0</v>
      </c>
      <c r="S720" s="114">
        <v>0</v>
      </c>
      <c r="T720" s="116">
        <v>0</v>
      </c>
      <c r="U720" s="116">
        <v>0</v>
      </c>
      <c r="V720" s="121">
        <f t="shared" si="44"/>
        <v>0</v>
      </c>
      <c r="W720" s="111"/>
      <c r="X720" s="111"/>
      <c r="Y720" s="111"/>
      <c r="Z720" s="111"/>
      <c r="AA720" s="111"/>
      <c r="AB720" s="111"/>
      <c r="AC720" s="111"/>
      <c r="AD720" s="111"/>
      <c r="AE720" s="139">
        <f t="shared" si="43"/>
        <v>0</v>
      </c>
      <c r="AF720" s="109"/>
      <c r="AG720" s="109"/>
    </row>
    <row r="721" spans="1:33">
      <c r="A721" s="117"/>
      <c r="B721" s="118"/>
      <c r="C721" s="118"/>
      <c r="D721" s="118"/>
      <c r="E721" s="119"/>
      <c r="F721" s="118"/>
      <c r="G721" s="110"/>
      <c r="H721" s="126"/>
      <c r="I721" s="114">
        <v>0</v>
      </c>
      <c r="J721" s="115">
        <v>0</v>
      </c>
      <c r="K721" s="116">
        <v>0</v>
      </c>
      <c r="L721" s="116">
        <v>0</v>
      </c>
      <c r="M721" s="114">
        <v>0</v>
      </c>
      <c r="N721" s="113">
        <v>0</v>
      </c>
      <c r="O721" s="113">
        <v>0</v>
      </c>
      <c r="P721" s="116">
        <v>0</v>
      </c>
      <c r="Q721" s="116">
        <v>0</v>
      </c>
      <c r="R721" s="116">
        <v>0</v>
      </c>
      <c r="S721" s="114">
        <v>0</v>
      </c>
      <c r="T721" s="116">
        <v>0</v>
      </c>
      <c r="U721" s="116">
        <v>0</v>
      </c>
      <c r="V721" s="121">
        <f t="shared" si="44"/>
        <v>0</v>
      </c>
      <c r="W721" s="111"/>
      <c r="X721" s="111"/>
      <c r="Y721" s="111"/>
      <c r="Z721" s="111"/>
      <c r="AA721" s="111"/>
      <c r="AB721" s="111"/>
      <c r="AC721" s="111"/>
      <c r="AD721" s="111"/>
      <c r="AE721" s="139">
        <f t="shared" si="43"/>
        <v>0</v>
      </c>
      <c r="AF721" s="109"/>
      <c r="AG721" s="109"/>
    </row>
    <row r="722" spans="1:33">
      <c r="A722" s="117"/>
      <c r="B722" s="118"/>
      <c r="C722" s="118"/>
      <c r="D722" s="118"/>
      <c r="E722" s="119"/>
      <c r="F722" s="118"/>
      <c r="G722" s="110"/>
      <c r="H722" s="126"/>
      <c r="I722" s="114">
        <v>0</v>
      </c>
      <c r="J722" s="115">
        <v>0</v>
      </c>
      <c r="K722" s="116">
        <v>0</v>
      </c>
      <c r="L722" s="116">
        <v>0</v>
      </c>
      <c r="M722" s="114">
        <v>0</v>
      </c>
      <c r="N722" s="113">
        <v>0</v>
      </c>
      <c r="O722" s="113">
        <v>0</v>
      </c>
      <c r="P722" s="116">
        <v>0</v>
      </c>
      <c r="Q722" s="116">
        <v>0</v>
      </c>
      <c r="R722" s="116">
        <v>0</v>
      </c>
      <c r="S722" s="114">
        <v>0</v>
      </c>
      <c r="T722" s="116">
        <v>0</v>
      </c>
      <c r="U722" s="116">
        <v>0</v>
      </c>
      <c r="V722" s="121">
        <f t="shared" si="44"/>
        <v>0</v>
      </c>
      <c r="W722" s="111"/>
      <c r="X722" s="111"/>
      <c r="Y722" s="111"/>
      <c r="Z722" s="111"/>
      <c r="AA722" s="111"/>
      <c r="AB722" s="111"/>
      <c r="AC722" s="111"/>
      <c r="AD722" s="111"/>
      <c r="AE722" s="139">
        <f t="shared" si="43"/>
        <v>0</v>
      </c>
      <c r="AF722" s="109"/>
      <c r="AG722" s="109"/>
    </row>
    <row r="723" spans="1:33">
      <c r="A723" s="117"/>
      <c r="B723" s="118"/>
      <c r="C723" s="118"/>
      <c r="D723" s="118"/>
      <c r="E723" s="119"/>
      <c r="F723" s="118"/>
      <c r="G723" s="110"/>
      <c r="H723" s="126"/>
      <c r="I723" s="114">
        <v>0</v>
      </c>
      <c r="J723" s="115">
        <v>0</v>
      </c>
      <c r="K723" s="116">
        <v>0</v>
      </c>
      <c r="L723" s="116">
        <v>0</v>
      </c>
      <c r="M723" s="114">
        <v>0</v>
      </c>
      <c r="N723" s="113">
        <v>0</v>
      </c>
      <c r="O723" s="113">
        <v>0</v>
      </c>
      <c r="P723" s="116">
        <v>0</v>
      </c>
      <c r="Q723" s="116">
        <v>0</v>
      </c>
      <c r="R723" s="116">
        <v>0</v>
      </c>
      <c r="S723" s="114">
        <v>0</v>
      </c>
      <c r="T723" s="116">
        <v>0</v>
      </c>
      <c r="U723" s="116">
        <v>0</v>
      </c>
      <c r="V723" s="121">
        <f t="shared" si="44"/>
        <v>0</v>
      </c>
      <c r="W723" s="111"/>
      <c r="X723" s="111"/>
      <c r="Y723" s="111"/>
      <c r="Z723" s="111"/>
      <c r="AA723" s="111"/>
      <c r="AB723" s="111"/>
      <c r="AC723" s="111"/>
      <c r="AD723" s="111"/>
      <c r="AE723" s="139">
        <f t="shared" si="43"/>
        <v>0</v>
      </c>
      <c r="AF723" s="109"/>
      <c r="AG723" s="109"/>
    </row>
    <row r="724" spans="1:33">
      <c r="A724" s="117"/>
      <c r="B724" s="118"/>
      <c r="C724" s="118"/>
      <c r="D724" s="118"/>
      <c r="E724" s="119"/>
      <c r="F724" s="118"/>
      <c r="G724" s="110"/>
      <c r="H724" s="126"/>
      <c r="I724" s="114">
        <v>0</v>
      </c>
      <c r="J724" s="115">
        <v>0</v>
      </c>
      <c r="K724" s="116">
        <v>0</v>
      </c>
      <c r="L724" s="116">
        <v>0</v>
      </c>
      <c r="M724" s="114">
        <v>0</v>
      </c>
      <c r="N724" s="113">
        <v>0</v>
      </c>
      <c r="O724" s="113">
        <v>0</v>
      </c>
      <c r="P724" s="116">
        <v>0</v>
      </c>
      <c r="Q724" s="116">
        <v>0</v>
      </c>
      <c r="R724" s="116">
        <v>0</v>
      </c>
      <c r="S724" s="114">
        <v>0</v>
      </c>
      <c r="T724" s="116">
        <v>0</v>
      </c>
      <c r="U724" s="116">
        <v>0</v>
      </c>
      <c r="V724" s="121">
        <f t="shared" si="44"/>
        <v>0</v>
      </c>
      <c r="W724" s="111"/>
      <c r="X724" s="111"/>
      <c r="Y724" s="111"/>
      <c r="Z724" s="111"/>
      <c r="AA724" s="111"/>
      <c r="AB724" s="111"/>
      <c r="AC724" s="111"/>
      <c r="AD724" s="111"/>
      <c r="AE724" s="139">
        <f t="shared" si="43"/>
        <v>0</v>
      </c>
      <c r="AF724" s="109"/>
      <c r="AG724" s="109"/>
    </row>
    <row r="725" spans="1:33">
      <c r="A725" s="117"/>
      <c r="B725" s="118"/>
      <c r="C725" s="118"/>
      <c r="D725" s="118"/>
      <c r="E725" s="119"/>
      <c r="F725" s="118"/>
      <c r="G725" s="110"/>
      <c r="H725" s="126"/>
      <c r="I725" s="114">
        <v>0</v>
      </c>
      <c r="J725" s="115">
        <v>0</v>
      </c>
      <c r="K725" s="116">
        <v>0</v>
      </c>
      <c r="L725" s="116">
        <v>0</v>
      </c>
      <c r="M725" s="114">
        <v>0</v>
      </c>
      <c r="N725" s="113">
        <v>0</v>
      </c>
      <c r="O725" s="113">
        <v>0</v>
      </c>
      <c r="P725" s="116">
        <v>0</v>
      </c>
      <c r="Q725" s="116">
        <v>0</v>
      </c>
      <c r="R725" s="116">
        <v>0</v>
      </c>
      <c r="S725" s="114">
        <v>0</v>
      </c>
      <c r="T725" s="116">
        <v>0</v>
      </c>
      <c r="U725" s="116">
        <v>0</v>
      </c>
      <c r="V725" s="121">
        <f t="shared" si="44"/>
        <v>0</v>
      </c>
      <c r="W725" s="111"/>
      <c r="X725" s="111"/>
      <c r="Y725" s="111"/>
      <c r="Z725" s="111"/>
      <c r="AA725" s="111"/>
      <c r="AB725" s="111"/>
      <c r="AC725" s="111"/>
      <c r="AD725" s="111"/>
      <c r="AE725" s="139">
        <f t="shared" si="43"/>
        <v>0</v>
      </c>
      <c r="AF725" s="109"/>
      <c r="AG725" s="109"/>
    </row>
    <row r="726" spans="1:33">
      <c r="A726" s="117"/>
      <c r="B726" s="118"/>
      <c r="C726" s="118"/>
      <c r="D726" s="118"/>
      <c r="E726" s="119"/>
      <c r="F726" s="118"/>
      <c r="G726" s="110"/>
      <c r="H726" s="126"/>
      <c r="I726" s="114">
        <v>0</v>
      </c>
      <c r="J726" s="115">
        <v>0</v>
      </c>
      <c r="K726" s="116">
        <v>0</v>
      </c>
      <c r="L726" s="116">
        <v>0</v>
      </c>
      <c r="M726" s="114">
        <v>0</v>
      </c>
      <c r="N726" s="113">
        <v>0</v>
      </c>
      <c r="O726" s="113">
        <v>0</v>
      </c>
      <c r="P726" s="116">
        <v>0</v>
      </c>
      <c r="Q726" s="116">
        <v>0</v>
      </c>
      <c r="R726" s="116">
        <v>0</v>
      </c>
      <c r="S726" s="114">
        <v>0</v>
      </c>
      <c r="T726" s="116">
        <v>0</v>
      </c>
      <c r="U726" s="116">
        <v>0</v>
      </c>
      <c r="V726" s="121">
        <f t="shared" si="44"/>
        <v>0</v>
      </c>
      <c r="W726" s="111"/>
      <c r="X726" s="111"/>
      <c r="Y726" s="111"/>
      <c r="Z726" s="111"/>
      <c r="AA726" s="111"/>
      <c r="AB726" s="111"/>
      <c r="AC726" s="111"/>
      <c r="AD726" s="111"/>
      <c r="AE726" s="139">
        <f t="shared" si="43"/>
        <v>0</v>
      </c>
      <c r="AF726" s="109"/>
      <c r="AG726" s="109"/>
    </row>
    <row r="727" spans="1:33">
      <c r="A727" s="117"/>
      <c r="B727" s="118"/>
      <c r="C727" s="118"/>
      <c r="D727" s="118"/>
      <c r="E727" s="119"/>
      <c r="F727" s="118"/>
      <c r="G727" s="110"/>
      <c r="H727" s="126"/>
      <c r="I727" s="114">
        <v>0</v>
      </c>
      <c r="J727" s="115">
        <v>0</v>
      </c>
      <c r="K727" s="116">
        <v>0</v>
      </c>
      <c r="L727" s="116">
        <v>0</v>
      </c>
      <c r="M727" s="114">
        <v>0</v>
      </c>
      <c r="N727" s="113">
        <v>0</v>
      </c>
      <c r="O727" s="113">
        <v>0</v>
      </c>
      <c r="P727" s="116">
        <v>0</v>
      </c>
      <c r="Q727" s="116">
        <v>0</v>
      </c>
      <c r="R727" s="116">
        <v>0</v>
      </c>
      <c r="S727" s="114">
        <v>0</v>
      </c>
      <c r="T727" s="116">
        <v>0</v>
      </c>
      <c r="U727" s="116">
        <v>0</v>
      </c>
      <c r="V727" s="121">
        <f t="shared" si="44"/>
        <v>0</v>
      </c>
      <c r="W727" s="111"/>
      <c r="X727" s="111"/>
      <c r="Y727" s="111"/>
      <c r="Z727" s="111"/>
      <c r="AA727" s="111"/>
      <c r="AB727" s="111"/>
      <c r="AC727" s="111"/>
      <c r="AD727" s="111"/>
      <c r="AE727" s="139">
        <f t="shared" si="43"/>
        <v>0</v>
      </c>
      <c r="AF727" s="109"/>
      <c r="AG727" s="109"/>
    </row>
    <row r="728" spans="1:33">
      <c r="A728" s="117"/>
      <c r="B728" s="118"/>
      <c r="C728" s="118"/>
      <c r="D728" s="118"/>
      <c r="E728" s="119"/>
      <c r="F728" s="118"/>
      <c r="G728" s="110"/>
      <c r="H728" s="126"/>
      <c r="I728" s="114">
        <v>0</v>
      </c>
      <c r="J728" s="115">
        <v>0</v>
      </c>
      <c r="K728" s="116">
        <v>0</v>
      </c>
      <c r="L728" s="116">
        <v>0</v>
      </c>
      <c r="M728" s="114">
        <v>0</v>
      </c>
      <c r="N728" s="113">
        <v>0</v>
      </c>
      <c r="O728" s="113">
        <v>0</v>
      </c>
      <c r="P728" s="116">
        <v>0</v>
      </c>
      <c r="Q728" s="116">
        <v>0</v>
      </c>
      <c r="R728" s="116">
        <v>0</v>
      </c>
      <c r="S728" s="114">
        <v>0</v>
      </c>
      <c r="T728" s="116">
        <v>0</v>
      </c>
      <c r="U728" s="116">
        <v>0</v>
      </c>
      <c r="V728" s="121">
        <f t="shared" si="44"/>
        <v>0</v>
      </c>
      <c r="W728" s="111"/>
      <c r="X728" s="111"/>
      <c r="Y728" s="111"/>
      <c r="Z728" s="111"/>
      <c r="AA728" s="111"/>
      <c r="AB728" s="111"/>
      <c r="AC728" s="111"/>
      <c r="AD728" s="111"/>
      <c r="AE728" s="139">
        <f t="shared" si="43"/>
        <v>0</v>
      </c>
      <c r="AF728" s="109"/>
      <c r="AG728" s="109"/>
    </row>
    <row r="729" spans="1:33">
      <c r="A729" s="117"/>
      <c r="B729" s="118"/>
      <c r="C729" s="118"/>
      <c r="D729" s="118"/>
      <c r="E729" s="119"/>
      <c r="F729" s="118"/>
      <c r="G729" s="110"/>
      <c r="H729" s="126"/>
      <c r="I729" s="114">
        <v>0</v>
      </c>
      <c r="J729" s="115">
        <v>0</v>
      </c>
      <c r="K729" s="116">
        <v>0</v>
      </c>
      <c r="L729" s="116">
        <v>0</v>
      </c>
      <c r="M729" s="114">
        <v>0</v>
      </c>
      <c r="N729" s="113">
        <v>0</v>
      </c>
      <c r="O729" s="113">
        <v>0</v>
      </c>
      <c r="P729" s="116">
        <v>0</v>
      </c>
      <c r="Q729" s="116">
        <v>0</v>
      </c>
      <c r="R729" s="116">
        <v>0</v>
      </c>
      <c r="S729" s="114">
        <v>0</v>
      </c>
      <c r="T729" s="116">
        <v>0</v>
      </c>
      <c r="U729" s="116">
        <v>0</v>
      </c>
      <c r="V729" s="121">
        <f t="shared" si="44"/>
        <v>0</v>
      </c>
      <c r="W729" s="111"/>
      <c r="X729" s="111"/>
      <c r="Y729" s="111"/>
      <c r="Z729" s="111"/>
      <c r="AA729" s="111"/>
      <c r="AB729" s="111"/>
      <c r="AC729" s="111"/>
      <c r="AD729" s="111"/>
      <c r="AE729" s="139">
        <f t="shared" si="43"/>
        <v>0</v>
      </c>
      <c r="AF729" s="109"/>
      <c r="AG729" s="109"/>
    </row>
    <row r="730" spans="1:33">
      <c r="A730" s="117"/>
      <c r="B730" s="118"/>
      <c r="C730" s="118"/>
      <c r="D730" s="118"/>
      <c r="E730" s="119"/>
      <c r="F730" s="118"/>
      <c r="G730" s="110"/>
      <c r="H730" s="126"/>
      <c r="I730" s="114">
        <v>0</v>
      </c>
      <c r="J730" s="115">
        <v>0</v>
      </c>
      <c r="K730" s="116">
        <v>0</v>
      </c>
      <c r="L730" s="116">
        <v>0</v>
      </c>
      <c r="M730" s="114">
        <v>0</v>
      </c>
      <c r="N730" s="113">
        <v>0</v>
      </c>
      <c r="O730" s="113">
        <v>0</v>
      </c>
      <c r="P730" s="116">
        <v>0</v>
      </c>
      <c r="Q730" s="116">
        <v>0</v>
      </c>
      <c r="R730" s="116">
        <v>0</v>
      </c>
      <c r="S730" s="114">
        <v>0</v>
      </c>
      <c r="T730" s="116">
        <v>0</v>
      </c>
      <c r="U730" s="116">
        <v>0</v>
      </c>
      <c r="V730" s="121">
        <f t="shared" si="44"/>
        <v>0</v>
      </c>
      <c r="W730" s="111"/>
      <c r="X730" s="111"/>
      <c r="Y730" s="111"/>
      <c r="Z730" s="111"/>
      <c r="AA730" s="111"/>
      <c r="AB730" s="111"/>
      <c r="AC730" s="111"/>
      <c r="AD730" s="111"/>
      <c r="AE730" s="139">
        <f t="shared" si="43"/>
        <v>0</v>
      </c>
      <c r="AF730" s="109"/>
      <c r="AG730" s="109"/>
    </row>
    <row r="731" spans="1:33">
      <c r="A731" s="117"/>
      <c r="B731" s="118"/>
      <c r="C731" s="118"/>
      <c r="D731" s="118"/>
      <c r="E731" s="119"/>
      <c r="F731" s="118"/>
      <c r="G731" s="110"/>
      <c r="H731" s="126"/>
      <c r="I731" s="114">
        <v>0</v>
      </c>
      <c r="J731" s="115">
        <v>0</v>
      </c>
      <c r="K731" s="116">
        <v>0</v>
      </c>
      <c r="L731" s="116">
        <v>0</v>
      </c>
      <c r="M731" s="114">
        <v>0</v>
      </c>
      <c r="N731" s="113">
        <v>0</v>
      </c>
      <c r="O731" s="113">
        <v>0</v>
      </c>
      <c r="P731" s="116">
        <v>0</v>
      </c>
      <c r="Q731" s="116">
        <v>0</v>
      </c>
      <c r="R731" s="116">
        <v>0</v>
      </c>
      <c r="S731" s="114">
        <v>0</v>
      </c>
      <c r="T731" s="116">
        <v>0</v>
      </c>
      <c r="U731" s="116">
        <v>0</v>
      </c>
      <c r="V731" s="121">
        <f t="shared" si="44"/>
        <v>0</v>
      </c>
      <c r="W731" s="111"/>
      <c r="X731" s="111"/>
      <c r="Y731" s="111"/>
      <c r="Z731" s="111"/>
      <c r="AA731" s="111"/>
      <c r="AB731" s="111"/>
      <c r="AC731" s="111"/>
      <c r="AD731" s="111"/>
      <c r="AE731" s="139">
        <f t="shared" si="43"/>
        <v>0</v>
      </c>
      <c r="AF731" s="109"/>
      <c r="AG731" s="109"/>
    </row>
    <row r="732" spans="1:33">
      <c r="A732" s="117"/>
      <c r="B732" s="118"/>
      <c r="C732" s="118"/>
      <c r="D732" s="118"/>
      <c r="E732" s="119"/>
      <c r="F732" s="118"/>
      <c r="G732" s="110"/>
      <c r="H732" s="126"/>
      <c r="I732" s="114">
        <v>0</v>
      </c>
      <c r="J732" s="115">
        <v>0</v>
      </c>
      <c r="K732" s="116">
        <v>0</v>
      </c>
      <c r="L732" s="116">
        <v>0</v>
      </c>
      <c r="M732" s="114">
        <v>0</v>
      </c>
      <c r="N732" s="113">
        <v>0</v>
      </c>
      <c r="O732" s="113">
        <v>0</v>
      </c>
      <c r="P732" s="116">
        <v>0</v>
      </c>
      <c r="Q732" s="116">
        <v>0</v>
      </c>
      <c r="R732" s="116">
        <v>0</v>
      </c>
      <c r="S732" s="114">
        <v>0</v>
      </c>
      <c r="T732" s="116">
        <v>0</v>
      </c>
      <c r="U732" s="116">
        <v>0</v>
      </c>
      <c r="V732" s="121">
        <f t="shared" si="44"/>
        <v>0</v>
      </c>
      <c r="W732" s="111"/>
      <c r="X732" s="111"/>
      <c r="Y732" s="111"/>
      <c r="Z732" s="111"/>
      <c r="AA732" s="111"/>
      <c r="AB732" s="111"/>
      <c r="AC732" s="111"/>
      <c r="AD732" s="111"/>
      <c r="AE732" s="139">
        <f t="shared" si="43"/>
        <v>0</v>
      </c>
      <c r="AF732" s="109"/>
      <c r="AG732" s="109"/>
    </row>
    <row r="733" spans="1:33">
      <c r="A733" s="117"/>
      <c r="B733" s="118"/>
      <c r="C733" s="118"/>
      <c r="D733" s="118"/>
      <c r="E733" s="119"/>
      <c r="F733" s="118"/>
      <c r="G733" s="110"/>
      <c r="H733" s="126"/>
      <c r="I733" s="114">
        <v>0</v>
      </c>
      <c r="J733" s="115">
        <v>0</v>
      </c>
      <c r="K733" s="116">
        <v>0</v>
      </c>
      <c r="L733" s="116">
        <v>0</v>
      </c>
      <c r="M733" s="114">
        <v>0</v>
      </c>
      <c r="N733" s="113">
        <v>0</v>
      </c>
      <c r="O733" s="113">
        <v>0</v>
      </c>
      <c r="P733" s="116">
        <v>0</v>
      </c>
      <c r="Q733" s="116">
        <v>0</v>
      </c>
      <c r="R733" s="116">
        <v>0</v>
      </c>
      <c r="S733" s="114">
        <v>0</v>
      </c>
      <c r="T733" s="116">
        <v>0</v>
      </c>
      <c r="U733" s="116">
        <v>0</v>
      </c>
      <c r="V733" s="121">
        <f t="shared" si="44"/>
        <v>0</v>
      </c>
      <c r="W733" s="111"/>
      <c r="X733" s="111"/>
      <c r="Y733" s="111"/>
      <c r="Z733" s="111"/>
      <c r="AA733" s="111"/>
      <c r="AB733" s="111"/>
      <c r="AC733" s="111"/>
      <c r="AD733" s="111"/>
      <c r="AE733" s="139">
        <f t="shared" si="43"/>
        <v>0</v>
      </c>
      <c r="AF733" s="109"/>
      <c r="AG733" s="109"/>
    </row>
    <row r="734" spans="1:33">
      <c r="A734" s="117"/>
      <c r="B734" s="118"/>
      <c r="C734" s="118"/>
      <c r="D734" s="118"/>
      <c r="E734" s="119"/>
      <c r="F734" s="118"/>
      <c r="G734" s="110"/>
      <c r="H734" s="126"/>
      <c r="I734" s="114">
        <v>0</v>
      </c>
      <c r="J734" s="115">
        <v>0</v>
      </c>
      <c r="K734" s="116">
        <v>0</v>
      </c>
      <c r="L734" s="116">
        <v>0</v>
      </c>
      <c r="M734" s="114">
        <v>0</v>
      </c>
      <c r="N734" s="113">
        <v>0</v>
      </c>
      <c r="O734" s="113">
        <v>0</v>
      </c>
      <c r="P734" s="116">
        <v>0</v>
      </c>
      <c r="Q734" s="116">
        <v>0</v>
      </c>
      <c r="R734" s="116">
        <v>0</v>
      </c>
      <c r="S734" s="114">
        <v>0</v>
      </c>
      <c r="T734" s="116">
        <v>0</v>
      </c>
      <c r="U734" s="116">
        <v>0</v>
      </c>
      <c r="V734" s="121">
        <f t="shared" si="44"/>
        <v>0</v>
      </c>
      <c r="W734" s="111"/>
      <c r="X734" s="111"/>
      <c r="Y734" s="111"/>
      <c r="Z734" s="111"/>
      <c r="AA734" s="111"/>
      <c r="AB734" s="111"/>
      <c r="AC734" s="111"/>
      <c r="AD734" s="111"/>
      <c r="AE734" s="139">
        <f t="shared" si="43"/>
        <v>0</v>
      </c>
      <c r="AF734" s="109"/>
      <c r="AG734" s="109"/>
    </row>
    <row r="735" spans="1:33">
      <c r="A735" s="117"/>
      <c r="B735" s="118"/>
      <c r="C735" s="118"/>
      <c r="D735" s="118"/>
      <c r="E735" s="119"/>
      <c r="F735" s="118"/>
      <c r="G735" s="110"/>
      <c r="H735" s="126"/>
      <c r="I735" s="114">
        <v>0</v>
      </c>
      <c r="J735" s="115">
        <v>0</v>
      </c>
      <c r="K735" s="116">
        <v>0</v>
      </c>
      <c r="L735" s="116">
        <v>0</v>
      </c>
      <c r="M735" s="114">
        <v>0</v>
      </c>
      <c r="N735" s="113">
        <v>0</v>
      </c>
      <c r="O735" s="113">
        <v>0</v>
      </c>
      <c r="P735" s="116">
        <v>0</v>
      </c>
      <c r="Q735" s="116">
        <v>0</v>
      </c>
      <c r="R735" s="116">
        <v>0</v>
      </c>
      <c r="S735" s="114">
        <v>0</v>
      </c>
      <c r="T735" s="116">
        <v>0</v>
      </c>
      <c r="U735" s="116">
        <v>0</v>
      </c>
      <c r="V735" s="121">
        <f t="shared" si="44"/>
        <v>0</v>
      </c>
      <c r="W735" s="111"/>
      <c r="X735" s="111"/>
      <c r="Y735" s="111"/>
      <c r="Z735" s="111"/>
      <c r="AA735" s="111"/>
      <c r="AB735" s="111"/>
      <c r="AC735" s="111"/>
      <c r="AD735" s="111"/>
      <c r="AE735" s="139">
        <f t="shared" si="43"/>
        <v>0</v>
      </c>
      <c r="AF735" s="109"/>
      <c r="AG735" s="109"/>
    </row>
    <row r="736" spans="1:33">
      <c r="A736" s="117"/>
      <c r="B736" s="118"/>
      <c r="C736" s="118"/>
      <c r="D736" s="118"/>
      <c r="E736" s="119"/>
      <c r="F736" s="118"/>
      <c r="G736" s="110"/>
      <c r="H736" s="126"/>
      <c r="I736" s="114">
        <v>0</v>
      </c>
      <c r="J736" s="115">
        <v>0</v>
      </c>
      <c r="K736" s="116">
        <v>0</v>
      </c>
      <c r="L736" s="116">
        <v>0</v>
      </c>
      <c r="M736" s="114">
        <v>0</v>
      </c>
      <c r="N736" s="113">
        <v>0</v>
      </c>
      <c r="O736" s="113">
        <v>0</v>
      </c>
      <c r="P736" s="116">
        <v>0</v>
      </c>
      <c r="Q736" s="116">
        <v>0</v>
      </c>
      <c r="R736" s="116">
        <v>0</v>
      </c>
      <c r="S736" s="114">
        <v>0</v>
      </c>
      <c r="T736" s="116">
        <v>0</v>
      </c>
      <c r="U736" s="116">
        <v>0</v>
      </c>
      <c r="V736" s="121">
        <f t="shared" si="44"/>
        <v>0</v>
      </c>
      <c r="W736" s="111"/>
      <c r="X736" s="111"/>
      <c r="Y736" s="111"/>
      <c r="Z736" s="111"/>
      <c r="AA736" s="111"/>
      <c r="AB736" s="111"/>
      <c r="AC736" s="111"/>
      <c r="AD736" s="111"/>
      <c r="AE736" s="139">
        <f t="shared" si="43"/>
        <v>0</v>
      </c>
      <c r="AF736" s="109"/>
      <c r="AG736" s="109"/>
    </row>
    <row r="737" spans="1:33">
      <c r="A737" s="117"/>
      <c r="B737" s="118"/>
      <c r="C737" s="118"/>
      <c r="D737" s="118"/>
      <c r="E737" s="119"/>
      <c r="F737" s="118"/>
      <c r="G737" s="110"/>
      <c r="H737" s="126"/>
      <c r="I737" s="114">
        <v>0</v>
      </c>
      <c r="J737" s="115">
        <v>0</v>
      </c>
      <c r="K737" s="116">
        <v>0</v>
      </c>
      <c r="L737" s="116">
        <v>0</v>
      </c>
      <c r="M737" s="114">
        <v>0</v>
      </c>
      <c r="N737" s="113">
        <v>0</v>
      </c>
      <c r="O737" s="113">
        <v>0</v>
      </c>
      <c r="P737" s="116">
        <v>0</v>
      </c>
      <c r="Q737" s="116">
        <v>0</v>
      </c>
      <c r="R737" s="116">
        <v>0</v>
      </c>
      <c r="S737" s="114">
        <v>0</v>
      </c>
      <c r="T737" s="116">
        <v>0</v>
      </c>
      <c r="U737" s="116">
        <v>0</v>
      </c>
      <c r="V737" s="121">
        <f t="shared" si="44"/>
        <v>0</v>
      </c>
      <c r="W737" s="111"/>
      <c r="X737" s="111"/>
      <c r="Y737" s="111"/>
      <c r="Z737" s="111"/>
      <c r="AA737" s="111"/>
      <c r="AB737" s="111"/>
      <c r="AC737" s="111"/>
      <c r="AD737" s="111"/>
      <c r="AE737" s="139">
        <f t="shared" si="43"/>
        <v>0</v>
      </c>
      <c r="AF737" s="109"/>
      <c r="AG737" s="109"/>
    </row>
    <row r="738" spans="1:33">
      <c r="A738" s="117"/>
      <c r="B738" s="118"/>
      <c r="C738" s="118"/>
      <c r="D738" s="118"/>
      <c r="E738" s="119"/>
      <c r="F738" s="118"/>
      <c r="G738" s="110"/>
      <c r="H738" s="126"/>
      <c r="I738" s="114">
        <v>0</v>
      </c>
      <c r="J738" s="115">
        <v>0</v>
      </c>
      <c r="K738" s="116">
        <v>0</v>
      </c>
      <c r="L738" s="116">
        <v>0</v>
      </c>
      <c r="M738" s="114">
        <v>0</v>
      </c>
      <c r="N738" s="113">
        <v>0</v>
      </c>
      <c r="O738" s="113">
        <v>0</v>
      </c>
      <c r="P738" s="116">
        <v>0</v>
      </c>
      <c r="Q738" s="116">
        <v>0</v>
      </c>
      <c r="R738" s="116">
        <v>0</v>
      </c>
      <c r="S738" s="114">
        <v>0</v>
      </c>
      <c r="T738" s="116">
        <v>0</v>
      </c>
      <c r="U738" s="116">
        <v>0</v>
      </c>
      <c r="V738" s="121">
        <f t="shared" si="44"/>
        <v>0</v>
      </c>
      <c r="W738" s="111"/>
      <c r="X738" s="111"/>
      <c r="Y738" s="111"/>
      <c r="Z738" s="111"/>
      <c r="AA738" s="111"/>
      <c r="AB738" s="111"/>
      <c r="AC738" s="111"/>
      <c r="AD738" s="111"/>
      <c r="AE738" s="139">
        <f t="shared" si="43"/>
        <v>0</v>
      </c>
      <c r="AF738" s="109"/>
      <c r="AG738" s="109"/>
    </row>
    <row r="739" spans="1:33">
      <c r="A739" s="117"/>
      <c r="B739" s="118"/>
      <c r="C739" s="118"/>
      <c r="D739" s="118"/>
      <c r="E739" s="119"/>
      <c r="F739" s="118"/>
      <c r="G739" s="110"/>
      <c r="H739" s="126"/>
      <c r="I739" s="114">
        <v>0</v>
      </c>
      <c r="J739" s="115">
        <v>0</v>
      </c>
      <c r="K739" s="116">
        <v>0</v>
      </c>
      <c r="L739" s="116">
        <v>0</v>
      </c>
      <c r="M739" s="114">
        <v>0</v>
      </c>
      <c r="N739" s="113">
        <v>0</v>
      </c>
      <c r="O739" s="113">
        <v>0</v>
      </c>
      <c r="P739" s="116">
        <v>0</v>
      </c>
      <c r="Q739" s="116">
        <v>0</v>
      </c>
      <c r="R739" s="116">
        <v>0</v>
      </c>
      <c r="S739" s="114">
        <v>0</v>
      </c>
      <c r="T739" s="116">
        <v>0</v>
      </c>
      <c r="U739" s="116">
        <v>0</v>
      </c>
      <c r="V739" s="121">
        <f t="shared" si="44"/>
        <v>0</v>
      </c>
      <c r="W739" s="111"/>
      <c r="X739" s="111"/>
      <c r="Y739" s="111"/>
      <c r="Z739" s="111"/>
      <c r="AA739" s="111"/>
      <c r="AB739" s="111"/>
      <c r="AC739" s="111"/>
      <c r="AD739" s="111"/>
      <c r="AE739" s="139">
        <f t="shared" si="43"/>
        <v>0</v>
      </c>
      <c r="AF739" s="109"/>
      <c r="AG739" s="109"/>
    </row>
    <row r="740" spans="1:33">
      <c r="A740" s="117"/>
      <c r="B740" s="118"/>
      <c r="C740" s="118"/>
      <c r="D740" s="118"/>
      <c r="E740" s="119"/>
      <c r="F740" s="118"/>
      <c r="G740" s="110"/>
      <c r="H740" s="126"/>
      <c r="I740" s="114">
        <v>0</v>
      </c>
      <c r="J740" s="115">
        <v>0</v>
      </c>
      <c r="K740" s="116">
        <v>0</v>
      </c>
      <c r="L740" s="116">
        <v>0</v>
      </c>
      <c r="M740" s="114">
        <v>0</v>
      </c>
      <c r="N740" s="113">
        <v>0</v>
      </c>
      <c r="O740" s="113">
        <v>0</v>
      </c>
      <c r="P740" s="116">
        <v>0</v>
      </c>
      <c r="Q740" s="116">
        <v>0</v>
      </c>
      <c r="R740" s="116">
        <v>0</v>
      </c>
      <c r="S740" s="114">
        <v>0</v>
      </c>
      <c r="T740" s="116">
        <v>0</v>
      </c>
      <c r="U740" s="116">
        <v>0</v>
      </c>
      <c r="V740" s="121">
        <f t="shared" si="44"/>
        <v>0</v>
      </c>
      <c r="W740" s="111"/>
      <c r="X740" s="111"/>
      <c r="Y740" s="111"/>
      <c r="Z740" s="111"/>
      <c r="AA740" s="111"/>
      <c r="AB740" s="111"/>
      <c r="AC740" s="111"/>
      <c r="AD740" s="111"/>
      <c r="AE740" s="139">
        <f t="shared" si="43"/>
        <v>0</v>
      </c>
      <c r="AF740" s="109"/>
      <c r="AG740" s="109"/>
    </row>
    <row r="741" spans="1:33">
      <c r="A741" s="117"/>
      <c r="B741" s="118"/>
      <c r="C741" s="118"/>
      <c r="D741" s="118"/>
      <c r="E741" s="119"/>
      <c r="F741" s="118"/>
      <c r="G741" s="110"/>
      <c r="H741" s="126"/>
      <c r="I741" s="114">
        <v>0</v>
      </c>
      <c r="J741" s="115">
        <v>0</v>
      </c>
      <c r="K741" s="116">
        <v>0</v>
      </c>
      <c r="L741" s="116">
        <v>0</v>
      </c>
      <c r="M741" s="114">
        <v>0</v>
      </c>
      <c r="N741" s="113">
        <v>0</v>
      </c>
      <c r="O741" s="113">
        <v>0</v>
      </c>
      <c r="P741" s="116">
        <v>0</v>
      </c>
      <c r="Q741" s="116">
        <v>0</v>
      </c>
      <c r="R741" s="116">
        <v>0</v>
      </c>
      <c r="S741" s="114">
        <v>0</v>
      </c>
      <c r="T741" s="116">
        <v>0</v>
      </c>
      <c r="U741" s="116">
        <v>0</v>
      </c>
      <c r="V741" s="121">
        <f t="shared" si="44"/>
        <v>0</v>
      </c>
      <c r="W741" s="111"/>
      <c r="X741" s="111"/>
      <c r="Y741" s="111"/>
      <c r="Z741" s="111"/>
      <c r="AA741" s="111"/>
      <c r="AB741" s="111"/>
      <c r="AC741" s="111"/>
      <c r="AD741" s="111"/>
      <c r="AE741" s="139">
        <f t="shared" si="43"/>
        <v>0</v>
      </c>
      <c r="AF741" s="109"/>
      <c r="AG741" s="109"/>
    </row>
    <row r="742" spans="1:33">
      <c r="A742" s="117"/>
      <c r="B742" s="118"/>
      <c r="C742" s="118"/>
      <c r="D742" s="118"/>
      <c r="E742" s="119"/>
      <c r="F742" s="118"/>
      <c r="G742" s="110"/>
      <c r="H742" s="126"/>
      <c r="I742" s="114">
        <v>0</v>
      </c>
      <c r="J742" s="115">
        <v>0</v>
      </c>
      <c r="K742" s="116">
        <v>0</v>
      </c>
      <c r="L742" s="116">
        <v>0</v>
      </c>
      <c r="M742" s="114">
        <v>0</v>
      </c>
      <c r="N742" s="113">
        <v>0</v>
      </c>
      <c r="O742" s="113">
        <v>0</v>
      </c>
      <c r="P742" s="116">
        <v>0</v>
      </c>
      <c r="Q742" s="116">
        <v>0</v>
      </c>
      <c r="R742" s="116">
        <v>0</v>
      </c>
      <c r="S742" s="114">
        <v>0</v>
      </c>
      <c r="T742" s="116">
        <v>0</v>
      </c>
      <c r="U742" s="116">
        <v>0</v>
      </c>
      <c r="V742" s="121">
        <f t="shared" si="44"/>
        <v>0</v>
      </c>
      <c r="W742" s="111"/>
      <c r="X742" s="111"/>
      <c r="Y742" s="111"/>
      <c r="Z742" s="111"/>
      <c r="AA742" s="111"/>
      <c r="AB742" s="111"/>
      <c r="AC742" s="111"/>
      <c r="AD742" s="111"/>
      <c r="AE742" s="139">
        <f t="shared" si="43"/>
        <v>0</v>
      </c>
      <c r="AF742" s="109"/>
      <c r="AG742" s="109"/>
    </row>
    <row r="743" spans="1:33">
      <c r="A743" s="117"/>
      <c r="B743" s="118"/>
      <c r="C743" s="118"/>
      <c r="D743" s="118"/>
      <c r="E743" s="119"/>
      <c r="F743" s="118"/>
      <c r="G743" s="110"/>
      <c r="H743" s="126"/>
      <c r="I743" s="114">
        <v>0</v>
      </c>
      <c r="J743" s="115">
        <v>0</v>
      </c>
      <c r="K743" s="116">
        <v>0</v>
      </c>
      <c r="L743" s="116">
        <v>0</v>
      </c>
      <c r="M743" s="114">
        <v>0</v>
      </c>
      <c r="N743" s="113">
        <v>0</v>
      </c>
      <c r="O743" s="113">
        <v>0</v>
      </c>
      <c r="P743" s="116">
        <v>0</v>
      </c>
      <c r="Q743" s="116">
        <v>0</v>
      </c>
      <c r="R743" s="116">
        <v>0</v>
      </c>
      <c r="S743" s="114">
        <v>0</v>
      </c>
      <c r="T743" s="116">
        <v>0</v>
      </c>
      <c r="U743" s="116">
        <v>0</v>
      </c>
      <c r="V743" s="121">
        <f t="shared" si="44"/>
        <v>0</v>
      </c>
      <c r="W743" s="111"/>
      <c r="X743" s="111"/>
      <c r="Y743" s="111"/>
      <c r="Z743" s="111"/>
      <c r="AA743" s="111"/>
      <c r="AB743" s="111"/>
      <c r="AC743" s="111"/>
      <c r="AD743" s="111"/>
      <c r="AE743" s="139">
        <f t="shared" si="43"/>
        <v>0</v>
      </c>
      <c r="AF743" s="109"/>
      <c r="AG743" s="109"/>
    </row>
    <row r="744" spans="1:33">
      <c r="A744" s="117"/>
      <c r="B744" s="118"/>
      <c r="C744" s="118"/>
      <c r="D744" s="118"/>
      <c r="E744" s="119"/>
      <c r="F744" s="118"/>
      <c r="G744" s="110"/>
      <c r="H744" s="126"/>
      <c r="I744" s="114">
        <v>0</v>
      </c>
      <c r="J744" s="115">
        <v>0</v>
      </c>
      <c r="K744" s="116">
        <v>0</v>
      </c>
      <c r="L744" s="116">
        <v>0</v>
      </c>
      <c r="M744" s="114">
        <v>0</v>
      </c>
      <c r="N744" s="113">
        <v>0</v>
      </c>
      <c r="O744" s="113">
        <v>0</v>
      </c>
      <c r="P744" s="116">
        <v>0</v>
      </c>
      <c r="Q744" s="116">
        <v>0</v>
      </c>
      <c r="R744" s="116">
        <v>0</v>
      </c>
      <c r="S744" s="114">
        <v>0</v>
      </c>
      <c r="T744" s="116">
        <v>0</v>
      </c>
      <c r="U744" s="116">
        <v>0</v>
      </c>
      <c r="V744" s="121">
        <f t="shared" si="44"/>
        <v>0</v>
      </c>
      <c r="W744" s="111"/>
      <c r="X744" s="111"/>
      <c r="Y744" s="111"/>
      <c r="Z744" s="111"/>
      <c r="AA744" s="111"/>
      <c r="AB744" s="111"/>
      <c r="AC744" s="111"/>
      <c r="AD744" s="111"/>
      <c r="AE744" s="139">
        <f t="shared" si="43"/>
        <v>0</v>
      </c>
      <c r="AF744" s="109"/>
      <c r="AG744" s="109"/>
    </row>
    <row r="745" spans="1:33">
      <c r="A745" s="117"/>
      <c r="B745" s="118"/>
      <c r="C745" s="118"/>
      <c r="D745" s="118"/>
      <c r="E745" s="119"/>
      <c r="F745" s="118"/>
      <c r="G745" s="110"/>
      <c r="H745" s="126"/>
      <c r="I745" s="114">
        <v>0</v>
      </c>
      <c r="J745" s="115">
        <v>0</v>
      </c>
      <c r="K745" s="116">
        <v>0</v>
      </c>
      <c r="L745" s="116">
        <v>0</v>
      </c>
      <c r="M745" s="114">
        <v>0</v>
      </c>
      <c r="N745" s="113">
        <v>0</v>
      </c>
      <c r="O745" s="113">
        <v>0</v>
      </c>
      <c r="P745" s="116">
        <v>0</v>
      </c>
      <c r="Q745" s="116">
        <v>0</v>
      </c>
      <c r="R745" s="116">
        <v>0</v>
      </c>
      <c r="S745" s="114">
        <v>0</v>
      </c>
      <c r="T745" s="116">
        <v>0</v>
      </c>
      <c r="U745" s="116">
        <v>0</v>
      </c>
      <c r="V745" s="121">
        <f t="shared" si="44"/>
        <v>0</v>
      </c>
      <c r="W745" s="111"/>
      <c r="X745" s="111"/>
      <c r="Y745" s="111"/>
      <c r="Z745" s="111"/>
      <c r="AA745" s="111"/>
      <c r="AB745" s="111"/>
      <c r="AC745" s="111"/>
      <c r="AD745" s="111"/>
      <c r="AE745" s="139">
        <f t="shared" ref="AE745:AE808" si="45">V745-(X745+Y745)</f>
        <v>0</v>
      </c>
      <c r="AF745" s="109"/>
      <c r="AG745" s="109"/>
    </row>
    <row r="746" spans="1:33">
      <c r="A746" s="117"/>
      <c r="B746" s="118"/>
      <c r="C746" s="118"/>
      <c r="D746" s="118"/>
      <c r="E746" s="119"/>
      <c r="F746" s="118"/>
      <c r="G746" s="110"/>
      <c r="H746" s="126"/>
      <c r="I746" s="114">
        <v>0</v>
      </c>
      <c r="J746" s="115">
        <v>0</v>
      </c>
      <c r="K746" s="116">
        <v>0</v>
      </c>
      <c r="L746" s="116">
        <v>0</v>
      </c>
      <c r="M746" s="114">
        <v>0</v>
      </c>
      <c r="N746" s="113">
        <v>0</v>
      </c>
      <c r="O746" s="113">
        <v>0</v>
      </c>
      <c r="P746" s="116">
        <v>0</v>
      </c>
      <c r="Q746" s="116">
        <v>0</v>
      </c>
      <c r="R746" s="116">
        <v>0</v>
      </c>
      <c r="S746" s="114">
        <v>0</v>
      </c>
      <c r="T746" s="116">
        <v>0</v>
      </c>
      <c r="U746" s="116">
        <v>0</v>
      </c>
      <c r="V746" s="121">
        <f t="shared" si="44"/>
        <v>0</v>
      </c>
      <c r="W746" s="111"/>
      <c r="X746" s="111"/>
      <c r="Y746" s="111"/>
      <c r="Z746" s="111"/>
      <c r="AA746" s="111"/>
      <c r="AB746" s="111"/>
      <c r="AC746" s="111"/>
      <c r="AD746" s="111"/>
      <c r="AE746" s="139">
        <f t="shared" si="45"/>
        <v>0</v>
      </c>
      <c r="AF746" s="109"/>
      <c r="AG746" s="109"/>
    </row>
    <row r="747" spans="1:33">
      <c r="A747" s="117"/>
      <c r="B747" s="118"/>
      <c r="C747" s="118"/>
      <c r="D747" s="118"/>
      <c r="E747" s="119"/>
      <c r="F747" s="118"/>
      <c r="G747" s="110"/>
      <c r="H747" s="126"/>
      <c r="I747" s="114">
        <v>0</v>
      </c>
      <c r="J747" s="115">
        <v>0</v>
      </c>
      <c r="K747" s="116">
        <v>0</v>
      </c>
      <c r="L747" s="116">
        <v>0</v>
      </c>
      <c r="M747" s="114">
        <v>0</v>
      </c>
      <c r="N747" s="113">
        <v>0</v>
      </c>
      <c r="O747" s="113">
        <v>0</v>
      </c>
      <c r="P747" s="116">
        <v>0</v>
      </c>
      <c r="Q747" s="116">
        <v>0</v>
      </c>
      <c r="R747" s="116">
        <v>0</v>
      </c>
      <c r="S747" s="114">
        <v>0</v>
      </c>
      <c r="T747" s="116">
        <v>0</v>
      </c>
      <c r="U747" s="116">
        <v>0</v>
      </c>
      <c r="V747" s="121">
        <f t="shared" si="44"/>
        <v>0</v>
      </c>
      <c r="W747" s="111"/>
      <c r="X747" s="111"/>
      <c r="Y747" s="111"/>
      <c r="Z747" s="111"/>
      <c r="AA747" s="111"/>
      <c r="AB747" s="111"/>
      <c r="AC747" s="111"/>
      <c r="AD747" s="111"/>
      <c r="AE747" s="139">
        <f t="shared" si="45"/>
        <v>0</v>
      </c>
      <c r="AF747" s="109"/>
      <c r="AG747" s="109"/>
    </row>
    <row r="748" spans="1:33">
      <c r="A748" s="117"/>
      <c r="B748" s="118"/>
      <c r="C748" s="118"/>
      <c r="D748" s="118"/>
      <c r="E748" s="119"/>
      <c r="F748" s="118"/>
      <c r="G748" s="110"/>
      <c r="H748" s="126"/>
      <c r="I748" s="114">
        <v>0</v>
      </c>
      <c r="J748" s="115">
        <v>0</v>
      </c>
      <c r="K748" s="116">
        <v>0</v>
      </c>
      <c r="L748" s="116">
        <v>0</v>
      </c>
      <c r="M748" s="114">
        <v>0</v>
      </c>
      <c r="N748" s="113">
        <v>0</v>
      </c>
      <c r="O748" s="113">
        <v>0</v>
      </c>
      <c r="P748" s="116">
        <v>0</v>
      </c>
      <c r="Q748" s="116">
        <v>0</v>
      </c>
      <c r="R748" s="116">
        <v>0</v>
      </c>
      <c r="S748" s="114">
        <v>0</v>
      </c>
      <c r="T748" s="116">
        <v>0</v>
      </c>
      <c r="U748" s="116">
        <v>0</v>
      </c>
      <c r="V748" s="121">
        <f t="shared" si="44"/>
        <v>0</v>
      </c>
      <c r="W748" s="111"/>
      <c r="X748" s="111"/>
      <c r="Y748" s="111"/>
      <c r="Z748" s="111"/>
      <c r="AA748" s="111"/>
      <c r="AB748" s="111"/>
      <c r="AC748" s="111"/>
      <c r="AD748" s="111"/>
      <c r="AE748" s="139">
        <f t="shared" si="45"/>
        <v>0</v>
      </c>
      <c r="AF748" s="109"/>
      <c r="AG748" s="109"/>
    </row>
    <row r="749" spans="1:33">
      <c r="A749" s="117"/>
      <c r="B749" s="118"/>
      <c r="C749" s="118"/>
      <c r="D749" s="118"/>
      <c r="E749" s="119"/>
      <c r="F749" s="118"/>
      <c r="G749" s="110"/>
      <c r="H749" s="126"/>
      <c r="I749" s="114">
        <v>0</v>
      </c>
      <c r="J749" s="115">
        <v>0</v>
      </c>
      <c r="K749" s="116">
        <v>0</v>
      </c>
      <c r="L749" s="116">
        <v>0</v>
      </c>
      <c r="M749" s="114">
        <v>0</v>
      </c>
      <c r="N749" s="113">
        <v>0</v>
      </c>
      <c r="O749" s="113">
        <v>0</v>
      </c>
      <c r="P749" s="116">
        <v>0</v>
      </c>
      <c r="Q749" s="116">
        <v>0</v>
      </c>
      <c r="R749" s="116">
        <v>0</v>
      </c>
      <c r="S749" s="114">
        <v>0</v>
      </c>
      <c r="T749" s="116">
        <v>0</v>
      </c>
      <c r="U749" s="116">
        <v>0</v>
      </c>
      <c r="V749" s="121">
        <f t="shared" si="44"/>
        <v>0</v>
      </c>
      <c r="W749" s="111"/>
      <c r="X749" s="111"/>
      <c r="Y749" s="111"/>
      <c r="Z749" s="111"/>
      <c r="AA749" s="111"/>
      <c r="AB749" s="111"/>
      <c r="AC749" s="111"/>
      <c r="AD749" s="111"/>
      <c r="AE749" s="139">
        <f t="shared" si="45"/>
        <v>0</v>
      </c>
      <c r="AF749" s="109"/>
      <c r="AG749" s="109"/>
    </row>
    <row r="750" spans="1:33">
      <c r="A750" s="117"/>
      <c r="B750" s="118"/>
      <c r="C750" s="118"/>
      <c r="D750" s="118"/>
      <c r="E750" s="119"/>
      <c r="F750" s="118"/>
      <c r="G750" s="110"/>
      <c r="H750" s="126"/>
      <c r="I750" s="114">
        <v>0</v>
      </c>
      <c r="J750" s="115">
        <v>0</v>
      </c>
      <c r="K750" s="116">
        <v>0</v>
      </c>
      <c r="L750" s="116">
        <v>0</v>
      </c>
      <c r="M750" s="114">
        <v>0</v>
      </c>
      <c r="N750" s="113">
        <v>0</v>
      </c>
      <c r="O750" s="113">
        <v>0</v>
      </c>
      <c r="P750" s="116">
        <v>0</v>
      </c>
      <c r="Q750" s="116">
        <v>0</v>
      </c>
      <c r="R750" s="116">
        <v>0</v>
      </c>
      <c r="S750" s="114">
        <v>0</v>
      </c>
      <c r="T750" s="116">
        <v>0</v>
      </c>
      <c r="U750" s="116">
        <v>0</v>
      </c>
      <c r="V750" s="121">
        <f t="shared" si="44"/>
        <v>0</v>
      </c>
      <c r="W750" s="111"/>
      <c r="X750" s="111"/>
      <c r="Y750" s="111"/>
      <c r="Z750" s="111"/>
      <c r="AA750" s="111"/>
      <c r="AB750" s="111"/>
      <c r="AC750" s="111"/>
      <c r="AD750" s="111"/>
      <c r="AE750" s="139">
        <f t="shared" si="45"/>
        <v>0</v>
      </c>
      <c r="AF750" s="109"/>
      <c r="AG750" s="109"/>
    </row>
    <row r="751" spans="1:33">
      <c r="A751" s="117"/>
      <c r="B751" s="118"/>
      <c r="C751" s="118"/>
      <c r="D751" s="118"/>
      <c r="E751" s="119"/>
      <c r="F751" s="118"/>
      <c r="G751" s="110"/>
      <c r="H751" s="126"/>
      <c r="I751" s="114">
        <v>0</v>
      </c>
      <c r="J751" s="115">
        <v>0</v>
      </c>
      <c r="K751" s="116">
        <v>0</v>
      </c>
      <c r="L751" s="116">
        <v>0</v>
      </c>
      <c r="M751" s="114">
        <v>0</v>
      </c>
      <c r="N751" s="113">
        <v>0</v>
      </c>
      <c r="O751" s="113">
        <v>0</v>
      </c>
      <c r="P751" s="116">
        <v>0</v>
      </c>
      <c r="Q751" s="116">
        <v>0</v>
      </c>
      <c r="R751" s="116">
        <v>0</v>
      </c>
      <c r="S751" s="114">
        <v>0</v>
      </c>
      <c r="T751" s="116">
        <v>0</v>
      </c>
      <c r="U751" s="116">
        <v>0</v>
      </c>
      <c r="V751" s="121">
        <f t="shared" si="44"/>
        <v>0</v>
      </c>
      <c r="W751" s="111"/>
      <c r="X751" s="111"/>
      <c r="Y751" s="111"/>
      <c r="Z751" s="111"/>
      <c r="AA751" s="111"/>
      <c r="AB751" s="111"/>
      <c r="AC751" s="111"/>
      <c r="AD751" s="111"/>
      <c r="AE751" s="139">
        <f t="shared" si="45"/>
        <v>0</v>
      </c>
      <c r="AF751" s="109"/>
      <c r="AG751" s="109"/>
    </row>
    <row r="752" spans="1:33">
      <c r="A752" s="117"/>
      <c r="B752" s="118"/>
      <c r="C752" s="118"/>
      <c r="D752" s="118"/>
      <c r="E752" s="119"/>
      <c r="F752" s="118"/>
      <c r="G752" s="110"/>
      <c r="H752" s="126"/>
      <c r="I752" s="114">
        <v>0</v>
      </c>
      <c r="J752" s="115">
        <v>0</v>
      </c>
      <c r="K752" s="116">
        <v>0</v>
      </c>
      <c r="L752" s="116">
        <v>0</v>
      </c>
      <c r="M752" s="114">
        <v>0</v>
      </c>
      <c r="N752" s="113">
        <v>0</v>
      </c>
      <c r="O752" s="113">
        <v>0</v>
      </c>
      <c r="P752" s="116">
        <v>0</v>
      </c>
      <c r="Q752" s="116">
        <v>0</v>
      </c>
      <c r="R752" s="116">
        <v>0</v>
      </c>
      <c r="S752" s="114">
        <v>0</v>
      </c>
      <c r="T752" s="116">
        <v>0</v>
      </c>
      <c r="U752" s="116">
        <v>0</v>
      </c>
      <c r="V752" s="121">
        <f t="shared" si="44"/>
        <v>0</v>
      </c>
      <c r="W752" s="111"/>
      <c r="X752" s="111"/>
      <c r="Y752" s="111"/>
      <c r="Z752" s="111"/>
      <c r="AA752" s="111"/>
      <c r="AB752" s="111"/>
      <c r="AC752" s="111"/>
      <c r="AD752" s="111"/>
      <c r="AE752" s="139">
        <f t="shared" si="45"/>
        <v>0</v>
      </c>
      <c r="AF752" s="109"/>
      <c r="AG752" s="109"/>
    </row>
    <row r="753" spans="1:33">
      <c r="A753" s="117"/>
      <c r="B753" s="118"/>
      <c r="C753" s="118"/>
      <c r="D753" s="118"/>
      <c r="E753" s="119"/>
      <c r="F753" s="118"/>
      <c r="G753" s="110"/>
      <c r="H753" s="126"/>
      <c r="I753" s="114">
        <v>0</v>
      </c>
      <c r="J753" s="115">
        <v>0</v>
      </c>
      <c r="K753" s="116">
        <v>0</v>
      </c>
      <c r="L753" s="116">
        <v>0</v>
      </c>
      <c r="M753" s="114">
        <v>0</v>
      </c>
      <c r="N753" s="113">
        <v>0</v>
      </c>
      <c r="O753" s="113">
        <v>0</v>
      </c>
      <c r="P753" s="116">
        <v>0</v>
      </c>
      <c r="Q753" s="116">
        <v>0</v>
      </c>
      <c r="R753" s="116">
        <v>0</v>
      </c>
      <c r="S753" s="114">
        <v>0</v>
      </c>
      <c r="T753" s="116">
        <v>0</v>
      </c>
      <c r="U753" s="116">
        <v>0</v>
      </c>
      <c r="V753" s="121">
        <f t="shared" ref="V753:V816" si="46">+G753-(SUM(I753:N753,P753:S753,U753))</f>
        <v>0</v>
      </c>
      <c r="W753" s="111"/>
      <c r="X753" s="111"/>
      <c r="Y753" s="111"/>
      <c r="Z753" s="111"/>
      <c r="AA753" s="111"/>
      <c r="AB753" s="111"/>
      <c r="AC753" s="111"/>
      <c r="AD753" s="111"/>
      <c r="AE753" s="139">
        <f t="shared" si="45"/>
        <v>0</v>
      </c>
      <c r="AF753" s="109"/>
      <c r="AG753" s="109"/>
    </row>
    <row r="754" spans="1:33">
      <c r="A754" s="117"/>
      <c r="B754" s="118"/>
      <c r="C754" s="118"/>
      <c r="D754" s="118"/>
      <c r="E754" s="119"/>
      <c r="F754" s="118"/>
      <c r="G754" s="110"/>
      <c r="H754" s="126"/>
      <c r="I754" s="114">
        <v>0</v>
      </c>
      <c r="J754" s="115">
        <v>0</v>
      </c>
      <c r="K754" s="116">
        <v>0</v>
      </c>
      <c r="L754" s="116">
        <v>0</v>
      </c>
      <c r="M754" s="114">
        <v>0</v>
      </c>
      <c r="N754" s="113">
        <v>0</v>
      </c>
      <c r="O754" s="113">
        <v>0</v>
      </c>
      <c r="P754" s="116">
        <v>0</v>
      </c>
      <c r="Q754" s="116">
        <v>0</v>
      </c>
      <c r="R754" s="116">
        <v>0</v>
      </c>
      <c r="S754" s="114">
        <v>0</v>
      </c>
      <c r="T754" s="116">
        <v>0</v>
      </c>
      <c r="U754" s="116">
        <v>0</v>
      </c>
      <c r="V754" s="121">
        <f t="shared" si="46"/>
        <v>0</v>
      </c>
      <c r="W754" s="111"/>
      <c r="X754" s="111"/>
      <c r="Y754" s="111"/>
      <c r="Z754" s="111"/>
      <c r="AA754" s="111"/>
      <c r="AB754" s="111"/>
      <c r="AC754" s="111"/>
      <c r="AD754" s="111"/>
      <c r="AE754" s="139">
        <f t="shared" si="45"/>
        <v>0</v>
      </c>
      <c r="AF754" s="109"/>
      <c r="AG754" s="109"/>
    </row>
    <row r="755" spans="1:33">
      <c r="A755" s="117"/>
      <c r="B755" s="118"/>
      <c r="C755" s="118"/>
      <c r="D755" s="118"/>
      <c r="E755" s="119"/>
      <c r="F755" s="118"/>
      <c r="G755" s="110"/>
      <c r="H755" s="126"/>
      <c r="I755" s="114">
        <v>0</v>
      </c>
      <c r="J755" s="115">
        <v>0</v>
      </c>
      <c r="K755" s="116">
        <v>0</v>
      </c>
      <c r="L755" s="116">
        <v>0</v>
      </c>
      <c r="M755" s="114">
        <v>0</v>
      </c>
      <c r="N755" s="113">
        <v>0</v>
      </c>
      <c r="O755" s="113">
        <v>0</v>
      </c>
      <c r="P755" s="116">
        <v>0</v>
      </c>
      <c r="Q755" s="116">
        <v>0</v>
      </c>
      <c r="R755" s="116">
        <v>0</v>
      </c>
      <c r="S755" s="114">
        <v>0</v>
      </c>
      <c r="T755" s="116">
        <v>0</v>
      </c>
      <c r="U755" s="116">
        <v>0</v>
      </c>
      <c r="V755" s="121">
        <f t="shared" si="46"/>
        <v>0</v>
      </c>
      <c r="W755" s="111"/>
      <c r="X755" s="111"/>
      <c r="Y755" s="111"/>
      <c r="Z755" s="111"/>
      <c r="AA755" s="111"/>
      <c r="AB755" s="111"/>
      <c r="AC755" s="111"/>
      <c r="AD755" s="111"/>
      <c r="AE755" s="139">
        <f t="shared" si="45"/>
        <v>0</v>
      </c>
      <c r="AF755" s="109"/>
      <c r="AG755" s="109"/>
    </row>
    <row r="756" spans="1:33">
      <c r="A756" s="117"/>
      <c r="B756" s="118"/>
      <c r="C756" s="118"/>
      <c r="D756" s="118"/>
      <c r="E756" s="119"/>
      <c r="F756" s="118"/>
      <c r="G756" s="110"/>
      <c r="H756" s="126"/>
      <c r="I756" s="114">
        <v>0</v>
      </c>
      <c r="J756" s="115">
        <v>0</v>
      </c>
      <c r="K756" s="116">
        <v>0</v>
      </c>
      <c r="L756" s="116">
        <v>0</v>
      </c>
      <c r="M756" s="114">
        <v>0</v>
      </c>
      <c r="N756" s="113">
        <v>0</v>
      </c>
      <c r="O756" s="113">
        <v>0</v>
      </c>
      <c r="P756" s="116">
        <v>0</v>
      </c>
      <c r="Q756" s="116">
        <v>0</v>
      </c>
      <c r="R756" s="116">
        <v>0</v>
      </c>
      <c r="S756" s="114">
        <v>0</v>
      </c>
      <c r="T756" s="116">
        <v>0</v>
      </c>
      <c r="U756" s="116">
        <v>0</v>
      </c>
      <c r="V756" s="121">
        <f t="shared" si="46"/>
        <v>0</v>
      </c>
      <c r="W756" s="111"/>
      <c r="X756" s="111"/>
      <c r="Y756" s="111"/>
      <c r="Z756" s="111"/>
      <c r="AA756" s="111"/>
      <c r="AB756" s="111"/>
      <c r="AC756" s="111"/>
      <c r="AD756" s="111"/>
      <c r="AE756" s="139">
        <f t="shared" si="45"/>
        <v>0</v>
      </c>
      <c r="AF756" s="109"/>
      <c r="AG756" s="109"/>
    </row>
    <row r="757" spans="1:33">
      <c r="A757" s="117"/>
      <c r="B757" s="118"/>
      <c r="C757" s="118"/>
      <c r="D757" s="118"/>
      <c r="E757" s="119"/>
      <c r="F757" s="118"/>
      <c r="G757" s="110"/>
      <c r="H757" s="126"/>
      <c r="I757" s="114">
        <v>0</v>
      </c>
      <c r="J757" s="115">
        <v>0</v>
      </c>
      <c r="K757" s="116">
        <v>0</v>
      </c>
      <c r="L757" s="116">
        <v>0</v>
      </c>
      <c r="M757" s="114">
        <v>0</v>
      </c>
      <c r="N757" s="113">
        <v>0</v>
      </c>
      <c r="O757" s="113">
        <v>0</v>
      </c>
      <c r="P757" s="116">
        <v>0</v>
      </c>
      <c r="Q757" s="116">
        <v>0</v>
      </c>
      <c r="R757" s="116">
        <v>0</v>
      </c>
      <c r="S757" s="114">
        <v>0</v>
      </c>
      <c r="T757" s="116">
        <v>0</v>
      </c>
      <c r="U757" s="116">
        <v>0</v>
      </c>
      <c r="V757" s="121">
        <f t="shared" si="46"/>
        <v>0</v>
      </c>
      <c r="W757" s="111"/>
      <c r="X757" s="111"/>
      <c r="Y757" s="111"/>
      <c r="Z757" s="111"/>
      <c r="AA757" s="111"/>
      <c r="AB757" s="111"/>
      <c r="AC757" s="111"/>
      <c r="AD757" s="111"/>
      <c r="AE757" s="139">
        <f t="shared" si="45"/>
        <v>0</v>
      </c>
      <c r="AF757" s="109"/>
      <c r="AG757" s="109"/>
    </row>
    <row r="758" spans="1:33">
      <c r="A758" s="117"/>
      <c r="B758" s="118"/>
      <c r="C758" s="118"/>
      <c r="D758" s="118"/>
      <c r="E758" s="119"/>
      <c r="F758" s="118"/>
      <c r="G758" s="110"/>
      <c r="H758" s="126"/>
      <c r="I758" s="114">
        <v>0</v>
      </c>
      <c r="J758" s="115">
        <v>0</v>
      </c>
      <c r="K758" s="116">
        <v>0</v>
      </c>
      <c r="L758" s="116">
        <v>0</v>
      </c>
      <c r="M758" s="114">
        <v>0</v>
      </c>
      <c r="N758" s="113">
        <v>0</v>
      </c>
      <c r="O758" s="113">
        <v>0</v>
      </c>
      <c r="P758" s="116">
        <v>0</v>
      </c>
      <c r="Q758" s="116">
        <v>0</v>
      </c>
      <c r="R758" s="116">
        <v>0</v>
      </c>
      <c r="S758" s="114">
        <v>0</v>
      </c>
      <c r="T758" s="116">
        <v>0</v>
      </c>
      <c r="U758" s="116">
        <v>0</v>
      </c>
      <c r="V758" s="121">
        <f t="shared" si="46"/>
        <v>0</v>
      </c>
      <c r="W758" s="111"/>
      <c r="X758" s="111"/>
      <c r="Y758" s="111"/>
      <c r="Z758" s="111"/>
      <c r="AA758" s="111"/>
      <c r="AB758" s="111"/>
      <c r="AC758" s="111"/>
      <c r="AD758" s="111"/>
      <c r="AE758" s="139">
        <f t="shared" si="45"/>
        <v>0</v>
      </c>
      <c r="AF758" s="109"/>
      <c r="AG758" s="109"/>
    </row>
    <row r="759" spans="1:33">
      <c r="A759" s="117"/>
      <c r="B759" s="118"/>
      <c r="C759" s="118"/>
      <c r="D759" s="118"/>
      <c r="E759" s="119"/>
      <c r="F759" s="118"/>
      <c r="G759" s="110"/>
      <c r="H759" s="126"/>
      <c r="I759" s="114">
        <v>0</v>
      </c>
      <c r="J759" s="115">
        <v>0</v>
      </c>
      <c r="K759" s="116">
        <v>0</v>
      </c>
      <c r="L759" s="116">
        <v>0</v>
      </c>
      <c r="M759" s="114">
        <v>0</v>
      </c>
      <c r="N759" s="113">
        <v>0</v>
      </c>
      <c r="O759" s="113">
        <v>0</v>
      </c>
      <c r="P759" s="116">
        <v>0</v>
      </c>
      <c r="Q759" s="116">
        <v>0</v>
      </c>
      <c r="R759" s="116">
        <v>0</v>
      </c>
      <c r="S759" s="114">
        <v>0</v>
      </c>
      <c r="T759" s="116">
        <v>0</v>
      </c>
      <c r="U759" s="116">
        <v>0</v>
      </c>
      <c r="V759" s="121">
        <f t="shared" si="46"/>
        <v>0</v>
      </c>
      <c r="W759" s="111"/>
      <c r="X759" s="111"/>
      <c r="Y759" s="111"/>
      <c r="Z759" s="111"/>
      <c r="AA759" s="111"/>
      <c r="AB759" s="111"/>
      <c r="AC759" s="111"/>
      <c r="AD759" s="111"/>
      <c r="AE759" s="139">
        <f t="shared" si="45"/>
        <v>0</v>
      </c>
      <c r="AF759" s="109"/>
      <c r="AG759" s="109"/>
    </row>
    <row r="760" spans="1:33">
      <c r="A760" s="117"/>
      <c r="B760" s="118"/>
      <c r="C760" s="118"/>
      <c r="D760" s="118"/>
      <c r="E760" s="119"/>
      <c r="F760" s="118"/>
      <c r="G760" s="110"/>
      <c r="H760" s="126"/>
      <c r="I760" s="114">
        <v>0</v>
      </c>
      <c r="J760" s="115">
        <v>0</v>
      </c>
      <c r="K760" s="116">
        <v>0</v>
      </c>
      <c r="L760" s="116">
        <v>0</v>
      </c>
      <c r="M760" s="114">
        <v>0</v>
      </c>
      <c r="N760" s="113">
        <v>0</v>
      </c>
      <c r="O760" s="113">
        <v>0</v>
      </c>
      <c r="P760" s="116">
        <v>0</v>
      </c>
      <c r="Q760" s="116">
        <v>0</v>
      </c>
      <c r="R760" s="116">
        <v>0</v>
      </c>
      <c r="S760" s="114">
        <v>0</v>
      </c>
      <c r="T760" s="116">
        <v>0</v>
      </c>
      <c r="U760" s="116">
        <v>0</v>
      </c>
      <c r="V760" s="121">
        <f t="shared" si="46"/>
        <v>0</v>
      </c>
      <c r="W760" s="111"/>
      <c r="X760" s="111"/>
      <c r="Y760" s="111"/>
      <c r="Z760" s="111"/>
      <c r="AA760" s="111"/>
      <c r="AB760" s="111"/>
      <c r="AC760" s="111"/>
      <c r="AD760" s="111"/>
      <c r="AE760" s="139">
        <f t="shared" si="45"/>
        <v>0</v>
      </c>
      <c r="AF760" s="109"/>
      <c r="AG760" s="109"/>
    </row>
    <row r="761" spans="1:33">
      <c r="A761" s="117"/>
      <c r="B761" s="118"/>
      <c r="C761" s="118"/>
      <c r="D761" s="118"/>
      <c r="E761" s="119"/>
      <c r="F761" s="118"/>
      <c r="G761" s="110"/>
      <c r="H761" s="126"/>
      <c r="I761" s="114">
        <v>0</v>
      </c>
      <c r="J761" s="115">
        <v>0</v>
      </c>
      <c r="K761" s="116">
        <v>0</v>
      </c>
      <c r="L761" s="116">
        <v>0</v>
      </c>
      <c r="M761" s="114">
        <v>0</v>
      </c>
      <c r="N761" s="113">
        <v>0</v>
      </c>
      <c r="O761" s="113">
        <v>0</v>
      </c>
      <c r="P761" s="116">
        <v>0</v>
      </c>
      <c r="Q761" s="116">
        <v>0</v>
      </c>
      <c r="R761" s="116">
        <v>0</v>
      </c>
      <c r="S761" s="114">
        <v>0</v>
      </c>
      <c r="T761" s="116">
        <v>0</v>
      </c>
      <c r="U761" s="116">
        <v>0</v>
      </c>
      <c r="V761" s="121">
        <f t="shared" si="46"/>
        <v>0</v>
      </c>
      <c r="W761" s="111"/>
      <c r="X761" s="111"/>
      <c r="Y761" s="111"/>
      <c r="Z761" s="111"/>
      <c r="AA761" s="111"/>
      <c r="AB761" s="111"/>
      <c r="AC761" s="111"/>
      <c r="AD761" s="111"/>
      <c r="AE761" s="139">
        <f t="shared" si="45"/>
        <v>0</v>
      </c>
      <c r="AF761" s="109"/>
      <c r="AG761" s="109"/>
    </row>
    <row r="762" spans="1:33">
      <c r="A762" s="117"/>
      <c r="B762" s="118"/>
      <c r="C762" s="118"/>
      <c r="D762" s="118"/>
      <c r="E762" s="119"/>
      <c r="F762" s="118"/>
      <c r="G762" s="110"/>
      <c r="H762" s="126"/>
      <c r="I762" s="114">
        <v>0</v>
      </c>
      <c r="J762" s="115">
        <v>0</v>
      </c>
      <c r="K762" s="116">
        <v>0</v>
      </c>
      <c r="L762" s="116">
        <v>0</v>
      </c>
      <c r="M762" s="114">
        <v>0</v>
      </c>
      <c r="N762" s="113">
        <v>0</v>
      </c>
      <c r="O762" s="113">
        <v>0</v>
      </c>
      <c r="P762" s="116">
        <v>0</v>
      </c>
      <c r="Q762" s="116">
        <v>0</v>
      </c>
      <c r="R762" s="116">
        <v>0</v>
      </c>
      <c r="S762" s="114">
        <v>0</v>
      </c>
      <c r="T762" s="116">
        <v>0</v>
      </c>
      <c r="U762" s="116">
        <v>0</v>
      </c>
      <c r="V762" s="121">
        <f t="shared" si="46"/>
        <v>0</v>
      </c>
      <c r="W762" s="111"/>
      <c r="X762" s="111"/>
      <c r="Y762" s="111"/>
      <c r="Z762" s="111"/>
      <c r="AA762" s="111"/>
      <c r="AB762" s="111"/>
      <c r="AC762" s="111"/>
      <c r="AD762" s="111"/>
      <c r="AE762" s="139">
        <f t="shared" si="45"/>
        <v>0</v>
      </c>
      <c r="AF762" s="109"/>
      <c r="AG762" s="109"/>
    </row>
    <row r="763" spans="1:33">
      <c r="A763" s="117"/>
      <c r="B763" s="118"/>
      <c r="C763" s="118"/>
      <c r="D763" s="118"/>
      <c r="E763" s="119"/>
      <c r="F763" s="118"/>
      <c r="G763" s="110"/>
      <c r="H763" s="126"/>
      <c r="I763" s="114">
        <v>0</v>
      </c>
      <c r="J763" s="115">
        <v>0</v>
      </c>
      <c r="K763" s="116">
        <v>0</v>
      </c>
      <c r="L763" s="116">
        <v>0</v>
      </c>
      <c r="M763" s="114">
        <v>0</v>
      </c>
      <c r="N763" s="113">
        <v>0</v>
      </c>
      <c r="O763" s="113">
        <v>0</v>
      </c>
      <c r="P763" s="116">
        <v>0</v>
      </c>
      <c r="Q763" s="116">
        <v>0</v>
      </c>
      <c r="R763" s="116">
        <v>0</v>
      </c>
      <c r="S763" s="114">
        <v>0</v>
      </c>
      <c r="T763" s="116">
        <v>0</v>
      </c>
      <c r="U763" s="116">
        <v>0</v>
      </c>
      <c r="V763" s="121">
        <f t="shared" si="46"/>
        <v>0</v>
      </c>
      <c r="W763" s="111"/>
      <c r="X763" s="111"/>
      <c r="Y763" s="111"/>
      <c r="Z763" s="111"/>
      <c r="AA763" s="111"/>
      <c r="AB763" s="111"/>
      <c r="AC763" s="111"/>
      <c r="AD763" s="111"/>
      <c r="AE763" s="139">
        <f t="shared" si="45"/>
        <v>0</v>
      </c>
      <c r="AF763" s="109"/>
      <c r="AG763" s="109"/>
    </row>
    <row r="764" spans="1:33">
      <c r="A764" s="117"/>
      <c r="B764" s="118"/>
      <c r="C764" s="118"/>
      <c r="D764" s="118"/>
      <c r="E764" s="119"/>
      <c r="F764" s="118"/>
      <c r="G764" s="110"/>
      <c r="H764" s="126"/>
      <c r="I764" s="114">
        <v>0</v>
      </c>
      <c r="J764" s="115">
        <v>0</v>
      </c>
      <c r="K764" s="116">
        <v>0</v>
      </c>
      <c r="L764" s="116">
        <v>0</v>
      </c>
      <c r="M764" s="114">
        <v>0</v>
      </c>
      <c r="N764" s="113">
        <v>0</v>
      </c>
      <c r="O764" s="113">
        <v>0</v>
      </c>
      <c r="P764" s="116">
        <v>0</v>
      </c>
      <c r="Q764" s="116">
        <v>0</v>
      </c>
      <c r="R764" s="116">
        <v>0</v>
      </c>
      <c r="S764" s="114">
        <v>0</v>
      </c>
      <c r="T764" s="116">
        <v>0</v>
      </c>
      <c r="U764" s="116">
        <v>0</v>
      </c>
      <c r="V764" s="121">
        <f t="shared" si="46"/>
        <v>0</v>
      </c>
      <c r="W764" s="111"/>
      <c r="X764" s="111"/>
      <c r="Y764" s="111"/>
      <c r="Z764" s="111"/>
      <c r="AA764" s="111"/>
      <c r="AB764" s="111"/>
      <c r="AC764" s="111"/>
      <c r="AD764" s="111"/>
      <c r="AE764" s="139">
        <f t="shared" si="45"/>
        <v>0</v>
      </c>
      <c r="AF764" s="109"/>
      <c r="AG764" s="109"/>
    </row>
    <row r="765" spans="1:33">
      <c r="A765" s="117"/>
      <c r="B765" s="118"/>
      <c r="C765" s="118"/>
      <c r="D765" s="118"/>
      <c r="E765" s="119"/>
      <c r="F765" s="118"/>
      <c r="G765" s="110"/>
      <c r="H765" s="126"/>
      <c r="I765" s="114">
        <v>0</v>
      </c>
      <c r="J765" s="115">
        <v>0</v>
      </c>
      <c r="K765" s="116">
        <v>0</v>
      </c>
      <c r="L765" s="116">
        <v>0</v>
      </c>
      <c r="M765" s="114">
        <v>0</v>
      </c>
      <c r="N765" s="113">
        <v>0</v>
      </c>
      <c r="O765" s="113">
        <v>0</v>
      </c>
      <c r="P765" s="116">
        <v>0</v>
      </c>
      <c r="Q765" s="116">
        <v>0</v>
      </c>
      <c r="R765" s="116">
        <v>0</v>
      </c>
      <c r="S765" s="114">
        <v>0</v>
      </c>
      <c r="T765" s="116">
        <v>0</v>
      </c>
      <c r="U765" s="116">
        <v>0</v>
      </c>
      <c r="V765" s="121">
        <f t="shared" si="46"/>
        <v>0</v>
      </c>
      <c r="W765" s="111"/>
      <c r="X765" s="111"/>
      <c r="Y765" s="111"/>
      <c r="Z765" s="111"/>
      <c r="AA765" s="111"/>
      <c r="AB765" s="111"/>
      <c r="AC765" s="111"/>
      <c r="AD765" s="111"/>
      <c r="AE765" s="139">
        <f t="shared" si="45"/>
        <v>0</v>
      </c>
      <c r="AF765" s="109"/>
      <c r="AG765" s="109"/>
    </row>
    <row r="766" spans="1:33">
      <c r="A766" s="117"/>
      <c r="B766" s="118"/>
      <c r="C766" s="118"/>
      <c r="D766" s="118"/>
      <c r="E766" s="119"/>
      <c r="F766" s="118"/>
      <c r="G766" s="110"/>
      <c r="H766" s="126"/>
      <c r="I766" s="114">
        <v>0</v>
      </c>
      <c r="J766" s="115">
        <v>0</v>
      </c>
      <c r="K766" s="116">
        <v>0</v>
      </c>
      <c r="L766" s="116">
        <v>0</v>
      </c>
      <c r="M766" s="114">
        <v>0</v>
      </c>
      <c r="N766" s="113">
        <v>0</v>
      </c>
      <c r="O766" s="113">
        <v>0</v>
      </c>
      <c r="P766" s="116">
        <v>0</v>
      </c>
      <c r="Q766" s="116">
        <v>0</v>
      </c>
      <c r="R766" s="116">
        <v>0</v>
      </c>
      <c r="S766" s="114">
        <v>0</v>
      </c>
      <c r="T766" s="116">
        <v>0</v>
      </c>
      <c r="U766" s="116">
        <v>0</v>
      </c>
      <c r="V766" s="121">
        <f t="shared" si="46"/>
        <v>0</v>
      </c>
      <c r="W766" s="111"/>
      <c r="X766" s="111"/>
      <c r="Y766" s="111"/>
      <c r="Z766" s="111"/>
      <c r="AA766" s="111"/>
      <c r="AB766" s="111"/>
      <c r="AC766" s="111"/>
      <c r="AD766" s="111"/>
      <c r="AE766" s="139">
        <f t="shared" si="45"/>
        <v>0</v>
      </c>
      <c r="AF766" s="109"/>
      <c r="AG766" s="109"/>
    </row>
    <row r="767" spans="1:33">
      <c r="A767" s="117"/>
      <c r="B767" s="118"/>
      <c r="C767" s="118"/>
      <c r="D767" s="118"/>
      <c r="E767" s="119"/>
      <c r="F767" s="118"/>
      <c r="G767" s="110"/>
      <c r="H767" s="126"/>
      <c r="I767" s="114">
        <v>0</v>
      </c>
      <c r="J767" s="115">
        <v>0</v>
      </c>
      <c r="K767" s="116">
        <v>0</v>
      </c>
      <c r="L767" s="116">
        <v>0</v>
      </c>
      <c r="M767" s="114">
        <v>0</v>
      </c>
      <c r="N767" s="113">
        <v>0</v>
      </c>
      <c r="O767" s="113">
        <v>0</v>
      </c>
      <c r="P767" s="116">
        <v>0</v>
      </c>
      <c r="Q767" s="116">
        <v>0</v>
      </c>
      <c r="R767" s="116">
        <v>0</v>
      </c>
      <c r="S767" s="114">
        <v>0</v>
      </c>
      <c r="T767" s="116">
        <v>0</v>
      </c>
      <c r="U767" s="116">
        <v>0</v>
      </c>
      <c r="V767" s="121">
        <f t="shared" si="46"/>
        <v>0</v>
      </c>
      <c r="W767" s="111"/>
      <c r="X767" s="111"/>
      <c r="Y767" s="111"/>
      <c r="Z767" s="111"/>
      <c r="AA767" s="111"/>
      <c r="AB767" s="111"/>
      <c r="AC767" s="111"/>
      <c r="AD767" s="111"/>
      <c r="AE767" s="139">
        <f t="shared" si="45"/>
        <v>0</v>
      </c>
      <c r="AF767" s="109"/>
      <c r="AG767" s="109"/>
    </row>
    <row r="768" spans="1:33">
      <c r="A768" s="117"/>
      <c r="B768" s="118"/>
      <c r="C768" s="118"/>
      <c r="D768" s="118"/>
      <c r="E768" s="119"/>
      <c r="F768" s="118"/>
      <c r="G768" s="110"/>
      <c r="H768" s="126"/>
      <c r="I768" s="114">
        <v>0</v>
      </c>
      <c r="J768" s="115">
        <v>0</v>
      </c>
      <c r="K768" s="116">
        <v>0</v>
      </c>
      <c r="L768" s="116">
        <v>0</v>
      </c>
      <c r="M768" s="114">
        <v>0</v>
      </c>
      <c r="N768" s="113">
        <v>0</v>
      </c>
      <c r="O768" s="113">
        <v>0</v>
      </c>
      <c r="P768" s="116">
        <v>0</v>
      </c>
      <c r="Q768" s="116">
        <v>0</v>
      </c>
      <c r="R768" s="116">
        <v>0</v>
      </c>
      <c r="S768" s="114">
        <v>0</v>
      </c>
      <c r="T768" s="116">
        <v>0</v>
      </c>
      <c r="U768" s="116">
        <v>0</v>
      </c>
      <c r="V768" s="121">
        <f t="shared" si="46"/>
        <v>0</v>
      </c>
      <c r="W768" s="111"/>
      <c r="X768" s="111"/>
      <c r="Y768" s="111"/>
      <c r="Z768" s="111"/>
      <c r="AA768" s="111"/>
      <c r="AB768" s="111"/>
      <c r="AC768" s="111"/>
      <c r="AD768" s="111"/>
      <c r="AE768" s="139">
        <f t="shared" si="45"/>
        <v>0</v>
      </c>
      <c r="AF768" s="109"/>
      <c r="AG768" s="109"/>
    </row>
    <row r="769" spans="1:33">
      <c r="A769" s="117"/>
      <c r="B769" s="118"/>
      <c r="C769" s="118"/>
      <c r="D769" s="118"/>
      <c r="E769" s="119"/>
      <c r="F769" s="118"/>
      <c r="G769" s="110"/>
      <c r="H769" s="126"/>
      <c r="I769" s="114">
        <v>0</v>
      </c>
      <c r="J769" s="115">
        <v>0</v>
      </c>
      <c r="K769" s="116">
        <v>0</v>
      </c>
      <c r="L769" s="116">
        <v>0</v>
      </c>
      <c r="M769" s="114">
        <v>0</v>
      </c>
      <c r="N769" s="113">
        <v>0</v>
      </c>
      <c r="O769" s="113">
        <v>0</v>
      </c>
      <c r="P769" s="116">
        <v>0</v>
      </c>
      <c r="Q769" s="116">
        <v>0</v>
      </c>
      <c r="R769" s="116">
        <v>0</v>
      </c>
      <c r="S769" s="114">
        <v>0</v>
      </c>
      <c r="T769" s="116">
        <v>0</v>
      </c>
      <c r="U769" s="116">
        <v>0</v>
      </c>
      <c r="V769" s="121">
        <f t="shared" si="46"/>
        <v>0</v>
      </c>
      <c r="W769" s="111"/>
      <c r="X769" s="111"/>
      <c r="Y769" s="111"/>
      <c r="Z769" s="111"/>
      <c r="AA769" s="111"/>
      <c r="AB769" s="111"/>
      <c r="AC769" s="111"/>
      <c r="AD769" s="111"/>
      <c r="AE769" s="139">
        <f t="shared" si="45"/>
        <v>0</v>
      </c>
      <c r="AF769" s="109"/>
      <c r="AG769" s="109"/>
    </row>
    <row r="770" spans="1:33">
      <c r="A770" s="117"/>
      <c r="B770" s="118"/>
      <c r="C770" s="118"/>
      <c r="D770" s="118"/>
      <c r="E770" s="119"/>
      <c r="F770" s="118"/>
      <c r="G770" s="110"/>
      <c r="H770" s="126"/>
      <c r="I770" s="114">
        <v>0</v>
      </c>
      <c r="J770" s="115">
        <v>0</v>
      </c>
      <c r="K770" s="116">
        <v>0</v>
      </c>
      <c r="L770" s="116">
        <v>0</v>
      </c>
      <c r="M770" s="114">
        <v>0</v>
      </c>
      <c r="N770" s="113">
        <v>0</v>
      </c>
      <c r="O770" s="113">
        <v>0</v>
      </c>
      <c r="P770" s="116">
        <v>0</v>
      </c>
      <c r="Q770" s="116">
        <v>0</v>
      </c>
      <c r="R770" s="116">
        <v>0</v>
      </c>
      <c r="S770" s="114">
        <v>0</v>
      </c>
      <c r="T770" s="116">
        <v>0</v>
      </c>
      <c r="U770" s="116">
        <v>0</v>
      </c>
      <c r="V770" s="121">
        <f t="shared" si="46"/>
        <v>0</v>
      </c>
      <c r="W770" s="111"/>
      <c r="X770" s="111"/>
      <c r="Y770" s="111"/>
      <c r="Z770" s="111"/>
      <c r="AA770" s="111"/>
      <c r="AB770" s="111"/>
      <c r="AC770" s="111"/>
      <c r="AD770" s="111"/>
      <c r="AE770" s="139">
        <f t="shared" si="45"/>
        <v>0</v>
      </c>
      <c r="AF770" s="109"/>
      <c r="AG770" s="109"/>
    </row>
    <row r="771" spans="1:33">
      <c r="A771" s="117"/>
      <c r="B771" s="118"/>
      <c r="C771" s="118"/>
      <c r="D771" s="118"/>
      <c r="E771" s="119"/>
      <c r="F771" s="118"/>
      <c r="G771" s="110"/>
      <c r="H771" s="126"/>
      <c r="I771" s="114">
        <v>0</v>
      </c>
      <c r="J771" s="115">
        <v>0</v>
      </c>
      <c r="K771" s="116">
        <v>0</v>
      </c>
      <c r="L771" s="116">
        <v>0</v>
      </c>
      <c r="M771" s="114">
        <v>0</v>
      </c>
      <c r="N771" s="113">
        <v>0</v>
      </c>
      <c r="O771" s="113">
        <v>0</v>
      </c>
      <c r="P771" s="116">
        <v>0</v>
      </c>
      <c r="Q771" s="116">
        <v>0</v>
      </c>
      <c r="R771" s="116">
        <v>0</v>
      </c>
      <c r="S771" s="114">
        <v>0</v>
      </c>
      <c r="T771" s="116">
        <v>0</v>
      </c>
      <c r="U771" s="116">
        <v>0</v>
      </c>
      <c r="V771" s="121">
        <f t="shared" si="46"/>
        <v>0</v>
      </c>
      <c r="W771" s="111"/>
      <c r="X771" s="111"/>
      <c r="Y771" s="111"/>
      <c r="Z771" s="111"/>
      <c r="AA771" s="111"/>
      <c r="AB771" s="111"/>
      <c r="AC771" s="111"/>
      <c r="AD771" s="111"/>
      <c r="AE771" s="139">
        <f t="shared" si="45"/>
        <v>0</v>
      </c>
      <c r="AF771" s="109"/>
      <c r="AG771" s="109"/>
    </row>
    <row r="772" spans="1:33">
      <c r="A772" s="117"/>
      <c r="B772" s="118"/>
      <c r="C772" s="118"/>
      <c r="D772" s="118"/>
      <c r="E772" s="119"/>
      <c r="F772" s="118"/>
      <c r="G772" s="110"/>
      <c r="H772" s="126"/>
      <c r="I772" s="114">
        <v>0</v>
      </c>
      <c r="J772" s="115">
        <v>0</v>
      </c>
      <c r="K772" s="116">
        <v>0</v>
      </c>
      <c r="L772" s="116">
        <v>0</v>
      </c>
      <c r="M772" s="114">
        <v>0</v>
      </c>
      <c r="N772" s="113">
        <v>0</v>
      </c>
      <c r="O772" s="113">
        <v>0</v>
      </c>
      <c r="P772" s="116">
        <v>0</v>
      </c>
      <c r="Q772" s="116">
        <v>0</v>
      </c>
      <c r="R772" s="116">
        <v>0</v>
      </c>
      <c r="S772" s="114">
        <v>0</v>
      </c>
      <c r="T772" s="116">
        <v>0</v>
      </c>
      <c r="U772" s="116">
        <v>0</v>
      </c>
      <c r="V772" s="121">
        <f t="shared" si="46"/>
        <v>0</v>
      </c>
      <c r="W772" s="111"/>
      <c r="X772" s="111"/>
      <c r="Y772" s="111"/>
      <c r="Z772" s="111"/>
      <c r="AA772" s="111"/>
      <c r="AB772" s="111"/>
      <c r="AC772" s="111"/>
      <c r="AD772" s="111"/>
      <c r="AE772" s="139">
        <f t="shared" si="45"/>
        <v>0</v>
      </c>
      <c r="AF772" s="109"/>
      <c r="AG772" s="109"/>
    </row>
    <row r="773" spans="1:33">
      <c r="A773" s="117"/>
      <c r="B773" s="118"/>
      <c r="C773" s="118"/>
      <c r="D773" s="118"/>
      <c r="E773" s="119"/>
      <c r="F773" s="118"/>
      <c r="G773" s="110"/>
      <c r="H773" s="126"/>
      <c r="I773" s="114">
        <v>0</v>
      </c>
      <c r="J773" s="115">
        <v>0</v>
      </c>
      <c r="K773" s="116">
        <v>0</v>
      </c>
      <c r="L773" s="116">
        <v>0</v>
      </c>
      <c r="M773" s="114">
        <v>0</v>
      </c>
      <c r="N773" s="113">
        <v>0</v>
      </c>
      <c r="O773" s="113">
        <v>0</v>
      </c>
      <c r="P773" s="116">
        <v>0</v>
      </c>
      <c r="Q773" s="116">
        <v>0</v>
      </c>
      <c r="R773" s="116">
        <v>0</v>
      </c>
      <c r="S773" s="114">
        <v>0</v>
      </c>
      <c r="T773" s="116">
        <v>0</v>
      </c>
      <c r="U773" s="116">
        <v>0</v>
      </c>
      <c r="V773" s="121">
        <f t="shared" si="46"/>
        <v>0</v>
      </c>
      <c r="W773" s="111"/>
      <c r="X773" s="111"/>
      <c r="Y773" s="111"/>
      <c r="Z773" s="111"/>
      <c r="AA773" s="111"/>
      <c r="AB773" s="111"/>
      <c r="AC773" s="111"/>
      <c r="AD773" s="111"/>
      <c r="AE773" s="139">
        <f t="shared" si="45"/>
        <v>0</v>
      </c>
      <c r="AF773" s="109"/>
      <c r="AG773" s="109"/>
    </row>
    <row r="774" spans="1:33">
      <c r="A774" s="117"/>
      <c r="B774" s="118"/>
      <c r="C774" s="118"/>
      <c r="D774" s="118"/>
      <c r="E774" s="119"/>
      <c r="F774" s="118"/>
      <c r="G774" s="110"/>
      <c r="H774" s="126"/>
      <c r="I774" s="114">
        <v>0</v>
      </c>
      <c r="J774" s="115">
        <v>0</v>
      </c>
      <c r="K774" s="116">
        <v>0</v>
      </c>
      <c r="L774" s="116">
        <v>0</v>
      </c>
      <c r="M774" s="114">
        <v>0</v>
      </c>
      <c r="N774" s="113">
        <v>0</v>
      </c>
      <c r="O774" s="113">
        <v>0</v>
      </c>
      <c r="P774" s="116">
        <v>0</v>
      </c>
      <c r="Q774" s="116">
        <v>0</v>
      </c>
      <c r="R774" s="116">
        <v>0</v>
      </c>
      <c r="S774" s="114">
        <v>0</v>
      </c>
      <c r="T774" s="116">
        <v>0</v>
      </c>
      <c r="U774" s="116">
        <v>0</v>
      </c>
      <c r="V774" s="121">
        <f t="shared" si="46"/>
        <v>0</v>
      </c>
      <c r="W774" s="111"/>
      <c r="X774" s="111"/>
      <c r="Y774" s="111"/>
      <c r="Z774" s="111"/>
      <c r="AA774" s="111"/>
      <c r="AB774" s="111"/>
      <c r="AC774" s="111"/>
      <c r="AD774" s="111"/>
      <c r="AE774" s="139">
        <f t="shared" si="45"/>
        <v>0</v>
      </c>
      <c r="AF774" s="109"/>
      <c r="AG774" s="109"/>
    </row>
    <row r="775" spans="1:33">
      <c r="A775" s="117"/>
      <c r="B775" s="118"/>
      <c r="C775" s="118"/>
      <c r="D775" s="118"/>
      <c r="E775" s="119"/>
      <c r="F775" s="118"/>
      <c r="G775" s="110"/>
      <c r="H775" s="126"/>
      <c r="I775" s="114">
        <v>0</v>
      </c>
      <c r="J775" s="115">
        <v>0</v>
      </c>
      <c r="K775" s="116">
        <v>0</v>
      </c>
      <c r="L775" s="116">
        <v>0</v>
      </c>
      <c r="M775" s="114">
        <v>0</v>
      </c>
      <c r="N775" s="113">
        <v>0</v>
      </c>
      <c r="O775" s="113">
        <v>0</v>
      </c>
      <c r="P775" s="116">
        <v>0</v>
      </c>
      <c r="Q775" s="116">
        <v>0</v>
      </c>
      <c r="R775" s="116">
        <v>0</v>
      </c>
      <c r="S775" s="114">
        <v>0</v>
      </c>
      <c r="T775" s="116">
        <v>0</v>
      </c>
      <c r="U775" s="116">
        <v>0</v>
      </c>
      <c r="V775" s="121">
        <f t="shared" si="46"/>
        <v>0</v>
      </c>
      <c r="W775" s="111"/>
      <c r="X775" s="111"/>
      <c r="Y775" s="111"/>
      <c r="Z775" s="111"/>
      <c r="AA775" s="111"/>
      <c r="AB775" s="111"/>
      <c r="AC775" s="111"/>
      <c r="AD775" s="111"/>
      <c r="AE775" s="139">
        <f t="shared" si="45"/>
        <v>0</v>
      </c>
      <c r="AF775" s="109"/>
      <c r="AG775" s="109"/>
    </row>
    <row r="776" spans="1:33">
      <c r="A776" s="117"/>
      <c r="B776" s="118"/>
      <c r="C776" s="118"/>
      <c r="D776" s="118"/>
      <c r="E776" s="119"/>
      <c r="F776" s="118"/>
      <c r="G776" s="110"/>
      <c r="H776" s="126"/>
      <c r="I776" s="114">
        <v>0</v>
      </c>
      <c r="J776" s="115">
        <v>0</v>
      </c>
      <c r="K776" s="116">
        <v>0</v>
      </c>
      <c r="L776" s="116">
        <v>0</v>
      </c>
      <c r="M776" s="114">
        <v>0</v>
      </c>
      <c r="N776" s="113">
        <v>0</v>
      </c>
      <c r="O776" s="113">
        <v>0</v>
      </c>
      <c r="P776" s="116">
        <v>0</v>
      </c>
      <c r="Q776" s="116">
        <v>0</v>
      </c>
      <c r="R776" s="116">
        <v>0</v>
      </c>
      <c r="S776" s="114">
        <v>0</v>
      </c>
      <c r="T776" s="116">
        <v>0</v>
      </c>
      <c r="U776" s="116">
        <v>0</v>
      </c>
      <c r="V776" s="121">
        <f t="shared" si="46"/>
        <v>0</v>
      </c>
      <c r="W776" s="111"/>
      <c r="X776" s="111"/>
      <c r="Y776" s="111"/>
      <c r="Z776" s="111"/>
      <c r="AA776" s="111"/>
      <c r="AB776" s="111"/>
      <c r="AC776" s="111"/>
      <c r="AD776" s="111"/>
      <c r="AE776" s="139">
        <f t="shared" si="45"/>
        <v>0</v>
      </c>
      <c r="AF776" s="109"/>
      <c r="AG776" s="109"/>
    </row>
    <row r="777" spans="1:33">
      <c r="A777" s="117"/>
      <c r="B777" s="118"/>
      <c r="C777" s="118"/>
      <c r="D777" s="118"/>
      <c r="E777" s="119"/>
      <c r="F777" s="118"/>
      <c r="G777" s="110"/>
      <c r="H777" s="126"/>
      <c r="I777" s="114">
        <v>0</v>
      </c>
      <c r="J777" s="115">
        <v>0</v>
      </c>
      <c r="K777" s="116">
        <v>0</v>
      </c>
      <c r="L777" s="116">
        <v>0</v>
      </c>
      <c r="M777" s="114">
        <v>0</v>
      </c>
      <c r="N777" s="113">
        <v>0</v>
      </c>
      <c r="O777" s="113">
        <v>0</v>
      </c>
      <c r="P777" s="116">
        <v>0</v>
      </c>
      <c r="Q777" s="116">
        <v>0</v>
      </c>
      <c r="R777" s="116">
        <v>0</v>
      </c>
      <c r="S777" s="114">
        <v>0</v>
      </c>
      <c r="T777" s="116">
        <v>0</v>
      </c>
      <c r="U777" s="116">
        <v>0</v>
      </c>
      <c r="V777" s="121">
        <f t="shared" si="46"/>
        <v>0</v>
      </c>
      <c r="W777" s="111"/>
      <c r="X777" s="111"/>
      <c r="Y777" s="111"/>
      <c r="Z777" s="111"/>
      <c r="AA777" s="111"/>
      <c r="AB777" s="111"/>
      <c r="AC777" s="111"/>
      <c r="AD777" s="111"/>
      <c r="AE777" s="139">
        <f t="shared" si="45"/>
        <v>0</v>
      </c>
      <c r="AF777" s="109"/>
      <c r="AG777" s="109"/>
    </row>
    <row r="778" spans="1:33">
      <c r="A778" s="117"/>
      <c r="B778" s="118"/>
      <c r="C778" s="118"/>
      <c r="D778" s="118"/>
      <c r="E778" s="119"/>
      <c r="F778" s="118"/>
      <c r="G778" s="110"/>
      <c r="H778" s="126"/>
      <c r="I778" s="114">
        <v>0</v>
      </c>
      <c r="J778" s="115">
        <v>0</v>
      </c>
      <c r="K778" s="116">
        <v>0</v>
      </c>
      <c r="L778" s="116">
        <v>0</v>
      </c>
      <c r="M778" s="114">
        <v>0</v>
      </c>
      <c r="N778" s="113">
        <v>0</v>
      </c>
      <c r="O778" s="113">
        <v>0</v>
      </c>
      <c r="P778" s="116">
        <v>0</v>
      </c>
      <c r="Q778" s="116">
        <v>0</v>
      </c>
      <c r="R778" s="116">
        <v>0</v>
      </c>
      <c r="S778" s="114">
        <v>0</v>
      </c>
      <c r="T778" s="116">
        <v>0</v>
      </c>
      <c r="U778" s="116">
        <v>0</v>
      </c>
      <c r="V778" s="121">
        <f t="shared" si="46"/>
        <v>0</v>
      </c>
      <c r="W778" s="111"/>
      <c r="X778" s="111"/>
      <c r="Y778" s="111"/>
      <c r="Z778" s="111"/>
      <c r="AA778" s="111"/>
      <c r="AB778" s="111"/>
      <c r="AC778" s="111"/>
      <c r="AD778" s="111"/>
      <c r="AE778" s="139">
        <f t="shared" si="45"/>
        <v>0</v>
      </c>
      <c r="AF778" s="109"/>
      <c r="AG778" s="109"/>
    </row>
    <row r="779" spans="1:33">
      <c r="A779" s="117"/>
      <c r="B779" s="118"/>
      <c r="C779" s="118"/>
      <c r="D779" s="118"/>
      <c r="E779" s="119"/>
      <c r="F779" s="118"/>
      <c r="G779" s="110"/>
      <c r="H779" s="126"/>
      <c r="I779" s="114">
        <v>0</v>
      </c>
      <c r="J779" s="115">
        <v>0</v>
      </c>
      <c r="K779" s="116">
        <v>0</v>
      </c>
      <c r="L779" s="116">
        <v>0</v>
      </c>
      <c r="M779" s="114">
        <v>0</v>
      </c>
      <c r="N779" s="113">
        <v>0</v>
      </c>
      <c r="O779" s="113">
        <v>0</v>
      </c>
      <c r="P779" s="116">
        <v>0</v>
      </c>
      <c r="Q779" s="116">
        <v>0</v>
      </c>
      <c r="R779" s="116">
        <v>0</v>
      </c>
      <c r="S779" s="114">
        <v>0</v>
      </c>
      <c r="T779" s="116">
        <v>0</v>
      </c>
      <c r="U779" s="116">
        <v>0</v>
      </c>
      <c r="V779" s="121">
        <f t="shared" si="46"/>
        <v>0</v>
      </c>
      <c r="W779" s="111"/>
      <c r="X779" s="111"/>
      <c r="Y779" s="111"/>
      <c r="Z779" s="111"/>
      <c r="AA779" s="111"/>
      <c r="AB779" s="111"/>
      <c r="AC779" s="111"/>
      <c r="AD779" s="111"/>
      <c r="AE779" s="139">
        <f t="shared" si="45"/>
        <v>0</v>
      </c>
      <c r="AF779" s="109"/>
      <c r="AG779" s="109"/>
    </row>
    <row r="780" spans="1:33">
      <c r="A780" s="117"/>
      <c r="B780" s="118"/>
      <c r="C780" s="118"/>
      <c r="D780" s="118"/>
      <c r="E780" s="119"/>
      <c r="F780" s="118"/>
      <c r="G780" s="110"/>
      <c r="H780" s="126"/>
      <c r="I780" s="114">
        <v>0</v>
      </c>
      <c r="J780" s="115">
        <v>0</v>
      </c>
      <c r="K780" s="116">
        <v>0</v>
      </c>
      <c r="L780" s="116">
        <v>0</v>
      </c>
      <c r="M780" s="114">
        <v>0</v>
      </c>
      <c r="N780" s="113">
        <v>0</v>
      </c>
      <c r="O780" s="113">
        <v>0</v>
      </c>
      <c r="P780" s="116">
        <v>0</v>
      </c>
      <c r="Q780" s="116">
        <v>0</v>
      </c>
      <c r="R780" s="116">
        <v>0</v>
      </c>
      <c r="S780" s="114">
        <v>0</v>
      </c>
      <c r="T780" s="116">
        <v>0</v>
      </c>
      <c r="U780" s="116">
        <v>0</v>
      </c>
      <c r="V780" s="121">
        <f t="shared" si="46"/>
        <v>0</v>
      </c>
      <c r="W780" s="111"/>
      <c r="X780" s="111"/>
      <c r="Y780" s="111"/>
      <c r="Z780" s="111"/>
      <c r="AA780" s="111"/>
      <c r="AB780" s="111"/>
      <c r="AC780" s="111"/>
      <c r="AD780" s="111"/>
      <c r="AE780" s="139">
        <f t="shared" si="45"/>
        <v>0</v>
      </c>
      <c r="AF780" s="109"/>
      <c r="AG780" s="109"/>
    </row>
    <row r="781" spans="1:33">
      <c r="A781" s="117"/>
      <c r="B781" s="118"/>
      <c r="C781" s="118"/>
      <c r="D781" s="118"/>
      <c r="E781" s="119"/>
      <c r="F781" s="118"/>
      <c r="G781" s="110"/>
      <c r="H781" s="126"/>
      <c r="I781" s="114">
        <v>0</v>
      </c>
      <c r="J781" s="115">
        <v>0</v>
      </c>
      <c r="K781" s="116">
        <v>0</v>
      </c>
      <c r="L781" s="116">
        <v>0</v>
      </c>
      <c r="M781" s="114">
        <v>0</v>
      </c>
      <c r="N781" s="113">
        <v>0</v>
      </c>
      <c r="O781" s="113">
        <v>0</v>
      </c>
      <c r="P781" s="116">
        <v>0</v>
      </c>
      <c r="Q781" s="116">
        <v>0</v>
      </c>
      <c r="R781" s="116">
        <v>0</v>
      </c>
      <c r="S781" s="114">
        <v>0</v>
      </c>
      <c r="T781" s="116">
        <v>0</v>
      </c>
      <c r="U781" s="116">
        <v>0</v>
      </c>
      <c r="V781" s="121">
        <f t="shared" si="46"/>
        <v>0</v>
      </c>
      <c r="W781" s="111"/>
      <c r="X781" s="111"/>
      <c r="Y781" s="111"/>
      <c r="Z781" s="111"/>
      <c r="AA781" s="111"/>
      <c r="AB781" s="111"/>
      <c r="AC781" s="111"/>
      <c r="AD781" s="111"/>
      <c r="AE781" s="139">
        <f t="shared" si="45"/>
        <v>0</v>
      </c>
      <c r="AF781" s="109"/>
      <c r="AG781" s="109"/>
    </row>
    <row r="782" spans="1:33">
      <c r="A782" s="117"/>
      <c r="B782" s="118"/>
      <c r="C782" s="118"/>
      <c r="D782" s="118"/>
      <c r="E782" s="119"/>
      <c r="F782" s="118"/>
      <c r="G782" s="110"/>
      <c r="H782" s="126"/>
      <c r="I782" s="114">
        <v>0</v>
      </c>
      <c r="J782" s="115">
        <v>0</v>
      </c>
      <c r="K782" s="116">
        <v>0</v>
      </c>
      <c r="L782" s="116">
        <v>0</v>
      </c>
      <c r="M782" s="114">
        <v>0</v>
      </c>
      <c r="N782" s="113">
        <v>0</v>
      </c>
      <c r="O782" s="113">
        <v>0</v>
      </c>
      <c r="P782" s="116">
        <v>0</v>
      </c>
      <c r="Q782" s="116">
        <v>0</v>
      </c>
      <c r="R782" s="116">
        <v>0</v>
      </c>
      <c r="S782" s="114">
        <v>0</v>
      </c>
      <c r="T782" s="116">
        <v>0</v>
      </c>
      <c r="U782" s="116">
        <v>0</v>
      </c>
      <c r="V782" s="121">
        <f t="shared" si="46"/>
        <v>0</v>
      </c>
      <c r="W782" s="111"/>
      <c r="X782" s="111"/>
      <c r="Y782" s="111"/>
      <c r="Z782" s="111"/>
      <c r="AA782" s="111"/>
      <c r="AB782" s="111"/>
      <c r="AC782" s="111"/>
      <c r="AD782" s="111"/>
      <c r="AE782" s="139">
        <f t="shared" si="45"/>
        <v>0</v>
      </c>
      <c r="AF782" s="109"/>
      <c r="AG782" s="109"/>
    </row>
    <row r="783" spans="1:33">
      <c r="A783" s="117"/>
      <c r="B783" s="118"/>
      <c r="C783" s="118"/>
      <c r="D783" s="118"/>
      <c r="E783" s="119"/>
      <c r="F783" s="118"/>
      <c r="G783" s="110"/>
      <c r="H783" s="126"/>
      <c r="I783" s="114">
        <v>0</v>
      </c>
      <c r="J783" s="115">
        <v>0</v>
      </c>
      <c r="K783" s="116">
        <v>0</v>
      </c>
      <c r="L783" s="116">
        <v>0</v>
      </c>
      <c r="M783" s="114">
        <v>0</v>
      </c>
      <c r="N783" s="113">
        <v>0</v>
      </c>
      <c r="O783" s="113">
        <v>0</v>
      </c>
      <c r="P783" s="116">
        <v>0</v>
      </c>
      <c r="Q783" s="116">
        <v>0</v>
      </c>
      <c r="R783" s="116">
        <v>0</v>
      </c>
      <c r="S783" s="114">
        <v>0</v>
      </c>
      <c r="T783" s="116">
        <v>0</v>
      </c>
      <c r="U783" s="116">
        <v>0</v>
      </c>
      <c r="V783" s="121">
        <f t="shared" si="46"/>
        <v>0</v>
      </c>
      <c r="W783" s="111"/>
      <c r="X783" s="111"/>
      <c r="Y783" s="111"/>
      <c r="Z783" s="111"/>
      <c r="AA783" s="111"/>
      <c r="AB783" s="111"/>
      <c r="AC783" s="111"/>
      <c r="AD783" s="111"/>
      <c r="AE783" s="139">
        <f t="shared" si="45"/>
        <v>0</v>
      </c>
      <c r="AF783" s="109"/>
      <c r="AG783" s="109"/>
    </row>
    <row r="784" spans="1:33">
      <c r="A784" s="117"/>
      <c r="B784" s="118"/>
      <c r="C784" s="118"/>
      <c r="D784" s="118"/>
      <c r="E784" s="119"/>
      <c r="F784" s="118"/>
      <c r="G784" s="110"/>
      <c r="H784" s="126"/>
      <c r="I784" s="114">
        <v>0</v>
      </c>
      <c r="J784" s="115">
        <v>0</v>
      </c>
      <c r="K784" s="116">
        <v>0</v>
      </c>
      <c r="L784" s="116">
        <v>0</v>
      </c>
      <c r="M784" s="114">
        <v>0</v>
      </c>
      <c r="N784" s="113">
        <v>0</v>
      </c>
      <c r="O784" s="113">
        <v>0</v>
      </c>
      <c r="P784" s="116">
        <v>0</v>
      </c>
      <c r="Q784" s="116">
        <v>0</v>
      </c>
      <c r="R784" s="116">
        <v>0</v>
      </c>
      <c r="S784" s="114">
        <v>0</v>
      </c>
      <c r="T784" s="116">
        <v>0</v>
      </c>
      <c r="U784" s="116">
        <v>0</v>
      </c>
      <c r="V784" s="121">
        <f t="shared" si="46"/>
        <v>0</v>
      </c>
      <c r="W784" s="111"/>
      <c r="X784" s="111"/>
      <c r="Y784" s="111"/>
      <c r="Z784" s="111"/>
      <c r="AA784" s="111"/>
      <c r="AB784" s="111"/>
      <c r="AC784" s="111"/>
      <c r="AD784" s="111"/>
      <c r="AE784" s="139">
        <f t="shared" si="45"/>
        <v>0</v>
      </c>
      <c r="AF784" s="109"/>
      <c r="AG784" s="109"/>
    </row>
    <row r="785" spans="1:33">
      <c r="A785" s="117"/>
      <c r="B785" s="118"/>
      <c r="C785" s="118"/>
      <c r="D785" s="118"/>
      <c r="E785" s="119"/>
      <c r="F785" s="118"/>
      <c r="G785" s="110"/>
      <c r="H785" s="126"/>
      <c r="I785" s="114">
        <v>0</v>
      </c>
      <c r="J785" s="115">
        <v>0</v>
      </c>
      <c r="K785" s="116">
        <v>0</v>
      </c>
      <c r="L785" s="116">
        <v>0</v>
      </c>
      <c r="M785" s="114">
        <v>0</v>
      </c>
      <c r="N785" s="113">
        <v>0</v>
      </c>
      <c r="O785" s="113">
        <v>0</v>
      </c>
      <c r="P785" s="116">
        <v>0</v>
      </c>
      <c r="Q785" s="116">
        <v>0</v>
      </c>
      <c r="R785" s="116">
        <v>0</v>
      </c>
      <c r="S785" s="114">
        <v>0</v>
      </c>
      <c r="T785" s="116">
        <v>0</v>
      </c>
      <c r="U785" s="116">
        <v>0</v>
      </c>
      <c r="V785" s="121">
        <f t="shared" si="46"/>
        <v>0</v>
      </c>
      <c r="W785" s="111"/>
      <c r="X785" s="111"/>
      <c r="Y785" s="111"/>
      <c r="Z785" s="111"/>
      <c r="AA785" s="111"/>
      <c r="AB785" s="111"/>
      <c r="AC785" s="111"/>
      <c r="AD785" s="111"/>
      <c r="AE785" s="139">
        <f t="shared" si="45"/>
        <v>0</v>
      </c>
      <c r="AF785" s="109"/>
      <c r="AG785" s="109"/>
    </row>
    <row r="786" spans="1:33">
      <c r="A786" s="117"/>
      <c r="B786" s="118"/>
      <c r="C786" s="118"/>
      <c r="D786" s="118"/>
      <c r="E786" s="119"/>
      <c r="F786" s="118"/>
      <c r="G786" s="110"/>
      <c r="H786" s="126"/>
      <c r="I786" s="114">
        <v>0</v>
      </c>
      <c r="J786" s="115">
        <v>0</v>
      </c>
      <c r="K786" s="116">
        <v>0</v>
      </c>
      <c r="L786" s="116">
        <v>0</v>
      </c>
      <c r="M786" s="114">
        <v>0</v>
      </c>
      <c r="N786" s="113">
        <v>0</v>
      </c>
      <c r="O786" s="113">
        <v>0</v>
      </c>
      <c r="P786" s="116">
        <v>0</v>
      </c>
      <c r="Q786" s="116">
        <v>0</v>
      </c>
      <c r="R786" s="116">
        <v>0</v>
      </c>
      <c r="S786" s="114">
        <v>0</v>
      </c>
      <c r="T786" s="116">
        <v>0</v>
      </c>
      <c r="U786" s="116">
        <v>0</v>
      </c>
      <c r="V786" s="121">
        <f t="shared" si="46"/>
        <v>0</v>
      </c>
      <c r="W786" s="111"/>
      <c r="X786" s="111"/>
      <c r="Y786" s="111"/>
      <c r="Z786" s="111"/>
      <c r="AA786" s="111"/>
      <c r="AB786" s="111"/>
      <c r="AC786" s="111"/>
      <c r="AD786" s="111"/>
      <c r="AE786" s="139">
        <f t="shared" si="45"/>
        <v>0</v>
      </c>
      <c r="AF786" s="109"/>
      <c r="AG786" s="109"/>
    </row>
    <row r="787" spans="1:33">
      <c r="A787" s="117"/>
      <c r="B787" s="118"/>
      <c r="C787" s="118"/>
      <c r="D787" s="118"/>
      <c r="E787" s="119"/>
      <c r="F787" s="118"/>
      <c r="G787" s="110"/>
      <c r="H787" s="126"/>
      <c r="I787" s="114">
        <v>0</v>
      </c>
      <c r="J787" s="115">
        <v>0</v>
      </c>
      <c r="K787" s="116">
        <v>0</v>
      </c>
      <c r="L787" s="116">
        <v>0</v>
      </c>
      <c r="M787" s="114">
        <v>0</v>
      </c>
      <c r="N787" s="113">
        <v>0</v>
      </c>
      <c r="O787" s="113">
        <v>0</v>
      </c>
      <c r="P787" s="116">
        <v>0</v>
      </c>
      <c r="Q787" s="116">
        <v>0</v>
      </c>
      <c r="R787" s="116">
        <v>0</v>
      </c>
      <c r="S787" s="114">
        <v>0</v>
      </c>
      <c r="T787" s="116">
        <v>0</v>
      </c>
      <c r="U787" s="116">
        <v>0</v>
      </c>
      <c r="V787" s="121">
        <f t="shared" si="46"/>
        <v>0</v>
      </c>
      <c r="W787" s="111"/>
      <c r="X787" s="111"/>
      <c r="Y787" s="111"/>
      <c r="Z787" s="111"/>
      <c r="AA787" s="111"/>
      <c r="AB787" s="111"/>
      <c r="AC787" s="111"/>
      <c r="AD787" s="111"/>
      <c r="AE787" s="139">
        <f t="shared" si="45"/>
        <v>0</v>
      </c>
      <c r="AF787" s="109"/>
      <c r="AG787" s="109"/>
    </row>
    <row r="788" spans="1:33">
      <c r="A788" s="117"/>
      <c r="B788" s="118"/>
      <c r="C788" s="118"/>
      <c r="D788" s="118"/>
      <c r="E788" s="119"/>
      <c r="F788" s="118"/>
      <c r="G788" s="110"/>
      <c r="H788" s="126"/>
      <c r="I788" s="114">
        <v>0</v>
      </c>
      <c r="J788" s="115">
        <v>0</v>
      </c>
      <c r="K788" s="116">
        <v>0</v>
      </c>
      <c r="L788" s="116">
        <v>0</v>
      </c>
      <c r="M788" s="114">
        <v>0</v>
      </c>
      <c r="N788" s="113">
        <v>0</v>
      </c>
      <c r="O788" s="113">
        <v>0</v>
      </c>
      <c r="P788" s="116">
        <v>0</v>
      </c>
      <c r="Q788" s="116">
        <v>0</v>
      </c>
      <c r="R788" s="116">
        <v>0</v>
      </c>
      <c r="S788" s="114">
        <v>0</v>
      </c>
      <c r="T788" s="116">
        <v>0</v>
      </c>
      <c r="U788" s="116">
        <v>0</v>
      </c>
      <c r="V788" s="121">
        <f t="shared" si="46"/>
        <v>0</v>
      </c>
      <c r="W788" s="111"/>
      <c r="X788" s="111"/>
      <c r="Y788" s="111"/>
      <c r="Z788" s="111"/>
      <c r="AA788" s="111"/>
      <c r="AB788" s="111"/>
      <c r="AC788" s="111"/>
      <c r="AD788" s="111"/>
      <c r="AE788" s="139">
        <f t="shared" si="45"/>
        <v>0</v>
      </c>
      <c r="AF788" s="109"/>
      <c r="AG788" s="109"/>
    </row>
    <row r="789" spans="1:33">
      <c r="A789" s="117"/>
      <c r="B789" s="118"/>
      <c r="C789" s="118"/>
      <c r="D789" s="118"/>
      <c r="E789" s="119"/>
      <c r="F789" s="118"/>
      <c r="G789" s="110"/>
      <c r="H789" s="126"/>
      <c r="I789" s="114">
        <v>0</v>
      </c>
      <c r="J789" s="115">
        <v>0</v>
      </c>
      <c r="K789" s="116">
        <v>0</v>
      </c>
      <c r="L789" s="116">
        <v>0</v>
      </c>
      <c r="M789" s="114">
        <v>0</v>
      </c>
      <c r="N789" s="113">
        <v>0</v>
      </c>
      <c r="O789" s="113">
        <v>0</v>
      </c>
      <c r="P789" s="116">
        <v>0</v>
      </c>
      <c r="Q789" s="116">
        <v>0</v>
      </c>
      <c r="R789" s="116">
        <v>0</v>
      </c>
      <c r="S789" s="114">
        <v>0</v>
      </c>
      <c r="T789" s="116">
        <v>0</v>
      </c>
      <c r="U789" s="116">
        <v>0</v>
      </c>
      <c r="V789" s="121">
        <f t="shared" si="46"/>
        <v>0</v>
      </c>
      <c r="W789" s="111"/>
      <c r="X789" s="111"/>
      <c r="Y789" s="111"/>
      <c r="Z789" s="111"/>
      <c r="AA789" s="111"/>
      <c r="AB789" s="111"/>
      <c r="AC789" s="111"/>
      <c r="AD789" s="111"/>
      <c r="AE789" s="139">
        <f t="shared" si="45"/>
        <v>0</v>
      </c>
      <c r="AF789" s="109"/>
      <c r="AG789" s="109"/>
    </row>
    <row r="790" spans="1:33">
      <c r="A790" s="117"/>
      <c r="B790" s="118"/>
      <c r="C790" s="118"/>
      <c r="D790" s="118"/>
      <c r="E790" s="119"/>
      <c r="F790" s="118"/>
      <c r="G790" s="110"/>
      <c r="H790" s="126"/>
      <c r="I790" s="114">
        <v>0</v>
      </c>
      <c r="J790" s="115">
        <v>0</v>
      </c>
      <c r="K790" s="116">
        <v>0</v>
      </c>
      <c r="L790" s="116">
        <v>0</v>
      </c>
      <c r="M790" s="114">
        <v>0</v>
      </c>
      <c r="N790" s="113">
        <v>0</v>
      </c>
      <c r="O790" s="113">
        <v>0</v>
      </c>
      <c r="P790" s="116">
        <v>0</v>
      </c>
      <c r="Q790" s="116">
        <v>0</v>
      </c>
      <c r="R790" s="116">
        <v>0</v>
      </c>
      <c r="S790" s="114">
        <v>0</v>
      </c>
      <c r="T790" s="116">
        <v>0</v>
      </c>
      <c r="U790" s="116">
        <v>0</v>
      </c>
      <c r="V790" s="121">
        <f t="shared" si="46"/>
        <v>0</v>
      </c>
      <c r="W790" s="111"/>
      <c r="X790" s="111"/>
      <c r="Y790" s="111"/>
      <c r="Z790" s="111"/>
      <c r="AA790" s="111"/>
      <c r="AB790" s="111"/>
      <c r="AC790" s="111"/>
      <c r="AD790" s="111"/>
      <c r="AE790" s="139">
        <f t="shared" si="45"/>
        <v>0</v>
      </c>
      <c r="AF790" s="109"/>
      <c r="AG790" s="109"/>
    </row>
    <row r="791" spans="1:33">
      <c r="A791" s="117"/>
      <c r="B791" s="118"/>
      <c r="C791" s="118"/>
      <c r="D791" s="118"/>
      <c r="E791" s="119"/>
      <c r="F791" s="118"/>
      <c r="G791" s="110"/>
      <c r="H791" s="126"/>
      <c r="I791" s="114">
        <v>0</v>
      </c>
      <c r="J791" s="115">
        <v>0</v>
      </c>
      <c r="K791" s="116">
        <v>0</v>
      </c>
      <c r="L791" s="116">
        <v>0</v>
      </c>
      <c r="M791" s="114">
        <v>0</v>
      </c>
      <c r="N791" s="113">
        <v>0</v>
      </c>
      <c r="O791" s="113">
        <v>0</v>
      </c>
      <c r="P791" s="116">
        <v>0</v>
      </c>
      <c r="Q791" s="116">
        <v>0</v>
      </c>
      <c r="R791" s="116">
        <v>0</v>
      </c>
      <c r="S791" s="114">
        <v>0</v>
      </c>
      <c r="T791" s="116">
        <v>0</v>
      </c>
      <c r="U791" s="116">
        <v>0</v>
      </c>
      <c r="V791" s="121">
        <f t="shared" si="46"/>
        <v>0</v>
      </c>
      <c r="W791" s="111"/>
      <c r="X791" s="111"/>
      <c r="Y791" s="111"/>
      <c r="Z791" s="111"/>
      <c r="AA791" s="111"/>
      <c r="AB791" s="111"/>
      <c r="AC791" s="111"/>
      <c r="AD791" s="111"/>
      <c r="AE791" s="139">
        <f t="shared" si="45"/>
        <v>0</v>
      </c>
      <c r="AF791" s="109"/>
      <c r="AG791" s="109"/>
    </row>
    <row r="792" spans="1:33">
      <c r="A792" s="117"/>
      <c r="B792" s="118"/>
      <c r="C792" s="118"/>
      <c r="D792" s="118"/>
      <c r="E792" s="119"/>
      <c r="F792" s="118"/>
      <c r="G792" s="110"/>
      <c r="H792" s="126"/>
      <c r="I792" s="114">
        <v>0</v>
      </c>
      <c r="J792" s="115">
        <v>0</v>
      </c>
      <c r="K792" s="116">
        <v>0</v>
      </c>
      <c r="L792" s="116">
        <v>0</v>
      </c>
      <c r="M792" s="114">
        <v>0</v>
      </c>
      <c r="N792" s="113">
        <v>0</v>
      </c>
      <c r="O792" s="113">
        <v>0</v>
      </c>
      <c r="P792" s="116">
        <v>0</v>
      </c>
      <c r="Q792" s="116">
        <v>0</v>
      </c>
      <c r="R792" s="116">
        <v>0</v>
      </c>
      <c r="S792" s="114">
        <v>0</v>
      </c>
      <c r="T792" s="116">
        <v>0</v>
      </c>
      <c r="U792" s="116">
        <v>0</v>
      </c>
      <c r="V792" s="121">
        <f t="shared" si="46"/>
        <v>0</v>
      </c>
      <c r="W792" s="111"/>
      <c r="X792" s="111"/>
      <c r="Y792" s="111"/>
      <c r="Z792" s="111"/>
      <c r="AA792" s="111"/>
      <c r="AB792" s="111"/>
      <c r="AC792" s="111"/>
      <c r="AD792" s="111"/>
      <c r="AE792" s="139">
        <f t="shared" si="45"/>
        <v>0</v>
      </c>
      <c r="AF792" s="109"/>
      <c r="AG792" s="109"/>
    </row>
    <row r="793" spans="1:33">
      <c r="A793" s="117"/>
      <c r="B793" s="118"/>
      <c r="C793" s="118"/>
      <c r="D793" s="118"/>
      <c r="E793" s="119"/>
      <c r="F793" s="118"/>
      <c r="G793" s="110"/>
      <c r="H793" s="126"/>
      <c r="I793" s="114">
        <v>0</v>
      </c>
      <c r="J793" s="115">
        <v>0</v>
      </c>
      <c r="K793" s="116">
        <v>0</v>
      </c>
      <c r="L793" s="116">
        <v>0</v>
      </c>
      <c r="M793" s="114">
        <v>0</v>
      </c>
      <c r="N793" s="113">
        <v>0</v>
      </c>
      <c r="O793" s="113">
        <v>0</v>
      </c>
      <c r="P793" s="116">
        <v>0</v>
      </c>
      <c r="Q793" s="116">
        <v>0</v>
      </c>
      <c r="R793" s="116">
        <v>0</v>
      </c>
      <c r="S793" s="114">
        <v>0</v>
      </c>
      <c r="T793" s="116">
        <v>0</v>
      </c>
      <c r="U793" s="116">
        <v>0</v>
      </c>
      <c r="V793" s="121">
        <f t="shared" si="46"/>
        <v>0</v>
      </c>
      <c r="W793" s="111"/>
      <c r="X793" s="111"/>
      <c r="Y793" s="111"/>
      <c r="Z793" s="111"/>
      <c r="AA793" s="111"/>
      <c r="AB793" s="111"/>
      <c r="AC793" s="111"/>
      <c r="AD793" s="111"/>
      <c r="AE793" s="139">
        <f t="shared" si="45"/>
        <v>0</v>
      </c>
      <c r="AF793" s="109"/>
      <c r="AG793" s="109"/>
    </row>
    <row r="794" spans="1:33">
      <c r="A794" s="117"/>
      <c r="B794" s="118"/>
      <c r="C794" s="118"/>
      <c r="D794" s="118"/>
      <c r="E794" s="119"/>
      <c r="F794" s="118"/>
      <c r="G794" s="110"/>
      <c r="H794" s="126"/>
      <c r="I794" s="114">
        <v>0</v>
      </c>
      <c r="J794" s="115">
        <v>0</v>
      </c>
      <c r="K794" s="116">
        <v>0</v>
      </c>
      <c r="L794" s="116">
        <v>0</v>
      </c>
      <c r="M794" s="114">
        <v>0</v>
      </c>
      <c r="N794" s="113">
        <v>0</v>
      </c>
      <c r="O794" s="113">
        <v>0</v>
      </c>
      <c r="P794" s="116">
        <v>0</v>
      </c>
      <c r="Q794" s="116">
        <v>0</v>
      </c>
      <c r="R794" s="116">
        <v>0</v>
      </c>
      <c r="S794" s="114">
        <v>0</v>
      </c>
      <c r="T794" s="116">
        <v>0</v>
      </c>
      <c r="U794" s="116">
        <v>0</v>
      </c>
      <c r="V794" s="121">
        <f t="shared" si="46"/>
        <v>0</v>
      </c>
      <c r="W794" s="111"/>
      <c r="X794" s="111"/>
      <c r="Y794" s="111"/>
      <c r="Z794" s="111"/>
      <c r="AA794" s="111"/>
      <c r="AB794" s="111"/>
      <c r="AC794" s="111"/>
      <c r="AD794" s="111"/>
      <c r="AE794" s="139">
        <f t="shared" si="45"/>
        <v>0</v>
      </c>
      <c r="AF794" s="109"/>
      <c r="AG794" s="109"/>
    </row>
    <row r="795" spans="1:33">
      <c r="A795" s="117"/>
      <c r="B795" s="118"/>
      <c r="C795" s="118"/>
      <c r="D795" s="118"/>
      <c r="E795" s="119"/>
      <c r="F795" s="118"/>
      <c r="G795" s="110"/>
      <c r="H795" s="126"/>
      <c r="I795" s="114">
        <v>0</v>
      </c>
      <c r="J795" s="115">
        <v>0</v>
      </c>
      <c r="K795" s="116">
        <v>0</v>
      </c>
      <c r="L795" s="116">
        <v>0</v>
      </c>
      <c r="M795" s="114">
        <v>0</v>
      </c>
      <c r="N795" s="113">
        <v>0</v>
      </c>
      <c r="O795" s="113">
        <v>0</v>
      </c>
      <c r="P795" s="116">
        <v>0</v>
      </c>
      <c r="Q795" s="116">
        <v>0</v>
      </c>
      <c r="R795" s="116">
        <v>0</v>
      </c>
      <c r="S795" s="114">
        <v>0</v>
      </c>
      <c r="T795" s="116">
        <v>0</v>
      </c>
      <c r="U795" s="116">
        <v>0</v>
      </c>
      <c r="V795" s="121">
        <f t="shared" si="46"/>
        <v>0</v>
      </c>
      <c r="W795" s="111"/>
      <c r="X795" s="111"/>
      <c r="Y795" s="111"/>
      <c r="Z795" s="111"/>
      <c r="AA795" s="111"/>
      <c r="AB795" s="111"/>
      <c r="AC795" s="111"/>
      <c r="AD795" s="111"/>
      <c r="AE795" s="139">
        <f t="shared" si="45"/>
        <v>0</v>
      </c>
      <c r="AF795" s="109"/>
      <c r="AG795" s="109"/>
    </row>
    <row r="796" spans="1:33">
      <c r="A796" s="117"/>
      <c r="B796" s="118"/>
      <c r="C796" s="118"/>
      <c r="D796" s="118"/>
      <c r="E796" s="119"/>
      <c r="F796" s="118"/>
      <c r="G796" s="110"/>
      <c r="H796" s="126"/>
      <c r="I796" s="114">
        <v>0</v>
      </c>
      <c r="J796" s="115">
        <v>0</v>
      </c>
      <c r="K796" s="116">
        <v>0</v>
      </c>
      <c r="L796" s="116">
        <v>0</v>
      </c>
      <c r="M796" s="114">
        <v>0</v>
      </c>
      <c r="N796" s="113">
        <v>0</v>
      </c>
      <c r="O796" s="113">
        <v>0</v>
      </c>
      <c r="P796" s="116">
        <v>0</v>
      </c>
      <c r="Q796" s="116">
        <v>0</v>
      </c>
      <c r="R796" s="116">
        <v>0</v>
      </c>
      <c r="S796" s="114">
        <v>0</v>
      </c>
      <c r="T796" s="116">
        <v>0</v>
      </c>
      <c r="U796" s="116">
        <v>0</v>
      </c>
      <c r="V796" s="121">
        <f t="shared" si="46"/>
        <v>0</v>
      </c>
      <c r="W796" s="111"/>
      <c r="X796" s="111"/>
      <c r="Y796" s="111"/>
      <c r="Z796" s="111"/>
      <c r="AA796" s="111"/>
      <c r="AB796" s="111"/>
      <c r="AC796" s="111"/>
      <c r="AD796" s="111"/>
      <c r="AE796" s="139">
        <f t="shared" si="45"/>
        <v>0</v>
      </c>
      <c r="AF796" s="109"/>
      <c r="AG796" s="109"/>
    </row>
    <row r="797" spans="1:33">
      <c r="A797" s="117"/>
      <c r="B797" s="118"/>
      <c r="C797" s="118"/>
      <c r="D797" s="118"/>
      <c r="E797" s="119"/>
      <c r="F797" s="118"/>
      <c r="G797" s="110"/>
      <c r="H797" s="126"/>
      <c r="I797" s="114">
        <v>0</v>
      </c>
      <c r="J797" s="115">
        <v>0</v>
      </c>
      <c r="K797" s="116">
        <v>0</v>
      </c>
      <c r="L797" s="116">
        <v>0</v>
      </c>
      <c r="M797" s="114">
        <v>0</v>
      </c>
      <c r="N797" s="113">
        <v>0</v>
      </c>
      <c r="O797" s="113">
        <v>0</v>
      </c>
      <c r="P797" s="116">
        <v>0</v>
      </c>
      <c r="Q797" s="116">
        <v>0</v>
      </c>
      <c r="R797" s="116">
        <v>0</v>
      </c>
      <c r="S797" s="114">
        <v>0</v>
      </c>
      <c r="T797" s="116">
        <v>0</v>
      </c>
      <c r="U797" s="116">
        <v>0</v>
      </c>
      <c r="V797" s="121">
        <f t="shared" si="46"/>
        <v>0</v>
      </c>
      <c r="W797" s="111"/>
      <c r="X797" s="111"/>
      <c r="Y797" s="111"/>
      <c r="Z797" s="111"/>
      <c r="AA797" s="111"/>
      <c r="AB797" s="111"/>
      <c r="AC797" s="111"/>
      <c r="AD797" s="111"/>
      <c r="AE797" s="139">
        <f t="shared" si="45"/>
        <v>0</v>
      </c>
      <c r="AF797" s="109"/>
      <c r="AG797" s="109"/>
    </row>
    <row r="798" spans="1:33">
      <c r="A798" s="117"/>
      <c r="B798" s="118"/>
      <c r="C798" s="118"/>
      <c r="D798" s="118"/>
      <c r="E798" s="119"/>
      <c r="F798" s="118"/>
      <c r="G798" s="110"/>
      <c r="H798" s="126"/>
      <c r="I798" s="114">
        <v>0</v>
      </c>
      <c r="J798" s="115">
        <v>0</v>
      </c>
      <c r="K798" s="116">
        <v>0</v>
      </c>
      <c r="L798" s="116">
        <v>0</v>
      </c>
      <c r="M798" s="114">
        <v>0</v>
      </c>
      <c r="N798" s="113">
        <v>0</v>
      </c>
      <c r="O798" s="113">
        <v>0</v>
      </c>
      <c r="P798" s="116">
        <v>0</v>
      </c>
      <c r="Q798" s="116">
        <v>0</v>
      </c>
      <c r="R798" s="116">
        <v>0</v>
      </c>
      <c r="S798" s="114">
        <v>0</v>
      </c>
      <c r="T798" s="116">
        <v>0</v>
      </c>
      <c r="U798" s="116">
        <v>0</v>
      </c>
      <c r="V798" s="121">
        <f t="shared" si="46"/>
        <v>0</v>
      </c>
      <c r="W798" s="111"/>
      <c r="X798" s="111"/>
      <c r="Y798" s="111"/>
      <c r="Z798" s="111"/>
      <c r="AA798" s="111"/>
      <c r="AB798" s="111"/>
      <c r="AC798" s="111"/>
      <c r="AD798" s="111"/>
      <c r="AE798" s="139">
        <f t="shared" si="45"/>
        <v>0</v>
      </c>
      <c r="AF798" s="109"/>
      <c r="AG798" s="109"/>
    </row>
    <row r="799" spans="1:33">
      <c r="A799" s="117"/>
      <c r="B799" s="118"/>
      <c r="C799" s="118"/>
      <c r="D799" s="118"/>
      <c r="E799" s="119"/>
      <c r="F799" s="118"/>
      <c r="G799" s="110"/>
      <c r="H799" s="126"/>
      <c r="I799" s="114">
        <v>0</v>
      </c>
      <c r="J799" s="115">
        <v>0</v>
      </c>
      <c r="K799" s="116">
        <v>0</v>
      </c>
      <c r="L799" s="116">
        <v>0</v>
      </c>
      <c r="M799" s="114">
        <v>0</v>
      </c>
      <c r="N799" s="113">
        <v>0</v>
      </c>
      <c r="O799" s="113">
        <v>0</v>
      </c>
      <c r="P799" s="116">
        <v>0</v>
      </c>
      <c r="Q799" s="116">
        <v>0</v>
      </c>
      <c r="R799" s="116">
        <v>0</v>
      </c>
      <c r="S799" s="114">
        <v>0</v>
      </c>
      <c r="T799" s="116">
        <v>0</v>
      </c>
      <c r="U799" s="116">
        <v>0</v>
      </c>
      <c r="V799" s="121">
        <f t="shared" si="46"/>
        <v>0</v>
      </c>
      <c r="W799" s="111"/>
      <c r="X799" s="111"/>
      <c r="Y799" s="111"/>
      <c r="Z799" s="111"/>
      <c r="AA799" s="111"/>
      <c r="AB799" s="111"/>
      <c r="AC799" s="111"/>
      <c r="AD799" s="111"/>
      <c r="AE799" s="139">
        <f t="shared" si="45"/>
        <v>0</v>
      </c>
      <c r="AF799" s="109"/>
      <c r="AG799" s="109"/>
    </row>
    <row r="800" spans="1:33">
      <c r="A800" s="117"/>
      <c r="B800" s="118"/>
      <c r="C800" s="118"/>
      <c r="D800" s="118"/>
      <c r="E800" s="119"/>
      <c r="F800" s="118"/>
      <c r="G800" s="110"/>
      <c r="H800" s="126"/>
      <c r="I800" s="114">
        <v>0</v>
      </c>
      <c r="J800" s="115">
        <v>0</v>
      </c>
      <c r="K800" s="116">
        <v>0</v>
      </c>
      <c r="L800" s="116">
        <v>0</v>
      </c>
      <c r="M800" s="114">
        <v>0</v>
      </c>
      <c r="N800" s="113">
        <v>0</v>
      </c>
      <c r="O800" s="113">
        <v>0</v>
      </c>
      <c r="P800" s="116">
        <v>0</v>
      </c>
      <c r="Q800" s="116">
        <v>0</v>
      </c>
      <c r="R800" s="116">
        <v>0</v>
      </c>
      <c r="S800" s="114">
        <v>0</v>
      </c>
      <c r="T800" s="116">
        <v>0</v>
      </c>
      <c r="U800" s="116">
        <v>0</v>
      </c>
      <c r="V800" s="121">
        <f t="shared" si="46"/>
        <v>0</v>
      </c>
      <c r="W800" s="111"/>
      <c r="X800" s="111"/>
      <c r="Y800" s="111"/>
      <c r="Z800" s="111"/>
      <c r="AA800" s="111"/>
      <c r="AB800" s="111"/>
      <c r="AC800" s="111"/>
      <c r="AD800" s="111"/>
      <c r="AE800" s="139">
        <f t="shared" si="45"/>
        <v>0</v>
      </c>
      <c r="AF800" s="109"/>
      <c r="AG800" s="109"/>
    </row>
    <row r="801" spans="1:33">
      <c r="A801" s="117"/>
      <c r="B801" s="118"/>
      <c r="C801" s="118"/>
      <c r="D801" s="118"/>
      <c r="E801" s="119"/>
      <c r="F801" s="118"/>
      <c r="G801" s="110"/>
      <c r="H801" s="126"/>
      <c r="I801" s="114">
        <v>0</v>
      </c>
      <c r="J801" s="115">
        <v>0</v>
      </c>
      <c r="K801" s="116">
        <v>0</v>
      </c>
      <c r="L801" s="116">
        <v>0</v>
      </c>
      <c r="M801" s="114">
        <v>0</v>
      </c>
      <c r="N801" s="113">
        <v>0</v>
      </c>
      <c r="O801" s="113">
        <v>0</v>
      </c>
      <c r="P801" s="116">
        <v>0</v>
      </c>
      <c r="Q801" s="116">
        <v>0</v>
      </c>
      <c r="R801" s="116">
        <v>0</v>
      </c>
      <c r="S801" s="114">
        <v>0</v>
      </c>
      <c r="T801" s="116">
        <v>0</v>
      </c>
      <c r="U801" s="116">
        <v>0</v>
      </c>
      <c r="V801" s="121">
        <f t="shared" si="46"/>
        <v>0</v>
      </c>
      <c r="W801" s="111"/>
      <c r="X801" s="111"/>
      <c r="Y801" s="111"/>
      <c r="Z801" s="111"/>
      <c r="AA801" s="111"/>
      <c r="AB801" s="111"/>
      <c r="AC801" s="111"/>
      <c r="AD801" s="111"/>
      <c r="AE801" s="139">
        <f t="shared" si="45"/>
        <v>0</v>
      </c>
      <c r="AF801" s="109"/>
      <c r="AG801" s="109"/>
    </row>
    <row r="802" spans="1:33">
      <c r="A802" s="117"/>
      <c r="B802" s="118"/>
      <c r="C802" s="118"/>
      <c r="D802" s="118"/>
      <c r="E802" s="119"/>
      <c r="F802" s="118"/>
      <c r="G802" s="110"/>
      <c r="H802" s="126"/>
      <c r="I802" s="114">
        <v>0</v>
      </c>
      <c r="J802" s="115">
        <v>0</v>
      </c>
      <c r="K802" s="116">
        <v>0</v>
      </c>
      <c r="L802" s="116">
        <v>0</v>
      </c>
      <c r="M802" s="114">
        <v>0</v>
      </c>
      <c r="N802" s="113">
        <v>0</v>
      </c>
      <c r="O802" s="113">
        <v>0</v>
      </c>
      <c r="P802" s="116">
        <v>0</v>
      </c>
      <c r="Q802" s="116">
        <v>0</v>
      </c>
      <c r="R802" s="116">
        <v>0</v>
      </c>
      <c r="S802" s="114">
        <v>0</v>
      </c>
      <c r="T802" s="116">
        <v>0</v>
      </c>
      <c r="U802" s="116">
        <v>0</v>
      </c>
      <c r="V802" s="121">
        <f t="shared" si="46"/>
        <v>0</v>
      </c>
      <c r="W802" s="111"/>
      <c r="X802" s="111"/>
      <c r="Y802" s="111"/>
      <c r="Z802" s="111"/>
      <c r="AA802" s="111"/>
      <c r="AB802" s="111"/>
      <c r="AC802" s="111"/>
      <c r="AD802" s="111"/>
      <c r="AE802" s="139">
        <f t="shared" si="45"/>
        <v>0</v>
      </c>
      <c r="AF802" s="109"/>
      <c r="AG802" s="109"/>
    </row>
    <row r="803" spans="1:33">
      <c r="A803" s="117"/>
      <c r="B803" s="118"/>
      <c r="C803" s="118"/>
      <c r="D803" s="118"/>
      <c r="E803" s="119"/>
      <c r="F803" s="118"/>
      <c r="G803" s="110"/>
      <c r="H803" s="126"/>
      <c r="I803" s="114">
        <v>0</v>
      </c>
      <c r="J803" s="115">
        <v>0</v>
      </c>
      <c r="K803" s="116">
        <v>0</v>
      </c>
      <c r="L803" s="116">
        <v>0</v>
      </c>
      <c r="M803" s="114">
        <v>0</v>
      </c>
      <c r="N803" s="113">
        <v>0</v>
      </c>
      <c r="O803" s="113">
        <v>0</v>
      </c>
      <c r="P803" s="116">
        <v>0</v>
      </c>
      <c r="Q803" s="116">
        <v>0</v>
      </c>
      <c r="R803" s="116">
        <v>0</v>
      </c>
      <c r="S803" s="114">
        <v>0</v>
      </c>
      <c r="T803" s="116">
        <v>0</v>
      </c>
      <c r="U803" s="116">
        <v>0</v>
      </c>
      <c r="V803" s="121">
        <f t="shared" si="46"/>
        <v>0</v>
      </c>
      <c r="W803" s="111"/>
      <c r="X803" s="111"/>
      <c r="Y803" s="111"/>
      <c r="Z803" s="111"/>
      <c r="AA803" s="111"/>
      <c r="AB803" s="111"/>
      <c r="AC803" s="111"/>
      <c r="AD803" s="111"/>
      <c r="AE803" s="139">
        <f t="shared" si="45"/>
        <v>0</v>
      </c>
      <c r="AF803" s="109"/>
      <c r="AG803" s="109"/>
    </row>
    <row r="804" spans="1:33">
      <c r="A804" s="117"/>
      <c r="B804" s="118"/>
      <c r="C804" s="118"/>
      <c r="D804" s="118"/>
      <c r="E804" s="119"/>
      <c r="F804" s="118"/>
      <c r="G804" s="110"/>
      <c r="H804" s="126"/>
      <c r="I804" s="114">
        <v>0</v>
      </c>
      <c r="J804" s="115">
        <v>0</v>
      </c>
      <c r="K804" s="116">
        <v>0</v>
      </c>
      <c r="L804" s="116">
        <v>0</v>
      </c>
      <c r="M804" s="114">
        <v>0</v>
      </c>
      <c r="N804" s="113">
        <v>0</v>
      </c>
      <c r="O804" s="113">
        <v>0</v>
      </c>
      <c r="P804" s="116">
        <v>0</v>
      </c>
      <c r="Q804" s="116">
        <v>0</v>
      </c>
      <c r="R804" s="116">
        <v>0</v>
      </c>
      <c r="S804" s="114">
        <v>0</v>
      </c>
      <c r="T804" s="116">
        <v>0</v>
      </c>
      <c r="U804" s="116">
        <v>0</v>
      </c>
      <c r="V804" s="121">
        <f t="shared" si="46"/>
        <v>0</v>
      </c>
      <c r="W804" s="111"/>
      <c r="X804" s="111"/>
      <c r="Y804" s="111"/>
      <c r="Z804" s="111"/>
      <c r="AA804" s="111"/>
      <c r="AB804" s="111"/>
      <c r="AC804" s="111"/>
      <c r="AD804" s="111"/>
      <c r="AE804" s="139">
        <f t="shared" si="45"/>
        <v>0</v>
      </c>
      <c r="AF804" s="109"/>
      <c r="AG804" s="109"/>
    </row>
    <row r="805" spans="1:33">
      <c r="A805" s="117"/>
      <c r="B805" s="118"/>
      <c r="C805" s="118"/>
      <c r="D805" s="118"/>
      <c r="E805" s="119"/>
      <c r="F805" s="118"/>
      <c r="G805" s="110"/>
      <c r="H805" s="126"/>
      <c r="I805" s="114">
        <v>0</v>
      </c>
      <c r="J805" s="115">
        <v>0</v>
      </c>
      <c r="K805" s="116">
        <v>0</v>
      </c>
      <c r="L805" s="116">
        <v>0</v>
      </c>
      <c r="M805" s="114">
        <v>0</v>
      </c>
      <c r="N805" s="113">
        <v>0</v>
      </c>
      <c r="O805" s="113">
        <v>0</v>
      </c>
      <c r="P805" s="116">
        <v>0</v>
      </c>
      <c r="Q805" s="116">
        <v>0</v>
      </c>
      <c r="R805" s="116">
        <v>0</v>
      </c>
      <c r="S805" s="114">
        <v>0</v>
      </c>
      <c r="T805" s="116">
        <v>0</v>
      </c>
      <c r="U805" s="116">
        <v>0</v>
      </c>
      <c r="V805" s="121">
        <f t="shared" si="46"/>
        <v>0</v>
      </c>
      <c r="W805" s="111"/>
      <c r="X805" s="111"/>
      <c r="Y805" s="111"/>
      <c r="Z805" s="111"/>
      <c r="AA805" s="111"/>
      <c r="AB805" s="111"/>
      <c r="AC805" s="111"/>
      <c r="AD805" s="111"/>
      <c r="AE805" s="139">
        <f t="shared" si="45"/>
        <v>0</v>
      </c>
      <c r="AF805" s="109"/>
      <c r="AG805" s="109"/>
    </row>
    <row r="806" spans="1:33">
      <c r="A806" s="117"/>
      <c r="B806" s="118"/>
      <c r="C806" s="118"/>
      <c r="D806" s="118"/>
      <c r="E806" s="119"/>
      <c r="F806" s="118"/>
      <c r="G806" s="110"/>
      <c r="H806" s="126"/>
      <c r="I806" s="114">
        <v>0</v>
      </c>
      <c r="J806" s="115">
        <v>0</v>
      </c>
      <c r="K806" s="116">
        <v>0</v>
      </c>
      <c r="L806" s="116">
        <v>0</v>
      </c>
      <c r="M806" s="114">
        <v>0</v>
      </c>
      <c r="N806" s="113">
        <v>0</v>
      </c>
      <c r="O806" s="113">
        <v>0</v>
      </c>
      <c r="P806" s="116">
        <v>0</v>
      </c>
      <c r="Q806" s="116">
        <v>0</v>
      </c>
      <c r="R806" s="116">
        <v>0</v>
      </c>
      <c r="S806" s="114">
        <v>0</v>
      </c>
      <c r="T806" s="116">
        <v>0</v>
      </c>
      <c r="U806" s="116">
        <v>0</v>
      </c>
      <c r="V806" s="121">
        <f t="shared" si="46"/>
        <v>0</v>
      </c>
      <c r="W806" s="111"/>
      <c r="X806" s="111"/>
      <c r="Y806" s="111"/>
      <c r="Z806" s="111"/>
      <c r="AA806" s="111"/>
      <c r="AB806" s="111"/>
      <c r="AC806" s="111"/>
      <c r="AD806" s="111"/>
      <c r="AE806" s="139">
        <f t="shared" si="45"/>
        <v>0</v>
      </c>
      <c r="AF806" s="109"/>
      <c r="AG806" s="109"/>
    </row>
    <row r="807" spans="1:33">
      <c r="A807" s="117"/>
      <c r="B807" s="118"/>
      <c r="C807" s="118"/>
      <c r="D807" s="118"/>
      <c r="E807" s="119"/>
      <c r="F807" s="118"/>
      <c r="G807" s="110"/>
      <c r="H807" s="126"/>
      <c r="I807" s="114">
        <v>0</v>
      </c>
      <c r="J807" s="115">
        <v>0</v>
      </c>
      <c r="K807" s="116">
        <v>0</v>
      </c>
      <c r="L807" s="116">
        <v>0</v>
      </c>
      <c r="M807" s="114">
        <v>0</v>
      </c>
      <c r="N807" s="113">
        <v>0</v>
      </c>
      <c r="O807" s="113">
        <v>0</v>
      </c>
      <c r="P807" s="116">
        <v>0</v>
      </c>
      <c r="Q807" s="116">
        <v>0</v>
      </c>
      <c r="R807" s="116">
        <v>0</v>
      </c>
      <c r="S807" s="114">
        <v>0</v>
      </c>
      <c r="T807" s="116">
        <v>0</v>
      </c>
      <c r="U807" s="116">
        <v>0</v>
      </c>
      <c r="V807" s="121">
        <f t="shared" si="46"/>
        <v>0</v>
      </c>
      <c r="W807" s="111"/>
      <c r="X807" s="111"/>
      <c r="Y807" s="111"/>
      <c r="Z807" s="111"/>
      <c r="AA807" s="111"/>
      <c r="AB807" s="111"/>
      <c r="AC807" s="111"/>
      <c r="AD807" s="111"/>
      <c r="AE807" s="139">
        <f t="shared" si="45"/>
        <v>0</v>
      </c>
      <c r="AF807" s="109"/>
      <c r="AG807" s="109"/>
    </row>
    <row r="808" spans="1:33">
      <c r="A808" s="117"/>
      <c r="B808" s="118"/>
      <c r="C808" s="118"/>
      <c r="D808" s="118"/>
      <c r="E808" s="119"/>
      <c r="F808" s="118"/>
      <c r="G808" s="110"/>
      <c r="H808" s="126"/>
      <c r="I808" s="114">
        <v>0</v>
      </c>
      <c r="J808" s="115">
        <v>0</v>
      </c>
      <c r="K808" s="116">
        <v>0</v>
      </c>
      <c r="L808" s="116">
        <v>0</v>
      </c>
      <c r="M808" s="114">
        <v>0</v>
      </c>
      <c r="N808" s="113">
        <v>0</v>
      </c>
      <c r="O808" s="113">
        <v>0</v>
      </c>
      <c r="P808" s="116">
        <v>0</v>
      </c>
      <c r="Q808" s="116">
        <v>0</v>
      </c>
      <c r="R808" s="116">
        <v>0</v>
      </c>
      <c r="S808" s="114">
        <v>0</v>
      </c>
      <c r="T808" s="116">
        <v>0</v>
      </c>
      <c r="U808" s="116">
        <v>0</v>
      </c>
      <c r="V808" s="121">
        <f t="shared" si="46"/>
        <v>0</v>
      </c>
      <c r="W808" s="111"/>
      <c r="X808" s="111"/>
      <c r="Y808" s="111"/>
      <c r="Z808" s="111"/>
      <c r="AA808" s="111"/>
      <c r="AB808" s="111"/>
      <c r="AC808" s="111"/>
      <c r="AD808" s="111"/>
      <c r="AE808" s="139">
        <f t="shared" si="45"/>
        <v>0</v>
      </c>
      <c r="AF808" s="109"/>
      <c r="AG808" s="109"/>
    </row>
    <row r="809" spans="1:33">
      <c r="A809" s="117"/>
      <c r="B809" s="118"/>
      <c r="C809" s="118"/>
      <c r="D809" s="118"/>
      <c r="E809" s="119"/>
      <c r="F809" s="118"/>
      <c r="G809" s="110"/>
      <c r="H809" s="126"/>
      <c r="I809" s="114">
        <v>0</v>
      </c>
      <c r="J809" s="115">
        <v>0</v>
      </c>
      <c r="K809" s="116">
        <v>0</v>
      </c>
      <c r="L809" s="116">
        <v>0</v>
      </c>
      <c r="M809" s="114">
        <v>0</v>
      </c>
      <c r="N809" s="113">
        <v>0</v>
      </c>
      <c r="O809" s="113">
        <v>0</v>
      </c>
      <c r="P809" s="116">
        <v>0</v>
      </c>
      <c r="Q809" s="116">
        <v>0</v>
      </c>
      <c r="R809" s="116">
        <v>0</v>
      </c>
      <c r="S809" s="114">
        <v>0</v>
      </c>
      <c r="T809" s="116">
        <v>0</v>
      </c>
      <c r="U809" s="116">
        <v>0</v>
      </c>
      <c r="V809" s="121">
        <f t="shared" si="46"/>
        <v>0</v>
      </c>
      <c r="W809" s="111"/>
      <c r="X809" s="111"/>
      <c r="Y809" s="111"/>
      <c r="Z809" s="111"/>
      <c r="AA809" s="111"/>
      <c r="AB809" s="111"/>
      <c r="AC809" s="111"/>
      <c r="AD809" s="111"/>
      <c r="AE809" s="139">
        <f t="shared" ref="AE809:AE872" si="47">V809-(X809+Y809)</f>
        <v>0</v>
      </c>
      <c r="AF809" s="109"/>
      <c r="AG809" s="109"/>
    </row>
    <row r="810" spans="1:33">
      <c r="A810" s="117"/>
      <c r="B810" s="118"/>
      <c r="C810" s="118"/>
      <c r="D810" s="118"/>
      <c r="E810" s="119"/>
      <c r="F810" s="118"/>
      <c r="G810" s="110"/>
      <c r="H810" s="126"/>
      <c r="I810" s="114">
        <v>0</v>
      </c>
      <c r="J810" s="115">
        <v>0</v>
      </c>
      <c r="K810" s="116">
        <v>0</v>
      </c>
      <c r="L810" s="116">
        <v>0</v>
      </c>
      <c r="M810" s="114">
        <v>0</v>
      </c>
      <c r="N810" s="113">
        <v>0</v>
      </c>
      <c r="O810" s="113">
        <v>0</v>
      </c>
      <c r="P810" s="116">
        <v>0</v>
      </c>
      <c r="Q810" s="116">
        <v>0</v>
      </c>
      <c r="R810" s="116">
        <v>0</v>
      </c>
      <c r="S810" s="114">
        <v>0</v>
      </c>
      <c r="T810" s="116">
        <v>0</v>
      </c>
      <c r="U810" s="116">
        <v>0</v>
      </c>
      <c r="V810" s="121">
        <f t="shared" si="46"/>
        <v>0</v>
      </c>
      <c r="W810" s="111"/>
      <c r="X810" s="111"/>
      <c r="Y810" s="111"/>
      <c r="Z810" s="111"/>
      <c r="AA810" s="111"/>
      <c r="AB810" s="111"/>
      <c r="AC810" s="111"/>
      <c r="AD810" s="111"/>
      <c r="AE810" s="139">
        <f t="shared" si="47"/>
        <v>0</v>
      </c>
      <c r="AF810" s="109"/>
      <c r="AG810" s="109"/>
    </row>
    <row r="811" spans="1:33">
      <c r="A811" s="117"/>
      <c r="B811" s="118"/>
      <c r="C811" s="118"/>
      <c r="D811" s="118"/>
      <c r="E811" s="119"/>
      <c r="F811" s="118"/>
      <c r="G811" s="110"/>
      <c r="H811" s="126"/>
      <c r="I811" s="114">
        <v>0</v>
      </c>
      <c r="J811" s="115">
        <v>0</v>
      </c>
      <c r="K811" s="116">
        <v>0</v>
      </c>
      <c r="L811" s="116">
        <v>0</v>
      </c>
      <c r="M811" s="114">
        <v>0</v>
      </c>
      <c r="N811" s="113">
        <v>0</v>
      </c>
      <c r="O811" s="113">
        <v>0</v>
      </c>
      <c r="P811" s="116">
        <v>0</v>
      </c>
      <c r="Q811" s="116">
        <v>0</v>
      </c>
      <c r="R811" s="116">
        <v>0</v>
      </c>
      <c r="S811" s="114">
        <v>0</v>
      </c>
      <c r="T811" s="116">
        <v>0</v>
      </c>
      <c r="U811" s="116">
        <v>0</v>
      </c>
      <c r="V811" s="121">
        <f t="shared" si="46"/>
        <v>0</v>
      </c>
      <c r="W811" s="111"/>
      <c r="X811" s="111"/>
      <c r="Y811" s="111"/>
      <c r="Z811" s="111"/>
      <c r="AA811" s="111"/>
      <c r="AB811" s="111"/>
      <c r="AC811" s="111"/>
      <c r="AD811" s="111"/>
      <c r="AE811" s="139">
        <f t="shared" si="47"/>
        <v>0</v>
      </c>
      <c r="AF811" s="109"/>
      <c r="AG811" s="109"/>
    </row>
    <row r="812" spans="1:33">
      <c r="A812" s="117"/>
      <c r="B812" s="118"/>
      <c r="C812" s="118"/>
      <c r="D812" s="118"/>
      <c r="E812" s="119"/>
      <c r="F812" s="118"/>
      <c r="G812" s="110"/>
      <c r="H812" s="126"/>
      <c r="I812" s="114">
        <v>0</v>
      </c>
      <c r="J812" s="115">
        <v>0</v>
      </c>
      <c r="K812" s="116">
        <v>0</v>
      </c>
      <c r="L812" s="116">
        <v>0</v>
      </c>
      <c r="M812" s="114">
        <v>0</v>
      </c>
      <c r="N812" s="113">
        <v>0</v>
      </c>
      <c r="O812" s="113">
        <v>0</v>
      </c>
      <c r="P812" s="116">
        <v>0</v>
      </c>
      <c r="Q812" s="116">
        <v>0</v>
      </c>
      <c r="R812" s="116">
        <v>0</v>
      </c>
      <c r="S812" s="114">
        <v>0</v>
      </c>
      <c r="T812" s="116">
        <v>0</v>
      </c>
      <c r="U812" s="116">
        <v>0</v>
      </c>
      <c r="V812" s="121">
        <f t="shared" si="46"/>
        <v>0</v>
      </c>
      <c r="W812" s="111"/>
      <c r="X812" s="111"/>
      <c r="Y812" s="111"/>
      <c r="Z812" s="111"/>
      <c r="AA812" s="111"/>
      <c r="AB812" s="111"/>
      <c r="AC812" s="111"/>
      <c r="AD812" s="111"/>
      <c r="AE812" s="139">
        <f t="shared" si="47"/>
        <v>0</v>
      </c>
      <c r="AF812" s="109"/>
      <c r="AG812" s="109"/>
    </row>
    <row r="813" spans="1:33">
      <c r="A813" s="117"/>
      <c r="B813" s="118"/>
      <c r="C813" s="118"/>
      <c r="D813" s="118"/>
      <c r="E813" s="119"/>
      <c r="F813" s="118"/>
      <c r="G813" s="110"/>
      <c r="H813" s="126"/>
      <c r="I813" s="114">
        <v>0</v>
      </c>
      <c r="J813" s="115">
        <v>0</v>
      </c>
      <c r="K813" s="116">
        <v>0</v>
      </c>
      <c r="L813" s="116">
        <v>0</v>
      </c>
      <c r="M813" s="114">
        <v>0</v>
      </c>
      <c r="N813" s="113">
        <v>0</v>
      </c>
      <c r="O813" s="113">
        <v>0</v>
      </c>
      <c r="P813" s="116">
        <v>0</v>
      </c>
      <c r="Q813" s="116">
        <v>0</v>
      </c>
      <c r="R813" s="116">
        <v>0</v>
      </c>
      <c r="S813" s="114">
        <v>0</v>
      </c>
      <c r="T813" s="116">
        <v>0</v>
      </c>
      <c r="U813" s="116">
        <v>0</v>
      </c>
      <c r="V813" s="121">
        <f t="shared" si="46"/>
        <v>0</v>
      </c>
      <c r="W813" s="111"/>
      <c r="X813" s="111"/>
      <c r="Y813" s="111"/>
      <c r="Z813" s="111"/>
      <c r="AA813" s="111"/>
      <c r="AB813" s="111"/>
      <c r="AC813" s="111"/>
      <c r="AD813" s="111"/>
      <c r="AE813" s="139">
        <f t="shared" si="47"/>
        <v>0</v>
      </c>
      <c r="AF813" s="109"/>
      <c r="AG813" s="109"/>
    </row>
    <row r="814" spans="1:33">
      <c r="A814" s="117"/>
      <c r="B814" s="118"/>
      <c r="C814" s="118"/>
      <c r="D814" s="118"/>
      <c r="E814" s="119"/>
      <c r="F814" s="118"/>
      <c r="G814" s="110"/>
      <c r="H814" s="126"/>
      <c r="I814" s="114">
        <v>0</v>
      </c>
      <c r="J814" s="115">
        <v>0</v>
      </c>
      <c r="K814" s="116">
        <v>0</v>
      </c>
      <c r="L814" s="116">
        <v>0</v>
      </c>
      <c r="M814" s="114">
        <v>0</v>
      </c>
      <c r="N814" s="113">
        <v>0</v>
      </c>
      <c r="O814" s="113">
        <v>0</v>
      </c>
      <c r="P814" s="116">
        <v>0</v>
      </c>
      <c r="Q814" s="116">
        <v>0</v>
      </c>
      <c r="R814" s="116">
        <v>0</v>
      </c>
      <c r="S814" s="114">
        <v>0</v>
      </c>
      <c r="T814" s="116">
        <v>0</v>
      </c>
      <c r="U814" s="116">
        <v>0</v>
      </c>
      <c r="V814" s="121">
        <f t="shared" si="46"/>
        <v>0</v>
      </c>
      <c r="W814" s="111"/>
      <c r="X814" s="111"/>
      <c r="Y814" s="111"/>
      <c r="Z814" s="111"/>
      <c r="AA814" s="111"/>
      <c r="AB814" s="111"/>
      <c r="AC814" s="111"/>
      <c r="AD814" s="111"/>
      <c r="AE814" s="139">
        <f t="shared" si="47"/>
        <v>0</v>
      </c>
      <c r="AF814" s="109"/>
      <c r="AG814" s="109"/>
    </row>
    <row r="815" spans="1:33">
      <c r="A815" s="117"/>
      <c r="B815" s="118"/>
      <c r="C815" s="118"/>
      <c r="D815" s="118"/>
      <c r="E815" s="119"/>
      <c r="F815" s="118"/>
      <c r="G815" s="110"/>
      <c r="H815" s="126"/>
      <c r="I815" s="114">
        <v>0</v>
      </c>
      <c r="J815" s="115">
        <v>0</v>
      </c>
      <c r="K815" s="116">
        <v>0</v>
      </c>
      <c r="L815" s="116">
        <v>0</v>
      </c>
      <c r="M815" s="114">
        <v>0</v>
      </c>
      <c r="N815" s="113">
        <v>0</v>
      </c>
      <c r="O815" s="113">
        <v>0</v>
      </c>
      <c r="P815" s="116">
        <v>0</v>
      </c>
      <c r="Q815" s="116">
        <v>0</v>
      </c>
      <c r="R815" s="116">
        <v>0</v>
      </c>
      <c r="S815" s="114">
        <v>0</v>
      </c>
      <c r="T815" s="116">
        <v>0</v>
      </c>
      <c r="U815" s="116">
        <v>0</v>
      </c>
      <c r="V815" s="121">
        <f t="shared" si="46"/>
        <v>0</v>
      </c>
      <c r="W815" s="111"/>
      <c r="X815" s="111"/>
      <c r="Y815" s="111"/>
      <c r="Z815" s="111"/>
      <c r="AA815" s="111"/>
      <c r="AB815" s="111"/>
      <c r="AC815" s="111"/>
      <c r="AD815" s="111"/>
      <c r="AE815" s="139">
        <f t="shared" si="47"/>
        <v>0</v>
      </c>
      <c r="AF815" s="109"/>
      <c r="AG815" s="109"/>
    </row>
    <row r="816" spans="1:33">
      <c r="A816" s="117"/>
      <c r="B816" s="118"/>
      <c r="C816" s="118"/>
      <c r="D816" s="118"/>
      <c r="E816" s="119"/>
      <c r="F816" s="118"/>
      <c r="G816" s="110"/>
      <c r="H816" s="126"/>
      <c r="I816" s="114">
        <v>0</v>
      </c>
      <c r="J816" s="115">
        <v>0</v>
      </c>
      <c r="K816" s="116">
        <v>0</v>
      </c>
      <c r="L816" s="116">
        <v>0</v>
      </c>
      <c r="M816" s="114">
        <v>0</v>
      </c>
      <c r="N816" s="113">
        <v>0</v>
      </c>
      <c r="O816" s="113">
        <v>0</v>
      </c>
      <c r="P816" s="116">
        <v>0</v>
      </c>
      <c r="Q816" s="116">
        <v>0</v>
      </c>
      <c r="R816" s="116">
        <v>0</v>
      </c>
      <c r="S816" s="114">
        <v>0</v>
      </c>
      <c r="T816" s="116">
        <v>0</v>
      </c>
      <c r="U816" s="116">
        <v>0</v>
      </c>
      <c r="V816" s="121">
        <f t="shared" si="46"/>
        <v>0</v>
      </c>
      <c r="W816" s="111"/>
      <c r="X816" s="111"/>
      <c r="Y816" s="111"/>
      <c r="Z816" s="111"/>
      <c r="AA816" s="111"/>
      <c r="AB816" s="111"/>
      <c r="AC816" s="111"/>
      <c r="AD816" s="111"/>
      <c r="AE816" s="139">
        <f t="shared" si="47"/>
        <v>0</v>
      </c>
      <c r="AF816" s="109"/>
      <c r="AG816" s="109"/>
    </row>
    <row r="817" spans="1:33">
      <c r="A817" s="117"/>
      <c r="B817" s="118"/>
      <c r="C817" s="118"/>
      <c r="D817" s="118"/>
      <c r="E817" s="119"/>
      <c r="F817" s="118"/>
      <c r="G817" s="110"/>
      <c r="H817" s="126"/>
      <c r="I817" s="114">
        <v>0</v>
      </c>
      <c r="J817" s="115">
        <v>0</v>
      </c>
      <c r="K817" s="116">
        <v>0</v>
      </c>
      <c r="L817" s="116">
        <v>0</v>
      </c>
      <c r="M817" s="114">
        <v>0</v>
      </c>
      <c r="N817" s="113">
        <v>0</v>
      </c>
      <c r="O817" s="113">
        <v>0</v>
      </c>
      <c r="P817" s="116">
        <v>0</v>
      </c>
      <c r="Q817" s="116">
        <v>0</v>
      </c>
      <c r="R817" s="116">
        <v>0</v>
      </c>
      <c r="S817" s="114">
        <v>0</v>
      </c>
      <c r="T817" s="116">
        <v>0</v>
      </c>
      <c r="U817" s="116">
        <v>0</v>
      </c>
      <c r="V817" s="121">
        <f t="shared" ref="V817:V880" si="48">+G817-(SUM(I817:N817,P817:S817,U817))</f>
        <v>0</v>
      </c>
      <c r="W817" s="111"/>
      <c r="X817" s="111"/>
      <c r="Y817" s="111"/>
      <c r="Z817" s="111"/>
      <c r="AA817" s="111"/>
      <c r="AB817" s="111"/>
      <c r="AC817" s="111"/>
      <c r="AD817" s="111"/>
      <c r="AE817" s="139">
        <f t="shared" si="47"/>
        <v>0</v>
      </c>
      <c r="AF817" s="109"/>
      <c r="AG817" s="109"/>
    </row>
    <row r="818" spans="1:33">
      <c r="A818" s="117"/>
      <c r="B818" s="118"/>
      <c r="C818" s="118"/>
      <c r="D818" s="118"/>
      <c r="E818" s="119"/>
      <c r="F818" s="118"/>
      <c r="G818" s="110"/>
      <c r="H818" s="126"/>
      <c r="I818" s="114">
        <v>0</v>
      </c>
      <c r="J818" s="115">
        <v>0</v>
      </c>
      <c r="K818" s="116">
        <v>0</v>
      </c>
      <c r="L818" s="116">
        <v>0</v>
      </c>
      <c r="M818" s="114">
        <v>0</v>
      </c>
      <c r="N818" s="113">
        <v>0</v>
      </c>
      <c r="O818" s="113">
        <v>0</v>
      </c>
      <c r="P818" s="116">
        <v>0</v>
      </c>
      <c r="Q818" s="116">
        <v>0</v>
      </c>
      <c r="R818" s="116">
        <v>0</v>
      </c>
      <c r="S818" s="114">
        <v>0</v>
      </c>
      <c r="T818" s="116">
        <v>0</v>
      </c>
      <c r="U818" s="116">
        <v>0</v>
      </c>
      <c r="V818" s="121">
        <f t="shared" si="48"/>
        <v>0</v>
      </c>
      <c r="W818" s="111"/>
      <c r="X818" s="111"/>
      <c r="Y818" s="111"/>
      <c r="Z818" s="111"/>
      <c r="AA818" s="111"/>
      <c r="AB818" s="111"/>
      <c r="AC818" s="111"/>
      <c r="AD818" s="111"/>
      <c r="AE818" s="139">
        <f t="shared" si="47"/>
        <v>0</v>
      </c>
      <c r="AF818" s="109"/>
      <c r="AG818" s="109"/>
    </row>
    <row r="819" spans="1:33">
      <c r="A819" s="117"/>
      <c r="B819" s="118"/>
      <c r="C819" s="118"/>
      <c r="D819" s="118"/>
      <c r="E819" s="119"/>
      <c r="F819" s="118"/>
      <c r="G819" s="110"/>
      <c r="H819" s="126"/>
      <c r="I819" s="114">
        <v>0</v>
      </c>
      <c r="J819" s="115">
        <v>0</v>
      </c>
      <c r="K819" s="116">
        <v>0</v>
      </c>
      <c r="L819" s="116">
        <v>0</v>
      </c>
      <c r="M819" s="114">
        <v>0</v>
      </c>
      <c r="N819" s="113">
        <v>0</v>
      </c>
      <c r="O819" s="113">
        <v>0</v>
      </c>
      <c r="P819" s="116">
        <v>0</v>
      </c>
      <c r="Q819" s="116">
        <v>0</v>
      </c>
      <c r="R819" s="116">
        <v>0</v>
      </c>
      <c r="S819" s="114">
        <v>0</v>
      </c>
      <c r="T819" s="116">
        <v>0</v>
      </c>
      <c r="U819" s="116">
        <v>0</v>
      </c>
      <c r="V819" s="121">
        <f t="shared" si="48"/>
        <v>0</v>
      </c>
      <c r="W819" s="111"/>
      <c r="X819" s="111"/>
      <c r="Y819" s="111"/>
      <c r="Z819" s="111"/>
      <c r="AA819" s="111"/>
      <c r="AB819" s="111"/>
      <c r="AC819" s="111"/>
      <c r="AD819" s="111"/>
      <c r="AE819" s="139">
        <f t="shared" si="47"/>
        <v>0</v>
      </c>
      <c r="AF819" s="109"/>
      <c r="AG819" s="109"/>
    </row>
    <row r="820" spans="1:33">
      <c r="A820" s="117"/>
      <c r="B820" s="118"/>
      <c r="C820" s="118"/>
      <c r="D820" s="118"/>
      <c r="E820" s="119"/>
      <c r="F820" s="118"/>
      <c r="G820" s="110"/>
      <c r="H820" s="126"/>
      <c r="I820" s="114">
        <v>0</v>
      </c>
      <c r="J820" s="115">
        <v>0</v>
      </c>
      <c r="K820" s="116">
        <v>0</v>
      </c>
      <c r="L820" s="116">
        <v>0</v>
      </c>
      <c r="M820" s="114">
        <v>0</v>
      </c>
      <c r="N820" s="113">
        <v>0</v>
      </c>
      <c r="O820" s="113">
        <v>0</v>
      </c>
      <c r="P820" s="116">
        <v>0</v>
      </c>
      <c r="Q820" s="116">
        <v>0</v>
      </c>
      <c r="R820" s="116">
        <v>0</v>
      </c>
      <c r="S820" s="114">
        <v>0</v>
      </c>
      <c r="T820" s="116">
        <v>0</v>
      </c>
      <c r="U820" s="116">
        <v>0</v>
      </c>
      <c r="V820" s="121">
        <f t="shared" si="48"/>
        <v>0</v>
      </c>
      <c r="W820" s="111"/>
      <c r="X820" s="111"/>
      <c r="Y820" s="111"/>
      <c r="Z820" s="111"/>
      <c r="AA820" s="111"/>
      <c r="AB820" s="111"/>
      <c r="AC820" s="111"/>
      <c r="AD820" s="111"/>
      <c r="AE820" s="139">
        <f t="shared" si="47"/>
        <v>0</v>
      </c>
      <c r="AF820" s="109"/>
      <c r="AG820" s="109"/>
    </row>
    <row r="821" spans="1:33">
      <c r="A821" s="117"/>
      <c r="B821" s="118"/>
      <c r="C821" s="118"/>
      <c r="D821" s="118"/>
      <c r="E821" s="119"/>
      <c r="F821" s="118"/>
      <c r="G821" s="110"/>
      <c r="H821" s="126"/>
      <c r="I821" s="114">
        <v>0</v>
      </c>
      <c r="J821" s="115">
        <v>0</v>
      </c>
      <c r="K821" s="116">
        <v>0</v>
      </c>
      <c r="L821" s="116">
        <v>0</v>
      </c>
      <c r="M821" s="114">
        <v>0</v>
      </c>
      <c r="N821" s="113">
        <v>0</v>
      </c>
      <c r="O821" s="113">
        <v>0</v>
      </c>
      <c r="P821" s="116">
        <v>0</v>
      </c>
      <c r="Q821" s="116">
        <v>0</v>
      </c>
      <c r="R821" s="116">
        <v>0</v>
      </c>
      <c r="S821" s="114">
        <v>0</v>
      </c>
      <c r="T821" s="116">
        <v>0</v>
      </c>
      <c r="U821" s="116">
        <v>0</v>
      </c>
      <c r="V821" s="121">
        <f t="shared" si="48"/>
        <v>0</v>
      </c>
      <c r="W821" s="111"/>
      <c r="X821" s="111"/>
      <c r="Y821" s="111"/>
      <c r="Z821" s="111"/>
      <c r="AA821" s="111"/>
      <c r="AB821" s="111"/>
      <c r="AC821" s="111"/>
      <c r="AD821" s="111"/>
      <c r="AE821" s="139">
        <f t="shared" si="47"/>
        <v>0</v>
      </c>
      <c r="AF821" s="109"/>
      <c r="AG821" s="109"/>
    </row>
    <row r="822" spans="1:33">
      <c r="A822" s="117"/>
      <c r="B822" s="118"/>
      <c r="C822" s="118"/>
      <c r="D822" s="118"/>
      <c r="E822" s="119"/>
      <c r="F822" s="118"/>
      <c r="G822" s="110"/>
      <c r="H822" s="126"/>
      <c r="I822" s="114">
        <v>0</v>
      </c>
      <c r="J822" s="115">
        <v>0</v>
      </c>
      <c r="K822" s="116">
        <v>0</v>
      </c>
      <c r="L822" s="116">
        <v>0</v>
      </c>
      <c r="M822" s="114">
        <v>0</v>
      </c>
      <c r="N822" s="113">
        <v>0</v>
      </c>
      <c r="O822" s="113">
        <v>0</v>
      </c>
      <c r="P822" s="116">
        <v>0</v>
      </c>
      <c r="Q822" s="116">
        <v>0</v>
      </c>
      <c r="R822" s="116">
        <v>0</v>
      </c>
      <c r="S822" s="114">
        <v>0</v>
      </c>
      <c r="T822" s="116">
        <v>0</v>
      </c>
      <c r="U822" s="116">
        <v>0</v>
      </c>
      <c r="V822" s="121">
        <f t="shared" si="48"/>
        <v>0</v>
      </c>
      <c r="W822" s="111"/>
      <c r="X822" s="111"/>
      <c r="Y822" s="111"/>
      <c r="Z822" s="111"/>
      <c r="AA822" s="111"/>
      <c r="AB822" s="111"/>
      <c r="AC822" s="111"/>
      <c r="AD822" s="111"/>
      <c r="AE822" s="139">
        <f t="shared" si="47"/>
        <v>0</v>
      </c>
      <c r="AF822" s="109"/>
      <c r="AG822" s="109"/>
    </row>
    <row r="823" spans="1:33">
      <c r="A823" s="117"/>
      <c r="B823" s="118"/>
      <c r="C823" s="118"/>
      <c r="D823" s="118"/>
      <c r="E823" s="119"/>
      <c r="F823" s="118"/>
      <c r="G823" s="110"/>
      <c r="H823" s="126"/>
      <c r="I823" s="114">
        <v>0</v>
      </c>
      <c r="J823" s="115">
        <v>0</v>
      </c>
      <c r="K823" s="116">
        <v>0</v>
      </c>
      <c r="L823" s="116">
        <v>0</v>
      </c>
      <c r="M823" s="114">
        <v>0</v>
      </c>
      <c r="N823" s="113">
        <v>0</v>
      </c>
      <c r="O823" s="113">
        <v>0</v>
      </c>
      <c r="P823" s="116">
        <v>0</v>
      </c>
      <c r="Q823" s="116">
        <v>0</v>
      </c>
      <c r="R823" s="116">
        <v>0</v>
      </c>
      <c r="S823" s="114">
        <v>0</v>
      </c>
      <c r="T823" s="116">
        <v>0</v>
      </c>
      <c r="U823" s="116">
        <v>0</v>
      </c>
      <c r="V823" s="121">
        <f t="shared" si="48"/>
        <v>0</v>
      </c>
      <c r="W823" s="111"/>
      <c r="X823" s="111"/>
      <c r="Y823" s="111"/>
      <c r="Z823" s="111"/>
      <c r="AA823" s="111"/>
      <c r="AB823" s="111"/>
      <c r="AC823" s="111"/>
      <c r="AD823" s="111"/>
      <c r="AE823" s="139">
        <f t="shared" si="47"/>
        <v>0</v>
      </c>
      <c r="AF823" s="109"/>
      <c r="AG823" s="109"/>
    </row>
    <row r="824" spans="1:33">
      <c r="A824" s="117"/>
      <c r="B824" s="118"/>
      <c r="C824" s="118"/>
      <c r="D824" s="118"/>
      <c r="E824" s="119"/>
      <c r="F824" s="118"/>
      <c r="G824" s="110"/>
      <c r="H824" s="126"/>
      <c r="I824" s="114">
        <v>0</v>
      </c>
      <c r="J824" s="115">
        <v>0</v>
      </c>
      <c r="K824" s="116">
        <v>0</v>
      </c>
      <c r="L824" s="116">
        <v>0</v>
      </c>
      <c r="M824" s="114">
        <v>0</v>
      </c>
      <c r="N824" s="113">
        <v>0</v>
      </c>
      <c r="O824" s="113">
        <v>0</v>
      </c>
      <c r="P824" s="116">
        <v>0</v>
      </c>
      <c r="Q824" s="116">
        <v>0</v>
      </c>
      <c r="R824" s="116">
        <v>0</v>
      </c>
      <c r="S824" s="114">
        <v>0</v>
      </c>
      <c r="T824" s="116">
        <v>0</v>
      </c>
      <c r="U824" s="116">
        <v>0</v>
      </c>
      <c r="V824" s="121">
        <f t="shared" si="48"/>
        <v>0</v>
      </c>
      <c r="W824" s="111"/>
      <c r="X824" s="111"/>
      <c r="Y824" s="111"/>
      <c r="Z824" s="111"/>
      <c r="AA824" s="111"/>
      <c r="AB824" s="111"/>
      <c r="AC824" s="111"/>
      <c r="AD824" s="111"/>
      <c r="AE824" s="139">
        <f t="shared" si="47"/>
        <v>0</v>
      </c>
      <c r="AF824" s="109"/>
      <c r="AG824" s="109"/>
    </row>
    <row r="825" spans="1:33">
      <c r="A825" s="117"/>
      <c r="B825" s="118"/>
      <c r="C825" s="118"/>
      <c r="D825" s="118"/>
      <c r="E825" s="119"/>
      <c r="F825" s="118"/>
      <c r="G825" s="110"/>
      <c r="H825" s="126"/>
      <c r="I825" s="114">
        <v>0</v>
      </c>
      <c r="J825" s="115">
        <v>0</v>
      </c>
      <c r="K825" s="116">
        <v>0</v>
      </c>
      <c r="L825" s="116">
        <v>0</v>
      </c>
      <c r="M825" s="114">
        <v>0</v>
      </c>
      <c r="N825" s="113">
        <v>0</v>
      </c>
      <c r="O825" s="113">
        <v>0</v>
      </c>
      <c r="P825" s="116">
        <v>0</v>
      </c>
      <c r="Q825" s="116">
        <v>0</v>
      </c>
      <c r="R825" s="116">
        <v>0</v>
      </c>
      <c r="S825" s="114">
        <v>0</v>
      </c>
      <c r="T825" s="116">
        <v>0</v>
      </c>
      <c r="U825" s="116">
        <v>0</v>
      </c>
      <c r="V825" s="121">
        <f t="shared" si="48"/>
        <v>0</v>
      </c>
      <c r="W825" s="111"/>
      <c r="X825" s="111"/>
      <c r="Y825" s="111"/>
      <c r="Z825" s="111"/>
      <c r="AA825" s="111"/>
      <c r="AB825" s="111"/>
      <c r="AC825" s="111"/>
      <c r="AD825" s="111"/>
      <c r="AE825" s="139">
        <f t="shared" si="47"/>
        <v>0</v>
      </c>
      <c r="AF825" s="109"/>
      <c r="AG825" s="109"/>
    </row>
    <row r="826" spans="1:33">
      <c r="A826" s="117"/>
      <c r="B826" s="118"/>
      <c r="C826" s="118"/>
      <c r="D826" s="118"/>
      <c r="E826" s="119"/>
      <c r="F826" s="118"/>
      <c r="G826" s="110"/>
      <c r="H826" s="126"/>
      <c r="I826" s="114">
        <v>0</v>
      </c>
      <c r="J826" s="115">
        <v>0</v>
      </c>
      <c r="K826" s="116">
        <v>0</v>
      </c>
      <c r="L826" s="116">
        <v>0</v>
      </c>
      <c r="M826" s="114">
        <v>0</v>
      </c>
      <c r="N826" s="113">
        <v>0</v>
      </c>
      <c r="O826" s="113">
        <v>0</v>
      </c>
      <c r="P826" s="116">
        <v>0</v>
      </c>
      <c r="Q826" s="116">
        <v>0</v>
      </c>
      <c r="R826" s="116">
        <v>0</v>
      </c>
      <c r="S826" s="114">
        <v>0</v>
      </c>
      <c r="T826" s="116">
        <v>0</v>
      </c>
      <c r="U826" s="116">
        <v>0</v>
      </c>
      <c r="V826" s="121">
        <f t="shared" si="48"/>
        <v>0</v>
      </c>
      <c r="W826" s="111"/>
      <c r="X826" s="111"/>
      <c r="Y826" s="111"/>
      <c r="Z826" s="111"/>
      <c r="AA826" s="111"/>
      <c r="AB826" s="111"/>
      <c r="AC826" s="111"/>
      <c r="AD826" s="111"/>
      <c r="AE826" s="139">
        <f t="shared" si="47"/>
        <v>0</v>
      </c>
      <c r="AF826" s="109"/>
      <c r="AG826" s="109"/>
    </row>
    <row r="827" spans="1:33">
      <c r="A827" s="117"/>
      <c r="B827" s="118"/>
      <c r="C827" s="118"/>
      <c r="D827" s="118"/>
      <c r="E827" s="119"/>
      <c r="F827" s="118"/>
      <c r="G827" s="110"/>
      <c r="H827" s="126"/>
      <c r="I827" s="114">
        <v>0</v>
      </c>
      <c r="J827" s="115">
        <v>0</v>
      </c>
      <c r="K827" s="116">
        <v>0</v>
      </c>
      <c r="L827" s="116">
        <v>0</v>
      </c>
      <c r="M827" s="114">
        <v>0</v>
      </c>
      <c r="N827" s="113">
        <v>0</v>
      </c>
      <c r="O827" s="113">
        <v>0</v>
      </c>
      <c r="P827" s="116">
        <v>0</v>
      </c>
      <c r="Q827" s="116">
        <v>0</v>
      </c>
      <c r="R827" s="116">
        <v>0</v>
      </c>
      <c r="S827" s="114">
        <v>0</v>
      </c>
      <c r="T827" s="116">
        <v>0</v>
      </c>
      <c r="U827" s="116">
        <v>0</v>
      </c>
      <c r="V827" s="121">
        <f t="shared" si="48"/>
        <v>0</v>
      </c>
      <c r="W827" s="111"/>
      <c r="X827" s="111"/>
      <c r="Y827" s="111"/>
      <c r="Z827" s="111"/>
      <c r="AA827" s="111"/>
      <c r="AB827" s="111"/>
      <c r="AC827" s="111"/>
      <c r="AD827" s="111"/>
      <c r="AE827" s="139">
        <f t="shared" si="47"/>
        <v>0</v>
      </c>
      <c r="AF827" s="109"/>
      <c r="AG827" s="109"/>
    </row>
    <row r="828" spans="1:33">
      <c r="A828" s="117"/>
      <c r="B828" s="118"/>
      <c r="C828" s="118"/>
      <c r="D828" s="118"/>
      <c r="E828" s="119"/>
      <c r="F828" s="118"/>
      <c r="G828" s="110"/>
      <c r="H828" s="126"/>
      <c r="I828" s="114">
        <v>0</v>
      </c>
      <c r="J828" s="115">
        <v>0</v>
      </c>
      <c r="K828" s="116">
        <v>0</v>
      </c>
      <c r="L828" s="116">
        <v>0</v>
      </c>
      <c r="M828" s="114">
        <v>0</v>
      </c>
      <c r="N828" s="113">
        <v>0</v>
      </c>
      <c r="O828" s="113">
        <v>0</v>
      </c>
      <c r="P828" s="116">
        <v>0</v>
      </c>
      <c r="Q828" s="116">
        <v>0</v>
      </c>
      <c r="R828" s="116">
        <v>0</v>
      </c>
      <c r="S828" s="114">
        <v>0</v>
      </c>
      <c r="T828" s="116">
        <v>0</v>
      </c>
      <c r="U828" s="116">
        <v>0</v>
      </c>
      <c r="V828" s="121">
        <f t="shared" si="48"/>
        <v>0</v>
      </c>
      <c r="W828" s="111"/>
      <c r="X828" s="111"/>
      <c r="Y828" s="111"/>
      <c r="Z828" s="111"/>
      <c r="AA828" s="111"/>
      <c r="AB828" s="111"/>
      <c r="AC828" s="111"/>
      <c r="AD828" s="111"/>
      <c r="AE828" s="139">
        <f t="shared" si="47"/>
        <v>0</v>
      </c>
      <c r="AF828" s="109"/>
      <c r="AG828" s="109"/>
    </row>
    <row r="829" spans="1:33">
      <c r="A829" s="117"/>
      <c r="B829" s="118"/>
      <c r="C829" s="118"/>
      <c r="D829" s="118"/>
      <c r="E829" s="119"/>
      <c r="F829" s="118"/>
      <c r="G829" s="110"/>
      <c r="H829" s="126"/>
      <c r="I829" s="114">
        <v>0</v>
      </c>
      <c r="J829" s="115">
        <v>0</v>
      </c>
      <c r="K829" s="116">
        <v>0</v>
      </c>
      <c r="L829" s="116">
        <v>0</v>
      </c>
      <c r="M829" s="114">
        <v>0</v>
      </c>
      <c r="N829" s="113">
        <v>0</v>
      </c>
      <c r="O829" s="113">
        <v>0</v>
      </c>
      <c r="P829" s="116">
        <v>0</v>
      </c>
      <c r="Q829" s="116">
        <v>0</v>
      </c>
      <c r="R829" s="116">
        <v>0</v>
      </c>
      <c r="S829" s="114">
        <v>0</v>
      </c>
      <c r="T829" s="116">
        <v>0</v>
      </c>
      <c r="U829" s="116">
        <v>0</v>
      </c>
      <c r="V829" s="121">
        <f t="shared" si="48"/>
        <v>0</v>
      </c>
      <c r="W829" s="111"/>
      <c r="X829" s="111"/>
      <c r="Y829" s="111"/>
      <c r="Z829" s="111"/>
      <c r="AA829" s="111"/>
      <c r="AB829" s="111"/>
      <c r="AC829" s="111"/>
      <c r="AD829" s="111"/>
      <c r="AE829" s="139">
        <f t="shared" si="47"/>
        <v>0</v>
      </c>
      <c r="AF829" s="109"/>
      <c r="AG829" s="109"/>
    </row>
    <row r="830" spans="1:33">
      <c r="A830" s="117"/>
      <c r="B830" s="118"/>
      <c r="C830" s="118"/>
      <c r="D830" s="118"/>
      <c r="E830" s="119"/>
      <c r="F830" s="118"/>
      <c r="G830" s="110"/>
      <c r="H830" s="126"/>
      <c r="I830" s="114">
        <v>0</v>
      </c>
      <c r="J830" s="115">
        <v>0</v>
      </c>
      <c r="K830" s="116">
        <v>0</v>
      </c>
      <c r="L830" s="116">
        <v>0</v>
      </c>
      <c r="M830" s="114">
        <v>0</v>
      </c>
      <c r="N830" s="113">
        <v>0</v>
      </c>
      <c r="O830" s="113">
        <v>0</v>
      </c>
      <c r="P830" s="116">
        <v>0</v>
      </c>
      <c r="Q830" s="116">
        <v>0</v>
      </c>
      <c r="R830" s="116">
        <v>0</v>
      </c>
      <c r="S830" s="114">
        <v>0</v>
      </c>
      <c r="T830" s="116">
        <v>0</v>
      </c>
      <c r="U830" s="116">
        <v>0</v>
      </c>
      <c r="V830" s="121">
        <f t="shared" si="48"/>
        <v>0</v>
      </c>
      <c r="W830" s="111"/>
      <c r="X830" s="111"/>
      <c r="Y830" s="111"/>
      <c r="Z830" s="111"/>
      <c r="AA830" s="111"/>
      <c r="AB830" s="111"/>
      <c r="AC830" s="111"/>
      <c r="AD830" s="111"/>
      <c r="AE830" s="139">
        <f t="shared" si="47"/>
        <v>0</v>
      </c>
      <c r="AF830" s="109"/>
      <c r="AG830" s="109"/>
    </row>
    <row r="831" spans="1:33">
      <c r="A831" s="117"/>
      <c r="B831" s="118"/>
      <c r="C831" s="118"/>
      <c r="D831" s="118"/>
      <c r="E831" s="119"/>
      <c r="F831" s="118"/>
      <c r="G831" s="110"/>
      <c r="H831" s="126"/>
      <c r="I831" s="114">
        <v>0</v>
      </c>
      <c r="J831" s="115">
        <v>0</v>
      </c>
      <c r="K831" s="116">
        <v>0</v>
      </c>
      <c r="L831" s="116">
        <v>0</v>
      </c>
      <c r="M831" s="114">
        <v>0</v>
      </c>
      <c r="N831" s="113">
        <v>0</v>
      </c>
      <c r="O831" s="113">
        <v>0</v>
      </c>
      <c r="P831" s="116">
        <v>0</v>
      </c>
      <c r="Q831" s="116">
        <v>0</v>
      </c>
      <c r="R831" s="116">
        <v>0</v>
      </c>
      <c r="S831" s="114">
        <v>0</v>
      </c>
      <c r="T831" s="116">
        <v>0</v>
      </c>
      <c r="U831" s="116">
        <v>0</v>
      </c>
      <c r="V831" s="121">
        <f t="shared" si="48"/>
        <v>0</v>
      </c>
      <c r="W831" s="111"/>
      <c r="X831" s="111"/>
      <c r="Y831" s="111"/>
      <c r="Z831" s="111"/>
      <c r="AA831" s="111"/>
      <c r="AB831" s="111"/>
      <c r="AC831" s="111"/>
      <c r="AD831" s="111"/>
      <c r="AE831" s="139">
        <f t="shared" si="47"/>
        <v>0</v>
      </c>
      <c r="AF831" s="109"/>
      <c r="AG831" s="109"/>
    </row>
    <row r="832" spans="1:33">
      <c r="A832" s="117"/>
      <c r="B832" s="118"/>
      <c r="C832" s="118"/>
      <c r="D832" s="118"/>
      <c r="E832" s="119"/>
      <c r="F832" s="118"/>
      <c r="G832" s="110"/>
      <c r="H832" s="126"/>
      <c r="I832" s="114">
        <v>0</v>
      </c>
      <c r="J832" s="115">
        <v>0</v>
      </c>
      <c r="K832" s="116">
        <v>0</v>
      </c>
      <c r="L832" s="116">
        <v>0</v>
      </c>
      <c r="M832" s="114">
        <v>0</v>
      </c>
      <c r="N832" s="113">
        <v>0</v>
      </c>
      <c r="O832" s="113">
        <v>0</v>
      </c>
      <c r="P832" s="116">
        <v>0</v>
      </c>
      <c r="Q832" s="116">
        <v>0</v>
      </c>
      <c r="R832" s="116">
        <v>0</v>
      </c>
      <c r="S832" s="114">
        <v>0</v>
      </c>
      <c r="T832" s="116">
        <v>0</v>
      </c>
      <c r="U832" s="116">
        <v>0</v>
      </c>
      <c r="V832" s="121">
        <f t="shared" si="48"/>
        <v>0</v>
      </c>
      <c r="W832" s="111"/>
      <c r="X832" s="111"/>
      <c r="Y832" s="111"/>
      <c r="Z832" s="111"/>
      <c r="AA832" s="111"/>
      <c r="AB832" s="111"/>
      <c r="AC832" s="111"/>
      <c r="AD832" s="111"/>
      <c r="AE832" s="139">
        <f t="shared" si="47"/>
        <v>0</v>
      </c>
      <c r="AF832" s="109"/>
      <c r="AG832" s="109"/>
    </row>
    <row r="833" spans="1:33">
      <c r="A833" s="117"/>
      <c r="B833" s="118"/>
      <c r="C833" s="118"/>
      <c r="D833" s="118"/>
      <c r="E833" s="119"/>
      <c r="F833" s="118"/>
      <c r="G833" s="110"/>
      <c r="H833" s="126"/>
      <c r="I833" s="114">
        <v>0</v>
      </c>
      <c r="J833" s="115">
        <v>0</v>
      </c>
      <c r="K833" s="116">
        <v>0</v>
      </c>
      <c r="L833" s="116">
        <v>0</v>
      </c>
      <c r="M833" s="114">
        <v>0</v>
      </c>
      <c r="N833" s="113">
        <v>0</v>
      </c>
      <c r="O833" s="113">
        <v>0</v>
      </c>
      <c r="P833" s="116">
        <v>0</v>
      </c>
      <c r="Q833" s="116">
        <v>0</v>
      </c>
      <c r="R833" s="116">
        <v>0</v>
      </c>
      <c r="S833" s="114">
        <v>0</v>
      </c>
      <c r="T833" s="116">
        <v>0</v>
      </c>
      <c r="U833" s="116">
        <v>0</v>
      </c>
      <c r="V833" s="121">
        <f t="shared" si="48"/>
        <v>0</v>
      </c>
      <c r="W833" s="111"/>
      <c r="X833" s="111"/>
      <c r="Y833" s="111"/>
      <c r="Z833" s="111"/>
      <c r="AA833" s="111"/>
      <c r="AB833" s="111"/>
      <c r="AC833" s="111"/>
      <c r="AD833" s="111"/>
      <c r="AE833" s="139">
        <f t="shared" si="47"/>
        <v>0</v>
      </c>
      <c r="AF833" s="109"/>
      <c r="AG833" s="109"/>
    </row>
    <row r="834" spans="1:33">
      <c r="A834" s="117"/>
      <c r="B834" s="118"/>
      <c r="C834" s="118"/>
      <c r="D834" s="118"/>
      <c r="E834" s="119"/>
      <c r="F834" s="118"/>
      <c r="G834" s="110"/>
      <c r="H834" s="126"/>
      <c r="I834" s="114">
        <v>0</v>
      </c>
      <c r="J834" s="115">
        <v>0</v>
      </c>
      <c r="K834" s="116">
        <v>0</v>
      </c>
      <c r="L834" s="116">
        <v>0</v>
      </c>
      <c r="M834" s="114">
        <v>0</v>
      </c>
      <c r="N834" s="113">
        <v>0</v>
      </c>
      <c r="O834" s="113">
        <v>0</v>
      </c>
      <c r="P834" s="116">
        <v>0</v>
      </c>
      <c r="Q834" s="116">
        <v>0</v>
      </c>
      <c r="R834" s="116">
        <v>0</v>
      </c>
      <c r="S834" s="114">
        <v>0</v>
      </c>
      <c r="T834" s="116">
        <v>0</v>
      </c>
      <c r="U834" s="116">
        <v>0</v>
      </c>
      <c r="V834" s="121">
        <f t="shared" si="48"/>
        <v>0</v>
      </c>
      <c r="W834" s="111"/>
      <c r="X834" s="111"/>
      <c r="Y834" s="111"/>
      <c r="Z834" s="111"/>
      <c r="AA834" s="111"/>
      <c r="AB834" s="111"/>
      <c r="AC834" s="111"/>
      <c r="AD834" s="111"/>
      <c r="AE834" s="139">
        <f t="shared" si="47"/>
        <v>0</v>
      </c>
      <c r="AF834" s="109"/>
      <c r="AG834" s="109"/>
    </row>
    <row r="835" spans="1:33">
      <c r="A835" s="117"/>
      <c r="B835" s="118"/>
      <c r="C835" s="118"/>
      <c r="D835" s="118"/>
      <c r="E835" s="119"/>
      <c r="F835" s="118"/>
      <c r="G835" s="110"/>
      <c r="H835" s="126"/>
      <c r="I835" s="114">
        <v>0</v>
      </c>
      <c r="J835" s="115">
        <v>0</v>
      </c>
      <c r="K835" s="116">
        <v>0</v>
      </c>
      <c r="L835" s="116">
        <v>0</v>
      </c>
      <c r="M835" s="114">
        <v>0</v>
      </c>
      <c r="N835" s="113">
        <v>0</v>
      </c>
      <c r="O835" s="113">
        <v>0</v>
      </c>
      <c r="P835" s="116">
        <v>0</v>
      </c>
      <c r="Q835" s="116">
        <v>0</v>
      </c>
      <c r="R835" s="116">
        <v>0</v>
      </c>
      <c r="S835" s="114">
        <v>0</v>
      </c>
      <c r="T835" s="116">
        <v>0</v>
      </c>
      <c r="U835" s="116">
        <v>0</v>
      </c>
      <c r="V835" s="121">
        <f t="shared" si="48"/>
        <v>0</v>
      </c>
      <c r="W835" s="111"/>
      <c r="X835" s="111"/>
      <c r="Y835" s="111"/>
      <c r="Z835" s="111"/>
      <c r="AA835" s="111"/>
      <c r="AB835" s="111"/>
      <c r="AC835" s="111"/>
      <c r="AD835" s="111"/>
      <c r="AE835" s="139">
        <f t="shared" si="47"/>
        <v>0</v>
      </c>
      <c r="AF835" s="109"/>
      <c r="AG835" s="109"/>
    </row>
    <row r="836" spans="1:33">
      <c r="A836" s="117"/>
      <c r="B836" s="118"/>
      <c r="C836" s="118"/>
      <c r="D836" s="118"/>
      <c r="E836" s="119"/>
      <c r="F836" s="118"/>
      <c r="G836" s="110"/>
      <c r="H836" s="126"/>
      <c r="I836" s="114">
        <v>0</v>
      </c>
      <c r="J836" s="115">
        <v>0</v>
      </c>
      <c r="K836" s="116">
        <v>0</v>
      </c>
      <c r="L836" s="116">
        <v>0</v>
      </c>
      <c r="M836" s="114">
        <v>0</v>
      </c>
      <c r="N836" s="113">
        <v>0</v>
      </c>
      <c r="O836" s="113">
        <v>0</v>
      </c>
      <c r="P836" s="116">
        <v>0</v>
      </c>
      <c r="Q836" s="116">
        <v>0</v>
      </c>
      <c r="R836" s="116">
        <v>0</v>
      </c>
      <c r="S836" s="114">
        <v>0</v>
      </c>
      <c r="T836" s="116">
        <v>0</v>
      </c>
      <c r="U836" s="116">
        <v>0</v>
      </c>
      <c r="V836" s="121">
        <f t="shared" si="48"/>
        <v>0</v>
      </c>
      <c r="W836" s="111"/>
      <c r="X836" s="111"/>
      <c r="Y836" s="111"/>
      <c r="Z836" s="111"/>
      <c r="AA836" s="111"/>
      <c r="AB836" s="111"/>
      <c r="AC836" s="111"/>
      <c r="AD836" s="111"/>
      <c r="AE836" s="139">
        <f t="shared" si="47"/>
        <v>0</v>
      </c>
      <c r="AF836" s="109"/>
      <c r="AG836" s="109"/>
    </row>
    <row r="837" spans="1:33">
      <c r="A837" s="117"/>
      <c r="B837" s="118"/>
      <c r="C837" s="118"/>
      <c r="D837" s="118"/>
      <c r="E837" s="119"/>
      <c r="F837" s="118"/>
      <c r="G837" s="110"/>
      <c r="H837" s="126"/>
      <c r="I837" s="114">
        <v>0</v>
      </c>
      <c r="J837" s="115">
        <v>0</v>
      </c>
      <c r="K837" s="116">
        <v>0</v>
      </c>
      <c r="L837" s="116">
        <v>0</v>
      </c>
      <c r="M837" s="114">
        <v>0</v>
      </c>
      <c r="N837" s="113">
        <v>0</v>
      </c>
      <c r="O837" s="113">
        <v>0</v>
      </c>
      <c r="P837" s="116">
        <v>0</v>
      </c>
      <c r="Q837" s="116">
        <v>0</v>
      </c>
      <c r="R837" s="116">
        <v>0</v>
      </c>
      <c r="S837" s="114">
        <v>0</v>
      </c>
      <c r="T837" s="116">
        <v>0</v>
      </c>
      <c r="U837" s="116">
        <v>0</v>
      </c>
      <c r="V837" s="121">
        <f t="shared" si="48"/>
        <v>0</v>
      </c>
      <c r="W837" s="111"/>
      <c r="X837" s="111"/>
      <c r="Y837" s="111"/>
      <c r="Z837" s="111"/>
      <c r="AA837" s="111"/>
      <c r="AB837" s="111"/>
      <c r="AC837" s="111"/>
      <c r="AD837" s="111"/>
      <c r="AE837" s="139">
        <f t="shared" si="47"/>
        <v>0</v>
      </c>
      <c r="AF837" s="109"/>
      <c r="AG837" s="109"/>
    </row>
    <row r="838" spans="1:33">
      <c r="A838" s="117"/>
      <c r="B838" s="118"/>
      <c r="C838" s="118"/>
      <c r="D838" s="118"/>
      <c r="E838" s="119"/>
      <c r="F838" s="118"/>
      <c r="G838" s="110"/>
      <c r="H838" s="126"/>
      <c r="I838" s="114">
        <v>0</v>
      </c>
      <c r="J838" s="115">
        <v>0</v>
      </c>
      <c r="K838" s="116">
        <v>0</v>
      </c>
      <c r="L838" s="116">
        <v>0</v>
      </c>
      <c r="M838" s="114">
        <v>0</v>
      </c>
      <c r="N838" s="113">
        <v>0</v>
      </c>
      <c r="O838" s="113">
        <v>0</v>
      </c>
      <c r="P838" s="116">
        <v>0</v>
      </c>
      <c r="Q838" s="116">
        <v>0</v>
      </c>
      <c r="R838" s="116">
        <v>0</v>
      </c>
      <c r="S838" s="114">
        <v>0</v>
      </c>
      <c r="T838" s="116">
        <v>0</v>
      </c>
      <c r="U838" s="116">
        <v>0</v>
      </c>
      <c r="V838" s="121">
        <f t="shared" si="48"/>
        <v>0</v>
      </c>
      <c r="W838" s="111"/>
      <c r="X838" s="111"/>
      <c r="Y838" s="111"/>
      <c r="Z838" s="111"/>
      <c r="AA838" s="111"/>
      <c r="AB838" s="111"/>
      <c r="AC838" s="111"/>
      <c r="AD838" s="111"/>
      <c r="AE838" s="139">
        <f t="shared" si="47"/>
        <v>0</v>
      </c>
      <c r="AF838" s="109"/>
      <c r="AG838" s="109"/>
    </row>
    <row r="839" spans="1:33">
      <c r="A839" s="117"/>
      <c r="B839" s="118"/>
      <c r="C839" s="118"/>
      <c r="D839" s="118"/>
      <c r="E839" s="119"/>
      <c r="F839" s="118"/>
      <c r="G839" s="110"/>
      <c r="H839" s="126"/>
      <c r="I839" s="114">
        <v>0</v>
      </c>
      <c r="J839" s="115">
        <v>0</v>
      </c>
      <c r="K839" s="116">
        <v>0</v>
      </c>
      <c r="L839" s="116">
        <v>0</v>
      </c>
      <c r="M839" s="114">
        <v>0</v>
      </c>
      <c r="N839" s="113">
        <v>0</v>
      </c>
      <c r="O839" s="113">
        <v>0</v>
      </c>
      <c r="P839" s="116">
        <v>0</v>
      </c>
      <c r="Q839" s="116">
        <v>0</v>
      </c>
      <c r="R839" s="116">
        <v>0</v>
      </c>
      <c r="S839" s="114">
        <v>0</v>
      </c>
      <c r="T839" s="116">
        <v>0</v>
      </c>
      <c r="U839" s="116">
        <v>0</v>
      </c>
      <c r="V839" s="121">
        <f t="shared" si="48"/>
        <v>0</v>
      </c>
      <c r="W839" s="111"/>
      <c r="X839" s="111"/>
      <c r="Y839" s="111"/>
      <c r="Z839" s="111"/>
      <c r="AA839" s="111"/>
      <c r="AB839" s="111"/>
      <c r="AC839" s="111"/>
      <c r="AD839" s="111"/>
      <c r="AE839" s="139">
        <f t="shared" si="47"/>
        <v>0</v>
      </c>
      <c r="AF839" s="109"/>
      <c r="AG839" s="109"/>
    </row>
    <row r="840" spans="1:33">
      <c r="A840" s="117"/>
      <c r="B840" s="118"/>
      <c r="C840" s="118"/>
      <c r="D840" s="118"/>
      <c r="E840" s="119"/>
      <c r="F840" s="118"/>
      <c r="G840" s="110"/>
      <c r="H840" s="126"/>
      <c r="I840" s="114">
        <v>0</v>
      </c>
      <c r="J840" s="115">
        <v>0</v>
      </c>
      <c r="K840" s="116">
        <v>0</v>
      </c>
      <c r="L840" s="116">
        <v>0</v>
      </c>
      <c r="M840" s="114">
        <v>0</v>
      </c>
      <c r="N840" s="113">
        <v>0</v>
      </c>
      <c r="O840" s="113">
        <v>0</v>
      </c>
      <c r="P840" s="116">
        <v>0</v>
      </c>
      <c r="Q840" s="116">
        <v>0</v>
      </c>
      <c r="R840" s="116">
        <v>0</v>
      </c>
      <c r="S840" s="114">
        <v>0</v>
      </c>
      <c r="T840" s="116">
        <v>0</v>
      </c>
      <c r="U840" s="116">
        <v>0</v>
      </c>
      <c r="V840" s="121">
        <f t="shared" si="48"/>
        <v>0</v>
      </c>
      <c r="W840" s="111"/>
      <c r="X840" s="111"/>
      <c r="Y840" s="111"/>
      <c r="Z840" s="111"/>
      <c r="AA840" s="111"/>
      <c r="AB840" s="111"/>
      <c r="AC840" s="111"/>
      <c r="AD840" s="111"/>
      <c r="AE840" s="139">
        <f t="shared" si="47"/>
        <v>0</v>
      </c>
      <c r="AF840" s="109"/>
      <c r="AG840" s="109"/>
    </row>
    <row r="841" spans="1:33">
      <c r="A841" s="117"/>
      <c r="B841" s="118"/>
      <c r="C841" s="118"/>
      <c r="D841" s="118"/>
      <c r="E841" s="119"/>
      <c r="F841" s="118"/>
      <c r="G841" s="110"/>
      <c r="H841" s="126"/>
      <c r="I841" s="114">
        <v>0</v>
      </c>
      <c r="J841" s="115">
        <v>0</v>
      </c>
      <c r="K841" s="116">
        <v>0</v>
      </c>
      <c r="L841" s="116">
        <v>0</v>
      </c>
      <c r="M841" s="114">
        <v>0</v>
      </c>
      <c r="N841" s="113">
        <v>0</v>
      </c>
      <c r="O841" s="113">
        <v>0</v>
      </c>
      <c r="P841" s="116">
        <v>0</v>
      </c>
      <c r="Q841" s="116">
        <v>0</v>
      </c>
      <c r="R841" s="116">
        <v>0</v>
      </c>
      <c r="S841" s="114">
        <v>0</v>
      </c>
      <c r="T841" s="116">
        <v>0</v>
      </c>
      <c r="U841" s="116">
        <v>0</v>
      </c>
      <c r="V841" s="121">
        <f t="shared" si="48"/>
        <v>0</v>
      </c>
      <c r="W841" s="111"/>
      <c r="X841" s="111"/>
      <c r="Y841" s="111"/>
      <c r="Z841" s="111"/>
      <c r="AA841" s="111"/>
      <c r="AB841" s="111"/>
      <c r="AC841" s="111"/>
      <c r="AD841" s="111"/>
      <c r="AE841" s="139">
        <f t="shared" si="47"/>
        <v>0</v>
      </c>
      <c r="AF841" s="109"/>
      <c r="AG841" s="109"/>
    </row>
    <row r="842" spans="1:33">
      <c r="A842" s="117"/>
      <c r="B842" s="118"/>
      <c r="C842" s="118"/>
      <c r="D842" s="118"/>
      <c r="E842" s="119"/>
      <c r="F842" s="118"/>
      <c r="G842" s="110"/>
      <c r="H842" s="126"/>
      <c r="I842" s="114">
        <v>0</v>
      </c>
      <c r="J842" s="115">
        <v>0</v>
      </c>
      <c r="K842" s="116">
        <v>0</v>
      </c>
      <c r="L842" s="116">
        <v>0</v>
      </c>
      <c r="M842" s="114">
        <v>0</v>
      </c>
      <c r="N842" s="113">
        <v>0</v>
      </c>
      <c r="O842" s="113">
        <v>0</v>
      </c>
      <c r="P842" s="116">
        <v>0</v>
      </c>
      <c r="Q842" s="116">
        <v>0</v>
      </c>
      <c r="R842" s="116">
        <v>0</v>
      </c>
      <c r="S842" s="114">
        <v>0</v>
      </c>
      <c r="T842" s="116">
        <v>0</v>
      </c>
      <c r="U842" s="116">
        <v>0</v>
      </c>
      <c r="V842" s="121">
        <f t="shared" si="48"/>
        <v>0</v>
      </c>
      <c r="W842" s="111"/>
      <c r="X842" s="111"/>
      <c r="Y842" s="111"/>
      <c r="Z842" s="111"/>
      <c r="AA842" s="111"/>
      <c r="AB842" s="111"/>
      <c r="AC842" s="111"/>
      <c r="AD842" s="111"/>
      <c r="AE842" s="139">
        <f t="shared" si="47"/>
        <v>0</v>
      </c>
      <c r="AF842" s="109"/>
      <c r="AG842" s="109"/>
    </row>
    <row r="843" spans="1:33">
      <c r="A843" s="117"/>
      <c r="B843" s="118"/>
      <c r="C843" s="118"/>
      <c r="D843" s="118"/>
      <c r="E843" s="119"/>
      <c r="F843" s="118"/>
      <c r="G843" s="110"/>
      <c r="H843" s="126"/>
      <c r="I843" s="114">
        <v>0</v>
      </c>
      <c r="J843" s="115">
        <v>0</v>
      </c>
      <c r="K843" s="116">
        <v>0</v>
      </c>
      <c r="L843" s="116">
        <v>0</v>
      </c>
      <c r="M843" s="114">
        <v>0</v>
      </c>
      <c r="N843" s="113">
        <v>0</v>
      </c>
      <c r="O843" s="113">
        <v>0</v>
      </c>
      <c r="P843" s="116">
        <v>0</v>
      </c>
      <c r="Q843" s="116">
        <v>0</v>
      </c>
      <c r="R843" s="116">
        <v>0</v>
      </c>
      <c r="S843" s="114">
        <v>0</v>
      </c>
      <c r="T843" s="116">
        <v>0</v>
      </c>
      <c r="U843" s="116">
        <v>0</v>
      </c>
      <c r="V843" s="121">
        <f t="shared" si="48"/>
        <v>0</v>
      </c>
      <c r="W843" s="111"/>
      <c r="X843" s="111"/>
      <c r="Y843" s="111"/>
      <c r="Z843" s="111"/>
      <c r="AA843" s="111"/>
      <c r="AB843" s="111"/>
      <c r="AC843" s="111"/>
      <c r="AD843" s="111"/>
      <c r="AE843" s="139">
        <f t="shared" si="47"/>
        <v>0</v>
      </c>
      <c r="AF843" s="109"/>
      <c r="AG843" s="109"/>
    </row>
    <row r="844" spans="1:33">
      <c r="A844" s="117"/>
      <c r="B844" s="118"/>
      <c r="C844" s="118"/>
      <c r="D844" s="118"/>
      <c r="E844" s="119"/>
      <c r="F844" s="118"/>
      <c r="G844" s="110"/>
      <c r="H844" s="126"/>
      <c r="I844" s="114">
        <v>0</v>
      </c>
      <c r="J844" s="115">
        <v>0</v>
      </c>
      <c r="K844" s="116">
        <v>0</v>
      </c>
      <c r="L844" s="116">
        <v>0</v>
      </c>
      <c r="M844" s="114">
        <v>0</v>
      </c>
      <c r="N844" s="113">
        <v>0</v>
      </c>
      <c r="O844" s="113">
        <v>0</v>
      </c>
      <c r="P844" s="116">
        <v>0</v>
      </c>
      <c r="Q844" s="116">
        <v>0</v>
      </c>
      <c r="R844" s="116">
        <v>0</v>
      </c>
      <c r="S844" s="114">
        <v>0</v>
      </c>
      <c r="T844" s="116">
        <v>0</v>
      </c>
      <c r="U844" s="116">
        <v>0</v>
      </c>
      <c r="V844" s="121">
        <f t="shared" si="48"/>
        <v>0</v>
      </c>
      <c r="W844" s="111"/>
      <c r="X844" s="111"/>
      <c r="Y844" s="111"/>
      <c r="Z844" s="111"/>
      <c r="AA844" s="111"/>
      <c r="AB844" s="111"/>
      <c r="AC844" s="111"/>
      <c r="AD844" s="111"/>
      <c r="AE844" s="139">
        <f t="shared" si="47"/>
        <v>0</v>
      </c>
      <c r="AF844" s="109"/>
      <c r="AG844" s="109"/>
    </row>
    <row r="845" spans="1:33">
      <c r="A845" s="117"/>
      <c r="B845" s="118"/>
      <c r="C845" s="118"/>
      <c r="D845" s="118"/>
      <c r="E845" s="119"/>
      <c r="F845" s="118"/>
      <c r="G845" s="110"/>
      <c r="H845" s="126"/>
      <c r="I845" s="114">
        <v>0</v>
      </c>
      <c r="J845" s="115">
        <v>0</v>
      </c>
      <c r="K845" s="116">
        <v>0</v>
      </c>
      <c r="L845" s="116">
        <v>0</v>
      </c>
      <c r="M845" s="114">
        <v>0</v>
      </c>
      <c r="N845" s="113">
        <v>0</v>
      </c>
      <c r="O845" s="113">
        <v>0</v>
      </c>
      <c r="P845" s="116">
        <v>0</v>
      </c>
      <c r="Q845" s="116">
        <v>0</v>
      </c>
      <c r="R845" s="116">
        <v>0</v>
      </c>
      <c r="S845" s="114">
        <v>0</v>
      </c>
      <c r="T845" s="116">
        <v>0</v>
      </c>
      <c r="U845" s="116">
        <v>0</v>
      </c>
      <c r="V845" s="121">
        <f t="shared" si="48"/>
        <v>0</v>
      </c>
      <c r="W845" s="111"/>
      <c r="X845" s="111"/>
      <c r="Y845" s="111"/>
      <c r="Z845" s="111"/>
      <c r="AA845" s="111"/>
      <c r="AB845" s="111"/>
      <c r="AC845" s="111"/>
      <c r="AD845" s="111"/>
      <c r="AE845" s="139">
        <f t="shared" si="47"/>
        <v>0</v>
      </c>
      <c r="AF845" s="109"/>
      <c r="AG845" s="109"/>
    </row>
    <row r="846" spans="1:33">
      <c r="A846" s="117"/>
      <c r="B846" s="118"/>
      <c r="C846" s="118"/>
      <c r="D846" s="118"/>
      <c r="E846" s="119"/>
      <c r="F846" s="118"/>
      <c r="G846" s="110"/>
      <c r="H846" s="126"/>
      <c r="I846" s="114">
        <v>0</v>
      </c>
      <c r="J846" s="115">
        <v>0</v>
      </c>
      <c r="K846" s="116">
        <v>0</v>
      </c>
      <c r="L846" s="116">
        <v>0</v>
      </c>
      <c r="M846" s="114">
        <v>0</v>
      </c>
      <c r="N846" s="113">
        <v>0</v>
      </c>
      <c r="O846" s="113">
        <v>0</v>
      </c>
      <c r="P846" s="116">
        <v>0</v>
      </c>
      <c r="Q846" s="116">
        <v>0</v>
      </c>
      <c r="R846" s="116">
        <v>0</v>
      </c>
      <c r="S846" s="114">
        <v>0</v>
      </c>
      <c r="T846" s="116">
        <v>0</v>
      </c>
      <c r="U846" s="116">
        <v>0</v>
      </c>
      <c r="V846" s="121">
        <f t="shared" si="48"/>
        <v>0</v>
      </c>
      <c r="W846" s="111"/>
      <c r="X846" s="111"/>
      <c r="Y846" s="111"/>
      <c r="Z846" s="111"/>
      <c r="AA846" s="111"/>
      <c r="AB846" s="111"/>
      <c r="AC846" s="111"/>
      <c r="AD846" s="111"/>
      <c r="AE846" s="139">
        <f t="shared" si="47"/>
        <v>0</v>
      </c>
      <c r="AF846" s="109"/>
      <c r="AG846" s="109"/>
    </row>
    <row r="847" spans="1:33">
      <c r="A847" s="117"/>
      <c r="B847" s="118"/>
      <c r="C847" s="118"/>
      <c r="D847" s="118"/>
      <c r="E847" s="119"/>
      <c r="F847" s="118"/>
      <c r="G847" s="110"/>
      <c r="H847" s="126"/>
      <c r="I847" s="114">
        <v>0</v>
      </c>
      <c r="J847" s="115">
        <v>0</v>
      </c>
      <c r="K847" s="116">
        <v>0</v>
      </c>
      <c r="L847" s="116">
        <v>0</v>
      </c>
      <c r="M847" s="114">
        <v>0</v>
      </c>
      <c r="N847" s="113">
        <v>0</v>
      </c>
      <c r="O847" s="113">
        <v>0</v>
      </c>
      <c r="P847" s="116">
        <v>0</v>
      </c>
      <c r="Q847" s="116">
        <v>0</v>
      </c>
      <c r="R847" s="116">
        <v>0</v>
      </c>
      <c r="S847" s="114">
        <v>0</v>
      </c>
      <c r="T847" s="116">
        <v>0</v>
      </c>
      <c r="U847" s="116">
        <v>0</v>
      </c>
      <c r="V847" s="121">
        <f t="shared" si="48"/>
        <v>0</v>
      </c>
      <c r="W847" s="111"/>
      <c r="X847" s="111"/>
      <c r="Y847" s="111"/>
      <c r="Z847" s="111"/>
      <c r="AA847" s="111"/>
      <c r="AB847" s="111"/>
      <c r="AC847" s="111"/>
      <c r="AD847" s="111"/>
      <c r="AE847" s="139">
        <f t="shared" si="47"/>
        <v>0</v>
      </c>
      <c r="AF847" s="109"/>
      <c r="AG847" s="109"/>
    </row>
    <row r="848" spans="1:33">
      <c r="A848" s="117"/>
      <c r="B848" s="118"/>
      <c r="C848" s="118"/>
      <c r="D848" s="118"/>
      <c r="E848" s="119"/>
      <c r="F848" s="118"/>
      <c r="G848" s="110"/>
      <c r="H848" s="126"/>
      <c r="I848" s="114">
        <v>0</v>
      </c>
      <c r="J848" s="115">
        <v>0</v>
      </c>
      <c r="K848" s="116">
        <v>0</v>
      </c>
      <c r="L848" s="116">
        <v>0</v>
      </c>
      <c r="M848" s="114">
        <v>0</v>
      </c>
      <c r="N848" s="113">
        <v>0</v>
      </c>
      <c r="O848" s="113">
        <v>0</v>
      </c>
      <c r="P848" s="116">
        <v>0</v>
      </c>
      <c r="Q848" s="116">
        <v>0</v>
      </c>
      <c r="R848" s="116">
        <v>0</v>
      </c>
      <c r="S848" s="114">
        <v>0</v>
      </c>
      <c r="T848" s="116">
        <v>0</v>
      </c>
      <c r="U848" s="116">
        <v>0</v>
      </c>
      <c r="V848" s="121">
        <f t="shared" si="48"/>
        <v>0</v>
      </c>
      <c r="W848" s="111"/>
      <c r="X848" s="111"/>
      <c r="Y848" s="111"/>
      <c r="Z848" s="111"/>
      <c r="AA848" s="111"/>
      <c r="AB848" s="111"/>
      <c r="AC848" s="111"/>
      <c r="AD848" s="111"/>
      <c r="AE848" s="139">
        <f t="shared" si="47"/>
        <v>0</v>
      </c>
      <c r="AF848" s="109"/>
      <c r="AG848" s="109"/>
    </row>
    <row r="849" spans="1:33">
      <c r="A849" s="117"/>
      <c r="B849" s="118"/>
      <c r="C849" s="118"/>
      <c r="D849" s="118"/>
      <c r="E849" s="119"/>
      <c r="F849" s="118"/>
      <c r="G849" s="110"/>
      <c r="H849" s="126"/>
      <c r="I849" s="114">
        <v>0</v>
      </c>
      <c r="J849" s="115">
        <v>0</v>
      </c>
      <c r="K849" s="116">
        <v>0</v>
      </c>
      <c r="L849" s="116">
        <v>0</v>
      </c>
      <c r="M849" s="114">
        <v>0</v>
      </c>
      <c r="N849" s="113">
        <v>0</v>
      </c>
      <c r="O849" s="113">
        <v>0</v>
      </c>
      <c r="P849" s="116">
        <v>0</v>
      </c>
      <c r="Q849" s="116">
        <v>0</v>
      </c>
      <c r="R849" s="116">
        <v>0</v>
      </c>
      <c r="S849" s="114">
        <v>0</v>
      </c>
      <c r="T849" s="116">
        <v>0</v>
      </c>
      <c r="U849" s="116">
        <v>0</v>
      </c>
      <c r="V849" s="121">
        <f t="shared" si="48"/>
        <v>0</v>
      </c>
      <c r="W849" s="111"/>
      <c r="X849" s="111"/>
      <c r="Y849" s="111"/>
      <c r="Z849" s="111"/>
      <c r="AA849" s="111"/>
      <c r="AB849" s="111"/>
      <c r="AC849" s="111"/>
      <c r="AD849" s="111"/>
      <c r="AE849" s="139">
        <f t="shared" si="47"/>
        <v>0</v>
      </c>
      <c r="AF849" s="109"/>
      <c r="AG849" s="109"/>
    </row>
    <row r="850" spans="1:33">
      <c r="A850" s="117"/>
      <c r="B850" s="118"/>
      <c r="C850" s="118"/>
      <c r="D850" s="118"/>
      <c r="E850" s="119"/>
      <c r="F850" s="118"/>
      <c r="G850" s="110"/>
      <c r="H850" s="126"/>
      <c r="I850" s="114">
        <v>0</v>
      </c>
      <c r="J850" s="115">
        <v>0</v>
      </c>
      <c r="K850" s="116">
        <v>0</v>
      </c>
      <c r="L850" s="116">
        <v>0</v>
      </c>
      <c r="M850" s="114">
        <v>0</v>
      </c>
      <c r="N850" s="113">
        <v>0</v>
      </c>
      <c r="O850" s="113">
        <v>0</v>
      </c>
      <c r="P850" s="116">
        <v>0</v>
      </c>
      <c r="Q850" s="116">
        <v>0</v>
      </c>
      <c r="R850" s="116">
        <v>0</v>
      </c>
      <c r="S850" s="114">
        <v>0</v>
      </c>
      <c r="T850" s="116">
        <v>0</v>
      </c>
      <c r="U850" s="116">
        <v>0</v>
      </c>
      <c r="V850" s="121">
        <f t="shared" si="48"/>
        <v>0</v>
      </c>
      <c r="W850" s="111"/>
      <c r="X850" s="111"/>
      <c r="Y850" s="111"/>
      <c r="Z850" s="111"/>
      <c r="AA850" s="111"/>
      <c r="AB850" s="111"/>
      <c r="AC850" s="111"/>
      <c r="AD850" s="111"/>
      <c r="AE850" s="139">
        <f t="shared" si="47"/>
        <v>0</v>
      </c>
      <c r="AF850" s="109"/>
      <c r="AG850" s="109"/>
    </row>
    <row r="851" spans="1:33">
      <c r="A851" s="117"/>
      <c r="B851" s="118"/>
      <c r="C851" s="118"/>
      <c r="D851" s="118"/>
      <c r="E851" s="119"/>
      <c r="F851" s="118"/>
      <c r="G851" s="110"/>
      <c r="H851" s="126"/>
      <c r="I851" s="114">
        <v>0</v>
      </c>
      <c r="J851" s="115">
        <v>0</v>
      </c>
      <c r="K851" s="116">
        <v>0</v>
      </c>
      <c r="L851" s="116">
        <v>0</v>
      </c>
      <c r="M851" s="114">
        <v>0</v>
      </c>
      <c r="N851" s="113">
        <v>0</v>
      </c>
      <c r="O851" s="113">
        <v>0</v>
      </c>
      <c r="P851" s="116">
        <v>0</v>
      </c>
      <c r="Q851" s="116">
        <v>0</v>
      </c>
      <c r="R851" s="116">
        <v>0</v>
      </c>
      <c r="S851" s="114">
        <v>0</v>
      </c>
      <c r="T851" s="116">
        <v>0</v>
      </c>
      <c r="U851" s="116">
        <v>0</v>
      </c>
      <c r="V851" s="121">
        <f t="shared" si="48"/>
        <v>0</v>
      </c>
      <c r="W851" s="111"/>
      <c r="X851" s="111"/>
      <c r="Y851" s="111"/>
      <c r="Z851" s="111"/>
      <c r="AA851" s="111"/>
      <c r="AB851" s="111"/>
      <c r="AC851" s="111"/>
      <c r="AD851" s="111"/>
      <c r="AE851" s="139">
        <f t="shared" si="47"/>
        <v>0</v>
      </c>
      <c r="AF851" s="109"/>
      <c r="AG851" s="109"/>
    </row>
    <row r="852" spans="1:33">
      <c r="A852" s="117"/>
      <c r="B852" s="118"/>
      <c r="C852" s="118"/>
      <c r="D852" s="118"/>
      <c r="E852" s="119"/>
      <c r="F852" s="118"/>
      <c r="G852" s="110"/>
      <c r="H852" s="126"/>
      <c r="I852" s="114">
        <v>0</v>
      </c>
      <c r="J852" s="115">
        <v>0</v>
      </c>
      <c r="K852" s="116">
        <v>0</v>
      </c>
      <c r="L852" s="116">
        <v>0</v>
      </c>
      <c r="M852" s="114">
        <v>0</v>
      </c>
      <c r="N852" s="113">
        <v>0</v>
      </c>
      <c r="O852" s="113">
        <v>0</v>
      </c>
      <c r="P852" s="116">
        <v>0</v>
      </c>
      <c r="Q852" s="116">
        <v>0</v>
      </c>
      <c r="R852" s="116">
        <v>0</v>
      </c>
      <c r="S852" s="114">
        <v>0</v>
      </c>
      <c r="T852" s="116">
        <v>0</v>
      </c>
      <c r="U852" s="116">
        <v>0</v>
      </c>
      <c r="V852" s="121">
        <f t="shared" si="48"/>
        <v>0</v>
      </c>
      <c r="W852" s="111"/>
      <c r="X852" s="111"/>
      <c r="Y852" s="111"/>
      <c r="Z852" s="111"/>
      <c r="AA852" s="111"/>
      <c r="AB852" s="111"/>
      <c r="AC852" s="111"/>
      <c r="AD852" s="111"/>
      <c r="AE852" s="139">
        <f t="shared" si="47"/>
        <v>0</v>
      </c>
      <c r="AF852" s="109"/>
      <c r="AG852" s="109"/>
    </row>
    <row r="853" spans="1:33">
      <c r="A853" s="117"/>
      <c r="B853" s="118"/>
      <c r="C853" s="118"/>
      <c r="D853" s="118"/>
      <c r="E853" s="119"/>
      <c r="F853" s="118"/>
      <c r="G853" s="110"/>
      <c r="H853" s="126"/>
      <c r="I853" s="114">
        <v>0</v>
      </c>
      <c r="J853" s="115">
        <v>0</v>
      </c>
      <c r="K853" s="116">
        <v>0</v>
      </c>
      <c r="L853" s="116">
        <v>0</v>
      </c>
      <c r="M853" s="114">
        <v>0</v>
      </c>
      <c r="N853" s="113">
        <v>0</v>
      </c>
      <c r="O853" s="113">
        <v>0</v>
      </c>
      <c r="P853" s="116">
        <v>0</v>
      </c>
      <c r="Q853" s="116">
        <v>0</v>
      </c>
      <c r="R853" s="116">
        <v>0</v>
      </c>
      <c r="S853" s="114">
        <v>0</v>
      </c>
      <c r="T853" s="116">
        <v>0</v>
      </c>
      <c r="U853" s="116">
        <v>0</v>
      </c>
      <c r="V853" s="121">
        <f t="shared" si="48"/>
        <v>0</v>
      </c>
      <c r="W853" s="111"/>
      <c r="X853" s="111"/>
      <c r="Y853" s="111"/>
      <c r="Z853" s="111"/>
      <c r="AA853" s="111"/>
      <c r="AB853" s="111"/>
      <c r="AC853" s="111"/>
      <c r="AD853" s="111"/>
      <c r="AE853" s="139">
        <f t="shared" si="47"/>
        <v>0</v>
      </c>
      <c r="AF853" s="109"/>
      <c r="AG853" s="109"/>
    </row>
    <row r="854" spans="1:33">
      <c r="A854" s="117"/>
      <c r="B854" s="118"/>
      <c r="C854" s="118"/>
      <c r="D854" s="118"/>
      <c r="E854" s="119"/>
      <c r="F854" s="118"/>
      <c r="G854" s="110"/>
      <c r="H854" s="126"/>
      <c r="I854" s="114">
        <v>0</v>
      </c>
      <c r="J854" s="115">
        <v>0</v>
      </c>
      <c r="K854" s="116">
        <v>0</v>
      </c>
      <c r="L854" s="116">
        <v>0</v>
      </c>
      <c r="M854" s="114">
        <v>0</v>
      </c>
      <c r="N854" s="113">
        <v>0</v>
      </c>
      <c r="O854" s="113">
        <v>0</v>
      </c>
      <c r="P854" s="116">
        <v>0</v>
      </c>
      <c r="Q854" s="116">
        <v>0</v>
      </c>
      <c r="R854" s="116">
        <v>0</v>
      </c>
      <c r="S854" s="114">
        <v>0</v>
      </c>
      <c r="T854" s="116">
        <v>0</v>
      </c>
      <c r="U854" s="116">
        <v>0</v>
      </c>
      <c r="V854" s="121">
        <f t="shared" si="48"/>
        <v>0</v>
      </c>
      <c r="W854" s="111"/>
      <c r="X854" s="111"/>
      <c r="Y854" s="111"/>
      <c r="Z854" s="111"/>
      <c r="AA854" s="111"/>
      <c r="AB854" s="111"/>
      <c r="AC854" s="111"/>
      <c r="AD854" s="111"/>
      <c r="AE854" s="139">
        <f t="shared" si="47"/>
        <v>0</v>
      </c>
      <c r="AF854" s="109"/>
      <c r="AG854" s="109"/>
    </row>
    <row r="855" spans="1:33">
      <c r="A855" s="117"/>
      <c r="B855" s="118"/>
      <c r="C855" s="118"/>
      <c r="D855" s="118"/>
      <c r="E855" s="119"/>
      <c r="F855" s="118"/>
      <c r="G855" s="110"/>
      <c r="H855" s="126"/>
      <c r="I855" s="114">
        <v>0</v>
      </c>
      <c r="J855" s="115">
        <v>0</v>
      </c>
      <c r="K855" s="116">
        <v>0</v>
      </c>
      <c r="L855" s="116">
        <v>0</v>
      </c>
      <c r="M855" s="114">
        <v>0</v>
      </c>
      <c r="N855" s="113">
        <v>0</v>
      </c>
      <c r="O855" s="113">
        <v>0</v>
      </c>
      <c r="P855" s="116">
        <v>0</v>
      </c>
      <c r="Q855" s="116">
        <v>0</v>
      </c>
      <c r="R855" s="116">
        <v>0</v>
      </c>
      <c r="S855" s="114">
        <v>0</v>
      </c>
      <c r="T855" s="116">
        <v>0</v>
      </c>
      <c r="U855" s="116">
        <v>0</v>
      </c>
      <c r="V855" s="121">
        <f t="shared" si="48"/>
        <v>0</v>
      </c>
      <c r="W855" s="111"/>
      <c r="X855" s="111"/>
      <c r="Y855" s="111"/>
      <c r="Z855" s="111"/>
      <c r="AA855" s="111"/>
      <c r="AB855" s="111"/>
      <c r="AC855" s="111"/>
      <c r="AD855" s="111"/>
      <c r="AE855" s="139">
        <f t="shared" si="47"/>
        <v>0</v>
      </c>
      <c r="AF855" s="109"/>
      <c r="AG855" s="109"/>
    </row>
    <row r="856" spans="1:33">
      <c r="A856" s="117"/>
      <c r="B856" s="118"/>
      <c r="C856" s="118"/>
      <c r="D856" s="118"/>
      <c r="E856" s="119"/>
      <c r="F856" s="118"/>
      <c r="G856" s="110"/>
      <c r="H856" s="126"/>
      <c r="I856" s="114">
        <v>0</v>
      </c>
      <c r="J856" s="115">
        <v>0</v>
      </c>
      <c r="K856" s="116">
        <v>0</v>
      </c>
      <c r="L856" s="116">
        <v>0</v>
      </c>
      <c r="M856" s="114">
        <v>0</v>
      </c>
      <c r="N856" s="113">
        <v>0</v>
      </c>
      <c r="O856" s="113">
        <v>0</v>
      </c>
      <c r="P856" s="116">
        <v>0</v>
      </c>
      <c r="Q856" s="116">
        <v>0</v>
      </c>
      <c r="R856" s="116">
        <v>0</v>
      </c>
      <c r="S856" s="114">
        <v>0</v>
      </c>
      <c r="T856" s="116">
        <v>0</v>
      </c>
      <c r="U856" s="116">
        <v>0</v>
      </c>
      <c r="V856" s="121">
        <f t="shared" si="48"/>
        <v>0</v>
      </c>
      <c r="W856" s="111"/>
      <c r="X856" s="111"/>
      <c r="Y856" s="111"/>
      <c r="Z856" s="111"/>
      <c r="AA856" s="111"/>
      <c r="AB856" s="111"/>
      <c r="AC856" s="111"/>
      <c r="AD856" s="111"/>
      <c r="AE856" s="139">
        <f t="shared" si="47"/>
        <v>0</v>
      </c>
      <c r="AF856" s="109"/>
      <c r="AG856" s="109"/>
    </row>
    <row r="857" spans="1:33">
      <c r="A857" s="117"/>
      <c r="B857" s="118"/>
      <c r="C857" s="118"/>
      <c r="D857" s="118"/>
      <c r="E857" s="119"/>
      <c r="F857" s="118"/>
      <c r="G857" s="110"/>
      <c r="H857" s="126"/>
      <c r="I857" s="114">
        <v>0</v>
      </c>
      <c r="J857" s="115">
        <v>0</v>
      </c>
      <c r="K857" s="116">
        <v>0</v>
      </c>
      <c r="L857" s="116">
        <v>0</v>
      </c>
      <c r="M857" s="114">
        <v>0</v>
      </c>
      <c r="N857" s="113">
        <v>0</v>
      </c>
      <c r="O857" s="113">
        <v>0</v>
      </c>
      <c r="P857" s="116">
        <v>0</v>
      </c>
      <c r="Q857" s="116">
        <v>0</v>
      </c>
      <c r="R857" s="116">
        <v>0</v>
      </c>
      <c r="S857" s="114">
        <v>0</v>
      </c>
      <c r="T857" s="116">
        <v>0</v>
      </c>
      <c r="U857" s="116">
        <v>0</v>
      </c>
      <c r="V857" s="121">
        <f t="shared" si="48"/>
        <v>0</v>
      </c>
      <c r="W857" s="111"/>
      <c r="X857" s="111"/>
      <c r="Y857" s="111"/>
      <c r="Z857" s="111"/>
      <c r="AA857" s="111"/>
      <c r="AB857" s="111"/>
      <c r="AC857" s="111"/>
      <c r="AD857" s="111"/>
      <c r="AE857" s="139">
        <f t="shared" si="47"/>
        <v>0</v>
      </c>
      <c r="AF857" s="109"/>
      <c r="AG857" s="109"/>
    </row>
    <row r="858" spans="1:33">
      <c r="A858" s="117"/>
      <c r="B858" s="118"/>
      <c r="C858" s="118"/>
      <c r="D858" s="118"/>
      <c r="E858" s="119"/>
      <c r="F858" s="118"/>
      <c r="G858" s="110"/>
      <c r="H858" s="126"/>
      <c r="I858" s="114">
        <v>0</v>
      </c>
      <c r="J858" s="115">
        <v>0</v>
      </c>
      <c r="K858" s="116">
        <v>0</v>
      </c>
      <c r="L858" s="116">
        <v>0</v>
      </c>
      <c r="M858" s="114">
        <v>0</v>
      </c>
      <c r="N858" s="113">
        <v>0</v>
      </c>
      <c r="O858" s="113">
        <v>0</v>
      </c>
      <c r="P858" s="116">
        <v>0</v>
      </c>
      <c r="Q858" s="116">
        <v>0</v>
      </c>
      <c r="R858" s="116">
        <v>0</v>
      </c>
      <c r="S858" s="114">
        <v>0</v>
      </c>
      <c r="T858" s="116">
        <v>0</v>
      </c>
      <c r="U858" s="116">
        <v>0</v>
      </c>
      <c r="V858" s="121">
        <f t="shared" si="48"/>
        <v>0</v>
      </c>
      <c r="W858" s="111"/>
      <c r="X858" s="111"/>
      <c r="Y858" s="111"/>
      <c r="Z858" s="111"/>
      <c r="AA858" s="111"/>
      <c r="AB858" s="111"/>
      <c r="AC858" s="111"/>
      <c r="AD858" s="111"/>
      <c r="AE858" s="139">
        <f t="shared" si="47"/>
        <v>0</v>
      </c>
      <c r="AF858" s="109"/>
      <c r="AG858" s="109"/>
    </row>
    <row r="859" spans="1:33">
      <c r="A859" s="117"/>
      <c r="B859" s="118"/>
      <c r="C859" s="118"/>
      <c r="D859" s="118"/>
      <c r="E859" s="119"/>
      <c r="F859" s="118"/>
      <c r="G859" s="110"/>
      <c r="H859" s="126"/>
      <c r="I859" s="114">
        <v>0</v>
      </c>
      <c r="J859" s="115">
        <v>0</v>
      </c>
      <c r="K859" s="116">
        <v>0</v>
      </c>
      <c r="L859" s="116">
        <v>0</v>
      </c>
      <c r="M859" s="114">
        <v>0</v>
      </c>
      <c r="N859" s="113">
        <v>0</v>
      </c>
      <c r="O859" s="113">
        <v>0</v>
      </c>
      <c r="P859" s="116">
        <v>0</v>
      </c>
      <c r="Q859" s="116">
        <v>0</v>
      </c>
      <c r="R859" s="116">
        <v>0</v>
      </c>
      <c r="S859" s="114">
        <v>0</v>
      </c>
      <c r="T859" s="116">
        <v>0</v>
      </c>
      <c r="U859" s="116">
        <v>0</v>
      </c>
      <c r="V859" s="121">
        <f t="shared" si="48"/>
        <v>0</v>
      </c>
      <c r="W859" s="111"/>
      <c r="X859" s="111"/>
      <c r="Y859" s="111"/>
      <c r="Z859" s="111"/>
      <c r="AA859" s="111"/>
      <c r="AB859" s="111"/>
      <c r="AC859" s="111"/>
      <c r="AD859" s="111"/>
      <c r="AE859" s="139">
        <f t="shared" si="47"/>
        <v>0</v>
      </c>
      <c r="AF859" s="109"/>
      <c r="AG859" s="109"/>
    </row>
    <row r="860" spans="1:33">
      <c r="A860" s="117"/>
      <c r="B860" s="118"/>
      <c r="C860" s="118"/>
      <c r="D860" s="118"/>
      <c r="E860" s="119"/>
      <c r="F860" s="118"/>
      <c r="G860" s="110"/>
      <c r="H860" s="126"/>
      <c r="I860" s="114">
        <v>0</v>
      </c>
      <c r="J860" s="115">
        <v>0</v>
      </c>
      <c r="K860" s="116">
        <v>0</v>
      </c>
      <c r="L860" s="116">
        <v>0</v>
      </c>
      <c r="M860" s="114">
        <v>0</v>
      </c>
      <c r="N860" s="113">
        <v>0</v>
      </c>
      <c r="O860" s="113">
        <v>0</v>
      </c>
      <c r="P860" s="116">
        <v>0</v>
      </c>
      <c r="Q860" s="116">
        <v>0</v>
      </c>
      <c r="R860" s="116">
        <v>0</v>
      </c>
      <c r="S860" s="114">
        <v>0</v>
      </c>
      <c r="T860" s="116">
        <v>0</v>
      </c>
      <c r="U860" s="116">
        <v>0</v>
      </c>
      <c r="V860" s="121">
        <f t="shared" si="48"/>
        <v>0</v>
      </c>
      <c r="W860" s="111"/>
      <c r="X860" s="111"/>
      <c r="Y860" s="111"/>
      <c r="Z860" s="111"/>
      <c r="AA860" s="111"/>
      <c r="AB860" s="111"/>
      <c r="AC860" s="111"/>
      <c r="AD860" s="111"/>
      <c r="AE860" s="139">
        <f t="shared" si="47"/>
        <v>0</v>
      </c>
      <c r="AF860" s="109"/>
      <c r="AG860" s="109"/>
    </row>
    <row r="861" spans="1:33">
      <c r="A861" s="117"/>
      <c r="B861" s="118"/>
      <c r="C861" s="118"/>
      <c r="D861" s="118"/>
      <c r="E861" s="119"/>
      <c r="F861" s="118"/>
      <c r="G861" s="110"/>
      <c r="H861" s="126"/>
      <c r="I861" s="114">
        <v>0</v>
      </c>
      <c r="J861" s="115">
        <v>0</v>
      </c>
      <c r="K861" s="116">
        <v>0</v>
      </c>
      <c r="L861" s="116">
        <v>0</v>
      </c>
      <c r="M861" s="114">
        <v>0</v>
      </c>
      <c r="N861" s="113">
        <v>0</v>
      </c>
      <c r="O861" s="113">
        <v>0</v>
      </c>
      <c r="P861" s="116">
        <v>0</v>
      </c>
      <c r="Q861" s="116">
        <v>0</v>
      </c>
      <c r="R861" s="116">
        <v>0</v>
      </c>
      <c r="S861" s="114">
        <v>0</v>
      </c>
      <c r="T861" s="116">
        <v>0</v>
      </c>
      <c r="U861" s="116">
        <v>0</v>
      </c>
      <c r="V861" s="121">
        <f t="shared" si="48"/>
        <v>0</v>
      </c>
      <c r="W861" s="111"/>
      <c r="X861" s="111"/>
      <c r="Y861" s="111"/>
      <c r="Z861" s="111"/>
      <c r="AA861" s="111"/>
      <c r="AB861" s="111"/>
      <c r="AC861" s="111"/>
      <c r="AD861" s="111"/>
      <c r="AE861" s="139">
        <f t="shared" si="47"/>
        <v>0</v>
      </c>
      <c r="AF861" s="109"/>
      <c r="AG861" s="109"/>
    </row>
    <row r="862" spans="1:33">
      <c r="A862" s="117"/>
      <c r="B862" s="118"/>
      <c r="C862" s="118"/>
      <c r="D862" s="118"/>
      <c r="E862" s="119"/>
      <c r="F862" s="118"/>
      <c r="G862" s="110"/>
      <c r="H862" s="126"/>
      <c r="I862" s="114">
        <v>0</v>
      </c>
      <c r="J862" s="115">
        <v>0</v>
      </c>
      <c r="K862" s="116">
        <v>0</v>
      </c>
      <c r="L862" s="116">
        <v>0</v>
      </c>
      <c r="M862" s="114">
        <v>0</v>
      </c>
      <c r="N862" s="113">
        <v>0</v>
      </c>
      <c r="O862" s="113">
        <v>0</v>
      </c>
      <c r="P862" s="116">
        <v>0</v>
      </c>
      <c r="Q862" s="116">
        <v>0</v>
      </c>
      <c r="R862" s="116">
        <v>0</v>
      </c>
      <c r="S862" s="114">
        <v>0</v>
      </c>
      <c r="T862" s="116">
        <v>0</v>
      </c>
      <c r="U862" s="116">
        <v>0</v>
      </c>
      <c r="V862" s="121">
        <f t="shared" si="48"/>
        <v>0</v>
      </c>
      <c r="W862" s="111"/>
      <c r="X862" s="111"/>
      <c r="Y862" s="111"/>
      <c r="Z862" s="111"/>
      <c r="AA862" s="111"/>
      <c r="AB862" s="111"/>
      <c r="AC862" s="111"/>
      <c r="AD862" s="111"/>
      <c r="AE862" s="139">
        <f t="shared" si="47"/>
        <v>0</v>
      </c>
      <c r="AF862" s="109"/>
      <c r="AG862" s="109"/>
    </row>
    <row r="863" spans="1:33">
      <c r="A863" s="117"/>
      <c r="B863" s="118"/>
      <c r="C863" s="118"/>
      <c r="D863" s="118"/>
      <c r="E863" s="119"/>
      <c r="F863" s="118"/>
      <c r="G863" s="110"/>
      <c r="H863" s="126"/>
      <c r="I863" s="114">
        <v>0</v>
      </c>
      <c r="J863" s="115">
        <v>0</v>
      </c>
      <c r="K863" s="116">
        <v>0</v>
      </c>
      <c r="L863" s="116">
        <v>0</v>
      </c>
      <c r="M863" s="114">
        <v>0</v>
      </c>
      <c r="N863" s="113">
        <v>0</v>
      </c>
      <c r="O863" s="113">
        <v>0</v>
      </c>
      <c r="P863" s="116">
        <v>0</v>
      </c>
      <c r="Q863" s="116">
        <v>0</v>
      </c>
      <c r="R863" s="116">
        <v>0</v>
      </c>
      <c r="S863" s="114">
        <v>0</v>
      </c>
      <c r="T863" s="116">
        <v>0</v>
      </c>
      <c r="U863" s="116">
        <v>0</v>
      </c>
      <c r="V863" s="121">
        <f t="shared" si="48"/>
        <v>0</v>
      </c>
      <c r="W863" s="111"/>
      <c r="X863" s="111"/>
      <c r="Y863" s="111"/>
      <c r="Z863" s="111"/>
      <c r="AA863" s="111"/>
      <c r="AB863" s="111"/>
      <c r="AC863" s="111"/>
      <c r="AD863" s="111"/>
      <c r="AE863" s="139">
        <f t="shared" si="47"/>
        <v>0</v>
      </c>
      <c r="AF863" s="109"/>
      <c r="AG863" s="109"/>
    </row>
    <row r="864" spans="1:33">
      <c r="A864" s="117"/>
      <c r="B864" s="118"/>
      <c r="C864" s="118"/>
      <c r="D864" s="118"/>
      <c r="E864" s="119"/>
      <c r="F864" s="118"/>
      <c r="G864" s="110"/>
      <c r="H864" s="126"/>
      <c r="I864" s="114">
        <v>0</v>
      </c>
      <c r="J864" s="115">
        <v>0</v>
      </c>
      <c r="K864" s="116">
        <v>0</v>
      </c>
      <c r="L864" s="116">
        <v>0</v>
      </c>
      <c r="M864" s="114">
        <v>0</v>
      </c>
      <c r="N864" s="113">
        <v>0</v>
      </c>
      <c r="O864" s="113">
        <v>0</v>
      </c>
      <c r="P864" s="116">
        <v>0</v>
      </c>
      <c r="Q864" s="116">
        <v>0</v>
      </c>
      <c r="R864" s="116">
        <v>0</v>
      </c>
      <c r="S864" s="114">
        <v>0</v>
      </c>
      <c r="T864" s="116">
        <v>0</v>
      </c>
      <c r="U864" s="116">
        <v>0</v>
      </c>
      <c r="V864" s="121">
        <f t="shared" si="48"/>
        <v>0</v>
      </c>
      <c r="W864" s="111"/>
      <c r="X864" s="111"/>
      <c r="Y864" s="111"/>
      <c r="Z864" s="111"/>
      <c r="AA864" s="111"/>
      <c r="AB864" s="111"/>
      <c r="AC864" s="111"/>
      <c r="AD864" s="111"/>
      <c r="AE864" s="139">
        <f t="shared" si="47"/>
        <v>0</v>
      </c>
      <c r="AF864" s="109"/>
      <c r="AG864" s="109"/>
    </row>
    <row r="865" spans="1:33">
      <c r="A865" s="117"/>
      <c r="B865" s="118"/>
      <c r="C865" s="118"/>
      <c r="D865" s="118"/>
      <c r="E865" s="119"/>
      <c r="F865" s="118"/>
      <c r="G865" s="110"/>
      <c r="H865" s="126"/>
      <c r="I865" s="114">
        <v>0</v>
      </c>
      <c r="J865" s="115">
        <v>0</v>
      </c>
      <c r="K865" s="116">
        <v>0</v>
      </c>
      <c r="L865" s="116">
        <v>0</v>
      </c>
      <c r="M865" s="114">
        <v>0</v>
      </c>
      <c r="N865" s="113">
        <v>0</v>
      </c>
      <c r="O865" s="113">
        <v>0</v>
      </c>
      <c r="P865" s="116">
        <v>0</v>
      </c>
      <c r="Q865" s="116">
        <v>0</v>
      </c>
      <c r="R865" s="116">
        <v>0</v>
      </c>
      <c r="S865" s="114">
        <v>0</v>
      </c>
      <c r="T865" s="116">
        <v>0</v>
      </c>
      <c r="U865" s="116">
        <v>0</v>
      </c>
      <c r="V865" s="121">
        <f t="shared" si="48"/>
        <v>0</v>
      </c>
      <c r="W865" s="111"/>
      <c r="X865" s="111"/>
      <c r="Y865" s="111"/>
      <c r="Z865" s="111"/>
      <c r="AA865" s="111"/>
      <c r="AB865" s="111"/>
      <c r="AC865" s="111"/>
      <c r="AD865" s="111"/>
      <c r="AE865" s="139">
        <f t="shared" si="47"/>
        <v>0</v>
      </c>
      <c r="AF865" s="109"/>
      <c r="AG865" s="109"/>
    </row>
    <row r="866" spans="1:33">
      <c r="A866" s="117"/>
      <c r="B866" s="118"/>
      <c r="C866" s="118"/>
      <c r="D866" s="118"/>
      <c r="E866" s="119"/>
      <c r="F866" s="118"/>
      <c r="G866" s="110"/>
      <c r="H866" s="126"/>
      <c r="I866" s="114">
        <v>0</v>
      </c>
      <c r="J866" s="115">
        <v>0</v>
      </c>
      <c r="K866" s="116">
        <v>0</v>
      </c>
      <c r="L866" s="116">
        <v>0</v>
      </c>
      <c r="M866" s="114">
        <v>0</v>
      </c>
      <c r="N866" s="113">
        <v>0</v>
      </c>
      <c r="O866" s="113">
        <v>0</v>
      </c>
      <c r="P866" s="116">
        <v>0</v>
      </c>
      <c r="Q866" s="116">
        <v>0</v>
      </c>
      <c r="R866" s="116">
        <v>0</v>
      </c>
      <c r="S866" s="114">
        <v>0</v>
      </c>
      <c r="T866" s="116">
        <v>0</v>
      </c>
      <c r="U866" s="116">
        <v>0</v>
      </c>
      <c r="V866" s="121">
        <f t="shared" si="48"/>
        <v>0</v>
      </c>
      <c r="W866" s="111"/>
      <c r="X866" s="111"/>
      <c r="Y866" s="111"/>
      <c r="Z866" s="111"/>
      <c r="AA866" s="111"/>
      <c r="AB866" s="111"/>
      <c r="AC866" s="111"/>
      <c r="AD866" s="111"/>
      <c r="AE866" s="139">
        <f t="shared" si="47"/>
        <v>0</v>
      </c>
      <c r="AF866" s="109"/>
      <c r="AG866" s="109"/>
    </row>
    <row r="867" spans="1:33">
      <c r="A867" s="117"/>
      <c r="B867" s="118"/>
      <c r="C867" s="118"/>
      <c r="D867" s="118"/>
      <c r="E867" s="119"/>
      <c r="F867" s="118"/>
      <c r="G867" s="110"/>
      <c r="H867" s="126"/>
      <c r="I867" s="114">
        <v>0</v>
      </c>
      <c r="J867" s="115">
        <v>0</v>
      </c>
      <c r="K867" s="116">
        <v>0</v>
      </c>
      <c r="L867" s="116">
        <v>0</v>
      </c>
      <c r="M867" s="114">
        <v>0</v>
      </c>
      <c r="N867" s="113">
        <v>0</v>
      </c>
      <c r="O867" s="113">
        <v>0</v>
      </c>
      <c r="P867" s="116">
        <v>0</v>
      </c>
      <c r="Q867" s="116">
        <v>0</v>
      </c>
      <c r="R867" s="116">
        <v>0</v>
      </c>
      <c r="S867" s="114">
        <v>0</v>
      </c>
      <c r="T867" s="116">
        <v>0</v>
      </c>
      <c r="U867" s="116">
        <v>0</v>
      </c>
      <c r="V867" s="121">
        <f t="shared" si="48"/>
        <v>0</v>
      </c>
      <c r="W867" s="111"/>
      <c r="X867" s="111"/>
      <c r="Y867" s="111"/>
      <c r="Z867" s="111"/>
      <c r="AA867" s="111"/>
      <c r="AB867" s="111"/>
      <c r="AC867" s="111"/>
      <c r="AD867" s="111"/>
      <c r="AE867" s="139">
        <f t="shared" si="47"/>
        <v>0</v>
      </c>
      <c r="AF867" s="109"/>
      <c r="AG867" s="109"/>
    </row>
    <row r="868" spans="1:33">
      <c r="A868" s="117"/>
      <c r="B868" s="118"/>
      <c r="C868" s="118"/>
      <c r="D868" s="118"/>
      <c r="E868" s="119"/>
      <c r="F868" s="118"/>
      <c r="G868" s="110"/>
      <c r="H868" s="126"/>
      <c r="I868" s="114">
        <v>0</v>
      </c>
      <c r="J868" s="115">
        <v>0</v>
      </c>
      <c r="K868" s="116">
        <v>0</v>
      </c>
      <c r="L868" s="116">
        <v>0</v>
      </c>
      <c r="M868" s="114">
        <v>0</v>
      </c>
      <c r="N868" s="113">
        <v>0</v>
      </c>
      <c r="O868" s="113">
        <v>0</v>
      </c>
      <c r="P868" s="116">
        <v>0</v>
      </c>
      <c r="Q868" s="116">
        <v>0</v>
      </c>
      <c r="R868" s="116">
        <v>0</v>
      </c>
      <c r="S868" s="114">
        <v>0</v>
      </c>
      <c r="T868" s="116">
        <v>0</v>
      </c>
      <c r="U868" s="116">
        <v>0</v>
      </c>
      <c r="V868" s="121">
        <f t="shared" si="48"/>
        <v>0</v>
      </c>
      <c r="W868" s="111"/>
      <c r="X868" s="111"/>
      <c r="Y868" s="111"/>
      <c r="Z868" s="111"/>
      <c r="AA868" s="111"/>
      <c r="AB868" s="111"/>
      <c r="AC868" s="111"/>
      <c r="AD868" s="111"/>
      <c r="AE868" s="139">
        <f t="shared" si="47"/>
        <v>0</v>
      </c>
      <c r="AF868" s="109"/>
      <c r="AG868" s="109"/>
    </row>
    <row r="869" spans="1:33">
      <c r="A869" s="117"/>
      <c r="B869" s="118"/>
      <c r="C869" s="118"/>
      <c r="D869" s="118"/>
      <c r="E869" s="119"/>
      <c r="F869" s="118"/>
      <c r="G869" s="110"/>
      <c r="H869" s="126"/>
      <c r="I869" s="114">
        <v>0</v>
      </c>
      <c r="J869" s="115">
        <v>0</v>
      </c>
      <c r="K869" s="116">
        <v>0</v>
      </c>
      <c r="L869" s="116">
        <v>0</v>
      </c>
      <c r="M869" s="114">
        <v>0</v>
      </c>
      <c r="N869" s="113">
        <v>0</v>
      </c>
      <c r="O869" s="113">
        <v>0</v>
      </c>
      <c r="P869" s="116">
        <v>0</v>
      </c>
      <c r="Q869" s="116">
        <v>0</v>
      </c>
      <c r="R869" s="116">
        <v>0</v>
      </c>
      <c r="S869" s="114">
        <v>0</v>
      </c>
      <c r="T869" s="116">
        <v>0</v>
      </c>
      <c r="U869" s="116">
        <v>0</v>
      </c>
      <c r="V869" s="121">
        <f t="shared" si="48"/>
        <v>0</v>
      </c>
      <c r="W869" s="111"/>
      <c r="X869" s="111"/>
      <c r="Y869" s="111"/>
      <c r="Z869" s="111"/>
      <c r="AA869" s="111"/>
      <c r="AB869" s="111"/>
      <c r="AC869" s="111"/>
      <c r="AD869" s="111"/>
      <c r="AE869" s="139">
        <f t="shared" si="47"/>
        <v>0</v>
      </c>
      <c r="AF869" s="109"/>
      <c r="AG869" s="109"/>
    </row>
    <row r="870" spans="1:33">
      <c r="A870" s="117"/>
      <c r="B870" s="118"/>
      <c r="C870" s="118"/>
      <c r="D870" s="118"/>
      <c r="E870" s="119"/>
      <c r="F870" s="118"/>
      <c r="G870" s="110"/>
      <c r="H870" s="126"/>
      <c r="I870" s="114">
        <v>0</v>
      </c>
      <c r="J870" s="115">
        <v>0</v>
      </c>
      <c r="K870" s="116">
        <v>0</v>
      </c>
      <c r="L870" s="116">
        <v>0</v>
      </c>
      <c r="M870" s="114">
        <v>0</v>
      </c>
      <c r="N870" s="113">
        <v>0</v>
      </c>
      <c r="O870" s="113">
        <v>0</v>
      </c>
      <c r="P870" s="116">
        <v>0</v>
      </c>
      <c r="Q870" s="116">
        <v>0</v>
      </c>
      <c r="R870" s="116">
        <v>0</v>
      </c>
      <c r="S870" s="114">
        <v>0</v>
      </c>
      <c r="T870" s="116">
        <v>0</v>
      </c>
      <c r="U870" s="116">
        <v>0</v>
      </c>
      <c r="V870" s="121">
        <f t="shared" si="48"/>
        <v>0</v>
      </c>
      <c r="W870" s="111"/>
      <c r="X870" s="111"/>
      <c r="Y870" s="111"/>
      <c r="Z870" s="111"/>
      <c r="AA870" s="111"/>
      <c r="AB870" s="111"/>
      <c r="AC870" s="111"/>
      <c r="AD870" s="111"/>
      <c r="AE870" s="139">
        <f t="shared" si="47"/>
        <v>0</v>
      </c>
      <c r="AF870" s="109"/>
      <c r="AG870" s="109"/>
    </row>
    <row r="871" spans="1:33">
      <c r="A871" s="117"/>
      <c r="B871" s="118"/>
      <c r="C871" s="118"/>
      <c r="D871" s="118"/>
      <c r="E871" s="119"/>
      <c r="F871" s="118"/>
      <c r="G871" s="110"/>
      <c r="H871" s="126"/>
      <c r="I871" s="114">
        <v>0</v>
      </c>
      <c r="J871" s="115">
        <v>0</v>
      </c>
      <c r="K871" s="116">
        <v>0</v>
      </c>
      <c r="L871" s="116">
        <v>0</v>
      </c>
      <c r="M871" s="114">
        <v>0</v>
      </c>
      <c r="N871" s="113">
        <v>0</v>
      </c>
      <c r="O871" s="113">
        <v>0</v>
      </c>
      <c r="P871" s="116">
        <v>0</v>
      </c>
      <c r="Q871" s="116">
        <v>0</v>
      </c>
      <c r="R871" s="116">
        <v>0</v>
      </c>
      <c r="S871" s="114">
        <v>0</v>
      </c>
      <c r="T871" s="116">
        <v>0</v>
      </c>
      <c r="U871" s="116">
        <v>0</v>
      </c>
      <c r="V871" s="121">
        <f t="shared" si="48"/>
        <v>0</v>
      </c>
      <c r="W871" s="111"/>
      <c r="X871" s="111"/>
      <c r="Y871" s="111"/>
      <c r="Z871" s="111"/>
      <c r="AA871" s="111"/>
      <c r="AB871" s="111"/>
      <c r="AC871" s="111"/>
      <c r="AD871" s="111"/>
      <c r="AE871" s="139">
        <f t="shared" si="47"/>
        <v>0</v>
      </c>
      <c r="AF871" s="109"/>
      <c r="AG871" s="109"/>
    </row>
    <row r="872" spans="1:33">
      <c r="A872" s="117"/>
      <c r="B872" s="118"/>
      <c r="C872" s="118"/>
      <c r="D872" s="118"/>
      <c r="E872" s="119"/>
      <c r="F872" s="118"/>
      <c r="G872" s="110"/>
      <c r="H872" s="126"/>
      <c r="I872" s="114">
        <v>0</v>
      </c>
      <c r="J872" s="115">
        <v>0</v>
      </c>
      <c r="K872" s="116">
        <v>0</v>
      </c>
      <c r="L872" s="116">
        <v>0</v>
      </c>
      <c r="M872" s="114">
        <v>0</v>
      </c>
      <c r="N872" s="113">
        <v>0</v>
      </c>
      <c r="O872" s="113">
        <v>0</v>
      </c>
      <c r="P872" s="116">
        <v>0</v>
      </c>
      <c r="Q872" s="116">
        <v>0</v>
      </c>
      <c r="R872" s="116">
        <v>0</v>
      </c>
      <c r="S872" s="114">
        <v>0</v>
      </c>
      <c r="T872" s="116">
        <v>0</v>
      </c>
      <c r="U872" s="116">
        <v>0</v>
      </c>
      <c r="V872" s="121">
        <f t="shared" si="48"/>
        <v>0</v>
      </c>
      <c r="W872" s="111"/>
      <c r="X872" s="111"/>
      <c r="Y872" s="111"/>
      <c r="Z872" s="111"/>
      <c r="AA872" s="111"/>
      <c r="AB872" s="111"/>
      <c r="AC872" s="111"/>
      <c r="AD872" s="111"/>
      <c r="AE872" s="139">
        <f t="shared" si="47"/>
        <v>0</v>
      </c>
      <c r="AF872" s="109"/>
      <c r="AG872" s="109"/>
    </row>
    <row r="873" spans="1:33">
      <c r="A873" s="117"/>
      <c r="B873" s="118"/>
      <c r="C873" s="118"/>
      <c r="D873" s="118"/>
      <c r="E873" s="119"/>
      <c r="F873" s="118"/>
      <c r="G873" s="110"/>
      <c r="H873" s="126"/>
      <c r="I873" s="114">
        <v>0</v>
      </c>
      <c r="J873" s="115">
        <v>0</v>
      </c>
      <c r="K873" s="116">
        <v>0</v>
      </c>
      <c r="L873" s="116">
        <v>0</v>
      </c>
      <c r="M873" s="114">
        <v>0</v>
      </c>
      <c r="N873" s="113">
        <v>0</v>
      </c>
      <c r="O873" s="113">
        <v>0</v>
      </c>
      <c r="P873" s="116">
        <v>0</v>
      </c>
      <c r="Q873" s="116">
        <v>0</v>
      </c>
      <c r="R873" s="116">
        <v>0</v>
      </c>
      <c r="S873" s="114">
        <v>0</v>
      </c>
      <c r="T873" s="116">
        <v>0</v>
      </c>
      <c r="U873" s="116">
        <v>0</v>
      </c>
      <c r="V873" s="121">
        <f t="shared" si="48"/>
        <v>0</v>
      </c>
      <c r="W873" s="111"/>
      <c r="X873" s="111"/>
      <c r="Y873" s="111"/>
      <c r="Z873" s="111"/>
      <c r="AA873" s="111"/>
      <c r="AB873" s="111"/>
      <c r="AC873" s="111"/>
      <c r="AD873" s="111"/>
      <c r="AE873" s="139">
        <f t="shared" ref="AE873:AE936" si="49">V873-(X873+Y873)</f>
        <v>0</v>
      </c>
      <c r="AF873" s="109"/>
      <c r="AG873" s="109"/>
    </row>
    <row r="874" spans="1:33">
      <c r="A874" s="117"/>
      <c r="B874" s="118"/>
      <c r="C874" s="118"/>
      <c r="D874" s="118"/>
      <c r="E874" s="119"/>
      <c r="F874" s="118"/>
      <c r="G874" s="110"/>
      <c r="H874" s="126"/>
      <c r="I874" s="114">
        <v>0</v>
      </c>
      <c r="J874" s="115">
        <v>0</v>
      </c>
      <c r="K874" s="116">
        <v>0</v>
      </c>
      <c r="L874" s="116">
        <v>0</v>
      </c>
      <c r="M874" s="114">
        <v>0</v>
      </c>
      <c r="N874" s="113">
        <v>0</v>
      </c>
      <c r="O874" s="113">
        <v>0</v>
      </c>
      <c r="P874" s="116">
        <v>0</v>
      </c>
      <c r="Q874" s="116">
        <v>0</v>
      </c>
      <c r="R874" s="116">
        <v>0</v>
      </c>
      <c r="S874" s="114">
        <v>0</v>
      </c>
      <c r="T874" s="116">
        <v>0</v>
      </c>
      <c r="U874" s="116">
        <v>0</v>
      </c>
      <c r="V874" s="121">
        <f t="shared" si="48"/>
        <v>0</v>
      </c>
      <c r="W874" s="111"/>
      <c r="X874" s="111"/>
      <c r="Y874" s="111"/>
      <c r="Z874" s="111"/>
      <c r="AA874" s="111"/>
      <c r="AB874" s="111"/>
      <c r="AC874" s="111"/>
      <c r="AD874" s="111"/>
      <c r="AE874" s="139">
        <f t="shared" si="49"/>
        <v>0</v>
      </c>
      <c r="AF874" s="109"/>
      <c r="AG874" s="109"/>
    </row>
    <row r="875" spans="1:33">
      <c r="A875" s="117"/>
      <c r="B875" s="118"/>
      <c r="C875" s="118"/>
      <c r="D875" s="118"/>
      <c r="E875" s="119"/>
      <c r="F875" s="118"/>
      <c r="G875" s="110"/>
      <c r="H875" s="126"/>
      <c r="I875" s="114">
        <v>0</v>
      </c>
      <c r="J875" s="115">
        <v>0</v>
      </c>
      <c r="K875" s="116">
        <v>0</v>
      </c>
      <c r="L875" s="116">
        <v>0</v>
      </c>
      <c r="M875" s="114">
        <v>0</v>
      </c>
      <c r="N875" s="113">
        <v>0</v>
      </c>
      <c r="O875" s="113">
        <v>0</v>
      </c>
      <c r="P875" s="116">
        <v>0</v>
      </c>
      <c r="Q875" s="116">
        <v>0</v>
      </c>
      <c r="R875" s="116">
        <v>0</v>
      </c>
      <c r="S875" s="114">
        <v>0</v>
      </c>
      <c r="T875" s="116">
        <v>0</v>
      </c>
      <c r="U875" s="116">
        <v>0</v>
      </c>
      <c r="V875" s="121">
        <f t="shared" si="48"/>
        <v>0</v>
      </c>
      <c r="W875" s="111"/>
      <c r="X875" s="111"/>
      <c r="Y875" s="111"/>
      <c r="Z875" s="111"/>
      <c r="AA875" s="111"/>
      <c r="AB875" s="111"/>
      <c r="AC875" s="111"/>
      <c r="AD875" s="111"/>
      <c r="AE875" s="139">
        <f t="shared" si="49"/>
        <v>0</v>
      </c>
      <c r="AF875" s="109"/>
      <c r="AG875" s="109"/>
    </row>
    <row r="876" spans="1:33">
      <c r="A876" s="117"/>
      <c r="B876" s="118"/>
      <c r="C876" s="118"/>
      <c r="D876" s="118"/>
      <c r="E876" s="119"/>
      <c r="F876" s="118"/>
      <c r="G876" s="110"/>
      <c r="H876" s="126"/>
      <c r="I876" s="114">
        <v>0</v>
      </c>
      <c r="J876" s="115">
        <v>0</v>
      </c>
      <c r="K876" s="116">
        <v>0</v>
      </c>
      <c r="L876" s="116">
        <v>0</v>
      </c>
      <c r="M876" s="114">
        <v>0</v>
      </c>
      <c r="N876" s="113">
        <v>0</v>
      </c>
      <c r="O876" s="113">
        <v>0</v>
      </c>
      <c r="P876" s="116">
        <v>0</v>
      </c>
      <c r="Q876" s="116">
        <v>0</v>
      </c>
      <c r="R876" s="116">
        <v>0</v>
      </c>
      <c r="S876" s="114">
        <v>0</v>
      </c>
      <c r="T876" s="116">
        <v>0</v>
      </c>
      <c r="U876" s="116">
        <v>0</v>
      </c>
      <c r="V876" s="121">
        <f t="shared" si="48"/>
        <v>0</v>
      </c>
      <c r="W876" s="111"/>
      <c r="X876" s="111"/>
      <c r="Y876" s="111"/>
      <c r="Z876" s="111"/>
      <c r="AA876" s="111"/>
      <c r="AB876" s="111"/>
      <c r="AC876" s="111"/>
      <c r="AD876" s="111"/>
      <c r="AE876" s="139">
        <f t="shared" si="49"/>
        <v>0</v>
      </c>
      <c r="AF876" s="109"/>
      <c r="AG876" s="109"/>
    </row>
    <row r="877" spans="1:33">
      <c r="A877" s="117"/>
      <c r="B877" s="118"/>
      <c r="C877" s="118"/>
      <c r="D877" s="118"/>
      <c r="E877" s="119"/>
      <c r="F877" s="118"/>
      <c r="G877" s="110"/>
      <c r="H877" s="126"/>
      <c r="I877" s="114">
        <v>0</v>
      </c>
      <c r="J877" s="115">
        <v>0</v>
      </c>
      <c r="K877" s="116">
        <v>0</v>
      </c>
      <c r="L877" s="116">
        <v>0</v>
      </c>
      <c r="M877" s="114">
        <v>0</v>
      </c>
      <c r="N877" s="113">
        <v>0</v>
      </c>
      <c r="O877" s="113">
        <v>0</v>
      </c>
      <c r="P877" s="116">
        <v>0</v>
      </c>
      <c r="Q877" s="116">
        <v>0</v>
      </c>
      <c r="R877" s="116">
        <v>0</v>
      </c>
      <c r="S877" s="114">
        <v>0</v>
      </c>
      <c r="T877" s="116">
        <v>0</v>
      </c>
      <c r="U877" s="116">
        <v>0</v>
      </c>
      <c r="V877" s="121">
        <f t="shared" si="48"/>
        <v>0</v>
      </c>
      <c r="W877" s="111"/>
      <c r="X877" s="111"/>
      <c r="Y877" s="111"/>
      <c r="Z877" s="111"/>
      <c r="AA877" s="111"/>
      <c r="AB877" s="111"/>
      <c r="AC877" s="111"/>
      <c r="AD877" s="111"/>
      <c r="AE877" s="139">
        <f t="shared" si="49"/>
        <v>0</v>
      </c>
      <c r="AF877" s="109"/>
      <c r="AG877" s="109"/>
    </row>
    <row r="878" spans="1:33">
      <c r="A878" s="117"/>
      <c r="B878" s="118"/>
      <c r="C878" s="118"/>
      <c r="D878" s="118"/>
      <c r="E878" s="119"/>
      <c r="F878" s="118"/>
      <c r="G878" s="110"/>
      <c r="H878" s="126"/>
      <c r="I878" s="114">
        <v>0</v>
      </c>
      <c r="J878" s="115">
        <v>0</v>
      </c>
      <c r="K878" s="116">
        <v>0</v>
      </c>
      <c r="L878" s="116">
        <v>0</v>
      </c>
      <c r="M878" s="114">
        <v>0</v>
      </c>
      <c r="N878" s="113">
        <v>0</v>
      </c>
      <c r="O878" s="113">
        <v>0</v>
      </c>
      <c r="P878" s="116">
        <v>0</v>
      </c>
      <c r="Q878" s="116">
        <v>0</v>
      </c>
      <c r="R878" s="116">
        <v>0</v>
      </c>
      <c r="S878" s="114">
        <v>0</v>
      </c>
      <c r="T878" s="116">
        <v>0</v>
      </c>
      <c r="U878" s="116">
        <v>0</v>
      </c>
      <c r="V878" s="121">
        <f t="shared" si="48"/>
        <v>0</v>
      </c>
      <c r="W878" s="111"/>
      <c r="X878" s="111"/>
      <c r="Y878" s="111"/>
      <c r="Z878" s="111"/>
      <c r="AA878" s="111"/>
      <c r="AB878" s="111"/>
      <c r="AC878" s="111"/>
      <c r="AD878" s="111"/>
      <c r="AE878" s="139">
        <f t="shared" si="49"/>
        <v>0</v>
      </c>
      <c r="AF878" s="109"/>
      <c r="AG878" s="109"/>
    </row>
    <row r="879" spans="1:33">
      <c r="A879" s="117"/>
      <c r="B879" s="118"/>
      <c r="C879" s="118"/>
      <c r="D879" s="118"/>
      <c r="E879" s="119"/>
      <c r="F879" s="118"/>
      <c r="G879" s="110"/>
      <c r="H879" s="126"/>
      <c r="I879" s="114">
        <v>0</v>
      </c>
      <c r="J879" s="115">
        <v>0</v>
      </c>
      <c r="K879" s="116">
        <v>0</v>
      </c>
      <c r="L879" s="116">
        <v>0</v>
      </c>
      <c r="M879" s="114">
        <v>0</v>
      </c>
      <c r="N879" s="113">
        <v>0</v>
      </c>
      <c r="O879" s="113">
        <v>0</v>
      </c>
      <c r="P879" s="116">
        <v>0</v>
      </c>
      <c r="Q879" s="116">
        <v>0</v>
      </c>
      <c r="R879" s="116">
        <v>0</v>
      </c>
      <c r="S879" s="114">
        <v>0</v>
      </c>
      <c r="T879" s="116">
        <v>0</v>
      </c>
      <c r="U879" s="116">
        <v>0</v>
      </c>
      <c r="V879" s="121">
        <f t="shared" si="48"/>
        <v>0</v>
      </c>
      <c r="W879" s="111"/>
      <c r="X879" s="111"/>
      <c r="Y879" s="111"/>
      <c r="Z879" s="111"/>
      <c r="AA879" s="111"/>
      <c r="AB879" s="111"/>
      <c r="AC879" s="111"/>
      <c r="AD879" s="111"/>
      <c r="AE879" s="139">
        <f t="shared" si="49"/>
        <v>0</v>
      </c>
      <c r="AF879" s="109"/>
      <c r="AG879" s="109"/>
    </row>
    <row r="880" spans="1:33">
      <c r="A880" s="117"/>
      <c r="B880" s="118"/>
      <c r="C880" s="118"/>
      <c r="D880" s="118"/>
      <c r="E880" s="119"/>
      <c r="F880" s="118"/>
      <c r="G880" s="110"/>
      <c r="H880" s="126"/>
      <c r="I880" s="114">
        <v>0</v>
      </c>
      <c r="J880" s="115">
        <v>0</v>
      </c>
      <c r="K880" s="116">
        <v>0</v>
      </c>
      <c r="L880" s="116">
        <v>0</v>
      </c>
      <c r="M880" s="114">
        <v>0</v>
      </c>
      <c r="N880" s="113">
        <v>0</v>
      </c>
      <c r="O880" s="113">
        <v>0</v>
      </c>
      <c r="P880" s="116">
        <v>0</v>
      </c>
      <c r="Q880" s="116">
        <v>0</v>
      </c>
      <c r="R880" s="116">
        <v>0</v>
      </c>
      <c r="S880" s="114">
        <v>0</v>
      </c>
      <c r="T880" s="116">
        <v>0</v>
      </c>
      <c r="U880" s="116">
        <v>0</v>
      </c>
      <c r="V880" s="121">
        <f t="shared" si="48"/>
        <v>0</v>
      </c>
      <c r="W880" s="111"/>
      <c r="X880" s="111"/>
      <c r="Y880" s="111"/>
      <c r="Z880" s="111"/>
      <c r="AA880" s="111"/>
      <c r="AB880" s="111"/>
      <c r="AC880" s="111"/>
      <c r="AD880" s="111"/>
      <c r="AE880" s="139">
        <f t="shared" si="49"/>
        <v>0</v>
      </c>
      <c r="AF880" s="109"/>
      <c r="AG880" s="109"/>
    </row>
    <row r="881" spans="1:33">
      <c r="A881" s="117"/>
      <c r="B881" s="118"/>
      <c r="C881" s="118"/>
      <c r="D881" s="118"/>
      <c r="E881" s="119"/>
      <c r="F881" s="118"/>
      <c r="G881" s="110"/>
      <c r="H881" s="126"/>
      <c r="I881" s="114">
        <v>0</v>
      </c>
      <c r="J881" s="115">
        <v>0</v>
      </c>
      <c r="K881" s="116">
        <v>0</v>
      </c>
      <c r="L881" s="116">
        <v>0</v>
      </c>
      <c r="M881" s="114">
        <v>0</v>
      </c>
      <c r="N881" s="113">
        <v>0</v>
      </c>
      <c r="O881" s="113">
        <v>0</v>
      </c>
      <c r="P881" s="116">
        <v>0</v>
      </c>
      <c r="Q881" s="116">
        <v>0</v>
      </c>
      <c r="R881" s="116">
        <v>0</v>
      </c>
      <c r="S881" s="114">
        <v>0</v>
      </c>
      <c r="T881" s="116">
        <v>0</v>
      </c>
      <c r="U881" s="116">
        <v>0</v>
      </c>
      <c r="V881" s="121">
        <f t="shared" ref="V881:V944" si="50">+G881-(SUM(I881:N881,P881:S881,U881))</f>
        <v>0</v>
      </c>
      <c r="W881" s="111"/>
      <c r="X881" s="111"/>
      <c r="Y881" s="111"/>
      <c r="Z881" s="111"/>
      <c r="AA881" s="111"/>
      <c r="AB881" s="111"/>
      <c r="AC881" s="111"/>
      <c r="AD881" s="111"/>
      <c r="AE881" s="139">
        <f t="shared" si="49"/>
        <v>0</v>
      </c>
      <c r="AF881" s="109"/>
      <c r="AG881" s="109"/>
    </row>
    <row r="882" spans="1:33">
      <c r="A882" s="117"/>
      <c r="B882" s="118"/>
      <c r="C882" s="118"/>
      <c r="D882" s="118"/>
      <c r="E882" s="119"/>
      <c r="F882" s="118"/>
      <c r="G882" s="110"/>
      <c r="H882" s="126"/>
      <c r="I882" s="114">
        <v>0</v>
      </c>
      <c r="J882" s="115">
        <v>0</v>
      </c>
      <c r="K882" s="116">
        <v>0</v>
      </c>
      <c r="L882" s="116">
        <v>0</v>
      </c>
      <c r="M882" s="114">
        <v>0</v>
      </c>
      <c r="N882" s="113">
        <v>0</v>
      </c>
      <c r="O882" s="113">
        <v>0</v>
      </c>
      <c r="P882" s="116">
        <v>0</v>
      </c>
      <c r="Q882" s="116">
        <v>0</v>
      </c>
      <c r="R882" s="116">
        <v>0</v>
      </c>
      <c r="S882" s="114">
        <v>0</v>
      </c>
      <c r="T882" s="116">
        <v>0</v>
      </c>
      <c r="U882" s="116">
        <v>0</v>
      </c>
      <c r="V882" s="121">
        <f t="shared" si="50"/>
        <v>0</v>
      </c>
      <c r="W882" s="111"/>
      <c r="X882" s="111"/>
      <c r="Y882" s="111"/>
      <c r="Z882" s="111"/>
      <c r="AA882" s="111"/>
      <c r="AB882" s="111"/>
      <c r="AC882" s="111"/>
      <c r="AD882" s="111"/>
      <c r="AE882" s="139">
        <f t="shared" si="49"/>
        <v>0</v>
      </c>
      <c r="AF882" s="109"/>
      <c r="AG882" s="109"/>
    </row>
    <row r="883" spans="1:33">
      <c r="A883" s="117"/>
      <c r="B883" s="118"/>
      <c r="C883" s="118"/>
      <c r="D883" s="118"/>
      <c r="E883" s="119"/>
      <c r="F883" s="118"/>
      <c r="G883" s="110"/>
      <c r="H883" s="126"/>
      <c r="I883" s="114">
        <v>0</v>
      </c>
      <c r="J883" s="115">
        <v>0</v>
      </c>
      <c r="K883" s="116">
        <v>0</v>
      </c>
      <c r="L883" s="116">
        <v>0</v>
      </c>
      <c r="M883" s="114">
        <v>0</v>
      </c>
      <c r="N883" s="113">
        <v>0</v>
      </c>
      <c r="O883" s="113">
        <v>0</v>
      </c>
      <c r="P883" s="116">
        <v>0</v>
      </c>
      <c r="Q883" s="116">
        <v>0</v>
      </c>
      <c r="R883" s="116">
        <v>0</v>
      </c>
      <c r="S883" s="114">
        <v>0</v>
      </c>
      <c r="T883" s="116">
        <v>0</v>
      </c>
      <c r="U883" s="116">
        <v>0</v>
      </c>
      <c r="V883" s="121">
        <f t="shared" si="50"/>
        <v>0</v>
      </c>
      <c r="W883" s="111"/>
      <c r="X883" s="111"/>
      <c r="Y883" s="111"/>
      <c r="Z883" s="111"/>
      <c r="AA883" s="111"/>
      <c r="AB883" s="111"/>
      <c r="AC883" s="111"/>
      <c r="AD883" s="111"/>
      <c r="AE883" s="139">
        <f t="shared" si="49"/>
        <v>0</v>
      </c>
      <c r="AF883" s="109"/>
      <c r="AG883" s="109"/>
    </row>
    <row r="884" spans="1:33">
      <c r="A884" s="117"/>
      <c r="B884" s="118"/>
      <c r="C884" s="118"/>
      <c r="D884" s="118"/>
      <c r="E884" s="119"/>
      <c r="F884" s="118"/>
      <c r="G884" s="110"/>
      <c r="H884" s="126"/>
      <c r="I884" s="114">
        <v>0</v>
      </c>
      <c r="J884" s="115">
        <v>0</v>
      </c>
      <c r="K884" s="116">
        <v>0</v>
      </c>
      <c r="L884" s="116">
        <v>0</v>
      </c>
      <c r="M884" s="114">
        <v>0</v>
      </c>
      <c r="N884" s="113">
        <v>0</v>
      </c>
      <c r="O884" s="113">
        <v>0</v>
      </c>
      <c r="P884" s="116">
        <v>0</v>
      </c>
      <c r="Q884" s="116">
        <v>0</v>
      </c>
      <c r="R884" s="116">
        <v>0</v>
      </c>
      <c r="S884" s="114">
        <v>0</v>
      </c>
      <c r="T884" s="116">
        <v>0</v>
      </c>
      <c r="U884" s="116">
        <v>0</v>
      </c>
      <c r="V884" s="121">
        <f t="shared" si="50"/>
        <v>0</v>
      </c>
      <c r="W884" s="111"/>
      <c r="X884" s="111"/>
      <c r="Y884" s="111"/>
      <c r="Z884" s="111"/>
      <c r="AA884" s="111"/>
      <c r="AB884" s="111"/>
      <c r="AC884" s="111"/>
      <c r="AD884" s="111"/>
      <c r="AE884" s="139">
        <f t="shared" si="49"/>
        <v>0</v>
      </c>
      <c r="AF884" s="109"/>
      <c r="AG884" s="109"/>
    </row>
    <row r="885" spans="1:33">
      <c r="A885" s="117"/>
      <c r="B885" s="118"/>
      <c r="C885" s="118"/>
      <c r="D885" s="118"/>
      <c r="E885" s="119"/>
      <c r="F885" s="118"/>
      <c r="G885" s="110"/>
      <c r="H885" s="126"/>
      <c r="I885" s="114">
        <v>0</v>
      </c>
      <c r="J885" s="115">
        <v>0</v>
      </c>
      <c r="K885" s="116">
        <v>0</v>
      </c>
      <c r="L885" s="116">
        <v>0</v>
      </c>
      <c r="M885" s="114">
        <v>0</v>
      </c>
      <c r="N885" s="113">
        <v>0</v>
      </c>
      <c r="O885" s="113">
        <v>0</v>
      </c>
      <c r="P885" s="116">
        <v>0</v>
      </c>
      <c r="Q885" s="116">
        <v>0</v>
      </c>
      <c r="R885" s="116">
        <v>0</v>
      </c>
      <c r="S885" s="114">
        <v>0</v>
      </c>
      <c r="T885" s="116">
        <v>0</v>
      </c>
      <c r="U885" s="116">
        <v>0</v>
      </c>
      <c r="V885" s="121">
        <f t="shared" si="50"/>
        <v>0</v>
      </c>
      <c r="W885" s="111"/>
      <c r="X885" s="111"/>
      <c r="Y885" s="111"/>
      <c r="Z885" s="111"/>
      <c r="AA885" s="111"/>
      <c r="AB885" s="111"/>
      <c r="AC885" s="111"/>
      <c r="AD885" s="111"/>
      <c r="AE885" s="139">
        <f t="shared" si="49"/>
        <v>0</v>
      </c>
      <c r="AF885" s="109"/>
      <c r="AG885" s="109"/>
    </row>
    <row r="886" spans="1:33">
      <c r="A886" s="117"/>
      <c r="B886" s="118"/>
      <c r="C886" s="118"/>
      <c r="D886" s="118"/>
      <c r="E886" s="119"/>
      <c r="F886" s="118"/>
      <c r="G886" s="110"/>
      <c r="H886" s="126"/>
      <c r="I886" s="114">
        <v>0</v>
      </c>
      <c r="J886" s="115">
        <v>0</v>
      </c>
      <c r="K886" s="116">
        <v>0</v>
      </c>
      <c r="L886" s="116">
        <v>0</v>
      </c>
      <c r="M886" s="114">
        <v>0</v>
      </c>
      <c r="N886" s="113">
        <v>0</v>
      </c>
      <c r="O886" s="113">
        <v>0</v>
      </c>
      <c r="P886" s="116">
        <v>0</v>
      </c>
      <c r="Q886" s="116">
        <v>0</v>
      </c>
      <c r="R886" s="116">
        <v>0</v>
      </c>
      <c r="S886" s="114">
        <v>0</v>
      </c>
      <c r="T886" s="116">
        <v>0</v>
      </c>
      <c r="U886" s="116">
        <v>0</v>
      </c>
      <c r="V886" s="121">
        <f t="shared" si="50"/>
        <v>0</v>
      </c>
      <c r="W886" s="111"/>
      <c r="X886" s="111"/>
      <c r="Y886" s="111"/>
      <c r="Z886" s="111"/>
      <c r="AA886" s="111"/>
      <c r="AB886" s="111"/>
      <c r="AC886" s="111"/>
      <c r="AD886" s="111"/>
      <c r="AE886" s="139">
        <f t="shared" si="49"/>
        <v>0</v>
      </c>
      <c r="AF886" s="109"/>
      <c r="AG886" s="109"/>
    </row>
    <row r="887" spans="1:33">
      <c r="A887" s="117"/>
      <c r="B887" s="118"/>
      <c r="C887" s="118"/>
      <c r="D887" s="118"/>
      <c r="E887" s="119"/>
      <c r="F887" s="118"/>
      <c r="G887" s="110"/>
      <c r="H887" s="126"/>
      <c r="I887" s="114">
        <v>0</v>
      </c>
      <c r="J887" s="115">
        <v>0</v>
      </c>
      <c r="K887" s="116">
        <v>0</v>
      </c>
      <c r="L887" s="116">
        <v>0</v>
      </c>
      <c r="M887" s="114">
        <v>0</v>
      </c>
      <c r="N887" s="113">
        <v>0</v>
      </c>
      <c r="O887" s="113">
        <v>0</v>
      </c>
      <c r="P887" s="116">
        <v>0</v>
      </c>
      <c r="Q887" s="116">
        <v>0</v>
      </c>
      <c r="R887" s="116">
        <v>0</v>
      </c>
      <c r="S887" s="114">
        <v>0</v>
      </c>
      <c r="T887" s="116">
        <v>0</v>
      </c>
      <c r="U887" s="116">
        <v>0</v>
      </c>
      <c r="V887" s="121">
        <f t="shared" si="50"/>
        <v>0</v>
      </c>
      <c r="W887" s="111"/>
      <c r="X887" s="111"/>
      <c r="Y887" s="111"/>
      <c r="Z887" s="111"/>
      <c r="AA887" s="111"/>
      <c r="AB887" s="111"/>
      <c r="AC887" s="111"/>
      <c r="AD887" s="111"/>
      <c r="AE887" s="139">
        <f t="shared" si="49"/>
        <v>0</v>
      </c>
      <c r="AF887" s="109"/>
      <c r="AG887" s="109"/>
    </row>
    <row r="888" spans="1:33">
      <c r="A888" s="117"/>
      <c r="B888" s="118"/>
      <c r="C888" s="118"/>
      <c r="D888" s="118"/>
      <c r="E888" s="119"/>
      <c r="F888" s="118"/>
      <c r="G888" s="110"/>
      <c r="H888" s="126"/>
      <c r="I888" s="114">
        <v>0</v>
      </c>
      <c r="J888" s="115">
        <v>0</v>
      </c>
      <c r="K888" s="116">
        <v>0</v>
      </c>
      <c r="L888" s="116">
        <v>0</v>
      </c>
      <c r="M888" s="114">
        <v>0</v>
      </c>
      <c r="N888" s="113">
        <v>0</v>
      </c>
      <c r="O888" s="113">
        <v>0</v>
      </c>
      <c r="P888" s="116">
        <v>0</v>
      </c>
      <c r="Q888" s="116">
        <v>0</v>
      </c>
      <c r="R888" s="116">
        <v>0</v>
      </c>
      <c r="S888" s="114">
        <v>0</v>
      </c>
      <c r="T888" s="116">
        <v>0</v>
      </c>
      <c r="U888" s="116">
        <v>0</v>
      </c>
      <c r="V888" s="121">
        <f t="shared" si="50"/>
        <v>0</v>
      </c>
      <c r="W888" s="111"/>
      <c r="X888" s="111"/>
      <c r="Y888" s="111"/>
      <c r="Z888" s="111"/>
      <c r="AA888" s="111"/>
      <c r="AB888" s="111"/>
      <c r="AC888" s="111"/>
      <c r="AD888" s="111"/>
      <c r="AE888" s="139">
        <f t="shared" si="49"/>
        <v>0</v>
      </c>
      <c r="AF888" s="109"/>
      <c r="AG888" s="109"/>
    </row>
    <row r="889" spans="1:33">
      <c r="A889" s="117"/>
      <c r="B889" s="118"/>
      <c r="C889" s="118"/>
      <c r="D889" s="118"/>
      <c r="E889" s="119"/>
      <c r="F889" s="118"/>
      <c r="G889" s="110"/>
      <c r="H889" s="126"/>
      <c r="I889" s="114">
        <v>0</v>
      </c>
      <c r="J889" s="115">
        <v>0</v>
      </c>
      <c r="K889" s="116">
        <v>0</v>
      </c>
      <c r="L889" s="116">
        <v>0</v>
      </c>
      <c r="M889" s="114">
        <v>0</v>
      </c>
      <c r="N889" s="113">
        <v>0</v>
      </c>
      <c r="O889" s="113">
        <v>0</v>
      </c>
      <c r="P889" s="116">
        <v>0</v>
      </c>
      <c r="Q889" s="116">
        <v>0</v>
      </c>
      <c r="R889" s="116">
        <v>0</v>
      </c>
      <c r="S889" s="114">
        <v>0</v>
      </c>
      <c r="T889" s="116">
        <v>0</v>
      </c>
      <c r="U889" s="116">
        <v>0</v>
      </c>
      <c r="V889" s="121">
        <f t="shared" si="50"/>
        <v>0</v>
      </c>
      <c r="W889" s="111"/>
      <c r="X889" s="111"/>
      <c r="Y889" s="111"/>
      <c r="Z889" s="111"/>
      <c r="AA889" s="111"/>
      <c r="AB889" s="111"/>
      <c r="AC889" s="111"/>
      <c r="AD889" s="111"/>
      <c r="AE889" s="139">
        <f t="shared" si="49"/>
        <v>0</v>
      </c>
      <c r="AF889" s="109"/>
      <c r="AG889" s="109"/>
    </row>
    <row r="890" spans="1:33">
      <c r="A890" s="117"/>
      <c r="B890" s="118"/>
      <c r="C890" s="118"/>
      <c r="D890" s="118"/>
      <c r="E890" s="119"/>
      <c r="F890" s="118"/>
      <c r="G890" s="110"/>
      <c r="H890" s="126"/>
      <c r="I890" s="114">
        <v>0</v>
      </c>
      <c r="J890" s="115">
        <v>0</v>
      </c>
      <c r="K890" s="116">
        <v>0</v>
      </c>
      <c r="L890" s="116">
        <v>0</v>
      </c>
      <c r="M890" s="114">
        <v>0</v>
      </c>
      <c r="N890" s="113">
        <v>0</v>
      </c>
      <c r="O890" s="113">
        <v>0</v>
      </c>
      <c r="P890" s="116">
        <v>0</v>
      </c>
      <c r="Q890" s="116">
        <v>0</v>
      </c>
      <c r="R890" s="116">
        <v>0</v>
      </c>
      <c r="S890" s="114">
        <v>0</v>
      </c>
      <c r="T890" s="116">
        <v>0</v>
      </c>
      <c r="U890" s="116">
        <v>0</v>
      </c>
      <c r="V890" s="121">
        <f t="shared" si="50"/>
        <v>0</v>
      </c>
      <c r="W890" s="111"/>
      <c r="X890" s="111"/>
      <c r="Y890" s="111"/>
      <c r="Z890" s="111"/>
      <c r="AA890" s="111"/>
      <c r="AB890" s="111"/>
      <c r="AC890" s="111"/>
      <c r="AD890" s="111"/>
      <c r="AE890" s="139">
        <f t="shared" si="49"/>
        <v>0</v>
      </c>
      <c r="AF890" s="109"/>
      <c r="AG890" s="109"/>
    </row>
    <row r="891" spans="1:33">
      <c r="A891" s="117"/>
      <c r="B891" s="118"/>
      <c r="C891" s="118"/>
      <c r="D891" s="118"/>
      <c r="E891" s="119"/>
      <c r="F891" s="118"/>
      <c r="G891" s="110"/>
      <c r="H891" s="126"/>
      <c r="I891" s="114">
        <v>0</v>
      </c>
      <c r="J891" s="115">
        <v>0</v>
      </c>
      <c r="K891" s="116">
        <v>0</v>
      </c>
      <c r="L891" s="116">
        <v>0</v>
      </c>
      <c r="M891" s="114">
        <v>0</v>
      </c>
      <c r="N891" s="113">
        <v>0</v>
      </c>
      <c r="O891" s="113">
        <v>0</v>
      </c>
      <c r="P891" s="116">
        <v>0</v>
      </c>
      <c r="Q891" s="116">
        <v>0</v>
      </c>
      <c r="R891" s="116">
        <v>0</v>
      </c>
      <c r="S891" s="114">
        <v>0</v>
      </c>
      <c r="T891" s="116">
        <v>0</v>
      </c>
      <c r="U891" s="116">
        <v>0</v>
      </c>
      <c r="V891" s="121">
        <f t="shared" si="50"/>
        <v>0</v>
      </c>
      <c r="W891" s="111"/>
      <c r="X891" s="111"/>
      <c r="Y891" s="111"/>
      <c r="Z891" s="111"/>
      <c r="AA891" s="111"/>
      <c r="AB891" s="111"/>
      <c r="AC891" s="111"/>
      <c r="AD891" s="111"/>
      <c r="AE891" s="139">
        <f t="shared" si="49"/>
        <v>0</v>
      </c>
      <c r="AF891" s="109"/>
      <c r="AG891" s="109"/>
    </row>
    <row r="892" spans="1:33">
      <c r="A892" s="117"/>
      <c r="B892" s="118"/>
      <c r="C892" s="118"/>
      <c r="D892" s="118"/>
      <c r="E892" s="119"/>
      <c r="F892" s="118"/>
      <c r="G892" s="110"/>
      <c r="H892" s="126"/>
      <c r="I892" s="114">
        <v>0</v>
      </c>
      <c r="J892" s="115">
        <v>0</v>
      </c>
      <c r="K892" s="116">
        <v>0</v>
      </c>
      <c r="L892" s="116">
        <v>0</v>
      </c>
      <c r="M892" s="114">
        <v>0</v>
      </c>
      <c r="N892" s="113">
        <v>0</v>
      </c>
      <c r="O892" s="113">
        <v>0</v>
      </c>
      <c r="P892" s="116">
        <v>0</v>
      </c>
      <c r="Q892" s="116">
        <v>0</v>
      </c>
      <c r="R892" s="116">
        <v>0</v>
      </c>
      <c r="S892" s="114">
        <v>0</v>
      </c>
      <c r="T892" s="116">
        <v>0</v>
      </c>
      <c r="U892" s="116">
        <v>0</v>
      </c>
      <c r="V892" s="121">
        <f t="shared" si="50"/>
        <v>0</v>
      </c>
      <c r="W892" s="111"/>
      <c r="X892" s="111"/>
      <c r="Y892" s="111"/>
      <c r="Z892" s="111"/>
      <c r="AA892" s="111"/>
      <c r="AB892" s="111"/>
      <c r="AC892" s="111"/>
      <c r="AD892" s="111"/>
      <c r="AE892" s="139">
        <f t="shared" si="49"/>
        <v>0</v>
      </c>
      <c r="AF892" s="109"/>
      <c r="AG892" s="109"/>
    </row>
    <row r="893" spans="1:33">
      <c r="A893" s="117"/>
      <c r="B893" s="118"/>
      <c r="C893" s="118"/>
      <c r="D893" s="118"/>
      <c r="E893" s="119"/>
      <c r="F893" s="118"/>
      <c r="G893" s="110"/>
      <c r="H893" s="126"/>
      <c r="I893" s="114">
        <v>0</v>
      </c>
      <c r="J893" s="115">
        <v>0</v>
      </c>
      <c r="K893" s="116">
        <v>0</v>
      </c>
      <c r="L893" s="116">
        <v>0</v>
      </c>
      <c r="M893" s="114">
        <v>0</v>
      </c>
      <c r="N893" s="113">
        <v>0</v>
      </c>
      <c r="O893" s="113">
        <v>0</v>
      </c>
      <c r="P893" s="116">
        <v>0</v>
      </c>
      <c r="Q893" s="116">
        <v>0</v>
      </c>
      <c r="R893" s="116">
        <v>0</v>
      </c>
      <c r="S893" s="114">
        <v>0</v>
      </c>
      <c r="T893" s="116">
        <v>0</v>
      </c>
      <c r="U893" s="116">
        <v>0</v>
      </c>
      <c r="V893" s="121">
        <f t="shared" si="50"/>
        <v>0</v>
      </c>
      <c r="W893" s="111"/>
      <c r="X893" s="111"/>
      <c r="Y893" s="111"/>
      <c r="Z893" s="111"/>
      <c r="AA893" s="111"/>
      <c r="AB893" s="111"/>
      <c r="AC893" s="111"/>
      <c r="AD893" s="111"/>
      <c r="AE893" s="139">
        <f t="shared" si="49"/>
        <v>0</v>
      </c>
      <c r="AF893" s="109"/>
      <c r="AG893" s="109"/>
    </row>
    <row r="894" spans="1:33">
      <c r="A894" s="117"/>
      <c r="B894" s="118"/>
      <c r="C894" s="118"/>
      <c r="D894" s="118"/>
      <c r="E894" s="119"/>
      <c r="F894" s="118"/>
      <c r="G894" s="110"/>
      <c r="H894" s="126"/>
      <c r="I894" s="114">
        <v>0</v>
      </c>
      <c r="J894" s="115">
        <v>0</v>
      </c>
      <c r="K894" s="116">
        <v>0</v>
      </c>
      <c r="L894" s="116">
        <v>0</v>
      </c>
      <c r="M894" s="114">
        <v>0</v>
      </c>
      <c r="N894" s="113">
        <v>0</v>
      </c>
      <c r="O894" s="113">
        <v>0</v>
      </c>
      <c r="P894" s="116">
        <v>0</v>
      </c>
      <c r="Q894" s="116">
        <v>0</v>
      </c>
      <c r="R894" s="116">
        <v>0</v>
      </c>
      <c r="S894" s="114">
        <v>0</v>
      </c>
      <c r="T894" s="116">
        <v>0</v>
      </c>
      <c r="U894" s="116">
        <v>0</v>
      </c>
      <c r="V894" s="121">
        <f t="shared" si="50"/>
        <v>0</v>
      </c>
      <c r="W894" s="111"/>
      <c r="X894" s="111"/>
      <c r="Y894" s="111"/>
      <c r="Z894" s="111"/>
      <c r="AA894" s="111"/>
      <c r="AB894" s="111"/>
      <c r="AC894" s="111"/>
      <c r="AD894" s="111"/>
      <c r="AE894" s="139">
        <f t="shared" si="49"/>
        <v>0</v>
      </c>
      <c r="AF894" s="109"/>
      <c r="AG894" s="109"/>
    </row>
    <row r="895" spans="1:33">
      <c r="A895" s="117"/>
      <c r="B895" s="118"/>
      <c r="C895" s="118"/>
      <c r="D895" s="118"/>
      <c r="E895" s="119"/>
      <c r="F895" s="118"/>
      <c r="G895" s="110"/>
      <c r="H895" s="126"/>
      <c r="I895" s="114">
        <v>0</v>
      </c>
      <c r="J895" s="115">
        <v>0</v>
      </c>
      <c r="K895" s="116">
        <v>0</v>
      </c>
      <c r="L895" s="116">
        <v>0</v>
      </c>
      <c r="M895" s="114">
        <v>0</v>
      </c>
      <c r="N895" s="113">
        <v>0</v>
      </c>
      <c r="O895" s="113">
        <v>0</v>
      </c>
      <c r="P895" s="116">
        <v>0</v>
      </c>
      <c r="Q895" s="116">
        <v>0</v>
      </c>
      <c r="R895" s="116">
        <v>0</v>
      </c>
      <c r="S895" s="114">
        <v>0</v>
      </c>
      <c r="T895" s="116">
        <v>0</v>
      </c>
      <c r="U895" s="116">
        <v>0</v>
      </c>
      <c r="V895" s="121">
        <f t="shared" si="50"/>
        <v>0</v>
      </c>
      <c r="W895" s="111"/>
      <c r="X895" s="111"/>
      <c r="Y895" s="111"/>
      <c r="Z895" s="111"/>
      <c r="AA895" s="111"/>
      <c r="AB895" s="111"/>
      <c r="AC895" s="111"/>
      <c r="AD895" s="111"/>
      <c r="AE895" s="139">
        <f t="shared" si="49"/>
        <v>0</v>
      </c>
      <c r="AF895" s="109"/>
      <c r="AG895" s="109"/>
    </row>
    <row r="896" spans="1:33">
      <c r="A896" s="117"/>
      <c r="B896" s="118"/>
      <c r="C896" s="118"/>
      <c r="D896" s="118"/>
      <c r="E896" s="119"/>
      <c r="F896" s="118"/>
      <c r="G896" s="110"/>
      <c r="H896" s="126"/>
      <c r="I896" s="114">
        <v>0</v>
      </c>
      <c r="J896" s="115">
        <v>0</v>
      </c>
      <c r="K896" s="116">
        <v>0</v>
      </c>
      <c r="L896" s="116">
        <v>0</v>
      </c>
      <c r="M896" s="114">
        <v>0</v>
      </c>
      <c r="N896" s="113">
        <v>0</v>
      </c>
      <c r="O896" s="113">
        <v>0</v>
      </c>
      <c r="P896" s="116">
        <v>0</v>
      </c>
      <c r="Q896" s="116">
        <v>0</v>
      </c>
      <c r="R896" s="116">
        <v>0</v>
      </c>
      <c r="S896" s="114">
        <v>0</v>
      </c>
      <c r="T896" s="116">
        <v>0</v>
      </c>
      <c r="U896" s="116">
        <v>0</v>
      </c>
      <c r="V896" s="121">
        <f t="shared" si="50"/>
        <v>0</v>
      </c>
      <c r="W896" s="111"/>
      <c r="X896" s="111"/>
      <c r="Y896" s="111"/>
      <c r="Z896" s="111"/>
      <c r="AA896" s="111"/>
      <c r="AB896" s="111"/>
      <c r="AC896" s="111"/>
      <c r="AD896" s="111"/>
      <c r="AE896" s="139">
        <f t="shared" si="49"/>
        <v>0</v>
      </c>
      <c r="AF896" s="109"/>
      <c r="AG896" s="109"/>
    </row>
    <row r="897" spans="1:33">
      <c r="A897" s="117"/>
      <c r="B897" s="118"/>
      <c r="C897" s="118"/>
      <c r="D897" s="118"/>
      <c r="E897" s="119"/>
      <c r="F897" s="118"/>
      <c r="G897" s="110"/>
      <c r="H897" s="126"/>
      <c r="I897" s="114">
        <v>0</v>
      </c>
      <c r="J897" s="115">
        <v>0</v>
      </c>
      <c r="K897" s="116">
        <v>0</v>
      </c>
      <c r="L897" s="116">
        <v>0</v>
      </c>
      <c r="M897" s="114">
        <v>0</v>
      </c>
      <c r="N897" s="113">
        <v>0</v>
      </c>
      <c r="O897" s="113">
        <v>0</v>
      </c>
      <c r="P897" s="116">
        <v>0</v>
      </c>
      <c r="Q897" s="116">
        <v>0</v>
      </c>
      <c r="R897" s="116">
        <v>0</v>
      </c>
      <c r="S897" s="114">
        <v>0</v>
      </c>
      <c r="T897" s="116">
        <v>0</v>
      </c>
      <c r="U897" s="116">
        <v>0</v>
      </c>
      <c r="V897" s="121">
        <f t="shared" si="50"/>
        <v>0</v>
      </c>
      <c r="W897" s="111"/>
      <c r="X897" s="111"/>
      <c r="Y897" s="111"/>
      <c r="Z897" s="111"/>
      <c r="AA897" s="111"/>
      <c r="AB897" s="111"/>
      <c r="AC897" s="111"/>
      <c r="AD897" s="111"/>
      <c r="AE897" s="139">
        <f t="shared" si="49"/>
        <v>0</v>
      </c>
      <c r="AF897" s="109"/>
      <c r="AG897" s="109"/>
    </row>
    <row r="898" spans="1:33">
      <c r="A898" s="117"/>
      <c r="B898" s="118"/>
      <c r="C898" s="118"/>
      <c r="D898" s="118"/>
      <c r="E898" s="119"/>
      <c r="F898" s="118"/>
      <c r="G898" s="110"/>
      <c r="H898" s="126"/>
      <c r="I898" s="114">
        <v>0</v>
      </c>
      <c r="J898" s="115">
        <v>0</v>
      </c>
      <c r="K898" s="116">
        <v>0</v>
      </c>
      <c r="L898" s="116">
        <v>0</v>
      </c>
      <c r="M898" s="114">
        <v>0</v>
      </c>
      <c r="N898" s="113">
        <v>0</v>
      </c>
      <c r="O898" s="113">
        <v>0</v>
      </c>
      <c r="P898" s="116">
        <v>0</v>
      </c>
      <c r="Q898" s="116">
        <v>0</v>
      </c>
      <c r="R898" s="116">
        <v>0</v>
      </c>
      <c r="S898" s="114">
        <v>0</v>
      </c>
      <c r="T898" s="116">
        <v>0</v>
      </c>
      <c r="U898" s="116">
        <v>0</v>
      </c>
      <c r="V898" s="121">
        <f t="shared" si="50"/>
        <v>0</v>
      </c>
      <c r="W898" s="111"/>
      <c r="X898" s="111"/>
      <c r="Y898" s="111"/>
      <c r="Z898" s="111"/>
      <c r="AA898" s="111"/>
      <c r="AB898" s="111"/>
      <c r="AC898" s="111"/>
      <c r="AD898" s="111"/>
      <c r="AE898" s="139">
        <f t="shared" si="49"/>
        <v>0</v>
      </c>
      <c r="AF898" s="109"/>
      <c r="AG898" s="109"/>
    </row>
    <row r="899" spans="1:33">
      <c r="A899" s="117"/>
      <c r="B899" s="118"/>
      <c r="C899" s="118"/>
      <c r="D899" s="118"/>
      <c r="E899" s="119"/>
      <c r="F899" s="118"/>
      <c r="G899" s="110"/>
      <c r="H899" s="126"/>
      <c r="I899" s="114">
        <v>0</v>
      </c>
      <c r="J899" s="115">
        <v>0</v>
      </c>
      <c r="K899" s="116">
        <v>0</v>
      </c>
      <c r="L899" s="116">
        <v>0</v>
      </c>
      <c r="M899" s="114">
        <v>0</v>
      </c>
      <c r="N899" s="113">
        <v>0</v>
      </c>
      <c r="O899" s="113">
        <v>0</v>
      </c>
      <c r="P899" s="116">
        <v>0</v>
      </c>
      <c r="Q899" s="116">
        <v>0</v>
      </c>
      <c r="R899" s="116">
        <v>0</v>
      </c>
      <c r="S899" s="114">
        <v>0</v>
      </c>
      <c r="T899" s="116">
        <v>0</v>
      </c>
      <c r="U899" s="116">
        <v>0</v>
      </c>
      <c r="V899" s="121">
        <f t="shared" si="50"/>
        <v>0</v>
      </c>
      <c r="W899" s="111"/>
      <c r="X899" s="111"/>
      <c r="Y899" s="111"/>
      <c r="Z899" s="111"/>
      <c r="AA899" s="111"/>
      <c r="AB899" s="111"/>
      <c r="AC899" s="111"/>
      <c r="AD899" s="111"/>
      <c r="AE899" s="139">
        <f t="shared" si="49"/>
        <v>0</v>
      </c>
      <c r="AF899" s="109"/>
      <c r="AG899" s="109"/>
    </row>
    <row r="900" spans="1:33">
      <c r="A900" s="117"/>
      <c r="B900" s="118"/>
      <c r="C900" s="118"/>
      <c r="D900" s="118"/>
      <c r="E900" s="119"/>
      <c r="F900" s="118"/>
      <c r="G900" s="110"/>
      <c r="H900" s="126"/>
      <c r="I900" s="114">
        <v>0</v>
      </c>
      <c r="J900" s="115">
        <v>0</v>
      </c>
      <c r="K900" s="116">
        <v>0</v>
      </c>
      <c r="L900" s="116">
        <v>0</v>
      </c>
      <c r="M900" s="114">
        <v>0</v>
      </c>
      <c r="N900" s="113">
        <v>0</v>
      </c>
      <c r="O900" s="113">
        <v>0</v>
      </c>
      <c r="P900" s="116">
        <v>0</v>
      </c>
      <c r="Q900" s="116">
        <v>0</v>
      </c>
      <c r="R900" s="116">
        <v>0</v>
      </c>
      <c r="S900" s="114">
        <v>0</v>
      </c>
      <c r="T900" s="116">
        <v>0</v>
      </c>
      <c r="U900" s="116">
        <v>0</v>
      </c>
      <c r="V900" s="121">
        <f t="shared" si="50"/>
        <v>0</v>
      </c>
      <c r="W900" s="111"/>
      <c r="X900" s="111"/>
      <c r="Y900" s="111"/>
      <c r="Z900" s="111"/>
      <c r="AA900" s="111"/>
      <c r="AB900" s="111"/>
      <c r="AC900" s="111"/>
      <c r="AD900" s="111"/>
      <c r="AE900" s="139">
        <f t="shared" si="49"/>
        <v>0</v>
      </c>
      <c r="AF900" s="109"/>
      <c r="AG900" s="109"/>
    </row>
    <row r="901" spans="1:33">
      <c r="A901" s="117"/>
      <c r="B901" s="118"/>
      <c r="C901" s="118"/>
      <c r="D901" s="118"/>
      <c r="E901" s="119"/>
      <c r="F901" s="118"/>
      <c r="G901" s="110"/>
      <c r="H901" s="126"/>
      <c r="I901" s="114">
        <v>0</v>
      </c>
      <c r="J901" s="115">
        <v>0</v>
      </c>
      <c r="K901" s="116">
        <v>0</v>
      </c>
      <c r="L901" s="116">
        <v>0</v>
      </c>
      <c r="M901" s="114">
        <v>0</v>
      </c>
      <c r="N901" s="113">
        <v>0</v>
      </c>
      <c r="O901" s="113">
        <v>0</v>
      </c>
      <c r="P901" s="116">
        <v>0</v>
      </c>
      <c r="Q901" s="116">
        <v>0</v>
      </c>
      <c r="R901" s="116">
        <v>0</v>
      </c>
      <c r="S901" s="114">
        <v>0</v>
      </c>
      <c r="T901" s="116">
        <v>0</v>
      </c>
      <c r="U901" s="116">
        <v>0</v>
      </c>
      <c r="V901" s="121">
        <f t="shared" si="50"/>
        <v>0</v>
      </c>
      <c r="W901" s="111"/>
      <c r="X901" s="111"/>
      <c r="Y901" s="111"/>
      <c r="Z901" s="111"/>
      <c r="AA901" s="111"/>
      <c r="AB901" s="111"/>
      <c r="AC901" s="111"/>
      <c r="AD901" s="111"/>
      <c r="AE901" s="139">
        <f t="shared" si="49"/>
        <v>0</v>
      </c>
      <c r="AF901" s="109"/>
      <c r="AG901" s="109"/>
    </row>
    <row r="902" spans="1:33">
      <c r="A902" s="117"/>
      <c r="B902" s="118"/>
      <c r="C902" s="118"/>
      <c r="D902" s="118"/>
      <c r="E902" s="119"/>
      <c r="F902" s="118"/>
      <c r="G902" s="110"/>
      <c r="H902" s="126"/>
      <c r="I902" s="114">
        <v>0</v>
      </c>
      <c r="J902" s="115">
        <v>0</v>
      </c>
      <c r="K902" s="116">
        <v>0</v>
      </c>
      <c r="L902" s="116">
        <v>0</v>
      </c>
      <c r="M902" s="114">
        <v>0</v>
      </c>
      <c r="N902" s="113">
        <v>0</v>
      </c>
      <c r="O902" s="113">
        <v>0</v>
      </c>
      <c r="P902" s="116">
        <v>0</v>
      </c>
      <c r="Q902" s="116">
        <v>0</v>
      </c>
      <c r="R902" s="116">
        <v>0</v>
      </c>
      <c r="S902" s="114">
        <v>0</v>
      </c>
      <c r="T902" s="116">
        <v>0</v>
      </c>
      <c r="U902" s="116">
        <v>0</v>
      </c>
      <c r="V902" s="121">
        <f t="shared" si="50"/>
        <v>0</v>
      </c>
      <c r="W902" s="111"/>
      <c r="X902" s="111"/>
      <c r="Y902" s="111"/>
      <c r="Z902" s="111"/>
      <c r="AA902" s="111"/>
      <c r="AB902" s="111"/>
      <c r="AC902" s="111"/>
      <c r="AD902" s="111"/>
      <c r="AE902" s="139">
        <f t="shared" si="49"/>
        <v>0</v>
      </c>
      <c r="AF902" s="109"/>
      <c r="AG902" s="109"/>
    </row>
    <row r="903" spans="1:33">
      <c r="A903" s="117"/>
      <c r="B903" s="118"/>
      <c r="C903" s="118"/>
      <c r="D903" s="118"/>
      <c r="E903" s="119"/>
      <c r="F903" s="118"/>
      <c r="G903" s="110"/>
      <c r="H903" s="126"/>
      <c r="I903" s="114">
        <v>0</v>
      </c>
      <c r="J903" s="115">
        <v>0</v>
      </c>
      <c r="K903" s="116">
        <v>0</v>
      </c>
      <c r="L903" s="116">
        <v>0</v>
      </c>
      <c r="M903" s="114">
        <v>0</v>
      </c>
      <c r="N903" s="113">
        <v>0</v>
      </c>
      <c r="O903" s="113">
        <v>0</v>
      </c>
      <c r="P903" s="116">
        <v>0</v>
      </c>
      <c r="Q903" s="116">
        <v>0</v>
      </c>
      <c r="R903" s="116">
        <v>0</v>
      </c>
      <c r="S903" s="114">
        <v>0</v>
      </c>
      <c r="T903" s="116">
        <v>0</v>
      </c>
      <c r="U903" s="116">
        <v>0</v>
      </c>
      <c r="V903" s="121">
        <f t="shared" si="50"/>
        <v>0</v>
      </c>
      <c r="W903" s="111"/>
      <c r="X903" s="111"/>
      <c r="Y903" s="111"/>
      <c r="Z903" s="111"/>
      <c r="AA903" s="111"/>
      <c r="AB903" s="111"/>
      <c r="AC903" s="111"/>
      <c r="AD903" s="111"/>
      <c r="AE903" s="139">
        <f t="shared" si="49"/>
        <v>0</v>
      </c>
      <c r="AF903" s="109"/>
      <c r="AG903" s="109"/>
    </row>
    <row r="904" spans="1:33">
      <c r="A904" s="117"/>
      <c r="B904" s="118"/>
      <c r="C904" s="118"/>
      <c r="D904" s="118"/>
      <c r="E904" s="119"/>
      <c r="F904" s="118"/>
      <c r="G904" s="110"/>
      <c r="H904" s="126"/>
      <c r="I904" s="114">
        <v>0</v>
      </c>
      <c r="J904" s="115">
        <v>0</v>
      </c>
      <c r="K904" s="116">
        <v>0</v>
      </c>
      <c r="L904" s="116">
        <v>0</v>
      </c>
      <c r="M904" s="114">
        <v>0</v>
      </c>
      <c r="N904" s="113">
        <v>0</v>
      </c>
      <c r="O904" s="113">
        <v>0</v>
      </c>
      <c r="P904" s="116">
        <v>0</v>
      </c>
      <c r="Q904" s="116">
        <v>0</v>
      </c>
      <c r="R904" s="116">
        <v>0</v>
      </c>
      <c r="S904" s="114">
        <v>0</v>
      </c>
      <c r="T904" s="116">
        <v>0</v>
      </c>
      <c r="U904" s="116">
        <v>0</v>
      </c>
      <c r="V904" s="121">
        <f t="shared" si="50"/>
        <v>0</v>
      </c>
      <c r="W904" s="111"/>
      <c r="X904" s="111"/>
      <c r="Y904" s="111"/>
      <c r="Z904" s="111"/>
      <c r="AA904" s="111"/>
      <c r="AB904" s="111"/>
      <c r="AC904" s="111"/>
      <c r="AD904" s="111"/>
      <c r="AE904" s="139">
        <f t="shared" si="49"/>
        <v>0</v>
      </c>
      <c r="AF904" s="109"/>
      <c r="AG904" s="109"/>
    </row>
    <row r="905" spans="1:33">
      <c r="A905" s="117"/>
      <c r="B905" s="118"/>
      <c r="C905" s="118"/>
      <c r="D905" s="118"/>
      <c r="E905" s="119"/>
      <c r="F905" s="118"/>
      <c r="G905" s="110"/>
      <c r="H905" s="126"/>
      <c r="I905" s="114">
        <v>0</v>
      </c>
      <c r="J905" s="115">
        <v>0</v>
      </c>
      <c r="K905" s="116">
        <v>0</v>
      </c>
      <c r="L905" s="116">
        <v>0</v>
      </c>
      <c r="M905" s="114">
        <v>0</v>
      </c>
      <c r="N905" s="113">
        <v>0</v>
      </c>
      <c r="O905" s="113">
        <v>0</v>
      </c>
      <c r="P905" s="116">
        <v>0</v>
      </c>
      <c r="Q905" s="116">
        <v>0</v>
      </c>
      <c r="R905" s="116">
        <v>0</v>
      </c>
      <c r="S905" s="114">
        <v>0</v>
      </c>
      <c r="T905" s="116">
        <v>0</v>
      </c>
      <c r="U905" s="116">
        <v>0</v>
      </c>
      <c r="V905" s="121">
        <f t="shared" si="50"/>
        <v>0</v>
      </c>
      <c r="W905" s="111"/>
      <c r="X905" s="111"/>
      <c r="Y905" s="111"/>
      <c r="Z905" s="111"/>
      <c r="AA905" s="111"/>
      <c r="AB905" s="111"/>
      <c r="AC905" s="111"/>
      <c r="AD905" s="111"/>
      <c r="AE905" s="139">
        <f t="shared" si="49"/>
        <v>0</v>
      </c>
      <c r="AF905" s="109"/>
      <c r="AG905" s="109"/>
    </row>
    <row r="906" spans="1:33">
      <c r="A906" s="117"/>
      <c r="B906" s="118"/>
      <c r="C906" s="118"/>
      <c r="D906" s="118"/>
      <c r="E906" s="119"/>
      <c r="F906" s="118"/>
      <c r="G906" s="110"/>
      <c r="H906" s="126"/>
      <c r="I906" s="114">
        <v>0</v>
      </c>
      <c r="J906" s="115">
        <v>0</v>
      </c>
      <c r="K906" s="116">
        <v>0</v>
      </c>
      <c r="L906" s="116">
        <v>0</v>
      </c>
      <c r="M906" s="114">
        <v>0</v>
      </c>
      <c r="N906" s="113">
        <v>0</v>
      </c>
      <c r="O906" s="113">
        <v>0</v>
      </c>
      <c r="P906" s="116">
        <v>0</v>
      </c>
      <c r="Q906" s="116">
        <v>0</v>
      </c>
      <c r="R906" s="116">
        <v>0</v>
      </c>
      <c r="S906" s="114">
        <v>0</v>
      </c>
      <c r="T906" s="116">
        <v>0</v>
      </c>
      <c r="U906" s="116">
        <v>0</v>
      </c>
      <c r="V906" s="121">
        <f t="shared" si="50"/>
        <v>0</v>
      </c>
      <c r="W906" s="111"/>
      <c r="X906" s="111"/>
      <c r="Y906" s="111"/>
      <c r="Z906" s="111"/>
      <c r="AA906" s="111"/>
      <c r="AB906" s="111"/>
      <c r="AC906" s="111"/>
      <c r="AD906" s="111"/>
      <c r="AE906" s="139">
        <f t="shared" si="49"/>
        <v>0</v>
      </c>
      <c r="AF906" s="109"/>
      <c r="AG906" s="109"/>
    </row>
    <row r="907" spans="1:33">
      <c r="A907" s="117"/>
      <c r="B907" s="118"/>
      <c r="C907" s="118"/>
      <c r="D907" s="118"/>
      <c r="E907" s="119"/>
      <c r="F907" s="118"/>
      <c r="G907" s="110"/>
      <c r="H907" s="126"/>
      <c r="I907" s="114">
        <v>0</v>
      </c>
      <c r="J907" s="115">
        <v>0</v>
      </c>
      <c r="K907" s="116">
        <v>0</v>
      </c>
      <c r="L907" s="116">
        <v>0</v>
      </c>
      <c r="M907" s="114">
        <v>0</v>
      </c>
      <c r="N907" s="113">
        <v>0</v>
      </c>
      <c r="O907" s="113">
        <v>0</v>
      </c>
      <c r="P907" s="116">
        <v>0</v>
      </c>
      <c r="Q907" s="116">
        <v>0</v>
      </c>
      <c r="R907" s="116">
        <v>0</v>
      </c>
      <c r="S907" s="114">
        <v>0</v>
      </c>
      <c r="T907" s="116">
        <v>0</v>
      </c>
      <c r="U907" s="116">
        <v>0</v>
      </c>
      <c r="V907" s="121">
        <f t="shared" si="50"/>
        <v>0</v>
      </c>
      <c r="W907" s="111"/>
      <c r="X907" s="111"/>
      <c r="Y907" s="111"/>
      <c r="Z907" s="111"/>
      <c r="AA907" s="111"/>
      <c r="AB907" s="111"/>
      <c r="AC907" s="111"/>
      <c r="AD907" s="111"/>
      <c r="AE907" s="139">
        <f t="shared" si="49"/>
        <v>0</v>
      </c>
      <c r="AF907" s="109"/>
      <c r="AG907" s="109"/>
    </row>
    <row r="908" spans="1:33">
      <c r="A908" s="117"/>
      <c r="B908" s="118"/>
      <c r="C908" s="118"/>
      <c r="D908" s="118"/>
      <c r="E908" s="119"/>
      <c r="F908" s="118"/>
      <c r="G908" s="110"/>
      <c r="H908" s="126"/>
      <c r="I908" s="114">
        <v>0</v>
      </c>
      <c r="J908" s="115">
        <v>0</v>
      </c>
      <c r="K908" s="116">
        <v>0</v>
      </c>
      <c r="L908" s="116">
        <v>0</v>
      </c>
      <c r="M908" s="114">
        <v>0</v>
      </c>
      <c r="N908" s="113">
        <v>0</v>
      </c>
      <c r="O908" s="113">
        <v>0</v>
      </c>
      <c r="P908" s="116">
        <v>0</v>
      </c>
      <c r="Q908" s="116">
        <v>0</v>
      </c>
      <c r="R908" s="116">
        <v>0</v>
      </c>
      <c r="S908" s="114">
        <v>0</v>
      </c>
      <c r="T908" s="116">
        <v>0</v>
      </c>
      <c r="U908" s="116">
        <v>0</v>
      </c>
      <c r="V908" s="121">
        <f t="shared" si="50"/>
        <v>0</v>
      </c>
      <c r="W908" s="111"/>
      <c r="X908" s="111"/>
      <c r="Y908" s="111"/>
      <c r="Z908" s="111"/>
      <c r="AA908" s="111"/>
      <c r="AB908" s="111"/>
      <c r="AC908" s="111"/>
      <c r="AD908" s="111"/>
      <c r="AE908" s="139">
        <f t="shared" si="49"/>
        <v>0</v>
      </c>
      <c r="AF908" s="109"/>
      <c r="AG908" s="109"/>
    </row>
    <row r="909" spans="1:33">
      <c r="A909" s="117"/>
      <c r="B909" s="118"/>
      <c r="C909" s="118"/>
      <c r="D909" s="118"/>
      <c r="E909" s="119"/>
      <c r="F909" s="118"/>
      <c r="G909" s="110"/>
      <c r="H909" s="126"/>
      <c r="I909" s="114">
        <v>0</v>
      </c>
      <c r="J909" s="115">
        <v>0</v>
      </c>
      <c r="K909" s="116">
        <v>0</v>
      </c>
      <c r="L909" s="116">
        <v>0</v>
      </c>
      <c r="M909" s="114">
        <v>0</v>
      </c>
      <c r="N909" s="113">
        <v>0</v>
      </c>
      <c r="O909" s="113">
        <v>0</v>
      </c>
      <c r="P909" s="116">
        <v>0</v>
      </c>
      <c r="Q909" s="116">
        <v>0</v>
      </c>
      <c r="R909" s="116">
        <v>0</v>
      </c>
      <c r="S909" s="114">
        <v>0</v>
      </c>
      <c r="T909" s="116">
        <v>0</v>
      </c>
      <c r="U909" s="116">
        <v>0</v>
      </c>
      <c r="V909" s="121">
        <f t="shared" si="50"/>
        <v>0</v>
      </c>
      <c r="W909" s="111"/>
      <c r="X909" s="111"/>
      <c r="Y909" s="111"/>
      <c r="Z909" s="111"/>
      <c r="AA909" s="111"/>
      <c r="AB909" s="111"/>
      <c r="AC909" s="111"/>
      <c r="AD909" s="111"/>
      <c r="AE909" s="139">
        <f t="shared" si="49"/>
        <v>0</v>
      </c>
      <c r="AF909" s="109"/>
      <c r="AG909" s="109"/>
    </row>
    <row r="910" spans="1:33">
      <c r="A910" s="117"/>
      <c r="B910" s="118"/>
      <c r="C910" s="118"/>
      <c r="D910" s="118"/>
      <c r="E910" s="119"/>
      <c r="F910" s="118"/>
      <c r="G910" s="110"/>
      <c r="H910" s="126"/>
      <c r="I910" s="114">
        <v>0</v>
      </c>
      <c r="J910" s="115">
        <v>0</v>
      </c>
      <c r="K910" s="116">
        <v>0</v>
      </c>
      <c r="L910" s="116">
        <v>0</v>
      </c>
      <c r="M910" s="114">
        <v>0</v>
      </c>
      <c r="N910" s="113">
        <v>0</v>
      </c>
      <c r="O910" s="113">
        <v>0</v>
      </c>
      <c r="P910" s="116">
        <v>0</v>
      </c>
      <c r="Q910" s="116">
        <v>0</v>
      </c>
      <c r="R910" s="116">
        <v>0</v>
      </c>
      <c r="S910" s="114">
        <v>0</v>
      </c>
      <c r="T910" s="116">
        <v>0</v>
      </c>
      <c r="U910" s="116">
        <v>0</v>
      </c>
      <c r="V910" s="121">
        <f t="shared" si="50"/>
        <v>0</v>
      </c>
      <c r="W910" s="111"/>
      <c r="X910" s="111"/>
      <c r="Y910" s="111"/>
      <c r="Z910" s="111"/>
      <c r="AA910" s="111"/>
      <c r="AB910" s="111"/>
      <c r="AC910" s="111"/>
      <c r="AD910" s="111"/>
      <c r="AE910" s="139">
        <f t="shared" si="49"/>
        <v>0</v>
      </c>
      <c r="AF910" s="109"/>
      <c r="AG910" s="109"/>
    </row>
    <row r="911" spans="1:33">
      <c r="A911" s="117"/>
      <c r="B911" s="118"/>
      <c r="C911" s="118"/>
      <c r="D911" s="118"/>
      <c r="E911" s="119"/>
      <c r="F911" s="118"/>
      <c r="G911" s="110"/>
      <c r="H911" s="126"/>
      <c r="I911" s="114">
        <v>0</v>
      </c>
      <c r="J911" s="115">
        <v>0</v>
      </c>
      <c r="K911" s="116">
        <v>0</v>
      </c>
      <c r="L911" s="116">
        <v>0</v>
      </c>
      <c r="M911" s="114">
        <v>0</v>
      </c>
      <c r="N911" s="113">
        <v>0</v>
      </c>
      <c r="O911" s="113">
        <v>0</v>
      </c>
      <c r="P911" s="116">
        <v>0</v>
      </c>
      <c r="Q911" s="116">
        <v>0</v>
      </c>
      <c r="R911" s="116">
        <v>0</v>
      </c>
      <c r="S911" s="114">
        <v>0</v>
      </c>
      <c r="T911" s="116">
        <v>0</v>
      </c>
      <c r="U911" s="116">
        <v>0</v>
      </c>
      <c r="V911" s="121">
        <f t="shared" si="50"/>
        <v>0</v>
      </c>
      <c r="W911" s="111"/>
      <c r="X911" s="111"/>
      <c r="Y911" s="111"/>
      <c r="Z911" s="111"/>
      <c r="AA911" s="111"/>
      <c r="AB911" s="111"/>
      <c r="AC911" s="111"/>
      <c r="AD911" s="111"/>
      <c r="AE911" s="139">
        <f t="shared" si="49"/>
        <v>0</v>
      </c>
      <c r="AF911" s="109"/>
      <c r="AG911" s="109"/>
    </row>
    <row r="912" spans="1:33">
      <c r="A912" s="117"/>
      <c r="B912" s="118"/>
      <c r="C912" s="118"/>
      <c r="D912" s="118"/>
      <c r="E912" s="119"/>
      <c r="F912" s="118"/>
      <c r="G912" s="110"/>
      <c r="H912" s="126"/>
      <c r="I912" s="114">
        <v>0</v>
      </c>
      <c r="J912" s="115">
        <v>0</v>
      </c>
      <c r="K912" s="116">
        <v>0</v>
      </c>
      <c r="L912" s="116">
        <v>0</v>
      </c>
      <c r="M912" s="114">
        <v>0</v>
      </c>
      <c r="N912" s="113">
        <v>0</v>
      </c>
      <c r="O912" s="113">
        <v>0</v>
      </c>
      <c r="P912" s="116">
        <v>0</v>
      </c>
      <c r="Q912" s="116">
        <v>0</v>
      </c>
      <c r="R912" s="116">
        <v>0</v>
      </c>
      <c r="S912" s="114">
        <v>0</v>
      </c>
      <c r="T912" s="116">
        <v>0</v>
      </c>
      <c r="U912" s="116">
        <v>0</v>
      </c>
      <c r="V912" s="121">
        <f t="shared" si="50"/>
        <v>0</v>
      </c>
      <c r="W912" s="111"/>
      <c r="X912" s="111"/>
      <c r="Y912" s="111"/>
      <c r="Z912" s="111"/>
      <c r="AA912" s="111"/>
      <c r="AB912" s="111"/>
      <c r="AC912" s="111"/>
      <c r="AD912" s="111"/>
      <c r="AE912" s="139">
        <f t="shared" si="49"/>
        <v>0</v>
      </c>
      <c r="AF912" s="109"/>
      <c r="AG912" s="109"/>
    </row>
    <row r="913" spans="1:33">
      <c r="A913" s="117"/>
      <c r="B913" s="118"/>
      <c r="C913" s="118"/>
      <c r="D913" s="118"/>
      <c r="E913" s="119"/>
      <c r="F913" s="118"/>
      <c r="G913" s="110"/>
      <c r="H913" s="126"/>
      <c r="I913" s="114">
        <v>0</v>
      </c>
      <c r="J913" s="115">
        <v>0</v>
      </c>
      <c r="K913" s="116">
        <v>0</v>
      </c>
      <c r="L913" s="116">
        <v>0</v>
      </c>
      <c r="M913" s="114">
        <v>0</v>
      </c>
      <c r="N913" s="113">
        <v>0</v>
      </c>
      <c r="O913" s="113">
        <v>0</v>
      </c>
      <c r="P913" s="116">
        <v>0</v>
      </c>
      <c r="Q913" s="116">
        <v>0</v>
      </c>
      <c r="R913" s="116">
        <v>0</v>
      </c>
      <c r="S913" s="114">
        <v>0</v>
      </c>
      <c r="T913" s="116">
        <v>0</v>
      </c>
      <c r="U913" s="116">
        <v>0</v>
      </c>
      <c r="V913" s="121">
        <f t="shared" si="50"/>
        <v>0</v>
      </c>
      <c r="W913" s="111"/>
      <c r="X913" s="111"/>
      <c r="Y913" s="111"/>
      <c r="Z913" s="111"/>
      <c r="AA913" s="111"/>
      <c r="AB913" s="111"/>
      <c r="AC913" s="111"/>
      <c r="AD913" s="111"/>
      <c r="AE913" s="139">
        <f t="shared" si="49"/>
        <v>0</v>
      </c>
      <c r="AF913" s="109"/>
      <c r="AG913" s="109"/>
    </row>
    <row r="914" spans="1:33">
      <c r="A914" s="117"/>
      <c r="B914" s="118"/>
      <c r="C914" s="118"/>
      <c r="D914" s="118"/>
      <c r="E914" s="119"/>
      <c r="F914" s="118"/>
      <c r="G914" s="110"/>
      <c r="H914" s="126"/>
      <c r="I914" s="114">
        <v>0</v>
      </c>
      <c r="J914" s="115">
        <v>0</v>
      </c>
      <c r="K914" s="116">
        <v>0</v>
      </c>
      <c r="L914" s="116">
        <v>0</v>
      </c>
      <c r="M914" s="114">
        <v>0</v>
      </c>
      <c r="N914" s="113">
        <v>0</v>
      </c>
      <c r="O914" s="113">
        <v>0</v>
      </c>
      <c r="P914" s="116">
        <v>0</v>
      </c>
      <c r="Q914" s="116">
        <v>0</v>
      </c>
      <c r="R914" s="116">
        <v>0</v>
      </c>
      <c r="S914" s="114">
        <v>0</v>
      </c>
      <c r="T914" s="116">
        <v>0</v>
      </c>
      <c r="U914" s="116">
        <v>0</v>
      </c>
      <c r="V914" s="121">
        <f t="shared" si="50"/>
        <v>0</v>
      </c>
      <c r="W914" s="111"/>
      <c r="X914" s="111"/>
      <c r="Y914" s="111"/>
      <c r="Z914" s="111"/>
      <c r="AA914" s="111"/>
      <c r="AB914" s="111"/>
      <c r="AC914" s="111"/>
      <c r="AD914" s="111"/>
      <c r="AE914" s="139">
        <f t="shared" si="49"/>
        <v>0</v>
      </c>
      <c r="AF914" s="109"/>
      <c r="AG914" s="109"/>
    </row>
    <row r="915" spans="1:33">
      <c r="A915" s="117"/>
      <c r="B915" s="118"/>
      <c r="C915" s="118"/>
      <c r="D915" s="118"/>
      <c r="E915" s="119"/>
      <c r="F915" s="118"/>
      <c r="G915" s="110"/>
      <c r="H915" s="126"/>
      <c r="I915" s="114">
        <v>0</v>
      </c>
      <c r="J915" s="115">
        <v>0</v>
      </c>
      <c r="K915" s="116">
        <v>0</v>
      </c>
      <c r="L915" s="116">
        <v>0</v>
      </c>
      <c r="M915" s="114">
        <v>0</v>
      </c>
      <c r="N915" s="113">
        <v>0</v>
      </c>
      <c r="O915" s="113">
        <v>0</v>
      </c>
      <c r="P915" s="116">
        <v>0</v>
      </c>
      <c r="Q915" s="116">
        <v>0</v>
      </c>
      <c r="R915" s="116">
        <v>0</v>
      </c>
      <c r="S915" s="114">
        <v>0</v>
      </c>
      <c r="T915" s="116">
        <v>0</v>
      </c>
      <c r="U915" s="116">
        <v>0</v>
      </c>
      <c r="V915" s="121">
        <f t="shared" si="50"/>
        <v>0</v>
      </c>
      <c r="W915" s="111"/>
      <c r="X915" s="111"/>
      <c r="Y915" s="111"/>
      <c r="Z915" s="111"/>
      <c r="AA915" s="111"/>
      <c r="AB915" s="111"/>
      <c r="AC915" s="111"/>
      <c r="AD915" s="111"/>
      <c r="AE915" s="139">
        <f t="shared" si="49"/>
        <v>0</v>
      </c>
      <c r="AF915" s="109"/>
      <c r="AG915" s="109"/>
    </row>
    <row r="916" spans="1:33">
      <c r="A916" s="117"/>
      <c r="B916" s="118"/>
      <c r="C916" s="118"/>
      <c r="D916" s="118"/>
      <c r="E916" s="119"/>
      <c r="F916" s="118"/>
      <c r="G916" s="110"/>
      <c r="H916" s="126"/>
      <c r="I916" s="114">
        <v>0</v>
      </c>
      <c r="J916" s="115">
        <v>0</v>
      </c>
      <c r="K916" s="116">
        <v>0</v>
      </c>
      <c r="L916" s="116">
        <v>0</v>
      </c>
      <c r="M916" s="114">
        <v>0</v>
      </c>
      <c r="N916" s="113">
        <v>0</v>
      </c>
      <c r="O916" s="113">
        <v>0</v>
      </c>
      <c r="P916" s="116">
        <v>0</v>
      </c>
      <c r="Q916" s="116">
        <v>0</v>
      </c>
      <c r="R916" s="116">
        <v>0</v>
      </c>
      <c r="S916" s="114">
        <v>0</v>
      </c>
      <c r="T916" s="116">
        <v>0</v>
      </c>
      <c r="U916" s="116">
        <v>0</v>
      </c>
      <c r="V916" s="121">
        <f t="shared" si="50"/>
        <v>0</v>
      </c>
      <c r="W916" s="111"/>
      <c r="X916" s="111"/>
      <c r="Y916" s="111"/>
      <c r="Z916" s="111"/>
      <c r="AA916" s="111"/>
      <c r="AB916" s="111"/>
      <c r="AC916" s="111"/>
      <c r="AD916" s="111"/>
      <c r="AE916" s="139">
        <f t="shared" si="49"/>
        <v>0</v>
      </c>
      <c r="AF916" s="109"/>
      <c r="AG916" s="109"/>
    </row>
    <row r="917" spans="1:33">
      <c r="A917" s="117"/>
      <c r="B917" s="118"/>
      <c r="C917" s="118"/>
      <c r="D917" s="118"/>
      <c r="E917" s="119"/>
      <c r="F917" s="118"/>
      <c r="G917" s="110"/>
      <c r="H917" s="126"/>
      <c r="I917" s="114">
        <v>0</v>
      </c>
      <c r="J917" s="115">
        <v>0</v>
      </c>
      <c r="K917" s="116">
        <v>0</v>
      </c>
      <c r="L917" s="116">
        <v>0</v>
      </c>
      <c r="M917" s="114">
        <v>0</v>
      </c>
      <c r="N917" s="113">
        <v>0</v>
      </c>
      <c r="O917" s="113">
        <v>0</v>
      </c>
      <c r="P917" s="116">
        <v>0</v>
      </c>
      <c r="Q917" s="116">
        <v>0</v>
      </c>
      <c r="R917" s="116">
        <v>0</v>
      </c>
      <c r="S917" s="114">
        <v>0</v>
      </c>
      <c r="T917" s="116">
        <v>0</v>
      </c>
      <c r="U917" s="116">
        <v>0</v>
      </c>
      <c r="V917" s="121">
        <f t="shared" si="50"/>
        <v>0</v>
      </c>
      <c r="W917" s="111"/>
      <c r="X917" s="111"/>
      <c r="Y917" s="111"/>
      <c r="Z917" s="111"/>
      <c r="AA917" s="111"/>
      <c r="AB917" s="111"/>
      <c r="AC917" s="111"/>
      <c r="AD917" s="111"/>
      <c r="AE917" s="139">
        <f t="shared" si="49"/>
        <v>0</v>
      </c>
      <c r="AF917" s="109"/>
      <c r="AG917" s="109"/>
    </row>
    <row r="918" spans="1:33">
      <c r="A918" s="117"/>
      <c r="B918" s="118"/>
      <c r="C918" s="118"/>
      <c r="D918" s="118"/>
      <c r="E918" s="119"/>
      <c r="F918" s="118"/>
      <c r="G918" s="110"/>
      <c r="H918" s="126"/>
      <c r="I918" s="114">
        <v>0</v>
      </c>
      <c r="J918" s="115">
        <v>0</v>
      </c>
      <c r="K918" s="116">
        <v>0</v>
      </c>
      <c r="L918" s="116">
        <v>0</v>
      </c>
      <c r="M918" s="114">
        <v>0</v>
      </c>
      <c r="N918" s="113">
        <v>0</v>
      </c>
      <c r="O918" s="113">
        <v>0</v>
      </c>
      <c r="P918" s="116">
        <v>0</v>
      </c>
      <c r="Q918" s="116">
        <v>0</v>
      </c>
      <c r="R918" s="116">
        <v>0</v>
      </c>
      <c r="S918" s="114">
        <v>0</v>
      </c>
      <c r="T918" s="116">
        <v>0</v>
      </c>
      <c r="U918" s="116">
        <v>0</v>
      </c>
      <c r="V918" s="121">
        <f t="shared" si="50"/>
        <v>0</v>
      </c>
      <c r="W918" s="111"/>
      <c r="X918" s="111"/>
      <c r="Y918" s="111"/>
      <c r="Z918" s="111"/>
      <c r="AA918" s="111"/>
      <c r="AB918" s="111"/>
      <c r="AC918" s="111"/>
      <c r="AD918" s="111"/>
      <c r="AE918" s="139">
        <f t="shared" si="49"/>
        <v>0</v>
      </c>
      <c r="AF918" s="109"/>
      <c r="AG918" s="109"/>
    </row>
    <row r="919" spans="1:33">
      <c r="A919" s="117"/>
      <c r="B919" s="118"/>
      <c r="C919" s="118"/>
      <c r="D919" s="118"/>
      <c r="E919" s="119"/>
      <c r="F919" s="118"/>
      <c r="G919" s="110"/>
      <c r="H919" s="126"/>
      <c r="I919" s="114">
        <v>0</v>
      </c>
      <c r="J919" s="115">
        <v>0</v>
      </c>
      <c r="K919" s="116">
        <v>0</v>
      </c>
      <c r="L919" s="116">
        <v>0</v>
      </c>
      <c r="M919" s="114">
        <v>0</v>
      </c>
      <c r="N919" s="113">
        <v>0</v>
      </c>
      <c r="O919" s="113">
        <v>0</v>
      </c>
      <c r="P919" s="116">
        <v>0</v>
      </c>
      <c r="Q919" s="116">
        <v>0</v>
      </c>
      <c r="R919" s="116">
        <v>0</v>
      </c>
      <c r="S919" s="114">
        <v>0</v>
      </c>
      <c r="T919" s="116">
        <v>0</v>
      </c>
      <c r="U919" s="116">
        <v>0</v>
      </c>
      <c r="V919" s="121">
        <f t="shared" si="50"/>
        <v>0</v>
      </c>
      <c r="W919" s="111"/>
      <c r="X919" s="111"/>
      <c r="Y919" s="111"/>
      <c r="Z919" s="111"/>
      <c r="AA919" s="111"/>
      <c r="AB919" s="111"/>
      <c r="AC919" s="111"/>
      <c r="AD919" s="111"/>
      <c r="AE919" s="139">
        <f t="shared" si="49"/>
        <v>0</v>
      </c>
      <c r="AF919" s="109"/>
      <c r="AG919" s="109"/>
    </row>
    <row r="920" spans="1:33">
      <c r="A920" s="117"/>
      <c r="B920" s="118"/>
      <c r="C920" s="118"/>
      <c r="D920" s="118"/>
      <c r="E920" s="119"/>
      <c r="F920" s="118"/>
      <c r="G920" s="110"/>
      <c r="H920" s="126"/>
      <c r="I920" s="114">
        <v>0</v>
      </c>
      <c r="J920" s="115">
        <v>0</v>
      </c>
      <c r="K920" s="116">
        <v>0</v>
      </c>
      <c r="L920" s="116">
        <v>0</v>
      </c>
      <c r="M920" s="114">
        <v>0</v>
      </c>
      <c r="N920" s="113">
        <v>0</v>
      </c>
      <c r="O920" s="113">
        <v>0</v>
      </c>
      <c r="P920" s="116">
        <v>0</v>
      </c>
      <c r="Q920" s="116">
        <v>0</v>
      </c>
      <c r="R920" s="116">
        <v>0</v>
      </c>
      <c r="S920" s="114">
        <v>0</v>
      </c>
      <c r="T920" s="116">
        <v>0</v>
      </c>
      <c r="U920" s="116">
        <v>0</v>
      </c>
      <c r="V920" s="121">
        <f t="shared" si="50"/>
        <v>0</v>
      </c>
      <c r="W920" s="111"/>
      <c r="X920" s="111"/>
      <c r="Y920" s="111"/>
      <c r="Z920" s="111"/>
      <c r="AA920" s="111"/>
      <c r="AB920" s="111"/>
      <c r="AC920" s="111"/>
      <c r="AD920" s="111"/>
      <c r="AE920" s="139">
        <f t="shared" si="49"/>
        <v>0</v>
      </c>
      <c r="AF920" s="109"/>
      <c r="AG920" s="109"/>
    </row>
    <row r="921" spans="1:33">
      <c r="A921" s="117"/>
      <c r="B921" s="118"/>
      <c r="C921" s="118"/>
      <c r="D921" s="118"/>
      <c r="E921" s="119"/>
      <c r="F921" s="118"/>
      <c r="G921" s="110"/>
      <c r="H921" s="126"/>
      <c r="I921" s="114">
        <v>0</v>
      </c>
      <c r="J921" s="115">
        <v>0</v>
      </c>
      <c r="K921" s="116">
        <v>0</v>
      </c>
      <c r="L921" s="116">
        <v>0</v>
      </c>
      <c r="M921" s="114">
        <v>0</v>
      </c>
      <c r="N921" s="113">
        <v>0</v>
      </c>
      <c r="O921" s="113">
        <v>0</v>
      </c>
      <c r="P921" s="116">
        <v>0</v>
      </c>
      <c r="Q921" s="116">
        <v>0</v>
      </c>
      <c r="R921" s="116">
        <v>0</v>
      </c>
      <c r="S921" s="114">
        <v>0</v>
      </c>
      <c r="T921" s="116">
        <v>0</v>
      </c>
      <c r="U921" s="116">
        <v>0</v>
      </c>
      <c r="V921" s="121">
        <f t="shared" si="50"/>
        <v>0</v>
      </c>
      <c r="W921" s="111"/>
      <c r="X921" s="111"/>
      <c r="Y921" s="111"/>
      <c r="Z921" s="111"/>
      <c r="AA921" s="111"/>
      <c r="AB921" s="111"/>
      <c r="AC921" s="111"/>
      <c r="AD921" s="111"/>
      <c r="AE921" s="139">
        <f t="shared" si="49"/>
        <v>0</v>
      </c>
      <c r="AF921" s="109"/>
      <c r="AG921" s="109"/>
    </row>
    <row r="922" spans="1:33">
      <c r="A922" s="117"/>
      <c r="B922" s="118"/>
      <c r="C922" s="118"/>
      <c r="D922" s="118"/>
      <c r="E922" s="119"/>
      <c r="F922" s="118"/>
      <c r="G922" s="110"/>
      <c r="H922" s="126"/>
      <c r="I922" s="114">
        <v>0</v>
      </c>
      <c r="J922" s="115">
        <v>0</v>
      </c>
      <c r="K922" s="116">
        <v>0</v>
      </c>
      <c r="L922" s="116">
        <v>0</v>
      </c>
      <c r="M922" s="114">
        <v>0</v>
      </c>
      <c r="N922" s="113">
        <v>0</v>
      </c>
      <c r="O922" s="113">
        <v>0</v>
      </c>
      <c r="P922" s="116">
        <v>0</v>
      </c>
      <c r="Q922" s="116">
        <v>0</v>
      </c>
      <c r="R922" s="116">
        <v>0</v>
      </c>
      <c r="S922" s="114">
        <v>0</v>
      </c>
      <c r="T922" s="116">
        <v>0</v>
      </c>
      <c r="U922" s="116">
        <v>0</v>
      </c>
      <c r="V922" s="121">
        <f t="shared" si="50"/>
        <v>0</v>
      </c>
      <c r="W922" s="111"/>
      <c r="X922" s="111"/>
      <c r="Y922" s="111"/>
      <c r="Z922" s="111"/>
      <c r="AA922" s="111"/>
      <c r="AB922" s="111"/>
      <c r="AC922" s="111"/>
      <c r="AD922" s="111"/>
      <c r="AE922" s="139">
        <f t="shared" si="49"/>
        <v>0</v>
      </c>
      <c r="AF922" s="109"/>
      <c r="AG922" s="109"/>
    </row>
    <row r="923" spans="1:33">
      <c r="A923" s="117"/>
      <c r="B923" s="118"/>
      <c r="C923" s="118"/>
      <c r="D923" s="118"/>
      <c r="E923" s="119"/>
      <c r="F923" s="118"/>
      <c r="G923" s="110"/>
      <c r="H923" s="126"/>
      <c r="I923" s="114">
        <v>0</v>
      </c>
      <c r="J923" s="115">
        <v>0</v>
      </c>
      <c r="K923" s="116">
        <v>0</v>
      </c>
      <c r="L923" s="116">
        <v>0</v>
      </c>
      <c r="M923" s="114">
        <v>0</v>
      </c>
      <c r="N923" s="113">
        <v>0</v>
      </c>
      <c r="O923" s="113">
        <v>0</v>
      </c>
      <c r="P923" s="116">
        <v>0</v>
      </c>
      <c r="Q923" s="116">
        <v>0</v>
      </c>
      <c r="R923" s="116">
        <v>0</v>
      </c>
      <c r="S923" s="114">
        <v>0</v>
      </c>
      <c r="T923" s="116">
        <v>0</v>
      </c>
      <c r="U923" s="116">
        <v>0</v>
      </c>
      <c r="V923" s="121">
        <f t="shared" si="50"/>
        <v>0</v>
      </c>
      <c r="W923" s="111"/>
      <c r="X923" s="111"/>
      <c r="Y923" s="111"/>
      <c r="Z923" s="111"/>
      <c r="AA923" s="111"/>
      <c r="AB923" s="111"/>
      <c r="AC923" s="111"/>
      <c r="AD923" s="111"/>
      <c r="AE923" s="139">
        <f t="shared" si="49"/>
        <v>0</v>
      </c>
      <c r="AF923" s="109"/>
      <c r="AG923" s="109"/>
    </row>
    <row r="924" spans="1:33">
      <c r="A924" s="117"/>
      <c r="B924" s="118"/>
      <c r="C924" s="118"/>
      <c r="D924" s="118"/>
      <c r="E924" s="119"/>
      <c r="F924" s="118"/>
      <c r="G924" s="110"/>
      <c r="H924" s="126"/>
      <c r="I924" s="114">
        <v>0</v>
      </c>
      <c r="J924" s="115">
        <v>0</v>
      </c>
      <c r="K924" s="116">
        <v>0</v>
      </c>
      <c r="L924" s="116">
        <v>0</v>
      </c>
      <c r="M924" s="114">
        <v>0</v>
      </c>
      <c r="N924" s="113">
        <v>0</v>
      </c>
      <c r="O924" s="113">
        <v>0</v>
      </c>
      <c r="P924" s="116">
        <v>0</v>
      </c>
      <c r="Q924" s="116">
        <v>0</v>
      </c>
      <c r="R924" s="116">
        <v>0</v>
      </c>
      <c r="S924" s="114">
        <v>0</v>
      </c>
      <c r="T924" s="116">
        <v>0</v>
      </c>
      <c r="U924" s="116">
        <v>0</v>
      </c>
      <c r="V924" s="121">
        <f t="shared" si="50"/>
        <v>0</v>
      </c>
      <c r="W924" s="111"/>
      <c r="X924" s="111"/>
      <c r="Y924" s="111"/>
      <c r="Z924" s="111"/>
      <c r="AA924" s="111"/>
      <c r="AB924" s="111"/>
      <c r="AC924" s="111"/>
      <c r="AD924" s="111"/>
      <c r="AE924" s="139">
        <f t="shared" si="49"/>
        <v>0</v>
      </c>
      <c r="AF924" s="109"/>
      <c r="AG924" s="109"/>
    </row>
    <row r="925" spans="1:33">
      <c r="A925" s="117"/>
      <c r="B925" s="118"/>
      <c r="C925" s="118"/>
      <c r="D925" s="118"/>
      <c r="E925" s="119"/>
      <c r="F925" s="118"/>
      <c r="G925" s="110"/>
      <c r="H925" s="126"/>
      <c r="I925" s="114">
        <v>0</v>
      </c>
      <c r="J925" s="115">
        <v>0</v>
      </c>
      <c r="K925" s="116">
        <v>0</v>
      </c>
      <c r="L925" s="116">
        <v>0</v>
      </c>
      <c r="M925" s="114">
        <v>0</v>
      </c>
      <c r="N925" s="113">
        <v>0</v>
      </c>
      <c r="O925" s="113">
        <v>0</v>
      </c>
      <c r="P925" s="116">
        <v>0</v>
      </c>
      <c r="Q925" s="116">
        <v>0</v>
      </c>
      <c r="R925" s="116">
        <v>0</v>
      </c>
      <c r="S925" s="114">
        <v>0</v>
      </c>
      <c r="T925" s="116">
        <v>0</v>
      </c>
      <c r="U925" s="116">
        <v>0</v>
      </c>
      <c r="V925" s="121">
        <f t="shared" si="50"/>
        <v>0</v>
      </c>
      <c r="W925" s="111"/>
      <c r="X925" s="111"/>
      <c r="Y925" s="111"/>
      <c r="Z925" s="111"/>
      <c r="AA925" s="111"/>
      <c r="AB925" s="111"/>
      <c r="AC925" s="111"/>
      <c r="AD925" s="111"/>
      <c r="AE925" s="139">
        <f t="shared" si="49"/>
        <v>0</v>
      </c>
      <c r="AF925" s="109"/>
      <c r="AG925" s="109"/>
    </row>
    <row r="926" spans="1:33">
      <c r="A926" s="117"/>
      <c r="B926" s="118"/>
      <c r="C926" s="118"/>
      <c r="D926" s="118"/>
      <c r="E926" s="119"/>
      <c r="F926" s="118"/>
      <c r="G926" s="110"/>
      <c r="H926" s="126"/>
      <c r="I926" s="114">
        <v>0</v>
      </c>
      <c r="J926" s="115">
        <v>0</v>
      </c>
      <c r="K926" s="116">
        <v>0</v>
      </c>
      <c r="L926" s="116">
        <v>0</v>
      </c>
      <c r="M926" s="114">
        <v>0</v>
      </c>
      <c r="N926" s="113">
        <v>0</v>
      </c>
      <c r="O926" s="113">
        <v>0</v>
      </c>
      <c r="P926" s="116">
        <v>0</v>
      </c>
      <c r="Q926" s="116">
        <v>0</v>
      </c>
      <c r="R926" s="116">
        <v>0</v>
      </c>
      <c r="S926" s="114">
        <v>0</v>
      </c>
      <c r="T926" s="116">
        <v>0</v>
      </c>
      <c r="U926" s="116">
        <v>0</v>
      </c>
      <c r="V926" s="121">
        <f t="shared" si="50"/>
        <v>0</v>
      </c>
      <c r="W926" s="111"/>
      <c r="X926" s="111"/>
      <c r="Y926" s="111"/>
      <c r="Z926" s="111"/>
      <c r="AA926" s="111"/>
      <c r="AB926" s="111"/>
      <c r="AC926" s="111"/>
      <c r="AD926" s="111"/>
      <c r="AE926" s="139">
        <f t="shared" si="49"/>
        <v>0</v>
      </c>
      <c r="AF926" s="109"/>
      <c r="AG926" s="109"/>
    </row>
    <row r="927" spans="1:33">
      <c r="A927" s="117"/>
      <c r="B927" s="118"/>
      <c r="C927" s="118"/>
      <c r="D927" s="118"/>
      <c r="E927" s="119"/>
      <c r="F927" s="118"/>
      <c r="G927" s="110"/>
      <c r="H927" s="126"/>
      <c r="I927" s="114">
        <v>0</v>
      </c>
      <c r="J927" s="115">
        <v>0</v>
      </c>
      <c r="K927" s="116">
        <v>0</v>
      </c>
      <c r="L927" s="116">
        <v>0</v>
      </c>
      <c r="M927" s="114">
        <v>0</v>
      </c>
      <c r="N927" s="113">
        <v>0</v>
      </c>
      <c r="O927" s="113">
        <v>0</v>
      </c>
      <c r="P927" s="116">
        <v>0</v>
      </c>
      <c r="Q927" s="116">
        <v>0</v>
      </c>
      <c r="R927" s="116">
        <v>0</v>
      </c>
      <c r="S927" s="114">
        <v>0</v>
      </c>
      <c r="T927" s="116">
        <v>0</v>
      </c>
      <c r="U927" s="116">
        <v>0</v>
      </c>
      <c r="V927" s="121">
        <f t="shared" si="50"/>
        <v>0</v>
      </c>
      <c r="W927" s="111"/>
      <c r="X927" s="111"/>
      <c r="Y927" s="111"/>
      <c r="Z927" s="111"/>
      <c r="AA927" s="111"/>
      <c r="AB927" s="111"/>
      <c r="AC927" s="111"/>
      <c r="AD927" s="111"/>
      <c r="AE927" s="139">
        <f t="shared" si="49"/>
        <v>0</v>
      </c>
      <c r="AF927" s="109"/>
      <c r="AG927" s="109"/>
    </row>
    <row r="928" spans="1:33">
      <c r="A928" s="117"/>
      <c r="B928" s="118"/>
      <c r="C928" s="118"/>
      <c r="D928" s="118"/>
      <c r="E928" s="119"/>
      <c r="F928" s="118"/>
      <c r="G928" s="110"/>
      <c r="H928" s="126"/>
      <c r="I928" s="114">
        <v>0</v>
      </c>
      <c r="J928" s="115">
        <v>0</v>
      </c>
      <c r="K928" s="116">
        <v>0</v>
      </c>
      <c r="L928" s="116">
        <v>0</v>
      </c>
      <c r="M928" s="114">
        <v>0</v>
      </c>
      <c r="N928" s="113">
        <v>0</v>
      </c>
      <c r="O928" s="113">
        <v>0</v>
      </c>
      <c r="P928" s="116">
        <v>0</v>
      </c>
      <c r="Q928" s="116">
        <v>0</v>
      </c>
      <c r="R928" s="116">
        <v>0</v>
      </c>
      <c r="S928" s="114">
        <v>0</v>
      </c>
      <c r="T928" s="116">
        <v>0</v>
      </c>
      <c r="U928" s="116">
        <v>0</v>
      </c>
      <c r="V928" s="121">
        <f t="shared" si="50"/>
        <v>0</v>
      </c>
      <c r="W928" s="111"/>
      <c r="X928" s="111"/>
      <c r="Y928" s="111"/>
      <c r="Z928" s="111"/>
      <c r="AA928" s="111"/>
      <c r="AB928" s="111"/>
      <c r="AC928" s="111"/>
      <c r="AD928" s="111"/>
      <c r="AE928" s="139">
        <f t="shared" si="49"/>
        <v>0</v>
      </c>
      <c r="AF928" s="109"/>
      <c r="AG928" s="109"/>
    </row>
    <row r="929" spans="1:33">
      <c r="A929" s="117"/>
      <c r="B929" s="118"/>
      <c r="C929" s="118"/>
      <c r="D929" s="118"/>
      <c r="E929" s="119"/>
      <c r="F929" s="118"/>
      <c r="G929" s="110"/>
      <c r="H929" s="126"/>
      <c r="I929" s="114">
        <v>0</v>
      </c>
      <c r="J929" s="115">
        <v>0</v>
      </c>
      <c r="K929" s="116">
        <v>0</v>
      </c>
      <c r="L929" s="116">
        <v>0</v>
      </c>
      <c r="M929" s="114">
        <v>0</v>
      </c>
      <c r="N929" s="113">
        <v>0</v>
      </c>
      <c r="O929" s="113">
        <v>0</v>
      </c>
      <c r="P929" s="116">
        <v>0</v>
      </c>
      <c r="Q929" s="116">
        <v>0</v>
      </c>
      <c r="R929" s="116">
        <v>0</v>
      </c>
      <c r="S929" s="114">
        <v>0</v>
      </c>
      <c r="T929" s="116">
        <v>0</v>
      </c>
      <c r="U929" s="116">
        <v>0</v>
      </c>
      <c r="V929" s="121">
        <f t="shared" si="50"/>
        <v>0</v>
      </c>
      <c r="W929" s="111"/>
      <c r="X929" s="111"/>
      <c r="Y929" s="111"/>
      <c r="Z929" s="111"/>
      <c r="AA929" s="111"/>
      <c r="AB929" s="111"/>
      <c r="AC929" s="111"/>
      <c r="AD929" s="111"/>
      <c r="AE929" s="139">
        <f t="shared" si="49"/>
        <v>0</v>
      </c>
      <c r="AF929" s="109"/>
      <c r="AG929" s="109"/>
    </row>
    <row r="930" spans="1:33">
      <c r="A930" s="117"/>
      <c r="B930" s="118"/>
      <c r="C930" s="118"/>
      <c r="D930" s="118"/>
      <c r="E930" s="119"/>
      <c r="F930" s="118"/>
      <c r="G930" s="110"/>
      <c r="H930" s="126"/>
      <c r="I930" s="114">
        <v>0</v>
      </c>
      <c r="J930" s="115">
        <v>0</v>
      </c>
      <c r="K930" s="116">
        <v>0</v>
      </c>
      <c r="L930" s="116">
        <v>0</v>
      </c>
      <c r="M930" s="114">
        <v>0</v>
      </c>
      <c r="N930" s="113">
        <v>0</v>
      </c>
      <c r="O930" s="113">
        <v>0</v>
      </c>
      <c r="P930" s="116">
        <v>0</v>
      </c>
      <c r="Q930" s="116">
        <v>0</v>
      </c>
      <c r="R930" s="116">
        <v>0</v>
      </c>
      <c r="S930" s="114">
        <v>0</v>
      </c>
      <c r="T930" s="116">
        <v>0</v>
      </c>
      <c r="U930" s="116">
        <v>0</v>
      </c>
      <c r="V930" s="121">
        <f t="shared" si="50"/>
        <v>0</v>
      </c>
      <c r="W930" s="111"/>
      <c r="X930" s="111"/>
      <c r="Y930" s="111"/>
      <c r="Z930" s="111"/>
      <c r="AA930" s="111"/>
      <c r="AB930" s="111"/>
      <c r="AC930" s="111"/>
      <c r="AD930" s="111"/>
      <c r="AE930" s="139">
        <f t="shared" si="49"/>
        <v>0</v>
      </c>
      <c r="AF930" s="109"/>
      <c r="AG930" s="109"/>
    </row>
    <row r="931" spans="1:33">
      <c r="A931" s="117"/>
      <c r="B931" s="118"/>
      <c r="C931" s="118"/>
      <c r="D931" s="118"/>
      <c r="E931" s="119"/>
      <c r="F931" s="118"/>
      <c r="G931" s="110"/>
      <c r="H931" s="126"/>
      <c r="I931" s="114">
        <v>0</v>
      </c>
      <c r="J931" s="115">
        <v>0</v>
      </c>
      <c r="K931" s="116">
        <v>0</v>
      </c>
      <c r="L931" s="116">
        <v>0</v>
      </c>
      <c r="M931" s="114">
        <v>0</v>
      </c>
      <c r="N931" s="113">
        <v>0</v>
      </c>
      <c r="O931" s="113">
        <v>0</v>
      </c>
      <c r="P931" s="116">
        <v>0</v>
      </c>
      <c r="Q931" s="116">
        <v>0</v>
      </c>
      <c r="R931" s="116">
        <v>0</v>
      </c>
      <c r="S931" s="114">
        <v>0</v>
      </c>
      <c r="T931" s="116">
        <v>0</v>
      </c>
      <c r="U931" s="116">
        <v>0</v>
      </c>
      <c r="V931" s="121">
        <f t="shared" si="50"/>
        <v>0</v>
      </c>
      <c r="W931" s="111"/>
      <c r="X931" s="111"/>
      <c r="Y931" s="111"/>
      <c r="Z931" s="111"/>
      <c r="AA931" s="111"/>
      <c r="AB931" s="111"/>
      <c r="AC931" s="111"/>
      <c r="AD931" s="111"/>
      <c r="AE931" s="139">
        <f t="shared" si="49"/>
        <v>0</v>
      </c>
      <c r="AF931" s="109"/>
      <c r="AG931" s="109"/>
    </row>
    <row r="932" spans="1:33">
      <c r="A932" s="117"/>
      <c r="B932" s="118"/>
      <c r="C932" s="118"/>
      <c r="D932" s="118"/>
      <c r="E932" s="119"/>
      <c r="F932" s="118"/>
      <c r="G932" s="110"/>
      <c r="H932" s="126"/>
      <c r="I932" s="114">
        <v>0</v>
      </c>
      <c r="J932" s="115">
        <v>0</v>
      </c>
      <c r="K932" s="116">
        <v>0</v>
      </c>
      <c r="L932" s="116">
        <v>0</v>
      </c>
      <c r="M932" s="114">
        <v>0</v>
      </c>
      <c r="N932" s="113">
        <v>0</v>
      </c>
      <c r="O932" s="113">
        <v>0</v>
      </c>
      <c r="P932" s="116">
        <v>0</v>
      </c>
      <c r="Q932" s="116">
        <v>0</v>
      </c>
      <c r="R932" s="116">
        <v>0</v>
      </c>
      <c r="S932" s="114">
        <v>0</v>
      </c>
      <c r="T932" s="116">
        <v>0</v>
      </c>
      <c r="U932" s="116">
        <v>0</v>
      </c>
      <c r="V932" s="121">
        <f t="shared" si="50"/>
        <v>0</v>
      </c>
      <c r="W932" s="111"/>
      <c r="X932" s="111"/>
      <c r="Y932" s="111"/>
      <c r="Z932" s="111"/>
      <c r="AA932" s="111"/>
      <c r="AB932" s="111"/>
      <c r="AC932" s="111"/>
      <c r="AD932" s="111"/>
      <c r="AE932" s="139">
        <f t="shared" si="49"/>
        <v>0</v>
      </c>
      <c r="AF932" s="109"/>
      <c r="AG932" s="109"/>
    </row>
    <row r="933" spans="1:33">
      <c r="A933" s="117"/>
      <c r="B933" s="118"/>
      <c r="C933" s="118"/>
      <c r="D933" s="118"/>
      <c r="E933" s="119"/>
      <c r="F933" s="118"/>
      <c r="G933" s="110"/>
      <c r="H933" s="126"/>
      <c r="I933" s="114">
        <v>0</v>
      </c>
      <c r="J933" s="115">
        <v>0</v>
      </c>
      <c r="K933" s="116">
        <v>0</v>
      </c>
      <c r="L933" s="116">
        <v>0</v>
      </c>
      <c r="M933" s="114">
        <v>0</v>
      </c>
      <c r="N933" s="113">
        <v>0</v>
      </c>
      <c r="O933" s="113">
        <v>0</v>
      </c>
      <c r="P933" s="116">
        <v>0</v>
      </c>
      <c r="Q933" s="116">
        <v>0</v>
      </c>
      <c r="R933" s="116">
        <v>0</v>
      </c>
      <c r="S933" s="114">
        <v>0</v>
      </c>
      <c r="T933" s="116">
        <v>0</v>
      </c>
      <c r="U933" s="116">
        <v>0</v>
      </c>
      <c r="V933" s="121">
        <f t="shared" si="50"/>
        <v>0</v>
      </c>
      <c r="W933" s="111"/>
      <c r="X933" s="111"/>
      <c r="Y933" s="111"/>
      <c r="Z933" s="111"/>
      <c r="AA933" s="111"/>
      <c r="AB933" s="111"/>
      <c r="AC933" s="111"/>
      <c r="AD933" s="111"/>
      <c r="AE933" s="139">
        <f t="shared" si="49"/>
        <v>0</v>
      </c>
      <c r="AF933" s="109"/>
      <c r="AG933" s="109"/>
    </row>
    <row r="934" spans="1:33">
      <c r="A934" s="117"/>
      <c r="B934" s="118"/>
      <c r="C934" s="118"/>
      <c r="D934" s="118"/>
      <c r="E934" s="119"/>
      <c r="F934" s="118"/>
      <c r="G934" s="110"/>
      <c r="H934" s="126"/>
      <c r="I934" s="114">
        <v>0</v>
      </c>
      <c r="J934" s="115">
        <v>0</v>
      </c>
      <c r="K934" s="116">
        <v>0</v>
      </c>
      <c r="L934" s="116">
        <v>0</v>
      </c>
      <c r="M934" s="114">
        <v>0</v>
      </c>
      <c r="N934" s="113">
        <v>0</v>
      </c>
      <c r="O934" s="113">
        <v>0</v>
      </c>
      <c r="P934" s="116">
        <v>0</v>
      </c>
      <c r="Q934" s="116">
        <v>0</v>
      </c>
      <c r="R934" s="116">
        <v>0</v>
      </c>
      <c r="S934" s="114">
        <v>0</v>
      </c>
      <c r="T934" s="116">
        <v>0</v>
      </c>
      <c r="U934" s="116">
        <v>0</v>
      </c>
      <c r="V934" s="121">
        <f t="shared" si="50"/>
        <v>0</v>
      </c>
      <c r="W934" s="111"/>
      <c r="X934" s="111"/>
      <c r="Y934" s="111"/>
      <c r="Z934" s="111"/>
      <c r="AA934" s="111"/>
      <c r="AB934" s="111"/>
      <c r="AC934" s="111"/>
      <c r="AD934" s="111"/>
      <c r="AE934" s="139">
        <f t="shared" si="49"/>
        <v>0</v>
      </c>
      <c r="AF934" s="109"/>
      <c r="AG934" s="109"/>
    </row>
    <row r="935" spans="1:33">
      <c r="A935" s="117"/>
      <c r="B935" s="118"/>
      <c r="C935" s="118"/>
      <c r="D935" s="118"/>
      <c r="E935" s="119"/>
      <c r="F935" s="118"/>
      <c r="G935" s="110"/>
      <c r="H935" s="126"/>
      <c r="I935" s="114">
        <v>0</v>
      </c>
      <c r="J935" s="115">
        <v>0</v>
      </c>
      <c r="K935" s="116">
        <v>0</v>
      </c>
      <c r="L935" s="116">
        <v>0</v>
      </c>
      <c r="M935" s="114">
        <v>0</v>
      </c>
      <c r="N935" s="113">
        <v>0</v>
      </c>
      <c r="O935" s="113">
        <v>0</v>
      </c>
      <c r="P935" s="116">
        <v>0</v>
      </c>
      <c r="Q935" s="116">
        <v>0</v>
      </c>
      <c r="R935" s="116">
        <v>0</v>
      </c>
      <c r="S935" s="114">
        <v>0</v>
      </c>
      <c r="T935" s="116">
        <v>0</v>
      </c>
      <c r="U935" s="116">
        <v>0</v>
      </c>
      <c r="V935" s="121">
        <f t="shared" si="50"/>
        <v>0</v>
      </c>
      <c r="W935" s="111"/>
      <c r="X935" s="111"/>
      <c r="Y935" s="111"/>
      <c r="Z935" s="111"/>
      <c r="AA935" s="111"/>
      <c r="AB935" s="111"/>
      <c r="AC935" s="111"/>
      <c r="AD935" s="111"/>
      <c r="AE935" s="139">
        <f t="shared" si="49"/>
        <v>0</v>
      </c>
      <c r="AF935" s="109"/>
      <c r="AG935" s="109"/>
    </row>
    <row r="936" spans="1:33">
      <c r="A936" s="117"/>
      <c r="B936" s="118"/>
      <c r="C936" s="118"/>
      <c r="D936" s="118"/>
      <c r="E936" s="119"/>
      <c r="F936" s="118"/>
      <c r="G936" s="110"/>
      <c r="H936" s="126"/>
      <c r="I936" s="114">
        <v>0</v>
      </c>
      <c r="J936" s="115">
        <v>0</v>
      </c>
      <c r="K936" s="116">
        <v>0</v>
      </c>
      <c r="L936" s="116">
        <v>0</v>
      </c>
      <c r="M936" s="114">
        <v>0</v>
      </c>
      <c r="N936" s="113">
        <v>0</v>
      </c>
      <c r="O936" s="113">
        <v>0</v>
      </c>
      <c r="P936" s="116">
        <v>0</v>
      </c>
      <c r="Q936" s="116">
        <v>0</v>
      </c>
      <c r="R936" s="116">
        <v>0</v>
      </c>
      <c r="S936" s="114">
        <v>0</v>
      </c>
      <c r="T936" s="116">
        <v>0</v>
      </c>
      <c r="U936" s="116">
        <v>0</v>
      </c>
      <c r="V936" s="121">
        <f t="shared" si="50"/>
        <v>0</v>
      </c>
      <c r="W936" s="111"/>
      <c r="X936" s="111"/>
      <c r="Y936" s="111"/>
      <c r="Z936" s="111"/>
      <c r="AA936" s="111"/>
      <c r="AB936" s="111"/>
      <c r="AC936" s="111"/>
      <c r="AD936" s="111"/>
      <c r="AE936" s="139">
        <f t="shared" si="49"/>
        <v>0</v>
      </c>
      <c r="AF936" s="109"/>
      <c r="AG936" s="109"/>
    </row>
    <row r="937" spans="1:33">
      <c r="A937" s="117"/>
      <c r="B937" s="118"/>
      <c r="C937" s="118"/>
      <c r="D937" s="118"/>
      <c r="E937" s="119"/>
      <c r="F937" s="118"/>
      <c r="G937" s="110"/>
      <c r="H937" s="126"/>
      <c r="I937" s="114">
        <v>0</v>
      </c>
      <c r="J937" s="115">
        <v>0</v>
      </c>
      <c r="K937" s="116">
        <v>0</v>
      </c>
      <c r="L937" s="116">
        <v>0</v>
      </c>
      <c r="M937" s="114">
        <v>0</v>
      </c>
      <c r="N937" s="113">
        <v>0</v>
      </c>
      <c r="O937" s="113">
        <v>0</v>
      </c>
      <c r="P937" s="116">
        <v>0</v>
      </c>
      <c r="Q937" s="116">
        <v>0</v>
      </c>
      <c r="R937" s="116">
        <v>0</v>
      </c>
      <c r="S937" s="114">
        <v>0</v>
      </c>
      <c r="T937" s="116">
        <v>0</v>
      </c>
      <c r="U937" s="116">
        <v>0</v>
      </c>
      <c r="V937" s="121">
        <f t="shared" si="50"/>
        <v>0</v>
      </c>
      <c r="W937" s="111"/>
      <c r="X937" s="111"/>
      <c r="Y937" s="111"/>
      <c r="Z937" s="111"/>
      <c r="AA937" s="111"/>
      <c r="AB937" s="111"/>
      <c r="AC937" s="111"/>
      <c r="AD937" s="111"/>
      <c r="AE937" s="139">
        <f t="shared" ref="AE937:AE1000" si="51">V937-(X937+Y937)</f>
        <v>0</v>
      </c>
      <c r="AF937" s="109"/>
      <c r="AG937" s="109"/>
    </row>
    <row r="938" spans="1:33">
      <c r="A938" s="117"/>
      <c r="B938" s="118"/>
      <c r="C938" s="118"/>
      <c r="D938" s="118"/>
      <c r="E938" s="119"/>
      <c r="F938" s="118"/>
      <c r="G938" s="110"/>
      <c r="H938" s="126"/>
      <c r="I938" s="114">
        <v>0</v>
      </c>
      <c r="J938" s="115">
        <v>0</v>
      </c>
      <c r="K938" s="116">
        <v>0</v>
      </c>
      <c r="L938" s="116">
        <v>0</v>
      </c>
      <c r="M938" s="114">
        <v>0</v>
      </c>
      <c r="N938" s="113">
        <v>0</v>
      </c>
      <c r="O938" s="113">
        <v>0</v>
      </c>
      <c r="P938" s="116">
        <v>0</v>
      </c>
      <c r="Q938" s="116">
        <v>0</v>
      </c>
      <c r="R938" s="116">
        <v>0</v>
      </c>
      <c r="S938" s="114">
        <v>0</v>
      </c>
      <c r="T938" s="116">
        <v>0</v>
      </c>
      <c r="U938" s="116">
        <v>0</v>
      </c>
      <c r="V938" s="121">
        <f t="shared" si="50"/>
        <v>0</v>
      </c>
      <c r="W938" s="111"/>
      <c r="X938" s="111"/>
      <c r="Y938" s="111"/>
      <c r="Z938" s="111"/>
      <c r="AA938" s="111"/>
      <c r="AB938" s="111"/>
      <c r="AC938" s="111"/>
      <c r="AD938" s="111"/>
      <c r="AE938" s="139">
        <f t="shared" si="51"/>
        <v>0</v>
      </c>
      <c r="AF938" s="109"/>
      <c r="AG938" s="109"/>
    </row>
    <row r="939" spans="1:33">
      <c r="A939" s="117"/>
      <c r="B939" s="118"/>
      <c r="C939" s="118"/>
      <c r="D939" s="118"/>
      <c r="E939" s="119"/>
      <c r="F939" s="118"/>
      <c r="G939" s="110"/>
      <c r="H939" s="126"/>
      <c r="I939" s="114">
        <v>0</v>
      </c>
      <c r="J939" s="115">
        <v>0</v>
      </c>
      <c r="K939" s="116">
        <v>0</v>
      </c>
      <c r="L939" s="116">
        <v>0</v>
      </c>
      <c r="M939" s="114">
        <v>0</v>
      </c>
      <c r="N939" s="113">
        <v>0</v>
      </c>
      <c r="O939" s="113">
        <v>0</v>
      </c>
      <c r="P939" s="116">
        <v>0</v>
      </c>
      <c r="Q939" s="116">
        <v>0</v>
      </c>
      <c r="R939" s="116">
        <v>0</v>
      </c>
      <c r="S939" s="114">
        <v>0</v>
      </c>
      <c r="T939" s="116">
        <v>0</v>
      </c>
      <c r="U939" s="116">
        <v>0</v>
      </c>
      <c r="V939" s="121">
        <f t="shared" si="50"/>
        <v>0</v>
      </c>
      <c r="W939" s="111"/>
      <c r="X939" s="111"/>
      <c r="Y939" s="111"/>
      <c r="Z939" s="111"/>
      <c r="AA939" s="111"/>
      <c r="AB939" s="111"/>
      <c r="AC939" s="111"/>
      <c r="AD939" s="111"/>
      <c r="AE939" s="139">
        <f t="shared" si="51"/>
        <v>0</v>
      </c>
      <c r="AF939" s="109"/>
      <c r="AG939" s="109"/>
    </row>
    <row r="940" spans="1:33">
      <c r="A940" s="117"/>
      <c r="B940" s="118"/>
      <c r="C940" s="118"/>
      <c r="D940" s="118"/>
      <c r="E940" s="119"/>
      <c r="F940" s="118"/>
      <c r="G940" s="110"/>
      <c r="H940" s="126"/>
      <c r="I940" s="114">
        <v>0</v>
      </c>
      <c r="J940" s="115">
        <v>0</v>
      </c>
      <c r="K940" s="116">
        <v>0</v>
      </c>
      <c r="L940" s="116">
        <v>0</v>
      </c>
      <c r="M940" s="114">
        <v>0</v>
      </c>
      <c r="N940" s="113">
        <v>0</v>
      </c>
      <c r="O940" s="113">
        <v>0</v>
      </c>
      <c r="P940" s="116">
        <v>0</v>
      </c>
      <c r="Q940" s="116">
        <v>0</v>
      </c>
      <c r="R940" s="116">
        <v>0</v>
      </c>
      <c r="S940" s="114">
        <v>0</v>
      </c>
      <c r="T940" s="116">
        <v>0</v>
      </c>
      <c r="U940" s="116">
        <v>0</v>
      </c>
      <c r="V940" s="121">
        <f t="shared" si="50"/>
        <v>0</v>
      </c>
      <c r="W940" s="111"/>
      <c r="X940" s="111"/>
      <c r="Y940" s="111"/>
      <c r="Z940" s="111"/>
      <c r="AA940" s="111"/>
      <c r="AB940" s="111"/>
      <c r="AC940" s="111"/>
      <c r="AD940" s="111"/>
      <c r="AE940" s="139">
        <f t="shared" si="51"/>
        <v>0</v>
      </c>
      <c r="AF940" s="109"/>
      <c r="AG940" s="109"/>
    </row>
    <row r="941" spans="1:33">
      <c r="A941" s="117"/>
      <c r="B941" s="118"/>
      <c r="C941" s="118"/>
      <c r="D941" s="118"/>
      <c r="E941" s="119"/>
      <c r="F941" s="118"/>
      <c r="G941" s="110"/>
      <c r="H941" s="126"/>
      <c r="I941" s="114">
        <v>0</v>
      </c>
      <c r="J941" s="115">
        <v>0</v>
      </c>
      <c r="K941" s="116">
        <v>0</v>
      </c>
      <c r="L941" s="116">
        <v>0</v>
      </c>
      <c r="M941" s="114">
        <v>0</v>
      </c>
      <c r="N941" s="113">
        <v>0</v>
      </c>
      <c r="O941" s="113">
        <v>0</v>
      </c>
      <c r="P941" s="116">
        <v>0</v>
      </c>
      <c r="Q941" s="116">
        <v>0</v>
      </c>
      <c r="R941" s="116">
        <v>0</v>
      </c>
      <c r="S941" s="114">
        <v>0</v>
      </c>
      <c r="T941" s="116">
        <v>0</v>
      </c>
      <c r="U941" s="116">
        <v>0</v>
      </c>
      <c r="V941" s="121">
        <f t="shared" si="50"/>
        <v>0</v>
      </c>
      <c r="W941" s="111"/>
      <c r="X941" s="111"/>
      <c r="Y941" s="111"/>
      <c r="Z941" s="111"/>
      <c r="AA941" s="111"/>
      <c r="AB941" s="111"/>
      <c r="AC941" s="111"/>
      <c r="AD941" s="111"/>
      <c r="AE941" s="139">
        <f t="shared" si="51"/>
        <v>0</v>
      </c>
      <c r="AF941" s="109"/>
      <c r="AG941" s="109"/>
    </row>
    <row r="942" spans="1:33">
      <c r="A942" s="117"/>
      <c r="B942" s="118"/>
      <c r="C942" s="118"/>
      <c r="D942" s="118"/>
      <c r="E942" s="119"/>
      <c r="F942" s="118"/>
      <c r="G942" s="110"/>
      <c r="H942" s="126"/>
      <c r="I942" s="114">
        <v>0</v>
      </c>
      <c r="J942" s="115">
        <v>0</v>
      </c>
      <c r="K942" s="116">
        <v>0</v>
      </c>
      <c r="L942" s="116">
        <v>0</v>
      </c>
      <c r="M942" s="114">
        <v>0</v>
      </c>
      <c r="N942" s="113">
        <v>0</v>
      </c>
      <c r="O942" s="113">
        <v>0</v>
      </c>
      <c r="P942" s="116">
        <v>0</v>
      </c>
      <c r="Q942" s="116">
        <v>0</v>
      </c>
      <c r="R942" s="116">
        <v>0</v>
      </c>
      <c r="S942" s="114">
        <v>0</v>
      </c>
      <c r="T942" s="116">
        <v>0</v>
      </c>
      <c r="U942" s="116">
        <v>0</v>
      </c>
      <c r="V942" s="121">
        <f t="shared" si="50"/>
        <v>0</v>
      </c>
      <c r="W942" s="111"/>
      <c r="X942" s="111"/>
      <c r="Y942" s="111"/>
      <c r="Z942" s="111"/>
      <c r="AA942" s="111"/>
      <c r="AB942" s="111"/>
      <c r="AC942" s="111"/>
      <c r="AD942" s="111"/>
      <c r="AE942" s="139">
        <f t="shared" si="51"/>
        <v>0</v>
      </c>
      <c r="AF942" s="109"/>
      <c r="AG942" s="109"/>
    </row>
    <row r="943" spans="1:33">
      <c r="A943" s="117"/>
      <c r="B943" s="118"/>
      <c r="C943" s="118"/>
      <c r="D943" s="118"/>
      <c r="E943" s="119"/>
      <c r="F943" s="118"/>
      <c r="G943" s="110"/>
      <c r="H943" s="126"/>
      <c r="I943" s="114">
        <v>0</v>
      </c>
      <c r="J943" s="115">
        <v>0</v>
      </c>
      <c r="K943" s="116">
        <v>0</v>
      </c>
      <c r="L943" s="116">
        <v>0</v>
      </c>
      <c r="M943" s="114">
        <v>0</v>
      </c>
      <c r="N943" s="113">
        <v>0</v>
      </c>
      <c r="O943" s="113">
        <v>0</v>
      </c>
      <c r="P943" s="116">
        <v>0</v>
      </c>
      <c r="Q943" s="116">
        <v>0</v>
      </c>
      <c r="R943" s="116">
        <v>0</v>
      </c>
      <c r="S943" s="114">
        <v>0</v>
      </c>
      <c r="T943" s="116">
        <v>0</v>
      </c>
      <c r="U943" s="116">
        <v>0</v>
      </c>
      <c r="V943" s="121">
        <f t="shared" si="50"/>
        <v>0</v>
      </c>
      <c r="W943" s="111"/>
      <c r="X943" s="111"/>
      <c r="Y943" s="111"/>
      <c r="Z943" s="111"/>
      <c r="AA943" s="111"/>
      <c r="AB943" s="111"/>
      <c r="AC943" s="111"/>
      <c r="AD943" s="111"/>
      <c r="AE943" s="139">
        <f t="shared" si="51"/>
        <v>0</v>
      </c>
      <c r="AF943" s="109"/>
      <c r="AG943" s="109"/>
    </row>
    <row r="944" spans="1:33">
      <c r="A944" s="117"/>
      <c r="B944" s="118"/>
      <c r="C944" s="118"/>
      <c r="D944" s="118"/>
      <c r="E944" s="119"/>
      <c r="F944" s="118"/>
      <c r="G944" s="110"/>
      <c r="H944" s="126"/>
      <c r="I944" s="114">
        <v>0</v>
      </c>
      <c r="J944" s="115">
        <v>0</v>
      </c>
      <c r="K944" s="116">
        <v>0</v>
      </c>
      <c r="L944" s="116">
        <v>0</v>
      </c>
      <c r="M944" s="114">
        <v>0</v>
      </c>
      <c r="N944" s="113">
        <v>0</v>
      </c>
      <c r="O944" s="113">
        <v>0</v>
      </c>
      <c r="P944" s="116">
        <v>0</v>
      </c>
      <c r="Q944" s="116">
        <v>0</v>
      </c>
      <c r="R944" s="116">
        <v>0</v>
      </c>
      <c r="S944" s="114">
        <v>0</v>
      </c>
      <c r="T944" s="116">
        <v>0</v>
      </c>
      <c r="U944" s="116">
        <v>0</v>
      </c>
      <c r="V944" s="121">
        <f t="shared" si="50"/>
        <v>0</v>
      </c>
      <c r="W944" s="111"/>
      <c r="X944" s="111"/>
      <c r="Y944" s="111"/>
      <c r="Z944" s="111"/>
      <c r="AA944" s="111"/>
      <c r="AB944" s="111"/>
      <c r="AC944" s="111"/>
      <c r="AD944" s="111"/>
      <c r="AE944" s="139">
        <f t="shared" si="51"/>
        <v>0</v>
      </c>
      <c r="AF944" s="109"/>
      <c r="AG944" s="109"/>
    </row>
    <row r="945" spans="1:33">
      <c r="A945" s="117"/>
      <c r="B945" s="118"/>
      <c r="C945" s="118"/>
      <c r="D945" s="118"/>
      <c r="E945" s="119"/>
      <c r="F945" s="118"/>
      <c r="G945" s="110"/>
      <c r="H945" s="126"/>
      <c r="I945" s="114">
        <v>0</v>
      </c>
      <c r="J945" s="115">
        <v>0</v>
      </c>
      <c r="K945" s="116">
        <v>0</v>
      </c>
      <c r="L945" s="116">
        <v>0</v>
      </c>
      <c r="M945" s="114">
        <v>0</v>
      </c>
      <c r="N945" s="113">
        <v>0</v>
      </c>
      <c r="O945" s="113">
        <v>0</v>
      </c>
      <c r="P945" s="116">
        <v>0</v>
      </c>
      <c r="Q945" s="116">
        <v>0</v>
      </c>
      <c r="R945" s="116">
        <v>0</v>
      </c>
      <c r="S945" s="114">
        <v>0</v>
      </c>
      <c r="T945" s="116">
        <v>0</v>
      </c>
      <c r="U945" s="116">
        <v>0</v>
      </c>
      <c r="V945" s="121">
        <f t="shared" ref="V945:V1008" si="52">+G945-(SUM(I945:N945,P945:S945,U945))</f>
        <v>0</v>
      </c>
      <c r="W945" s="111"/>
      <c r="X945" s="111"/>
      <c r="Y945" s="111"/>
      <c r="Z945" s="111"/>
      <c r="AA945" s="111"/>
      <c r="AB945" s="111"/>
      <c r="AC945" s="111"/>
      <c r="AD945" s="111"/>
      <c r="AE945" s="139">
        <f t="shared" si="51"/>
        <v>0</v>
      </c>
      <c r="AF945" s="109"/>
      <c r="AG945" s="109"/>
    </row>
    <row r="946" spans="1:33">
      <c r="A946" s="117"/>
      <c r="B946" s="118"/>
      <c r="C946" s="118"/>
      <c r="D946" s="118"/>
      <c r="E946" s="119"/>
      <c r="F946" s="118"/>
      <c r="G946" s="110"/>
      <c r="H946" s="126"/>
      <c r="I946" s="114">
        <v>0</v>
      </c>
      <c r="J946" s="115">
        <v>0</v>
      </c>
      <c r="K946" s="116">
        <v>0</v>
      </c>
      <c r="L946" s="116">
        <v>0</v>
      </c>
      <c r="M946" s="114">
        <v>0</v>
      </c>
      <c r="N946" s="113">
        <v>0</v>
      </c>
      <c r="O946" s="113">
        <v>0</v>
      </c>
      <c r="P946" s="116">
        <v>0</v>
      </c>
      <c r="Q946" s="116">
        <v>0</v>
      </c>
      <c r="R946" s="116">
        <v>0</v>
      </c>
      <c r="S946" s="114">
        <v>0</v>
      </c>
      <c r="T946" s="116">
        <v>0</v>
      </c>
      <c r="U946" s="116">
        <v>0</v>
      </c>
      <c r="V946" s="121">
        <f t="shared" si="52"/>
        <v>0</v>
      </c>
      <c r="W946" s="111"/>
      <c r="X946" s="111"/>
      <c r="Y946" s="111"/>
      <c r="Z946" s="111"/>
      <c r="AA946" s="111"/>
      <c r="AB946" s="111"/>
      <c r="AC946" s="111"/>
      <c r="AD946" s="111"/>
      <c r="AE946" s="139">
        <f t="shared" si="51"/>
        <v>0</v>
      </c>
      <c r="AF946" s="109"/>
      <c r="AG946" s="109"/>
    </row>
    <row r="947" spans="1:33">
      <c r="A947" s="117"/>
      <c r="B947" s="118"/>
      <c r="C947" s="118"/>
      <c r="D947" s="118"/>
      <c r="E947" s="119"/>
      <c r="F947" s="118"/>
      <c r="G947" s="110"/>
      <c r="H947" s="126"/>
      <c r="I947" s="114">
        <v>0</v>
      </c>
      <c r="J947" s="115">
        <v>0</v>
      </c>
      <c r="K947" s="116">
        <v>0</v>
      </c>
      <c r="L947" s="116">
        <v>0</v>
      </c>
      <c r="M947" s="114">
        <v>0</v>
      </c>
      <c r="N947" s="113">
        <v>0</v>
      </c>
      <c r="O947" s="113">
        <v>0</v>
      </c>
      <c r="P947" s="116">
        <v>0</v>
      </c>
      <c r="Q947" s="116">
        <v>0</v>
      </c>
      <c r="R947" s="116">
        <v>0</v>
      </c>
      <c r="S947" s="114">
        <v>0</v>
      </c>
      <c r="T947" s="116">
        <v>0</v>
      </c>
      <c r="U947" s="116">
        <v>0</v>
      </c>
      <c r="V947" s="121">
        <f t="shared" si="52"/>
        <v>0</v>
      </c>
      <c r="W947" s="111"/>
      <c r="X947" s="111"/>
      <c r="Y947" s="111"/>
      <c r="Z947" s="111"/>
      <c r="AA947" s="111"/>
      <c r="AB947" s="111"/>
      <c r="AC947" s="111"/>
      <c r="AD947" s="111"/>
      <c r="AE947" s="139">
        <f t="shared" si="51"/>
        <v>0</v>
      </c>
      <c r="AF947" s="109"/>
      <c r="AG947" s="109"/>
    </row>
    <row r="948" spans="1:33">
      <c r="A948" s="117"/>
      <c r="B948" s="118"/>
      <c r="C948" s="118"/>
      <c r="D948" s="118"/>
      <c r="E948" s="119"/>
      <c r="F948" s="118"/>
      <c r="G948" s="110"/>
      <c r="H948" s="126"/>
      <c r="I948" s="114">
        <v>0</v>
      </c>
      <c r="J948" s="115">
        <v>0</v>
      </c>
      <c r="K948" s="116">
        <v>0</v>
      </c>
      <c r="L948" s="116">
        <v>0</v>
      </c>
      <c r="M948" s="114">
        <v>0</v>
      </c>
      <c r="N948" s="113">
        <v>0</v>
      </c>
      <c r="O948" s="113">
        <v>0</v>
      </c>
      <c r="P948" s="116">
        <v>0</v>
      </c>
      <c r="Q948" s="116">
        <v>0</v>
      </c>
      <c r="R948" s="116">
        <v>0</v>
      </c>
      <c r="S948" s="114">
        <v>0</v>
      </c>
      <c r="T948" s="116">
        <v>0</v>
      </c>
      <c r="U948" s="116">
        <v>0</v>
      </c>
      <c r="V948" s="121">
        <f t="shared" si="52"/>
        <v>0</v>
      </c>
      <c r="W948" s="111"/>
      <c r="X948" s="111"/>
      <c r="Y948" s="111"/>
      <c r="Z948" s="111"/>
      <c r="AA948" s="111"/>
      <c r="AB948" s="111"/>
      <c r="AC948" s="111"/>
      <c r="AD948" s="111"/>
      <c r="AE948" s="139">
        <f t="shared" si="51"/>
        <v>0</v>
      </c>
      <c r="AF948" s="109"/>
      <c r="AG948" s="109"/>
    </row>
    <row r="949" spans="1:33">
      <c r="A949" s="117"/>
      <c r="B949" s="118"/>
      <c r="C949" s="118"/>
      <c r="D949" s="118"/>
      <c r="E949" s="119"/>
      <c r="F949" s="118"/>
      <c r="G949" s="110"/>
      <c r="H949" s="126"/>
      <c r="I949" s="114">
        <v>0</v>
      </c>
      <c r="J949" s="115">
        <v>0</v>
      </c>
      <c r="K949" s="116">
        <v>0</v>
      </c>
      <c r="L949" s="116">
        <v>0</v>
      </c>
      <c r="M949" s="114">
        <v>0</v>
      </c>
      <c r="N949" s="113">
        <v>0</v>
      </c>
      <c r="O949" s="113">
        <v>0</v>
      </c>
      <c r="P949" s="116">
        <v>0</v>
      </c>
      <c r="Q949" s="116">
        <v>0</v>
      </c>
      <c r="R949" s="116">
        <v>0</v>
      </c>
      <c r="S949" s="114">
        <v>0</v>
      </c>
      <c r="T949" s="116">
        <v>0</v>
      </c>
      <c r="U949" s="116">
        <v>0</v>
      </c>
      <c r="V949" s="121">
        <f t="shared" si="52"/>
        <v>0</v>
      </c>
      <c r="W949" s="111"/>
      <c r="X949" s="111"/>
      <c r="Y949" s="111"/>
      <c r="Z949" s="111"/>
      <c r="AA949" s="111"/>
      <c r="AB949" s="111"/>
      <c r="AC949" s="111"/>
      <c r="AD949" s="111"/>
      <c r="AE949" s="139">
        <f t="shared" si="51"/>
        <v>0</v>
      </c>
      <c r="AF949" s="109"/>
      <c r="AG949" s="109"/>
    </row>
    <row r="950" spans="1:33">
      <c r="A950" s="117"/>
      <c r="B950" s="118"/>
      <c r="C950" s="118"/>
      <c r="D950" s="118"/>
      <c r="E950" s="119"/>
      <c r="F950" s="118"/>
      <c r="G950" s="110"/>
      <c r="H950" s="126"/>
      <c r="I950" s="114">
        <v>0</v>
      </c>
      <c r="J950" s="115">
        <v>0</v>
      </c>
      <c r="K950" s="116">
        <v>0</v>
      </c>
      <c r="L950" s="116">
        <v>0</v>
      </c>
      <c r="M950" s="114">
        <v>0</v>
      </c>
      <c r="N950" s="113">
        <v>0</v>
      </c>
      <c r="O950" s="113">
        <v>0</v>
      </c>
      <c r="P950" s="116">
        <v>0</v>
      </c>
      <c r="Q950" s="116">
        <v>0</v>
      </c>
      <c r="R950" s="116">
        <v>0</v>
      </c>
      <c r="S950" s="114">
        <v>0</v>
      </c>
      <c r="T950" s="116">
        <v>0</v>
      </c>
      <c r="U950" s="116">
        <v>0</v>
      </c>
      <c r="V950" s="121">
        <f t="shared" si="52"/>
        <v>0</v>
      </c>
      <c r="W950" s="111"/>
      <c r="X950" s="111"/>
      <c r="Y950" s="111"/>
      <c r="Z950" s="111"/>
      <c r="AA950" s="111"/>
      <c r="AB950" s="111"/>
      <c r="AC950" s="111"/>
      <c r="AD950" s="111"/>
      <c r="AE950" s="139">
        <f t="shared" si="51"/>
        <v>0</v>
      </c>
      <c r="AF950" s="109"/>
      <c r="AG950" s="109"/>
    </row>
    <row r="951" spans="1:33">
      <c r="A951" s="117"/>
      <c r="B951" s="118"/>
      <c r="C951" s="118"/>
      <c r="D951" s="118"/>
      <c r="E951" s="119"/>
      <c r="F951" s="118"/>
      <c r="G951" s="110"/>
      <c r="H951" s="126"/>
      <c r="I951" s="114">
        <v>0</v>
      </c>
      <c r="J951" s="115">
        <v>0</v>
      </c>
      <c r="K951" s="116">
        <v>0</v>
      </c>
      <c r="L951" s="116">
        <v>0</v>
      </c>
      <c r="M951" s="114">
        <v>0</v>
      </c>
      <c r="N951" s="113">
        <v>0</v>
      </c>
      <c r="O951" s="113">
        <v>0</v>
      </c>
      <c r="P951" s="116">
        <v>0</v>
      </c>
      <c r="Q951" s="116">
        <v>0</v>
      </c>
      <c r="R951" s="116">
        <v>0</v>
      </c>
      <c r="S951" s="114">
        <v>0</v>
      </c>
      <c r="T951" s="116">
        <v>0</v>
      </c>
      <c r="U951" s="116">
        <v>0</v>
      </c>
      <c r="V951" s="121">
        <f t="shared" si="52"/>
        <v>0</v>
      </c>
      <c r="W951" s="111"/>
      <c r="X951" s="111"/>
      <c r="Y951" s="111"/>
      <c r="Z951" s="111"/>
      <c r="AA951" s="111"/>
      <c r="AB951" s="111"/>
      <c r="AC951" s="111"/>
      <c r="AD951" s="111"/>
      <c r="AE951" s="139">
        <f t="shared" si="51"/>
        <v>0</v>
      </c>
      <c r="AF951" s="109"/>
      <c r="AG951" s="109"/>
    </row>
    <row r="952" spans="1:33">
      <c r="A952" s="117"/>
      <c r="B952" s="118"/>
      <c r="C952" s="118"/>
      <c r="D952" s="118"/>
      <c r="E952" s="119"/>
      <c r="F952" s="118"/>
      <c r="G952" s="110"/>
      <c r="H952" s="126"/>
      <c r="I952" s="114">
        <v>0</v>
      </c>
      <c r="J952" s="115">
        <v>0</v>
      </c>
      <c r="K952" s="116">
        <v>0</v>
      </c>
      <c r="L952" s="116">
        <v>0</v>
      </c>
      <c r="M952" s="114">
        <v>0</v>
      </c>
      <c r="N952" s="113">
        <v>0</v>
      </c>
      <c r="O952" s="113">
        <v>0</v>
      </c>
      <c r="P952" s="116">
        <v>0</v>
      </c>
      <c r="Q952" s="116">
        <v>0</v>
      </c>
      <c r="R952" s="116">
        <v>0</v>
      </c>
      <c r="S952" s="114">
        <v>0</v>
      </c>
      <c r="T952" s="116">
        <v>0</v>
      </c>
      <c r="U952" s="116">
        <v>0</v>
      </c>
      <c r="V952" s="121">
        <f t="shared" si="52"/>
        <v>0</v>
      </c>
      <c r="W952" s="111"/>
      <c r="X952" s="111"/>
      <c r="Y952" s="111"/>
      <c r="Z952" s="111"/>
      <c r="AA952" s="111"/>
      <c r="AB952" s="111"/>
      <c r="AC952" s="111"/>
      <c r="AD952" s="111"/>
      <c r="AE952" s="139">
        <f t="shared" si="51"/>
        <v>0</v>
      </c>
      <c r="AF952" s="109"/>
      <c r="AG952" s="109"/>
    </row>
    <row r="953" spans="1:33">
      <c r="A953" s="117"/>
      <c r="B953" s="118"/>
      <c r="C953" s="118"/>
      <c r="D953" s="118"/>
      <c r="E953" s="119"/>
      <c r="F953" s="118"/>
      <c r="G953" s="110"/>
      <c r="H953" s="126"/>
      <c r="I953" s="114">
        <v>0</v>
      </c>
      <c r="J953" s="115">
        <v>0</v>
      </c>
      <c r="K953" s="116">
        <v>0</v>
      </c>
      <c r="L953" s="116">
        <v>0</v>
      </c>
      <c r="M953" s="114">
        <v>0</v>
      </c>
      <c r="N953" s="113">
        <v>0</v>
      </c>
      <c r="O953" s="113">
        <v>0</v>
      </c>
      <c r="P953" s="116">
        <v>0</v>
      </c>
      <c r="Q953" s="116">
        <v>0</v>
      </c>
      <c r="R953" s="116">
        <v>0</v>
      </c>
      <c r="S953" s="114">
        <v>0</v>
      </c>
      <c r="T953" s="116">
        <v>0</v>
      </c>
      <c r="U953" s="116">
        <v>0</v>
      </c>
      <c r="V953" s="121">
        <f t="shared" si="52"/>
        <v>0</v>
      </c>
      <c r="W953" s="111"/>
      <c r="X953" s="111"/>
      <c r="Y953" s="111"/>
      <c r="Z953" s="111"/>
      <c r="AA953" s="111"/>
      <c r="AB953" s="111"/>
      <c r="AC953" s="111"/>
      <c r="AD953" s="111"/>
      <c r="AE953" s="139">
        <f t="shared" si="51"/>
        <v>0</v>
      </c>
      <c r="AF953" s="109"/>
      <c r="AG953" s="109"/>
    </row>
    <row r="954" spans="1:33">
      <c r="A954" s="117"/>
      <c r="B954" s="118"/>
      <c r="C954" s="118"/>
      <c r="D954" s="118"/>
      <c r="E954" s="119"/>
      <c r="F954" s="118"/>
      <c r="G954" s="110"/>
      <c r="H954" s="126"/>
      <c r="I954" s="114">
        <v>0</v>
      </c>
      <c r="J954" s="115">
        <v>0</v>
      </c>
      <c r="K954" s="116">
        <v>0</v>
      </c>
      <c r="L954" s="116">
        <v>0</v>
      </c>
      <c r="M954" s="114">
        <v>0</v>
      </c>
      <c r="N954" s="113">
        <v>0</v>
      </c>
      <c r="O954" s="113">
        <v>0</v>
      </c>
      <c r="P954" s="116">
        <v>0</v>
      </c>
      <c r="Q954" s="116">
        <v>0</v>
      </c>
      <c r="R954" s="116">
        <v>0</v>
      </c>
      <c r="S954" s="114">
        <v>0</v>
      </c>
      <c r="T954" s="116">
        <v>0</v>
      </c>
      <c r="U954" s="116">
        <v>0</v>
      </c>
      <c r="V954" s="121">
        <f t="shared" si="52"/>
        <v>0</v>
      </c>
      <c r="W954" s="111"/>
      <c r="X954" s="111"/>
      <c r="Y954" s="111"/>
      <c r="Z954" s="111"/>
      <c r="AA954" s="111"/>
      <c r="AB954" s="111"/>
      <c r="AC954" s="111"/>
      <c r="AD954" s="111"/>
      <c r="AE954" s="139">
        <f t="shared" si="51"/>
        <v>0</v>
      </c>
      <c r="AF954" s="109"/>
      <c r="AG954" s="109"/>
    </row>
    <row r="955" spans="1:33">
      <c r="A955" s="117"/>
      <c r="B955" s="118"/>
      <c r="C955" s="118"/>
      <c r="D955" s="118"/>
      <c r="E955" s="119"/>
      <c r="F955" s="118"/>
      <c r="G955" s="110"/>
      <c r="H955" s="126"/>
      <c r="I955" s="114">
        <v>0</v>
      </c>
      <c r="J955" s="115">
        <v>0</v>
      </c>
      <c r="K955" s="116">
        <v>0</v>
      </c>
      <c r="L955" s="116">
        <v>0</v>
      </c>
      <c r="M955" s="114">
        <v>0</v>
      </c>
      <c r="N955" s="113">
        <v>0</v>
      </c>
      <c r="O955" s="113">
        <v>0</v>
      </c>
      <c r="P955" s="116">
        <v>0</v>
      </c>
      <c r="Q955" s="116">
        <v>0</v>
      </c>
      <c r="R955" s="116">
        <v>0</v>
      </c>
      <c r="S955" s="114">
        <v>0</v>
      </c>
      <c r="T955" s="116">
        <v>0</v>
      </c>
      <c r="U955" s="116">
        <v>0</v>
      </c>
      <c r="V955" s="121">
        <f t="shared" si="52"/>
        <v>0</v>
      </c>
      <c r="W955" s="111"/>
      <c r="X955" s="111"/>
      <c r="Y955" s="111"/>
      <c r="Z955" s="111"/>
      <c r="AA955" s="111"/>
      <c r="AB955" s="111"/>
      <c r="AC955" s="111"/>
      <c r="AD955" s="111"/>
      <c r="AE955" s="139">
        <f t="shared" si="51"/>
        <v>0</v>
      </c>
      <c r="AF955" s="109"/>
      <c r="AG955" s="109"/>
    </row>
    <row r="956" spans="1:33">
      <c r="A956" s="117"/>
      <c r="B956" s="118"/>
      <c r="C956" s="118"/>
      <c r="D956" s="118"/>
      <c r="E956" s="119"/>
      <c r="F956" s="118"/>
      <c r="G956" s="110"/>
      <c r="H956" s="126"/>
      <c r="I956" s="114">
        <v>0</v>
      </c>
      <c r="J956" s="115">
        <v>0</v>
      </c>
      <c r="K956" s="116">
        <v>0</v>
      </c>
      <c r="L956" s="116">
        <v>0</v>
      </c>
      <c r="M956" s="114">
        <v>0</v>
      </c>
      <c r="N956" s="113">
        <v>0</v>
      </c>
      <c r="O956" s="113">
        <v>0</v>
      </c>
      <c r="P956" s="116">
        <v>0</v>
      </c>
      <c r="Q956" s="116">
        <v>0</v>
      </c>
      <c r="R956" s="116">
        <v>0</v>
      </c>
      <c r="S956" s="114">
        <v>0</v>
      </c>
      <c r="T956" s="116">
        <v>0</v>
      </c>
      <c r="U956" s="116">
        <v>0</v>
      </c>
      <c r="V956" s="121">
        <f t="shared" si="52"/>
        <v>0</v>
      </c>
      <c r="W956" s="111"/>
      <c r="X956" s="111"/>
      <c r="Y956" s="111"/>
      <c r="Z956" s="111"/>
      <c r="AA956" s="111"/>
      <c r="AB956" s="111"/>
      <c r="AC956" s="111"/>
      <c r="AD956" s="111"/>
      <c r="AE956" s="139">
        <f t="shared" si="51"/>
        <v>0</v>
      </c>
      <c r="AF956" s="109"/>
      <c r="AG956" s="109"/>
    </row>
    <row r="957" spans="1:33">
      <c r="A957" s="117"/>
      <c r="B957" s="118"/>
      <c r="C957" s="118"/>
      <c r="D957" s="118"/>
      <c r="E957" s="119"/>
      <c r="F957" s="118"/>
      <c r="G957" s="110"/>
      <c r="H957" s="126"/>
      <c r="I957" s="114">
        <v>0</v>
      </c>
      <c r="J957" s="115">
        <v>0</v>
      </c>
      <c r="K957" s="116">
        <v>0</v>
      </c>
      <c r="L957" s="116">
        <v>0</v>
      </c>
      <c r="M957" s="114">
        <v>0</v>
      </c>
      <c r="N957" s="113">
        <v>0</v>
      </c>
      <c r="O957" s="113">
        <v>0</v>
      </c>
      <c r="P957" s="116">
        <v>0</v>
      </c>
      <c r="Q957" s="116">
        <v>0</v>
      </c>
      <c r="R957" s="116">
        <v>0</v>
      </c>
      <c r="S957" s="114">
        <v>0</v>
      </c>
      <c r="T957" s="116">
        <v>0</v>
      </c>
      <c r="U957" s="116">
        <v>0</v>
      </c>
      <c r="V957" s="121">
        <f t="shared" si="52"/>
        <v>0</v>
      </c>
      <c r="W957" s="111"/>
      <c r="X957" s="111"/>
      <c r="Y957" s="111"/>
      <c r="Z957" s="111"/>
      <c r="AA957" s="111"/>
      <c r="AB957" s="111"/>
      <c r="AC957" s="111"/>
      <c r="AD957" s="111"/>
      <c r="AE957" s="139">
        <f t="shared" si="51"/>
        <v>0</v>
      </c>
      <c r="AF957" s="109"/>
      <c r="AG957" s="109"/>
    </row>
    <row r="958" spans="1:33">
      <c r="A958" s="117"/>
      <c r="B958" s="118"/>
      <c r="C958" s="118"/>
      <c r="D958" s="118"/>
      <c r="E958" s="119"/>
      <c r="F958" s="118"/>
      <c r="G958" s="110"/>
      <c r="H958" s="126"/>
      <c r="I958" s="114">
        <v>0</v>
      </c>
      <c r="J958" s="115">
        <v>0</v>
      </c>
      <c r="K958" s="116">
        <v>0</v>
      </c>
      <c r="L958" s="116">
        <v>0</v>
      </c>
      <c r="M958" s="114">
        <v>0</v>
      </c>
      <c r="N958" s="113">
        <v>0</v>
      </c>
      <c r="O958" s="113">
        <v>0</v>
      </c>
      <c r="P958" s="116">
        <v>0</v>
      </c>
      <c r="Q958" s="116">
        <v>0</v>
      </c>
      <c r="R958" s="116">
        <v>0</v>
      </c>
      <c r="S958" s="114">
        <v>0</v>
      </c>
      <c r="T958" s="116">
        <v>0</v>
      </c>
      <c r="U958" s="116">
        <v>0</v>
      </c>
      <c r="V958" s="121">
        <f t="shared" si="52"/>
        <v>0</v>
      </c>
      <c r="W958" s="111"/>
      <c r="X958" s="111"/>
      <c r="Y958" s="111"/>
      <c r="Z958" s="111"/>
      <c r="AA958" s="111"/>
      <c r="AB958" s="111"/>
      <c r="AC958" s="111"/>
      <c r="AD958" s="111"/>
      <c r="AE958" s="139">
        <f t="shared" si="51"/>
        <v>0</v>
      </c>
      <c r="AF958" s="109"/>
      <c r="AG958" s="109"/>
    </row>
    <row r="959" spans="1:33">
      <c r="A959" s="117"/>
      <c r="B959" s="118"/>
      <c r="C959" s="118"/>
      <c r="D959" s="118"/>
      <c r="E959" s="119"/>
      <c r="F959" s="118"/>
      <c r="G959" s="110"/>
      <c r="H959" s="126"/>
      <c r="I959" s="114">
        <v>0</v>
      </c>
      <c r="J959" s="115">
        <v>0</v>
      </c>
      <c r="K959" s="116">
        <v>0</v>
      </c>
      <c r="L959" s="116">
        <v>0</v>
      </c>
      <c r="M959" s="114">
        <v>0</v>
      </c>
      <c r="N959" s="113">
        <v>0</v>
      </c>
      <c r="O959" s="113">
        <v>0</v>
      </c>
      <c r="P959" s="116">
        <v>0</v>
      </c>
      <c r="Q959" s="116">
        <v>0</v>
      </c>
      <c r="R959" s="116">
        <v>0</v>
      </c>
      <c r="S959" s="114">
        <v>0</v>
      </c>
      <c r="T959" s="116">
        <v>0</v>
      </c>
      <c r="U959" s="116">
        <v>0</v>
      </c>
      <c r="V959" s="121">
        <f t="shared" si="52"/>
        <v>0</v>
      </c>
      <c r="W959" s="111"/>
      <c r="X959" s="111"/>
      <c r="Y959" s="111"/>
      <c r="Z959" s="111"/>
      <c r="AA959" s="111"/>
      <c r="AB959" s="111"/>
      <c r="AC959" s="111"/>
      <c r="AD959" s="111"/>
      <c r="AE959" s="139">
        <f t="shared" si="51"/>
        <v>0</v>
      </c>
      <c r="AF959" s="109"/>
      <c r="AG959" s="109"/>
    </row>
    <row r="960" spans="1:33">
      <c r="A960" s="117"/>
      <c r="B960" s="118"/>
      <c r="C960" s="118"/>
      <c r="D960" s="118"/>
      <c r="E960" s="119"/>
      <c r="F960" s="118"/>
      <c r="G960" s="110"/>
      <c r="H960" s="126"/>
      <c r="I960" s="114">
        <v>0</v>
      </c>
      <c r="J960" s="115">
        <v>0</v>
      </c>
      <c r="K960" s="116">
        <v>0</v>
      </c>
      <c r="L960" s="116">
        <v>0</v>
      </c>
      <c r="M960" s="114">
        <v>0</v>
      </c>
      <c r="N960" s="113">
        <v>0</v>
      </c>
      <c r="O960" s="113">
        <v>0</v>
      </c>
      <c r="P960" s="116">
        <v>0</v>
      </c>
      <c r="Q960" s="116">
        <v>0</v>
      </c>
      <c r="R960" s="116">
        <v>0</v>
      </c>
      <c r="S960" s="114">
        <v>0</v>
      </c>
      <c r="T960" s="116">
        <v>0</v>
      </c>
      <c r="U960" s="116">
        <v>0</v>
      </c>
      <c r="V960" s="121">
        <f t="shared" si="52"/>
        <v>0</v>
      </c>
      <c r="W960" s="111"/>
      <c r="X960" s="111"/>
      <c r="Y960" s="111"/>
      <c r="Z960" s="111"/>
      <c r="AA960" s="111"/>
      <c r="AB960" s="111"/>
      <c r="AC960" s="111"/>
      <c r="AD960" s="111"/>
      <c r="AE960" s="139">
        <f t="shared" si="51"/>
        <v>0</v>
      </c>
      <c r="AF960" s="109"/>
      <c r="AG960" s="109"/>
    </row>
    <row r="961" spans="1:33">
      <c r="A961" s="117"/>
      <c r="B961" s="118"/>
      <c r="C961" s="118"/>
      <c r="D961" s="118"/>
      <c r="E961" s="119"/>
      <c r="F961" s="118"/>
      <c r="G961" s="110"/>
      <c r="H961" s="126"/>
      <c r="I961" s="114">
        <v>0</v>
      </c>
      <c r="J961" s="115">
        <v>0</v>
      </c>
      <c r="K961" s="116">
        <v>0</v>
      </c>
      <c r="L961" s="116">
        <v>0</v>
      </c>
      <c r="M961" s="114">
        <v>0</v>
      </c>
      <c r="N961" s="113">
        <v>0</v>
      </c>
      <c r="O961" s="113">
        <v>0</v>
      </c>
      <c r="P961" s="116">
        <v>0</v>
      </c>
      <c r="Q961" s="116">
        <v>0</v>
      </c>
      <c r="R961" s="116">
        <v>0</v>
      </c>
      <c r="S961" s="114">
        <v>0</v>
      </c>
      <c r="T961" s="116">
        <v>0</v>
      </c>
      <c r="U961" s="116">
        <v>0</v>
      </c>
      <c r="V961" s="121">
        <f t="shared" si="52"/>
        <v>0</v>
      </c>
      <c r="W961" s="111"/>
      <c r="X961" s="111"/>
      <c r="Y961" s="111"/>
      <c r="Z961" s="111"/>
      <c r="AA961" s="111"/>
      <c r="AB961" s="111"/>
      <c r="AC961" s="111"/>
      <c r="AD961" s="111"/>
      <c r="AE961" s="139">
        <f t="shared" si="51"/>
        <v>0</v>
      </c>
      <c r="AF961" s="109"/>
      <c r="AG961" s="109"/>
    </row>
    <row r="962" spans="1:33">
      <c r="A962" s="117"/>
      <c r="B962" s="118"/>
      <c r="C962" s="118"/>
      <c r="D962" s="118"/>
      <c r="E962" s="119"/>
      <c r="F962" s="118"/>
      <c r="G962" s="110"/>
      <c r="H962" s="126"/>
      <c r="I962" s="114">
        <v>0</v>
      </c>
      <c r="J962" s="115">
        <v>0</v>
      </c>
      <c r="K962" s="116">
        <v>0</v>
      </c>
      <c r="L962" s="116">
        <v>0</v>
      </c>
      <c r="M962" s="114">
        <v>0</v>
      </c>
      <c r="N962" s="113">
        <v>0</v>
      </c>
      <c r="O962" s="113">
        <v>0</v>
      </c>
      <c r="P962" s="116">
        <v>0</v>
      </c>
      <c r="Q962" s="116">
        <v>0</v>
      </c>
      <c r="R962" s="116">
        <v>0</v>
      </c>
      <c r="S962" s="114">
        <v>0</v>
      </c>
      <c r="T962" s="116">
        <v>0</v>
      </c>
      <c r="U962" s="116">
        <v>0</v>
      </c>
      <c r="V962" s="121">
        <f t="shared" si="52"/>
        <v>0</v>
      </c>
      <c r="W962" s="111"/>
      <c r="X962" s="111"/>
      <c r="Y962" s="111"/>
      <c r="Z962" s="111"/>
      <c r="AA962" s="111"/>
      <c r="AB962" s="111"/>
      <c r="AC962" s="111"/>
      <c r="AD962" s="111"/>
      <c r="AE962" s="139">
        <f t="shared" si="51"/>
        <v>0</v>
      </c>
      <c r="AF962" s="109"/>
      <c r="AG962" s="109"/>
    </row>
    <row r="963" spans="1:33">
      <c r="A963" s="117"/>
      <c r="B963" s="118"/>
      <c r="C963" s="118"/>
      <c r="D963" s="118"/>
      <c r="E963" s="119"/>
      <c r="F963" s="118"/>
      <c r="G963" s="110"/>
      <c r="H963" s="126"/>
      <c r="I963" s="114">
        <v>0</v>
      </c>
      <c r="J963" s="115">
        <v>0</v>
      </c>
      <c r="K963" s="116">
        <v>0</v>
      </c>
      <c r="L963" s="116">
        <v>0</v>
      </c>
      <c r="M963" s="114">
        <v>0</v>
      </c>
      <c r="N963" s="113">
        <v>0</v>
      </c>
      <c r="O963" s="113">
        <v>0</v>
      </c>
      <c r="P963" s="116">
        <v>0</v>
      </c>
      <c r="Q963" s="116">
        <v>0</v>
      </c>
      <c r="R963" s="116">
        <v>0</v>
      </c>
      <c r="S963" s="114">
        <v>0</v>
      </c>
      <c r="T963" s="116">
        <v>0</v>
      </c>
      <c r="U963" s="116">
        <v>0</v>
      </c>
      <c r="V963" s="121">
        <f t="shared" si="52"/>
        <v>0</v>
      </c>
      <c r="W963" s="111"/>
      <c r="X963" s="111"/>
      <c r="Y963" s="111"/>
      <c r="Z963" s="111"/>
      <c r="AA963" s="111"/>
      <c r="AB963" s="111"/>
      <c r="AC963" s="111"/>
      <c r="AD963" s="111"/>
      <c r="AE963" s="139">
        <f t="shared" si="51"/>
        <v>0</v>
      </c>
      <c r="AF963" s="109"/>
      <c r="AG963" s="109"/>
    </row>
    <row r="964" spans="1:33">
      <c r="A964" s="117"/>
      <c r="B964" s="118"/>
      <c r="C964" s="118"/>
      <c r="D964" s="118"/>
      <c r="E964" s="119"/>
      <c r="F964" s="118"/>
      <c r="G964" s="110"/>
      <c r="H964" s="126"/>
      <c r="I964" s="114">
        <v>0</v>
      </c>
      <c r="J964" s="115">
        <v>0</v>
      </c>
      <c r="K964" s="116">
        <v>0</v>
      </c>
      <c r="L964" s="116">
        <v>0</v>
      </c>
      <c r="M964" s="114">
        <v>0</v>
      </c>
      <c r="N964" s="113">
        <v>0</v>
      </c>
      <c r="O964" s="113">
        <v>0</v>
      </c>
      <c r="P964" s="116">
        <v>0</v>
      </c>
      <c r="Q964" s="116">
        <v>0</v>
      </c>
      <c r="R964" s="116">
        <v>0</v>
      </c>
      <c r="S964" s="114">
        <v>0</v>
      </c>
      <c r="T964" s="116">
        <v>0</v>
      </c>
      <c r="U964" s="116">
        <v>0</v>
      </c>
      <c r="V964" s="121">
        <f t="shared" si="52"/>
        <v>0</v>
      </c>
      <c r="W964" s="111"/>
      <c r="X964" s="111"/>
      <c r="Y964" s="111"/>
      <c r="Z964" s="111"/>
      <c r="AA964" s="111"/>
      <c r="AB964" s="111"/>
      <c r="AC964" s="111"/>
      <c r="AD964" s="111"/>
      <c r="AE964" s="139">
        <f t="shared" si="51"/>
        <v>0</v>
      </c>
      <c r="AF964" s="109"/>
      <c r="AG964" s="109"/>
    </row>
    <row r="965" spans="1:33">
      <c r="A965" s="117"/>
      <c r="B965" s="118"/>
      <c r="C965" s="118"/>
      <c r="D965" s="118"/>
      <c r="E965" s="119"/>
      <c r="F965" s="118"/>
      <c r="G965" s="110"/>
      <c r="H965" s="126"/>
      <c r="I965" s="114">
        <v>0</v>
      </c>
      <c r="J965" s="115">
        <v>0</v>
      </c>
      <c r="K965" s="116">
        <v>0</v>
      </c>
      <c r="L965" s="116">
        <v>0</v>
      </c>
      <c r="M965" s="114">
        <v>0</v>
      </c>
      <c r="N965" s="113">
        <v>0</v>
      </c>
      <c r="O965" s="113">
        <v>0</v>
      </c>
      <c r="P965" s="116">
        <v>0</v>
      </c>
      <c r="Q965" s="116">
        <v>0</v>
      </c>
      <c r="R965" s="116">
        <v>0</v>
      </c>
      <c r="S965" s="114">
        <v>0</v>
      </c>
      <c r="T965" s="116">
        <v>0</v>
      </c>
      <c r="U965" s="116">
        <v>0</v>
      </c>
      <c r="V965" s="121">
        <f t="shared" si="52"/>
        <v>0</v>
      </c>
      <c r="W965" s="111"/>
      <c r="X965" s="111"/>
      <c r="Y965" s="111"/>
      <c r="Z965" s="111"/>
      <c r="AA965" s="111"/>
      <c r="AB965" s="111"/>
      <c r="AC965" s="111"/>
      <c r="AD965" s="111"/>
      <c r="AE965" s="139">
        <f t="shared" si="51"/>
        <v>0</v>
      </c>
      <c r="AF965" s="109"/>
      <c r="AG965" s="109"/>
    </row>
    <row r="966" spans="1:33">
      <c r="A966" s="117"/>
      <c r="B966" s="118"/>
      <c r="C966" s="118"/>
      <c r="D966" s="118"/>
      <c r="E966" s="119"/>
      <c r="F966" s="118"/>
      <c r="G966" s="110"/>
      <c r="H966" s="126"/>
      <c r="I966" s="114">
        <v>0</v>
      </c>
      <c r="J966" s="115">
        <v>0</v>
      </c>
      <c r="K966" s="116">
        <v>0</v>
      </c>
      <c r="L966" s="116">
        <v>0</v>
      </c>
      <c r="M966" s="114">
        <v>0</v>
      </c>
      <c r="N966" s="113">
        <v>0</v>
      </c>
      <c r="O966" s="113">
        <v>0</v>
      </c>
      <c r="P966" s="116">
        <v>0</v>
      </c>
      <c r="Q966" s="116">
        <v>0</v>
      </c>
      <c r="R966" s="116">
        <v>0</v>
      </c>
      <c r="S966" s="114">
        <v>0</v>
      </c>
      <c r="T966" s="116">
        <v>0</v>
      </c>
      <c r="U966" s="116">
        <v>0</v>
      </c>
      <c r="V966" s="121">
        <f t="shared" si="52"/>
        <v>0</v>
      </c>
      <c r="W966" s="111"/>
      <c r="X966" s="111"/>
      <c r="Y966" s="111"/>
      <c r="Z966" s="111"/>
      <c r="AA966" s="111"/>
      <c r="AB966" s="111"/>
      <c r="AC966" s="111"/>
      <c r="AD966" s="111"/>
      <c r="AE966" s="139">
        <f t="shared" si="51"/>
        <v>0</v>
      </c>
      <c r="AF966" s="109"/>
      <c r="AG966" s="109"/>
    </row>
    <row r="967" spans="1:33">
      <c r="A967" s="117"/>
      <c r="B967" s="118"/>
      <c r="C967" s="118"/>
      <c r="D967" s="118"/>
      <c r="E967" s="119"/>
      <c r="F967" s="118"/>
      <c r="G967" s="110"/>
      <c r="H967" s="126"/>
      <c r="I967" s="114">
        <v>0</v>
      </c>
      <c r="J967" s="115">
        <v>0</v>
      </c>
      <c r="K967" s="116">
        <v>0</v>
      </c>
      <c r="L967" s="116">
        <v>0</v>
      </c>
      <c r="M967" s="114">
        <v>0</v>
      </c>
      <c r="N967" s="113">
        <v>0</v>
      </c>
      <c r="O967" s="113">
        <v>0</v>
      </c>
      <c r="P967" s="116">
        <v>0</v>
      </c>
      <c r="Q967" s="116">
        <v>0</v>
      </c>
      <c r="R967" s="116">
        <v>0</v>
      </c>
      <c r="S967" s="114">
        <v>0</v>
      </c>
      <c r="T967" s="116">
        <v>0</v>
      </c>
      <c r="U967" s="116">
        <v>0</v>
      </c>
      <c r="V967" s="121">
        <f t="shared" si="52"/>
        <v>0</v>
      </c>
      <c r="W967" s="111"/>
      <c r="X967" s="111"/>
      <c r="Y967" s="111"/>
      <c r="Z967" s="111"/>
      <c r="AA967" s="111"/>
      <c r="AB967" s="111"/>
      <c r="AC967" s="111"/>
      <c r="AD967" s="111"/>
      <c r="AE967" s="139">
        <f t="shared" si="51"/>
        <v>0</v>
      </c>
      <c r="AF967" s="109"/>
      <c r="AG967" s="109"/>
    </row>
    <row r="968" spans="1:33">
      <c r="A968" s="117"/>
      <c r="B968" s="118"/>
      <c r="C968" s="118"/>
      <c r="D968" s="118"/>
      <c r="E968" s="119"/>
      <c r="F968" s="118"/>
      <c r="G968" s="110"/>
      <c r="H968" s="126"/>
      <c r="I968" s="114">
        <v>0</v>
      </c>
      <c r="J968" s="115">
        <v>0</v>
      </c>
      <c r="K968" s="116">
        <v>0</v>
      </c>
      <c r="L968" s="116">
        <v>0</v>
      </c>
      <c r="M968" s="114">
        <v>0</v>
      </c>
      <c r="N968" s="113">
        <v>0</v>
      </c>
      <c r="O968" s="113">
        <v>0</v>
      </c>
      <c r="P968" s="116">
        <v>0</v>
      </c>
      <c r="Q968" s="116">
        <v>0</v>
      </c>
      <c r="R968" s="116">
        <v>0</v>
      </c>
      <c r="S968" s="114">
        <v>0</v>
      </c>
      <c r="T968" s="116">
        <v>0</v>
      </c>
      <c r="U968" s="116">
        <v>0</v>
      </c>
      <c r="V968" s="121">
        <f t="shared" si="52"/>
        <v>0</v>
      </c>
      <c r="W968" s="111"/>
      <c r="X968" s="111"/>
      <c r="Y968" s="111"/>
      <c r="Z968" s="111"/>
      <c r="AA968" s="111"/>
      <c r="AB968" s="111"/>
      <c r="AC968" s="111"/>
      <c r="AD968" s="111"/>
      <c r="AE968" s="139">
        <f t="shared" si="51"/>
        <v>0</v>
      </c>
      <c r="AF968" s="109"/>
      <c r="AG968" s="109"/>
    </row>
    <row r="969" spans="1:33">
      <c r="A969" s="117"/>
      <c r="B969" s="118"/>
      <c r="C969" s="118"/>
      <c r="D969" s="118"/>
      <c r="E969" s="119"/>
      <c r="F969" s="118"/>
      <c r="G969" s="110"/>
      <c r="H969" s="126"/>
      <c r="I969" s="114">
        <v>0</v>
      </c>
      <c r="J969" s="115">
        <v>0</v>
      </c>
      <c r="K969" s="116">
        <v>0</v>
      </c>
      <c r="L969" s="116">
        <v>0</v>
      </c>
      <c r="M969" s="114">
        <v>0</v>
      </c>
      <c r="N969" s="113">
        <v>0</v>
      </c>
      <c r="O969" s="113">
        <v>0</v>
      </c>
      <c r="P969" s="116">
        <v>0</v>
      </c>
      <c r="Q969" s="116">
        <v>0</v>
      </c>
      <c r="R969" s="116">
        <v>0</v>
      </c>
      <c r="S969" s="114">
        <v>0</v>
      </c>
      <c r="T969" s="116">
        <v>0</v>
      </c>
      <c r="U969" s="116">
        <v>0</v>
      </c>
      <c r="V969" s="121">
        <f t="shared" si="52"/>
        <v>0</v>
      </c>
      <c r="W969" s="111"/>
      <c r="X969" s="111"/>
      <c r="Y969" s="111"/>
      <c r="Z969" s="111"/>
      <c r="AA969" s="111"/>
      <c r="AB969" s="111"/>
      <c r="AC969" s="111"/>
      <c r="AD969" s="111"/>
      <c r="AE969" s="139">
        <f t="shared" si="51"/>
        <v>0</v>
      </c>
      <c r="AF969" s="109"/>
      <c r="AG969" s="109"/>
    </row>
    <row r="970" spans="1:33">
      <c r="A970" s="117"/>
      <c r="B970" s="118"/>
      <c r="C970" s="118"/>
      <c r="D970" s="118"/>
      <c r="E970" s="119"/>
      <c r="F970" s="118"/>
      <c r="G970" s="110"/>
      <c r="H970" s="126"/>
      <c r="I970" s="114">
        <v>0</v>
      </c>
      <c r="J970" s="115">
        <v>0</v>
      </c>
      <c r="K970" s="116">
        <v>0</v>
      </c>
      <c r="L970" s="116">
        <v>0</v>
      </c>
      <c r="M970" s="114">
        <v>0</v>
      </c>
      <c r="N970" s="113">
        <v>0</v>
      </c>
      <c r="O970" s="113">
        <v>0</v>
      </c>
      <c r="P970" s="116">
        <v>0</v>
      </c>
      <c r="Q970" s="116">
        <v>0</v>
      </c>
      <c r="R970" s="116">
        <v>0</v>
      </c>
      <c r="S970" s="114">
        <v>0</v>
      </c>
      <c r="T970" s="116">
        <v>0</v>
      </c>
      <c r="U970" s="116">
        <v>0</v>
      </c>
      <c r="V970" s="121">
        <f t="shared" si="52"/>
        <v>0</v>
      </c>
      <c r="W970" s="111"/>
      <c r="X970" s="111"/>
      <c r="Y970" s="111"/>
      <c r="Z970" s="111"/>
      <c r="AA970" s="111"/>
      <c r="AB970" s="111"/>
      <c r="AC970" s="111"/>
      <c r="AD970" s="111"/>
      <c r="AE970" s="139">
        <f t="shared" si="51"/>
        <v>0</v>
      </c>
      <c r="AF970" s="109"/>
      <c r="AG970" s="109"/>
    </row>
    <row r="971" spans="1:33">
      <c r="A971" s="117"/>
      <c r="B971" s="118"/>
      <c r="C971" s="118"/>
      <c r="D971" s="118"/>
      <c r="E971" s="119"/>
      <c r="F971" s="118"/>
      <c r="G971" s="110"/>
      <c r="H971" s="126"/>
      <c r="I971" s="114">
        <v>0</v>
      </c>
      <c r="J971" s="115">
        <v>0</v>
      </c>
      <c r="K971" s="116">
        <v>0</v>
      </c>
      <c r="L971" s="116">
        <v>0</v>
      </c>
      <c r="M971" s="114">
        <v>0</v>
      </c>
      <c r="N971" s="113">
        <v>0</v>
      </c>
      <c r="O971" s="113">
        <v>0</v>
      </c>
      <c r="P971" s="116">
        <v>0</v>
      </c>
      <c r="Q971" s="116">
        <v>0</v>
      </c>
      <c r="R971" s="116">
        <v>0</v>
      </c>
      <c r="S971" s="114">
        <v>0</v>
      </c>
      <c r="T971" s="116">
        <v>0</v>
      </c>
      <c r="U971" s="116">
        <v>0</v>
      </c>
      <c r="V971" s="121">
        <f t="shared" si="52"/>
        <v>0</v>
      </c>
      <c r="W971" s="111"/>
      <c r="X971" s="111"/>
      <c r="Y971" s="111"/>
      <c r="Z971" s="111"/>
      <c r="AA971" s="111"/>
      <c r="AB971" s="111"/>
      <c r="AC971" s="111"/>
      <c r="AD971" s="111"/>
      <c r="AE971" s="139">
        <f t="shared" si="51"/>
        <v>0</v>
      </c>
      <c r="AF971" s="109"/>
      <c r="AG971" s="109"/>
    </row>
    <row r="972" spans="1:33">
      <c r="A972" s="117"/>
      <c r="B972" s="118"/>
      <c r="C972" s="118"/>
      <c r="D972" s="118"/>
      <c r="E972" s="119"/>
      <c r="F972" s="118"/>
      <c r="G972" s="110"/>
      <c r="H972" s="126"/>
      <c r="I972" s="114">
        <v>0</v>
      </c>
      <c r="J972" s="115">
        <v>0</v>
      </c>
      <c r="K972" s="116">
        <v>0</v>
      </c>
      <c r="L972" s="116">
        <v>0</v>
      </c>
      <c r="M972" s="114">
        <v>0</v>
      </c>
      <c r="N972" s="113">
        <v>0</v>
      </c>
      <c r="O972" s="113">
        <v>0</v>
      </c>
      <c r="P972" s="116">
        <v>0</v>
      </c>
      <c r="Q972" s="116">
        <v>0</v>
      </c>
      <c r="R972" s="116">
        <v>0</v>
      </c>
      <c r="S972" s="114">
        <v>0</v>
      </c>
      <c r="T972" s="116">
        <v>0</v>
      </c>
      <c r="U972" s="116">
        <v>0</v>
      </c>
      <c r="V972" s="121">
        <f t="shared" si="52"/>
        <v>0</v>
      </c>
      <c r="W972" s="111"/>
      <c r="X972" s="111"/>
      <c r="Y972" s="111"/>
      <c r="Z972" s="111"/>
      <c r="AA972" s="111"/>
      <c r="AB972" s="111"/>
      <c r="AC972" s="111"/>
      <c r="AD972" s="111"/>
      <c r="AE972" s="139">
        <f t="shared" si="51"/>
        <v>0</v>
      </c>
      <c r="AF972" s="109"/>
      <c r="AG972" s="109"/>
    </row>
    <row r="973" spans="1:33">
      <c r="A973" s="117"/>
      <c r="B973" s="118"/>
      <c r="C973" s="118"/>
      <c r="D973" s="118"/>
      <c r="E973" s="119"/>
      <c r="F973" s="118"/>
      <c r="G973" s="110"/>
      <c r="H973" s="126"/>
      <c r="I973" s="114">
        <v>0</v>
      </c>
      <c r="J973" s="115">
        <v>0</v>
      </c>
      <c r="K973" s="116">
        <v>0</v>
      </c>
      <c r="L973" s="116">
        <v>0</v>
      </c>
      <c r="M973" s="114">
        <v>0</v>
      </c>
      <c r="N973" s="113">
        <v>0</v>
      </c>
      <c r="O973" s="113">
        <v>0</v>
      </c>
      <c r="P973" s="116">
        <v>0</v>
      </c>
      <c r="Q973" s="116">
        <v>0</v>
      </c>
      <c r="R973" s="116">
        <v>0</v>
      </c>
      <c r="S973" s="114">
        <v>0</v>
      </c>
      <c r="T973" s="116">
        <v>0</v>
      </c>
      <c r="U973" s="116">
        <v>0</v>
      </c>
      <c r="V973" s="121">
        <f t="shared" si="52"/>
        <v>0</v>
      </c>
      <c r="W973" s="111"/>
      <c r="X973" s="111"/>
      <c r="Y973" s="111"/>
      <c r="Z973" s="111"/>
      <c r="AA973" s="111"/>
      <c r="AB973" s="111"/>
      <c r="AC973" s="111"/>
      <c r="AD973" s="111"/>
      <c r="AE973" s="139">
        <f t="shared" si="51"/>
        <v>0</v>
      </c>
      <c r="AF973" s="109"/>
      <c r="AG973" s="109"/>
    </row>
    <row r="974" spans="1:33">
      <c r="A974" s="117"/>
      <c r="B974" s="118"/>
      <c r="C974" s="118"/>
      <c r="D974" s="118"/>
      <c r="E974" s="119"/>
      <c r="F974" s="118"/>
      <c r="G974" s="110"/>
      <c r="H974" s="126"/>
      <c r="I974" s="114">
        <v>0</v>
      </c>
      <c r="J974" s="115">
        <v>0</v>
      </c>
      <c r="K974" s="116">
        <v>0</v>
      </c>
      <c r="L974" s="116">
        <v>0</v>
      </c>
      <c r="M974" s="114">
        <v>0</v>
      </c>
      <c r="N974" s="113">
        <v>0</v>
      </c>
      <c r="O974" s="113">
        <v>0</v>
      </c>
      <c r="P974" s="116">
        <v>0</v>
      </c>
      <c r="Q974" s="116">
        <v>0</v>
      </c>
      <c r="R974" s="116">
        <v>0</v>
      </c>
      <c r="S974" s="114">
        <v>0</v>
      </c>
      <c r="T974" s="116">
        <v>0</v>
      </c>
      <c r="U974" s="116">
        <v>0</v>
      </c>
      <c r="V974" s="121">
        <f t="shared" si="52"/>
        <v>0</v>
      </c>
      <c r="W974" s="111"/>
      <c r="X974" s="111"/>
      <c r="Y974" s="111"/>
      <c r="Z974" s="111"/>
      <c r="AA974" s="111"/>
      <c r="AB974" s="111"/>
      <c r="AC974" s="111"/>
      <c r="AD974" s="111"/>
      <c r="AE974" s="139">
        <f t="shared" si="51"/>
        <v>0</v>
      </c>
      <c r="AF974" s="109"/>
      <c r="AG974" s="109"/>
    </row>
    <row r="975" spans="1:33">
      <c r="A975" s="117"/>
      <c r="B975" s="118"/>
      <c r="C975" s="118"/>
      <c r="D975" s="118"/>
      <c r="E975" s="119"/>
      <c r="F975" s="118"/>
      <c r="G975" s="110"/>
      <c r="H975" s="126"/>
      <c r="I975" s="114">
        <v>0</v>
      </c>
      <c r="J975" s="115">
        <v>0</v>
      </c>
      <c r="K975" s="116">
        <v>0</v>
      </c>
      <c r="L975" s="116">
        <v>0</v>
      </c>
      <c r="M975" s="114">
        <v>0</v>
      </c>
      <c r="N975" s="113">
        <v>0</v>
      </c>
      <c r="O975" s="113">
        <v>0</v>
      </c>
      <c r="P975" s="116">
        <v>0</v>
      </c>
      <c r="Q975" s="116">
        <v>0</v>
      </c>
      <c r="R975" s="116">
        <v>0</v>
      </c>
      <c r="S975" s="114">
        <v>0</v>
      </c>
      <c r="T975" s="116">
        <v>0</v>
      </c>
      <c r="U975" s="116">
        <v>0</v>
      </c>
      <c r="V975" s="121">
        <f t="shared" si="52"/>
        <v>0</v>
      </c>
      <c r="W975" s="111"/>
      <c r="X975" s="111"/>
      <c r="Y975" s="111"/>
      <c r="Z975" s="111"/>
      <c r="AA975" s="111"/>
      <c r="AB975" s="111"/>
      <c r="AC975" s="111"/>
      <c r="AD975" s="111"/>
      <c r="AE975" s="139">
        <f t="shared" si="51"/>
        <v>0</v>
      </c>
      <c r="AF975" s="109"/>
      <c r="AG975" s="109"/>
    </row>
    <row r="976" spans="1:33">
      <c r="A976" s="117"/>
      <c r="B976" s="118"/>
      <c r="C976" s="118"/>
      <c r="D976" s="118"/>
      <c r="E976" s="119"/>
      <c r="F976" s="118"/>
      <c r="G976" s="110"/>
      <c r="H976" s="126"/>
      <c r="I976" s="114">
        <v>0</v>
      </c>
      <c r="J976" s="115">
        <v>0</v>
      </c>
      <c r="K976" s="116">
        <v>0</v>
      </c>
      <c r="L976" s="116">
        <v>0</v>
      </c>
      <c r="M976" s="114">
        <v>0</v>
      </c>
      <c r="N976" s="113">
        <v>0</v>
      </c>
      <c r="O976" s="113">
        <v>0</v>
      </c>
      <c r="P976" s="116">
        <v>0</v>
      </c>
      <c r="Q976" s="116">
        <v>0</v>
      </c>
      <c r="R976" s="116">
        <v>0</v>
      </c>
      <c r="S976" s="114">
        <v>0</v>
      </c>
      <c r="T976" s="116">
        <v>0</v>
      </c>
      <c r="U976" s="116">
        <v>0</v>
      </c>
      <c r="V976" s="121">
        <f t="shared" si="52"/>
        <v>0</v>
      </c>
      <c r="W976" s="111"/>
      <c r="X976" s="111"/>
      <c r="Y976" s="111"/>
      <c r="Z976" s="111"/>
      <c r="AA976" s="111"/>
      <c r="AB976" s="111"/>
      <c r="AC976" s="111"/>
      <c r="AD976" s="111"/>
      <c r="AE976" s="139">
        <f t="shared" si="51"/>
        <v>0</v>
      </c>
      <c r="AF976" s="109"/>
      <c r="AG976" s="109"/>
    </row>
    <row r="977" spans="1:33">
      <c r="A977" s="117"/>
      <c r="B977" s="118"/>
      <c r="C977" s="118"/>
      <c r="D977" s="118"/>
      <c r="E977" s="119"/>
      <c r="F977" s="118"/>
      <c r="G977" s="110"/>
      <c r="H977" s="126"/>
      <c r="I977" s="114">
        <v>0</v>
      </c>
      <c r="J977" s="115">
        <v>0</v>
      </c>
      <c r="K977" s="116">
        <v>0</v>
      </c>
      <c r="L977" s="116">
        <v>0</v>
      </c>
      <c r="M977" s="114">
        <v>0</v>
      </c>
      <c r="N977" s="113">
        <v>0</v>
      </c>
      <c r="O977" s="113">
        <v>0</v>
      </c>
      <c r="P977" s="116">
        <v>0</v>
      </c>
      <c r="Q977" s="116">
        <v>0</v>
      </c>
      <c r="R977" s="116">
        <v>0</v>
      </c>
      <c r="S977" s="114">
        <v>0</v>
      </c>
      <c r="T977" s="116">
        <v>0</v>
      </c>
      <c r="U977" s="116">
        <v>0</v>
      </c>
      <c r="V977" s="121">
        <f t="shared" si="52"/>
        <v>0</v>
      </c>
      <c r="W977" s="111"/>
      <c r="X977" s="111"/>
      <c r="Y977" s="111"/>
      <c r="Z977" s="111"/>
      <c r="AA977" s="111"/>
      <c r="AB977" s="111"/>
      <c r="AC977" s="111"/>
      <c r="AD977" s="111"/>
      <c r="AE977" s="139">
        <f t="shared" si="51"/>
        <v>0</v>
      </c>
      <c r="AF977" s="109"/>
      <c r="AG977" s="109"/>
    </row>
    <row r="978" spans="1:33">
      <c r="A978" s="117"/>
      <c r="B978" s="118"/>
      <c r="C978" s="118"/>
      <c r="D978" s="118"/>
      <c r="E978" s="119"/>
      <c r="F978" s="118"/>
      <c r="G978" s="110"/>
      <c r="H978" s="126"/>
      <c r="I978" s="114">
        <v>0</v>
      </c>
      <c r="J978" s="115">
        <v>0</v>
      </c>
      <c r="K978" s="116">
        <v>0</v>
      </c>
      <c r="L978" s="116">
        <v>0</v>
      </c>
      <c r="M978" s="114">
        <v>0</v>
      </c>
      <c r="N978" s="113">
        <v>0</v>
      </c>
      <c r="O978" s="113">
        <v>0</v>
      </c>
      <c r="P978" s="116">
        <v>0</v>
      </c>
      <c r="Q978" s="116">
        <v>0</v>
      </c>
      <c r="R978" s="116">
        <v>0</v>
      </c>
      <c r="S978" s="114">
        <v>0</v>
      </c>
      <c r="T978" s="116">
        <v>0</v>
      </c>
      <c r="U978" s="116">
        <v>0</v>
      </c>
      <c r="V978" s="121">
        <f t="shared" si="52"/>
        <v>0</v>
      </c>
      <c r="W978" s="111"/>
      <c r="X978" s="111"/>
      <c r="Y978" s="111"/>
      <c r="Z978" s="111"/>
      <c r="AA978" s="111"/>
      <c r="AB978" s="111"/>
      <c r="AC978" s="111"/>
      <c r="AD978" s="111"/>
      <c r="AE978" s="139">
        <f t="shared" si="51"/>
        <v>0</v>
      </c>
      <c r="AF978" s="109"/>
      <c r="AG978" s="109"/>
    </row>
    <row r="979" spans="1:33">
      <c r="A979" s="117"/>
      <c r="B979" s="118"/>
      <c r="C979" s="118"/>
      <c r="D979" s="118"/>
      <c r="E979" s="119"/>
      <c r="F979" s="118"/>
      <c r="G979" s="110"/>
      <c r="H979" s="126"/>
      <c r="I979" s="114">
        <v>0</v>
      </c>
      <c r="J979" s="115">
        <v>0</v>
      </c>
      <c r="K979" s="116">
        <v>0</v>
      </c>
      <c r="L979" s="116">
        <v>0</v>
      </c>
      <c r="M979" s="114">
        <v>0</v>
      </c>
      <c r="N979" s="113">
        <v>0</v>
      </c>
      <c r="O979" s="113">
        <v>0</v>
      </c>
      <c r="P979" s="116">
        <v>0</v>
      </c>
      <c r="Q979" s="116">
        <v>0</v>
      </c>
      <c r="R979" s="116">
        <v>0</v>
      </c>
      <c r="S979" s="114">
        <v>0</v>
      </c>
      <c r="T979" s="116">
        <v>0</v>
      </c>
      <c r="U979" s="116">
        <v>0</v>
      </c>
      <c r="V979" s="121">
        <f t="shared" si="52"/>
        <v>0</v>
      </c>
      <c r="W979" s="111"/>
      <c r="X979" s="111"/>
      <c r="Y979" s="111"/>
      <c r="Z979" s="111"/>
      <c r="AA979" s="111"/>
      <c r="AB979" s="111"/>
      <c r="AC979" s="111"/>
      <c r="AD979" s="111"/>
      <c r="AE979" s="139">
        <f t="shared" si="51"/>
        <v>0</v>
      </c>
      <c r="AF979" s="109"/>
      <c r="AG979" s="109"/>
    </row>
    <row r="980" spans="1:33">
      <c r="A980" s="117"/>
      <c r="B980" s="118"/>
      <c r="C980" s="118"/>
      <c r="D980" s="118"/>
      <c r="E980" s="119"/>
      <c r="F980" s="118"/>
      <c r="G980" s="110"/>
      <c r="H980" s="126"/>
      <c r="I980" s="114">
        <v>0</v>
      </c>
      <c r="J980" s="115">
        <v>0</v>
      </c>
      <c r="K980" s="116">
        <v>0</v>
      </c>
      <c r="L980" s="116">
        <v>0</v>
      </c>
      <c r="M980" s="114">
        <v>0</v>
      </c>
      <c r="N980" s="113">
        <v>0</v>
      </c>
      <c r="O980" s="113">
        <v>0</v>
      </c>
      <c r="P980" s="116">
        <v>0</v>
      </c>
      <c r="Q980" s="116">
        <v>0</v>
      </c>
      <c r="R980" s="116">
        <v>0</v>
      </c>
      <c r="S980" s="114">
        <v>0</v>
      </c>
      <c r="T980" s="116">
        <v>0</v>
      </c>
      <c r="U980" s="116">
        <v>0</v>
      </c>
      <c r="V980" s="121">
        <f t="shared" si="52"/>
        <v>0</v>
      </c>
      <c r="W980" s="111"/>
      <c r="X980" s="111"/>
      <c r="Y980" s="111"/>
      <c r="Z980" s="111"/>
      <c r="AA980" s="111"/>
      <c r="AB980" s="111"/>
      <c r="AC980" s="111"/>
      <c r="AD980" s="111"/>
      <c r="AE980" s="139">
        <f t="shared" si="51"/>
        <v>0</v>
      </c>
      <c r="AF980" s="109"/>
      <c r="AG980" s="109"/>
    </row>
    <row r="981" spans="1:33">
      <c r="A981" s="117"/>
      <c r="B981" s="118"/>
      <c r="C981" s="118"/>
      <c r="D981" s="118"/>
      <c r="E981" s="119"/>
      <c r="F981" s="118"/>
      <c r="G981" s="110"/>
      <c r="H981" s="126"/>
      <c r="I981" s="114">
        <v>0</v>
      </c>
      <c r="J981" s="115">
        <v>0</v>
      </c>
      <c r="K981" s="116">
        <v>0</v>
      </c>
      <c r="L981" s="116">
        <v>0</v>
      </c>
      <c r="M981" s="114">
        <v>0</v>
      </c>
      <c r="N981" s="113">
        <v>0</v>
      </c>
      <c r="O981" s="113">
        <v>0</v>
      </c>
      <c r="P981" s="116">
        <v>0</v>
      </c>
      <c r="Q981" s="116">
        <v>0</v>
      </c>
      <c r="R981" s="116">
        <v>0</v>
      </c>
      <c r="S981" s="114">
        <v>0</v>
      </c>
      <c r="T981" s="116">
        <v>0</v>
      </c>
      <c r="U981" s="116">
        <v>0</v>
      </c>
      <c r="V981" s="121">
        <f t="shared" si="52"/>
        <v>0</v>
      </c>
      <c r="W981" s="111"/>
      <c r="X981" s="111"/>
      <c r="Y981" s="111"/>
      <c r="Z981" s="111"/>
      <c r="AA981" s="111"/>
      <c r="AB981" s="111"/>
      <c r="AC981" s="111"/>
      <c r="AD981" s="111"/>
      <c r="AE981" s="139">
        <f t="shared" si="51"/>
        <v>0</v>
      </c>
      <c r="AF981" s="109"/>
      <c r="AG981" s="109"/>
    </row>
    <row r="982" spans="1:33">
      <c r="A982" s="117"/>
      <c r="B982" s="118"/>
      <c r="C982" s="118"/>
      <c r="D982" s="118"/>
      <c r="E982" s="119"/>
      <c r="F982" s="118"/>
      <c r="G982" s="110"/>
      <c r="H982" s="126"/>
      <c r="I982" s="114">
        <v>0</v>
      </c>
      <c r="J982" s="115">
        <v>0</v>
      </c>
      <c r="K982" s="116">
        <v>0</v>
      </c>
      <c r="L982" s="116">
        <v>0</v>
      </c>
      <c r="M982" s="114">
        <v>0</v>
      </c>
      <c r="N982" s="113">
        <v>0</v>
      </c>
      <c r="O982" s="113">
        <v>0</v>
      </c>
      <c r="P982" s="116">
        <v>0</v>
      </c>
      <c r="Q982" s="116">
        <v>0</v>
      </c>
      <c r="R982" s="116">
        <v>0</v>
      </c>
      <c r="S982" s="114">
        <v>0</v>
      </c>
      <c r="T982" s="116">
        <v>0</v>
      </c>
      <c r="U982" s="116">
        <v>0</v>
      </c>
      <c r="V982" s="121">
        <f t="shared" si="52"/>
        <v>0</v>
      </c>
      <c r="W982" s="111"/>
      <c r="X982" s="111"/>
      <c r="Y982" s="111"/>
      <c r="Z982" s="111"/>
      <c r="AA982" s="111"/>
      <c r="AB982" s="111"/>
      <c r="AC982" s="111"/>
      <c r="AD982" s="111"/>
      <c r="AE982" s="139">
        <f t="shared" si="51"/>
        <v>0</v>
      </c>
      <c r="AF982" s="109"/>
      <c r="AG982" s="109"/>
    </row>
    <row r="983" spans="1:33">
      <c r="A983" s="117"/>
      <c r="B983" s="118"/>
      <c r="C983" s="118"/>
      <c r="D983" s="118"/>
      <c r="E983" s="119"/>
      <c r="F983" s="118"/>
      <c r="G983" s="110"/>
      <c r="H983" s="126"/>
      <c r="I983" s="114">
        <v>0</v>
      </c>
      <c r="J983" s="115">
        <v>0</v>
      </c>
      <c r="K983" s="116">
        <v>0</v>
      </c>
      <c r="L983" s="116">
        <v>0</v>
      </c>
      <c r="M983" s="114">
        <v>0</v>
      </c>
      <c r="N983" s="113">
        <v>0</v>
      </c>
      <c r="O983" s="113">
        <v>0</v>
      </c>
      <c r="P983" s="116">
        <v>0</v>
      </c>
      <c r="Q983" s="116">
        <v>0</v>
      </c>
      <c r="R983" s="116">
        <v>0</v>
      </c>
      <c r="S983" s="114">
        <v>0</v>
      </c>
      <c r="T983" s="116">
        <v>0</v>
      </c>
      <c r="U983" s="116">
        <v>0</v>
      </c>
      <c r="V983" s="121">
        <f t="shared" si="52"/>
        <v>0</v>
      </c>
      <c r="W983" s="111"/>
      <c r="X983" s="111"/>
      <c r="Y983" s="111"/>
      <c r="Z983" s="111"/>
      <c r="AA983" s="111"/>
      <c r="AB983" s="111"/>
      <c r="AC983" s="111"/>
      <c r="AD983" s="111"/>
      <c r="AE983" s="139">
        <f t="shared" si="51"/>
        <v>0</v>
      </c>
      <c r="AF983" s="109"/>
      <c r="AG983" s="109"/>
    </row>
    <row r="984" spans="1:33">
      <c r="A984" s="117"/>
      <c r="B984" s="118"/>
      <c r="C984" s="118"/>
      <c r="D984" s="118"/>
      <c r="E984" s="119"/>
      <c r="F984" s="118"/>
      <c r="G984" s="110"/>
      <c r="H984" s="126"/>
      <c r="I984" s="114">
        <v>0</v>
      </c>
      <c r="J984" s="115">
        <v>0</v>
      </c>
      <c r="K984" s="116">
        <v>0</v>
      </c>
      <c r="L984" s="116">
        <v>0</v>
      </c>
      <c r="M984" s="114">
        <v>0</v>
      </c>
      <c r="N984" s="113">
        <v>0</v>
      </c>
      <c r="O984" s="113">
        <v>0</v>
      </c>
      <c r="P984" s="116">
        <v>0</v>
      </c>
      <c r="Q984" s="116">
        <v>0</v>
      </c>
      <c r="R984" s="116">
        <v>0</v>
      </c>
      <c r="S984" s="114">
        <v>0</v>
      </c>
      <c r="T984" s="116">
        <v>0</v>
      </c>
      <c r="U984" s="116">
        <v>0</v>
      </c>
      <c r="V984" s="121">
        <f t="shared" si="52"/>
        <v>0</v>
      </c>
      <c r="W984" s="111"/>
      <c r="X984" s="111"/>
      <c r="Y984" s="111"/>
      <c r="Z984" s="111"/>
      <c r="AA984" s="111"/>
      <c r="AB984" s="111"/>
      <c r="AC984" s="111"/>
      <c r="AD984" s="111"/>
      <c r="AE984" s="139">
        <f t="shared" si="51"/>
        <v>0</v>
      </c>
      <c r="AF984" s="109"/>
      <c r="AG984" s="109"/>
    </row>
    <row r="985" spans="1:33">
      <c r="A985" s="117"/>
      <c r="B985" s="118"/>
      <c r="C985" s="118"/>
      <c r="D985" s="118"/>
      <c r="E985" s="119"/>
      <c r="F985" s="118"/>
      <c r="G985" s="110"/>
      <c r="H985" s="126"/>
      <c r="I985" s="114">
        <v>0</v>
      </c>
      <c r="J985" s="115">
        <v>0</v>
      </c>
      <c r="K985" s="116">
        <v>0</v>
      </c>
      <c r="L985" s="116">
        <v>0</v>
      </c>
      <c r="M985" s="114">
        <v>0</v>
      </c>
      <c r="N985" s="113">
        <v>0</v>
      </c>
      <c r="O985" s="113">
        <v>0</v>
      </c>
      <c r="P985" s="116">
        <v>0</v>
      </c>
      <c r="Q985" s="116">
        <v>0</v>
      </c>
      <c r="R985" s="116">
        <v>0</v>
      </c>
      <c r="S985" s="114">
        <v>0</v>
      </c>
      <c r="T985" s="116">
        <v>0</v>
      </c>
      <c r="U985" s="116">
        <v>0</v>
      </c>
      <c r="V985" s="121">
        <f t="shared" si="52"/>
        <v>0</v>
      </c>
      <c r="W985" s="111"/>
      <c r="X985" s="111"/>
      <c r="Y985" s="111"/>
      <c r="Z985" s="111"/>
      <c r="AA985" s="111"/>
      <c r="AB985" s="111"/>
      <c r="AC985" s="111"/>
      <c r="AD985" s="111"/>
      <c r="AE985" s="139">
        <f t="shared" si="51"/>
        <v>0</v>
      </c>
      <c r="AF985" s="109"/>
      <c r="AG985" s="109"/>
    </row>
    <row r="986" spans="1:33">
      <c r="A986" s="117"/>
      <c r="B986" s="118"/>
      <c r="C986" s="118"/>
      <c r="D986" s="118"/>
      <c r="E986" s="119"/>
      <c r="F986" s="118"/>
      <c r="G986" s="110"/>
      <c r="H986" s="126"/>
      <c r="I986" s="114">
        <v>0</v>
      </c>
      <c r="J986" s="115">
        <v>0</v>
      </c>
      <c r="K986" s="116">
        <v>0</v>
      </c>
      <c r="L986" s="116">
        <v>0</v>
      </c>
      <c r="M986" s="114">
        <v>0</v>
      </c>
      <c r="N986" s="113">
        <v>0</v>
      </c>
      <c r="O986" s="113">
        <v>0</v>
      </c>
      <c r="P986" s="116">
        <v>0</v>
      </c>
      <c r="Q986" s="116">
        <v>0</v>
      </c>
      <c r="R986" s="116">
        <v>0</v>
      </c>
      <c r="S986" s="114">
        <v>0</v>
      </c>
      <c r="T986" s="116">
        <v>0</v>
      </c>
      <c r="U986" s="116">
        <v>0</v>
      </c>
      <c r="V986" s="121">
        <f t="shared" si="52"/>
        <v>0</v>
      </c>
      <c r="W986" s="111"/>
      <c r="X986" s="111"/>
      <c r="Y986" s="111"/>
      <c r="Z986" s="111"/>
      <c r="AA986" s="111"/>
      <c r="AB986" s="111"/>
      <c r="AC986" s="111"/>
      <c r="AD986" s="111"/>
      <c r="AE986" s="139">
        <f t="shared" si="51"/>
        <v>0</v>
      </c>
      <c r="AF986" s="109"/>
      <c r="AG986" s="109"/>
    </row>
    <row r="987" spans="1:33">
      <c r="A987" s="117"/>
      <c r="B987" s="118"/>
      <c r="C987" s="118"/>
      <c r="D987" s="118"/>
      <c r="E987" s="119"/>
      <c r="F987" s="118"/>
      <c r="G987" s="110"/>
      <c r="H987" s="126"/>
      <c r="I987" s="114">
        <v>0</v>
      </c>
      <c r="J987" s="115">
        <v>0</v>
      </c>
      <c r="K987" s="116">
        <v>0</v>
      </c>
      <c r="L987" s="116">
        <v>0</v>
      </c>
      <c r="M987" s="114">
        <v>0</v>
      </c>
      <c r="N987" s="113">
        <v>0</v>
      </c>
      <c r="O987" s="113">
        <v>0</v>
      </c>
      <c r="P987" s="116">
        <v>0</v>
      </c>
      <c r="Q987" s="116">
        <v>0</v>
      </c>
      <c r="R987" s="116">
        <v>0</v>
      </c>
      <c r="S987" s="114">
        <v>0</v>
      </c>
      <c r="T987" s="116">
        <v>0</v>
      </c>
      <c r="U987" s="116">
        <v>0</v>
      </c>
      <c r="V987" s="121">
        <f t="shared" si="52"/>
        <v>0</v>
      </c>
      <c r="W987" s="111"/>
      <c r="X987" s="111"/>
      <c r="Y987" s="111"/>
      <c r="Z987" s="111"/>
      <c r="AA987" s="111"/>
      <c r="AB987" s="111"/>
      <c r="AC987" s="111"/>
      <c r="AD987" s="111"/>
      <c r="AE987" s="139">
        <f t="shared" si="51"/>
        <v>0</v>
      </c>
      <c r="AF987" s="109"/>
      <c r="AG987" s="109"/>
    </row>
    <row r="988" spans="1:33">
      <c r="A988" s="117"/>
      <c r="B988" s="118"/>
      <c r="C988" s="118"/>
      <c r="D988" s="118"/>
      <c r="E988" s="119"/>
      <c r="F988" s="118"/>
      <c r="G988" s="110"/>
      <c r="H988" s="126"/>
      <c r="I988" s="114">
        <v>0</v>
      </c>
      <c r="J988" s="115">
        <v>0</v>
      </c>
      <c r="K988" s="116">
        <v>0</v>
      </c>
      <c r="L988" s="116">
        <v>0</v>
      </c>
      <c r="M988" s="114">
        <v>0</v>
      </c>
      <c r="N988" s="113">
        <v>0</v>
      </c>
      <c r="O988" s="113">
        <v>0</v>
      </c>
      <c r="P988" s="116">
        <v>0</v>
      </c>
      <c r="Q988" s="116">
        <v>0</v>
      </c>
      <c r="R988" s="116">
        <v>0</v>
      </c>
      <c r="S988" s="114">
        <v>0</v>
      </c>
      <c r="T988" s="116">
        <v>0</v>
      </c>
      <c r="U988" s="116">
        <v>0</v>
      </c>
      <c r="V988" s="121">
        <f t="shared" si="52"/>
        <v>0</v>
      </c>
      <c r="W988" s="111"/>
      <c r="X988" s="111"/>
      <c r="Y988" s="111"/>
      <c r="Z988" s="111"/>
      <c r="AA988" s="111"/>
      <c r="AB988" s="111"/>
      <c r="AC988" s="111"/>
      <c r="AD988" s="111"/>
      <c r="AE988" s="139">
        <f t="shared" si="51"/>
        <v>0</v>
      </c>
      <c r="AF988" s="109"/>
      <c r="AG988" s="109"/>
    </row>
    <row r="989" spans="1:33">
      <c r="A989" s="117"/>
      <c r="B989" s="118"/>
      <c r="C989" s="118"/>
      <c r="D989" s="118"/>
      <c r="E989" s="119"/>
      <c r="F989" s="118"/>
      <c r="G989" s="110"/>
      <c r="H989" s="126"/>
      <c r="I989" s="114">
        <v>0</v>
      </c>
      <c r="J989" s="115">
        <v>0</v>
      </c>
      <c r="K989" s="116">
        <v>0</v>
      </c>
      <c r="L989" s="116">
        <v>0</v>
      </c>
      <c r="M989" s="114">
        <v>0</v>
      </c>
      <c r="N989" s="113">
        <v>0</v>
      </c>
      <c r="O989" s="113">
        <v>0</v>
      </c>
      <c r="P989" s="116">
        <v>0</v>
      </c>
      <c r="Q989" s="116">
        <v>0</v>
      </c>
      <c r="R989" s="116">
        <v>0</v>
      </c>
      <c r="S989" s="114">
        <v>0</v>
      </c>
      <c r="T989" s="116">
        <v>0</v>
      </c>
      <c r="U989" s="116">
        <v>0</v>
      </c>
      <c r="V989" s="121">
        <f t="shared" si="52"/>
        <v>0</v>
      </c>
      <c r="W989" s="111"/>
      <c r="X989" s="111"/>
      <c r="Y989" s="111"/>
      <c r="Z989" s="111"/>
      <c r="AA989" s="111"/>
      <c r="AB989" s="111"/>
      <c r="AC989" s="111"/>
      <c r="AD989" s="111"/>
      <c r="AE989" s="139">
        <f t="shared" si="51"/>
        <v>0</v>
      </c>
      <c r="AF989" s="109"/>
      <c r="AG989" s="109"/>
    </row>
    <row r="990" spans="1:33">
      <c r="A990" s="117"/>
      <c r="B990" s="118"/>
      <c r="C990" s="118"/>
      <c r="D990" s="118"/>
      <c r="E990" s="119"/>
      <c r="F990" s="118"/>
      <c r="G990" s="110"/>
      <c r="H990" s="126"/>
      <c r="I990" s="114">
        <v>0</v>
      </c>
      <c r="J990" s="115">
        <v>0</v>
      </c>
      <c r="K990" s="116">
        <v>0</v>
      </c>
      <c r="L990" s="116">
        <v>0</v>
      </c>
      <c r="M990" s="114">
        <v>0</v>
      </c>
      <c r="N990" s="113">
        <v>0</v>
      </c>
      <c r="O990" s="113">
        <v>0</v>
      </c>
      <c r="P990" s="116">
        <v>0</v>
      </c>
      <c r="Q990" s="116">
        <v>0</v>
      </c>
      <c r="R990" s="116">
        <v>0</v>
      </c>
      <c r="S990" s="114">
        <v>0</v>
      </c>
      <c r="T990" s="116">
        <v>0</v>
      </c>
      <c r="U990" s="116">
        <v>0</v>
      </c>
      <c r="V990" s="121">
        <f t="shared" si="52"/>
        <v>0</v>
      </c>
      <c r="W990" s="111"/>
      <c r="X990" s="111"/>
      <c r="Y990" s="111"/>
      <c r="Z990" s="111"/>
      <c r="AA990" s="111"/>
      <c r="AB990" s="111"/>
      <c r="AC990" s="111"/>
      <c r="AD990" s="111"/>
      <c r="AE990" s="139">
        <f t="shared" si="51"/>
        <v>0</v>
      </c>
      <c r="AF990" s="109"/>
      <c r="AG990" s="109"/>
    </row>
    <row r="991" spans="1:33">
      <c r="A991" s="117"/>
      <c r="B991" s="118"/>
      <c r="C991" s="118"/>
      <c r="D991" s="118"/>
      <c r="E991" s="119"/>
      <c r="F991" s="118"/>
      <c r="G991" s="110"/>
      <c r="H991" s="126"/>
      <c r="I991" s="114">
        <v>0</v>
      </c>
      <c r="J991" s="115">
        <v>0</v>
      </c>
      <c r="K991" s="116">
        <v>0</v>
      </c>
      <c r="L991" s="116">
        <v>0</v>
      </c>
      <c r="M991" s="114">
        <v>0</v>
      </c>
      <c r="N991" s="113">
        <v>0</v>
      </c>
      <c r="O991" s="113">
        <v>0</v>
      </c>
      <c r="P991" s="116">
        <v>0</v>
      </c>
      <c r="Q991" s="116">
        <v>0</v>
      </c>
      <c r="R991" s="116">
        <v>0</v>
      </c>
      <c r="S991" s="114">
        <v>0</v>
      </c>
      <c r="T991" s="116">
        <v>0</v>
      </c>
      <c r="U991" s="116">
        <v>0</v>
      </c>
      <c r="V991" s="121">
        <f t="shared" si="52"/>
        <v>0</v>
      </c>
      <c r="W991" s="111"/>
      <c r="X991" s="111"/>
      <c r="Y991" s="111"/>
      <c r="Z991" s="111"/>
      <c r="AA991" s="111"/>
      <c r="AB991" s="111"/>
      <c r="AC991" s="111"/>
      <c r="AD991" s="111"/>
      <c r="AE991" s="139">
        <f t="shared" si="51"/>
        <v>0</v>
      </c>
      <c r="AF991" s="109"/>
      <c r="AG991" s="109"/>
    </row>
    <row r="992" spans="1:33">
      <c r="A992" s="117"/>
      <c r="B992" s="118"/>
      <c r="C992" s="118"/>
      <c r="D992" s="118"/>
      <c r="E992" s="119"/>
      <c r="F992" s="118"/>
      <c r="G992" s="110"/>
      <c r="H992" s="126"/>
      <c r="I992" s="114">
        <v>0</v>
      </c>
      <c r="J992" s="115">
        <v>0</v>
      </c>
      <c r="K992" s="116">
        <v>0</v>
      </c>
      <c r="L992" s="116">
        <v>0</v>
      </c>
      <c r="M992" s="114">
        <v>0</v>
      </c>
      <c r="N992" s="113">
        <v>0</v>
      </c>
      <c r="O992" s="113">
        <v>0</v>
      </c>
      <c r="P992" s="116">
        <v>0</v>
      </c>
      <c r="Q992" s="116">
        <v>0</v>
      </c>
      <c r="R992" s="116">
        <v>0</v>
      </c>
      <c r="S992" s="114">
        <v>0</v>
      </c>
      <c r="T992" s="116">
        <v>0</v>
      </c>
      <c r="U992" s="116">
        <v>0</v>
      </c>
      <c r="V992" s="121">
        <f t="shared" si="52"/>
        <v>0</v>
      </c>
      <c r="W992" s="111"/>
      <c r="X992" s="111"/>
      <c r="Y992" s="111"/>
      <c r="Z992" s="111"/>
      <c r="AA992" s="111"/>
      <c r="AB992" s="111"/>
      <c r="AC992" s="111"/>
      <c r="AD992" s="111"/>
      <c r="AE992" s="139">
        <f t="shared" si="51"/>
        <v>0</v>
      </c>
      <c r="AF992" s="109"/>
      <c r="AG992" s="109"/>
    </row>
    <row r="993" spans="1:33">
      <c r="A993" s="117"/>
      <c r="B993" s="118"/>
      <c r="C993" s="118"/>
      <c r="D993" s="118"/>
      <c r="E993" s="119"/>
      <c r="F993" s="118"/>
      <c r="G993" s="110"/>
      <c r="H993" s="126"/>
      <c r="I993" s="114">
        <v>0</v>
      </c>
      <c r="J993" s="115">
        <v>0</v>
      </c>
      <c r="K993" s="116">
        <v>0</v>
      </c>
      <c r="L993" s="116">
        <v>0</v>
      </c>
      <c r="M993" s="114">
        <v>0</v>
      </c>
      <c r="N993" s="113">
        <v>0</v>
      </c>
      <c r="O993" s="113">
        <v>0</v>
      </c>
      <c r="P993" s="116">
        <v>0</v>
      </c>
      <c r="Q993" s="116">
        <v>0</v>
      </c>
      <c r="R993" s="116">
        <v>0</v>
      </c>
      <c r="S993" s="114">
        <v>0</v>
      </c>
      <c r="T993" s="116">
        <v>0</v>
      </c>
      <c r="U993" s="116">
        <v>0</v>
      </c>
      <c r="V993" s="121">
        <f t="shared" si="52"/>
        <v>0</v>
      </c>
      <c r="W993" s="111"/>
      <c r="X993" s="111"/>
      <c r="Y993" s="111"/>
      <c r="Z993" s="111"/>
      <c r="AA993" s="111"/>
      <c r="AB993" s="111"/>
      <c r="AC993" s="111"/>
      <c r="AD993" s="111"/>
      <c r="AE993" s="139">
        <f t="shared" si="51"/>
        <v>0</v>
      </c>
      <c r="AF993" s="109"/>
      <c r="AG993" s="109"/>
    </row>
    <row r="994" spans="1:33">
      <c r="A994" s="117"/>
      <c r="B994" s="118"/>
      <c r="C994" s="118"/>
      <c r="D994" s="118"/>
      <c r="E994" s="119"/>
      <c r="F994" s="118"/>
      <c r="G994" s="110"/>
      <c r="H994" s="126"/>
      <c r="I994" s="114">
        <v>0</v>
      </c>
      <c r="J994" s="115">
        <v>0</v>
      </c>
      <c r="K994" s="116">
        <v>0</v>
      </c>
      <c r="L994" s="116">
        <v>0</v>
      </c>
      <c r="M994" s="114">
        <v>0</v>
      </c>
      <c r="N994" s="113">
        <v>0</v>
      </c>
      <c r="O994" s="113">
        <v>0</v>
      </c>
      <c r="P994" s="116">
        <v>0</v>
      </c>
      <c r="Q994" s="116">
        <v>0</v>
      </c>
      <c r="R994" s="116">
        <v>0</v>
      </c>
      <c r="S994" s="114">
        <v>0</v>
      </c>
      <c r="T994" s="116">
        <v>0</v>
      </c>
      <c r="U994" s="116">
        <v>0</v>
      </c>
      <c r="V994" s="121">
        <f t="shared" si="52"/>
        <v>0</v>
      </c>
      <c r="W994" s="111"/>
      <c r="X994" s="111"/>
      <c r="Y994" s="111"/>
      <c r="Z994" s="111"/>
      <c r="AA994" s="111"/>
      <c r="AB994" s="111"/>
      <c r="AC994" s="111"/>
      <c r="AD994" s="111"/>
      <c r="AE994" s="139">
        <f t="shared" si="51"/>
        <v>0</v>
      </c>
      <c r="AF994" s="109"/>
      <c r="AG994" s="109"/>
    </row>
    <row r="995" spans="1:33">
      <c r="A995" s="117"/>
      <c r="B995" s="118"/>
      <c r="C995" s="118"/>
      <c r="D995" s="118"/>
      <c r="E995" s="119"/>
      <c r="F995" s="118"/>
      <c r="G995" s="110"/>
      <c r="H995" s="126"/>
      <c r="I995" s="114">
        <v>0</v>
      </c>
      <c r="J995" s="115">
        <v>0</v>
      </c>
      <c r="K995" s="116">
        <v>0</v>
      </c>
      <c r="L995" s="116">
        <v>0</v>
      </c>
      <c r="M995" s="114">
        <v>0</v>
      </c>
      <c r="N995" s="113">
        <v>0</v>
      </c>
      <c r="O995" s="113">
        <v>0</v>
      </c>
      <c r="P995" s="116">
        <v>0</v>
      </c>
      <c r="Q995" s="116">
        <v>0</v>
      </c>
      <c r="R995" s="116">
        <v>0</v>
      </c>
      <c r="S995" s="114">
        <v>0</v>
      </c>
      <c r="T995" s="116">
        <v>0</v>
      </c>
      <c r="U995" s="116">
        <v>0</v>
      </c>
      <c r="V995" s="121">
        <f t="shared" si="52"/>
        <v>0</v>
      </c>
      <c r="W995" s="111"/>
      <c r="X995" s="111"/>
      <c r="Y995" s="111"/>
      <c r="Z995" s="111"/>
      <c r="AA995" s="111"/>
      <c r="AB995" s="111"/>
      <c r="AC995" s="111"/>
      <c r="AD995" s="111"/>
      <c r="AE995" s="139">
        <f t="shared" si="51"/>
        <v>0</v>
      </c>
      <c r="AF995" s="109"/>
      <c r="AG995" s="109"/>
    </row>
    <row r="996" spans="1:33">
      <c r="A996" s="117"/>
      <c r="B996" s="118"/>
      <c r="C996" s="118"/>
      <c r="D996" s="118"/>
      <c r="E996" s="119"/>
      <c r="F996" s="118"/>
      <c r="G996" s="110"/>
      <c r="H996" s="126"/>
      <c r="I996" s="114">
        <v>0</v>
      </c>
      <c r="J996" s="115">
        <v>0</v>
      </c>
      <c r="K996" s="116">
        <v>0</v>
      </c>
      <c r="L996" s="116">
        <v>0</v>
      </c>
      <c r="M996" s="114">
        <v>0</v>
      </c>
      <c r="N996" s="113">
        <v>0</v>
      </c>
      <c r="O996" s="113">
        <v>0</v>
      </c>
      <c r="P996" s="116">
        <v>0</v>
      </c>
      <c r="Q996" s="116">
        <v>0</v>
      </c>
      <c r="R996" s="116">
        <v>0</v>
      </c>
      <c r="S996" s="114">
        <v>0</v>
      </c>
      <c r="T996" s="116">
        <v>0</v>
      </c>
      <c r="U996" s="116">
        <v>0</v>
      </c>
      <c r="V996" s="121">
        <f t="shared" si="52"/>
        <v>0</v>
      </c>
      <c r="W996" s="111"/>
      <c r="X996" s="111"/>
      <c r="Y996" s="111"/>
      <c r="Z996" s="111"/>
      <c r="AA996" s="111"/>
      <c r="AB996" s="111"/>
      <c r="AC996" s="111"/>
      <c r="AD996" s="111"/>
      <c r="AE996" s="139">
        <f t="shared" si="51"/>
        <v>0</v>
      </c>
      <c r="AF996" s="109"/>
      <c r="AG996" s="109"/>
    </row>
    <row r="997" spans="1:33">
      <c r="A997" s="117"/>
      <c r="B997" s="118"/>
      <c r="C997" s="118"/>
      <c r="D997" s="118"/>
      <c r="E997" s="119"/>
      <c r="F997" s="118"/>
      <c r="G997" s="110"/>
      <c r="H997" s="126"/>
      <c r="I997" s="114">
        <v>0</v>
      </c>
      <c r="J997" s="115">
        <v>0</v>
      </c>
      <c r="K997" s="116">
        <v>0</v>
      </c>
      <c r="L997" s="116">
        <v>0</v>
      </c>
      <c r="M997" s="114">
        <v>0</v>
      </c>
      <c r="N997" s="113">
        <v>0</v>
      </c>
      <c r="O997" s="113">
        <v>0</v>
      </c>
      <c r="P997" s="116">
        <v>0</v>
      </c>
      <c r="Q997" s="116">
        <v>0</v>
      </c>
      <c r="R997" s="116">
        <v>0</v>
      </c>
      <c r="S997" s="114">
        <v>0</v>
      </c>
      <c r="T997" s="116">
        <v>0</v>
      </c>
      <c r="U997" s="116">
        <v>0</v>
      </c>
      <c r="V997" s="121">
        <f t="shared" si="52"/>
        <v>0</v>
      </c>
      <c r="W997" s="111"/>
      <c r="X997" s="111"/>
      <c r="Y997" s="111"/>
      <c r="Z997" s="111"/>
      <c r="AA997" s="111"/>
      <c r="AB997" s="111"/>
      <c r="AC997" s="111"/>
      <c r="AD997" s="111"/>
      <c r="AE997" s="139">
        <f t="shared" si="51"/>
        <v>0</v>
      </c>
      <c r="AF997" s="109"/>
      <c r="AG997" s="109"/>
    </row>
    <row r="998" spans="1:33">
      <c r="A998" s="117"/>
      <c r="B998" s="118"/>
      <c r="C998" s="118"/>
      <c r="D998" s="118"/>
      <c r="E998" s="119"/>
      <c r="F998" s="118"/>
      <c r="G998" s="110"/>
      <c r="H998" s="126"/>
      <c r="I998" s="114">
        <v>0</v>
      </c>
      <c r="J998" s="115">
        <v>0</v>
      </c>
      <c r="K998" s="116">
        <v>0</v>
      </c>
      <c r="L998" s="116">
        <v>0</v>
      </c>
      <c r="M998" s="114">
        <v>0</v>
      </c>
      <c r="N998" s="113">
        <v>0</v>
      </c>
      <c r="O998" s="113">
        <v>0</v>
      </c>
      <c r="P998" s="116">
        <v>0</v>
      </c>
      <c r="Q998" s="116">
        <v>0</v>
      </c>
      <c r="R998" s="116">
        <v>0</v>
      </c>
      <c r="S998" s="114">
        <v>0</v>
      </c>
      <c r="T998" s="116">
        <v>0</v>
      </c>
      <c r="U998" s="116">
        <v>0</v>
      </c>
      <c r="V998" s="121">
        <f t="shared" si="52"/>
        <v>0</v>
      </c>
      <c r="W998" s="111"/>
      <c r="X998" s="111"/>
      <c r="Y998" s="111"/>
      <c r="Z998" s="111"/>
      <c r="AA998" s="111"/>
      <c r="AB998" s="111"/>
      <c r="AC998" s="111"/>
      <c r="AD998" s="111"/>
      <c r="AE998" s="139">
        <f t="shared" si="51"/>
        <v>0</v>
      </c>
      <c r="AF998" s="109"/>
      <c r="AG998" s="109"/>
    </row>
    <row r="999" spans="1:33">
      <c r="A999" s="117"/>
      <c r="B999" s="118"/>
      <c r="C999" s="118"/>
      <c r="D999" s="118"/>
      <c r="E999" s="119"/>
      <c r="F999" s="118"/>
      <c r="G999" s="110"/>
      <c r="H999" s="126"/>
      <c r="I999" s="114">
        <v>0</v>
      </c>
      <c r="J999" s="115">
        <v>0</v>
      </c>
      <c r="K999" s="116">
        <v>0</v>
      </c>
      <c r="L999" s="116">
        <v>0</v>
      </c>
      <c r="M999" s="114">
        <v>0</v>
      </c>
      <c r="N999" s="113">
        <v>0</v>
      </c>
      <c r="O999" s="113">
        <v>0</v>
      </c>
      <c r="P999" s="116">
        <v>0</v>
      </c>
      <c r="Q999" s="116">
        <v>0</v>
      </c>
      <c r="R999" s="116">
        <v>0</v>
      </c>
      <c r="S999" s="114">
        <v>0</v>
      </c>
      <c r="T999" s="116">
        <v>0</v>
      </c>
      <c r="U999" s="116">
        <v>0</v>
      </c>
      <c r="V999" s="121">
        <f t="shared" si="52"/>
        <v>0</v>
      </c>
      <c r="W999" s="111"/>
      <c r="X999" s="111"/>
      <c r="Y999" s="111"/>
      <c r="Z999" s="111"/>
      <c r="AA999" s="111"/>
      <c r="AB999" s="111"/>
      <c r="AC999" s="111"/>
      <c r="AD999" s="111"/>
      <c r="AE999" s="139">
        <f t="shared" si="51"/>
        <v>0</v>
      </c>
      <c r="AF999" s="109"/>
      <c r="AG999" s="109"/>
    </row>
    <row r="1000" spans="1:33">
      <c r="A1000" s="117"/>
      <c r="B1000" s="118"/>
      <c r="C1000" s="118"/>
      <c r="D1000" s="118"/>
      <c r="E1000" s="119"/>
      <c r="F1000" s="118"/>
      <c r="G1000" s="110"/>
      <c r="H1000" s="126"/>
      <c r="I1000" s="114">
        <v>0</v>
      </c>
      <c r="J1000" s="115">
        <v>0</v>
      </c>
      <c r="K1000" s="116">
        <v>0</v>
      </c>
      <c r="L1000" s="116">
        <v>0</v>
      </c>
      <c r="M1000" s="114">
        <v>0</v>
      </c>
      <c r="N1000" s="113">
        <v>0</v>
      </c>
      <c r="O1000" s="113">
        <v>0</v>
      </c>
      <c r="P1000" s="116">
        <v>0</v>
      </c>
      <c r="Q1000" s="116">
        <v>0</v>
      </c>
      <c r="R1000" s="116">
        <v>0</v>
      </c>
      <c r="S1000" s="114">
        <v>0</v>
      </c>
      <c r="T1000" s="116">
        <v>0</v>
      </c>
      <c r="U1000" s="116">
        <v>0</v>
      </c>
      <c r="V1000" s="121">
        <f t="shared" si="52"/>
        <v>0</v>
      </c>
      <c r="W1000" s="111"/>
      <c r="X1000" s="111"/>
      <c r="Y1000" s="111"/>
      <c r="Z1000" s="111"/>
      <c r="AA1000" s="111"/>
      <c r="AB1000" s="111"/>
      <c r="AC1000" s="111"/>
      <c r="AD1000" s="111"/>
      <c r="AE1000" s="139">
        <f t="shared" si="51"/>
        <v>0</v>
      </c>
      <c r="AF1000" s="109"/>
      <c r="AG1000" s="109"/>
    </row>
    <row r="1001" spans="1:33">
      <c r="A1001" s="117"/>
      <c r="B1001" s="118"/>
      <c r="C1001" s="118"/>
      <c r="D1001" s="118"/>
      <c r="E1001" s="119"/>
      <c r="F1001" s="118"/>
      <c r="G1001" s="110"/>
      <c r="H1001" s="126"/>
      <c r="I1001" s="114">
        <v>0</v>
      </c>
      <c r="J1001" s="115">
        <v>0</v>
      </c>
      <c r="K1001" s="116">
        <v>0</v>
      </c>
      <c r="L1001" s="116">
        <v>0</v>
      </c>
      <c r="M1001" s="114">
        <v>0</v>
      </c>
      <c r="N1001" s="113">
        <v>0</v>
      </c>
      <c r="O1001" s="113">
        <v>0</v>
      </c>
      <c r="P1001" s="116">
        <v>0</v>
      </c>
      <c r="Q1001" s="116">
        <v>0</v>
      </c>
      <c r="R1001" s="116">
        <v>0</v>
      </c>
      <c r="S1001" s="114">
        <v>0</v>
      </c>
      <c r="T1001" s="116">
        <v>0</v>
      </c>
      <c r="U1001" s="116">
        <v>0</v>
      </c>
      <c r="V1001" s="121">
        <f t="shared" si="52"/>
        <v>0</v>
      </c>
      <c r="W1001" s="111"/>
      <c r="X1001" s="111"/>
      <c r="Y1001" s="111"/>
      <c r="Z1001" s="111"/>
      <c r="AA1001" s="111"/>
      <c r="AB1001" s="111"/>
      <c r="AC1001" s="111"/>
      <c r="AD1001" s="111"/>
      <c r="AE1001" s="139">
        <f t="shared" ref="AE1001:AE1064" si="53">V1001-(X1001+Y1001)</f>
        <v>0</v>
      </c>
      <c r="AF1001" s="109"/>
      <c r="AG1001" s="109"/>
    </row>
    <row r="1002" spans="1:33">
      <c r="A1002" s="117"/>
      <c r="B1002" s="118"/>
      <c r="C1002" s="118"/>
      <c r="D1002" s="118"/>
      <c r="E1002" s="119"/>
      <c r="F1002" s="118"/>
      <c r="G1002" s="110"/>
      <c r="H1002" s="126"/>
      <c r="I1002" s="114">
        <v>0</v>
      </c>
      <c r="J1002" s="115">
        <v>0</v>
      </c>
      <c r="K1002" s="116">
        <v>0</v>
      </c>
      <c r="L1002" s="116">
        <v>0</v>
      </c>
      <c r="M1002" s="114">
        <v>0</v>
      </c>
      <c r="N1002" s="113">
        <v>0</v>
      </c>
      <c r="O1002" s="113">
        <v>0</v>
      </c>
      <c r="P1002" s="116">
        <v>0</v>
      </c>
      <c r="Q1002" s="116">
        <v>0</v>
      </c>
      <c r="R1002" s="116">
        <v>0</v>
      </c>
      <c r="S1002" s="114">
        <v>0</v>
      </c>
      <c r="T1002" s="116">
        <v>0</v>
      </c>
      <c r="U1002" s="116">
        <v>0</v>
      </c>
      <c r="V1002" s="121">
        <f t="shared" si="52"/>
        <v>0</v>
      </c>
      <c r="W1002" s="111"/>
      <c r="X1002" s="111"/>
      <c r="Y1002" s="111"/>
      <c r="Z1002" s="111"/>
      <c r="AA1002" s="111"/>
      <c r="AB1002" s="111"/>
      <c r="AC1002" s="111"/>
      <c r="AD1002" s="111"/>
      <c r="AE1002" s="139">
        <f t="shared" si="53"/>
        <v>0</v>
      </c>
      <c r="AF1002" s="109"/>
      <c r="AG1002" s="109"/>
    </row>
    <row r="1003" spans="1:33">
      <c r="A1003" s="117"/>
      <c r="B1003" s="118"/>
      <c r="C1003" s="118"/>
      <c r="D1003" s="118"/>
      <c r="E1003" s="119"/>
      <c r="F1003" s="118"/>
      <c r="G1003" s="110"/>
      <c r="H1003" s="126"/>
      <c r="I1003" s="114">
        <v>0</v>
      </c>
      <c r="J1003" s="115">
        <v>0</v>
      </c>
      <c r="K1003" s="116">
        <v>0</v>
      </c>
      <c r="L1003" s="116">
        <v>0</v>
      </c>
      <c r="M1003" s="114">
        <v>0</v>
      </c>
      <c r="N1003" s="113">
        <v>0</v>
      </c>
      <c r="O1003" s="113">
        <v>0</v>
      </c>
      <c r="P1003" s="116">
        <v>0</v>
      </c>
      <c r="Q1003" s="116">
        <v>0</v>
      </c>
      <c r="R1003" s="116">
        <v>0</v>
      </c>
      <c r="S1003" s="114">
        <v>0</v>
      </c>
      <c r="T1003" s="116">
        <v>0</v>
      </c>
      <c r="U1003" s="116">
        <v>0</v>
      </c>
      <c r="V1003" s="121">
        <f t="shared" si="52"/>
        <v>0</v>
      </c>
      <c r="W1003" s="111"/>
      <c r="X1003" s="111"/>
      <c r="Y1003" s="111"/>
      <c r="Z1003" s="111"/>
      <c r="AA1003" s="111"/>
      <c r="AB1003" s="111"/>
      <c r="AC1003" s="111"/>
      <c r="AD1003" s="111"/>
      <c r="AE1003" s="139">
        <f t="shared" si="53"/>
        <v>0</v>
      </c>
      <c r="AF1003" s="109"/>
      <c r="AG1003" s="109"/>
    </row>
    <row r="1004" spans="1:33">
      <c r="A1004" s="117"/>
      <c r="B1004" s="118"/>
      <c r="C1004" s="118"/>
      <c r="D1004" s="118"/>
      <c r="E1004" s="119"/>
      <c r="F1004" s="118"/>
      <c r="G1004" s="110"/>
      <c r="H1004" s="126"/>
      <c r="I1004" s="114">
        <v>0</v>
      </c>
      <c r="J1004" s="115">
        <v>0</v>
      </c>
      <c r="K1004" s="116">
        <v>0</v>
      </c>
      <c r="L1004" s="116">
        <v>0</v>
      </c>
      <c r="M1004" s="114">
        <v>0</v>
      </c>
      <c r="N1004" s="113">
        <v>0</v>
      </c>
      <c r="O1004" s="113">
        <v>0</v>
      </c>
      <c r="P1004" s="116">
        <v>0</v>
      </c>
      <c r="Q1004" s="116">
        <v>0</v>
      </c>
      <c r="R1004" s="116">
        <v>0</v>
      </c>
      <c r="S1004" s="114">
        <v>0</v>
      </c>
      <c r="T1004" s="116">
        <v>0</v>
      </c>
      <c r="U1004" s="116">
        <v>0</v>
      </c>
      <c r="V1004" s="121">
        <f t="shared" si="52"/>
        <v>0</v>
      </c>
      <c r="W1004" s="111"/>
      <c r="X1004" s="111"/>
      <c r="Y1004" s="111"/>
      <c r="Z1004" s="111"/>
      <c r="AA1004" s="111"/>
      <c r="AB1004" s="111"/>
      <c r="AC1004" s="111"/>
      <c r="AD1004" s="111"/>
      <c r="AE1004" s="139">
        <f t="shared" si="53"/>
        <v>0</v>
      </c>
      <c r="AF1004" s="109"/>
      <c r="AG1004" s="109"/>
    </row>
    <row r="1005" spans="1:33">
      <c r="A1005" s="117"/>
      <c r="B1005" s="118"/>
      <c r="C1005" s="118"/>
      <c r="D1005" s="118"/>
      <c r="E1005" s="119"/>
      <c r="F1005" s="118"/>
      <c r="G1005" s="110"/>
      <c r="H1005" s="126"/>
      <c r="I1005" s="114">
        <v>0</v>
      </c>
      <c r="J1005" s="115">
        <v>0</v>
      </c>
      <c r="K1005" s="116">
        <v>0</v>
      </c>
      <c r="L1005" s="116">
        <v>0</v>
      </c>
      <c r="M1005" s="114">
        <v>0</v>
      </c>
      <c r="N1005" s="113">
        <v>0</v>
      </c>
      <c r="O1005" s="113">
        <v>0</v>
      </c>
      <c r="P1005" s="116">
        <v>0</v>
      </c>
      <c r="Q1005" s="116">
        <v>0</v>
      </c>
      <c r="R1005" s="116">
        <v>0</v>
      </c>
      <c r="S1005" s="114">
        <v>0</v>
      </c>
      <c r="T1005" s="116">
        <v>0</v>
      </c>
      <c r="U1005" s="116">
        <v>0</v>
      </c>
      <c r="V1005" s="121">
        <f t="shared" si="52"/>
        <v>0</v>
      </c>
      <c r="W1005" s="111"/>
      <c r="X1005" s="111"/>
      <c r="Y1005" s="111"/>
      <c r="Z1005" s="111"/>
      <c r="AA1005" s="111"/>
      <c r="AB1005" s="111"/>
      <c r="AC1005" s="111"/>
      <c r="AD1005" s="111"/>
      <c r="AE1005" s="139">
        <f t="shared" si="53"/>
        <v>0</v>
      </c>
      <c r="AF1005" s="109"/>
      <c r="AG1005" s="109"/>
    </row>
    <row r="1006" spans="1:33">
      <c r="A1006" s="117"/>
      <c r="B1006" s="118"/>
      <c r="C1006" s="118"/>
      <c r="D1006" s="118"/>
      <c r="E1006" s="119"/>
      <c r="F1006" s="118"/>
      <c r="G1006" s="110"/>
      <c r="H1006" s="126"/>
      <c r="I1006" s="114">
        <v>0</v>
      </c>
      <c r="J1006" s="115">
        <v>0</v>
      </c>
      <c r="K1006" s="116">
        <v>0</v>
      </c>
      <c r="L1006" s="116">
        <v>0</v>
      </c>
      <c r="M1006" s="114">
        <v>0</v>
      </c>
      <c r="N1006" s="113">
        <v>0</v>
      </c>
      <c r="O1006" s="113">
        <v>0</v>
      </c>
      <c r="P1006" s="116">
        <v>0</v>
      </c>
      <c r="Q1006" s="116">
        <v>0</v>
      </c>
      <c r="R1006" s="116">
        <v>0</v>
      </c>
      <c r="S1006" s="114">
        <v>0</v>
      </c>
      <c r="T1006" s="116">
        <v>0</v>
      </c>
      <c r="U1006" s="116">
        <v>0</v>
      </c>
      <c r="V1006" s="121">
        <f t="shared" si="52"/>
        <v>0</v>
      </c>
      <c r="W1006" s="111"/>
      <c r="X1006" s="111"/>
      <c r="Y1006" s="111"/>
      <c r="Z1006" s="111"/>
      <c r="AA1006" s="111"/>
      <c r="AB1006" s="111"/>
      <c r="AC1006" s="111"/>
      <c r="AD1006" s="111"/>
      <c r="AE1006" s="139">
        <f t="shared" si="53"/>
        <v>0</v>
      </c>
      <c r="AF1006" s="109"/>
      <c r="AG1006" s="109"/>
    </row>
    <row r="1007" spans="1:33">
      <c r="A1007" s="117"/>
      <c r="B1007" s="118"/>
      <c r="C1007" s="118"/>
      <c r="D1007" s="118"/>
      <c r="E1007" s="119"/>
      <c r="F1007" s="118"/>
      <c r="G1007" s="110"/>
      <c r="H1007" s="126"/>
      <c r="I1007" s="114">
        <v>0</v>
      </c>
      <c r="J1007" s="115">
        <v>0</v>
      </c>
      <c r="K1007" s="116">
        <v>0</v>
      </c>
      <c r="L1007" s="116">
        <v>0</v>
      </c>
      <c r="M1007" s="114">
        <v>0</v>
      </c>
      <c r="N1007" s="113">
        <v>0</v>
      </c>
      <c r="O1007" s="113">
        <v>0</v>
      </c>
      <c r="P1007" s="116">
        <v>0</v>
      </c>
      <c r="Q1007" s="116">
        <v>0</v>
      </c>
      <c r="R1007" s="116">
        <v>0</v>
      </c>
      <c r="S1007" s="114">
        <v>0</v>
      </c>
      <c r="T1007" s="116">
        <v>0</v>
      </c>
      <c r="U1007" s="116">
        <v>0</v>
      </c>
      <c r="V1007" s="121">
        <f t="shared" si="52"/>
        <v>0</v>
      </c>
      <c r="W1007" s="111"/>
      <c r="X1007" s="111"/>
      <c r="Y1007" s="111"/>
      <c r="Z1007" s="111"/>
      <c r="AA1007" s="111"/>
      <c r="AB1007" s="111"/>
      <c r="AC1007" s="111"/>
      <c r="AD1007" s="111"/>
      <c r="AE1007" s="139">
        <f t="shared" si="53"/>
        <v>0</v>
      </c>
      <c r="AF1007" s="109"/>
      <c r="AG1007" s="109"/>
    </row>
    <row r="1008" spans="1:33">
      <c r="A1008" s="117"/>
      <c r="B1008" s="118"/>
      <c r="C1008" s="118"/>
      <c r="D1008" s="118"/>
      <c r="E1008" s="119"/>
      <c r="F1008" s="118"/>
      <c r="G1008" s="110"/>
      <c r="H1008" s="126"/>
      <c r="I1008" s="114">
        <v>0</v>
      </c>
      <c r="J1008" s="115">
        <v>0</v>
      </c>
      <c r="K1008" s="116">
        <v>0</v>
      </c>
      <c r="L1008" s="116">
        <v>0</v>
      </c>
      <c r="M1008" s="114">
        <v>0</v>
      </c>
      <c r="N1008" s="113">
        <v>0</v>
      </c>
      <c r="O1008" s="113">
        <v>0</v>
      </c>
      <c r="P1008" s="116">
        <v>0</v>
      </c>
      <c r="Q1008" s="116">
        <v>0</v>
      </c>
      <c r="R1008" s="116">
        <v>0</v>
      </c>
      <c r="S1008" s="114">
        <v>0</v>
      </c>
      <c r="T1008" s="116">
        <v>0</v>
      </c>
      <c r="U1008" s="116">
        <v>0</v>
      </c>
      <c r="V1008" s="121">
        <f t="shared" si="52"/>
        <v>0</v>
      </c>
      <c r="W1008" s="111"/>
      <c r="X1008" s="111"/>
      <c r="Y1008" s="111"/>
      <c r="Z1008" s="111"/>
      <c r="AA1008" s="111"/>
      <c r="AB1008" s="111"/>
      <c r="AC1008" s="111"/>
      <c r="AD1008" s="111"/>
      <c r="AE1008" s="139">
        <f t="shared" si="53"/>
        <v>0</v>
      </c>
      <c r="AF1008" s="109"/>
      <c r="AG1008" s="109"/>
    </row>
    <row r="1009" spans="1:33">
      <c r="A1009" s="117"/>
      <c r="B1009" s="118"/>
      <c r="C1009" s="118"/>
      <c r="D1009" s="118"/>
      <c r="E1009" s="119"/>
      <c r="F1009" s="118"/>
      <c r="G1009" s="110"/>
      <c r="H1009" s="126"/>
      <c r="I1009" s="114">
        <v>0</v>
      </c>
      <c r="J1009" s="115">
        <v>0</v>
      </c>
      <c r="K1009" s="116">
        <v>0</v>
      </c>
      <c r="L1009" s="116">
        <v>0</v>
      </c>
      <c r="M1009" s="114">
        <v>0</v>
      </c>
      <c r="N1009" s="113">
        <v>0</v>
      </c>
      <c r="O1009" s="113">
        <v>0</v>
      </c>
      <c r="P1009" s="116">
        <v>0</v>
      </c>
      <c r="Q1009" s="116">
        <v>0</v>
      </c>
      <c r="R1009" s="116">
        <v>0</v>
      </c>
      <c r="S1009" s="114">
        <v>0</v>
      </c>
      <c r="T1009" s="116">
        <v>0</v>
      </c>
      <c r="U1009" s="116">
        <v>0</v>
      </c>
      <c r="V1009" s="121">
        <f t="shared" ref="V1009:V1072" si="54">+G1009-(SUM(I1009:N1009,P1009:S1009,U1009))</f>
        <v>0</v>
      </c>
      <c r="W1009" s="111"/>
      <c r="X1009" s="111"/>
      <c r="Y1009" s="111"/>
      <c r="Z1009" s="111"/>
      <c r="AA1009" s="111"/>
      <c r="AB1009" s="111"/>
      <c r="AC1009" s="111"/>
      <c r="AD1009" s="111"/>
      <c r="AE1009" s="139">
        <f t="shared" si="53"/>
        <v>0</v>
      </c>
      <c r="AF1009" s="109"/>
      <c r="AG1009" s="109"/>
    </row>
    <row r="1010" spans="1:33">
      <c r="A1010" s="117"/>
      <c r="B1010" s="118"/>
      <c r="C1010" s="118"/>
      <c r="D1010" s="118"/>
      <c r="E1010" s="119"/>
      <c r="F1010" s="118"/>
      <c r="G1010" s="110"/>
      <c r="H1010" s="126"/>
      <c r="I1010" s="114">
        <v>0</v>
      </c>
      <c r="J1010" s="115">
        <v>0</v>
      </c>
      <c r="K1010" s="116">
        <v>0</v>
      </c>
      <c r="L1010" s="116">
        <v>0</v>
      </c>
      <c r="M1010" s="114">
        <v>0</v>
      </c>
      <c r="N1010" s="113">
        <v>0</v>
      </c>
      <c r="O1010" s="113">
        <v>0</v>
      </c>
      <c r="P1010" s="116">
        <v>0</v>
      </c>
      <c r="Q1010" s="116">
        <v>0</v>
      </c>
      <c r="R1010" s="116">
        <v>0</v>
      </c>
      <c r="S1010" s="114">
        <v>0</v>
      </c>
      <c r="T1010" s="116">
        <v>0</v>
      </c>
      <c r="U1010" s="116">
        <v>0</v>
      </c>
      <c r="V1010" s="121">
        <f t="shared" si="54"/>
        <v>0</v>
      </c>
      <c r="W1010" s="111"/>
      <c r="X1010" s="111"/>
      <c r="Y1010" s="111"/>
      <c r="Z1010" s="111"/>
      <c r="AA1010" s="111"/>
      <c r="AB1010" s="111"/>
      <c r="AC1010" s="111"/>
      <c r="AD1010" s="111"/>
      <c r="AE1010" s="139">
        <f t="shared" si="53"/>
        <v>0</v>
      </c>
      <c r="AF1010" s="109"/>
      <c r="AG1010" s="109"/>
    </row>
    <row r="1011" spans="1:33">
      <c r="A1011" s="117"/>
      <c r="B1011" s="118"/>
      <c r="C1011" s="118"/>
      <c r="D1011" s="118"/>
      <c r="E1011" s="119"/>
      <c r="F1011" s="118"/>
      <c r="G1011" s="110"/>
      <c r="H1011" s="126"/>
      <c r="I1011" s="114">
        <v>0</v>
      </c>
      <c r="J1011" s="115">
        <v>0</v>
      </c>
      <c r="K1011" s="116">
        <v>0</v>
      </c>
      <c r="L1011" s="116">
        <v>0</v>
      </c>
      <c r="M1011" s="114">
        <v>0</v>
      </c>
      <c r="N1011" s="113">
        <v>0</v>
      </c>
      <c r="O1011" s="113">
        <v>0</v>
      </c>
      <c r="P1011" s="116">
        <v>0</v>
      </c>
      <c r="Q1011" s="116">
        <v>0</v>
      </c>
      <c r="R1011" s="116">
        <v>0</v>
      </c>
      <c r="S1011" s="114">
        <v>0</v>
      </c>
      <c r="T1011" s="116">
        <v>0</v>
      </c>
      <c r="U1011" s="116">
        <v>0</v>
      </c>
      <c r="V1011" s="121">
        <f t="shared" si="54"/>
        <v>0</v>
      </c>
      <c r="W1011" s="111"/>
      <c r="X1011" s="111"/>
      <c r="Y1011" s="111"/>
      <c r="Z1011" s="111"/>
      <c r="AA1011" s="111"/>
      <c r="AB1011" s="111"/>
      <c r="AC1011" s="111"/>
      <c r="AD1011" s="111"/>
      <c r="AE1011" s="139">
        <f t="shared" si="53"/>
        <v>0</v>
      </c>
      <c r="AF1011" s="109"/>
      <c r="AG1011" s="109"/>
    </row>
    <row r="1012" spans="1:33">
      <c r="A1012" s="117"/>
      <c r="B1012" s="118"/>
      <c r="C1012" s="118"/>
      <c r="D1012" s="118"/>
      <c r="E1012" s="119"/>
      <c r="F1012" s="118"/>
      <c r="G1012" s="110"/>
      <c r="H1012" s="126"/>
      <c r="I1012" s="114">
        <v>0</v>
      </c>
      <c r="J1012" s="115">
        <v>0</v>
      </c>
      <c r="K1012" s="116">
        <v>0</v>
      </c>
      <c r="L1012" s="116">
        <v>0</v>
      </c>
      <c r="M1012" s="114">
        <v>0</v>
      </c>
      <c r="N1012" s="113">
        <v>0</v>
      </c>
      <c r="O1012" s="113">
        <v>0</v>
      </c>
      <c r="P1012" s="116">
        <v>0</v>
      </c>
      <c r="Q1012" s="116">
        <v>0</v>
      </c>
      <c r="R1012" s="116">
        <v>0</v>
      </c>
      <c r="S1012" s="114">
        <v>0</v>
      </c>
      <c r="T1012" s="116">
        <v>0</v>
      </c>
      <c r="U1012" s="116">
        <v>0</v>
      </c>
      <c r="V1012" s="121">
        <f t="shared" si="54"/>
        <v>0</v>
      </c>
      <c r="W1012" s="111"/>
      <c r="X1012" s="111"/>
      <c r="Y1012" s="111"/>
      <c r="Z1012" s="111"/>
      <c r="AA1012" s="111"/>
      <c r="AB1012" s="111"/>
      <c r="AC1012" s="111"/>
      <c r="AD1012" s="111"/>
      <c r="AE1012" s="139">
        <f t="shared" si="53"/>
        <v>0</v>
      </c>
      <c r="AF1012" s="109"/>
      <c r="AG1012" s="109"/>
    </row>
    <row r="1013" spans="1:33">
      <c r="A1013" s="117"/>
      <c r="B1013" s="118"/>
      <c r="C1013" s="118"/>
      <c r="D1013" s="118"/>
      <c r="E1013" s="119"/>
      <c r="F1013" s="118"/>
      <c r="G1013" s="110"/>
      <c r="H1013" s="126"/>
      <c r="I1013" s="114">
        <v>0</v>
      </c>
      <c r="J1013" s="115">
        <v>0</v>
      </c>
      <c r="K1013" s="116">
        <v>0</v>
      </c>
      <c r="L1013" s="116">
        <v>0</v>
      </c>
      <c r="M1013" s="114">
        <v>0</v>
      </c>
      <c r="N1013" s="113">
        <v>0</v>
      </c>
      <c r="O1013" s="113">
        <v>0</v>
      </c>
      <c r="P1013" s="116">
        <v>0</v>
      </c>
      <c r="Q1013" s="116">
        <v>0</v>
      </c>
      <c r="R1013" s="116">
        <v>0</v>
      </c>
      <c r="S1013" s="114">
        <v>0</v>
      </c>
      <c r="T1013" s="116">
        <v>0</v>
      </c>
      <c r="U1013" s="116">
        <v>0</v>
      </c>
      <c r="V1013" s="121">
        <f t="shared" si="54"/>
        <v>0</v>
      </c>
      <c r="W1013" s="111"/>
      <c r="X1013" s="111"/>
      <c r="Y1013" s="111"/>
      <c r="Z1013" s="111"/>
      <c r="AA1013" s="111"/>
      <c r="AB1013" s="111"/>
      <c r="AC1013" s="111"/>
      <c r="AD1013" s="111"/>
      <c r="AE1013" s="139">
        <f t="shared" si="53"/>
        <v>0</v>
      </c>
      <c r="AF1013" s="109"/>
      <c r="AG1013" s="109"/>
    </row>
    <row r="1014" spans="1:33">
      <c r="A1014" s="117"/>
      <c r="B1014" s="118"/>
      <c r="C1014" s="118"/>
      <c r="D1014" s="118"/>
      <c r="E1014" s="119"/>
      <c r="F1014" s="118"/>
      <c r="G1014" s="110"/>
      <c r="H1014" s="126"/>
      <c r="I1014" s="114">
        <v>0</v>
      </c>
      <c r="J1014" s="115">
        <v>0</v>
      </c>
      <c r="K1014" s="116">
        <v>0</v>
      </c>
      <c r="L1014" s="116">
        <v>0</v>
      </c>
      <c r="M1014" s="114">
        <v>0</v>
      </c>
      <c r="N1014" s="113">
        <v>0</v>
      </c>
      <c r="O1014" s="113">
        <v>0</v>
      </c>
      <c r="P1014" s="116">
        <v>0</v>
      </c>
      <c r="Q1014" s="116">
        <v>0</v>
      </c>
      <c r="R1014" s="116">
        <v>0</v>
      </c>
      <c r="S1014" s="114">
        <v>0</v>
      </c>
      <c r="T1014" s="116">
        <v>0</v>
      </c>
      <c r="U1014" s="116">
        <v>0</v>
      </c>
      <c r="V1014" s="121">
        <f t="shared" si="54"/>
        <v>0</v>
      </c>
      <c r="W1014" s="111"/>
      <c r="X1014" s="111"/>
      <c r="Y1014" s="111"/>
      <c r="Z1014" s="111"/>
      <c r="AA1014" s="111"/>
      <c r="AB1014" s="111"/>
      <c r="AC1014" s="111"/>
      <c r="AD1014" s="111"/>
      <c r="AE1014" s="139">
        <f t="shared" si="53"/>
        <v>0</v>
      </c>
      <c r="AF1014" s="109"/>
      <c r="AG1014" s="109"/>
    </row>
    <row r="1015" spans="1:33">
      <c r="A1015" s="117"/>
      <c r="B1015" s="118"/>
      <c r="C1015" s="118"/>
      <c r="D1015" s="118"/>
      <c r="E1015" s="119"/>
      <c r="F1015" s="118"/>
      <c r="G1015" s="110"/>
      <c r="H1015" s="126"/>
      <c r="I1015" s="114">
        <v>0</v>
      </c>
      <c r="J1015" s="115">
        <v>0</v>
      </c>
      <c r="K1015" s="116">
        <v>0</v>
      </c>
      <c r="L1015" s="116">
        <v>0</v>
      </c>
      <c r="M1015" s="114">
        <v>0</v>
      </c>
      <c r="N1015" s="113">
        <v>0</v>
      </c>
      <c r="O1015" s="113">
        <v>0</v>
      </c>
      <c r="P1015" s="116">
        <v>0</v>
      </c>
      <c r="Q1015" s="116">
        <v>0</v>
      </c>
      <c r="R1015" s="116">
        <v>0</v>
      </c>
      <c r="S1015" s="114">
        <v>0</v>
      </c>
      <c r="T1015" s="116">
        <v>0</v>
      </c>
      <c r="U1015" s="116">
        <v>0</v>
      </c>
      <c r="V1015" s="121">
        <f t="shared" si="54"/>
        <v>0</v>
      </c>
      <c r="W1015" s="111"/>
      <c r="X1015" s="111"/>
      <c r="Y1015" s="111"/>
      <c r="Z1015" s="111"/>
      <c r="AA1015" s="111"/>
      <c r="AB1015" s="111"/>
      <c r="AC1015" s="111"/>
      <c r="AD1015" s="111"/>
      <c r="AE1015" s="139">
        <f t="shared" si="53"/>
        <v>0</v>
      </c>
      <c r="AF1015" s="109"/>
      <c r="AG1015" s="109"/>
    </row>
    <row r="1016" spans="1:33">
      <c r="A1016" s="117"/>
      <c r="B1016" s="118"/>
      <c r="C1016" s="118"/>
      <c r="D1016" s="118"/>
      <c r="E1016" s="119"/>
      <c r="F1016" s="118"/>
      <c r="G1016" s="110"/>
      <c r="H1016" s="126"/>
      <c r="I1016" s="114">
        <v>0</v>
      </c>
      <c r="J1016" s="115">
        <v>0</v>
      </c>
      <c r="K1016" s="116">
        <v>0</v>
      </c>
      <c r="L1016" s="116">
        <v>0</v>
      </c>
      <c r="M1016" s="114">
        <v>0</v>
      </c>
      <c r="N1016" s="113">
        <v>0</v>
      </c>
      <c r="O1016" s="113">
        <v>0</v>
      </c>
      <c r="P1016" s="116">
        <v>0</v>
      </c>
      <c r="Q1016" s="116">
        <v>0</v>
      </c>
      <c r="R1016" s="116">
        <v>0</v>
      </c>
      <c r="S1016" s="114">
        <v>0</v>
      </c>
      <c r="T1016" s="116">
        <v>0</v>
      </c>
      <c r="U1016" s="116">
        <v>0</v>
      </c>
      <c r="V1016" s="121">
        <f t="shared" si="54"/>
        <v>0</v>
      </c>
      <c r="W1016" s="111"/>
      <c r="X1016" s="111"/>
      <c r="Y1016" s="111"/>
      <c r="Z1016" s="111"/>
      <c r="AA1016" s="111"/>
      <c r="AB1016" s="111"/>
      <c r="AC1016" s="111"/>
      <c r="AD1016" s="111"/>
      <c r="AE1016" s="139">
        <f t="shared" si="53"/>
        <v>0</v>
      </c>
      <c r="AF1016" s="109"/>
      <c r="AG1016" s="109"/>
    </row>
    <row r="1017" spans="1:33">
      <c r="A1017" s="117"/>
      <c r="B1017" s="118"/>
      <c r="C1017" s="118"/>
      <c r="D1017" s="118"/>
      <c r="E1017" s="119"/>
      <c r="F1017" s="118"/>
      <c r="G1017" s="110"/>
      <c r="H1017" s="126"/>
      <c r="I1017" s="114">
        <v>0</v>
      </c>
      <c r="J1017" s="115">
        <v>0</v>
      </c>
      <c r="K1017" s="116">
        <v>0</v>
      </c>
      <c r="L1017" s="116">
        <v>0</v>
      </c>
      <c r="M1017" s="114">
        <v>0</v>
      </c>
      <c r="N1017" s="113">
        <v>0</v>
      </c>
      <c r="O1017" s="113">
        <v>0</v>
      </c>
      <c r="P1017" s="116">
        <v>0</v>
      </c>
      <c r="Q1017" s="116">
        <v>0</v>
      </c>
      <c r="R1017" s="116">
        <v>0</v>
      </c>
      <c r="S1017" s="114">
        <v>0</v>
      </c>
      <c r="T1017" s="116">
        <v>0</v>
      </c>
      <c r="U1017" s="116">
        <v>0</v>
      </c>
      <c r="V1017" s="121">
        <f t="shared" si="54"/>
        <v>0</v>
      </c>
      <c r="W1017" s="111"/>
      <c r="X1017" s="111"/>
      <c r="Y1017" s="111"/>
      <c r="Z1017" s="111"/>
      <c r="AA1017" s="111"/>
      <c r="AB1017" s="111"/>
      <c r="AC1017" s="111"/>
      <c r="AD1017" s="111"/>
      <c r="AE1017" s="139">
        <f t="shared" si="53"/>
        <v>0</v>
      </c>
      <c r="AF1017" s="109"/>
      <c r="AG1017" s="109"/>
    </row>
    <row r="1018" spans="1:33">
      <c r="A1018" s="117"/>
      <c r="B1018" s="118"/>
      <c r="C1018" s="118"/>
      <c r="D1018" s="118"/>
      <c r="E1018" s="119"/>
      <c r="F1018" s="118"/>
      <c r="G1018" s="110"/>
      <c r="H1018" s="126"/>
      <c r="I1018" s="114">
        <v>0</v>
      </c>
      <c r="J1018" s="115">
        <v>0</v>
      </c>
      <c r="K1018" s="116">
        <v>0</v>
      </c>
      <c r="L1018" s="116">
        <v>0</v>
      </c>
      <c r="M1018" s="114">
        <v>0</v>
      </c>
      <c r="N1018" s="113">
        <v>0</v>
      </c>
      <c r="O1018" s="113">
        <v>0</v>
      </c>
      <c r="P1018" s="116">
        <v>0</v>
      </c>
      <c r="Q1018" s="116">
        <v>0</v>
      </c>
      <c r="R1018" s="116">
        <v>0</v>
      </c>
      <c r="S1018" s="114">
        <v>0</v>
      </c>
      <c r="T1018" s="116">
        <v>0</v>
      </c>
      <c r="U1018" s="116">
        <v>0</v>
      </c>
      <c r="V1018" s="121">
        <f t="shared" si="54"/>
        <v>0</v>
      </c>
      <c r="W1018" s="111"/>
      <c r="X1018" s="111"/>
      <c r="Y1018" s="111"/>
      <c r="Z1018" s="111"/>
      <c r="AA1018" s="111"/>
      <c r="AB1018" s="111"/>
      <c r="AC1018" s="111"/>
      <c r="AD1018" s="111"/>
      <c r="AE1018" s="139">
        <f t="shared" si="53"/>
        <v>0</v>
      </c>
      <c r="AF1018" s="109"/>
      <c r="AG1018" s="109"/>
    </row>
    <row r="1019" spans="1:33">
      <c r="A1019" s="117"/>
      <c r="B1019" s="118"/>
      <c r="C1019" s="118"/>
      <c r="D1019" s="118"/>
      <c r="E1019" s="119"/>
      <c r="F1019" s="118"/>
      <c r="G1019" s="110"/>
      <c r="H1019" s="126"/>
      <c r="I1019" s="114">
        <v>0</v>
      </c>
      <c r="J1019" s="115">
        <v>0</v>
      </c>
      <c r="K1019" s="116">
        <v>0</v>
      </c>
      <c r="L1019" s="116">
        <v>0</v>
      </c>
      <c r="M1019" s="114">
        <v>0</v>
      </c>
      <c r="N1019" s="113">
        <v>0</v>
      </c>
      <c r="O1019" s="113">
        <v>0</v>
      </c>
      <c r="P1019" s="116">
        <v>0</v>
      </c>
      <c r="Q1019" s="116">
        <v>0</v>
      </c>
      <c r="R1019" s="116">
        <v>0</v>
      </c>
      <c r="S1019" s="114">
        <v>0</v>
      </c>
      <c r="T1019" s="116">
        <v>0</v>
      </c>
      <c r="U1019" s="116">
        <v>0</v>
      </c>
      <c r="V1019" s="121">
        <f t="shared" si="54"/>
        <v>0</v>
      </c>
      <c r="W1019" s="111"/>
      <c r="X1019" s="111"/>
      <c r="Y1019" s="111"/>
      <c r="Z1019" s="111"/>
      <c r="AA1019" s="111"/>
      <c r="AB1019" s="111"/>
      <c r="AC1019" s="111"/>
      <c r="AD1019" s="111"/>
      <c r="AE1019" s="139">
        <f t="shared" si="53"/>
        <v>0</v>
      </c>
      <c r="AF1019" s="109"/>
      <c r="AG1019" s="109"/>
    </row>
    <row r="1020" spans="1:33">
      <c r="A1020" s="117"/>
      <c r="B1020" s="118"/>
      <c r="C1020" s="118"/>
      <c r="D1020" s="118"/>
      <c r="E1020" s="119"/>
      <c r="F1020" s="118"/>
      <c r="G1020" s="110"/>
      <c r="H1020" s="126"/>
      <c r="I1020" s="114">
        <v>0</v>
      </c>
      <c r="J1020" s="115">
        <v>0</v>
      </c>
      <c r="K1020" s="116">
        <v>0</v>
      </c>
      <c r="L1020" s="116">
        <v>0</v>
      </c>
      <c r="M1020" s="114">
        <v>0</v>
      </c>
      <c r="N1020" s="113">
        <v>0</v>
      </c>
      <c r="O1020" s="113">
        <v>0</v>
      </c>
      <c r="P1020" s="116">
        <v>0</v>
      </c>
      <c r="Q1020" s="116">
        <v>0</v>
      </c>
      <c r="R1020" s="116">
        <v>0</v>
      </c>
      <c r="S1020" s="114">
        <v>0</v>
      </c>
      <c r="T1020" s="116">
        <v>0</v>
      </c>
      <c r="U1020" s="116">
        <v>0</v>
      </c>
      <c r="V1020" s="121">
        <f t="shared" si="54"/>
        <v>0</v>
      </c>
      <c r="W1020" s="111"/>
      <c r="X1020" s="111"/>
      <c r="Y1020" s="111"/>
      <c r="Z1020" s="111"/>
      <c r="AA1020" s="111"/>
      <c r="AB1020" s="111"/>
      <c r="AC1020" s="111"/>
      <c r="AD1020" s="111"/>
      <c r="AE1020" s="139">
        <f t="shared" si="53"/>
        <v>0</v>
      </c>
      <c r="AF1020" s="109"/>
      <c r="AG1020" s="109"/>
    </row>
    <row r="1021" spans="1:33">
      <c r="A1021" s="117"/>
      <c r="B1021" s="118"/>
      <c r="C1021" s="118"/>
      <c r="D1021" s="118"/>
      <c r="E1021" s="119"/>
      <c r="F1021" s="118"/>
      <c r="G1021" s="110"/>
      <c r="H1021" s="126"/>
      <c r="I1021" s="114">
        <v>0</v>
      </c>
      <c r="J1021" s="115">
        <v>0</v>
      </c>
      <c r="K1021" s="116">
        <v>0</v>
      </c>
      <c r="L1021" s="116">
        <v>0</v>
      </c>
      <c r="M1021" s="114">
        <v>0</v>
      </c>
      <c r="N1021" s="113">
        <v>0</v>
      </c>
      <c r="O1021" s="113">
        <v>0</v>
      </c>
      <c r="P1021" s="116">
        <v>0</v>
      </c>
      <c r="Q1021" s="116">
        <v>0</v>
      </c>
      <c r="R1021" s="116">
        <v>0</v>
      </c>
      <c r="S1021" s="114">
        <v>0</v>
      </c>
      <c r="T1021" s="116">
        <v>0</v>
      </c>
      <c r="U1021" s="116">
        <v>0</v>
      </c>
      <c r="V1021" s="121">
        <f t="shared" si="54"/>
        <v>0</v>
      </c>
      <c r="W1021" s="111"/>
      <c r="X1021" s="111"/>
      <c r="Y1021" s="111"/>
      <c r="Z1021" s="111"/>
      <c r="AA1021" s="111"/>
      <c r="AB1021" s="111"/>
      <c r="AC1021" s="111"/>
      <c r="AD1021" s="111"/>
      <c r="AE1021" s="139">
        <f t="shared" si="53"/>
        <v>0</v>
      </c>
      <c r="AF1021" s="109"/>
      <c r="AG1021" s="109"/>
    </row>
    <row r="1022" spans="1:33">
      <c r="A1022" s="117"/>
      <c r="B1022" s="118"/>
      <c r="C1022" s="118"/>
      <c r="D1022" s="118"/>
      <c r="E1022" s="119"/>
      <c r="F1022" s="118"/>
      <c r="G1022" s="110"/>
      <c r="H1022" s="126"/>
      <c r="I1022" s="114">
        <v>0</v>
      </c>
      <c r="J1022" s="115">
        <v>0</v>
      </c>
      <c r="K1022" s="116">
        <v>0</v>
      </c>
      <c r="L1022" s="116">
        <v>0</v>
      </c>
      <c r="M1022" s="114">
        <v>0</v>
      </c>
      <c r="N1022" s="113">
        <v>0</v>
      </c>
      <c r="O1022" s="113">
        <v>0</v>
      </c>
      <c r="P1022" s="116">
        <v>0</v>
      </c>
      <c r="Q1022" s="116">
        <v>0</v>
      </c>
      <c r="R1022" s="116">
        <v>0</v>
      </c>
      <c r="S1022" s="114">
        <v>0</v>
      </c>
      <c r="T1022" s="116">
        <v>0</v>
      </c>
      <c r="U1022" s="116">
        <v>0</v>
      </c>
      <c r="V1022" s="121">
        <f t="shared" si="54"/>
        <v>0</v>
      </c>
      <c r="W1022" s="111"/>
      <c r="X1022" s="111"/>
      <c r="Y1022" s="111"/>
      <c r="Z1022" s="111"/>
      <c r="AA1022" s="111"/>
      <c r="AB1022" s="111"/>
      <c r="AC1022" s="111"/>
      <c r="AD1022" s="111"/>
      <c r="AE1022" s="139">
        <f t="shared" si="53"/>
        <v>0</v>
      </c>
      <c r="AF1022" s="109"/>
      <c r="AG1022" s="109"/>
    </row>
    <row r="1023" spans="1:33">
      <c r="A1023" s="117"/>
      <c r="B1023" s="118"/>
      <c r="C1023" s="118"/>
      <c r="D1023" s="118"/>
      <c r="E1023" s="119"/>
      <c r="F1023" s="118"/>
      <c r="G1023" s="110"/>
      <c r="H1023" s="126"/>
      <c r="I1023" s="114">
        <v>0</v>
      </c>
      <c r="J1023" s="115">
        <v>0</v>
      </c>
      <c r="K1023" s="116">
        <v>0</v>
      </c>
      <c r="L1023" s="116">
        <v>0</v>
      </c>
      <c r="M1023" s="114">
        <v>0</v>
      </c>
      <c r="N1023" s="113">
        <v>0</v>
      </c>
      <c r="O1023" s="113">
        <v>0</v>
      </c>
      <c r="P1023" s="116">
        <v>0</v>
      </c>
      <c r="Q1023" s="116">
        <v>0</v>
      </c>
      <c r="R1023" s="116">
        <v>0</v>
      </c>
      <c r="S1023" s="114">
        <v>0</v>
      </c>
      <c r="T1023" s="116">
        <v>0</v>
      </c>
      <c r="U1023" s="116">
        <v>0</v>
      </c>
      <c r="V1023" s="121">
        <f t="shared" si="54"/>
        <v>0</v>
      </c>
      <c r="W1023" s="111"/>
      <c r="X1023" s="111"/>
      <c r="Y1023" s="111"/>
      <c r="Z1023" s="111"/>
      <c r="AA1023" s="111"/>
      <c r="AB1023" s="111"/>
      <c r="AC1023" s="111"/>
      <c r="AD1023" s="111"/>
      <c r="AE1023" s="139">
        <f t="shared" si="53"/>
        <v>0</v>
      </c>
      <c r="AF1023" s="109"/>
      <c r="AG1023" s="109"/>
    </row>
    <row r="1024" spans="1:33">
      <c r="A1024" s="117"/>
      <c r="B1024" s="118"/>
      <c r="C1024" s="118"/>
      <c r="D1024" s="118"/>
      <c r="E1024" s="119"/>
      <c r="F1024" s="118"/>
      <c r="G1024" s="110"/>
      <c r="H1024" s="126"/>
      <c r="I1024" s="114">
        <v>0</v>
      </c>
      <c r="J1024" s="115">
        <v>0</v>
      </c>
      <c r="K1024" s="116">
        <v>0</v>
      </c>
      <c r="L1024" s="116">
        <v>0</v>
      </c>
      <c r="M1024" s="114">
        <v>0</v>
      </c>
      <c r="N1024" s="113">
        <v>0</v>
      </c>
      <c r="O1024" s="113">
        <v>0</v>
      </c>
      <c r="P1024" s="116">
        <v>0</v>
      </c>
      <c r="Q1024" s="116">
        <v>0</v>
      </c>
      <c r="R1024" s="116">
        <v>0</v>
      </c>
      <c r="S1024" s="114">
        <v>0</v>
      </c>
      <c r="T1024" s="116">
        <v>0</v>
      </c>
      <c r="U1024" s="116">
        <v>0</v>
      </c>
      <c r="V1024" s="121">
        <f t="shared" si="54"/>
        <v>0</v>
      </c>
      <c r="W1024" s="111"/>
      <c r="X1024" s="111"/>
      <c r="Y1024" s="111"/>
      <c r="Z1024" s="111"/>
      <c r="AA1024" s="111"/>
      <c r="AB1024" s="111"/>
      <c r="AC1024" s="111"/>
      <c r="AD1024" s="111"/>
      <c r="AE1024" s="139">
        <f t="shared" si="53"/>
        <v>0</v>
      </c>
      <c r="AF1024" s="109"/>
      <c r="AG1024" s="109"/>
    </row>
    <row r="1025" spans="1:33">
      <c r="A1025" s="117"/>
      <c r="B1025" s="118"/>
      <c r="C1025" s="118"/>
      <c r="D1025" s="118"/>
      <c r="E1025" s="119"/>
      <c r="F1025" s="118"/>
      <c r="G1025" s="110"/>
      <c r="H1025" s="126"/>
      <c r="I1025" s="114">
        <v>0</v>
      </c>
      <c r="J1025" s="115">
        <v>0</v>
      </c>
      <c r="K1025" s="116">
        <v>0</v>
      </c>
      <c r="L1025" s="116">
        <v>0</v>
      </c>
      <c r="M1025" s="114">
        <v>0</v>
      </c>
      <c r="N1025" s="113">
        <v>0</v>
      </c>
      <c r="O1025" s="113">
        <v>0</v>
      </c>
      <c r="P1025" s="116">
        <v>0</v>
      </c>
      <c r="Q1025" s="116">
        <v>0</v>
      </c>
      <c r="R1025" s="116">
        <v>0</v>
      </c>
      <c r="S1025" s="114">
        <v>0</v>
      </c>
      <c r="T1025" s="116">
        <v>0</v>
      </c>
      <c r="U1025" s="116">
        <v>0</v>
      </c>
      <c r="V1025" s="121">
        <f t="shared" si="54"/>
        <v>0</v>
      </c>
      <c r="W1025" s="111"/>
      <c r="X1025" s="111"/>
      <c r="Y1025" s="111"/>
      <c r="Z1025" s="111"/>
      <c r="AA1025" s="111"/>
      <c r="AB1025" s="111"/>
      <c r="AC1025" s="111"/>
      <c r="AD1025" s="111"/>
      <c r="AE1025" s="139">
        <f t="shared" si="53"/>
        <v>0</v>
      </c>
      <c r="AF1025" s="109"/>
      <c r="AG1025" s="109"/>
    </row>
    <row r="1026" spans="1:33">
      <c r="A1026" s="117"/>
      <c r="B1026" s="118"/>
      <c r="C1026" s="118"/>
      <c r="D1026" s="118"/>
      <c r="E1026" s="119"/>
      <c r="F1026" s="118"/>
      <c r="G1026" s="110"/>
      <c r="H1026" s="126"/>
      <c r="I1026" s="114">
        <v>0</v>
      </c>
      <c r="J1026" s="115">
        <v>0</v>
      </c>
      <c r="K1026" s="116">
        <v>0</v>
      </c>
      <c r="L1026" s="116">
        <v>0</v>
      </c>
      <c r="M1026" s="114">
        <v>0</v>
      </c>
      <c r="N1026" s="113">
        <v>0</v>
      </c>
      <c r="O1026" s="113">
        <v>0</v>
      </c>
      <c r="P1026" s="116">
        <v>0</v>
      </c>
      <c r="Q1026" s="116">
        <v>0</v>
      </c>
      <c r="R1026" s="116">
        <v>0</v>
      </c>
      <c r="S1026" s="114">
        <v>0</v>
      </c>
      <c r="T1026" s="116">
        <v>0</v>
      </c>
      <c r="U1026" s="116">
        <v>0</v>
      </c>
      <c r="V1026" s="121">
        <f t="shared" si="54"/>
        <v>0</v>
      </c>
      <c r="W1026" s="111"/>
      <c r="X1026" s="111"/>
      <c r="Y1026" s="111"/>
      <c r="Z1026" s="111"/>
      <c r="AA1026" s="111"/>
      <c r="AB1026" s="111"/>
      <c r="AC1026" s="111"/>
      <c r="AD1026" s="111"/>
      <c r="AE1026" s="139">
        <f t="shared" si="53"/>
        <v>0</v>
      </c>
      <c r="AF1026" s="109"/>
      <c r="AG1026" s="109"/>
    </row>
    <row r="1027" spans="1:33">
      <c r="A1027" s="117"/>
      <c r="B1027" s="118"/>
      <c r="C1027" s="118"/>
      <c r="D1027" s="118"/>
      <c r="E1027" s="119"/>
      <c r="F1027" s="118"/>
      <c r="G1027" s="110"/>
      <c r="H1027" s="126"/>
      <c r="I1027" s="114">
        <v>0</v>
      </c>
      <c r="J1027" s="115">
        <v>0</v>
      </c>
      <c r="K1027" s="116">
        <v>0</v>
      </c>
      <c r="L1027" s="116">
        <v>0</v>
      </c>
      <c r="M1027" s="114">
        <v>0</v>
      </c>
      <c r="N1027" s="113">
        <v>0</v>
      </c>
      <c r="O1027" s="113">
        <v>0</v>
      </c>
      <c r="P1027" s="116">
        <v>0</v>
      </c>
      <c r="Q1027" s="116">
        <v>0</v>
      </c>
      <c r="R1027" s="116">
        <v>0</v>
      </c>
      <c r="S1027" s="114">
        <v>0</v>
      </c>
      <c r="T1027" s="116">
        <v>0</v>
      </c>
      <c r="U1027" s="116">
        <v>0</v>
      </c>
      <c r="V1027" s="121">
        <f t="shared" si="54"/>
        <v>0</v>
      </c>
      <c r="W1027" s="111"/>
      <c r="X1027" s="111"/>
      <c r="Y1027" s="111"/>
      <c r="Z1027" s="111"/>
      <c r="AA1027" s="111"/>
      <c r="AB1027" s="111"/>
      <c r="AC1027" s="111"/>
      <c r="AD1027" s="111"/>
      <c r="AE1027" s="139">
        <f t="shared" si="53"/>
        <v>0</v>
      </c>
      <c r="AF1027" s="109"/>
      <c r="AG1027" s="109"/>
    </row>
    <row r="1028" spans="1:33">
      <c r="A1028" s="117"/>
      <c r="B1028" s="118"/>
      <c r="C1028" s="118"/>
      <c r="D1028" s="118"/>
      <c r="E1028" s="119"/>
      <c r="F1028" s="118"/>
      <c r="G1028" s="110"/>
      <c r="H1028" s="126"/>
      <c r="I1028" s="114">
        <v>0</v>
      </c>
      <c r="J1028" s="115">
        <v>0</v>
      </c>
      <c r="K1028" s="116">
        <v>0</v>
      </c>
      <c r="L1028" s="116">
        <v>0</v>
      </c>
      <c r="M1028" s="114">
        <v>0</v>
      </c>
      <c r="N1028" s="113">
        <v>0</v>
      </c>
      <c r="O1028" s="113">
        <v>0</v>
      </c>
      <c r="P1028" s="116">
        <v>0</v>
      </c>
      <c r="Q1028" s="116">
        <v>0</v>
      </c>
      <c r="R1028" s="116">
        <v>0</v>
      </c>
      <c r="S1028" s="114">
        <v>0</v>
      </c>
      <c r="T1028" s="116">
        <v>0</v>
      </c>
      <c r="U1028" s="116">
        <v>0</v>
      </c>
      <c r="V1028" s="121">
        <f t="shared" si="54"/>
        <v>0</v>
      </c>
      <c r="W1028" s="111"/>
      <c r="X1028" s="111"/>
      <c r="Y1028" s="111"/>
      <c r="Z1028" s="111"/>
      <c r="AA1028" s="111"/>
      <c r="AB1028" s="111"/>
      <c r="AC1028" s="111"/>
      <c r="AD1028" s="111"/>
      <c r="AE1028" s="139">
        <f t="shared" si="53"/>
        <v>0</v>
      </c>
      <c r="AF1028" s="109"/>
      <c r="AG1028" s="109"/>
    </row>
    <row r="1029" spans="1:33">
      <c r="A1029" s="117"/>
      <c r="B1029" s="118"/>
      <c r="C1029" s="118"/>
      <c r="D1029" s="118"/>
      <c r="E1029" s="119"/>
      <c r="F1029" s="118"/>
      <c r="G1029" s="110"/>
      <c r="H1029" s="126"/>
      <c r="I1029" s="114">
        <v>0</v>
      </c>
      <c r="J1029" s="115">
        <v>0</v>
      </c>
      <c r="K1029" s="116">
        <v>0</v>
      </c>
      <c r="L1029" s="116">
        <v>0</v>
      </c>
      <c r="M1029" s="114">
        <v>0</v>
      </c>
      <c r="N1029" s="113">
        <v>0</v>
      </c>
      <c r="O1029" s="113">
        <v>0</v>
      </c>
      <c r="P1029" s="116">
        <v>0</v>
      </c>
      <c r="Q1029" s="116">
        <v>0</v>
      </c>
      <c r="R1029" s="116">
        <v>0</v>
      </c>
      <c r="S1029" s="114">
        <v>0</v>
      </c>
      <c r="T1029" s="116">
        <v>0</v>
      </c>
      <c r="U1029" s="116">
        <v>0</v>
      </c>
      <c r="V1029" s="121">
        <f t="shared" si="54"/>
        <v>0</v>
      </c>
      <c r="W1029" s="111"/>
      <c r="X1029" s="111"/>
      <c r="Y1029" s="111"/>
      <c r="Z1029" s="111"/>
      <c r="AA1029" s="111"/>
      <c r="AB1029" s="111"/>
      <c r="AC1029" s="111"/>
      <c r="AD1029" s="111"/>
      <c r="AE1029" s="139">
        <f t="shared" si="53"/>
        <v>0</v>
      </c>
      <c r="AF1029" s="109"/>
      <c r="AG1029" s="109"/>
    </row>
    <row r="1030" spans="1:33">
      <c r="A1030" s="117"/>
      <c r="B1030" s="118"/>
      <c r="C1030" s="118"/>
      <c r="D1030" s="118"/>
      <c r="E1030" s="119"/>
      <c r="F1030" s="118"/>
      <c r="G1030" s="110"/>
      <c r="H1030" s="126"/>
      <c r="I1030" s="114">
        <v>0</v>
      </c>
      <c r="J1030" s="115">
        <v>0</v>
      </c>
      <c r="K1030" s="116">
        <v>0</v>
      </c>
      <c r="L1030" s="116">
        <v>0</v>
      </c>
      <c r="M1030" s="114">
        <v>0</v>
      </c>
      <c r="N1030" s="113">
        <v>0</v>
      </c>
      <c r="O1030" s="113">
        <v>0</v>
      </c>
      <c r="P1030" s="116">
        <v>0</v>
      </c>
      <c r="Q1030" s="116">
        <v>0</v>
      </c>
      <c r="R1030" s="116">
        <v>0</v>
      </c>
      <c r="S1030" s="114">
        <v>0</v>
      </c>
      <c r="T1030" s="116">
        <v>0</v>
      </c>
      <c r="U1030" s="116">
        <v>0</v>
      </c>
      <c r="V1030" s="121">
        <f t="shared" si="54"/>
        <v>0</v>
      </c>
      <c r="W1030" s="111"/>
      <c r="X1030" s="111"/>
      <c r="Y1030" s="111"/>
      <c r="Z1030" s="111"/>
      <c r="AA1030" s="111"/>
      <c r="AB1030" s="111"/>
      <c r="AC1030" s="111"/>
      <c r="AD1030" s="111"/>
      <c r="AE1030" s="139">
        <f t="shared" si="53"/>
        <v>0</v>
      </c>
      <c r="AF1030" s="109"/>
      <c r="AG1030" s="109"/>
    </row>
    <row r="1031" spans="1:33">
      <c r="A1031" s="117"/>
      <c r="B1031" s="118"/>
      <c r="C1031" s="118"/>
      <c r="D1031" s="118"/>
      <c r="E1031" s="119"/>
      <c r="F1031" s="118"/>
      <c r="G1031" s="110"/>
      <c r="H1031" s="126"/>
      <c r="I1031" s="114">
        <v>0</v>
      </c>
      <c r="J1031" s="115">
        <v>0</v>
      </c>
      <c r="K1031" s="116">
        <v>0</v>
      </c>
      <c r="L1031" s="116">
        <v>0</v>
      </c>
      <c r="M1031" s="114">
        <v>0</v>
      </c>
      <c r="N1031" s="113">
        <v>0</v>
      </c>
      <c r="O1031" s="113">
        <v>0</v>
      </c>
      <c r="P1031" s="116">
        <v>0</v>
      </c>
      <c r="Q1031" s="116">
        <v>0</v>
      </c>
      <c r="R1031" s="116">
        <v>0</v>
      </c>
      <c r="S1031" s="114">
        <v>0</v>
      </c>
      <c r="T1031" s="116">
        <v>0</v>
      </c>
      <c r="U1031" s="116">
        <v>0</v>
      </c>
      <c r="V1031" s="121">
        <f t="shared" si="54"/>
        <v>0</v>
      </c>
      <c r="W1031" s="111"/>
      <c r="X1031" s="111"/>
      <c r="Y1031" s="111"/>
      <c r="Z1031" s="111"/>
      <c r="AA1031" s="111"/>
      <c r="AB1031" s="111"/>
      <c r="AC1031" s="111"/>
      <c r="AD1031" s="111"/>
      <c r="AE1031" s="139">
        <f t="shared" si="53"/>
        <v>0</v>
      </c>
      <c r="AF1031" s="109"/>
      <c r="AG1031" s="109"/>
    </row>
    <row r="1032" spans="1:33">
      <c r="A1032" s="117"/>
      <c r="B1032" s="118"/>
      <c r="C1032" s="118"/>
      <c r="D1032" s="118"/>
      <c r="E1032" s="119"/>
      <c r="F1032" s="118"/>
      <c r="G1032" s="110"/>
      <c r="H1032" s="126"/>
      <c r="I1032" s="114">
        <v>0</v>
      </c>
      <c r="J1032" s="115">
        <v>0</v>
      </c>
      <c r="K1032" s="116">
        <v>0</v>
      </c>
      <c r="L1032" s="116">
        <v>0</v>
      </c>
      <c r="M1032" s="114">
        <v>0</v>
      </c>
      <c r="N1032" s="113">
        <v>0</v>
      </c>
      <c r="O1032" s="113">
        <v>0</v>
      </c>
      <c r="P1032" s="116">
        <v>0</v>
      </c>
      <c r="Q1032" s="116">
        <v>0</v>
      </c>
      <c r="R1032" s="116">
        <v>0</v>
      </c>
      <c r="S1032" s="114">
        <v>0</v>
      </c>
      <c r="T1032" s="116">
        <v>0</v>
      </c>
      <c r="U1032" s="116">
        <v>0</v>
      </c>
      <c r="V1032" s="121">
        <f t="shared" si="54"/>
        <v>0</v>
      </c>
      <c r="W1032" s="111"/>
      <c r="X1032" s="111"/>
      <c r="Y1032" s="111"/>
      <c r="Z1032" s="111"/>
      <c r="AA1032" s="111"/>
      <c r="AB1032" s="111"/>
      <c r="AC1032" s="111"/>
      <c r="AD1032" s="111"/>
      <c r="AE1032" s="139">
        <f t="shared" si="53"/>
        <v>0</v>
      </c>
      <c r="AF1032" s="109"/>
      <c r="AG1032" s="109"/>
    </row>
    <row r="1033" spans="1:33">
      <c r="A1033" s="117"/>
      <c r="B1033" s="118"/>
      <c r="C1033" s="118"/>
      <c r="D1033" s="118"/>
      <c r="E1033" s="119"/>
      <c r="F1033" s="118"/>
      <c r="G1033" s="110"/>
      <c r="H1033" s="126"/>
      <c r="I1033" s="114">
        <v>0</v>
      </c>
      <c r="J1033" s="115">
        <v>0</v>
      </c>
      <c r="K1033" s="116">
        <v>0</v>
      </c>
      <c r="L1033" s="116">
        <v>0</v>
      </c>
      <c r="M1033" s="114">
        <v>0</v>
      </c>
      <c r="N1033" s="113">
        <v>0</v>
      </c>
      <c r="O1033" s="113">
        <v>0</v>
      </c>
      <c r="P1033" s="116">
        <v>0</v>
      </c>
      <c r="Q1033" s="116">
        <v>0</v>
      </c>
      <c r="R1033" s="116">
        <v>0</v>
      </c>
      <c r="S1033" s="114">
        <v>0</v>
      </c>
      <c r="T1033" s="116">
        <v>0</v>
      </c>
      <c r="U1033" s="116">
        <v>0</v>
      </c>
      <c r="V1033" s="121">
        <f t="shared" si="54"/>
        <v>0</v>
      </c>
      <c r="W1033" s="111"/>
      <c r="X1033" s="111"/>
      <c r="Y1033" s="111"/>
      <c r="Z1033" s="111"/>
      <c r="AA1033" s="111"/>
      <c r="AB1033" s="111"/>
      <c r="AC1033" s="111"/>
      <c r="AD1033" s="111"/>
      <c r="AE1033" s="139">
        <f t="shared" si="53"/>
        <v>0</v>
      </c>
      <c r="AF1033" s="109"/>
      <c r="AG1033" s="109"/>
    </row>
    <row r="1034" spans="1:33">
      <c r="A1034" s="117"/>
      <c r="B1034" s="118"/>
      <c r="C1034" s="118"/>
      <c r="D1034" s="118"/>
      <c r="E1034" s="119"/>
      <c r="F1034" s="118"/>
      <c r="G1034" s="110"/>
      <c r="H1034" s="126"/>
      <c r="I1034" s="114">
        <v>0</v>
      </c>
      <c r="J1034" s="115">
        <v>0</v>
      </c>
      <c r="K1034" s="116">
        <v>0</v>
      </c>
      <c r="L1034" s="116">
        <v>0</v>
      </c>
      <c r="M1034" s="114">
        <v>0</v>
      </c>
      <c r="N1034" s="113">
        <v>0</v>
      </c>
      <c r="O1034" s="113">
        <v>0</v>
      </c>
      <c r="P1034" s="116">
        <v>0</v>
      </c>
      <c r="Q1034" s="116">
        <v>0</v>
      </c>
      <c r="R1034" s="116">
        <v>0</v>
      </c>
      <c r="S1034" s="114">
        <v>0</v>
      </c>
      <c r="T1034" s="116">
        <v>0</v>
      </c>
      <c r="U1034" s="116">
        <v>0</v>
      </c>
      <c r="V1034" s="121">
        <f t="shared" si="54"/>
        <v>0</v>
      </c>
      <c r="W1034" s="111"/>
      <c r="X1034" s="111"/>
      <c r="Y1034" s="111"/>
      <c r="Z1034" s="111"/>
      <c r="AA1034" s="111"/>
      <c r="AB1034" s="111"/>
      <c r="AC1034" s="111"/>
      <c r="AD1034" s="111"/>
      <c r="AE1034" s="139">
        <f t="shared" si="53"/>
        <v>0</v>
      </c>
      <c r="AF1034" s="109"/>
      <c r="AG1034" s="109"/>
    </row>
    <row r="1035" spans="1:33">
      <c r="A1035" s="117"/>
      <c r="B1035" s="118"/>
      <c r="C1035" s="118"/>
      <c r="D1035" s="118"/>
      <c r="E1035" s="119"/>
      <c r="F1035" s="118"/>
      <c r="G1035" s="110"/>
      <c r="H1035" s="126"/>
      <c r="I1035" s="114">
        <v>0</v>
      </c>
      <c r="J1035" s="115">
        <v>0</v>
      </c>
      <c r="K1035" s="116">
        <v>0</v>
      </c>
      <c r="L1035" s="116">
        <v>0</v>
      </c>
      <c r="M1035" s="114">
        <v>0</v>
      </c>
      <c r="N1035" s="113">
        <v>0</v>
      </c>
      <c r="O1035" s="113">
        <v>0</v>
      </c>
      <c r="P1035" s="116">
        <v>0</v>
      </c>
      <c r="Q1035" s="116">
        <v>0</v>
      </c>
      <c r="R1035" s="116">
        <v>0</v>
      </c>
      <c r="S1035" s="114">
        <v>0</v>
      </c>
      <c r="T1035" s="116">
        <v>0</v>
      </c>
      <c r="U1035" s="116">
        <v>0</v>
      </c>
      <c r="V1035" s="121">
        <f t="shared" si="54"/>
        <v>0</v>
      </c>
      <c r="W1035" s="111"/>
      <c r="X1035" s="111"/>
      <c r="Y1035" s="111"/>
      <c r="Z1035" s="111"/>
      <c r="AA1035" s="111"/>
      <c r="AB1035" s="111"/>
      <c r="AC1035" s="111"/>
      <c r="AD1035" s="111"/>
      <c r="AE1035" s="139">
        <f t="shared" si="53"/>
        <v>0</v>
      </c>
      <c r="AF1035" s="109"/>
      <c r="AG1035" s="109"/>
    </row>
    <row r="1036" spans="1:33">
      <c r="A1036" s="117"/>
      <c r="B1036" s="118"/>
      <c r="C1036" s="118"/>
      <c r="D1036" s="118"/>
      <c r="E1036" s="119"/>
      <c r="F1036" s="118"/>
      <c r="G1036" s="110"/>
      <c r="H1036" s="126"/>
      <c r="I1036" s="114">
        <v>0</v>
      </c>
      <c r="J1036" s="115">
        <v>0</v>
      </c>
      <c r="K1036" s="116">
        <v>0</v>
      </c>
      <c r="L1036" s="116">
        <v>0</v>
      </c>
      <c r="M1036" s="114">
        <v>0</v>
      </c>
      <c r="N1036" s="113">
        <v>0</v>
      </c>
      <c r="O1036" s="113">
        <v>0</v>
      </c>
      <c r="P1036" s="116">
        <v>0</v>
      </c>
      <c r="Q1036" s="116">
        <v>0</v>
      </c>
      <c r="R1036" s="116">
        <v>0</v>
      </c>
      <c r="S1036" s="114">
        <v>0</v>
      </c>
      <c r="T1036" s="116">
        <v>0</v>
      </c>
      <c r="U1036" s="116">
        <v>0</v>
      </c>
      <c r="V1036" s="121">
        <f t="shared" si="54"/>
        <v>0</v>
      </c>
      <c r="W1036" s="111"/>
      <c r="X1036" s="111"/>
      <c r="Y1036" s="111"/>
      <c r="Z1036" s="111"/>
      <c r="AA1036" s="111"/>
      <c r="AB1036" s="111"/>
      <c r="AC1036" s="111"/>
      <c r="AD1036" s="111"/>
      <c r="AE1036" s="139">
        <f t="shared" si="53"/>
        <v>0</v>
      </c>
      <c r="AF1036" s="109"/>
      <c r="AG1036" s="109"/>
    </row>
    <row r="1037" spans="1:33">
      <c r="A1037" s="117"/>
      <c r="B1037" s="118"/>
      <c r="C1037" s="118"/>
      <c r="D1037" s="118"/>
      <c r="E1037" s="119"/>
      <c r="F1037" s="118"/>
      <c r="G1037" s="110"/>
      <c r="H1037" s="126"/>
      <c r="I1037" s="114">
        <v>0</v>
      </c>
      <c r="J1037" s="115">
        <v>0</v>
      </c>
      <c r="K1037" s="116">
        <v>0</v>
      </c>
      <c r="L1037" s="116">
        <v>0</v>
      </c>
      <c r="M1037" s="114">
        <v>0</v>
      </c>
      <c r="N1037" s="113">
        <v>0</v>
      </c>
      <c r="O1037" s="113">
        <v>0</v>
      </c>
      <c r="P1037" s="116">
        <v>0</v>
      </c>
      <c r="Q1037" s="116">
        <v>0</v>
      </c>
      <c r="R1037" s="116">
        <v>0</v>
      </c>
      <c r="S1037" s="114">
        <v>0</v>
      </c>
      <c r="T1037" s="116">
        <v>0</v>
      </c>
      <c r="U1037" s="116">
        <v>0</v>
      </c>
      <c r="V1037" s="121">
        <f t="shared" si="54"/>
        <v>0</v>
      </c>
      <c r="W1037" s="111"/>
      <c r="X1037" s="111"/>
      <c r="Y1037" s="111"/>
      <c r="Z1037" s="111"/>
      <c r="AA1037" s="111"/>
      <c r="AB1037" s="111"/>
      <c r="AC1037" s="111"/>
      <c r="AD1037" s="111"/>
      <c r="AE1037" s="139">
        <f t="shared" si="53"/>
        <v>0</v>
      </c>
      <c r="AF1037" s="109"/>
      <c r="AG1037" s="109"/>
    </row>
    <row r="1038" spans="1:33">
      <c r="A1038" s="117"/>
      <c r="B1038" s="118"/>
      <c r="C1038" s="118"/>
      <c r="D1038" s="118"/>
      <c r="E1038" s="119"/>
      <c r="F1038" s="118"/>
      <c r="G1038" s="110"/>
      <c r="H1038" s="126"/>
      <c r="I1038" s="114">
        <v>0</v>
      </c>
      <c r="J1038" s="115">
        <v>0</v>
      </c>
      <c r="K1038" s="116">
        <v>0</v>
      </c>
      <c r="L1038" s="116">
        <v>0</v>
      </c>
      <c r="M1038" s="114">
        <v>0</v>
      </c>
      <c r="N1038" s="113">
        <v>0</v>
      </c>
      <c r="O1038" s="113">
        <v>0</v>
      </c>
      <c r="P1038" s="116">
        <v>0</v>
      </c>
      <c r="Q1038" s="116">
        <v>0</v>
      </c>
      <c r="R1038" s="116">
        <v>0</v>
      </c>
      <c r="S1038" s="114">
        <v>0</v>
      </c>
      <c r="T1038" s="116">
        <v>0</v>
      </c>
      <c r="U1038" s="116">
        <v>0</v>
      </c>
      <c r="V1038" s="121">
        <f t="shared" si="54"/>
        <v>0</v>
      </c>
      <c r="W1038" s="111"/>
      <c r="X1038" s="111"/>
      <c r="Y1038" s="111"/>
      <c r="Z1038" s="111"/>
      <c r="AA1038" s="111"/>
      <c r="AB1038" s="111"/>
      <c r="AC1038" s="111"/>
      <c r="AD1038" s="111"/>
      <c r="AE1038" s="139">
        <f t="shared" si="53"/>
        <v>0</v>
      </c>
      <c r="AF1038" s="109"/>
      <c r="AG1038" s="109"/>
    </row>
    <row r="1039" spans="1:33">
      <c r="A1039" s="117"/>
      <c r="B1039" s="118"/>
      <c r="C1039" s="118"/>
      <c r="D1039" s="118"/>
      <c r="E1039" s="119"/>
      <c r="F1039" s="118"/>
      <c r="G1039" s="110"/>
      <c r="H1039" s="126"/>
      <c r="I1039" s="114">
        <v>0</v>
      </c>
      <c r="J1039" s="115">
        <v>0</v>
      </c>
      <c r="K1039" s="116">
        <v>0</v>
      </c>
      <c r="L1039" s="116">
        <v>0</v>
      </c>
      <c r="M1039" s="114">
        <v>0</v>
      </c>
      <c r="N1039" s="113">
        <v>0</v>
      </c>
      <c r="O1039" s="113">
        <v>0</v>
      </c>
      <c r="P1039" s="116">
        <v>0</v>
      </c>
      <c r="Q1039" s="116">
        <v>0</v>
      </c>
      <c r="R1039" s="116">
        <v>0</v>
      </c>
      <c r="S1039" s="114">
        <v>0</v>
      </c>
      <c r="T1039" s="116">
        <v>0</v>
      </c>
      <c r="U1039" s="116">
        <v>0</v>
      </c>
      <c r="V1039" s="121">
        <f t="shared" si="54"/>
        <v>0</v>
      </c>
      <c r="W1039" s="111"/>
      <c r="X1039" s="111"/>
      <c r="Y1039" s="111"/>
      <c r="Z1039" s="111"/>
      <c r="AA1039" s="111"/>
      <c r="AB1039" s="111"/>
      <c r="AC1039" s="111"/>
      <c r="AD1039" s="111"/>
      <c r="AE1039" s="139">
        <f t="shared" si="53"/>
        <v>0</v>
      </c>
      <c r="AF1039" s="109"/>
      <c r="AG1039" s="109"/>
    </row>
    <row r="1040" spans="1:33">
      <c r="A1040" s="117"/>
      <c r="B1040" s="118"/>
      <c r="C1040" s="118"/>
      <c r="D1040" s="118"/>
      <c r="E1040" s="119"/>
      <c r="F1040" s="118"/>
      <c r="G1040" s="110"/>
      <c r="H1040" s="126"/>
      <c r="I1040" s="114">
        <v>0</v>
      </c>
      <c r="J1040" s="115">
        <v>0</v>
      </c>
      <c r="K1040" s="116">
        <v>0</v>
      </c>
      <c r="L1040" s="116">
        <v>0</v>
      </c>
      <c r="M1040" s="114">
        <v>0</v>
      </c>
      <c r="N1040" s="113">
        <v>0</v>
      </c>
      <c r="O1040" s="113">
        <v>0</v>
      </c>
      <c r="P1040" s="116">
        <v>0</v>
      </c>
      <c r="Q1040" s="116">
        <v>0</v>
      </c>
      <c r="R1040" s="116">
        <v>0</v>
      </c>
      <c r="S1040" s="114">
        <v>0</v>
      </c>
      <c r="T1040" s="116">
        <v>0</v>
      </c>
      <c r="U1040" s="116">
        <v>0</v>
      </c>
      <c r="V1040" s="121">
        <f t="shared" si="54"/>
        <v>0</v>
      </c>
      <c r="W1040" s="111"/>
      <c r="X1040" s="111"/>
      <c r="Y1040" s="111"/>
      <c r="Z1040" s="111"/>
      <c r="AA1040" s="111"/>
      <c r="AB1040" s="111"/>
      <c r="AC1040" s="111"/>
      <c r="AD1040" s="111"/>
      <c r="AE1040" s="139">
        <f t="shared" si="53"/>
        <v>0</v>
      </c>
      <c r="AF1040" s="109"/>
      <c r="AG1040" s="109"/>
    </row>
    <row r="1041" spans="1:33">
      <c r="A1041" s="117"/>
      <c r="B1041" s="118"/>
      <c r="C1041" s="118"/>
      <c r="D1041" s="118"/>
      <c r="E1041" s="119"/>
      <c r="F1041" s="118"/>
      <c r="G1041" s="110"/>
      <c r="H1041" s="126"/>
      <c r="I1041" s="114">
        <v>0</v>
      </c>
      <c r="J1041" s="115">
        <v>0</v>
      </c>
      <c r="K1041" s="116">
        <v>0</v>
      </c>
      <c r="L1041" s="116">
        <v>0</v>
      </c>
      <c r="M1041" s="114">
        <v>0</v>
      </c>
      <c r="N1041" s="113">
        <v>0</v>
      </c>
      <c r="O1041" s="113">
        <v>0</v>
      </c>
      <c r="P1041" s="116">
        <v>0</v>
      </c>
      <c r="Q1041" s="116">
        <v>0</v>
      </c>
      <c r="R1041" s="116">
        <v>0</v>
      </c>
      <c r="S1041" s="114">
        <v>0</v>
      </c>
      <c r="T1041" s="116">
        <v>0</v>
      </c>
      <c r="U1041" s="116">
        <v>0</v>
      </c>
      <c r="V1041" s="121">
        <f t="shared" si="54"/>
        <v>0</v>
      </c>
      <c r="W1041" s="111"/>
      <c r="X1041" s="111"/>
      <c r="Y1041" s="111"/>
      <c r="Z1041" s="111"/>
      <c r="AA1041" s="111"/>
      <c r="AB1041" s="111"/>
      <c r="AC1041" s="111"/>
      <c r="AD1041" s="111"/>
      <c r="AE1041" s="139">
        <f t="shared" si="53"/>
        <v>0</v>
      </c>
      <c r="AF1041" s="109"/>
      <c r="AG1041" s="109"/>
    </row>
    <row r="1042" spans="1:33">
      <c r="A1042" s="117"/>
      <c r="B1042" s="118"/>
      <c r="C1042" s="118"/>
      <c r="D1042" s="118"/>
      <c r="E1042" s="119"/>
      <c r="F1042" s="118"/>
      <c r="G1042" s="110"/>
      <c r="H1042" s="126"/>
      <c r="I1042" s="114">
        <v>0</v>
      </c>
      <c r="J1042" s="115">
        <v>0</v>
      </c>
      <c r="K1042" s="116">
        <v>0</v>
      </c>
      <c r="L1042" s="116">
        <v>0</v>
      </c>
      <c r="M1042" s="114">
        <v>0</v>
      </c>
      <c r="N1042" s="113">
        <v>0</v>
      </c>
      <c r="O1042" s="113">
        <v>0</v>
      </c>
      <c r="P1042" s="116">
        <v>0</v>
      </c>
      <c r="Q1042" s="116">
        <v>0</v>
      </c>
      <c r="R1042" s="116">
        <v>0</v>
      </c>
      <c r="S1042" s="114">
        <v>0</v>
      </c>
      <c r="T1042" s="116">
        <v>0</v>
      </c>
      <c r="U1042" s="116">
        <v>0</v>
      </c>
      <c r="V1042" s="121">
        <f t="shared" si="54"/>
        <v>0</v>
      </c>
      <c r="W1042" s="111"/>
      <c r="X1042" s="111"/>
      <c r="Y1042" s="111"/>
      <c r="Z1042" s="111"/>
      <c r="AA1042" s="111"/>
      <c r="AB1042" s="111"/>
      <c r="AC1042" s="111"/>
      <c r="AD1042" s="111"/>
      <c r="AE1042" s="139">
        <f t="shared" si="53"/>
        <v>0</v>
      </c>
      <c r="AF1042" s="109"/>
      <c r="AG1042" s="109"/>
    </row>
    <row r="1043" spans="1:33">
      <c r="A1043" s="117"/>
      <c r="B1043" s="118"/>
      <c r="C1043" s="118"/>
      <c r="D1043" s="118"/>
      <c r="E1043" s="119"/>
      <c r="F1043" s="118"/>
      <c r="G1043" s="110"/>
      <c r="H1043" s="126"/>
      <c r="I1043" s="114">
        <v>0</v>
      </c>
      <c r="J1043" s="115">
        <v>0</v>
      </c>
      <c r="K1043" s="116">
        <v>0</v>
      </c>
      <c r="L1043" s="116">
        <v>0</v>
      </c>
      <c r="M1043" s="114">
        <v>0</v>
      </c>
      <c r="N1043" s="113">
        <v>0</v>
      </c>
      <c r="O1043" s="113">
        <v>0</v>
      </c>
      <c r="P1043" s="116">
        <v>0</v>
      </c>
      <c r="Q1043" s="116">
        <v>0</v>
      </c>
      <c r="R1043" s="116">
        <v>0</v>
      </c>
      <c r="S1043" s="114">
        <v>0</v>
      </c>
      <c r="T1043" s="116">
        <v>0</v>
      </c>
      <c r="U1043" s="116">
        <v>0</v>
      </c>
      <c r="V1043" s="121">
        <f t="shared" si="54"/>
        <v>0</v>
      </c>
      <c r="W1043" s="111"/>
      <c r="X1043" s="111"/>
      <c r="Y1043" s="111"/>
      <c r="Z1043" s="111"/>
      <c r="AA1043" s="111"/>
      <c r="AB1043" s="111"/>
      <c r="AC1043" s="111"/>
      <c r="AD1043" s="111"/>
      <c r="AE1043" s="139">
        <f t="shared" si="53"/>
        <v>0</v>
      </c>
      <c r="AF1043" s="109"/>
      <c r="AG1043" s="109"/>
    </row>
    <row r="1044" spans="1:33">
      <c r="A1044" s="117"/>
      <c r="B1044" s="118"/>
      <c r="C1044" s="118"/>
      <c r="D1044" s="118"/>
      <c r="E1044" s="119"/>
      <c r="F1044" s="118"/>
      <c r="G1044" s="110"/>
      <c r="H1044" s="126"/>
      <c r="I1044" s="114">
        <v>0</v>
      </c>
      <c r="J1044" s="115">
        <v>0</v>
      </c>
      <c r="K1044" s="116">
        <v>0</v>
      </c>
      <c r="L1044" s="116">
        <v>0</v>
      </c>
      <c r="M1044" s="114">
        <v>0</v>
      </c>
      <c r="N1044" s="113">
        <v>0</v>
      </c>
      <c r="O1044" s="113">
        <v>0</v>
      </c>
      <c r="P1044" s="116">
        <v>0</v>
      </c>
      <c r="Q1044" s="116">
        <v>0</v>
      </c>
      <c r="R1044" s="116">
        <v>0</v>
      </c>
      <c r="S1044" s="114">
        <v>0</v>
      </c>
      <c r="T1044" s="116">
        <v>0</v>
      </c>
      <c r="U1044" s="116">
        <v>0</v>
      </c>
      <c r="V1044" s="121">
        <f t="shared" si="54"/>
        <v>0</v>
      </c>
      <c r="W1044" s="111"/>
      <c r="X1044" s="111"/>
      <c r="Y1044" s="111"/>
      <c r="Z1044" s="111"/>
      <c r="AA1044" s="111"/>
      <c r="AB1044" s="111"/>
      <c r="AC1044" s="111"/>
      <c r="AD1044" s="111"/>
      <c r="AE1044" s="139">
        <f t="shared" si="53"/>
        <v>0</v>
      </c>
      <c r="AF1044" s="109"/>
      <c r="AG1044" s="109"/>
    </row>
    <row r="1045" spans="1:33">
      <c r="A1045" s="117"/>
      <c r="B1045" s="118"/>
      <c r="C1045" s="118"/>
      <c r="D1045" s="118"/>
      <c r="E1045" s="119"/>
      <c r="F1045" s="118"/>
      <c r="G1045" s="110"/>
      <c r="H1045" s="126"/>
      <c r="I1045" s="114">
        <v>0</v>
      </c>
      <c r="J1045" s="115">
        <v>0</v>
      </c>
      <c r="K1045" s="116">
        <v>0</v>
      </c>
      <c r="L1045" s="116">
        <v>0</v>
      </c>
      <c r="M1045" s="114">
        <v>0</v>
      </c>
      <c r="N1045" s="113">
        <v>0</v>
      </c>
      <c r="O1045" s="113">
        <v>0</v>
      </c>
      <c r="P1045" s="116">
        <v>0</v>
      </c>
      <c r="Q1045" s="116">
        <v>0</v>
      </c>
      <c r="R1045" s="116">
        <v>0</v>
      </c>
      <c r="S1045" s="114">
        <v>0</v>
      </c>
      <c r="T1045" s="116">
        <v>0</v>
      </c>
      <c r="U1045" s="116">
        <v>0</v>
      </c>
      <c r="V1045" s="121">
        <f t="shared" si="54"/>
        <v>0</v>
      </c>
      <c r="W1045" s="111"/>
      <c r="X1045" s="111"/>
      <c r="Y1045" s="111"/>
      <c r="Z1045" s="111"/>
      <c r="AA1045" s="111"/>
      <c r="AB1045" s="111"/>
      <c r="AC1045" s="111"/>
      <c r="AD1045" s="111"/>
      <c r="AE1045" s="139">
        <f t="shared" si="53"/>
        <v>0</v>
      </c>
      <c r="AF1045" s="109"/>
      <c r="AG1045" s="109"/>
    </row>
    <row r="1046" spans="1:33">
      <c r="A1046" s="117"/>
      <c r="B1046" s="118"/>
      <c r="C1046" s="118"/>
      <c r="D1046" s="118"/>
      <c r="E1046" s="119"/>
      <c r="F1046" s="118"/>
      <c r="G1046" s="110"/>
      <c r="H1046" s="126"/>
      <c r="I1046" s="114">
        <v>0</v>
      </c>
      <c r="J1046" s="115">
        <v>0</v>
      </c>
      <c r="K1046" s="116">
        <v>0</v>
      </c>
      <c r="L1046" s="116">
        <v>0</v>
      </c>
      <c r="M1046" s="114">
        <v>0</v>
      </c>
      <c r="N1046" s="113">
        <v>0</v>
      </c>
      <c r="O1046" s="113">
        <v>0</v>
      </c>
      <c r="P1046" s="116">
        <v>0</v>
      </c>
      <c r="Q1046" s="116">
        <v>0</v>
      </c>
      <c r="R1046" s="116">
        <v>0</v>
      </c>
      <c r="S1046" s="114">
        <v>0</v>
      </c>
      <c r="T1046" s="116">
        <v>0</v>
      </c>
      <c r="U1046" s="116">
        <v>0</v>
      </c>
      <c r="V1046" s="121">
        <f t="shared" si="54"/>
        <v>0</v>
      </c>
      <c r="W1046" s="111"/>
      <c r="X1046" s="111"/>
      <c r="Y1046" s="111"/>
      <c r="Z1046" s="111"/>
      <c r="AA1046" s="111"/>
      <c r="AB1046" s="111"/>
      <c r="AC1046" s="111"/>
      <c r="AD1046" s="111"/>
      <c r="AE1046" s="139">
        <f t="shared" si="53"/>
        <v>0</v>
      </c>
      <c r="AF1046" s="109"/>
      <c r="AG1046" s="109"/>
    </row>
    <row r="1047" spans="1:33">
      <c r="A1047" s="117"/>
      <c r="B1047" s="118"/>
      <c r="C1047" s="118"/>
      <c r="D1047" s="118"/>
      <c r="E1047" s="119"/>
      <c r="F1047" s="118"/>
      <c r="G1047" s="110"/>
      <c r="H1047" s="126"/>
      <c r="I1047" s="114">
        <v>0</v>
      </c>
      <c r="J1047" s="115">
        <v>0</v>
      </c>
      <c r="K1047" s="116">
        <v>0</v>
      </c>
      <c r="L1047" s="116">
        <v>0</v>
      </c>
      <c r="M1047" s="114">
        <v>0</v>
      </c>
      <c r="N1047" s="113">
        <v>0</v>
      </c>
      <c r="O1047" s="113">
        <v>0</v>
      </c>
      <c r="P1047" s="116">
        <v>0</v>
      </c>
      <c r="Q1047" s="116">
        <v>0</v>
      </c>
      <c r="R1047" s="116">
        <v>0</v>
      </c>
      <c r="S1047" s="114">
        <v>0</v>
      </c>
      <c r="T1047" s="116">
        <v>0</v>
      </c>
      <c r="U1047" s="116">
        <v>0</v>
      </c>
      <c r="V1047" s="121">
        <f t="shared" si="54"/>
        <v>0</v>
      </c>
      <c r="W1047" s="111"/>
      <c r="X1047" s="111"/>
      <c r="Y1047" s="111"/>
      <c r="Z1047" s="111"/>
      <c r="AA1047" s="111"/>
      <c r="AB1047" s="111"/>
      <c r="AC1047" s="111"/>
      <c r="AD1047" s="111"/>
      <c r="AE1047" s="139">
        <f t="shared" si="53"/>
        <v>0</v>
      </c>
      <c r="AF1047" s="109"/>
      <c r="AG1047" s="109"/>
    </row>
    <row r="1048" spans="1:33">
      <c r="A1048" s="117"/>
      <c r="B1048" s="118"/>
      <c r="C1048" s="118"/>
      <c r="D1048" s="118"/>
      <c r="E1048" s="119"/>
      <c r="F1048" s="118"/>
      <c r="G1048" s="110"/>
      <c r="H1048" s="126"/>
      <c r="I1048" s="114">
        <v>0</v>
      </c>
      <c r="J1048" s="115">
        <v>0</v>
      </c>
      <c r="K1048" s="116">
        <v>0</v>
      </c>
      <c r="L1048" s="116">
        <v>0</v>
      </c>
      <c r="M1048" s="114">
        <v>0</v>
      </c>
      <c r="N1048" s="113">
        <v>0</v>
      </c>
      <c r="O1048" s="113">
        <v>0</v>
      </c>
      <c r="P1048" s="116">
        <v>0</v>
      </c>
      <c r="Q1048" s="116">
        <v>0</v>
      </c>
      <c r="R1048" s="116">
        <v>0</v>
      </c>
      <c r="S1048" s="114">
        <v>0</v>
      </c>
      <c r="T1048" s="116">
        <v>0</v>
      </c>
      <c r="U1048" s="116">
        <v>0</v>
      </c>
      <c r="V1048" s="121">
        <f t="shared" si="54"/>
        <v>0</v>
      </c>
      <c r="W1048" s="111"/>
      <c r="X1048" s="111"/>
      <c r="Y1048" s="111"/>
      <c r="Z1048" s="111"/>
      <c r="AA1048" s="111"/>
      <c r="AB1048" s="111"/>
      <c r="AC1048" s="111"/>
      <c r="AD1048" s="111"/>
      <c r="AE1048" s="139">
        <f t="shared" si="53"/>
        <v>0</v>
      </c>
      <c r="AF1048" s="109"/>
      <c r="AG1048" s="109"/>
    </row>
    <row r="1049" spans="1:33">
      <c r="A1049" s="117"/>
      <c r="B1049" s="118"/>
      <c r="C1049" s="118"/>
      <c r="D1049" s="118"/>
      <c r="E1049" s="119"/>
      <c r="F1049" s="118"/>
      <c r="G1049" s="110"/>
      <c r="H1049" s="126"/>
      <c r="I1049" s="114">
        <v>0</v>
      </c>
      <c r="J1049" s="115">
        <v>0</v>
      </c>
      <c r="K1049" s="116">
        <v>0</v>
      </c>
      <c r="L1049" s="116">
        <v>0</v>
      </c>
      <c r="M1049" s="114">
        <v>0</v>
      </c>
      <c r="N1049" s="113">
        <v>0</v>
      </c>
      <c r="O1049" s="113">
        <v>0</v>
      </c>
      <c r="P1049" s="116">
        <v>0</v>
      </c>
      <c r="Q1049" s="116">
        <v>0</v>
      </c>
      <c r="R1049" s="116">
        <v>0</v>
      </c>
      <c r="S1049" s="114">
        <v>0</v>
      </c>
      <c r="T1049" s="116">
        <v>0</v>
      </c>
      <c r="U1049" s="116">
        <v>0</v>
      </c>
      <c r="V1049" s="121">
        <f t="shared" si="54"/>
        <v>0</v>
      </c>
      <c r="W1049" s="111"/>
      <c r="X1049" s="111"/>
      <c r="Y1049" s="111"/>
      <c r="Z1049" s="111"/>
      <c r="AA1049" s="111"/>
      <c r="AB1049" s="111"/>
      <c r="AC1049" s="111"/>
      <c r="AD1049" s="111"/>
      <c r="AE1049" s="139">
        <f t="shared" si="53"/>
        <v>0</v>
      </c>
      <c r="AF1049" s="109"/>
      <c r="AG1049" s="109"/>
    </row>
    <row r="1050" spans="1:33">
      <c r="A1050" s="117"/>
      <c r="B1050" s="118"/>
      <c r="C1050" s="118"/>
      <c r="D1050" s="118"/>
      <c r="E1050" s="119"/>
      <c r="F1050" s="118"/>
      <c r="G1050" s="110"/>
      <c r="H1050" s="126"/>
      <c r="I1050" s="114">
        <v>0</v>
      </c>
      <c r="J1050" s="115">
        <v>0</v>
      </c>
      <c r="K1050" s="116">
        <v>0</v>
      </c>
      <c r="L1050" s="116">
        <v>0</v>
      </c>
      <c r="M1050" s="114">
        <v>0</v>
      </c>
      <c r="N1050" s="113">
        <v>0</v>
      </c>
      <c r="O1050" s="113">
        <v>0</v>
      </c>
      <c r="P1050" s="116">
        <v>0</v>
      </c>
      <c r="Q1050" s="116">
        <v>0</v>
      </c>
      <c r="R1050" s="116">
        <v>0</v>
      </c>
      <c r="S1050" s="114">
        <v>0</v>
      </c>
      <c r="T1050" s="116">
        <v>0</v>
      </c>
      <c r="U1050" s="116">
        <v>0</v>
      </c>
      <c r="V1050" s="121">
        <f t="shared" si="54"/>
        <v>0</v>
      </c>
      <c r="W1050" s="111"/>
      <c r="X1050" s="111"/>
      <c r="Y1050" s="111"/>
      <c r="Z1050" s="111"/>
      <c r="AA1050" s="111"/>
      <c r="AB1050" s="111"/>
      <c r="AC1050" s="111"/>
      <c r="AD1050" s="111"/>
      <c r="AE1050" s="139">
        <f t="shared" si="53"/>
        <v>0</v>
      </c>
      <c r="AF1050" s="109"/>
      <c r="AG1050" s="109"/>
    </row>
    <row r="1051" spans="1:33">
      <c r="A1051" s="117"/>
      <c r="B1051" s="118"/>
      <c r="C1051" s="118"/>
      <c r="D1051" s="118"/>
      <c r="E1051" s="119"/>
      <c r="F1051" s="118"/>
      <c r="G1051" s="110"/>
      <c r="H1051" s="126"/>
      <c r="I1051" s="114">
        <v>0</v>
      </c>
      <c r="J1051" s="115">
        <v>0</v>
      </c>
      <c r="K1051" s="116">
        <v>0</v>
      </c>
      <c r="L1051" s="116">
        <v>0</v>
      </c>
      <c r="M1051" s="114">
        <v>0</v>
      </c>
      <c r="N1051" s="113">
        <v>0</v>
      </c>
      <c r="O1051" s="113">
        <v>0</v>
      </c>
      <c r="P1051" s="116">
        <v>0</v>
      </c>
      <c r="Q1051" s="116">
        <v>0</v>
      </c>
      <c r="R1051" s="116">
        <v>0</v>
      </c>
      <c r="S1051" s="114">
        <v>0</v>
      </c>
      <c r="T1051" s="116">
        <v>0</v>
      </c>
      <c r="U1051" s="116">
        <v>0</v>
      </c>
      <c r="V1051" s="121">
        <f t="shared" si="54"/>
        <v>0</v>
      </c>
      <c r="W1051" s="111"/>
      <c r="X1051" s="111"/>
      <c r="Y1051" s="111"/>
      <c r="Z1051" s="111"/>
      <c r="AA1051" s="111"/>
      <c r="AB1051" s="111"/>
      <c r="AC1051" s="111"/>
      <c r="AD1051" s="111"/>
      <c r="AE1051" s="139">
        <f t="shared" si="53"/>
        <v>0</v>
      </c>
      <c r="AF1051" s="109"/>
      <c r="AG1051" s="109"/>
    </row>
    <row r="1052" spans="1:33">
      <c r="A1052" s="117"/>
      <c r="B1052" s="118"/>
      <c r="C1052" s="118"/>
      <c r="D1052" s="118"/>
      <c r="E1052" s="119"/>
      <c r="F1052" s="118"/>
      <c r="G1052" s="110"/>
      <c r="H1052" s="126"/>
      <c r="I1052" s="114">
        <v>0</v>
      </c>
      <c r="J1052" s="115">
        <v>0</v>
      </c>
      <c r="K1052" s="116">
        <v>0</v>
      </c>
      <c r="L1052" s="116">
        <v>0</v>
      </c>
      <c r="M1052" s="114">
        <v>0</v>
      </c>
      <c r="N1052" s="113">
        <v>0</v>
      </c>
      <c r="O1052" s="113">
        <v>0</v>
      </c>
      <c r="P1052" s="116">
        <v>0</v>
      </c>
      <c r="Q1052" s="116">
        <v>0</v>
      </c>
      <c r="R1052" s="116">
        <v>0</v>
      </c>
      <c r="S1052" s="114">
        <v>0</v>
      </c>
      <c r="T1052" s="116">
        <v>0</v>
      </c>
      <c r="U1052" s="116">
        <v>0</v>
      </c>
      <c r="V1052" s="121">
        <f t="shared" si="54"/>
        <v>0</v>
      </c>
      <c r="W1052" s="111"/>
      <c r="X1052" s="111"/>
      <c r="Y1052" s="111"/>
      <c r="Z1052" s="111"/>
      <c r="AA1052" s="111"/>
      <c r="AB1052" s="111"/>
      <c r="AC1052" s="111"/>
      <c r="AD1052" s="111"/>
      <c r="AE1052" s="139">
        <f t="shared" si="53"/>
        <v>0</v>
      </c>
      <c r="AF1052" s="109"/>
      <c r="AG1052" s="109"/>
    </row>
    <row r="1053" spans="1:33">
      <c r="A1053" s="117"/>
      <c r="B1053" s="118"/>
      <c r="C1053" s="118"/>
      <c r="D1053" s="118"/>
      <c r="E1053" s="119"/>
      <c r="F1053" s="118"/>
      <c r="G1053" s="110"/>
      <c r="H1053" s="126"/>
      <c r="I1053" s="114">
        <v>0</v>
      </c>
      <c r="J1053" s="115">
        <v>0</v>
      </c>
      <c r="K1053" s="116">
        <v>0</v>
      </c>
      <c r="L1053" s="116">
        <v>0</v>
      </c>
      <c r="M1053" s="114">
        <v>0</v>
      </c>
      <c r="N1053" s="113">
        <v>0</v>
      </c>
      <c r="O1053" s="113">
        <v>0</v>
      </c>
      <c r="P1053" s="116">
        <v>0</v>
      </c>
      <c r="Q1053" s="116">
        <v>0</v>
      </c>
      <c r="R1053" s="116">
        <v>0</v>
      </c>
      <c r="S1053" s="114">
        <v>0</v>
      </c>
      <c r="T1053" s="116">
        <v>0</v>
      </c>
      <c r="U1053" s="116">
        <v>0</v>
      </c>
      <c r="V1053" s="121">
        <f t="shared" si="54"/>
        <v>0</v>
      </c>
      <c r="W1053" s="111"/>
      <c r="X1053" s="111"/>
      <c r="Y1053" s="111"/>
      <c r="Z1053" s="111"/>
      <c r="AA1053" s="111"/>
      <c r="AB1053" s="111"/>
      <c r="AC1053" s="111"/>
      <c r="AD1053" s="111"/>
      <c r="AE1053" s="139">
        <f t="shared" si="53"/>
        <v>0</v>
      </c>
      <c r="AF1053" s="109"/>
      <c r="AG1053" s="109"/>
    </row>
    <row r="1054" spans="1:33">
      <c r="A1054" s="117"/>
      <c r="B1054" s="118"/>
      <c r="C1054" s="118"/>
      <c r="D1054" s="118"/>
      <c r="E1054" s="119"/>
      <c r="F1054" s="118"/>
      <c r="G1054" s="110"/>
      <c r="H1054" s="126"/>
      <c r="I1054" s="114">
        <v>0</v>
      </c>
      <c r="J1054" s="115">
        <v>0</v>
      </c>
      <c r="K1054" s="116">
        <v>0</v>
      </c>
      <c r="L1054" s="116">
        <v>0</v>
      </c>
      <c r="M1054" s="114">
        <v>0</v>
      </c>
      <c r="N1054" s="113">
        <v>0</v>
      </c>
      <c r="O1054" s="113">
        <v>0</v>
      </c>
      <c r="P1054" s="116">
        <v>0</v>
      </c>
      <c r="Q1054" s="116">
        <v>0</v>
      </c>
      <c r="R1054" s="116">
        <v>0</v>
      </c>
      <c r="S1054" s="114">
        <v>0</v>
      </c>
      <c r="T1054" s="116">
        <v>0</v>
      </c>
      <c r="U1054" s="116">
        <v>0</v>
      </c>
      <c r="V1054" s="121">
        <f t="shared" si="54"/>
        <v>0</v>
      </c>
      <c r="W1054" s="111"/>
      <c r="X1054" s="111"/>
      <c r="Y1054" s="111"/>
      <c r="Z1054" s="111"/>
      <c r="AA1054" s="111"/>
      <c r="AB1054" s="111"/>
      <c r="AC1054" s="111"/>
      <c r="AD1054" s="111"/>
      <c r="AE1054" s="139">
        <f t="shared" si="53"/>
        <v>0</v>
      </c>
      <c r="AF1054" s="109"/>
      <c r="AG1054" s="109"/>
    </row>
    <row r="1055" spans="1:33">
      <c r="A1055" s="117"/>
      <c r="B1055" s="118"/>
      <c r="C1055" s="118"/>
      <c r="D1055" s="118"/>
      <c r="E1055" s="119"/>
      <c r="F1055" s="118"/>
      <c r="G1055" s="110"/>
      <c r="H1055" s="126"/>
      <c r="I1055" s="114">
        <v>0</v>
      </c>
      <c r="J1055" s="115">
        <v>0</v>
      </c>
      <c r="K1055" s="116">
        <v>0</v>
      </c>
      <c r="L1055" s="116">
        <v>0</v>
      </c>
      <c r="M1055" s="114">
        <v>0</v>
      </c>
      <c r="N1055" s="113">
        <v>0</v>
      </c>
      <c r="O1055" s="113">
        <v>0</v>
      </c>
      <c r="P1055" s="116">
        <v>0</v>
      </c>
      <c r="Q1055" s="116">
        <v>0</v>
      </c>
      <c r="R1055" s="116">
        <v>0</v>
      </c>
      <c r="S1055" s="114">
        <v>0</v>
      </c>
      <c r="T1055" s="116">
        <v>0</v>
      </c>
      <c r="U1055" s="116">
        <v>0</v>
      </c>
      <c r="V1055" s="121">
        <f t="shared" si="54"/>
        <v>0</v>
      </c>
      <c r="W1055" s="111"/>
      <c r="X1055" s="111"/>
      <c r="Y1055" s="111"/>
      <c r="Z1055" s="111"/>
      <c r="AA1055" s="111"/>
      <c r="AB1055" s="111"/>
      <c r="AC1055" s="111"/>
      <c r="AD1055" s="111"/>
      <c r="AE1055" s="139">
        <f t="shared" si="53"/>
        <v>0</v>
      </c>
      <c r="AF1055" s="109"/>
      <c r="AG1055" s="109"/>
    </row>
    <row r="1056" spans="1:33">
      <c r="A1056" s="117"/>
      <c r="B1056" s="118"/>
      <c r="C1056" s="118"/>
      <c r="D1056" s="118"/>
      <c r="E1056" s="119"/>
      <c r="F1056" s="118"/>
      <c r="G1056" s="110"/>
      <c r="H1056" s="126"/>
      <c r="I1056" s="114">
        <v>0</v>
      </c>
      <c r="J1056" s="115">
        <v>0</v>
      </c>
      <c r="K1056" s="116">
        <v>0</v>
      </c>
      <c r="L1056" s="116">
        <v>0</v>
      </c>
      <c r="M1056" s="114">
        <v>0</v>
      </c>
      <c r="N1056" s="113">
        <v>0</v>
      </c>
      <c r="O1056" s="113">
        <v>0</v>
      </c>
      <c r="P1056" s="116">
        <v>0</v>
      </c>
      <c r="Q1056" s="116">
        <v>0</v>
      </c>
      <c r="R1056" s="116">
        <v>0</v>
      </c>
      <c r="S1056" s="114">
        <v>0</v>
      </c>
      <c r="T1056" s="116">
        <v>0</v>
      </c>
      <c r="U1056" s="116">
        <v>0</v>
      </c>
      <c r="V1056" s="121">
        <f t="shared" si="54"/>
        <v>0</v>
      </c>
      <c r="W1056" s="111"/>
      <c r="X1056" s="111"/>
      <c r="Y1056" s="111"/>
      <c r="Z1056" s="111"/>
      <c r="AA1056" s="111"/>
      <c r="AB1056" s="111"/>
      <c r="AC1056" s="111"/>
      <c r="AD1056" s="111"/>
      <c r="AE1056" s="139">
        <f t="shared" si="53"/>
        <v>0</v>
      </c>
      <c r="AF1056" s="109"/>
      <c r="AG1056" s="109"/>
    </row>
    <row r="1057" spans="1:33">
      <c r="A1057" s="117"/>
      <c r="B1057" s="118"/>
      <c r="C1057" s="118"/>
      <c r="D1057" s="118"/>
      <c r="E1057" s="119"/>
      <c r="F1057" s="118"/>
      <c r="G1057" s="110"/>
      <c r="H1057" s="126"/>
      <c r="I1057" s="114">
        <v>0</v>
      </c>
      <c r="J1057" s="115">
        <v>0</v>
      </c>
      <c r="K1057" s="116">
        <v>0</v>
      </c>
      <c r="L1057" s="116">
        <v>0</v>
      </c>
      <c r="M1057" s="114">
        <v>0</v>
      </c>
      <c r="N1057" s="113">
        <v>0</v>
      </c>
      <c r="O1057" s="113">
        <v>0</v>
      </c>
      <c r="P1057" s="116">
        <v>0</v>
      </c>
      <c r="Q1057" s="116">
        <v>0</v>
      </c>
      <c r="R1057" s="116">
        <v>0</v>
      </c>
      <c r="S1057" s="114">
        <v>0</v>
      </c>
      <c r="T1057" s="116">
        <v>0</v>
      </c>
      <c r="U1057" s="116">
        <v>0</v>
      </c>
      <c r="V1057" s="121">
        <f t="shared" si="54"/>
        <v>0</v>
      </c>
      <c r="W1057" s="111"/>
      <c r="X1057" s="111"/>
      <c r="Y1057" s="111"/>
      <c r="Z1057" s="111"/>
      <c r="AA1057" s="111"/>
      <c r="AB1057" s="111"/>
      <c r="AC1057" s="111"/>
      <c r="AD1057" s="111"/>
      <c r="AE1057" s="139">
        <f t="shared" si="53"/>
        <v>0</v>
      </c>
      <c r="AF1057" s="109"/>
      <c r="AG1057" s="109"/>
    </row>
    <row r="1058" spans="1:33">
      <c r="A1058" s="117"/>
      <c r="B1058" s="118"/>
      <c r="C1058" s="118"/>
      <c r="D1058" s="118"/>
      <c r="E1058" s="119"/>
      <c r="F1058" s="118"/>
      <c r="G1058" s="110"/>
      <c r="H1058" s="126"/>
      <c r="I1058" s="114">
        <v>0</v>
      </c>
      <c r="J1058" s="115">
        <v>0</v>
      </c>
      <c r="K1058" s="116">
        <v>0</v>
      </c>
      <c r="L1058" s="116">
        <v>0</v>
      </c>
      <c r="M1058" s="114">
        <v>0</v>
      </c>
      <c r="N1058" s="113">
        <v>0</v>
      </c>
      <c r="O1058" s="113">
        <v>0</v>
      </c>
      <c r="P1058" s="116">
        <v>0</v>
      </c>
      <c r="Q1058" s="116">
        <v>0</v>
      </c>
      <c r="R1058" s="116">
        <v>0</v>
      </c>
      <c r="S1058" s="114">
        <v>0</v>
      </c>
      <c r="T1058" s="116">
        <v>0</v>
      </c>
      <c r="U1058" s="116">
        <v>0</v>
      </c>
      <c r="V1058" s="121">
        <f t="shared" si="54"/>
        <v>0</v>
      </c>
      <c r="W1058" s="111"/>
      <c r="X1058" s="111"/>
      <c r="Y1058" s="111"/>
      <c r="Z1058" s="111"/>
      <c r="AA1058" s="111"/>
      <c r="AB1058" s="111"/>
      <c r="AC1058" s="111"/>
      <c r="AD1058" s="111"/>
      <c r="AE1058" s="139">
        <f t="shared" si="53"/>
        <v>0</v>
      </c>
      <c r="AF1058" s="109"/>
      <c r="AG1058" s="109"/>
    </row>
    <row r="1059" spans="1:33">
      <c r="A1059" s="117"/>
      <c r="B1059" s="118"/>
      <c r="C1059" s="118"/>
      <c r="D1059" s="118"/>
      <c r="E1059" s="119"/>
      <c r="F1059" s="118"/>
      <c r="G1059" s="110"/>
      <c r="H1059" s="126"/>
      <c r="I1059" s="114">
        <v>0</v>
      </c>
      <c r="J1059" s="115">
        <v>0</v>
      </c>
      <c r="K1059" s="116">
        <v>0</v>
      </c>
      <c r="L1059" s="116">
        <v>0</v>
      </c>
      <c r="M1059" s="114">
        <v>0</v>
      </c>
      <c r="N1059" s="113">
        <v>0</v>
      </c>
      <c r="O1059" s="113">
        <v>0</v>
      </c>
      <c r="P1059" s="116">
        <v>0</v>
      </c>
      <c r="Q1059" s="116">
        <v>0</v>
      </c>
      <c r="R1059" s="116">
        <v>0</v>
      </c>
      <c r="S1059" s="114">
        <v>0</v>
      </c>
      <c r="T1059" s="116">
        <v>0</v>
      </c>
      <c r="U1059" s="116">
        <v>0</v>
      </c>
      <c r="V1059" s="121">
        <f t="shared" si="54"/>
        <v>0</v>
      </c>
      <c r="W1059" s="111"/>
      <c r="X1059" s="111"/>
      <c r="Y1059" s="111"/>
      <c r="Z1059" s="111"/>
      <c r="AA1059" s="111"/>
      <c r="AB1059" s="111"/>
      <c r="AC1059" s="111"/>
      <c r="AD1059" s="111"/>
      <c r="AE1059" s="139">
        <f t="shared" si="53"/>
        <v>0</v>
      </c>
      <c r="AF1059" s="109"/>
      <c r="AG1059" s="109"/>
    </row>
    <row r="1060" spans="1:33">
      <c r="A1060" s="117"/>
      <c r="B1060" s="118"/>
      <c r="C1060" s="118"/>
      <c r="D1060" s="118"/>
      <c r="E1060" s="119"/>
      <c r="F1060" s="118"/>
      <c r="G1060" s="110"/>
      <c r="H1060" s="126"/>
      <c r="I1060" s="114">
        <v>0</v>
      </c>
      <c r="J1060" s="115">
        <v>0</v>
      </c>
      <c r="K1060" s="116">
        <v>0</v>
      </c>
      <c r="L1060" s="116">
        <v>0</v>
      </c>
      <c r="M1060" s="114">
        <v>0</v>
      </c>
      <c r="N1060" s="113">
        <v>0</v>
      </c>
      <c r="O1060" s="113">
        <v>0</v>
      </c>
      <c r="P1060" s="116">
        <v>0</v>
      </c>
      <c r="Q1060" s="116">
        <v>0</v>
      </c>
      <c r="R1060" s="116">
        <v>0</v>
      </c>
      <c r="S1060" s="114">
        <v>0</v>
      </c>
      <c r="T1060" s="116">
        <v>0</v>
      </c>
      <c r="U1060" s="116">
        <v>0</v>
      </c>
      <c r="V1060" s="121">
        <f t="shared" si="54"/>
        <v>0</v>
      </c>
      <c r="W1060" s="111"/>
      <c r="X1060" s="111"/>
      <c r="Y1060" s="111"/>
      <c r="Z1060" s="111"/>
      <c r="AA1060" s="111"/>
      <c r="AB1060" s="111"/>
      <c r="AC1060" s="111"/>
      <c r="AD1060" s="111"/>
      <c r="AE1060" s="139">
        <f t="shared" si="53"/>
        <v>0</v>
      </c>
      <c r="AF1060" s="109"/>
      <c r="AG1060" s="109"/>
    </row>
    <row r="1061" spans="1:33">
      <c r="A1061" s="117"/>
      <c r="B1061" s="118"/>
      <c r="C1061" s="118"/>
      <c r="D1061" s="118"/>
      <c r="E1061" s="119"/>
      <c r="F1061" s="118"/>
      <c r="G1061" s="110"/>
      <c r="H1061" s="126"/>
      <c r="I1061" s="114">
        <v>0</v>
      </c>
      <c r="J1061" s="115">
        <v>0</v>
      </c>
      <c r="K1061" s="116">
        <v>0</v>
      </c>
      <c r="L1061" s="116">
        <v>0</v>
      </c>
      <c r="M1061" s="114">
        <v>0</v>
      </c>
      <c r="N1061" s="113">
        <v>0</v>
      </c>
      <c r="O1061" s="113">
        <v>0</v>
      </c>
      <c r="P1061" s="116">
        <v>0</v>
      </c>
      <c r="Q1061" s="116">
        <v>0</v>
      </c>
      <c r="R1061" s="116">
        <v>0</v>
      </c>
      <c r="S1061" s="114">
        <v>0</v>
      </c>
      <c r="T1061" s="116">
        <v>0</v>
      </c>
      <c r="U1061" s="116">
        <v>0</v>
      </c>
      <c r="V1061" s="121">
        <f t="shared" si="54"/>
        <v>0</v>
      </c>
      <c r="W1061" s="111"/>
      <c r="X1061" s="111"/>
      <c r="Y1061" s="111"/>
      <c r="Z1061" s="111"/>
      <c r="AA1061" s="111"/>
      <c r="AB1061" s="111"/>
      <c r="AC1061" s="111"/>
      <c r="AD1061" s="111"/>
      <c r="AE1061" s="139">
        <f t="shared" si="53"/>
        <v>0</v>
      </c>
      <c r="AF1061" s="109"/>
      <c r="AG1061" s="109"/>
    </row>
    <row r="1062" spans="1:33">
      <c r="A1062" s="117"/>
      <c r="B1062" s="118"/>
      <c r="C1062" s="118"/>
      <c r="D1062" s="118"/>
      <c r="E1062" s="119"/>
      <c r="F1062" s="118"/>
      <c r="G1062" s="110"/>
      <c r="H1062" s="126"/>
      <c r="I1062" s="114">
        <v>0</v>
      </c>
      <c r="J1062" s="115">
        <v>0</v>
      </c>
      <c r="K1062" s="116">
        <v>0</v>
      </c>
      <c r="L1062" s="116">
        <v>0</v>
      </c>
      <c r="M1062" s="114">
        <v>0</v>
      </c>
      <c r="N1062" s="113">
        <v>0</v>
      </c>
      <c r="O1062" s="113">
        <v>0</v>
      </c>
      <c r="P1062" s="116">
        <v>0</v>
      </c>
      <c r="Q1062" s="116">
        <v>0</v>
      </c>
      <c r="R1062" s="116">
        <v>0</v>
      </c>
      <c r="S1062" s="114">
        <v>0</v>
      </c>
      <c r="T1062" s="116">
        <v>0</v>
      </c>
      <c r="U1062" s="116">
        <v>0</v>
      </c>
      <c r="V1062" s="121">
        <f t="shared" si="54"/>
        <v>0</v>
      </c>
      <c r="W1062" s="111"/>
      <c r="X1062" s="111"/>
      <c r="Y1062" s="111"/>
      <c r="Z1062" s="111"/>
      <c r="AA1062" s="111"/>
      <c r="AB1062" s="111"/>
      <c r="AC1062" s="111"/>
      <c r="AD1062" s="111"/>
      <c r="AE1062" s="139">
        <f t="shared" si="53"/>
        <v>0</v>
      </c>
      <c r="AF1062" s="109"/>
      <c r="AG1062" s="109"/>
    </row>
    <row r="1063" spans="1:33">
      <c r="A1063" s="117"/>
      <c r="B1063" s="118"/>
      <c r="C1063" s="118"/>
      <c r="D1063" s="118"/>
      <c r="E1063" s="119"/>
      <c r="F1063" s="118"/>
      <c r="G1063" s="110"/>
      <c r="H1063" s="126"/>
      <c r="I1063" s="114">
        <v>0</v>
      </c>
      <c r="J1063" s="115">
        <v>0</v>
      </c>
      <c r="K1063" s="116">
        <v>0</v>
      </c>
      <c r="L1063" s="116">
        <v>0</v>
      </c>
      <c r="M1063" s="114">
        <v>0</v>
      </c>
      <c r="N1063" s="113">
        <v>0</v>
      </c>
      <c r="O1063" s="113">
        <v>0</v>
      </c>
      <c r="P1063" s="116">
        <v>0</v>
      </c>
      <c r="Q1063" s="116">
        <v>0</v>
      </c>
      <c r="R1063" s="116">
        <v>0</v>
      </c>
      <c r="S1063" s="114">
        <v>0</v>
      </c>
      <c r="T1063" s="116">
        <v>0</v>
      </c>
      <c r="U1063" s="116">
        <v>0</v>
      </c>
      <c r="V1063" s="121">
        <f t="shared" si="54"/>
        <v>0</v>
      </c>
      <c r="W1063" s="111"/>
      <c r="X1063" s="111"/>
      <c r="Y1063" s="111"/>
      <c r="Z1063" s="111"/>
      <c r="AA1063" s="111"/>
      <c r="AB1063" s="111"/>
      <c r="AC1063" s="111"/>
      <c r="AD1063" s="111"/>
      <c r="AE1063" s="139">
        <f t="shared" si="53"/>
        <v>0</v>
      </c>
      <c r="AF1063" s="109"/>
      <c r="AG1063" s="109"/>
    </row>
    <row r="1064" spans="1:33">
      <c r="A1064" s="117"/>
      <c r="B1064" s="118"/>
      <c r="C1064" s="118"/>
      <c r="D1064" s="118"/>
      <c r="E1064" s="119"/>
      <c r="F1064" s="118"/>
      <c r="G1064" s="110"/>
      <c r="H1064" s="126"/>
      <c r="I1064" s="114">
        <v>0</v>
      </c>
      <c r="J1064" s="115">
        <v>0</v>
      </c>
      <c r="K1064" s="116">
        <v>0</v>
      </c>
      <c r="L1064" s="116">
        <v>0</v>
      </c>
      <c r="M1064" s="114">
        <v>0</v>
      </c>
      <c r="N1064" s="113">
        <v>0</v>
      </c>
      <c r="O1064" s="113">
        <v>0</v>
      </c>
      <c r="P1064" s="116">
        <v>0</v>
      </c>
      <c r="Q1064" s="116">
        <v>0</v>
      </c>
      <c r="R1064" s="116">
        <v>0</v>
      </c>
      <c r="S1064" s="114">
        <v>0</v>
      </c>
      <c r="T1064" s="116">
        <v>0</v>
      </c>
      <c r="U1064" s="116">
        <v>0</v>
      </c>
      <c r="V1064" s="121">
        <f t="shared" si="54"/>
        <v>0</v>
      </c>
      <c r="W1064" s="111"/>
      <c r="X1064" s="111"/>
      <c r="Y1064" s="111"/>
      <c r="Z1064" s="111"/>
      <c r="AA1064" s="111"/>
      <c r="AB1064" s="111"/>
      <c r="AC1064" s="111"/>
      <c r="AD1064" s="111"/>
      <c r="AE1064" s="139">
        <f t="shared" si="53"/>
        <v>0</v>
      </c>
      <c r="AF1064" s="109"/>
      <c r="AG1064" s="109"/>
    </row>
    <row r="1065" spans="1:33">
      <c r="A1065" s="117"/>
      <c r="B1065" s="118"/>
      <c r="C1065" s="118"/>
      <c r="D1065" s="118"/>
      <c r="E1065" s="119"/>
      <c r="F1065" s="118"/>
      <c r="G1065" s="110"/>
      <c r="H1065" s="126"/>
      <c r="I1065" s="114">
        <v>0</v>
      </c>
      <c r="J1065" s="115">
        <v>0</v>
      </c>
      <c r="K1065" s="116">
        <v>0</v>
      </c>
      <c r="L1065" s="116">
        <v>0</v>
      </c>
      <c r="M1065" s="114">
        <v>0</v>
      </c>
      <c r="N1065" s="113">
        <v>0</v>
      </c>
      <c r="O1065" s="113">
        <v>0</v>
      </c>
      <c r="P1065" s="116">
        <v>0</v>
      </c>
      <c r="Q1065" s="116">
        <v>0</v>
      </c>
      <c r="R1065" s="116">
        <v>0</v>
      </c>
      <c r="S1065" s="114">
        <v>0</v>
      </c>
      <c r="T1065" s="116">
        <v>0</v>
      </c>
      <c r="U1065" s="116">
        <v>0</v>
      </c>
      <c r="V1065" s="121">
        <f t="shared" si="54"/>
        <v>0</v>
      </c>
      <c r="W1065" s="111"/>
      <c r="X1065" s="111"/>
      <c r="Y1065" s="111"/>
      <c r="Z1065" s="111"/>
      <c r="AA1065" s="111"/>
      <c r="AB1065" s="111"/>
      <c r="AC1065" s="111"/>
      <c r="AD1065" s="111"/>
      <c r="AE1065" s="139">
        <f t="shared" ref="AE1065:AE1128" si="55">V1065-(X1065+Y1065)</f>
        <v>0</v>
      </c>
      <c r="AF1065" s="109"/>
      <c r="AG1065" s="109"/>
    </row>
    <row r="1066" spans="1:33">
      <c r="A1066" s="117"/>
      <c r="B1066" s="118"/>
      <c r="C1066" s="118"/>
      <c r="D1066" s="118"/>
      <c r="E1066" s="119"/>
      <c r="F1066" s="118"/>
      <c r="G1066" s="110"/>
      <c r="H1066" s="126"/>
      <c r="I1066" s="114">
        <v>0</v>
      </c>
      <c r="J1066" s="115">
        <v>0</v>
      </c>
      <c r="K1066" s="116">
        <v>0</v>
      </c>
      <c r="L1066" s="116">
        <v>0</v>
      </c>
      <c r="M1066" s="114">
        <v>0</v>
      </c>
      <c r="N1066" s="113">
        <v>0</v>
      </c>
      <c r="O1066" s="113">
        <v>0</v>
      </c>
      <c r="P1066" s="116">
        <v>0</v>
      </c>
      <c r="Q1066" s="116">
        <v>0</v>
      </c>
      <c r="R1066" s="116">
        <v>0</v>
      </c>
      <c r="S1066" s="114">
        <v>0</v>
      </c>
      <c r="T1066" s="116">
        <v>0</v>
      </c>
      <c r="U1066" s="116">
        <v>0</v>
      </c>
      <c r="V1066" s="121">
        <f t="shared" si="54"/>
        <v>0</v>
      </c>
      <c r="W1066" s="111"/>
      <c r="X1066" s="111"/>
      <c r="Y1066" s="111"/>
      <c r="Z1066" s="111"/>
      <c r="AA1066" s="111"/>
      <c r="AB1066" s="111"/>
      <c r="AC1066" s="111"/>
      <c r="AD1066" s="111"/>
      <c r="AE1066" s="139">
        <f t="shared" si="55"/>
        <v>0</v>
      </c>
      <c r="AF1066" s="109"/>
      <c r="AG1066" s="109"/>
    </row>
    <row r="1067" spans="1:33">
      <c r="A1067" s="117"/>
      <c r="B1067" s="118"/>
      <c r="C1067" s="118"/>
      <c r="D1067" s="118"/>
      <c r="E1067" s="119"/>
      <c r="F1067" s="118"/>
      <c r="G1067" s="110"/>
      <c r="H1067" s="126"/>
      <c r="I1067" s="114">
        <v>0</v>
      </c>
      <c r="J1067" s="115">
        <v>0</v>
      </c>
      <c r="K1067" s="116">
        <v>0</v>
      </c>
      <c r="L1067" s="116">
        <v>0</v>
      </c>
      <c r="M1067" s="114">
        <v>0</v>
      </c>
      <c r="N1067" s="113">
        <v>0</v>
      </c>
      <c r="O1067" s="113">
        <v>0</v>
      </c>
      <c r="P1067" s="116">
        <v>0</v>
      </c>
      <c r="Q1067" s="116">
        <v>0</v>
      </c>
      <c r="R1067" s="116">
        <v>0</v>
      </c>
      <c r="S1067" s="114">
        <v>0</v>
      </c>
      <c r="T1067" s="116">
        <v>0</v>
      </c>
      <c r="U1067" s="116">
        <v>0</v>
      </c>
      <c r="V1067" s="121">
        <f t="shared" si="54"/>
        <v>0</v>
      </c>
      <c r="W1067" s="111"/>
      <c r="X1067" s="111"/>
      <c r="Y1067" s="111"/>
      <c r="Z1067" s="111"/>
      <c r="AA1067" s="111"/>
      <c r="AB1067" s="111"/>
      <c r="AC1067" s="111"/>
      <c r="AD1067" s="111"/>
      <c r="AE1067" s="139">
        <f t="shared" si="55"/>
        <v>0</v>
      </c>
      <c r="AF1067" s="109"/>
      <c r="AG1067" s="109"/>
    </row>
    <row r="1068" spans="1:33">
      <c r="A1068" s="117"/>
      <c r="B1068" s="118"/>
      <c r="C1068" s="118"/>
      <c r="D1068" s="118"/>
      <c r="E1068" s="119"/>
      <c r="F1068" s="118"/>
      <c r="G1068" s="110"/>
      <c r="H1068" s="126"/>
      <c r="I1068" s="114">
        <v>0</v>
      </c>
      <c r="J1068" s="115">
        <v>0</v>
      </c>
      <c r="K1068" s="116">
        <v>0</v>
      </c>
      <c r="L1068" s="116">
        <v>0</v>
      </c>
      <c r="M1068" s="114">
        <v>0</v>
      </c>
      <c r="N1068" s="113">
        <v>0</v>
      </c>
      <c r="O1068" s="113">
        <v>0</v>
      </c>
      <c r="P1068" s="116">
        <v>0</v>
      </c>
      <c r="Q1068" s="116">
        <v>0</v>
      </c>
      <c r="R1068" s="116">
        <v>0</v>
      </c>
      <c r="S1068" s="114">
        <v>0</v>
      </c>
      <c r="T1068" s="116">
        <v>0</v>
      </c>
      <c r="U1068" s="116">
        <v>0</v>
      </c>
      <c r="V1068" s="121">
        <f t="shared" si="54"/>
        <v>0</v>
      </c>
      <c r="W1068" s="111"/>
      <c r="X1068" s="111"/>
      <c r="Y1068" s="111"/>
      <c r="Z1068" s="111"/>
      <c r="AA1068" s="111"/>
      <c r="AB1068" s="111"/>
      <c r="AC1068" s="111"/>
      <c r="AD1068" s="111"/>
      <c r="AE1068" s="139">
        <f t="shared" si="55"/>
        <v>0</v>
      </c>
      <c r="AF1068" s="109"/>
      <c r="AG1068" s="109"/>
    </row>
    <row r="1069" spans="1:33">
      <c r="A1069" s="117"/>
      <c r="B1069" s="118"/>
      <c r="C1069" s="118"/>
      <c r="D1069" s="118"/>
      <c r="E1069" s="119"/>
      <c r="F1069" s="118"/>
      <c r="G1069" s="110"/>
      <c r="H1069" s="126"/>
      <c r="I1069" s="114">
        <v>0</v>
      </c>
      <c r="J1069" s="115">
        <v>0</v>
      </c>
      <c r="K1069" s="116">
        <v>0</v>
      </c>
      <c r="L1069" s="116">
        <v>0</v>
      </c>
      <c r="M1069" s="114">
        <v>0</v>
      </c>
      <c r="N1069" s="113">
        <v>0</v>
      </c>
      <c r="O1069" s="113">
        <v>0</v>
      </c>
      <c r="P1069" s="116">
        <v>0</v>
      </c>
      <c r="Q1069" s="116">
        <v>0</v>
      </c>
      <c r="R1069" s="116">
        <v>0</v>
      </c>
      <c r="S1069" s="114">
        <v>0</v>
      </c>
      <c r="T1069" s="116">
        <v>0</v>
      </c>
      <c r="U1069" s="116">
        <v>0</v>
      </c>
      <c r="V1069" s="121">
        <f t="shared" si="54"/>
        <v>0</v>
      </c>
      <c r="W1069" s="111"/>
      <c r="X1069" s="111"/>
      <c r="Y1069" s="111"/>
      <c r="Z1069" s="111"/>
      <c r="AA1069" s="111"/>
      <c r="AB1069" s="111"/>
      <c r="AC1069" s="111"/>
      <c r="AD1069" s="111"/>
      <c r="AE1069" s="139">
        <f t="shared" si="55"/>
        <v>0</v>
      </c>
      <c r="AF1069" s="109"/>
      <c r="AG1069" s="109"/>
    </row>
    <row r="1070" spans="1:33">
      <c r="A1070" s="117"/>
      <c r="B1070" s="118"/>
      <c r="C1070" s="118"/>
      <c r="D1070" s="118"/>
      <c r="E1070" s="119"/>
      <c r="F1070" s="118"/>
      <c r="G1070" s="110"/>
      <c r="H1070" s="126"/>
      <c r="I1070" s="114">
        <v>0</v>
      </c>
      <c r="J1070" s="115">
        <v>0</v>
      </c>
      <c r="K1070" s="116">
        <v>0</v>
      </c>
      <c r="L1070" s="116">
        <v>0</v>
      </c>
      <c r="M1070" s="114">
        <v>0</v>
      </c>
      <c r="N1070" s="113">
        <v>0</v>
      </c>
      <c r="O1070" s="113">
        <v>0</v>
      </c>
      <c r="P1070" s="116">
        <v>0</v>
      </c>
      <c r="Q1070" s="116">
        <v>0</v>
      </c>
      <c r="R1070" s="116">
        <v>0</v>
      </c>
      <c r="S1070" s="114">
        <v>0</v>
      </c>
      <c r="T1070" s="116">
        <v>0</v>
      </c>
      <c r="U1070" s="116">
        <v>0</v>
      </c>
      <c r="V1070" s="121">
        <f t="shared" si="54"/>
        <v>0</v>
      </c>
      <c r="W1070" s="111"/>
      <c r="X1070" s="111"/>
      <c r="Y1070" s="111"/>
      <c r="Z1070" s="111"/>
      <c r="AA1070" s="111"/>
      <c r="AB1070" s="111"/>
      <c r="AC1070" s="111"/>
      <c r="AD1070" s="111"/>
      <c r="AE1070" s="139">
        <f t="shared" si="55"/>
        <v>0</v>
      </c>
      <c r="AF1070" s="109"/>
      <c r="AG1070" s="109"/>
    </row>
    <row r="1071" spans="1:33">
      <c r="A1071" s="117"/>
      <c r="B1071" s="118"/>
      <c r="C1071" s="118"/>
      <c r="D1071" s="118"/>
      <c r="E1071" s="119"/>
      <c r="F1071" s="118"/>
      <c r="G1071" s="110"/>
      <c r="H1071" s="126"/>
      <c r="I1071" s="114">
        <v>0</v>
      </c>
      <c r="J1071" s="115">
        <v>0</v>
      </c>
      <c r="K1071" s="116">
        <v>0</v>
      </c>
      <c r="L1071" s="116">
        <v>0</v>
      </c>
      <c r="M1071" s="114">
        <v>0</v>
      </c>
      <c r="N1071" s="113">
        <v>0</v>
      </c>
      <c r="O1071" s="113">
        <v>0</v>
      </c>
      <c r="P1071" s="116">
        <v>0</v>
      </c>
      <c r="Q1071" s="116">
        <v>0</v>
      </c>
      <c r="R1071" s="116">
        <v>0</v>
      </c>
      <c r="S1071" s="114">
        <v>0</v>
      </c>
      <c r="T1071" s="116">
        <v>0</v>
      </c>
      <c r="U1071" s="116">
        <v>0</v>
      </c>
      <c r="V1071" s="121">
        <f t="shared" si="54"/>
        <v>0</v>
      </c>
      <c r="W1071" s="111"/>
      <c r="X1071" s="111"/>
      <c r="Y1071" s="111"/>
      <c r="Z1071" s="111"/>
      <c r="AA1071" s="111"/>
      <c r="AB1071" s="111"/>
      <c r="AC1071" s="111"/>
      <c r="AD1071" s="111"/>
      <c r="AE1071" s="139">
        <f t="shared" si="55"/>
        <v>0</v>
      </c>
      <c r="AF1071" s="109"/>
      <c r="AG1071" s="109"/>
    </row>
    <row r="1072" spans="1:33">
      <c r="A1072" s="117"/>
      <c r="B1072" s="118"/>
      <c r="C1072" s="118"/>
      <c r="D1072" s="118"/>
      <c r="E1072" s="119"/>
      <c r="F1072" s="118"/>
      <c r="G1072" s="110"/>
      <c r="H1072" s="126"/>
      <c r="I1072" s="114">
        <v>0</v>
      </c>
      <c r="J1072" s="115">
        <v>0</v>
      </c>
      <c r="K1072" s="116">
        <v>0</v>
      </c>
      <c r="L1072" s="116">
        <v>0</v>
      </c>
      <c r="M1072" s="114">
        <v>0</v>
      </c>
      <c r="N1072" s="113">
        <v>0</v>
      </c>
      <c r="O1072" s="113">
        <v>0</v>
      </c>
      <c r="P1072" s="116">
        <v>0</v>
      </c>
      <c r="Q1072" s="116">
        <v>0</v>
      </c>
      <c r="R1072" s="116">
        <v>0</v>
      </c>
      <c r="S1072" s="114">
        <v>0</v>
      </c>
      <c r="T1072" s="116">
        <v>0</v>
      </c>
      <c r="U1072" s="116">
        <v>0</v>
      </c>
      <c r="V1072" s="121">
        <f t="shared" si="54"/>
        <v>0</v>
      </c>
      <c r="W1072" s="111"/>
      <c r="X1072" s="111"/>
      <c r="Y1072" s="111"/>
      <c r="Z1072" s="111"/>
      <c r="AA1072" s="111"/>
      <c r="AB1072" s="111"/>
      <c r="AC1072" s="111"/>
      <c r="AD1072" s="111"/>
      <c r="AE1072" s="139">
        <f t="shared" si="55"/>
        <v>0</v>
      </c>
      <c r="AF1072" s="109"/>
      <c r="AG1072" s="109"/>
    </row>
    <row r="1073" spans="1:33">
      <c r="A1073" s="117"/>
      <c r="B1073" s="118"/>
      <c r="C1073" s="118"/>
      <c r="D1073" s="118"/>
      <c r="E1073" s="119"/>
      <c r="F1073" s="118"/>
      <c r="G1073" s="110"/>
      <c r="H1073" s="126"/>
      <c r="I1073" s="114">
        <v>0</v>
      </c>
      <c r="J1073" s="115">
        <v>0</v>
      </c>
      <c r="K1073" s="116">
        <v>0</v>
      </c>
      <c r="L1073" s="116">
        <v>0</v>
      </c>
      <c r="M1073" s="114">
        <v>0</v>
      </c>
      <c r="N1073" s="113">
        <v>0</v>
      </c>
      <c r="O1073" s="113">
        <v>0</v>
      </c>
      <c r="P1073" s="116">
        <v>0</v>
      </c>
      <c r="Q1073" s="116">
        <v>0</v>
      </c>
      <c r="R1073" s="116">
        <v>0</v>
      </c>
      <c r="S1073" s="114">
        <v>0</v>
      </c>
      <c r="T1073" s="116">
        <v>0</v>
      </c>
      <c r="U1073" s="116">
        <v>0</v>
      </c>
      <c r="V1073" s="121">
        <f t="shared" ref="V1073:V1136" si="56">+G1073-(SUM(I1073:N1073,P1073:S1073,U1073))</f>
        <v>0</v>
      </c>
      <c r="W1073" s="111"/>
      <c r="X1073" s="111"/>
      <c r="Y1073" s="111"/>
      <c r="Z1073" s="111"/>
      <c r="AA1073" s="111"/>
      <c r="AB1073" s="111"/>
      <c r="AC1073" s="111"/>
      <c r="AD1073" s="111"/>
      <c r="AE1073" s="139">
        <f t="shared" si="55"/>
        <v>0</v>
      </c>
      <c r="AF1073" s="109"/>
      <c r="AG1073" s="109"/>
    </row>
    <row r="1074" spans="1:33">
      <c r="A1074" s="117"/>
      <c r="B1074" s="118"/>
      <c r="C1074" s="118"/>
      <c r="D1074" s="118"/>
      <c r="E1074" s="119"/>
      <c r="F1074" s="118"/>
      <c r="G1074" s="110"/>
      <c r="H1074" s="126"/>
      <c r="I1074" s="114">
        <v>0</v>
      </c>
      <c r="J1074" s="115">
        <v>0</v>
      </c>
      <c r="K1074" s="116">
        <v>0</v>
      </c>
      <c r="L1074" s="116">
        <v>0</v>
      </c>
      <c r="M1074" s="114">
        <v>0</v>
      </c>
      <c r="N1074" s="113">
        <v>0</v>
      </c>
      <c r="O1074" s="113">
        <v>0</v>
      </c>
      <c r="P1074" s="116">
        <v>0</v>
      </c>
      <c r="Q1074" s="116">
        <v>0</v>
      </c>
      <c r="R1074" s="116">
        <v>0</v>
      </c>
      <c r="S1074" s="114">
        <v>0</v>
      </c>
      <c r="T1074" s="116">
        <v>0</v>
      </c>
      <c r="U1074" s="116">
        <v>0</v>
      </c>
      <c r="V1074" s="121">
        <f t="shared" si="56"/>
        <v>0</v>
      </c>
      <c r="W1074" s="111"/>
      <c r="X1074" s="111"/>
      <c r="Y1074" s="111"/>
      <c r="Z1074" s="111"/>
      <c r="AA1074" s="111"/>
      <c r="AB1074" s="111"/>
      <c r="AC1074" s="111"/>
      <c r="AD1074" s="111"/>
      <c r="AE1074" s="139">
        <f t="shared" si="55"/>
        <v>0</v>
      </c>
      <c r="AF1074" s="109"/>
      <c r="AG1074" s="109"/>
    </row>
    <row r="1075" spans="1:33">
      <c r="A1075" s="117"/>
      <c r="B1075" s="118"/>
      <c r="C1075" s="118"/>
      <c r="D1075" s="118"/>
      <c r="E1075" s="119"/>
      <c r="F1075" s="118"/>
      <c r="G1075" s="110"/>
      <c r="H1075" s="126"/>
      <c r="I1075" s="114">
        <v>0</v>
      </c>
      <c r="J1075" s="115">
        <v>0</v>
      </c>
      <c r="K1075" s="116">
        <v>0</v>
      </c>
      <c r="L1075" s="116">
        <v>0</v>
      </c>
      <c r="M1075" s="114">
        <v>0</v>
      </c>
      <c r="N1075" s="113">
        <v>0</v>
      </c>
      <c r="O1075" s="113">
        <v>0</v>
      </c>
      <c r="P1075" s="116">
        <v>0</v>
      </c>
      <c r="Q1075" s="116">
        <v>0</v>
      </c>
      <c r="R1075" s="116">
        <v>0</v>
      </c>
      <c r="S1075" s="114">
        <v>0</v>
      </c>
      <c r="T1075" s="116">
        <v>0</v>
      </c>
      <c r="U1075" s="116">
        <v>0</v>
      </c>
      <c r="V1075" s="121">
        <f t="shared" si="56"/>
        <v>0</v>
      </c>
      <c r="W1075" s="111"/>
      <c r="X1075" s="111"/>
      <c r="Y1075" s="111"/>
      <c r="Z1075" s="111"/>
      <c r="AA1075" s="111"/>
      <c r="AB1075" s="111"/>
      <c r="AC1075" s="111"/>
      <c r="AD1075" s="111"/>
      <c r="AE1075" s="139">
        <f t="shared" si="55"/>
        <v>0</v>
      </c>
      <c r="AF1075" s="109"/>
      <c r="AG1075" s="109"/>
    </row>
    <row r="1076" spans="1:33">
      <c r="A1076" s="117"/>
      <c r="B1076" s="118"/>
      <c r="C1076" s="118"/>
      <c r="D1076" s="118"/>
      <c r="E1076" s="119"/>
      <c r="F1076" s="118"/>
      <c r="G1076" s="110"/>
      <c r="H1076" s="126"/>
      <c r="I1076" s="114">
        <v>0</v>
      </c>
      <c r="J1076" s="115">
        <v>0</v>
      </c>
      <c r="K1076" s="116">
        <v>0</v>
      </c>
      <c r="L1076" s="116">
        <v>0</v>
      </c>
      <c r="M1076" s="114">
        <v>0</v>
      </c>
      <c r="N1076" s="113">
        <v>0</v>
      </c>
      <c r="O1076" s="113">
        <v>0</v>
      </c>
      <c r="P1076" s="116">
        <v>0</v>
      </c>
      <c r="Q1076" s="116">
        <v>0</v>
      </c>
      <c r="R1076" s="116">
        <v>0</v>
      </c>
      <c r="S1076" s="114">
        <v>0</v>
      </c>
      <c r="T1076" s="116">
        <v>0</v>
      </c>
      <c r="U1076" s="116">
        <v>0</v>
      </c>
      <c r="V1076" s="121">
        <f t="shared" si="56"/>
        <v>0</v>
      </c>
      <c r="W1076" s="111"/>
      <c r="X1076" s="111"/>
      <c r="Y1076" s="111"/>
      <c r="Z1076" s="111"/>
      <c r="AA1076" s="111"/>
      <c r="AB1076" s="111"/>
      <c r="AC1076" s="111"/>
      <c r="AD1076" s="111"/>
      <c r="AE1076" s="139">
        <f t="shared" si="55"/>
        <v>0</v>
      </c>
      <c r="AF1076" s="109"/>
      <c r="AG1076" s="109"/>
    </row>
    <row r="1077" spans="1:33">
      <c r="A1077" s="117"/>
      <c r="B1077" s="118"/>
      <c r="C1077" s="118"/>
      <c r="D1077" s="118"/>
      <c r="E1077" s="119"/>
      <c r="F1077" s="118"/>
      <c r="G1077" s="110"/>
      <c r="H1077" s="126"/>
      <c r="I1077" s="114">
        <v>0</v>
      </c>
      <c r="J1077" s="115">
        <v>0</v>
      </c>
      <c r="K1077" s="116">
        <v>0</v>
      </c>
      <c r="L1077" s="116">
        <v>0</v>
      </c>
      <c r="M1077" s="114">
        <v>0</v>
      </c>
      <c r="N1077" s="113">
        <v>0</v>
      </c>
      <c r="O1077" s="113">
        <v>0</v>
      </c>
      <c r="P1077" s="116">
        <v>0</v>
      </c>
      <c r="Q1077" s="116">
        <v>0</v>
      </c>
      <c r="R1077" s="116">
        <v>0</v>
      </c>
      <c r="S1077" s="114">
        <v>0</v>
      </c>
      <c r="T1077" s="116">
        <v>0</v>
      </c>
      <c r="U1077" s="116">
        <v>0</v>
      </c>
      <c r="V1077" s="121">
        <f t="shared" si="56"/>
        <v>0</v>
      </c>
      <c r="W1077" s="111"/>
      <c r="X1077" s="111"/>
      <c r="Y1077" s="111"/>
      <c r="Z1077" s="111"/>
      <c r="AA1077" s="111"/>
      <c r="AB1077" s="111"/>
      <c r="AC1077" s="111"/>
      <c r="AD1077" s="111"/>
      <c r="AE1077" s="139">
        <f t="shared" si="55"/>
        <v>0</v>
      </c>
      <c r="AF1077" s="109"/>
      <c r="AG1077" s="109"/>
    </row>
    <row r="1078" spans="1:33">
      <c r="A1078" s="117"/>
      <c r="B1078" s="118"/>
      <c r="C1078" s="118"/>
      <c r="D1078" s="118"/>
      <c r="E1078" s="119"/>
      <c r="F1078" s="118"/>
      <c r="G1078" s="110"/>
      <c r="H1078" s="126"/>
      <c r="I1078" s="114">
        <v>0</v>
      </c>
      <c r="J1078" s="115">
        <v>0</v>
      </c>
      <c r="K1078" s="116">
        <v>0</v>
      </c>
      <c r="L1078" s="116">
        <v>0</v>
      </c>
      <c r="M1078" s="114">
        <v>0</v>
      </c>
      <c r="N1078" s="113">
        <v>0</v>
      </c>
      <c r="O1078" s="113">
        <v>0</v>
      </c>
      <c r="P1078" s="116">
        <v>0</v>
      </c>
      <c r="Q1078" s="116">
        <v>0</v>
      </c>
      <c r="R1078" s="116">
        <v>0</v>
      </c>
      <c r="S1078" s="114">
        <v>0</v>
      </c>
      <c r="T1078" s="116">
        <v>0</v>
      </c>
      <c r="U1078" s="116">
        <v>0</v>
      </c>
      <c r="V1078" s="121">
        <f t="shared" si="56"/>
        <v>0</v>
      </c>
      <c r="W1078" s="111"/>
      <c r="X1078" s="111"/>
      <c r="Y1078" s="111"/>
      <c r="Z1078" s="111"/>
      <c r="AA1078" s="111"/>
      <c r="AB1078" s="111"/>
      <c r="AC1078" s="111"/>
      <c r="AD1078" s="111"/>
      <c r="AE1078" s="139">
        <f t="shared" si="55"/>
        <v>0</v>
      </c>
      <c r="AF1078" s="109"/>
      <c r="AG1078" s="109"/>
    </row>
    <row r="1079" spans="1:33">
      <c r="A1079" s="117"/>
      <c r="B1079" s="118"/>
      <c r="C1079" s="118"/>
      <c r="D1079" s="118"/>
      <c r="E1079" s="119"/>
      <c r="F1079" s="118"/>
      <c r="G1079" s="110"/>
      <c r="H1079" s="126"/>
      <c r="I1079" s="114">
        <v>0</v>
      </c>
      <c r="J1079" s="115">
        <v>0</v>
      </c>
      <c r="K1079" s="116">
        <v>0</v>
      </c>
      <c r="L1079" s="116">
        <v>0</v>
      </c>
      <c r="M1079" s="114">
        <v>0</v>
      </c>
      <c r="N1079" s="113">
        <v>0</v>
      </c>
      <c r="O1079" s="113">
        <v>0</v>
      </c>
      <c r="P1079" s="116">
        <v>0</v>
      </c>
      <c r="Q1079" s="116">
        <v>0</v>
      </c>
      <c r="R1079" s="116">
        <v>0</v>
      </c>
      <c r="S1079" s="114">
        <v>0</v>
      </c>
      <c r="T1079" s="116">
        <v>0</v>
      </c>
      <c r="U1079" s="116">
        <v>0</v>
      </c>
      <c r="V1079" s="121">
        <f t="shared" si="56"/>
        <v>0</v>
      </c>
      <c r="W1079" s="111"/>
      <c r="X1079" s="111"/>
      <c r="Y1079" s="111"/>
      <c r="Z1079" s="111"/>
      <c r="AA1079" s="111"/>
      <c r="AB1079" s="111"/>
      <c r="AC1079" s="111"/>
      <c r="AD1079" s="111"/>
      <c r="AE1079" s="139">
        <f t="shared" si="55"/>
        <v>0</v>
      </c>
      <c r="AF1079" s="109"/>
      <c r="AG1079" s="109"/>
    </row>
    <row r="1080" spans="1:33">
      <c r="A1080" s="117"/>
      <c r="B1080" s="118"/>
      <c r="C1080" s="118"/>
      <c r="D1080" s="118"/>
      <c r="E1080" s="119"/>
      <c r="F1080" s="118"/>
      <c r="G1080" s="110"/>
      <c r="H1080" s="126"/>
      <c r="I1080" s="114">
        <v>0</v>
      </c>
      <c r="J1080" s="115">
        <v>0</v>
      </c>
      <c r="K1080" s="116">
        <v>0</v>
      </c>
      <c r="L1080" s="116">
        <v>0</v>
      </c>
      <c r="M1080" s="114">
        <v>0</v>
      </c>
      <c r="N1080" s="113">
        <v>0</v>
      </c>
      <c r="O1080" s="113">
        <v>0</v>
      </c>
      <c r="P1080" s="116">
        <v>0</v>
      </c>
      <c r="Q1080" s="116">
        <v>0</v>
      </c>
      <c r="R1080" s="116">
        <v>0</v>
      </c>
      <c r="S1080" s="114">
        <v>0</v>
      </c>
      <c r="T1080" s="116">
        <v>0</v>
      </c>
      <c r="U1080" s="116">
        <v>0</v>
      </c>
      <c r="V1080" s="121">
        <f t="shared" si="56"/>
        <v>0</v>
      </c>
      <c r="W1080" s="111"/>
      <c r="X1080" s="111"/>
      <c r="Y1080" s="111"/>
      <c r="Z1080" s="111"/>
      <c r="AA1080" s="111"/>
      <c r="AB1080" s="111"/>
      <c r="AC1080" s="111"/>
      <c r="AD1080" s="111"/>
      <c r="AE1080" s="139">
        <f t="shared" si="55"/>
        <v>0</v>
      </c>
      <c r="AF1080" s="109"/>
      <c r="AG1080" s="109"/>
    </row>
    <row r="1081" spans="1:33">
      <c r="A1081" s="117"/>
      <c r="B1081" s="118"/>
      <c r="C1081" s="118"/>
      <c r="D1081" s="118"/>
      <c r="E1081" s="119"/>
      <c r="F1081" s="118"/>
      <c r="G1081" s="110"/>
      <c r="H1081" s="126"/>
      <c r="I1081" s="114">
        <v>0</v>
      </c>
      <c r="J1081" s="115">
        <v>0</v>
      </c>
      <c r="K1081" s="116">
        <v>0</v>
      </c>
      <c r="L1081" s="116">
        <v>0</v>
      </c>
      <c r="M1081" s="114">
        <v>0</v>
      </c>
      <c r="N1081" s="113">
        <v>0</v>
      </c>
      <c r="O1081" s="113">
        <v>0</v>
      </c>
      <c r="P1081" s="116">
        <v>0</v>
      </c>
      <c r="Q1081" s="116">
        <v>0</v>
      </c>
      <c r="R1081" s="116">
        <v>0</v>
      </c>
      <c r="S1081" s="114">
        <v>0</v>
      </c>
      <c r="T1081" s="116">
        <v>0</v>
      </c>
      <c r="U1081" s="116">
        <v>0</v>
      </c>
      <c r="V1081" s="121">
        <f t="shared" si="56"/>
        <v>0</v>
      </c>
      <c r="W1081" s="111"/>
      <c r="X1081" s="111"/>
      <c r="Y1081" s="111"/>
      <c r="Z1081" s="111"/>
      <c r="AA1081" s="111"/>
      <c r="AB1081" s="111"/>
      <c r="AC1081" s="111"/>
      <c r="AD1081" s="111"/>
      <c r="AE1081" s="139">
        <f t="shared" si="55"/>
        <v>0</v>
      </c>
      <c r="AF1081" s="109"/>
      <c r="AG1081" s="109"/>
    </row>
    <row r="1082" spans="1:33">
      <c r="A1082" s="117"/>
      <c r="B1082" s="118"/>
      <c r="C1082" s="118"/>
      <c r="D1082" s="118"/>
      <c r="E1082" s="119"/>
      <c r="F1082" s="118"/>
      <c r="G1082" s="110"/>
      <c r="H1082" s="126"/>
      <c r="I1082" s="114">
        <v>0</v>
      </c>
      <c r="J1082" s="115">
        <v>0</v>
      </c>
      <c r="K1082" s="116">
        <v>0</v>
      </c>
      <c r="L1082" s="116">
        <v>0</v>
      </c>
      <c r="M1082" s="114">
        <v>0</v>
      </c>
      <c r="N1082" s="113">
        <v>0</v>
      </c>
      <c r="O1082" s="113">
        <v>0</v>
      </c>
      <c r="P1082" s="116">
        <v>0</v>
      </c>
      <c r="Q1082" s="116">
        <v>0</v>
      </c>
      <c r="R1082" s="116">
        <v>0</v>
      </c>
      <c r="S1082" s="114">
        <v>0</v>
      </c>
      <c r="T1082" s="116">
        <v>0</v>
      </c>
      <c r="U1082" s="116">
        <v>0</v>
      </c>
      <c r="V1082" s="121">
        <f t="shared" si="56"/>
        <v>0</v>
      </c>
      <c r="W1082" s="111"/>
      <c r="X1082" s="111"/>
      <c r="Y1082" s="111"/>
      <c r="Z1082" s="111"/>
      <c r="AA1082" s="111"/>
      <c r="AB1082" s="111"/>
      <c r="AC1082" s="111"/>
      <c r="AD1082" s="111"/>
      <c r="AE1082" s="139">
        <f t="shared" si="55"/>
        <v>0</v>
      </c>
      <c r="AF1082" s="109"/>
      <c r="AG1082" s="109"/>
    </row>
    <row r="1083" spans="1:33">
      <c r="A1083" s="117"/>
      <c r="B1083" s="118"/>
      <c r="C1083" s="118"/>
      <c r="D1083" s="118"/>
      <c r="E1083" s="119"/>
      <c r="F1083" s="118"/>
      <c r="G1083" s="110"/>
      <c r="H1083" s="126"/>
      <c r="I1083" s="114">
        <v>0</v>
      </c>
      <c r="J1083" s="115">
        <v>0</v>
      </c>
      <c r="K1083" s="116">
        <v>0</v>
      </c>
      <c r="L1083" s="116">
        <v>0</v>
      </c>
      <c r="M1083" s="114">
        <v>0</v>
      </c>
      <c r="N1083" s="113">
        <v>0</v>
      </c>
      <c r="O1083" s="113">
        <v>0</v>
      </c>
      <c r="P1083" s="116">
        <v>0</v>
      </c>
      <c r="Q1083" s="116">
        <v>0</v>
      </c>
      <c r="R1083" s="116">
        <v>0</v>
      </c>
      <c r="S1083" s="114">
        <v>0</v>
      </c>
      <c r="T1083" s="116">
        <v>0</v>
      </c>
      <c r="U1083" s="116">
        <v>0</v>
      </c>
      <c r="V1083" s="121">
        <f t="shared" si="56"/>
        <v>0</v>
      </c>
      <c r="W1083" s="111"/>
      <c r="X1083" s="111"/>
      <c r="Y1083" s="111"/>
      <c r="Z1083" s="111"/>
      <c r="AA1083" s="111"/>
      <c r="AB1083" s="111"/>
      <c r="AC1083" s="111"/>
      <c r="AD1083" s="111"/>
      <c r="AE1083" s="139">
        <f t="shared" si="55"/>
        <v>0</v>
      </c>
      <c r="AF1083" s="109"/>
      <c r="AG1083" s="109"/>
    </row>
    <row r="1084" spans="1:33">
      <c r="A1084" s="117"/>
      <c r="B1084" s="118"/>
      <c r="C1084" s="118"/>
      <c r="D1084" s="118"/>
      <c r="E1084" s="119"/>
      <c r="F1084" s="118"/>
      <c r="G1084" s="110"/>
      <c r="H1084" s="126"/>
      <c r="I1084" s="114">
        <v>0</v>
      </c>
      <c r="J1084" s="115">
        <v>0</v>
      </c>
      <c r="K1084" s="116">
        <v>0</v>
      </c>
      <c r="L1084" s="116">
        <v>0</v>
      </c>
      <c r="M1084" s="114">
        <v>0</v>
      </c>
      <c r="N1084" s="113">
        <v>0</v>
      </c>
      <c r="O1084" s="113">
        <v>0</v>
      </c>
      <c r="P1084" s="116">
        <v>0</v>
      </c>
      <c r="Q1084" s="116">
        <v>0</v>
      </c>
      <c r="R1084" s="116">
        <v>0</v>
      </c>
      <c r="S1084" s="114">
        <v>0</v>
      </c>
      <c r="T1084" s="116">
        <v>0</v>
      </c>
      <c r="U1084" s="116">
        <v>0</v>
      </c>
      <c r="V1084" s="121">
        <f t="shared" si="56"/>
        <v>0</v>
      </c>
      <c r="W1084" s="111"/>
      <c r="X1084" s="111"/>
      <c r="Y1084" s="111"/>
      <c r="Z1084" s="111"/>
      <c r="AA1084" s="111"/>
      <c r="AB1084" s="111"/>
      <c r="AC1084" s="111"/>
      <c r="AD1084" s="111"/>
      <c r="AE1084" s="139">
        <f t="shared" si="55"/>
        <v>0</v>
      </c>
      <c r="AF1084" s="109"/>
      <c r="AG1084" s="109"/>
    </row>
    <row r="1085" spans="1:33">
      <c r="A1085" s="117"/>
      <c r="B1085" s="118"/>
      <c r="C1085" s="118"/>
      <c r="D1085" s="118"/>
      <c r="E1085" s="119"/>
      <c r="F1085" s="118"/>
      <c r="G1085" s="110"/>
      <c r="H1085" s="126"/>
      <c r="I1085" s="114">
        <v>0</v>
      </c>
      <c r="J1085" s="115">
        <v>0</v>
      </c>
      <c r="K1085" s="116">
        <v>0</v>
      </c>
      <c r="L1085" s="116">
        <v>0</v>
      </c>
      <c r="M1085" s="114">
        <v>0</v>
      </c>
      <c r="N1085" s="113">
        <v>0</v>
      </c>
      <c r="O1085" s="113">
        <v>0</v>
      </c>
      <c r="P1085" s="116">
        <v>0</v>
      </c>
      <c r="Q1085" s="116">
        <v>0</v>
      </c>
      <c r="R1085" s="116">
        <v>0</v>
      </c>
      <c r="S1085" s="114">
        <v>0</v>
      </c>
      <c r="T1085" s="116">
        <v>0</v>
      </c>
      <c r="U1085" s="116">
        <v>0</v>
      </c>
      <c r="V1085" s="121">
        <f t="shared" si="56"/>
        <v>0</v>
      </c>
      <c r="W1085" s="111"/>
      <c r="X1085" s="111"/>
      <c r="Y1085" s="111"/>
      <c r="Z1085" s="111"/>
      <c r="AA1085" s="111"/>
      <c r="AB1085" s="111"/>
      <c r="AC1085" s="111"/>
      <c r="AD1085" s="111"/>
      <c r="AE1085" s="139">
        <f t="shared" si="55"/>
        <v>0</v>
      </c>
      <c r="AF1085" s="109"/>
      <c r="AG1085" s="109"/>
    </row>
    <row r="1086" spans="1:33">
      <c r="A1086" s="117"/>
      <c r="B1086" s="118"/>
      <c r="C1086" s="118"/>
      <c r="D1086" s="118"/>
      <c r="E1086" s="119"/>
      <c r="F1086" s="118"/>
      <c r="G1086" s="110"/>
      <c r="H1086" s="126"/>
      <c r="I1086" s="114">
        <v>0</v>
      </c>
      <c r="J1086" s="115">
        <v>0</v>
      </c>
      <c r="K1086" s="116">
        <v>0</v>
      </c>
      <c r="L1086" s="116">
        <v>0</v>
      </c>
      <c r="M1086" s="114">
        <v>0</v>
      </c>
      <c r="N1086" s="113">
        <v>0</v>
      </c>
      <c r="O1086" s="113">
        <v>0</v>
      </c>
      <c r="P1086" s="116">
        <v>0</v>
      </c>
      <c r="Q1086" s="116">
        <v>0</v>
      </c>
      <c r="R1086" s="116">
        <v>0</v>
      </c>
      <c r="S1086" s="114">
        <v>0</v>
      </c>
      <c r="T1086" s="116">
        <v>0</v>
      </c>
      <c r="U1086" s="116">
        <v>0</v>
      </c>
      <c r="V1086" s="121">
        <f t="shared" si="56"/>
        <v>0</v>
      </c>
      <c r="W1086" s="111"/>
      <c r="X1086" s="111"/>
      <c r="Y1086" s="111"/>
      <c r="Z1086" s="111"/>
      <c r="AA1086" s="111"/>
      <c r="AB1086" s="111"/>
      <c r="AC1086" s="111"/>
      <c r="AD1086" s="111"/>
      <c r="AE1086" s="139">
        <f t="shared" si="55"/>
        <v>0</v>
      </c>
      <c r="AF1086" s="109"/>
      <c r="AG1086" s="109"/>
    </row>
    <row r="1087" spans="1:33">
      <c r="A1087" s="117"/>
      <c r="B1087" s="118"/>
      <c r="C1087" s="118"/>
      <c r="D1087" s="118"/>
      <c r="E1087" s="119"/>
      <c r="F1087" s="118"/>
      <c r="G1087" s="110"/>
      <c r="H1087" s="126"/>
      <c r="I1087" s="114">
        <v>0</v>
      </c>
      <c r="J1087" s="115">
        <v>0</v>
      </c>
      <c r="K1087" s="116">
        <v>0</v>
      </c>
      <c r="L1087" s="116">
        <v>0</v>
      </c>
      <c r="M1087" s="114">
        <v>0</v>
      </c>
      <c r="N1087" s="113">
        <v>0</v>
      </c>
      <c r="O1087" s="113">
        <v>0</v>
      </c>
      <c r="P1087" s="116">
        <v>0</v>
      </c>
      <c r="Q1087" s="116">
        <v>0</v>
      </c>
      <c r="R1087" s="116">
        <v>0</v>
      </c>
      <c r="S1087" s="114">
        <v>0</v>
      </c>
      <c r="T1087" s="116">
        <v>0</v>
      </c>
      <c r="U1087" s="116">
        <v>0</v>
      </c>
      <c r="V1087" s="121">
        <f t="shared" si="56"/>
        <v>0</v>
      </c>
      <c r="W1087" s="111"/>
      <c r="X1087" s="111"/>
      <c r="Y1087" s="111"/>
      <c r="Z1087" s="111"/>
      <c r="AA1087" s="111"/>
      <c r="AB1087" s="111"/>
      <c r="AC1087" s="111"/>
      <c r="AD1087" s="111"/>
      <c r="AE1087" s="139">
        <f t="shared" si="55"/>
        <v>0</v>
      </c>
      <c r="AF1087" s="109"/>
      <c r="AG1087" s="109"/>
    </row>
    <row r="1088" spans="1:33">
      <c r="A1088" s="117"/>
      <c r="B1088" s="118"/>
      <c r="C1088" s="118"/>
      <c r="D1088" s="118"/>
      <c r="E1088" s="119"/>
      <c r="F1088" s="118"/>
      <c r="G1088" s="110"/>
      <c r="H1088" s="126"/>
      <c r="I1088" s="114">
        <v>0</v>
      </c>
      <c r="J1088" s="115">
        <v>0</v>
      </c>
      <c r="K1088" s="116">
        <v>0</v>
      </c>
      <c r="L1088" s="116">
        <v>0</v>
      </c>
      <c r="M1088" s="114">
        <v>0</v>
      </c>
      <c r="N1088" s="113">
        <v>0</v>
      </c>
      <c r="O1088" s="113">
        <v>0</v>
      </c>
      <c r="P1088" s="116">
        <v>0</v>
      </c>
      <c r="Q1088" s="116">
        <v>0</v>
      </c>
      <c r="R1088" s="116">
        <v>0</v>
      </c>
      <c r="S1088" s="114">
        <v>0</v>
      </c>
      <c r="T1088" s="116">
        <v>0</v>
      </c>
      <c r="U1088" s="116">
        <v>0</v>
      </c>
      <c r="V1088" s="121">
        <f t="shared" si="56"/>
        <v>0</v>
      </c>
      <c r="W1088" s="111"/>
      <c r="X1088" s="111"/>
      <c r="Y1088" s="111"/>
      <c r="Z1088" s="111"/>
      <c r="AA1088" s="111"/>
      <c r="AB1088" s="111"/>
      <c r="AC1088" s="111"/>
      <c r="AD1088" s="111"/>
      <c r="AE1088" s="139">
        <f t="shared" si="55"/>
        <v>0</v>
      </c>
      <c r="AF1088" s="109"/>
      <c r="AG1088" s="109"/>
    </row>
    <row r="1089" spans="1:33">
      <c r="A1089" s="117"/>
      <c r="B1089" s="118"/>
      <c r="C1089" s="118"/>
      <c r="D1089" s="118"/>
      <c r="E1089" s="119"/>
      <c r="F1089" s="118"/>
      <c r="G1089" s="110"/>
      <c r="H1089" s="126"/>
      <c r="I1089" s="114">
        <v>0</v>
      </c>
      <c r="J1089" s="115">
        <v>0</v>
      </c>
      <c r="K1089" s="116">
        <v>0</v>
      </c>
      <c r="L1089" s="116">
        <v>0</v>
      </c>
      <c r="M1089" s="114">
        <v>0</v>
      </c>
      <c r="N1089" s="113">
        <v>0</v>
      </c>
      <c r="O1089" s="113">
        <v>0</v>
      </c>
      <c r="P1089" s="116">
        <v>0</v>
      </c>
      <c r="Q1089" s="116">
        <v>0</v>
      </c>
      <c r="R1089" s="116">
        <v>0</v>
      </c>
      <c r="S1089" s="114">
        <v>0</v>
      </c>
      <c r="T1089" s="116">
        <v>0</v>
      </c>
      <c r="U1089" s="116">
        <v>0</v>
      </c>
      <c r="V1089" s="121">
        <f t="shared" si="56"/>
        <v>0</v>
      </c>
      <c r="W1089" s="111"/>
      <c r="X1089" s="111"/>
      <c r="Y1089" s="111"/>
      <c r="Z1089" s="111"/>
      <c r="AA1089" s="111"/>
      <c r="AB1089" s="111"/>
      <c r="AC1089" s="111"/>
      <c r="AD1089" s="111"/>
      <c r="AE1089" s="139">
        <f t="shared" si="55"/>
        <v>0</v>
      </c>
      <c r="AF1089" s="109"/>
      <c r="AG1089" s="109"/>
    </row>
    <row r="1090" spans="1:33">
      <c r="A1090" s="117"/>
      <c r="B1090" s="118"/>
      <c r="C1090" s="118"/>
      <c r="D1090" s="118"/>
      <c r="E1090" s="119"/>
      <c r="F1090" s="118"/>
      <c r="G1090" s="110"/>
      <c r="H1090" s="126"/>
      <c r="I1090" s="114">
        <v>0</v>
      </c>
      <c r="J1090" s="115">
        <v>0</v>
      </c>
      <c r="K1090" s="116">
        <v>0</v>
      </c>
      <c r="L1090" s="116">
        <v>0</v>
      </c>
      <c r="M1090" s="114">
        <v>0</v>
      </c>
      <c r="N1090" s="113">
        <v>0</v>
      </c>
      <c r="O1090" s="113">
        <v>0</v>
      </c>
      <c r="P1090" s="116">
        <v>0</v>
      </c>
      <c r="Q1090" s="116">
        <v>0</v>
      </c>
      <c r="R1090" s="116">
        <v>0</v>
      </c>
      <c r="S1090" s="114">
        <v>0</v>
      </c>
      <c r="T1090" s="116">
        <v>0</v>
      </c>
      <c r="U1090" s="116">
        <v>0</v>
      </c>
      <c r="V1090" s="121">
        <f t="shared" si="56"/>
        <v>0</v>
      </c>
      <c r="W1090" s="111"/>
      <c r="X1090" s="111"/>
      <c r="Y1090" s="111"/>
      <c r="Z1090" s="111"/>
      <c r="AA1090" s="111"/>
      <c r="AB1090" s="111"/>
      <c r="AC1090" s="111"/>
      <c r="AD1090" s="111"/>
      <c r="AE1090" s="139">
        <f t="shared" si="55"/>
        <v>0</v>
      </c>
      <c r="AF1090" s="109"/>
      <c r="AG1090" s="109"/>
    </row>
    <row r="1091" spans="1:33">
      <c r="A1091" s="117"/>
      <c r="B1091" s="118"/>
      <c r="C1091" s="118"/>
      <c r="D1091" s="118"/>
      <c r="E1091" s="119"/>
      <c r="F1091" s="118"/>
      <c r="G1091" s="110"/>
      <c r="H1091" s="126"/>
      <c r="I1091" s="114">
        <v>0</v>
      </c>
      <c r="J1091" s="115">
        <v>0</v>
      </c>
      <c r="K1091" s="116">
        <v>0</v>
      </c>
      <c r="L1091" s="116">
        <v>0</v>
      </c>
      <c r="M1091" s="114">
        <v>0</v>
      </c>
      <c r="N1091" s="113">
        <v>0</v>
      </c>
      <c r="O1091" s="113">
        <v>0</v>
      </c>
      <c r="P1091" s="116">
        <v>0</v>
      </c>
      <c r="Q1091" s="116">
        <v>0</v>
      </c>
      <c r="R1091" s="116">
        <v>0</v>
      </c>
      <c r="S1091" s="114">
        <v>0</v>
      </c>
      <c r="T1091" s="116">
        <v>0</v>
      </c>
      <c r="U1091" s="116">
        <v>0</v>
      </c>
      <c r="V1091" s="121">
        <f t="shared" si="56"/>
        <v>0</v>
      </c>
      <c r="W1091" s="111"/>
      <c r="X1091" s="111"/>
      <c r="Y1091" s="111"/>
      <c r="Z1091" s="111"/>
      <c r="AA1091" s="111"/>
      <c r="AB1091" s="111"/>
      <c r="AC1091" s="111"/>
      <c r="AD1091" s="111"/>
      <c r="AE1091" s="139">
        <f t="shared" si="55"/>
        <v>0</v>
      </c>
      <c r="AF1091" s="109"/>
      <c r="AG1091" s="109"/>
    </row>
    <row r="1092" spans="1:33">
      <c r="A1092" s="117"/>
      <c r="B1092" s="118"/>
      <c r="C1092" s="118"/>
      <c r="D1092" s="118"/>
      <c r="E1092" s="119"/>
      <c r="F1092" s="118"/>
      <c r="G1092" s="110"/>
      <c r="H1092" s="126"/>
      <c r="I1092" s="114">
        <v>0</v>
      </c>
      <c r="J1092" s="115">
        <v>0</v>
      </c>
      <c r="K1092" s="116">
        <v>0</v>
      </c>
      <c r="L1092" s="116">
        <v>0</v>
      </c>
      <c r="M1092" s="114">
        <v>0</v>
      </c>
      <c r="N1092" s="113">
        <v>0</v>
      </c>
      <c r="O1092" s="113">
        <v>0</v>
      </c>
      <c r="P1092" s="116">
        <v>0</v>
      </c>
      <c r="Q1092" s="116">
        <v>0</v>
      </c>
      <c r="R1092" s="116">
        <v>0</v>
      </c>
      <c r="S1092" s="114">
        <v>0</v>
      </c>
      <c r="T1092" s="116">
        <v>0</v>
      </c>
      <c r="U1092" s="116">
        <v>0</v>
      </c>
      <c r="V1092" s="121">
        <f t="shared" si="56"/>
        <v>0</v>
      </c>
      <c r="W1092" s="111"/>
      <c r="X1092" s="111"/>
      <c r="Y1092" s="111"/>
      <c r="Z1092" s="111"/>
      <c r="AA1092" s="111"/>
      <c r="AB1092" s="111"/>
      <c r="AC1092" s="111"/>
      <c r="AD1092" s="111"/>
      <c r="AE1092" s="139">
        <f t="shared" si="55"/>
        <v>0</v>
      </c>
      <c r="AF1092" s="109"/>
      <c r="AG1092" s="109"/>
    </row>
    <row r="1093" spans="1:33">
      <c r="A1093" s="117"/>
      <c r="B1093" s="118"/>
      <c r="C1093" s="118"/>
      <c r="D1093" s="118"/>
      <c r="E1093" s="119"/>
      <c r="F1093" s="118"/>
      <c r="G1093" s="110"/>
      <c r="H1093" s="126"/>
      <c r="I1093" s="114">
        <v>0</v>
      </c>
      <c r="J1093" s="115">
        <v>0</v>
      </c>
      <c r="K1093" s="116">
        <v>0</v>
      </c>
      <c r="L1093" s="116">
        <v>0</v>
      </c>
      <c r="M1093" s="114">
        <v>0</v>
      </c>
      <c r="N1093" s="113">
        <v>0</v>
      </c>
      <c r="O1093" s="113">
        <v>0</v>
      </c>
      <c r="P1093" s="116">
        <v>0</v>
      </c>
      <c r="Q1093" s="116">
        <v>0</v>
      </c>
      <c r="R1093" s="116">
        <v>0</v>
      </c>
      <c r="S1093" s="114">
        <v>0</v>
      </c>
      <c r="T1093" s="116">
        <v>0</v>
      </c>
      <c r="U1093" s="116">
        <v>0</v>
      </c>
      <c r="V1093" s="121">
        <f t="shared" si="56"/>
        <v>0</v>
      </c>
      <c r="W1093" s="111"/>
      <c r="X1093" s="111"/>
      <c r="Y1093" s="111"/>
      <c r="Z1093" s="111"/>
      <c r="AA1093" s="111"/>
      <c r="AB1093" s="111"/>
      <c r="AC1093" s="111"/>
      <c r="AD1093" s="111"/>
      <c r="AE1093" s="139">
        <f t="shared" si="55"/>
        <v>0</v>
      </c>
      <c r="AF1093" s="109"/>
      <c r="AG1093" s="109"/>
    </row>
    <row r="1094" spans="1:33">
      <c r="A1094" s="117"/>
      <c r="B1094" s="118"/>
      <c r="C1094" s="118"/>
      <c r="D1094" s="118"/>
      <c r="E1094" s="119"/>
      <c r="F1094" s="118"/>
      <c r="G1094" s="110"/>
      <c r="H1094" s="126"/>
      <c r="I1094" s="114">
        <v>0</v>
      </c>
      <c r="J1094" s="115">
        <v>0</v>
      </c>
      <c r="K1094" s="116">
        <v>0</v>
      </c>
      <c r="L1094" s="116">
        <v>0</v>
      </c>
      <c r="M1094" s="114">
        <v>0</v>
      </c>
      <c r="N1094" s="113">
        <v>0</v>
      </c>
      <c r="O1094" s="113">
        <v>0</v>
      </c>
      <c r="P1094" s="116">
        <v>0</v>
      </c>
      <c r="Q1094" s="116">
        <v>0</v>
      </c>
      <c r="R1094" s="116">
        <v>0</v>
      </c>
      <c r="S1094" s="114">
        <v>0</v>
      </c>
      <c r="T1094" s="116">
        <v>0</v>
      </c>
      <c r="U1094" s="116">
        <v>0</v>
      </c>
      <c r="V1094" s="121">
        <f t="shared" si="56"/>
        <v>0</v>
      </c>
      <c r="W1094" s="111"/>
      <c r="X1094" s="111"/>
      <c r="Y1094" s="111"/>
      <c r="Z1094" s="111"/>
      <c r="AA1094" s="111"/>
      <c r="AB1094" s="111"/>
      <c r="AC1094" s="111"/>
      <c r="AD1094" s="111"/>
      <c r="AE1094" s="139">
        <f t="shared" si="55"/>
        <v>0</v>
      </c>
      <c r="AF1094" s="109"/>
      <c r="AG1094" s="109"/>
    </row>
    <row r="1095" spans="1:33">
      <c r="A1095" s="117"/>
      <c r="B1095" s="118"/>
      <c r="C1095" s="118"/>
      <c r="D1095" s="118"/>
      <c r="E1095" s="119"/>
      <c r="F1095" s="118"/>
      <c r="G1095" s="110"/>
      <c r="H1095" s="126"/>
      <c r="I1095" s="114">
        <v>0</v>
      </c>
      <c r="J1095" s="115">
        <v>0</v>
      </c>
      <c r="K1095" s="116">
        <v>0</v>
      </c>
      <c r="L1095" s="116">
        <v>0</v>
      </c>
      <c r="M1095" s="114">
        <v>0</v>
      </c>
      <c r="N1095" s="113">
        <v>0</v>
      </c>
      <c r="O1095" s="113">
        <v>0</v>
      </c>
      <c r="P1095" s="116">
        <v>0</v>
      </c>
      <c r="Q1095" s="116">
        <v>0</v>
      </c>
      <c r="R1095" s="116">
        <v>0</v>
      </c>
      <c r="S1095" s="114">
        <v>0</v>
      </c>
      <c r="T1095" s="116">
        <v>0</v>
      </c>
      <c r="U1095" s="116">
        <v>0</v>
      </c>
      <c r="V1095" s="121">
        <f t="shared" si="56"/>
        <v>0</v>
      </c>
      <c r="W1095" s="111"/>
      <c r="X1095" s="111"/>
      <c r="Y1095" s="111"/>
      <c r="Z1095" s="111"/>
      <c r="AA1095" s="111"/>
      <c r="AB1095" s="111"/>
      <c r="AC1095" s="111"/>
      <c r="AD1095" s="111"/>
      <c r="AE1095" s="139">
        <f t="shared" si="55"/>
        <v>0</v>
      </c>
      <c r="AF1095" s="109"/>
      <c r="AG1095" s="109"/>
    </row>
    <row r="1096" spans="1:33">
      <c r="A1096" s="117"/>
      <c r="B1096" s="118"/>
      <c r="C1096" s="118"/>
      <c r="D1096" s="118"/>
      <c r="E1096" s="119"/>
      <c r="F1096" s="118"/>
      <c r="G1096" s="110"/>
      <c r="H1096" s="126"/>
      <c r="I1096" s="114">
        <v>0</v>
      </c>
      <c r="J1096" s="115">
        <v>0</v>
      </c>
      <c r="K1096" s="116">
        <v>0</v>
      </c>
      <c r="L1096" s="116">
        <v>0</v>
      </c>
      <c r="M1096" s="114">
        <v>0</v>
      </c>
      <c r="N1096" s="113">
        <v>0</v>
      </c>
      <c r="O1096" s="113">
        <v>0</v>
      </c>
      <c r="P1096" s="116">
        <v>0</v>
      </c>
      <c r="Q1096" s="116">
        <v>0</v>
      </c>
      <c r="R1096" s="116">
        <v>0</v>
      </c>
      <c r="S1096" s="114">
        <v>0</v>
      </c>
      <c r="T1096" s="116">
        <v>0</v>
      </c>
      <c r="U1096" s="116">
        <v>0</v>
      </c>
      <c r="V1096" s="121">
        <f t="shared" si="56"/>
        <v>0</v>
      </c>
      <c r="W1096" s="111"/>
      <c r="X1096" s="111"/>
      <c r="Y1096" s="111"/>
      <c r="Z1096" s="111"/>
      <c r="AA1096" s="111"/>
      <c r="AB1096" s="111"/>
      <c r="AC1096" s="111"/>
      <c r="AD1096" s="111"/>
      <c r="AE1096" s="139">
        <f t="shared" si="55"/>
        <v>0</v>
      </c>
      <c r="AF1096" s="109"/>
      <c r="AG1096" s="109"/>
    </row>
    <row r="1097" spans="1:33">
      <c r="A1097" s="117"/>
      <c r="B1097" s="118"/>
      <c r="C1097" s="118"/>
      <c r="D1097" s="118"/>
      <c r="E1097" s="119"/>
      <c r="F1097" s="118"/>
      <c r="G1097" s="110"/>
      <c r="H1097" s="126"/>
      <c r="I1097" s="114">
        <v>0</v>
      </c>
      <c r="J1097" s="115">
        <v>0</v>
      </c>
      <c r="K1097" s="116">
        <v>0</v>
      </c>
      <c r="L1097" s="116">
        <v>0</v>
      </c>
      <c r="M1097" s="114">
        <v>0</v>
      </c>
      <c r="N1097" s="113">
        <v>0</v>
      </c>
      <c r="O1097" s="113">
        <v>0</v>
      </c>
      <c r="P1097" s="116">
        <v>0</v>
      </c>
      <c r="Q1097" s="116">
        <v>0</v>
      </c>
      <c r="R1097" s="116">
        <v>0</v>
      </c>
      <c r="S1097" s="114">
        <v>0</v>
      </c>
      <c r="T1097" s="116">
        <v>0</v>
      </c>
      <c r="U1097" s="116">
        <v>0</v>
      </c>
      <c r="V1097" s="121">
        <f t="shared" si="56"/>
        <v>0</v>
      </c>
      <c r="W1097" s="111"/>
      <c r="X1097" s="111"/>
      <c r="Y1097" s="111"/>
      <c r="Z1097" s="111"/>
      <c r="AA1097" s="111"/>
      <c r="AB1097" s="111"/>
      <c r="AC1097" s="111"/>
      <c r="AD1097" s="111"/>
      <c r="AE1097" s="139">
        <f t="shared" si="55"/>
        <v>0</v>
      </c>
      <c r="AF1097" s="109"/>
      <c r="AG1097" s="109"/>
    </row>
    <row r="1098" spans="1:33">
      <c r="A1098" s="117"/>
      <c r="B1098" s="118"/>
      <c r="C1098" s="118"/>
      <c r="D1098" s="118"/>
      <c r="E1098" s="119"/>
      <c r="F1098" s="118"/>
      <c r="G1098" s="110"/>
      <c r="H1098" s="126"/>
      <c r="I1098" s="114">
        <v>0</v>
      </c>
      <c r="J1098" s="115">
        <v>0</v>
      </c>
      <c r="K1098" s="116">
        <v>0</v>
      </c>
      <c r="L1098" s="116">
        <v>0</v>
      </c>
      <c r="M1098" s="114">
        <v>0</v>
      </c>
      <c r="N1098" s="113">
        <v>0</v>
      </c>
      <c r="O1098" s="113">
        <v>0</v>
      </c>
      <c r="P1098" s="116">
        <v>0</v>
      </c>
      <c r="Q1098" s="116">
        <v>0</v>
      </c>
      <c r="R1098" s="116">
        <v>0</v>
      </c>
      <c r="S1098" s="114">
        <v>0</v>
      </c>
      <c r="T1098" s="116">
        <v>0</v>
      </c>
      <c r="U1098" s="116">
        <v>0</v>
      </c>
      <c r="V1098" s="121">
        <f t="shared" si="56"/>
        <v>0</v>
      </c>
      <c r="W1098" s="111"/>
      <c r="X1098" s="111"/>
      <c r="Y1098" s="111"/>
      <c r="Z1098" s="111"/>
      <c r="AA1098" s="111"/>
      <c r="AB1098" s="111"/>
      <c r="AC1098" s="111"/>
      <c r="AD1098" s="111"/>
      <c r="AE1098" s="139">
        <f t="shared" si="55"/>
        <v>0</v>
      </c>
      <c r="AF1098" s="109"/>
      <c r="AG1098" s="109"/>
    </row>
    <row r="1099" spans="1:33">
      <c r="A1099" s="117"/>
      <c r="B1099" s="118"/>
      <c r="C1099" s="118"/>
      <c r="D1099" s="118"/>
      <c r="E1099" s="119"/>
      <c r="F1099" s="118"/>
      <c r="G1099" s="110"/>
      <c r="H1099" s="126"/>
      <c r="I1099" s="114">
        <v>0</v>
      </c>
      <c r="J1099" s="115">
        <v>0</v>
      </c>
      <c r="K1099" s="116">
        <v>0</v>
      </c>
      <c r="L1099" s="116">
        <v>0</v>
      </c>
      <c r="M1099" s="114">
        <v>0</v>
      </c>
      <c r="N1099" s="113">
        <v>0</v>
      </c>
      <c r="O1099" s="113">
        <v>0</v>
      </c>
      <c r="P1099" s="116">
        <v>0</v>
      </c>
      <c r="Q1099" s="116">
        <v>0</v>
      </c>
      <c r="R1099" s="116">
        <v>0</v>
      </c>
      <c r="S1099" s="114">
        <v>0</v>
      </c>
      <c r="T1099" s="116">
        <v>0</v>
      </c>
      <c r="U1099" s="116">
        <v>0</v>
      </c>
      <c r="V1099" s="121">
        <f t="shared" si="56"/>
        <v>0</v>
      </c>
      <c r="W1099" s="111"/>
      <c r="X1099" s="111"/>
      <c r="Y1099" s="111"/>
      <c r="Z1099" s="111"/>
      <c r="AA1099" s="111"/>
      <c r="AB1099" s="111"/>
      <c r="AC1099" s="111"/>
      <c r="AD1099" s="111"/>
      <c r="AE1099" s="139">
        <f t="shared" si="55"/>
        <v>0</v>
      </c>
      <c r="AF1099" s="109"/>
      <c r="AG1099" s="109"/>
    </row>
    <row r="1100" spans="1:33">
      <c r="A1100" s="117"/>
      <c r="B1100" s="118"/>
      <c r="C1100" s="118"/>
      <c r="D1100" s="118"/>
      <c r="E1100" s="119"/>
      <c r="F1100" s="118"/>
      <c r="G1100" s="110"/>
      <c r="H1100" s="126"/>
      <c r="I1100" s="114">
        <v>0</v>
      </c>
      <c r="J1100" s="115">
        <v>0</v>
      </c>
      <c r="K1100" s="116">
        <v>0</v>
      </c>
      <c r="L1100" s="116">
        <v>0</v>
      </c>
      <c r="M1100" s="114">
        <v>0</v>
      </c>
      <c r="N1100" s="113">
        <v>0</v>
      </c>
      <c r="O1100" s="113">
        <v>0</v>
      </c>
      <c r="P1100" s="116">
        <v>0</v>
      </c>
      <c r="Q1100" s="116">
        <v>0</v>
      </c>
      <c r="R1100" s="116">
        <v>0</v>
      </c>
      <c r="S1100" s="114">
        <v>0</v>
      </c>
      <c r="T1100" s="116">
        <v>0</v>
      </c>
      <c r="U1100" s="116">
        <v>0</v>
      </c>
      <c r="V1100" s="121">
        <f t="shared" si="56"/>
        <v>0</v>
      </c>
      <c r="W1100" s="111"/>
      <c r="X1100" s="111"/>
      <c r="Y1100" s="111"/>
      <c r="Z1100" s="111"/>
      <c r="AA1100" s="111"/>
      <c r="AB1100" s="111"/>
      <c r="AC1100" s="111"/>
      <c r="AD1100" s="111"/>
      <c r="AE1100" s="139">
        <f t="shared" si="55"/>
        <v>0</v>
      </c>
      <c r="AF1100" s="109"/>
      <c r="AG1100" s="109"/>
    </row>
    <row r="1101" spans="1:33">
      <c r="A1101" s="117"/>
      <c r="B1101" s="118"/>
      <c r="C1101" s="118"/>
      <c r="D1101" s="118"/>
      <c r="E1101" s="119"/>
      <c r="F1101" s="118"/>
      <c r="G1101" s="110"/>
      <c r="H1101" s="126"/>
      <c r="I1101" s="114">
        <v>0</v>
      </c>
      <c r="J1101" s="115">
        <v>0</v>
      </c>
      <c r="K1101" s="116">
        <v>0</v>
      </c>
      <c r="L1101" s="116">
        <v>0</v>
      </c>
      <c r="M1101" s="114">
        <v>0</v>
      </c>
      <c r="N1101" s="113">
        <v>0</v>
      </c>
      <c r="O1101" s="113">
        <v>0</v>
      </c>
      <c r="P1101" s="116">
        <v>0</v>
      </c>
      <c r="Q1101" s="116">
        <v>0</v>
      </c>
      <c r="R1101" s="116">
        <v>0</v>
      </c>
      <c r="S1101" s="114">
        <v>0</v>
      </c>
      <c r="T1101" s="116">
        <v>0</v>
      </c>
      <c r="U1101" s="116">
        <v>0</v>
      </c>
      <c r="V1101" s="121">
        <f t="shared" si="56"/>
        <v>0</v>
      </c>
      <c r="W1101" s="111"/>
      <c r="X1101" s="111"/>
      <c r="Y1101" s="111"/>
      <c r="Z1101" s="111"/>
      <c r="AA1101" s="111"/>
      <c r="AB1101" s="111"/>
      <c r="AC1101" s="111"/>
      <c r="AD1101" s="111"/>
      <c r="AE1101" s="139">
        <f t="shared" si="55"/>
        <v>0</v>
      </c>
      <c r="AF1101" s="109"/>
      <c r="AG1101" s="109"/>
    </row>
    <row r="1102" spans="1:33">
      <c r="A1102" s="117"/>
      <c r="B1102" s="118"/>
      <c r="C1102" s="118"/>
      <c r="D1102" s="118"/>
      <c r="E1102" s="119"/>
      <c r="F1102" s="118"/>
      <c r="G1102" s="110"/>
      <c r="H1102" s="126"/>
      <c r="I1102" s="114">
        <v>0</v>
      </c>
      <c r="J1102" s="115">
        <v>0</v>
      </c>
      <c r="K1102" s="116">
        <v>0</v>
      </c>
      <c r="L1102" s="116">
        <v>0</v>
      </c>
      <c r="M1102" s="114">
        <v>0</v>
      </c>
      <c r="N1102" s="113">
        <v>0</v>
      </c>
      <c r="O1102" s="113">
        <v>0</v>
      </c>
      <c r="P1102" s="116">
        <v>0</v>
      </c>
      <c r="Q1102" s="116">
        <v>0</v>
      </c>
      <c r="R1102" s="116">
        <v>0</v>
      </c>
      <c r="S1102" s="114">
        <v>0</v>
      </c>
      <c r="T1102" s="116">
        <v>0</v>
      </c>
      <c r="U1102" s="116">
        <v>0</v>
      </c>
      <c r="V1102" s="121">
        <f t="shared" si="56"/>
        <v>0</v>
      </c>
      <c r="W1102" s="111"/>
      <c r="X1102" s="111"/>
      <c r="Y1102" s="111"/>
      <c r="Z1102" s="111"/>
      <c r="AA1102" s="111"/>
      <c r="AB1102" s="111"/>
      <c r="AC1102" s="111"/>
      <c r="AD1102" s="111"/>
      <c r="AE1102" s="139">
        <f t="shared" si="55"/>
        <v>0</v>
      </c>
      <c r="AF1102" s="109"/>
      <c r="AG1102" s="109"/>
    </row>
    <row r="1103" spans="1:33">
      <c r="A1103" s="117"/>
      <c r="B1103" s="118"/>
      <c r="C1103" s="118"/>
      <c r="D1103" s="118"/>
      <c r="E1103" s="119"/>
      <c r="F1103" s="118"/>
      <c r="G1103" s="110"/>
      <c r="H1103" s="126"/>
      <c r="I1103" s="114">
        <v>0</v>
      </c>
      <c r="J1103" s="115">
        <v>0</v>
      </c>
      <c r="K1103" s="116">
        <v>0</v>
      </c>
      <c r="L1103" s="116">
        <v>0</v>
      </c>
      <c r="M1103" s="114">
        <v>0</v>
      </c>
      <c r="N1103" s="113">
        <v>0</v>
      </c>
      <c r="O1103" s="113">
        <v>0</v>
      </c>
      <c r="P1103" s="116">
        <v>0</v>
      </c>
      <c r="Q1103" s="116">
        <v>0</v>
      </c>
      <c r="R1103" s="116">
        <v>0</v>
      </c>
      <c r="S1103" s="114">
        <v>0</v>
      </c>
      <c r="T1103" s="116">
        <v>0</v>
      </c>
      <c r="U1103" s="116">
        <v>0</v>
      </c>
      <c r="V1103" s="121">
        <f t="shared" si="56"/>
        <v>0</v>
      </c>
      <c r="W1103" s="111"/>
      <c r="X1103" s="111"/>
      <c r="Y1103" s="111"/>
      <c r="Z1103" s="111"/>
      <c r="AA1103" s="111"/>
      <c r="AB1103" s="111"/>
      <c r="AC1103" s="111"/>
      <c r="AD1103" s="111"/>
      <c r="AE1103" s="139">
        <f t="shared" si="55"/>
        <v>0</v>
      </c>
      <c r="AF1103" s="109"/>
      <c r="AG1103" s="109"/>
    </row>
    <row r="1104" spans="1:33">
      <c r="A1104" s="117"/>
      <c r="B1104" s="118"/>
      <c r="C1104" s="118"/>
      <c r="D1104" s="118"/>
      <c r="E1104" s="119"/>
      <c r="F1104" s="118"/>
      <c r="G1104" s="110"/>
      <c r="H1104" s="126"/>
      <c r="I1104" s="114">
        <v>0</v>
      </c>
      <c r="J1104" s="115">
        <v>0</v>
      </c>
      <c r="K1104" s="116">
        <v>0</v>
      </c>
      <c r="L1104" s="116">
        <v>0</v>
      </c>
      <c r="M1104" s="114">
        <v>0</v>
      </c>
      <c r="N1104" s="113">
        <v>0</v>
      </c>
      <c r="O1104" s="113">
        <v>0</v>
      </c>
      <c r="P1104" s="116">
        <v>0</v>
      </c>
      <c r="Q1104" s="116">
        <v>0</v>
      </c>
      <c r="R1104" s="116">
        <v>0</v>
      </c>
      <c r="S1104" s="114">
        <v>0</v>
      </c>
      <c r="T1104" s="116">
        <v>0</v>
      </c>
      <c r="U1104" s="116">
        <v>0</v>
      </c>
      <c r="V1104" s="121">
        <f t="shared" si="56"/>
        <v>0</v>
      </c>
      <c r="W1104" s="111"/>
      <c r="X1104" s="111"/>
      <c r="Y1104" s="111"/>
      <c r="Z1104" s="111"/>
      <c r="AA1104" s="111"/>
      <c r="AB1104" s="111"/>
      <c r="AC1104" s="111"/>
      <c r="AD1104" s="111"/>
      <c r="AE1104" s="139">
        <f t="shared" si="55"/>
        <v>0</v>
      </c>
      <c r="AF1104" s="109"/>
      <c r="AG1104" s="109"/>
    </row>
    <row r="1105" spans="1:33">
      <c r="A1105" s="117"/>
      <c r="B1105" s="118"/>
      <c r="C1105" s="118"/>
      <c r="D1105" s="118"/>
      <c r="E1105" s="119"/>
      <c r="F1105" s="118"/>
      <c r="G1105" s="110"/>
      <c r="H1105" s="126"/>
      <c r="I1105" s="114">
        <v>0</v>
      </c>
      <c r="J1105" s="115">
        <v>0</v>
      </c>
      <c r="K1105" s="116">
        <v>0</v>
      </c>
      <c r="L1105" s="116">
        <v>0</v>
      </c>
      <c r="M1105" s="114">
        <v>0</v>
      </c>
      <c r="N1105" s="113">
        <v>0</v>
      </c>
      <c r="O1105" s="113">
        <v>0</v>
      </c>
      <c r="P1105" s="116">
        <v>0</v>
      </c>
      <c r="Q1105" s="116">
        <v>0</v>
      </c>
      <c r="R1105" s="116">
        <v>0</v>
      </c>
      <c r="S1105" s="114">
        <v>0</v>
      </c>
      <c r="T1105" s="116">
        <v>0</v>
      </c>
      <c r="U1105" s="116">
        <v>0</v>
      </c>
      <c r="V1105" s="121">
        <f t="shared" si="56"/>
        <v>0</v>
      </c>
      <c r="W1105" s="111"/>
      <c r="X1105" s="111"/>
      <c r="Y1105" s="111"/>
      <c r="Z1105" s="111"/>
      <c r="AA1105" s="111"/>
      <c r="AB1105" s="111"/>
      <c r="AC1105" s="111"/>
      <c r="AD1105" s="111"/>
      <c r="AE1105" s="139">
        <f t="shared" si="55"/>
        <v>0</v>
      </c>
      <c r="AF1105" s="109"/>
      <c r="AG1105" s="109"/>
    </row>
    <row r="1106" spans="1:33">
      <c r="A1106" s="117"/>
      <c r="B1106" s="118"/>
      <c r="C1106" s="118"/>
      <c r="D1106" s="118"/>
      <c r="E1106" s="119"/>
      <c r="F1106" s="118"/>
      <c r="G1106" s="110"/>
      <c r="H1106" s="126"/>
      <c r="I1106" s="114">
        <v>0</v>
      </c>
      <c r="J1106" s="115">
        <v>0</v>
      </c>
      <c r="K1106" s="116">
        <v>0</v>
      </c>
      <c r="L1106" s="116">
        <v>0</v>
      </c>
      <c r="M1106" s="114">
        <v>0</v>
      </c>
      <c r="N1106" s="113">
        <v>0</v>
      </c>
      <c r="O1106" s="113">
        <v>0</v>
      </c>
      <c r="P1106" s="116">
        <v>0</v>
      </c>
      <c r="Q1106" s="116">
        <v>0</v>
      </c>
      <c r="R1106" s="116">
        <v>0</v>
      </c>
      <c r="S1106" s="114">
        <v>0</v>
      </c>
      <c r="T1106" s="116">
        <v>0</v>
      </c>
      <c r="U1106" s="116">
        <v>0</v>
      </c>
      <c r="V1106" s="121">
        <f t="shared" si="56"/>
        <v>0</v>
      </c>
      <c r="W1106" s="111"/>
      <c r="X1106" s="111"/>
      <c r="Y1106" s="111"/>
      <c r="Z1106" s="111"/>
      <c r="AA1106" s="111"/>
      <c r="AB1106" s="111"/>
      <c r="AC1106" s="111"/>
      <c r="AD1106" s="111"/>
      <c r="AE1106" s="139">
        <f t="shared" si="55"/>
        <v>0</v>
      </c>
      <c r="AF1106" s="109"/>
      <c r="AG1106" s="109"/>
    </row>
    <row r="1107" spans="1:33">
      <c r="A1107" s="117"/>
      <c r="B1107" s="118"/>
      <c r="C1107" s="118"/>
      <c r="D1107" s="118"/>
      <c r="E1107" s="119"/>
      <c r="F1107" s="118"/>
      <c r="G1107" s="110"/>
      <c r="H1107" s="126"/>
      <c r="I1107" s="114">
        <v>0</v>
      </c>
      <c r="J1107" s="115">
        <v>0</v>
      </c>
      <c r="K1107" s="116">
        <v>0</v>
      </c>
      <c r="L1107" s="116">
        <v>0</v>
      </c>
      <c r="M1107" s="114">
        <v>0</v>
      </c>
      <c r="N1107" s="113">
        <v>0</v>
      </c>
      <c r="O1107" s="113">
        <v>0</v>
      </c>
      <c r="P1107" s="116">
        <v>0</v>
      </c>
      <c r="Q1107" s="116">
        <v>0</v>
      </c>
      <c r="R1107" s="116">
        <v>0</v>
      </c>
      <c r="S1107" s="114">
        <v>0</v>
      </c>
      <c r="T1107" s="116">
        <v>0</v>
      </c>
      <c r="U1107" s="116">
        <v>0</v>
      </c>
      <c r="V1107" s="121">
        <f t="shared" si="56"/>
        <v>0</v>
      </c>
      <c r="W1107" s="111"/>
      <c r="X1107" s="111"/>
      <c r="Y1107" s="111"/>
      <c r="Z1107" s="111"/>
      <c r="AA1107" s="111"/>
      <c r="AB1107" s="111"/>
      <c r="AC1107" s="111"/>
      <c r="AD1107" s="111"/>
      <c r="AE1107" s="139">
        <f t="shared" si="55"/>
        <v>0</v>
      </c>
      <c r="AF1107" s="109"/>
      <c r="AG1107" s="109"/>
    </row>
    <row r="1108" spans="1:33">
      <c r="A1108" s="117"/>
      <c r="B1108" s="118"/>
      <c r="C1108" s="118"/>
      <c r="D1108" s="118"/>
      <c r="E1108" s="119"/>
      <c r="F1108" s="118"/>
      <c r="G1108" s="110"/>
      <c r="H1108" s="126"/>
      <c r="I1108" s="114">
        <v>0</v>
      </c>
      <c r="J1108" s="115">
        <v>0</v>
      </c>
      <c r="K1108" s="116">
        <v>0</v>
      </c>
      <c r="L1108" s="116">
        <v>0</v>
      </c>
      <c r="M1108" s="114">
        <v>0</v>
      </c>
      <c r="N1108" s="113">
        <v>0</v>
      </c>
      <c r="O1108" s="113">
        <v>0</v>
      </c>
      <c r="P1108" s="116">
        <v>0</v>
      </c>
      <c r="Q1108" s="116">
        <v>0</v>
      </c>
      <c r="R1108" s="116">
        <v>0</v>
      </c>
      <c r="S1108" s="114">
        <v>0</v>
      </c>
      <c r="T1108" s="116">
        <v>0</v>
      </c>
      <c r="U1108" s="116">
        <v>0</v>
      </c>
      <c r="V1108" s="121">
        <f t="shared" si="56"/>
        <v>0</v>
      </c>
      <c r="W1108" s="111"/>
      <c r="X1108" s="111"/>
      <c r="Y1108" s="111"/>
      <c r="Z1108" s="111"/>
      <c r="AA1108" s="111"/>
      <c r="AB1108" s="111"/>
      <c r="AC1108" s="111"/>
      <c r="AD1108" s="111"/>
      <c r="AE1108" s="139">
        <f t="shared" si="55"/>
        <v>0</v>
      </c>
      <c r="AF1108" s="109"/>
      <c r="AG1108" s="109"/>
    </row>
    <row r="1109" spans="1:33">
      <c r="A1109" s="117"/>
      <c r="B1109" s="118"/>
      <c r="C1109" s="118"/>
      <c r="D1109" s="118"/>
      <c r="E1109" s="119"/>
      <c r="F1109" s="118"/>
      <c r="G1109" s="110"/>
      <c r="H1109" s="126"/>
      <c r="I1109" s="114">
        <v>0</v>
      </c>
      <c r="J1109" s="115">
        <v>0</v>
      </c>
      <c r="K1109" s="116">
        <v>0</v>
      </c>
      <c r="L1109" s="116">
        <v>0</v>
      </c>
      <c r="M1109" s="114">
        <v>0</v>
      </c>
      <c r="N1109" s="113">
        <v>0</v>
      </c>
      <c r="O1109" s="113">
        <v>0</v>
      </c>
      <c r="P1109" s="116">
        <v>0</v>
      </c>
      <c r="Q1109" s="116">
        <v>0</v>
      </c>
      <c r="R1109" s="116">
        <v>0</v>
      </c>
      <c r="S1109" s="114">
        <v>0</v>
      </c>
      <c r="T1109" s="116">
        <v>0</v>
      </c>
      <c r="U1109" s="116">
        <v>0</v>
      </c>
      <c r="V1109" s="121">
        <f t="shared" si="56"/>
        <v>0</v>
      </c>
      <c r="W1109" s="111"/>
      <c r="X1109" s="111"/>
      <c r="Y1109" s="111"/>
      <c r="Z1109" s="111"/>
      <c r="AA1109" s="111"/>
      <c r="AB1109" s="111"/>
      <c r="AC1109" s="111"/>
      <c r="AD1109" s="111"/>
      <c r="AE1109" s="139">
        <f t="shared" si="55"/>
        <v>0</v>
      </c>
      <c r="AF1109" s="109"/>
      <c r="AG1109" s="109"/>
    </row>
    <row r="1110" spans="1:33">
      <c r="A1110" s="117"/>
      <c r="B1110" s="118"/>
      <c r="C1110" s="118"/>
      <c r="D1110" s="118"/>
      <c r="E1110" s="119"/>
      <c r="F1110" s="118"/>
      <c r="G1110" s="110"/>
      <c r="H1110" s="126"/>
      <c r="I1110" s="114">
        <v>0</v>
      </c>
      <c r="J1110" s="115">
        <v>0</v>
      </c>
      <c r="K1110" s="116">
        <v>0</v>
      </c>
      <c r="L1110" s="116">
        <v>0</v>
      </c>
      <c r="M1110" s="114">
        <v>0</v>
      </c>
      <c r="N1110" s="113">
        <v>0</v>
      </c>
      <c r="O1110" s="113">
        <v>0</v>
      </c>
      <c r="P1110" s="116">
        <v>0</v>
      </c>
      <c r="Q1110" s="116">
        <v>0</v>
      </c>
      <c r="R1110" s="116">
        <v>0</v>
      </c>
      <c r="S1110" s="114">
        <v>0</v>
      </c>
      <c r="T1110" s="116">
        <v>0</v>
      </c>
      <c r="U1110" s="116">
        <v>0</v>
      </c>
      <c r="V1110" s="121">
        <f t="shared" si="56"/>
        <v>0</v>
      </c>
      <c r="W1110" s="111"/>
      <c r="X1110" s="111"/>
      <c r="Y1110" s="111"/>
      <c r="Z1110" s="111"/>
      <c r="AA1110" s="111"/>
      <c r="AB1110" s="111"/>
      <c r="AC1110" s="111"/>
      <c r="AD1110" s="111"/>
      <c r="AE1110" s="139">
        <f t="shared" si="55"/>
        <v>0</v>
      </c>
      <c r="AF1110" s="109"/>
      <c r="AG1110" s="109"/>
    </row>
    <row r="1111" spans="1:33">
      <c r="A1111" s="117"/>
      <c r="B1111" s="118"/>
      <c r="C1111" s="118"/>
      <c r="D1111" s="118"/>
      <c r="E1111" s="119"/>
      <c r="F1111" s="118"/>
      <c r="G1111" s="110"/>
      <c r="H1111" s="126"/>
      <c r="I1111" s="114">
        <v>0</v>
      </c>
      <c r="J1111" s="115">
        <v>0</v>
      </c>
      <c r="K1111" s="116">
        <v>0</v>
      </c>
      <c r="L1111" s="116">
        <v>0</v>
      </c>
      <c r="M1111" s="114">
        <v>0</v>
      </c>
      <c r="N1111" s="113">
        <v>0</v>
      </c>
      <c r="O1111" s="113">
        <v>0</v>
      </c>
      <c r="P1111" s="116">
        <v>0</v>
      </c>
      <c r="Q1111" s="116">
        <v>0</v>
      </c>
      <c r="R1111" s="116">
        <v>0</v>
      </c>
      <c r="S1111" s="114">
        <v>0</v>
      </c>
      <c r="T1111" s="116">
        <v>0</v>
      </c>
      <c r="U1111" s="116">
        <v>0</v>
      </c>
      <c r="V1111" s="121">
        <f t="shared" si="56"/>
        <v>0</v>
      </c>
      <c r="W1111" s="111"/>
      <c r="X1111" s="111"/>
      <c r="Y1111" s="111"/>
      <c r="Z1111" s="111"/>
      <c r="AA1111" s="111"/>
      <c r="AB1111" s="111"/>
      <c r="AC1111" s="111"/>
      <c r="AD1111" s="111"/>
      <c r="AE1111" s="139">
        <f t="shared" si="55"/>
        <v>0</v>
      </c>
      <c r="AF1111" s="109"/>
      <c r="AG1111" s="109"/>
    </row>
    <row r="1112" spans="1:33">
      <c r="A1112" s="117"/>
      <c r="B1112" s="118"/>
      <c r="C1112" s="118"/>
      <c r="D1112" s="118"/>
      <c r="E1112" s="119"/>
      <c r="F1112" s="118"/>
      <c r="G1112" s="110"/>
      <c r="H1112" s="126"/>
      <c r="I1112" s="114">
        <v>0</v>
      </c>
      <c r="J1112" s="115">
        <v>0</v>
      </c>
      <c r="K1112" s="116">
        <v>0</v>
      </c>
      <c r="L1112" s="116">
        <v>0</v>
      </c>
      <c r="M1112" s="114">
        <v>0</v>
      </c>
      <c r="N1112" s="113">
        <v>0</v>
      </c>
      <c r="O1112" s="113">
        <v>0</v>
      </c>
      <c r="P1112" s="116">
        <v>0</v>
      </c>
      <c r="Q1112" s="116">
        <v>0</v>
      </c>
      <c r="R1112" s="116">
        <v>0</v>
      </c>
      <c r="S1112" s="114">
        <v>0</v>
      </c>
      <c r="T1112" s="116">
        <v>0</v>
      </c>
      <c r="U1112" s="116">
        <v>0</v>
      </c>
      <c r="V1112" s="121">
        <f t="shared" si="56"/>
        <v>0</v>
      </c>
      <c r="W1112" s="111"/>
      <c r="X1112" s="111"/>
      <c r="Y1112" s="111"/>
      <c r="Z1112" s="111"/>
      <c r="AA1112" s="111"/>
      <c r="AB1112" s="111"/>
      <c r="AC1112" s="111"/>
      <c r="AD1112" s="111"/>
      <c r="AE1112" s="139">
        <f t="shared" si="55"/>
        <v>0</v>
      </c>
      <c r="AF1112" s="109"/>
      <c r="AG1112" s="109"/>
    </row>
    <row r="1113" spans="1:33">
      <c r="A1113" s="117"/>
      <c r="B1113" s="118"/>
      <c r="C1113" s="118"/>
      <c r="D1113" s="118"/>
      <c r="E1113" s="119"/>
      <c r="F1113" s="118"/>
      <c r="G1113" s="110"/>
      <c r="H1113" s="126"/>
      <c r="I1113" s="114">
        <v>0</v>
      </c>
      <c r="J1113" s="115">
        <v>0</v>
      </c>
      <c r="K1113" s="116">
        <v>0</v>
      </c>
      <c r="L1113" s="116">
        <v>0</v>
      </c>
      <c r="M1113" s="114">
        <v>0</v>
      </c>
      <c r="N1113" s="113">
        <v>0</v>
      </c>
      <c r="O1113" s="113">
        <v>0</v>
      </c>
      <c r="P1113" s="116">
        <v>0</v>
      </c>
      <c r="Q1113" s="116">
        <v>0</v>
      </c>
      <c r="R1113" s="116">
        <v>0</v>
      </c>
      <c r="S1113" s="114">
        <v>0</v>
      </c>
      <c r="T1113" s="116">
        <v>0</v>
      </c>
      <c r="U1113" s="116">
        <v>0</v>
      </c>
      <c r="V1113" s="121">
        <f t="shared" si="56"/>
        <v>0</v>
      </c>
      <c r="W1113" s="111"/>
      <c r="X1113" s="111"/>
      <c r="Y1113" s="111"/>
      <c r="Z1113" s="111"/>
      <c r="AA1113" s="111"/>
      <c r="AB1113" s="111"/>
      <c r="AC1113" s="111"/>
      <c r="AD1113" s="111"/>
      <c r="AE1113" s="139">
        <f t="shared" si="55"/>
        <v>0</v>
      </c>
      <c r="AF1113" s="109"/>
      <c r="AG1113" s="109"/>
    </row>
    <row r="1114" spans="1:33">
      <c r="A1114" s="117"/>
      <c r="B1114" s="118"/>
      <c r="C1114" s="118"/>
      <c r="D1114" s="118"/>
      <c r="E1114" s="119"/>
      <c r="F1114" s="118"/>
      <c r="G1114" s="110"/>
      <c r="H1114" s="126"/>
      <c r="I1114" s="114">
        <v>0</v>
      </c>
      <c r="J1114" s="115">
        <v>0</v>
      </c>
      <c r="K1114" s="116">
        <v>0</v>
      </c>
      <c r="L1114" s="116">
        <v>0</v>
      </c>
      <c r="M1114" s="114">
        <v>0</v>
      </c>
      <c r="N1114" s="113">
        <v>0</v>
      </c>
      <c r="O1114" s="113">
        <v>0</v>
      </c>
      <c r="P1114" s="116">
        <v>0</v>
      </c>
      <c r="Q1114" s="116">
        <v>0</v>
      </c>
      <c r="R1114" s="116">
        <v>0</v>
      </c>
      <c r="S1114" s="114">
        <v>0</v>
      </c>
      <c r="T1114" s="116">
        <v>0</v>
      </c>
      <c r="U1114" s="116">
        <v>0</v>
      </c>
      <c r="V1114" s="121">
        <f t="shared" si="56"/>
        <v>0</v>
      </c>
      <c r="W1114" s="111"/>
      <c r="X1114" s="111"/>
      <c r="Y1114" s="111"/>
      <c r="Z1114" s="111"/>
      <c r="AA1114" s="111"/>
      <c r="AB1114" s="111"/>
      <c r="AC1114" s="111"/>
      <c r="AD1114" s="111"/>
      <c r="AE1114" s="139">
        <f t="shared" si="55"/>
        <v>0</v>
      </c>
      <c r="AF1114" s="109"/>
      <c r="AG1114" s="109"/>
    </row>
    <row r="1115" spans="1:33">
      <c r="A1115" s="117"/>
      <c r="B1115" s="118"/>
      <c r="C1115" s="118"/>
      <c r="D1115" s="118"/>
      <c r="E1115" s="119"/>
      <c r="F1115" s="118"/>
      <c r="G1115" s="110"/>
      <c r="H1115" s="126"/>
      <c r="I1115" s="114">
        <v>0</v>
      </c>
      <c r="J1115" s="115">
        <v>0</v>
      </c>
      <c r="K1115" s="116">
        <v>0</v>
      </c>
      <c r="L1115" s="116">
        <v>0</v>
      </c>
      <c r="M1115" s="114">
        <v>0</v>
      </c>
      <c r="N1115" s="113">
        <v>0</v>
      </c>
      <c r="O1115" s="113">
        <v>0</v>
      </c>
      <c r="P1115" s="116">
        <v>0</v>
      </c>
      <c r="Q1115" s="116">
        <v>0</v>
      </c>
      <c r="R1115" s="116">
        <v>0</v>
      </c>
      <c r="S1115" s="114">
        <v>0</v>
      </c>
      <c r="T1115" s="116">
        <v>0</v>
      </c>
      <c r="U1115" s="116">
        <v>0</v>
      </c>
      <c r="V1115" s="121">
        <f t="shared" si="56"/>
        <v>0</v>
      </c>
      <c r="W1115" s="111"/>
      <c r="X1115" s="111"/>
      <c r="Y1115" s="111"/>
      <c r="Z1115" s="111"/>
      <c r="AA1115" s="111"/>
      <c r="AB1115" s="111"/>
      <c r="AC1115" s="111"/>
      <c r="AD1115" s="111"/>
      <c r="AE1115" s="139">
        <f t="shared" si="55"/>
        <v>0</v>
      </c>
      <c r="AF1115" s="109"/>
      <c r="AG1115" s="109"/>
    </row>
    <row r="1116" spans="1:33">
      <c r="A1116" s="117"/>
      <c r="B1116" s="118"/>
      <c r="C1116" s="118"/>
      <c r="D1116" s="118"/>
      <c r="E1116" s="119"/>
      <c r="F1116" s="118"/>
      <c r="G1116" s="110"/>
      <c r="H1116" s="126"/>
      <c r="I1116" s="114">
        <v>0</v>
      </c>
      <c r="J1116" s="115">
        <v>0</v>
      </c>
      <c r="K1116" s="116">
        <v>0</v>
      </c>
      <c r="L1116" s="116">
        <v>0</v>
      </c>
      <c r="M1116" s="114">
        <v>0</v>
      </c>
      <c r="N1116" s="113">
        <v>0</v>
      </c>
      <c r="O1116" s="113">
        <v>0</v>
      </c>
      <c r="P1116" s="116">
        <v>0</v>
      </c>
      <c r="Q1116" s="116">
        <v>0</v>
      </c>
      <c r="R1116" s="116">
        <v>0</v>
      </c>
      <c r="S1116" s="114">
        <v>0</v>
      </c>
      <c r="T1116" s="116">
        <v>0</v>
      </c>
      <c r="U1116" s="116">
        <v>0</v>
      </c>
      <c r="V1116" s="121">
        <f t="shared" si="56"/>
        <v>0</v>
      </c>
      <c r="W1116" s="111"/>
      <c r="X1116" s="111"/>
      <c r="Y1116" s="111"/>
      <c r="Z1116" s="111"/>
      <c r="AA1116" s="111"/>
      <c r="AB1116" s="111"/>
      <c r="AC1116" s="111"/>
      <c r="AD1116" s="111"/>
      <c r="AE1116" s="139">
        <f t="shared" si="55"/>
        <v>0</v>
      </c>
      <c r="AF1116" s="109"/>
      <c r="AG1116" s="109"/>
    </row>
    <row r="1117" spans="1:33">
      <c r="A1117" s="117"/>
      <c r="B1117" s="118"/>
      <c r="C1117" s="118"/>
      <c r="D1117" s="118"/>
      <c r="E1117" s="119"/>
      <c r="F1117" s="118"/>
      <c r="G1117" s="110"/>
      <c r="H1117" s="126"/>
      <c r="I1117" s="114">
        <v>0</v>
      </c>
      <c r="J1117" s="115">
        <v>0</v>
      </c>
      <c r="K1117" s="116">
        <v>0</v>
      </c>
      <c r="L1117" s="116">
        <v>0</v>
      </c>
      <c r="M1117" s="114">
        <v>0</v>
      </c>
      <c r="N1117" s="113">
        <v>0</v>
      </c>
      <c r="O1117" s="113">
        <v>0</v>
      </c>
      <c r="P1117" s="116">
        <v>0</v>
      </c>
      <c r="Q1117" s="116">
        <v>0</v>
      </c>
      <c r="R1117" s="116">
        <v>0</v>
      </c>
      <c r="S1117" s="114">
        <v>0</v>
      </c>
      <c r="T1117" s="116">
        <v>0</v>
      </c>
      <c r="U1117" s="116">
        <v>0</v>
      </c>
      <c r="V1117" s="121">
        <f t="shared" si="56"/>
        <v>0</v>
      </c>
      <c r="W1117" s="111"/>
      <c r="X1117" s="111"/>
      <c r="Y1117" s="111"/>
      <c r="Z1117" s="111"/>
      <c r="AA1117" s="111"/>
      <c r="AB1117" s="111"/>
      <c r="AC1117" s="111"/>
      <c r="AD1117" s="111"/>
      <c r="AE1117" s="139">
        <f t="shared" si="55"/>
        <v>0</v>
      </c>
      <c r="AF1117" s="109"/>
      <c r="AG1117" s="109"/>
    </row>
    <row r="1118" spans="1:33">
      <c r="A1118" s="117"/>
      <c r="B1118" s="118"/>
      <c r="C1118" s="118"/>
      <c r="D1118" s="118"/>
      <c r="E1118" s="119"/>
      <c r="F1118" s="118"/>
      <c r="G1118" s="110"/>
      <c r="H1118" s="126"/>
      <c r="I1118" s="114">
        <v>0</v>
      </c>
      <c r="J1118" s="115">
        <v>0</v>
      </c>
      <c r="K1118" s="116">
        <v>0</v>
      </c>
      <c r="L1118" s="116">
        <v>0</v>
      </c>
      <c r="M1118" s="114">
        <v>0</v>
      </c>
      <c r="N1118" s="113">
        <v>0</v>
      </c>
      <c r="O1118" s="113">
        <v>0</v>
      </c>
      <c r="P1118" s="116">
        <v>0</v>
      </c>
      <c r="Q1118" s="116">
        <v>0</v>
      </c>
      <c r="R1118" s="116">
        <v>0</v>
      </c>
      <c r="S1118" s="114">
        <v>0</v>
      </c>
      <c r="T1118" s="116">
        <v>0</v>
      </c>
      <c r="U1118" s="116">
        <v>0</v>
      </c>
      <c r="V1118" s="121">
        <f t="shared" si="56"/>
        <v>0</v>
      </c>
      <c r="W1118" s="111"/>
      <c r="X1118" s="111"/>
      <c r="Y1118" s="111"/>
      <c r="Z1118" s="111"/>
      <c r="AA1118" s="111"/>
      <c r="AB1118" s="111"/>
      <c r="AC1118" s="111"/>
      <c r="AD1118" s="111"/>
      <c r="AE1118" s="139">
        <f t="shared" si="55"/>
        <v>0</v>
      </c>
      <c r="AF1118" s="109"/>
      <c r="AG1118" s="109"/>
    </row>
    <row r="1119" spans="1:33">
      <c r="A1119" s="117"/>
      <c r="B1119" s="118"/>
      <c r="C1119" s="118"/>
      <c r="D1119" s="118"/>
      <c r="E1119" s="119"/>
      <c r="F1119" s="118"/>
      <c r="G1119" s="110"/>
      <c r="H1119" s="126"/>
      <c r="I1119" s="114">
        <v>0</v>
      </c>
      <c r="J1119" s="115">
        <v>0</v>
      </c>
      <c r="K1119" s="116">
        <v>0</v>
      </c>
      <c r="L1119" s="116">
        <v>0</v>
      </c>
      <c r="M1119" s="114">
        <v>0</v>
      </c>
      <c r="N1119" s="113">
        <v>0</v>
      </c>
      <c r="O1119" s="113">
        <v>0</v>
      </c>
      <c r="P1119" s="116">
        <v>0</v>
      </c>
      <c r="Q1119" s="116">
        <v>0</v>
      </c>
      <c r="R1119" s="116">
        <v>0</v>
      </c>
      <c r="S1119" s="114">
        <v>0</v>
      </c>
      <c r="T1119" s="116">
        <v>0</v>
      </c>
      <c r="U1119" s="116">
        <v>0</v>
      </c>
      <c r="V1119" s="121">
        <f t="shared" si="56"/>
        <v>0</v>
      </c>
      <c r="W1119" s="111"/>
      <c r="X1119" s="111"/>
      <c r="Y1119" s="111"/>
      <c r="Z1119" s="111"/>
      <c r="AA1119" s="111"/>
      <c r="AB1119" s="111"/>
      <c r="AC1119" s="111"/>
      <c r="AD1119" s="111"/>
      <c r="AE1119" s="139">
        <f t="shared" si="55"/>
        <v>0</v>
      </c>
      <c r="AF1119" s="109"/>
      <c r="AG1119" s="109"/>
    </row>
    <row r="1120" spans="1:33">
      <c r="A1120" s="117"/>
      <c r="B1120" s="118"/>
      <c r="C1120" s="118"/>
      <c r="D1120" s="118"/>
      <c r="E1120" s="119"/>
      <c r="F1120" s="118"/>
      <c r="G1120" s="110"/>
      <c r="H1120" s="126"/>
      <c r="I1120" s="114">
        <v>0</v>
      </c>
      <c r="J1120" s="115">
        <v>0</v>
      </c>
      <c r="K1120" s="116">
        <v>0</v>
      </c>
      <c r="L1120" s="116">
        <v>0</v>
      </c>
      <c r="M1120" s="114">
        <v>0</v>
      </c>
      <c r="N1120" s="113">
        <v>0</v>
      </c>
      <c r="O1120" s="113">
        <v>0</v>
      </c>
      <c r="P1120" s="116">
        <v>0</v>
      </c>
      <c r="Q1120" s="116">
        <v>0</v>
      </c>
      <c r="R1120" s="116">
        <v>0</v>
      </c>
      <c r="S1120" s="114">
        <v>0</v>
      </c>
      <c r="T1120" s="116">
        <v>0</v>
      </c>
      <c r="U1120" s="116">
        <v>0</v>
      </c>
      <c r="V1120" s="121">
        <f t="shared" si="56"/>
        <v>0</v>
      </c>
      <c r="W1120" s="111"/>
      <c r="X1120" s="111"/>
      <c r="Y1120" s="111"/>
      <c r="Z1120" s="111"/>
      <c r="AA1120" s="111"/>
      <c r="AB1120" s="111"/>
      <c r="AC1120" s="111"/>
      <c r="AD1120" s="111"/>
      <c r="AE1120" s="139">
        <f t="shared" si="55"/>
        <v>0</v>
      </c>
      <c r="AF1120" s="109"/>
      <c r="AG1120" s="109"/>
    </row>
    <row r="1121" spans="1:33">
      <c r="A1121" s="117"/>
      <c r="B1121" s="118"/>
      <c r="C1121" s="118"/>
      <c r="D1121" s="118"/>
      <c r="E1121" s="119"/>
      <c r="F1121" s="118"/>
      <c r="G1121" s="110"/>
      <c r="H1121" s="126"/>
      <c r="I1121" s="114">
        <v>0</v>
      </c>
      <c r="J1121" s="115">
        <v>0</v>
      </c>
      <c r="K1121" s="116">
        <v>0</v>
      </c>
      <c r="L1121" s="116">
        <v>0</v>
      </c>
      <c r="M1121" s="114">
        <v>0</v>
      </c>
      <c r="N1121" s="113">
        <v>0</v>
      </c>
      <c r="O1121" s="113">
        <v>0</v>
      </c>
      <c r="P1121" s="116">
        <v>0</v>
      </c>
      <c r="Q1121" s="116">
        <v>0</v>
      </c>
      <c r="R1121" s="116">
        <v>0</v>
      </c>
      <c r="S1121" s="114">
        <v>0</v>
      </c>
      <c r="T1121" s="116">
        <v>0</v>
      </c>
      <c r="U1121" s="116">
        <v>0</v>
      </c>
      <c r="V1121" s="121">
        <f t="shared" si="56"/>
        <v>0</v>
      </c>
      <c r="W1121" s="111"/>
      <c r="X1121" s="111"/>
      <c r="Y1121" s="111"/>
      <c r="Z1121" s="111"/>
      <c r="AA1121" s="111"/>
      <c r="AB1121" s="111"/>
      <c r="AC1121" s="111"/>
      <c r="AD1121" s="111"/>
      <c r="AE1121" s="139">
        <f t="shared" si="55"/>
        <v>0</v>
      </c>
      <c r="AF1121" s="109"/>
      <c r="AG1121" s="109"/>
    </row>
    <row r="1122" spans="1:33">
      <c r="A1122" s="117"/>
      <c r="B1122" s="118"/>
      <c r="C1122" s="118"/>
      <c r="D1122" s="118"/>
      <c r="E1122" s="119"/>
      <c r="F1122" s="118"/>
      <c r="G1122" s="110"/>
      <c r="H1122" s="126"/>
      <c r="I1122" s="114">
        <v>0</v>
      </c>
      <c r="J1122" s="115">
        <v>0</v>
      </c>
      <c r="K1122" s="116">
        <v>0</v>
      </c>
      <c r="L1122" s="116">
        <v>0</v>
      </c>
      <c r="M1122" s="114">
        <v>0</v>
      </c>
      <c r="N1122" s="113">
        <v>0</v>
      </c>
      <c r="O1122" s="113">
        <v>0</v>
      </c>
      <c r="P1122" s="116">
        <v>0</v>
      </c>
      <c r="Q1122" s="116">
        <v>0</v>
      </c>
      <c r="R1122" s="116">
        <v>0</v>
      </c>
      <c r="S1122" s="114">
        <v>0</v>
      </c>
      <c r="T1122" s="116">
        <v>0</v>
      </c>
      <c r="U1122" s="116">
        <v>0</v>
      </c>
      <c r="V1122" s="121">
        <f t="shared" si="56"/>
        <v>0</v>
      </c>
      <c r="W1122" s="111"/>
      <c r="X1122" s="111"/>
      <c r="Y1122" s="111"/>
      <c r="Z1122" s="111"/>
      <c r="AA1122" s="111"/>
      <c r="AB1122" s="111"/>
      <c r="AC1122" s="111"/>
      <c r="AD1122" s="111"/>
      <c r="AE1122" s="139">
        <f t="shared" si="55"/>
        <v>0</v>
      </c>
      <c r="AF1122" s="109"/>
      <c r="AG1122" s="109"/>
    </row>
    <row r="1123" spans="1:33">
      <c r="A1123" s="117"/>
      <c r="B1123" s="118"/>
      <c r="C1123" s="118"/>
      <c r="D1123" s="118"/>
      <c r="E1123" s="119"/>
      <c r="F1123" s="118"/>
      <c r="G1123" s="110"/>
      <c r="H1123" s="126"/>
      <c r="I1123" s="114">
        <v>0</v>
      </c>
      <c r="J1123" s="115">
        <v>0</v>
      </c>
      <c r="K1123" s="116">
        <v>0</v>
      </c>
      <c r="L1123" s="116">
        <v>0</v>
      </c>
      <c r="M1123" s="114">
        <v>0</v>
      </c>
      <c r="N1123" s="113">
        <v>0</v>
      </c>
      <c r="O1123" s="113">
        <v>0</v>
      </c>
      <c r="P1123" s="116">
        <v>0</v>
      </c>
      <c r="Q1123" s="116">
        <v>0</v>
      </c>
      <c r="R1123" s="116">
        <v>0</v>
      </c>
      <c r="S1123" s="114">
        <v>0</v>
      </c>
      <c r="T1123" s="116">
        <v>0</v>
      </c>
      <c r="U1123" s="116">
        <v>0</v>
      </c>
      <c r="V1123" s="121">
        <f t="shared" si="56"/>
        <v>0</v>
      </c>
      <c r="W1123" s="111"/>
      <c r="X1123" s="111"/>
      <c r="Y1123" s="111"/>
      <c r="Z1123" s="111"/>
      <c r="AA1123" s="111"/>
      <c r="AB1123" s="111"/>
      <c r="AC1123" s="111"/>
      <c r="AD1123" s="111"/>
      <c r="AE1123" s="139">
        <f t="shared" si="55"/>
        <v>0</v>
      </c>
      <c r="AF1123" s="109"/>
      <c r="AG1123" s="109"/>
    </row>
    <row r="1124" spans="1:33">
      <c r="A1124" s="117"/>
      <c r="B1124" s="118"/>
      <c r="C1124" s="118"/>
      <c r="D1124" s="118"/>
      <c r="E1124" s="119"/>
      <c r="F1124" s="118"/>
      <c r="G1124" s="110"/>
      <c r="H1124" s="126"/>
      <c r="I1124" s="114">
        <v>0</v>
      </c>
      <c r="J1124" s="115">
        <v>0</v>
      </c>
      <c r="K1124" s="116">
        <v>0</v>
      </c>
      <c r="L1124" s="116">
        <v>0</v>
      </c>
      <c r="M1124" s="114">
        <v>0</v>
      </c>
      <c r="N1124" s="113">
        <v>0</v>
      </c>
      <c r="O1124" s="113">
        <v>0</v>
      </c>
      <c r="P1124" s="116">
        <v>0</v>
      </c>
      <c r="Q1124" s="116">
        <v>0</v>
      </c>
      <c r="R1124" s="116">
        <v>0</v>
      </c>
      <c r="S1124" s="114">
        <v>0</v>
      </c>
      <c r="T1124" s="116">
        <v>0</v>
      </c>
      <c r="U1124" s="116">
        <v>0</v>
      </c>
      <c r="V1124" s="121">
        <f t="shared" si="56"/>
        <v>0</v>
      </c>
      <c r="W1124" s="111"/>
      <c r="X1124" s="111"/>
      <c r="Y1124" s="111"/>
      <c r="Z1124" s="111"/>
      <c r="AA1124" s="111"/>
      <c r="AB1124" s="111"/>
      <c r="AC1124" s="111"/>
      <c r="AD1124" s="111"/>
      <c r="AE1124" s="139">
        <f t="shared" si="55"/>
        <v>0</v>
      </c>
      <c r="AF1124" s="109"/>
      <c r="AG1124" s="109"/>
    </row>
    <row r="1125" spans="1:33">
      <c r="A1125" s="117"/>
      <c r="B1125" s="118"/>
      <c r="C1125" s="118"/>
      <c r="D1125" s="118"/>
      <c r="E1125" s="119"/>
      <c r="F1125" s="118"/>
      <c r="G1125" s="110"/>
      <c r="H1125" s="126"/>
      <c r="I1125" s="114">
        <v>0</v>
      </c>
      <c r="J1125" s="115">
        <v>0</v>
      </c>
      <c r="K1125" s="116">
        <v>0</v>
      </c>
      <c r="L1125" s="116">
        <v>0</v>
      </c>
      <c r="M1125" s="114">
        <v>0</v>
      </c>
      <c r="N1125" s="113">
        <v>0</v>
      </c>
      <c r="O1125" s="113">
        <v>0</v>
      </c>
      <c r="P1125" s="116">
        <v>0</v>
      </c>
      <c r="Q1125" s="116">
        <v>0</v>
      </c>
      <c r="R1125" s="116">
        <v>0</v>
      </c>
      <c r="S1125" s="114">
        <v>0</v>
      </c>
      <c r="T1125" s="116">
        <v>0</v>
      </c>
      <c r="U1125" s="116">
        <v>0</v>
      </c>
      <c r="V1125" s="121">
        <f t="shared" si="56"/>
        <v>0</v>
      </c>
      <c r="W1125" s="111"/>
      <c r="X1125" s="111"/>
      <c r="Y1125" s="111"/>
      <c r="Z1125" s="111"/>
      <c r="AA1125" s="111"/>
      <c r="AB1125" s="111"/>
      <c r="AC1125" s="111"/>
      <c r="AD1125" s="111"/>
      <c r="AE1125" s="139">
        <f t="shared" si="55"/>
        <v>0</v>
      </c>
      <c r="AF1125" s="109"/>
      <c r="AG1125" s="109"/>
    </row>
    <row r="1126" spans="1:33">
      <c r="A1126" s="117"/>
      <c r="B1126" s="118"/>
      <c r="C1126" s="118"/>
      <c r="D1126" s="118"/>
      <c r="E1126" s="119"/>
      <c r="F1126" s="118"/>
      <c r="G1126" s="110"/>
      <c r="H1126" s="126"/>
      <c r="I1126" s="114">
        <v>0</v>
      </c>
      <c r="J1126" s="115">
        <v>0</v>
      </c>
      <c r="K1126" s="116">
        <v>0</v>
      </c>
      <c r="L1126" s="116">
        <v>0</v>
      </c>
      <c r="M1126" s="114">
        <v>0</v>
      </c>
      <c r="N1126" s="113">
        <v>0</v>
      </c>
      <c r="O1126" s="113">
        <v>0</v>
      </c>
      <c r="P1126" s="116">
        <v>0</v>
      </c>
      <c r="Q1126" s="116">
        <v>0</v>
      </c>
      <c r="R1126" s="116">
        <v>0</v>
      </c>
      <c r="S1126" s="114">
        <v>0</v>
      </c>
      <c r="T1126" s="116">
        <v>0</v>
      </c>
      <c r="U1126" s="116">
        <v>0</v>
      </c>
      <c r="V1126" s="121">
        <f t="shared" si="56"/>
        <v>0</v>
      </c>
      <c r="W1126" s="111"/>
      <c r="X1126" s="111"/>
      <c r="Y1126" s="111"/>
      <c r="Z1126" s="111"/>
      <c r="AA1126" s="111"/>
      <c r="AB1126" s="111"/>
      <c r="AC1126" s="111"/>
      <c r="AD1126" s="111"/>
      <c r="AE1126" s="139">
        <f t="shared" si="55"/>
        <v>0</v>
      </c>
      <c r="AF1126" s="109"/>
      <c r="AG1126" s="109"/>
    </row>
    <row r="1127" spans="1:33">
      <c r="A1127" s="117"/>
      <c r="B1127" s="118"/>
      <c r="C1127" s="118"/>
      <c r="D1127" s="118"/>
      <c r="E1127" s="119"/>
      <c r="F1127" s="118"/>
      <c r="G1127" s="110"/>
      <c r="H1127" s="126"/>
      <c r="I1127" s="114">
        <v>0</v>
      </c>
      <c r="J1127" s="115">
        <v>0</v>
      </c>
      <c r="K1127" s="116">
        <v>0</v>
      </c>
      <c r="L1127" s="116">
        <v>0</v>
      </c>
      <c r="M1127" s="114">
        <v>0</v>
      </c>
      <c r="N1127" s="113">
        <v>0</v>
      </c>
      <c r="O1127" s="113">
        <v>0</v>
      </c>
      <c r="P1127" s="116">
        <v>0</v>
      </c>
      <c r="Q1127" s="116">
        <v>0</v>
      </c>
      <c r="R1127" s="116">
        <v>0</v>
      </c>
      <c r="S1127" s="114">
        <v>0</v>
      </c>
      <c r="T1127" s="116">
        <v>0</v>
      </c>
      <c r="U1127" s="116">
        <v>0</v>
      </c>
      <c r="V1127" s="121">
        <f t="shared" si="56"/>
        <v>0</v>
      </c>
      <c r="W1127" s="111"/>
      <c r="X1127" s="111"/>
      <c r="Y1127" s="111"/>
      <c r="Z1127" s="111"/>
      <c r="AA1127" s="111"/>
      <c r="AB1127" s="111"/>
      <c r="AC1127" s="111"/>
      <c r="AD1127" s="111"/>
      <c r="AE1127" s="139">
        <f t="shared" si="55"/>
        <v>0</v>
      </c>
      <c r="AF1127" s="109"/>
      <c r="AG1127" s="109"/>
    </row>
    <row r="1128" spans="1:33">
      <c r="A1128" s="117"/>
      <c r="B1128" s="118"/>
      <c r="C1128" s="118"/>
      <c r="D1128" s="118"/>
      <c r="E1128" s="119"/>
      <c r="F1128" s="118"/>
      <c r="G1128" s="110"/>
      <c r="H1128" s="126"/>
      <c r="I1128" s="114">
        <v>0</v>
      </c>
      <c r="J1128" s="115">
        <v>0</v>
      </c>
      <c r="K1128" s="116">
        <v>0</v>
      </c>
      <c r="L1128" s="116">
        <v>0</v>
      </c>
      <c r="M1128" s="114">
        <v>0</v>
      </c>
      <c r="N1128" s="113">
        <v>0</v>
      </c>
      <c r="O1128" s="113">
        <v>0</v>
      </c>
      <c r="P1128" s="116">
        <v>0</v>
      </c>
      <c r="Q1128" s="116">
        <v>0</v>
      </c>
      <c r="R1128" s="116">
        <v>0</v>
      </c>
      <c r="S1128" s="114">
        <v>0</v>
      </c>
      <c r="T1128" s="116">
        <v>0</v>
      </c>
      <c r="U1128" s="116">
        <v>0</v>
      </c>
      <c r="V1128" s="121">
        <f t="shared" si="56"/>
        <v>0</v>
      </c>
      <c r="W1128" s="111"/>
      <c r="X1128" s="111"/>
      <c r="Y1128" s="111"/>
      <c r="Z1128" s="111"/>
      <c r="AA1128" s="111"/>
      <c r="AB1128" s="111"/>
      <c r="AC1128" s="111"/>
      <c r="AD1128" s="111"/>
      <c r="AE1128" s="139">
        <f t="shared" si="55"/>
        <v>0</v>
      </c>
      <c r="AF1128" s="109"/>
      <c r="AG1128" s="109"/>
    </row>
    <row r="1129" spans="1:33">
      <c r="A1129" s="117"/>
      <c r="B1129" s="118"/>
      <c r="C1129" s="118"/>
      <c r="D1129" s="118"/>
      <c r="E1129" s="119"/>
      <c r="F1129" s="118"/>
      <c r="G1129" s="110"/>
      <c r="H1129" s="126"/>
      <c r="I1129" s="114">
        <v>0</v>
      </c>
      <c r="J1129" s="115">
        <v>0</v>
      </c>
      <c r="K1129" s="116">
        <v>0</v>
      </c>
      <c r="L1129" s="116">
        <v>0</v>
      </c>
      <c r="M1129" s="114">
        <v>0</v>
      </c>
      <c r="N1129" s="113">
        <v>0</v>
      </c>
      <c r="O1129" s="113">
        <v>0</v>
      </c>
      <c r="P1129" s="116">
        <v>0</v>
      </c>
      <c r="Q1129" s="116">
        <v>0</v>
      </c>
      <c r="R1129" s="116">
        <v>0</v>
      </c>
      <c r="S1129" s="114">
        <v>0</v>
      </c>
      <c r="T1129" s="116">
        <v>0</v>
      </c>
      <c r="U1129" s="116">
        <v>0</v>
      </c>
      <c r="V1129" s="121">
        <f t="shared" si="56"/>
        <v>0</v>
      </c>
      <c r="W1129" s="111"/>
      <c r="X1129" s="111"/>
      <c r="Y1129" s="111"/>
      <c r="Z1129" s="111"/>
      <c r="AA1129" s="111"/>
      <c r="AB1129" s="111"/>
      <c r="AC1129" s="111"/>
      <c r="AD1129" s="111"/>
      <c r="AE1129" s="139">
        <f t="shared" ref="AE1129:AE1192" si="57">V1129-(X1129+Y1129)</f>
        <v>0</v>
      </c>
      <c r="AF1129" s="109"/>
      <c r="AG1129" s="109"/>
    </row>
    <row r="1130" spans="1:33">
      <c r="A1130" s="117"/>
      <c r="B1130" s="118"/>
      <c r="C1130" s="118"/>
      <c r="D1130" s="118"/>
      <c r="E1130" s="119"/>
      <c r="F1130" s="118"/>
      <c r="G1130" s="110"/>
      <c r="H1130" s="126"/>
      <c r="I1130" s="114">
        <v>0</v>
      </c>
      <c r="J1130" s="115">
        <v>0</v>
      </c>
      <c r="K1130" s="116">
        <v>0</v>
      </c>
      <c r="L1130" s="116">
        <v>0</v>
      </c>
      <c r="M1130" s="114">
        <v>0</v>
      </c>
      <c r="N1130" s="113">
        <v>0</v>
      </c>
      <c r="O1130" s="113">
        <v>0</v>
      </c>
      <c r="P1130" s="116">
        <v>0</v>
      </c>
      <c r="Q1130" s="116">
        <v>0</v>
      </c>
      <c r="R1130" s="116">
        <v>0</v>
      </c>
      <c r="S1130" s="114">
        <v>0</v>
      </c>
      <c r="T1130" s="116">
        <v>0</v>
      </c>
      <c r="U1130" s="116">
        <v>0</v>
      </c>
      <c r="V1130" s="121">
        <f t="shared" si="56"/>
        <v>0</v>
      </c>
      <c r="W1130" s="111"/>
      <c r="X1130" s="111"/>
      <c r="Y1130" s="111"/>
      <c r="Z1130" s="111"/>
      <c r="AA1130" s="111"/>
      <c r="AB1130" s="111"/>
      <c r="AC1130" s="111"/>
      <c r="AD1130" s="111"/>
      <c r="AE1130" s="139">
        <f t="shared" si="57"/>
        <v>0</v>
      </c>
      <c r="AF1130" s="109"/>
      <c r="AG1130" s="109"/>
    </row>
    <row r="1131" spans="1:33">
      <c r="A1131" s="117"/>
      <c r="B1131" s="118"/>
      <c r="C1131" s="118"/>
      <c r="D1131" s="118"/>
      <c r="E1131" s="119"/>
      <c r="F1131" s="118"/>
      <c r="G1131" s="110"/>
      <c r="H1131" s="126"/>
      <c r="I1131" s="114">
        <v>0</v>
      </c>
      <c r="J1131" s="115">
        <v>0</v>
      </c>
      <c r="K1131" s="116">
        <v>0</v>
      </c>
      <c r="L1131" s="116">
        <v>0</v>
      </c>
      <c r="M1131" s="114">
        <v>0</v>
      </c>
      <c r="N1131" s="113">
        <v>0</v>
      </c>
      <c r="O1131" s="113">
        <v>0</v>
      </c>
      <c r="P1131" s="116">
        <v>0</v>
      </c>
      <c r="Q1131" s="116">
        <v>0</v>
      </c>
      <c r="R1131" s="116">
        <v>0</v>
      </c>
      <c r="S1131" s="114">
        <v>0</v>
      </c>
      <c r="T1131" s="116">
        <v>0</v>
      </c>
      <c r="U1131" s="116">
        <v>0</v>
      </c>
      <c r="V1131" s="121">
        <f t="shared" si="56"/>
        <v>0</v>
      </c>
      <c r="W1131" s="111"/>
      <c r="X1131" s="111"/>
      <c r="Y1131" s="111"/>
      <c r="Z1131" s="111"/>
      <c r="AA1131" s="111"/>
      <c r="AB1131" s="111"/>
      <c r="AC1131" s="111"/>
      <c r="AD1131" s="111"/>
      <c r="AE1131" s="139">
        <f t="shared" si="57"/>
        <v>0</v>
      </c>
      <c r="AF1131" s="109"/>
      <c r="AG1131" s="109"/>
    </row>
    <row r="1132" spans="1:33">
      <c r="A1132" s="117"/>
      <c r="B1132" s="118"/>
      <c r="C1132" s="118"/>
      <c r="D1132" s="118"/>
      <c r="E1132" s="119"/>
      <c r="F1132" s="118"/>
      <c r="G1132" s="110"/>
      <c r="H1132" s="126"/>
      <c r="I1132" s="114">
        <v>0</v>
      </c>
      <c r="J1132" s="115">
        <v>0</v>
      </c>
      <c r="K1132" s="116">
        <v>0</v>
      </c>
      <c r="L1132" s="116">
        <v>0</v>
      </c>
      <c r="M1132" s="114">
        <v>0</v>
      </c>
      <c r="N1132" s="113">
        <v>0</v>
      </c>
      <c r="O1132" s="113">
        <v>0</v>
      </c>
      <c r="P1132" s="116">
        <v>0</v>
      </c>
      <c r="Q1132" s="116">
        <v>0</v>
      </c>
      <c r="R1132" s="116">
        <v>0</v>
      </c>
      <c r="S1132" s="114">
        <v>0</v>
      </c>
      <c r="T1132" s="116">
        <v>0</v>
      </c>
      <c r="U1132" s="116">
        <v>0</v>
      </c>
      <c r="V1132" s="121">
        <f t="shared" si="56"/>
        <v>0</v>
      </c>
      <c r="W1132" s="111"/>
      <c r="X1132" s="111"/>
      <c r="Y1132" s="111"/>
      <c r="Z1132" s="111"/>
      <c r="AA1132" s="111"/>
      <c r="AB1132" s="111"/>
      <c r="AC1132" s="111"/>
      <c r="AD1132" s="111"/>
      <c r="AE1132" s="139">
        <f t="shared" si="57"/>
        <v>0</v>
      </c>
      <c r="AF1132" s="109"/>
      <c r="AG1132" s="109"/>
    </row>
    <row r="1133" spans="1:33">
      <c r="A1133" s="117"/>
      <c r="B1133" s="118"/>
      <c r="C1133" s="118"/>
      <c r="D1133" s="118"/>
      <c r="E1133" s="119"/>
      <c r="F1133" s="118"/>
      <c r="G1133" s="110"/>
      <c r="H1133" s="126"/>
      <c r="I1133" s="114">
        <v>0</v>
      </c>
      <c r="J1133" s="115">
        <v>0</v>
      </c>
      <c r="K1133" s="116">
        <v>0</v>
      </c>
      <c r="L1133" s="116">
        <v>0</v>
      </c>
      <c r="M1133" s="114">
        <v>0</v>
      </c>
      <c r="N1133" s="113">
        <v>0</v>
      </c>
      <c r="O1133" s="113">
        <v>0</v>
      </c>
      <c r="P1133" s="116">
        <v>0</v>
      </c>
      <c r="Q1133" s="116">
        <v>0</v>
      </c>
      <c r="R1133" s="116">
        <v>0</v>
      </c>
      <c r="S1133" s="114">
        <v>0</v>
      </c>
      <c r="T1133" s="116">
        <v>0</v>
      </c>
      <c r="U1133" s="116">
        <v>0</v>
      </c>
      <c r="V1133" s="121">
        <f t="shared" si="56"/>
        <v>0</v>
      </c>
      <c r="W1133" s="111"/>
      <c r="X1133" s="111"/>
      <c r="Y1133" s="111"/>
      <c r="Z1133" s="111"/>
      <c r="AA1133" s="111"/>
      <c r="AB1133" s="111"/>
      <c r="AC1133" s="111"/>
      <c r="AD1133" s="111"/>
      <c r="AE1133" s="139">
        <f t="shared" si="57"/>
        <v>0</v>
      </c>
      <c r="AF1133" s="109"/>
      <c r="AG1133" s="109"/>
    </row>
    <row r="1134" spans="1:33">
      <c r="A1134" s="117"/>
      <c r="B1134" s="118"/>
      <c r="C1134" s="118"/>
      <c r="D1134" s="118"/>
      <c r="E1134" s="119"/>
      <c r="F1134" s="118"/>
      <c r="G1134" s="110"/>
      <c r="H1134" s="126"/>
      <c r="I1134" s="114">
        <v>0</v>
      </c>
      <c r="J1134" s="115">
        <v>0</v>
      </c>
      <c r="K1134" s="116">
        <v>0</v>
      </c>
      <c r="L1134" s="116">
        <v>0</v>
      </c>
      <c r="M1134" s="114">
        <v>0</v>
      </c>
      <c r="N1134" s="113">
        <v>0</v>
      </c>
      <c r="O1134" s="113">
        <v>0</v>
      </c>
      <c r="P1134" s="116">
        <v>0</v>
      </c>
      <c r="Q1134" s="116">
        <v>0</v>
      </c>
      <c r="R1134" s="116">
        <v>0</v>
      </c>
      <c r="S1134" s="114">
        <v>0</v>
      </c>
      <c r="T1134" s="116">
        <v>0</v>
      </c>
      <c r="U1134" s="116">
        <v>0</v>
      </c>
      <c r="V1134" s="121">
        <f t="shared" si="56"/>
        <v>0</v>
      </c>
      <c r="W1134" s="111"/>
      <c r="X1134" s="111"/>
      <c r="Y1134" s="111"/>
      <c r="Z1134" s="111"/>
      <c r="AA1134" s="111"/>
      <c r="AB1134" s="111"/>
      <c r="AC1134" s="111"/>
      <c r="AD1134" s="111"/>
      <c r="AE1134" s="139">
        <f t="shared" si="57"/>
        <v>0</v>
      </c>
      <c r="AF1134" s="109"/>
      <c r="AG1134" s="109"/>
    </row>
    <row r="1135" spans="1:33">
      <c r="A1135" s="117"/>
      <c r="B1135" s="118"/>
      <c r="C1135" s="118"/>
      <c r="D1135" s="118"/>
      <c r="E1135" s="119"/>
      <c r="F1135" s="118"/>
      <c r="G1135" s="110"/>
      <c r="H1135" s="126"/>
      <c r="I1135" s="114">
        <v>0</v>
      </c>
      <c r="J1135" s="115">
        <v>0</v>
      </c>
      <c r="K1135" s="116">
        <v>0</v>
      </c>
      <c r="L1135" s="116">
        <v>0</v>
      </c>
      <c r="M1135" s="114">
        <v>0</v>
      </c>
      <c r="N1135" s="113">
        <v>0</v>
      </c>
      <c r="O1135" s="113">
        <v>0</v>
      </c>
      <c r="P1135" s="116">
        <v>0</v>
      </c>
      <c r="Q1135" s="116">
        <v>0</v>
      </c>
      <c r="R1135" s="116">
        <v>0</v>
      </c>
      <c r="S1135" s="114">
        <v>0</v>
      </c>
      <c r="T1135" s="116">
        <v>0</v>
      </c>
      <c r="U1135" s="116">
        <v>0</v>
      </c>
      <c r="V1135" s="121">
        <f t="shared" si="56"/>
        <v>0</v>
      </c>
      <c r="W1135" s="111"/>
      <c r="X1135" s="111"/>
      <c r="Y1135" s="111"/>
      <c r="Z1135" s="111"/>
      <c r="AA1135" s="111"/>
      <c r="AB1135" s="111"/>
      <c r="AC1135" s="111"/>
      <c r="AD1135" s="111"/>
      <c r="AE1135" s="139">
        <f t="shared" si="57"/>
        <v>0</v>
      </c>
      <c r="AF1135" s="109"/>
      <c r="AG1135" s="109"/>
    </row>
    <row r="1136" spans="1:33">
      <c r="A1136" s="117"/>
      <c r="B1136" s="118"/>
      <c r="C1136" s="118"/>
      <c r="D1136" s="118"/>
      <c r="E1136" s="119"/>
      <c r="F1136" s="118"/>
      <c r="G1136" s="110"/>
      <c r="H1136" s="126"/>
      <c r="I1136" s="114">
        <v>0</v>
      </c>
      <c r="J1136" s="115">
        <v>0</v>
      </c>
      <c r="K1136" s="116">
        <v>0</v>
      </c>
      <c r="L1136" s="116">
        <v>0</v>
      </c>
      <c r="M1136" s="114">
        <v>0</v>
      </c>
      <c r="N1136" s="113">
        <v>0</v>
      </c>
      <c r="O1136" s="113">
        <v>0</v>
      </c>
      <c r="P1136" s="116">
        <v>0</v>
      </c>
      <c r="Q1136" s="116">
        <v>0</v>
      </c>
      <c r="R1136" s="116">
        <v>0</v>
      </c>
      <c r="S1136" s="114">
        <v>0</v>
      </c>
      <c r="T1136" s="116">
        <v>0</v>
      </c>
      <c r="U1136" s="116">
        <v>0</v>
      </c>
      <c r="V1136" s="121">
        <f t="shared" si="56"/>
        <v>0</v>
      </c>
      <c r="W1136" s="111"/>
      <c r="X1136" s="111"/>
      <c r="Y1136" s="111"/>
      <c r="Z1136" s="111"/>
      <c r="AA1136" s="111"/>
      <c r="AB1136" s="111"/>
      <c r="AC1136" s="111"/>
      <c r="AD1136" s="111"/>
      <c r="AE1136" s="139">
        <f t="shared" si="57"/>
        <v>0</v>
      </c>
      <c r="AF1136" s="109"/>
      <c r="AG1136" s="109"/>
    </row>
    <row r="1137" spans="1:33">
      <c r="A1137" s="117"/>
      <c r="B1137" s="118"/>
      <c r="C1137" s="118"/>
      <c r="D1137" s="118"/>
      <c r="E1137" s="119"/>
      <c r="F1137" s="118"/>
      <c r="G1137" s="110"/>
      <c r="H1137" s="126"/>
      <c r="I1137" s="114">
        <v>0</v>
      </c>
      <c r="J1137" s="115">
        <v>0</v>
      </c>
      <c r="K1137" s="116">
        <v>0</v>
      </c>
      <c r="L1137" s="116">
        <v>0</v>
      </c>
      <c r="M1137" s="114">
        <v>0</v>
      </c>
      <c r="N1137" s="113">
        <v>0</v>
      </c>
      <c r="O1137" s="113">
        <v>0</v>
      </c>
      <c r="P1137" s="116">
        <v>0</v>
      </c>
      <c r="Q1137" s="116">
        <v>0</v>
      </c>
      <c r="R1137" s="116">
        <v>0</v>
      </c>
      <c r="S1137" s="114">
        <v>0</v>
      </c>
      <c r="T1137" s="116">
        <v>0</v>
      </c>
      <c r="U1137" s="116">
        <v>0</v>
      </c>
      <c r="V1137" s="121">
        <f t="shared" ref="V1137:V1200" si="58">+G1137-(SUM(I1137:N1137,P1137:S1137,U1137))</f>
        <v>0</v>
      </c>
      <c r="W1137" s="111"/>
      <c r="X1137" s="111"/>
      <c r="Y1137" s="111"/>
      <c r="Z1137" s="111"/>
      <c r="AA1137" s="111"/>
      <c r="AB1137" s="111"/>
      <c r="AC1137" s="111"/>
      <c r="AD1137" s="111"/>
      <c r="AE1137" s="139">
        <f t="shared" si="57"/>
        <v>0</v>
      </c>
      <c r="AF1137" s="109"/>
      <c r="AG1137" s="109"/>
    </row>
    <row r="1138" spans="1:33">
      <c r="A1138" s="117"/>
      <c r="B1138" s="118"/>
      <c r="C1138" s="118"/>
      <c r="D1138" s="118"/>
      <c r="E1138" s="119"/>
      <c r="F1138" s="118"/>
      <c r="G1138" s="110"/>
      <c r="H1138" s="126"/>
      <c r="I1138" s="114">
        <v>0</v>
      </c>
      <c r="J1138" s="115">
        <v>0</v>
      </c>
      <c r="K1138" s="116">
        <v>0</v>
      </c>
      <c r="L1138" s="116">
        <v>0</v>
      </c>
      <c r="M1138" s="114">
        <v>0</v>
      </c>
      <c r="N1138" s="113">
        <v>0</v>
      </c>
      <c r="O1138" s="113">
        <v>0</v>
      </c>
      <c r="P1138" s="116">
        <v>0</v>
      </c>
      <c r="Q1138" s="116">
        <v>0</v>
      </c>
      <c r="R1138" s="116">
        <v>0</v>
      </c>
      <c r="S1138" s="114">
        <v>0</v>
      </c>
      <c r="T1138" s="116">
        <v>0</v>
      </c>
      <c r="U1138" s="116">
        <v>0</v>
      </c>
      <c r="V1138" s="121">
        <f t="shared" si="58"/>
        <v>0</v>
      </c>
      <c r="W1138" s="111"/>
      <c r="X1138" s="111"/>
      <c r="Y1138" s="111"/>
      <c r="Z1138" s="111"/>
      <c r="AA1138" s="111"/>
      <c r="AB1138" s="111"/>
      <c r="AC1138" s="111"/>
      <c r="AD1138" s="111"/>
      <c r="AE1138" s="139">
        <f t="shared" si="57"/>
        <v>0</v>
      </c>
      <c r="AF1138" s="109"/>
      <c r="AG1138" s="109"/>
    </row>
    <row r="1139" spans="1:33">
      <c r="A1139" s="117"/>
      <c r="B1139" s="118"/>
      <c r="C1139" s="118"/>
      <c r="D1139" s="118"/>
      <c r="E1139" s="119"/>
      <c r="F1139" s="118"/>
      <c r="G1139" s="110"/>
      <c r="H1139" s="126"/>
      <c r="I1139" s="114">
        <v>0</v>
      </c>
      <c r="J1139" s="115">
        <v>0</v>
      </c>
      <c r="K1139" s="116">
        <v>0</v>
      </c>
      <c r="L1139" s="116">
        <v>0</v>
      </c>
      <c r="M1139" s="114">
        <v>0</v>
      </c>
      <c r="N1139" s="113">
        <v>0</v>
      </c>
      <c r="O1139" s="113">
        <v>0</v>
      </c>
      <c r="P1139" s="116">
        <v>0</v>
      </c>
      <c r="Q1139" s="116">
        <v>0</v>
      </c>
      <c r="R1139" s="116">
        <v>0</v>
      </c>
      <c r="S1139" s="114">
        <v>0</v>
      </c>
      <c r="T1139" s="116">
        <v>0</v>
      </c>
      <c r="U1139" s="116">
        <v>0</v>
      </c>
      <c r="V1139" s="121">
        <f t="shared" si="58"/>
        <v>0</v>
      </c>
      <c r="W1139" s="111"/>
      <c r="X1139" s="111"/>
      <c r="Y1139" s="111"/>
      <c r="Z1139" s="111"/>
      <c r="AA1139" s="111"/>
      <c r="AB1139" s="111"/>
      <c r="AC1139" s="111"/>
      <c r="AD1139" s="111"/>
      <c r="AE1139" s="139">
        <f t="shared" si="57"/>
        <v>0</v>
      </c>
      <c r="AF1139" s="109"/>
      <c r="AG1139" s="109"/>
    </row>
    <row r="1140" spans="1:33">
      <c r="A1140" s="117"/>
      <c r="B1140" s="118"/>
      <c r="C1140" s="118"/>
      <c r="D1140" s="118"/>
      <c r="E1140" s="119"/>
      <c r="F1140" s="118"/>
      <c r="G1140" s="110"/>
      <c r="H1140" s="126"/>
      <c r="I1140" s="114">
        <v>0</v>
      </c>
      <c r="J1140" s="115">
        <v>0</v>
      </c>
      <c r="K1140" s="116">
        <v>0</v>
      </c>
      <c r="L1140" s="116">
        <v>0</v>
      </c>
      <c r="M1140" s="114">
        <v>0</v>
      </c>
      <c r="N1140" s="113">
        <v>0</v>
      </c>
      <c r="O1140" s="113">
        <v>0</v>
      </c>
      <c r="P1140" s="116">
        <v>0</v>
      </c>
      <c r="Q1140" s="116">
        <v>0</v>
      </c>
      <c r="R1140" s="116">
        <v>0</v>
      </c>
      <c r="S1140" s="114">
        <v>0</v>
      </c>
      <c r="T1140" s="116">
        <v>0</v>
      </c>
      <c r="U1140" s="116">
        <v>0</v>
      </c>
      <c r="V1140" s="121">
        <f t="shared" si="58"/>
        <v>0</v>
      </c>
      <c r="W1140" s="111"/>
      <c r="X1140" s="111"/>
      <c r="Y1140" s="111"/>
      <c r="Z1140" s="111"/>
      <c r="AA1140" s="111"/>
      <c r="AB1140" s="111"/>
      <c r="AC1140" s="111"/>
      <c r="AD1140" s="111"/>
      <c r="AE1140" s="139">
        <f t="shared" si="57"/>
        <v>0</v>
      </c>
      <c r="AF1140" s="109"/>
      <c r="AG1140" s="109"/>
    </row>
    <row r="1141" spans="1:33">
      <c r="A1141" s="117"/>
      <c r="B1141" s="118"/>
      <c r="C1141" s="118"/>
      <c r="D1141" s="118"/>
      <c r="E1141" s="119"/>
      <c r="F1141" s="118"/>
      <c r="G1141" s="110"/>
      <c r="H1141" s="126"/>
      <c r="I1141" s="114">
        <v>0</v>
      </c>
      <c r="J1141" s="115">
        <v>0</v>
      </c>
      <c r="K1141" s="116">
        <v>0</v>
      </c>
      <c r="L1141" s="116">
        <v>0</v>
      </c>
      <c r="M1141" s="114">
        <v>0</v>
      </c>
      <c r="N1141" s="113">
        <v>0</v>
      </c>
      <c r="O1141" s="113">
        <v>0</v>
      </c>
      <c r="P1141" s="116">
        <v>0</v>
      </c>
      <c r="Q1141" s="116">
        <v>0</v>
      </c>
      <c r="R1141" s="116">
        <v>0</v>
      </c>
      <c r="S1141" s="114">
        <v>0</v>
      </c>
      <c r="T1141" s="116">
        <v>0</v>
      </c>
      <c r="U1141" s="116">
        <v>0</v>
      </c>
      <c r="V1141" s="121">
        <f t="shared" si="58"/>
        <v>0</v>
      </c>
      <c r="W1141" s="111"/>
      <c r="X1141" s="111"/>
      <c r="Y1141" s="111"/>
      <c r="Z1141" s="111"/>
      <c r="AA1141" s="111"/>
      <c r="AB1141" s="111"/>
      <c r="AC1141" s="111"/>
      <c r="AD1141" s="111"/>
      <c r="AE1141" s="139">
        <f t="shared" si="57"/>
        <v>0</v>
      </c>
      <c r="AF1141" s="109"/>
      <c r="AG1141" s="109"/>
    </row>
    <row r="1142" spans="1:33">
      <c r="A1142" s="117"/>
      <c r="B1142" s="118"/>
      <c r="C1142" s="118"/>
      <c r="D1142" s="118"/>
      <c r="E1142" s="119"/>
      <c r="F1142" s="118"/>
      <c r="G1142" s="110"/>
      <c r="H1142" s="126"/>
      <c r="I1142" s="114">
        <v>0</v>
      </c>
      <c r="J1142" s="115">
        <v>0</v>
      </c>
      <c r="K1142" s="116">
        <v>0</v>
      </c>
      <c r="L1142" s="116">
        <v>0</v>
      </c>
      <c r="M1142" s="114">
        <v>0</v>
      </c>
      <c r="N1142" s="113">
        <v>0</v>
      </c>
      <c r="O1142" s="113">
        <v>0</v>
      </c>
      <c r="P1142" s="116">
        <v>0</v>
      </c>
      <c r="Q1142" s="116">
        <v>0</v>
      </c>
      <c r="R1142" s="116">
        <v>0</v>
      </c>
      <c r="S1142" s="114">
        <v>0</v>
      </c>
      <c r="T1142" s="116">
        <v>0</v>
      </c>
      <c r="U1142" s="116">
        <v>0</v>
      </c>
      <c r="V1142" s="121">
        <f t="shared" si="58"/>
        <v>0</v>
      </c>
      <c r="W1142" s="111"/>
      <c r="X1142" s="111"/>
      <c r="Y1142" s="111"/>
      <c r="Z1142" s="111"/>
      <c r="AA1142" s="111"/>
      <c r="AB1142" s="111"/>
      <c r="AC1142" s="111"/>
      <c r="AD1142" s="111"/>
      <c r="AE1142" s="139">
        <f t="shared" si="57"/>
        <v>0</v>
      </c>
      <c r="AF1142" s="109"/>
      <c r="AG1142" s="109"/>
    </row>
    <row r="1143" spans="1:33">
      <c r="A1143" s="117"/>
      <c r="B1143" s="118"/>
      <c r="C1143" s="118"/>
      <c r="D1143" s="118"/>
      <c r="E1143" s="119"/>
      <c r="F1143" s="118"/>
      <c r="G1143" s="110"/>
      <c r="H1143" s="126"/>
      <c r="I1143" s="114">
        <v>0</v>
      </c>
      <c r="J1143" s="115">
        <v>0</v>
      </c>
      <c r="K1143" s="116">
        <v>0</v>
      </c>
      <c r="L1143" s="116">
        <v>0</v>
      </c>
      <c r="M1143" s="114">
        <v>0</v>
      </c>
      <c r="N1143" s="113">
        <v>0</v>
      </c>
      <c r="O1143" s="113">
        <v>0</v>
      </c>
      <c r="P1143" s="116">
        <v>0</v>
      </c>
      <c r="Q1143" s="116">
        <v>0</v>
      </c>
      <c r="R1143" s="116">
        <v>0</v>
      </c>
      <c r="S1143" s="114">
        <v>0</v>
      </c>
      <c r="T1143" s="116">
        <v>0</v>
      </c>
      <c r="U1143" s="116">
        <v>0</v>
      </c>
      <c r="V1143" s="121">
        <f t="shared" si="58"/>
        <v>0</v>
      </c>
      <c r="W1143" s="111"/>
      <c r="X1143" s="111"/>
      <c r="Y1143" s="111"/>
      <c r="Z1143" s="111"/>
      <c r="AA1143" s="111"/>
      <c r="AB1143" s="111"/>
      <c r="AC1143" s="111"/>
      <c r="AD1143" s="111"/>
      <c r="AE1143" s="139">
        <f t="shared" si="57"/>
        <v>0</v>
      </c>
      <c r="AF1143" s="109"/>
      <c r="AG1143" s="109"/>
    </row>
    <row r="1144" spans="1:33">
      <c r="A1144" s="117"/>
      <c r="B1144" s="118"/>
      <c r="C1144" s="118"/>
      <c r="D1144" s="118"/>
      <c r="E1144" s="119"/>
      <c r="F1144" s="118"/>
      <c r="G1144" s="110"/>
      <c r="H1144" s="126"/>
      <c r="I1144" s="114">
        <v>0</v>
      </c>
      <c r="J1144" s="115">
        <v>0</v>
      </c>
      <c r="K1144" s="116">
        <v>0</v>
      </c>
      <c r="L1144" s="116">
        <v>0</v>
      </c>
      <c r="M1144" s="114">
        <v>0</v>
      </c>
      <c r="N1144" s="113">
        <v>0</v>
      </c>
      <c r="O1144" s="113">
        <v>0</v>
      </c>
      <c r="P1144" s="116">
        <v>0</v>
      </c>
      <c r="Q1144" s="116">
        <v>0</v>
      </c>
      <c r="R1144" s="116">
        <v>0</v>
      </c>
      <c r="S1144" s="114">
        <v>0</v>
      </c>
      <c r="T1144" s="116">
        <v>0</v>
      </c>
      <c r="U1144" s="116">
        <v>0</v>
      </c>
      <c r="V1144" s="121">
        <f t="shared" si="58"/>
        <v>0</v>
      </c>
      <c r="W1144" s="111"/>
      <c r="X1144" s="111"/>
      <c r="Y1144" s="111"/>
      <c r="Z1144" s="111"/>
      <c r="AA1144" s="111"/>
      <c r="AB1144" s="111"/>
      <c r="AC1144" s="111"/>
      <c r="AD1144" s="111"/>
      <c r="AE1144" s="139">
        <f t="shared" si="57"/>
        <v>0</v>
      </c>
      <c r="AF1144" s="109"/>
      <c r="AG1144" s="109"/>
    </row>
    <row r="1145" spans="1:33">
      <c r="A1145" s="117"/>
      <c r="B1145" s="118"/>
      <c r="C1145" s="118"/>
      <c r="D1145" s="118"/>
      <c r="E1145" s="119"/>
      <c r="F1145" s="118"/>
      <c r="G1145" s="110"/>
      <c r="H1145" s="126"/>
      <c r="I1145" s="114">
        <v>0</v>
      </c>
      <c r="J1145" s="115">
        <v>0</v>
      </c>
      <c r="K1145" s="116">
        <v>0</v>
      </c>
      <c r="L1145" s="116">
        <v>0</v>
      </c>
      <c r="M1145" s="114">
        <v>0</v>
      </c>
      <c r="N1145" s="113">
        <v>0</v>
      </c>
      <c r="O1145" s="113">
        <v>0</v>
      </c>
      <c r="P1145" s="116">
        <v>0</v>
      </c>
      <c r="Q1145" s="116">
        <v>0</v>
      </c>
      <c r="R1145" s="116">
        <v>0</v>
      </c>
      <c r="S1145" s="114">
        <v>0</v>
      </c>
      <c r="T1145" s="116">
        <v>0</v>
      </c>
      <c r="U1145" s="116">
        <v>0</v>
      </c>
      <c r="V1145" s="121">
        <f t="shared" si="58"/>
        <v>0</v>
      </c>
      <c r="W1145" s="111"/>
      <c r="X1145" s="111"/>
      <c r="Y1145" s="111"/>
      <c r="Z1145" s="111"/>
      <c r="AA1145" s="111"/>
      <c r="AB1145" s="111"/>
      <c r="AC1145" s="111"/>
      <c r="AD1145" s="111"/>
      <c r="AE1145" s="139">
        <f t="shared" si="57"/>
        <v>0</v>
      </c>
      <c r="AF1145" s="109"/>
      <c r="AG1145" s="109"/>
    </row>
    <row r="1146" spans="1:33">
      <c r="A1146" s="117"/>
      <c r="B1146" s="118"/>
      <c r="C1146" s="118"/>
      <c r="D1146" s="118"/>
      <c r="E1146" s="119"/>
      <c r="F1146" s="118"/>
      <c r="G1146" s="110"/>
      <c r="H1146" s="126"/>
      <c r="I1146" s="114">
        <v>0</v>
      </c>
      <c r="J1146" s="115">
        <v>0</v>
      </c>
      <c r="K1146" s="116">
        <v>0</v>
      </c>
      <c r="L1146" s="116">
        <v>0</v>
      </c>
      <c r="M1146" s="114">
        <v>0</v>
      </c>
      <c r="N1146" s="113">
        <v>0</v>
      </c>
      <c r="O1146" s="113">
        <v>0</v>
      </c>
      <c r="P1146" s="116">
        <v>0</v>
      </c>
      <c r="Q1146" s="116">
        <v>0</v>
      </c>
      <c r="R1146" s="116">
        <v>0</v>
      </c>
      <c r="S1146" s="114">
        <v>0</v>
      </c>
      <c r="T1146" s="116">
        <v>0</v>
      </c>
      <c r="U1146" s="116">
        <v>0</v>
      </c>
      <c r="V1146" s="121">
        <f t="shared" si="58"/>
        <v>0</v>
      </c>
      <c r="W1146" s="111"/>
      <c r="X1146" s="111"/>
      <c r="Y1146" s="111"/>
      <c r="Z1146" s="111"/>
      <c r="AA1146" s="111"/>
      <c r="AB1146" s="111"/>
      <c r="AC1146" s="111"/>
      <c r="AD1146" s="111"/>
      <c r="AE1146" s="139">
        <f t="shared" si="57"/>
        <v>0</v>
      </c>
      <c r="AF1146" s="109"/>
      <c r="AG1146" s="109"/>
    </row>
    <row r="1147" spans="1:33">
      <c r="A1147" s="117"/>
      <c r="B1147" s="118"/>
      <c r="C1147" s="118"/>
      <c r="D1147" s="118"/>
      <c r="E1147" s="119"/>
      <c r="F1147" s="118"/>
      <c r="G1147" s="110"/>
      <c r="H1147" s="126"/>
      <c r="I1147" s="114">
        <v>0</v>
      </c>
      <c r="J1147" s="115">
        <v>0</v>
      </c>
      <c r="K1147" s="116">
        <v>0</v>
      </c>
      <c r="L1147" s="116">
        <v>0</v>
      </c>
      <c r="M1147" s="114">
        <v>0</v>
      </c>
      <c r="N1147" s="113">
        <v>0</v>
      </c>
      <c r="O1147" s="113">
        <v>0</v>
      </c>
      <c r="P1147" s="116">
        <v>0</v>
      </c>
      <c r="Q1147" s="116">
        <v>0</v>
      </c>
      <c r="R1147" s="116">
        <v>0</v>
      </c>
      <c r="S1147" s="114">
        <v>0</v>
      </c>
      <c r="T1147" s="116">
        <v>0</v>
      </c>
      <c r="U1147" s="116">
        <v>0</v>
      </c>
      <c r="V1147" s="121">
        <f t="shared" si="58"/>
        <v>0</v>
      </c>
      <c r="W1147" s="111"/>
      <c r="X1147" s="111"/>
      <c r="Y1147" s="111"/>
      <c r="Z1147" s="111"/>
      <c r="AA1147" s="111"/>
      <c r="AB1147" s="111"/>
      <c r="AC1147" s="111"/>
      <c r="AD1147" s="111"/>
      <c r="AE1147" s="139">
        <f t="shared" si="57"/>
        <v>0</v>
      </c>
      <c r="AF1147" s="109"/>
      <c r="AG1147" s="109"/>
    </row>
    <row r="1148" spans="1:33">
      <c r="A1148" s="117"/>
      <c r="B1148" s="118"/>
      <c r="C1148" s="118"/>
      <c r="D1148" s="118"/>
      <c r="E1148" s="119"/>
      <c r="F1148" s="118"/>
      <c r="G1148" s="110"/>
      <c r="H1148" s="126"/>
      <c r="I1148" s="114">
        <v>0</v>
      </c>
      <c r="J1148" s="115">
        <v>0</v>
      </c>
      <c r="K1148" s="116">
        <v>0</v>
      </c>
      <c r="L1148" s="116">
        <v>0</v>
      </c>
      <c r="M1148" s="114">
        <v>0</v>
      </c>
      <c r="N1148" s="113">
        <v>0</v>
      </c>
      <c r="O1148" s="113">
        <v>0</v>
      </c>
      <c r="P1148" s="116">
        <v>0</v>
      </c>
      <c r="Q1148" s="116">
        <v>0</v>
      </c>
      <c r="R1148" s="116">
        <v>0</v>
      </c>
      <c r="S1148" s="114">
        <v>0</v>
      </c>
      <c r="T1148" s="116">
        <v>0</v>
      </c>
      <c r="U1148" s="116">
        <v>0</v>
      </c>
      <c r="V1148" s="121">
        <f t="shared" si="58"/>
        <v>0</v>
      </c>
      <c r="W1148" s="111"/>
      <c r="X1148" s="111"/>
      <c r="Y1148" s="111"/>
      <c r="Z1148" s="111"/>
      <c r="AA1148" s="111"/>
      <c r="AB1148" s="111"/>
      <c r="AC1148" s="111"/>
      <c r="AD1148" s="111"/>
      <c r="AE1148" s="139">
        <f t="shared" si="57"/>
        <v>0</v>
      </c>
      <c r="AF1148" s="109"/>
      <c r="AG1148" s="109"/>
    </row>
    <row r="1149" spans="1:33">
      <c r="A1149" s="117"/>
      <c r="B1149" s="118"/>
      <c r="C1149" s="118"/>
      <c r="D1149" s="118"/>
      <c r="E1149" s="119"/>
      <c r="F1149" s="118"/>
      <c r="G1149" s="110"/>
      <c r="H1149" s="126"/>
      <c r="I1149" s="114">
        <v>0</v>
      </c>
      <c r="J1149" s="115">
        <v>0</v>
      </c>
      <c r="K1149" s="116">
        <v>0</v>
      </c>
      <c r="L1149" s="116">
        <v>0</v>
      </c>
      <c r="M1149" s="114">
        <v>0</v>
      </c>
      <c r="N1149" s="113">
        <v>0</v>
      </c>
      <c r="O1149" s="113">
        <v>0</v>
      </c>
      <c r="P1149" s="116">
        <v>0</v>
      </c>
      <c r="Q1149" s="116">
        <v>0</v>
      </c>
      <c r="R1149" s="116">
        <v>0</v>
      </c>
      <c r="S1149" s="114">
        <v>0</v>
      </c>
      <c r="T1149" s="116">
        <v>0</v>
      </c>
      <c r="U1149" s="116">
        <v>0</v>
      </c>
      <c r="V1149" s="121">
        <f t="shared" si="58"/>
        <v>0</v>
      </c>
      <c r="W1149" s="111"/>
      <c r="X1149" s="111"/>
      <c r="Y1149" s="111"/>
      <c r="Z1149" s="111"/>
      <c r="AA1149" s="111"/>
      <c r="AB1149" s="111"/>
      <c r="AC1149" s="111"/>
      <c r="AD1149" s="111"/>
      <c r="AE1149" s="139">
        <f t="shared" si="57"/>
        <v>0</v>
      </c>
      <c r="AF1149" s="109"/>
      <c r="AG1149" s="109"/>
    </row>
    <row r="1150" spans="1:33">
      <c r="A1150" s="117"/>
      <c r="B1150" s="118"/>
      <c r="C1150" s="118"/>
      <c r="D1150" s="118"/>
      <c r="E1150" s="119"/>
      <c r="F1150" s="118"/>
      <c r="G1150" s="110"/>
      <c r="H1150" s="126"/>
      <c r="I1150" s="114">
        <v>0</v>
      </c>
      <c r="J1150" s="115">
        <v>0</v>
      </c>
      <c r="K1150" s="116">
        <v>0</v>
      </c>
      <c r="L1150" s="116">
        <v>0</v>
      </c>
      <c r="M1150" s="114">
        <v>0</v>
      </c>
      <c r="N1150" s="113">
        <v>0</v>
      </c>
      <c r="O1150" s="113">
        <v>0</v>
      </c>
      <c r="P1150" s="116">
        <v>0</v>
      </c>
      <c r="Q1150" s="116">
        <v>0</v>
      </c>
      <c r="R1150" s="116">
        <v>0</v>
      </c>
      <c r="S1150" s="114">
        <v>0</v>
      </c>
      <c r="T1150" s="116">
        <v>0</v>
      </c>
      <c r="U1150" s="116">
        <v>0</v>
      </c>
      <c r="V1150" s="121">
        <f t="shared" si="58"/>
        <v>0</v>
      </c>
      <c r="W1150" s="111"/>
      <c r="X1150" s="111"/>
      <c r="Y1150" s="111"/>
      <c r="Z1150" s="111"/>
      <c r="AA1150" s="111"/>
      <c r="AB1150" s="111"/>
      <c r="AC1150" s="111"/>
      <c r="AD1150" s="111"/>
      <c r="AE1150" s="139">
        <f t="shared" si="57"/>
        <v>0</v>
      </c>
      <c r="AF1150" s="109"/>
      <c r="AG1150" s="109"/>
    </row>
    <row r="1151" spans="1:33">
      <c r="A1151" s="117"/>
      <c r="B1151" s="118"/>
      <c r="C1151" s="118"/>
      <c r="D1151" s="118"/>
      <c r="E1151" s="119"/>
      <c r="F1151" s="118"/>
      <c r="G1151" s="110"/>
      <c r="H1151" s="126"/>
      <c r="I1151" s="114">
        <v>0</v>
      </c>
      <c r="J1151" s="115">
        <v>0</v>
      </c>
      <c r="K1151" s="116">
        <v>0</v>
      </c>
      <c r="L1151" s="116">
        <v>0</v>
      </c>
      <c r="M1151" s="114">
        <v>0</v>
      </c>
      <c r="N1151" s="113">
        <v>0</v>
      </c>
      <c r="O1151" s="113">
        <v>0</v>
      </c>
      <c r="P1151" s="116">
        <v>0</v>
      </c>
      <c r="Q1151" s="116">
        <v>0</v>
      </c>
      <c r="R1151" s="116">
        <v>0</v>
      </c>
      <c r="S1151" s="114">
        <v>0</v>
      </c>
      <c r="T1151" s="116">
        <v>0</v>
      </c>
      <c r="U1151" s="116">
        <v>0</v>
      </c>
      <c r="V1151" s="121">
        <f t="shared" si="58"/>
        <v>0</v>
      </c>
      <c r="W1151" s="111"/>
      <c r="X1151" s="111"/>
      <c r="Y1151" s="111"/>
      <c r="Z1151" s="111"/>
      <c r="AA1151" s="111"/>
      <c r="AB1151" s="111"/>
      <c r="AC1151" s="111"/>
      <c r="AD1151" s="111"/>
      <c r="AE1151" s="139">
        <f t="shared" si="57"/>
        <v>0</v>
      </c>
      <c r="AF1151" s="109"/>
      <c r="AG1151" s="109"/>
    </row>
    <row r="1152" spans="1:33">
      <c r="A1152" s="117"/>
      <c r="B1152" s="118"/>
      <c r="C1152" s="118"/>
      <c r="D1152" s="118"/>
      <c r="E1152" s="119"/>
      <c r="F1152" s="118"/>
      <c r="G1152" s="110"/>
      <c r="H1152" s="126"/>
      <c r="I1152" s="114">
        <v>0</v>
      </c>
      <c r="J1152" s="115">
        <v>0</v>
      </c>
      <c r="K1152" s="116">
        <v>0</v>
      </c>
      <c r="L1152" s="116">
        <v>0</v>
      </c>
      <c r="M1152" s="114">
        <v>0</v>
      </c>
      <c r="N1152" s="113">
        <v>0</v>
      </c>
      <c r="O1152" s="113">
        <v>0</v>
      </c>
      <c r="P1152" s="116">
        <v>0</v>
      </c>
      <c r="Q1152" s="116">
        <v>0</v>
      </c>
      <c r="R1152" s="116">
        <v>0</v>
      </c>
      <c r="S1152" s="114">
        <v>0</v>
      </c>
      <c r="T1152" s="116">
        <v>0</v>
      </c>
      <c r="U1152" s="116">
        <v>0</v>
      </c>
      <c r="V1152" s="121">
        <f t="shared" si="58"/>
        <v>0</v>
      </c>
      <c r="W1152" s="111"/>
      <c r="X1152" s="111"/>
      <c r="Y1152" s="111"/>
      <c r="Z1152" s="111"/>
      <c r="AA1152" s="111"/>
      <c r="AB1152" s="111"/>
      <c r="AC1152" s="111"/>
      <c r="AD1152" s="111"/>
      <c r="AE1152" s="139">
        <f t="shared" si="57"/>
        <v>0</v>
      </c>
      <c r="AF1152" s="109"/>
      <c r="AG1152" s="109"/>
    </row>
    <row r="1153" spans="1:33">
      <c r="A1153" s="117"/>
      <c r="B1153" s="118"/>
      <c r="C1153" s="118"/>
      <c r="D1153" s="118"/>
      <c r="E1153" s="119"/>
      <c r="F1153" s="118"/>
      <c r="G1153" s="110"/>
      <c r="H1153" s="126"/>
      <c r="I1153" s="114">
        <v>0</v>
      </c>
      <c r="J1153" s="115">
        <v>0</v>
      </c>
      <c r="K1153" s="116">
        <v>0</v>
      </c>
      <c r="L1153" s="116">
        <v>0</v>
      </c>
      <c r="M1153" s="114">
        <v>0</v>
      </c>
      <c r="N1153" s="113">
        <v>0</v>
      </c>
      <c r="O1153" s="113">
        <v>0</v>
      </c>
      <c r="P1153" s="116">
        <v>0</v>
      </c>
      <c r="Q1153" s="116">
        <v>0</v>
      </c>
      <c r="R1153" s="116">
        <v>0</v>
      </c>
      <c r="S1153" s="114">
        <v>0</v>
      </c>
      <c r="T1153" s="116">
        <v>0</v>
      </c>
      <c r="U1153" s="116">
        <v>0</v>
      </c>
      <c r="V1153" s="121">
        <f t="shared" si="58"/>
        <v>0</v>
      </c>
      <c r="W1153" s="111"/>
      <c r="X1153" s="111"/>
      <c r="Y1153" s="111"/>
      <c r="Z1153" s="111"/>
      <c r="AA1153" s="111"/>
      <c r="AB1153" s="111"/>
      <c r="AC1153" s="111"/>
      <c r="AD1153" s="111"/>
      <c r="AE1153" s="139">
        <f t="shared" si="57"/>
        <v>0</v>
      </c>
      <c r="AF1153" s="109"/>
      <c r="AG1153" s="109"/>
    </row>
    <row r="1154" spans="1:33">
      <c r="A1154" s="117"/>
      <c r="B1154" s="118"/>
      <c r="C1154" s="118"/>
      <c r="D1154" s="118"/>
      <c r="E1154" s="119"/>
      <c r="F1154" s="118"/>
      <c r="G1154" s="110"/>
      <c r="H1154" s="126"/>
      <c r="I1154" s="114">
        <v>0</v>
      </c>
      <c r="J1154" s="115">
        <v>0</v>
      </c>
      <c r="K1154" s="116">
        <v>0</v>
      </c>
      <c r="L1154" s="116">
        <v>0</v>
      </c>
      <c r="M1154" s="114">
        <v>0</v>
      </c>
      <c r="N1154" s="113">
        <v>0</v>
      </c>
      <c r="O1154" s="113">
        <v>0</v>
      </c>
      <c r="P1154" s="116">
        <v>0</v>
      </c>
      <c r="Q1154" s="116">
        <v>0</v>
      </c>
      <c r="R1154" s="116">
        <v>0</v>
      </c>
      <c r="S1154" s="114">
        <v>0</v>
      </c>
      <c r="T1154" s="116">
        <v>0</v>
      </c>
      <c r="U1154" s="116">
        <v>0</v>
      </c>
      <c r="V1154" s="121">
        <f t="shared" si="58"/>
        <v>0</v>
      </c>
      <c r="W1154" s="111"/>
      <c r="X1154" s="111"/>
      <c r="Y1154" s="111"/>
      <c r="Z1154" s="111"/>
      <c r="AA1154" s="111"/>
      <c r="AB1154" s="111"/>
      <c r="AC1154" s="111"/>
      <c r="AD1154" s="111"/>
      <c r="AE1154" s="139">
        <f t="shared" si="57"/>
        <v>0</v>
      </c>
      <c r="AF1154" s="109"/>
      <c r="AG1154" s="109"/>
    </row>
    <row r="1155" spans="1:33">
      <c r="A1155" s="117"/>
      <c r="B1155" s="118"/>
      <c r="C1155" s="118"/>
      <c r="D1155" s="118"/>
      <c r="E1155" s="119"/>
      <c r="F1155" s="118"/>
      <c r="G1155" s="110"/>
      <c r="H1155" s="126"/>
      <c r="I1155" s="114">
        <v>0</v>
      </c>
      <c r="J1155" s="115">
        <v>0</v>
      </c>
      <c r="K1155" s="116">
        <v>0</v>
      </c>
      <c r="L1155" s="116">
        <v>0</v>
      </c>
      <c r="M1155" s="114">
        <v>0</v>
      </c>
      <c r="N1155" s="113">
        <v>0</v>
      </c>
      <c r="O1155" s="113">
        <v>0</v>
      </c>
      <c r="P1155" s="116">
        <v>0</v>
      </c>
      <c r="Q1155" s="116">
        <v>0</v>
      </c>
      <c r="R1155" s="116">
        <v>0</v>
      </c>
      <c r="S1155" s="114">
        <v>0</v>
      </c>
      <c r="T1155" s="116">
        <v>0</v>
      </c>
      <c r="U1155" s="116">
        <v>0</v>
      </c>
      <c r="V1155" s="121">
        <f t="shared" si="58"/>
        <v>0</v>
      </c>
      <c r="W1155" s="111"/>
      <c r="X1155" s="111"/>
      <c r="Y1155" s="111"/>
      <c r="Z1155" s="111"/>
      <c r="AA1155" s="111"/>
      <c r="AB1155" s="111"/>
      <c r="AC1155" s="111"/>
      <c r="AD1155" s="111"/>
      <c r="AE1155" s="139">
        <f t="shared" si="57"/>
        <v>0</v>
      </c>
      <c r="AF1155" s="109"/>
      <c r="AG1155" s="109"/>
    </row>
    <row r="1156" spans="1:33">
      <c r="A1156" s="117"/>
      <c r="B1156" s="118"/>
      <c r="C1156" s="118"/>
      <c r="D1156" s="118"/>
      <c r="E1156" s="119"/>
      <c r="F1156" s="118"/>
      <c r="G1156" s="110"/>
      <c r="H1156" s="126"/>
      <c r="I1156" s="114">
        <v>0</v>
      </c>
      <c r="J1156" s="115">
        <v>0</v>
      </c>
      <c r="K1156" s="116">
        <v>0</v>
      </c>
      <c r="L1156" s="116">
        <v>0</v>
      </c>
      <c r="M1156" s="114">
        <v>0</v>
      </c>
      <c r="N1156" s="113">
        <v>0</v>
      </c>
      <c r="O1156" s="113">
        <v>0</v>
      </c>
      <c r="P1156" s="116">
        <v>0</v>
      </c>
      <c r="Q1156" s="116">
        <v>0</v>
      </c>
      <c r="R1156" s="116">
        <v>0</v>
      </c>
      <c r="S1156" s="114">
        <v>0</v>
      </c>
      <c r="T1156" s="116">
        <v>0</v>
      </c>
      <c r="U1156" s="116">
        <v>0</v>
      </c>
      <c r="V1156" s="121">
        <f t="shared" si="58"/>
        <v>0</v>
      </c>
      <c r="W1156" s="111"/>
      <c r="X1156" s="111"/>
      <c r="Y1156" s="111"/>
      <c r="Z1156" s="111"/>
      <c r="AA1156" s="111"/>
      <c r="AB1156" s="111"/>
      <c r="AC1156" s="111"/>
      <c r="AD1156" s="111"/>
      <c r="AE1156" s="139">
        <f t="shared" si="57"/>
        <v>0</v>
      </c>
      <c r="AF1156" s="109"/>
      <c r="AG1156" s="109"/>
    </row>
    <row r="1157" spans="1:33">
      <c r="A1157" s="117"/>
      <c r="B1157" s="118"/>
      <c r="C1157" s="118"/>
      <c r="D1157" s="118"/>
      <c r="E1157" s="119"/>
      <c r="F1157" s="118"/>
      <c r="G1157" s="110"/>
      <c r="H1157" s="126"/>
      <c r="I1157" s="114">
        <v>0</v>
      </c>
      <c r="J1157" s="115">
        <v>0</v>
      </c>
      <c r="K1157" s="116">
        <v>0</v>
      </c>
      <c r="L1157" s="116">
        <v>0</v>
      </c>
      <c r="M1157" s="114">
        <v>0</v>
      </c>
      <c r="N1157" s="113">
        <v>0</v>
      </c>
      <c r="O1157" s="113">
        <v>0</v>
      </c>
      <c r="P1157" s="116">
        <v>0</v>
      </c>
      <c r="Q1157" s="116">
        <v>0</v>
      </c>
      <c r="R1157" s="116">
        <v>0</v>
      </c>
      <c r="S1157" s="114">
        <v>0</v>
      </c>
      <c r="T1157" s="116">
        <v>0</v>
      </c>
      <c r="U1157" s="116">
        <v>0</v>
      </c>
      <c r="V1157" s="121">
        <f t="shared" si="58"/>
        <v>0</v>
      </c>
      <c r="W1157" s="111"/>
      <c r="X1157" s="111"/>
      <c r="Y1157" s="111"/>
      <c r="Z1157" s="111"/>
      <c r="AA1157" s="111"/>
      <c r="AB1157" s="111"/>
      <c r="AC1157" s="111"/>
      <c r="AD1157" s="111"/>
      <c r="AE1157" s="139">
        <f t="shared" si="57"/>
        <v>0</v>
      </c>
      <c r="AF1157" s="109"/>
      <c r="AG1157" s="109"/>
    </row>
    <row r="1158" spans="1:33">
      <c r="A1158" s="117"/>
      <c r="B1158" s="118"/>
      <c r="C1158" s="118"/>
      <c r="D1158" s="118"/>
      <c r="E1158" s="119"/>
      <c r="F1158" s="118"/>
      <c r="G1158" s="110"/>
      <c r="H1158" s="126"/>
      <c r="I1158" s="114">
        <v>0</v>
      </c>
      <c r="J1158" s="115">
        <v>0</v>
      </c>
      <c r="K1158" s="116">
        <v>0</v>
      </c>
      <c r="L1158" s="116">
        <v>0</v>
      </c>
      <c r="M1158" s="114">
        <v>0</v>
      </c>
      <c r="N1158" s="113">
        <v>0</v>
      </c>
      <c r="O1158" s="113">
        <v>0</v>
      </c>
      <c r="P1158" s="116">
        <v>0</v>
      </c>
      <c r="Q1158" s="116">
        <v>0</v>
      </c>
      <c r="R1158" s="116">
        <v>0</v>
      </c>
      <c r="S1158" s="114">
        <v>0</v>
      </c>
      <c r="T1158" s="116">
        <v>0</v>
      </c>
      <c r="U1158" s="116">
        <v>0</v>
      </c>
      <c r="V1158" s="121">
        <f t="shared" si="58"/>
        <v>0</v>
      </c>
      <c r="W1158" s="111"/>
      <c r="X1158" s="111"/>
      <c r="Y1158" s="111"/>
      <c r="Z1158" s="111"/>
      <c r="AA1158" s="111"/>
      <c r="AB1158" s="111"/>
      <c r="AC1158" s="111"/>
      <c r="AD1158" s="111"/>
      <c r="AE1158" s="139">
        <f t="shared" si="57"/>
        <v>0</v>
      </c>
      <c r="AF1158" s="109"/>
      <c r="AG1158" s="109"/>
    </row>
    <row r="1159" spans="1:33">
      <c r="A1159" s="117"/>
      <c r="B1159" s="118"/>
      <c r="C1159" s="118"/>
      <c r="D1159" s="118"/>
      <c r="E1159" s="119"/>
      <c r="F1159" s="118"/>
      <c r="G1159" s="110"/>
      <c r="H1159" s="126"/>
      <c r="I1159" s="114">
        <v>0</v>
      </c>
      <c r="J1159" s="115">
        <v>0</v>
      </c>
      <c r="K1159" s="116">
        <v>0</v>
      </c>
      <c r="L1159" s="116">
        <v>0</v>
      </c>
      <c r="M1159" s="114">
        <v>0</v>
      </c>
      <c r="N1159" s="113">
        <v>0</v>
      </c>
      <c r="O1159" s="113">
        <v>0</v>
      </c>
      <c r="P1159" s="116">
        <v>0</v>
      </c>
      <c r="Q1159" s="116">
        <v>0</v>
      </c>
      <c r="R1159" s="116">
        <v>0</v>
      </c>
      <c r="S1159" s="114">
        <v>0</v>
      </c>
      <c r="T1159" s="116">
        <v>0</v>
      </c>
      <c r="U1159" s="116">
        <v>0</v>
      </c>
      <c r="V1159" s="121">
        <f t="shared" si="58"/>
        <v>0</v>
      </c>
      <c r="W1159" s="111"/>
      <c r="X1159" s="111"/>
      <c r="Y1159" s="111"/>
      <c r="Z1159" s="111"/>
      <c r="AA1159" s="111"/>
      <c r="AB1159" s="111"/>
      <c r="AC1159" s="111"/>
      <c r="AD1159" s="111"/>
      <c r="AE1159" s="139">
        <f t="shared" si="57"/>
        <v>0</v>
      </c>
      <c r="AF1159" s="109"/>
      <c r="AG1159" s="109"/>
    </row>
    <row r="1160" spans="1:33">
      <c r="A1160" s="117"/>
      <c r="B1160" s="118"/>
      <c r="C1160" s="118"/>
      <c r="D1160" s="118"/>
      <c r="E1160" s="119"/>
      <c r="F1160" s="118"/>
      <c r="G1160" s="110"/>
      <c r="H1160" s="126"/>
      <c r="I1160" s="114">
        <v>0</v>
      </c>
      <c r="J1160" s="115">
        <v>0</v>
      </c>
      <c r="K1160" s="116">
        <v>0</v>
      </c>
      <c r="L1160" s="116">
        <v>0</v>
      </c>
      <c r="M1160" s="114">
        <v>0</v>
      </c>
      <c r="N1160" s="113">
        <v>0</v>
      </c>
      <c r="O1160" s="113">
        <v>0</v>
      </c>
      <c r="P1160" s="116">
        <v>0</v>
      </c>
      <c r="Q1160" s="116">
        <v>0</v>
      </c>
      <c r="R1160" s="116">
        <v>0</v>
      </c>
      <c r="S1160" s="114">
        <v>0</v>
      </c>
      <c r="T1160" s="116">
        <v>0</v>
      </c>
      <c r="U1160" s="116">
        <v>0</v>
      </c>
      <c r="V1160" s="121">
        <f t="shared" si="58"/>
        <v>0</v>
      </c>
      <c r="W1160" s="111"/>
      <c r="X1160" s="111"/>
      <c r="Y1160" s="111"/>
      <c r="Z1160" s="111"/>
      <c r="AA1160" s="111"/>
      <c r="AB1160" s="111"/>
      <c r="AC1160" s="111"/>
      <c r="AD1160" s="111"/>
      <c r="AE1160" s="139">
        <f t="shared" si="57"/>
        <v>0</v>
      </c>
      <c r="AF1160" s="109"/>
      <c r="AG1160" s="109"/>
    </row>
    <row r="1161" spans="1:33">
      <c r="A1161" s="117"/>
      <c r="B1161" s="118"/>
      <c r="C1161" s="118"/>
      <c r="D1161" s="118"/>
      <c r="E1161" s="119"/>
      <c r="F1161" s="118"/>
      <c r="G1161" s="110"/>
      <c r="H1161" s="126"/>
      <c r="I1161" s="114">
        <v>0</v>
      </c>
      <c r="J1161" s="115">
        <v>0</v>
      </c>
      <c r="K1161" s="116">
        <v>0</v>
      </c>
      <c r="L1161" s="116">
        <v>0</v>
      </c>
      <c r="M1161" s="114">
        <v>0</v>
      </c>
      <c r="N1161" s="113">
        <v>0</v>
      </c>
      <c r="O1161" s="113">
        <v>0</v>
      </c>
      <c r="P1161" s="116">
        <v>0</v>
      </c>
      <c r="Q1161" s="116">
        <v>0</v>
      </c>
      <c r="R1161" s="116">
        <v>0</v>
      </c>
      <c r="S1161" s="114">
        <v>0</v>
      </c>
      <c r="T1161" s="116">
        <v>0</v>
      </c>
      <c r="U1161" s="116">
        <v>0</v>
      </c>
      <c r="V1161" s="121">
        <f t="shared" si="58"/>
        <v>0</v>
      </c>
      <c r="W1161" s="111"/>
      <c r="X1161" s="111"/>
      <c r="Y1161" s="111"/>
      <c r="Z1161" s="111"/>
      <c r="AA1161" s="111"/>
      <c r="AB1161" s="111"/>
      <c r="AC1161" s="111"/>
      <c r="AD1161" s="111"/>
      <c r="AE1161" s="139">
        <f t="shared" si="57"/>
        <v>0</v>
      </c>
      <c r="AF1161" s="109"/>
      <c r="AG1161" s="109"/>
    </row>
    <row r="1162" spans="1:33">
      <c r="A1162" s="117"/>
      <c r="B1162" s="118"/>
      <c r="C1162" s="118"/>
      <c r="D1162" s="118"/>
      <c r="E1162" s="119"/>
      <c r="F1162" s="118"/>
      <c r="G1162" s="110"/>
      <c r="H1162" s="126"/>
      <c r="I1162" s="114">
        <v>0</v>
      </c>
      <c r="J1162" s="115">
        <v>0</v>
      </c>
      <c r="K1162" s="116">
        <v>0</v>
      </c>
      <c r="L1162" s="116">
        <v>0</v>
      </c>
      <c r="M1162" s="114">
        <v>0</v>
      </c>
      <c r="N1162" s="113">
        <v>0</v>
      </c>
      <c r="O1162" s="113">
        <v>0</v>
      </c>
      <c r="P1162" s="116">
        <v>0</v>
      </c>
      <c r="Q1162" s="116">
        <v>0</v>
      </c>
      <c r="R1162" s="116">
        <v>0</v>
      </c>
      <c r="S1162" s="114">
        <v>0</v>
      </c>
      <c r="T1162" s="116">
        <v>0</v>
      </c>
      <c r="U1162" s="116">
        <v>0</v>
      </c>
      <c r="V1162" s="121">
        <f t="shared" si="58"/>
        <v>0</v>
      </c>
      <c r="W1162" s="111"/>
      <c r="X1162" s="111"/>
      <c r="Y1162" s="111"/>
      <c r="Z1162" s="111"/>
      <c r="AA1162" s="111"/>
      <c r="AB1162" s="111"/>
      <c r="AC1162" s="111"/>
      <c r="AD1162" s="111"/>
      <c r="AE1162" s="139">
        <f t="shared" si="57"/>
        <v>0</v>
      </c>
      <c r="AF1162" s="109"/>
      <c r="AG1162" s="109"/>
    </row>
    <row r="1163" spans="1:33">
      <c r="A1163" s="117"/>
      <c r="B1163" s="118"/>
      <c r="C1163" s="118"/>
      <c r="D1163" s="118"/>
      <c r="E1163" s="119"/>
      <c r="F1163" s="118"/>
      <c r="G1163" s="110"/>
      <c r="H1163" s="126"/>
      <c r="I1163" s="114">
        <v>0</v>
      </c>
      <c r="J1163" s="115">
        <v>0</v>
      </c>
      <c r="K1163" s="116">
        <v>0</v>
      </c>
      <c r="L1163" s="116">
        <v>0</v>
      </c>
      <c r="M1163" s="114">
        <v>0</v>
      </c>
      <c r="N1163" s="113">
        <v>0</v>
      </c>
      <c r="O1163" s="113">
        <v>0</v>
      </c>
      <c r="P1163" s="116">
        <v>0</v>
      </c>
      <c r="Q1163" s="116">
        <v>0</v>
      </c>
      <c r="R1163" s="116">
        <v>0</v>
      </c>
      <c r="S1163" s="114">
        <v>0</v>
      </c>
      <c r="T1163" s="116">
        <v>0</v>
      </c>
      <c r="U1163" s="116">
        <v>0</v>
      </c>
      <c r="V1163" s="121">
        <f t="shared" si="58"/>
        <v>0</v>
      </c>
      <c r="W1163" s="111"/>
      <c r="X1163" s="111"/>
      <c r="Y1163" s="111"/>
      <c r="Z1163" s="111"/>
      <c r="AA1163" s="111"/>
      <c r="AB1163" s="111"/>
      <c r="AC1163" s="111"/>
      <c r="AD1163" s="111"/>
      <c r="AE1163" s="139">
        <f t="shared" si="57"/>
        <v>0</v>
      </c>
      <c r="AF1163" s="109"/>
      <c r="AG1163" s="109"/>
    </row>
    <row r="1164" spans="1:33">
      <c r="A1164" s="117"/>
      <c r="B1164" s="118"/>
      <c r="C1164" s="118"/>
      <c r="D1164" s="118"/>
      <c r="E1164" s="119"/>
      <c r="F1164" s="118"/>
      <c r="G1164" s="110"/>
      <c r="H1164" s="126"/>
      <c r="I1164" s="114">
        <v>0</v>
      </c>
      <c r="J1164" s="115">
        <v>0</v>
      </c>
      <c r="K1164" s="116">
        <v>0</v>
      </c>
      <c r="L1164" s="116">
        <v>0</v>
      </c>
      <c r="M1164" s="114">
        <v>0</v>
      </c>
      <c r="N1164" s="113">
        <v>0</v>
      </c>
      <c r="O1164" s="113">
        <v>0</v>
      </c>
      <c r="P1164" s="116">
        <v>0</v>
      </c>
      <c r="Q1164" s="116">
        <v>0</v>
      </c>
      <c r="R1164" s="116">
        <v>0</v>
      </c>
      <c r="S1164" s="114">
        <v>0</v>
      </c>
      <c r="T1164" s="116">
        <v>0</v>
      </c>
      <c r="U1164" s="116">
        <v>0</v>
      </c>
      <c r="V1164" s="121">
        <f t="shared" si="58"/>
        <v>0</v>
      </c>
      <c r="W1164" s="111"/>
      <c r="X1164" s="111"/>
      <c r="Y1164" s="111"/>
      <c r="Z1164" s="111"/>
      <c r="AA1164" s="111"/>
      <c r="AB1164" s="111"/>
      <c r="AC1164" s="111"/>
      <c r="AD1164" s="111"/>
      <c r="AE1164" s="139">
        <f t="shared" si="57"/>
        <v>0</v>
      </c>
      <c r="AF1164" s="109"/>
      <c r="AG1164" s="109"/>
    </row>
    <row r="1165" spans="1:33">
      <c r="A1165" s="117"/>
      <c r="B1165" s="118"/>
      <c r="C1165" s="118"/>
      <c r="D1165" s="118"/>
      <c r="E1165" s="119"/>
      <c r="F1165" s="118"/>
      <c r="G1165" s="110"/>
      <c r="H1165" s="126"/>
      <c r="I1165" s="114">
        <v>0</v>
      </c>
      <c r="J1165" s="115">
        <v>0</v>
      </c>
      <c r="K1165" s="116">
        <v>0</v>
      </c>
      <c r="L1165" s="116">
        <v>0</v>
      </c>
      <c r="M1165" s="114">
        <v>0</v>
      </c>
      <c r="N1165" s="113">
        <v>0</v>
      </c>
      <c r="O1165" s="113">
        <v>0</v>
      </c>
      <c r="P1165" s="116">
        <v>0</v>
      </c>
      <c r="Q1165" s="116">
        <v>0</v>
      </c>
      <c r="R1165" s="116">
        <v>0</v>
      </c>
      <c r="S1165" s="114">
        <v>0</v>
      </c>
      <c r="T1165" s="116">
        <v>0</v>
      </c>
      <c r="U1165" s="116">
        <v>0</v>
      </c>
      <c r="V1165" s="121">
        <f t="shared" si="58"/>
        <v>0</v>
      </c>
      <c r="W1165" s="111"/>
      <c r="X1165" s="111"/>
      <c r="Y1165" s="111"/>
      <c r="Z1165" s="111"/>
      <c r="AA1165" s="111"/>
      <c r="AB1165" s="111"/>
      <c r="AC1165" s="111"/>
      <c r="AD1165" s="111"/>
      <c r="AE1165" s="139">
        <f t="shared" si="57"/>
        <v>0</v>
      </c>
      <c r="AF1165" s="109"/>
      <c r="AG1165" s="109"/>
    </row>
    <row r="1166" spans="1:33">
      <c r="A1166" s="117"/>
      <c r="B1166" s="118"/>
      <c r="C1166" s="118"/>
      <c r="D1166" s="118"/>
      <c r="E1166" s="119"/>
      <c r="F1166" s="118"/>
      <c r="G1166" s="110"/>
      <c r="H1166" s="126"/>
      <c r="I1166" s="114">
        <v>0</v>
      </c>
      <c r="J1166" s="115">
        <v>0</v>
      </c>
      <c r="K1166" s="116">
        <v>0</v>
      </c>
      <c r="L1166" s="116">
        <v>0</v>
      </c>
      <c r="M1166" s="114">
        <v>0</v>
      </c>
      <c r="N1166" s="113">
        <v>0</v>
      </c>
      <c r="O1166" s="113">
        <v>0</v>
      </c>
      <c r="P1166" s="116">
        <v>0</v>
      </c>
      <c r="Q1166" s="116">
        <v>0</v>
      </c>
      <c r="R1166" s="116">
        <v>0</v>
      </c>
      <c r="S1166" s="114">
        <v>0</v>
      </c>
      <c r="T1166" s="116">
        <v>0</v>
      </c>
      <c r="U1166" s="116">
        <v>0</v>
      </c>
      <c r="V1166" s="121">
        <f t="shared" si="58"/>
        <v>0</v>
      </c>
      <c r="W1166" s="111"/>
      <c r="X1166" s="111"/>
      <c r="Y1166" s="111"/>
      <c r="Z1166" s="111"/>
      <c r="AA1166" s="111"/>
      <c r="AB1166" s="111"/>
      <c r="AC1166" s="111"/>
      <c r="AD1166" s="111"/>
      <c r="AE1166" s="139">
        <f t="shared" si="57"/>
        <v>0</v>
      </c>
      <c r="AF1166" s="109"/>
      <c r="AG1166" s="109"/>
    </row>
    <row r="1167" spans="1:33">
      <c r="A1167" s="117"/>
      <c r="B1167" s="118"/>
      <c r="C1167" s="118"/>
      <c r="D1167" s="118"/>
      <c r="E1167" s="119"/>
      <c r="F1167" s="118"/>
      <c r="G1167" s="110"/>
      <c r="H1167" s="126"/>
      <c r="I1167" s="114">
        <v>0</v>
      </c>
      <c r="J1167" s="115">
        <v>0</v>
      </c>
      <c r="K1167" s="116">
        <v>0</v>
      </c>
      <c r="L1167" s="116">
        <v>0</v>
      </c>
      <c r="M1167" s="114">
        <v>0</v>
      </c>
      <c r="N1167" s="113">
        <v>0</v>
      </c>
      <c r="O1167" s="113">
        <v>0</v>
      </c>
      <c r="P1167" s="116">
        <v>0</v>
      </c>
      <c r="Q1167" s="116">
        <v>0</v>
      </c>
      <c r="R1167" s="116">
        <v>0</v>
      </c>
      <c r="S1167" s="114">
        <v>0</v>
      </c>
      <c r="T1167" s="116">
        <v>0</v>
      </c>
      <c r="U1167" s="116">
        <v>0</v>
      </c>
      <c r="V1167" s="121">
        <f t="shared" si="58"/>
        <v>0</v>
      </c>
      <c r="W1167" s="111"/>
      <c r="X1167" s="111"/>
      <c r="Y1167" s="111"/>
      <c r="Z1167" s="111"/>
      <c r="AA1167" s="111"/>
      <c r="AB1167" s="111"/>
      <c r="AC1167" s="111"/>
      <c r="AD1167" s="111"/>
      <c r="AE1167" s="139">
        <f t="shared" si="57"/>
        <v>0</v>
      </c>
      <c r="AF1167" s="109"/>
      <c r="AG1167" s="109"/>
    </row>
    <row r="1168" spans="1:33">
      <c r="A1168" s="117"/>
      <c r="B1168" s="118"/>
      <c r="C1168" s="118"/>
      <c r="D1168" s="118"/>
      <c r="E1168" s="119"/>
      <c r="F1168" s="118"/>
      <c r="G1168" s="110"/>
      <c r="H1168" s="126"/>
      <c r="I1168" s="114">
        <v>0</v>
      </c>
      <c r="J1168" s="115">
        <v>0</v>
      </c>
      <c r="K1168" s="116">
        <v>0</v>
      </c>
      <c r="L1168" s="116">
        <v>0</v>
      </c>
      <c r="M1168" s="114">
        <v>0</v>
      </c>
      <c r="N1168" s="113">
        <v>0</v>
      </c>
      <c r="O1168" s="113">
        <v>0</v>
      </c>
      <c r="P1168" s="116">
        <v>0</v>
      </c>
      <c r="Q1168" s="116">
        <v>0</v>
      </c>
      <c r="R1168" s="116">
        <v>0</v>
      </c>
      <c r="S1168" s="114">
        <v>0</v>
      </c>
      <c r="T1168" s="116">
        <v>0</v>
      </c>
      <c r="U1168" s="116">
        <v>0</v>
      </c>
      <c r="V1168" s="121">
        <f t="shared" si="58"/>
        <v>0</v>
      </c>
      <c r="W1168" s="111"/>
      <c r="X1168" s="111"/>
      <c r="Y1168" s="111"/>
      <c r="Z1168" s="111"/>
      <c r="AA1168" s="111"/>
      <c r="AB1168" s="111"/>
      <c r="AC1168" s="111"/>
      <c r="AD1168" s="111"/>
      <c r="AE1168" s="139">
        <f t="shared" si="57"/>
        <v>0</v>
      </c>
      <c r="AF1168" s="109"/>
      <c r="AG1168" s="109"/>
    </row>
    <row r="1169" spans="1:33">
      <c r="A1169" s="117"/>
      <c r="B1169" s="118"/>
      <c r="C1169" s="118"/>
      <c r="D1169" s="118"/>
      <c r="E1169" s="119"/>
      <c r="F1169" s="118"/>
      <c r="G1169" s="110"/>
      <c r="H1169" s="126"/>
      <c r="I1169" s="114">
        <v>0</v>
      </c>
      <c r="J1169" s="115">
        <v>0</v>
      </c>
      <c r="K1169" s="116">
        <v>0</v>
      </c>
      <c r="L1169" s="116">
        <v>0</v>
      </c>
      <c r="M1169" s="114">
        <v>0</v>
      </c>
      <c r="N1169" s="113">
        <v>0</v>
      </c>
      <c r="O1169" s="113">
        <v>0</v>
      </c>
      <c r="P1169" s="116">
        <v>0</v>
      </c>
      <c r="Q1169" s="116">
        <v>0</v>
      </c>
      <c r="R1169" s="116">
        <v>0</v>
      </c>
      <c r="S1169" s="114">
        <v>0</v>
      </c>
      <c r="T1169" s="116">
        <v>0</v>
      </c>
      <c r="U1169" s="116">
        <v>0</v>
      </c>
      <c r="V1169" s="121">
        <f t="shared" si="58"/>
        <v>0</v>
      </c>
      <c r="W1169" s="111"/>
      <c r="X1169" s="111"/>
      <c r="Y1169" s="111"/>
      <c r="Z1169" s="111"/>
      <c r="AA1169" s="111"/>
      <c r="AB1169" s="111"/>
      <c r="AC1169" s="111"/>
      <c r="AD1169" s="111"/>
      <c r="AE1169" s="139">
        <f t="shared" si="57"/>
        <v>0</v>
      </c>
      <c r="AF1169" s="109"/>
      <c r="AG1169" s="109"/>
    </row>
    <row r="1170" spans="1:33">
      <c r="A1170" s="117"/>
      <c r="B1170" s="118"/>
      <c r="C1170" s="118"/>
      <c r="D1170" s="118"/>
      <c r="E1170" s="119"/>
      <c r="F1170" s="118"/>
      <c r="G1170" s="110"/>
      <c r="H1170" s="126"/>
      <c r="I1170" s="114">
        <v>0</v>
      </c>
      <c r="J1170" s="115">
        <v>0</v>
      </c>
      <c r="K1170" s="116">
        <v>0</v>
      </c>
      <c r="L1170" s="116">
        <v>0</v>
      </c>
      <c r="M1170" s="114">
        <v>0</v>
      </c>
      <c r="N1170" s="113">
        <v>0</v>
      </c>
      <c r="O1170" s="113">
        <v>0</v>
      </c>
      <c r="P1170" s="116">
        <v>0</v>
      </c>
      <c r="Q1170" s="116">
        <v>0</v>
      </c>
      <c r="R1170" s="116">
        <v>0</v>
      </c>
      <c r="S1170" s="114">
        <v>0</v>
      </c>
      <c r="T1170" s="116">
        <v>0</v>
      </c>
      <c r="U1170" s="116">
        <v>0</v>
      </c>
      <c r="V1170" s="121">
        <f t="shared" si="58"/>
        <v>0</v>
      </c>
      <c r="W1170" s="111"/>
      <c r="X1170" s="111"/>
      <c r="Y1170" s="111"/>
      <c r="Z1170" s="111"/>
      <c r="AA1170" s="111"/>
      <c r="AB1170" s="111"/>
      <c r="AC1170" s="111"/>
      <c r="AD1170" s="111"/>
      <c r="AE1170" s="139">
        <f t="shared" si="57"/>
        <v>0</v>
      </c>
      <c r="AF1170" s="109"/>
      <c r="AG1170" s="109"/>
    </row>
    <row r="1171" spans="1:33">
      <c r="A1171" s="117"/>
      <c r="B1171" s="118"/>
      <c r="C1171" s="118"/>
      <c r="D1171" s="118"/>
      <c r="E1171" s="119"/>
      <c r="F1171" s="118"/>
      <c r="G1171" s="110"/>
      <c r="H1171" s="126"/>
      <c r="I1171" s="114">
        <v>0</v>
      </c>
      <c r="J1171" s="115">
        <v>0</v>
      </c>
      <c r="K1171" s="116">
        <v>0</v>
      </c>
      <c r="L1171" s="116">
        <v>0</v>
      </c>
      <c r="M1171" s="114">
        <v>0</v>
      </c>
      <c r="N1171" s="113">
        <v>0</v>
      </c>
      <c r="O1171" s="113">
        <v>0</v>
      </c>
      <c r="P1171" s="116">
        <v>0</v>
      </c>
      <c r="Q1171" s="116">
        <v>0</v>
      </c>
      <c r="R1171" s="116">
        <v>0</v>
      </c>
      <c r="S1171" s="114">
        <v>0</v>
      </c>
      <c r="T1171" s="116">
        <v>0</v>
      </c>
      <c r="U1171" s="116">
        <v>0</v>
      </c>
      <c r="V1171" s="121">
        <f t="shared" si="58"/>
        <v>0</v>
      </c>
      <c r="W1171" s="111"/>
      <c r="X1171" s="111"/>
      <c r="Y1171" s="111"/>
      <c r="Z1171" s="111"/>
      <c r="AA1171" s="111"/>
      <c r="AB1171" s="111"/>
      <c r="AC1171" s="111"/>
      <c r="AD1171" s="111"/>
      <c r="AE1171" s="139">
        <f t="shared" si="57"/>
        <v>0</v>
      </c>
      <c r="AF1171" s="109"/>
      <c r="AG1171" s="109"/>
    </row>
    <row r="1172" spans="1:33">
      <c r="A1172" s="117"/>
      <c r="B1172" s="118"/>
      <c r="C1172" s="118"/>
      <c r="D1172" s="118"/>
      <c r="E1172" s="119"/>
      <c r="F1172" s="118"/>
      <c r="G1172" s="110"/>
      <c r="H1172" s="126"/>
      <c r="I1172" s="114">
        <v>0</v>
      </c>
      <c r="J1172" s="115">
        <v>0</v>
      </c>
      <c r="K1172" s="116">
        <v>0</v>
      </c>
      <c r="L1172" s="116">
        <v>0</v>
      </c>
      <c r="M1172" s="114">
        <v>0</v>
      </c>
      <c r="N1172" s="113">
        <v>0</v>
      </c>
      <c r="O1172" s="113">
        <v>0</v>
      </c>
      <c r="P1172" s="116">
        <v>0</v>
      </c>
      <c r="Q1172" s="116">
        <v>0</v>
      </c>
      <c r="R1172" s="116">
        <v>0</v>
      </c>
      <c r="S1172" s="114">
        <v>0</v>
      </c>
      <c r="T1172" s="116">
        <v>0</v>
      </c>
      <c r="U1172" s="116">
        <v>0</v>
      </c>
      <c r="V1172" s="121">
        <f t="shared" si="58"/>
        <v>0</v>
      </c>
      <c r="W1172" s="111"/>
      <c r="X1172" s="111"/>
      <c r="Y1172" s="111"/>
      <c r="Z1172" s="111"/>
      <c r="AA1172" s="111"/>
      <c r="AB1172" s="111"/>
      <c r="AC1172" s="111"/>
      <c r="AD1172" s="111"/>
      <c r="AE1172" s="139">
        <f t="shared" si="57"/>
        <v>0</v>
      </c>
      <c r="AF1172" s="109"/>
      <c r="AG1172" s="109"/>
    </row>
    <row r="1173" spans="1:33">
      <c r="A1173" s="117"/>
      <c r="B1173" s="118"/>
      <c r="C1173" s="118"/>
      <c r="D1173" s="118"/>
      <c r="E1173" s="119"/>
      <c r="F1173" s="118"/>
      <c r="G1173" s="110"/>
      <c r="H1173" s="126"/>
      <c r="I1173" s="114">
        <v>0</v>
      </c>
      <c r="J1173" s="115">
        <v>0</v>
      </c>
      <c r="K1173" s="116">
        <v>0</v>
      </c>
      <c r="L1173" s="116">
        <v>0</v>
      </c>
      <c r="M1173" s="114">
        <v>0</v>
      </c>
      <c r="N1173" s="113">
        <v>0</v>
      </c>
      <c r="O1173" s="113">
        <v>0</v>
      </c>
      <c r="P1173" s="116">
        <v>0</v>
      </c>
      <c r="Q1173" s="116">
        <v>0</v>
      </c>
      <c r="R1173" s="116">
        <v>0</v>
      </c>
      <c r="S1173" s="114">
        <v>0</v>
      </c>
      <c r="T1173" s="116">
        <v>0</v>
      </c>
      <c r="U1173" s="116">
        <v>0</v>
      </c>
      <c r="V1173" s="121">
        <f t="shared" si="58"/>
        <v>0</v>
      </c>
      <c r="W1173" s="111"/>
      <c r="X1173" s="111"/>
      <c r="Y1173" s="111"/>
      <c r="Z1173" s="111"/>
      <c r="AA1173" s="111"/>
      <c r="AB1173" s="111"/>
      <c r="AC1173" s="111"/>
      <c r="AD1173" s="111"/>
      <c r="AE1173" s="139">
        <f t="shared" si="57"/>
        <v>0</v>
      </c>
      <c r="AF1173" s="109"/>
      <c r="AG1173" s="109"/>
    </row>
    <row r="1174" spans="1:33">
      <c r="A1174" s="117"/>
      <c r="B1174" s="118"/>
      <c r="C1174" s="118"/>
      <c r="D1174" s="118"/>
      <c r="E1174" s="119"/>
      <c r="F1174" s="118"/>
      <c r="G1174" s="110"/>
      <c r="H1174" s="126"/>
      <c r="I1174" s="114">
        <v>0</v>
      </c>
      <c r="J1174" s="115">
        <v>0</v>
      </c>
      <c r="K1174" s="116">
        <v>0</v>
      </c>
      <c r="L1174" s="116">
        <v>0</v>
      </c>
      <c r="M1174" s="114">
        <v>0</v>
      </c>
      <c r="N1174" s="113">
        <v>0</v>
      </c>
      <c r="O1174" s="113">
        <v>0</v>
      </c>
      <c r="P1174" s="116">
        <v>0</v>
      </c>
      <c r="Q1174" s="116">
        <v>0</v>
      </c>
      <c r="R1174" s="116">
        <v>0</v>
      </c>
      <c r="S1174" s="114">
        <v>0</v>
      </c>
      <c r="T1174" s="116">
        <v>0</v>
      </c>
      <c r="U1174" s="116">
        <v>0</v>
      </c>
      <c r="V1174" s="121">
        <f t="shared" si="58"/>
        <v>0</v>
      </c>
      <c r="W1174" s="111"/>
      <c r="X1174" s="111"/>
      <c r="Y1174" s="111"/>
      <c r="Z1174" s="111"/>
      <c r="AA1174" s="111"/>
      <c r="AB1174" s="111"/>
      <c r="AC1174" s="111"/>
      <c r="AD1174" s="111"/>
      <c r="AE1174" s="139">
        <f t="shared" si="57"/>
        <v>0</v>
      </c>
      <c r="AF1174" s="109"/>
      <c r="AG1174" s="109"/>
    </row>
    <row r="1175" spans="1:33">
      <c r="A1175" s="117"/>
      <c r="B1175" s="118"/>
      <c r="C1175" s="118"/>
      <c r="D1175" s="118"/>
      <c r="E1175" s="119"/>
      <c r="F1175" s="118"/>
      <c r="G1175" s="110"/>
      <c r="H1175" s="126"/>
      <c r="I1175" s="114">
        <v>0</v>
      </c>
      <c r="J1175" s="115">
        <v>0</v>
      </c>
      <c r="K1175" s="116">
        <v>0</v>
      </c>
      <c r="L1175" s="116">
        <v>0</v>
      </c>
      <c r="M1175" s="114">
        <v>0</v>
      </c>
      <c r="N1175" s="113">
        <v>0</v>
      </c>
      <c r="O1175" s="113">
        <v>0</v>
      </c>
      <c r="P1175" s="116">
        <v>0</v>
      </c>
      <c r="Q1175" s="116">
        <v>0</v>
      </c>
      <c r="R1175" s="116">
        <v>0</v>
      </c>
      <c r="S1175" s="114">
        <v>0</v>
      </c>
      <c r="T1175" s="116">
        <v>0</v>
      </c>
      <c r="U1175" s="116">
        <v>0</v>
      </c>
      <c r="V1175" s="121">
        <f t="shared" si="58"/>
        <v>0</v>
      </c>
      <c r="W1175" s="111"/>
      <c r="X1175" s="111"/>
      <c r="Y1175" s="111"/>
      <c r="Z1175" s="111"/>
      <c r="AA1175" s="111"/>
      <c r="AB1175" s="111"/>
      <c r="AC1175" s="111"/>
      <c r="AD1175" s="111"/>
      <c r="AE1175" s="139">
        <f t="shared" si="57"/>
        <v>0</v>
      </c>
      <c r="AF1175" s="109"/>
      <c r="AG1175" s="109"/>
    </row>
    <row r="1176" spans="1:33">
      <c r="A1176" s="117"/>
      <c r="B1176" s="118"/>
      <c r="C1176" s="118"/>
      <c r="D1176" s="118"/>
      <c r="E1176" s="119"/>
      <c r="F1176" s="118"/>
      <c r="G1176" s="110"/>
      <c r="H1176" s="126"/>
      <c r="I1176" s="114">
        <v>0</v>
      </c>
      <c r="J1176" s="115">
        <v>0</v>
      </c>
      <c r="K1176" s="116">
        <v>0</v>
      </c>
      <c r="L1176" s="116">
        <v>0</v>
      </c>
      <c r="M1176" s="114">
        <v>0</v>
      </c>
      <c r="N1176" s="113">
        <v>0</v>
      </c>
      <c r="O1176" s="113">
        <v>0</v>
      </c>
      <c r="P1176" s="116">
        <v>0</v>
      </c>
      <c r="Q1176" s="116">
        <v>0</v>
      </c>
      <c r="R1176" s="116">
        <v>0</v>
      </c>
      <c r="S1176" s="114">
        <v>0</v>
      </c>
      <c r="T1176" s="116">
        <v>0</v>
      </c>
      <c r="U1176" s="116">
        <v>0</v>
      </c>
      <c r="V1176" s="121">
        <f t="shared" si="58"/>
        <v>0</v>
      </c>
      <c r="W1176" s="111"/>
      <c r="X1176" s="111"/>
      <c r="Y1176" s="111"/>
      <c r="Z1176" s="111"/>
      <c r="AA1176" s="111"/>
      <c r="AB1176" s="111"/>
      <c r="AC1176" s="111"/>
      <c r="AD1176" s="111"/>
      <c r="AE1176" s="139">
        <f t="shared" si="57"/>
        <v>0</v>
      </c>
      <c r="AF1176" s="109"/>
      <c r="AG1176" s="109"/>
    </row>
    <row r="1177" spans="1:33">
      <c r="A1177" s="117"/>
      <c r="B1177" s="118"/>
      <c r="C1177" s="118"/>
      <c r="D1177" s="118"/>
      <c r="E1177" s="119"/>
      <c r="F1177" s="118"/>
      <c r="G1177" s="110"/>
      <c r="H1177" s="126"/>
      <c r="I1177" s="114">
        <v>0</v>
      </c>
      <c r="J1177" s="115">
        <v>0</v>
      </c>
      <c r="K1177" s="116">
        <v>0</v>
      </c>
      <c r="L1177" s="116">
        <v>0</v>
      </c>
      <c r="M1177" s="114">
        <v>0</v>
      </c>
      <c r="N1177" s="113">
        <v>0</v>
      </c>
      <c r="O1177" s="113">
        <v>0</v>
      </c>
      <c r="P1177" s="116">
        <v>0</v>
      </c>
      <c r="Q1177" s="116">
        <v>0</v>
      </c>
      <c r="R1177" s="116">
        <v>0</v>
      </c>
      <c r="S1177" s="114">
        <v>0</v>
      </c>
      <c r="T1177" s="116">
        <v>0</v>
      </c>
      <c r="U1177" s="116">
        <v>0</v>
      </c>
      <c r="V1177" s="121">
        <f t="shared" si="58"/>
        <v>0</v>
      </c>
      <c r="W1177" s="111"/>
      <c r="X1177" s="111"/>
      <c r="Y1177" s="111"/>
      <c r="Z1177" s="111"/>
      <c r="AA1177" s="111"/>
      <c r="AB1177" s="111"/>
      <c r="AC1177" s="111"/>
      <c r="AD1177" s="111"/>
      <c r="AE1177" s="139">
        <f t="shared" si="57"/>
        <v>0</v>
      </c>
      <c r="AF1177" s="109"/>
      <c r="AG1177" s="109"/>
    </row>
    <row r="1178" spans="1:33">
      <c r="A1178" s="117"/>
      <c r="B1178" s="118"/>
      <c r="C1178" s="118"/>
      <c r="D1178" s="118"/>
      <c r="E1178" s="119"/>
      <c r="F1178" s="118"/>
      <c r="G1178" s="110"/>
      <c r="H1178" s="126"/>
      <c r="I1178" s="114">
        <v>0</v>
      </c>
      <c r="J1178" s="115">
        <v>0</v>
      </c>
      <c r="K1178" s="116">
        <v>0</v>
      </c>
      <c r="L1178" s="116">
        <v>0</v>
      </c>
      <c r="M1178" s="114">
        <v>0</v>
      </c>
      <c r="N1178" s="113">
        <v>0</v>
      </c>
      <c r="O1178" s="113">
        <v>0</v>
      </c>
      <c r="P1178" s="116">
        <v>0</v>
      </c>
      <c r="Q1178" s="116">
        <v>0</v>
      </c>
      <c r="R1178" s="116">
        <v>0</v>
      </c>
      <c r="S1178" s="114">
        <v>0</v>
      </c>
      <c r="T1178" s="116">
        <v>0</v>
      </c>
      <c r="U1178" s="116">
        <v>0</v>
      </c>
      <c r="V1178" s="121">
        <f t="shared" si="58"/>
        <v>0</v>
      </c>
      <c r="W1178" s="111"/>
      <c r="X1178" s="111"/>
      <c r="Y1178" s="111"/>
      <c r="Z1178" s="111"/>
      <c r="AA1178" s="111"/>
      <c r="AB1178" s="111"/>
      <c r="AC1178" s="111"/>
      <c r="AD1178" s="111"/>
      <c r="AE1178" s="139">
        <f t="shared" si="57"/>
        <v>0</v>
      </c>
      <c r="AF1178" s="109"/>
      <c r="AG1178" s="109"/>
    </row>
    <row r="1179" spans="1:33">
      <c r="A1179" s="117"/>
      <c r="B1179" s="118"/>
      <c r="C1179" s="118"/>
      <c r="D1179" s="118"/>
      <c r="E1179" s="119"/>
      <c r="F1179" s="118"/>
      <c r="G1179" s="110"/>
      <c r="H1179" s="126"/>
      <c r="I1179" s="114">
        <v>0</v>
      </c>
      <c r="J1179" s="115">
        <v>0</v>
      </c>
      <c r="K1179" s="116">
        <v>0</v>
      </c>
      <c r="L1179" s="116">
        <v>0</v>
      </c>
      <c r="M1179" s="114">
        <v>0</v>
      </c>
      <c r="N1179" s="113">
        <v>0</v>
      </c>
      <c r="O1179" s="113">
        <v>0</v>
      </c>
      <c r="P1179" s="116">
        <v>0</v>
      </c>
      <c r="Q1179" s="116">
        <v>0</v>
      </c>
      <c r="R1179" s="116">
        <v>0</v>
      </c>
      <c r="S1179" s="114">
        <v>0</v>
      </c>
      <c r="T1179" s="116">
        <v>0</v>
      </c>
      <c r="U1179" s="116">
        <v>0</v>
      </c>
      <c r="V1179" s="121">
        <f t="shared" si="58"/>
        <v>0</v>
      </c>
      <c r="W1179" s="111"/>
      <c r="X1179" s="111"/>
      <c r="Y1179" s="111"/>
      <c r="Z1179" s="111"/>
      <c r="AA1179" s="111"/>
      <c r="AB1179" s="111"/>
      <c r="AC1179" s="111"/>
      <c r="AD1179" s="111"/>
      <c r="AE1179" s="139">
        <f t="shared" si="57"/>
        <v>0</v>
      </c>
      <c r="AF1179" s="109"/>
      <c r="AG1179" s="109"/>
    </row>
    <row r="1180" spans="1:33">
      <c r="A1180" s="117"/>
      <c r="B1180" s="118"/>
      <c r="C1180" s="118"/>
      <c r="D1180" s="118"/>
      <c r="E1180" s="119"/>
      <c r="F1180" s="118"/>
      <c r="G1180" s="110"/>
      <c r="H1180" s="126"/>
      <c r="I1180" s="114">
        <v>0</v>
      </c>
      <c r="J1180" s="115">
        <v>0</v>
      </c>
      <c r="K1180" s="116">
        <v>0</v>
      </c>
      <c r="L1180" s="116">
        <v>0</v>
      </c>
      <c r="M1180" s="114">
        <v>0</v>
      </c>
      <c r="N1180" s="113">
        <v>0</v>
      </c>
      <c r="O1180" s="113">
        <v>0</v>
      </c>
      <c r="P1180" s="116">
        <v>0</v>
      </c>
      <c r="Q1180" s="116">
        <v>0</v>
      </c>
      <c r="R1180" s="116">
        <v>0</v>
      </c>
      <c r="S1180" s="114">
        <v>0</v>
      </c>
      <c r="T1180" s="116">
        <v>0</v>
      </c>
      <c r="U1180" s="116">
        <v>0</v>
      </c>
      <c r="V1180" s="121">
        <f t="shared" si="58"/>
        <v>0</v>
      </c>
      <c r="W1180" s="111"/>
      <c r="X1180" s="111"/>
      <c r="Y1180" s="111"/>
      <c r="Z1180" s="111"/>
      <c r="AA1180" s="111"/>
      <c r="AB1180" s="111"/>
      <c r="AC1180" s="111"/>
      <c r="AD1180" s="111"/>
      <c r="AE1180" s="139">
        <f t="shared" si="57"/>
        <v>0</v>
      </c>
      <c r="AF1180" s="109"/>
      <c r="AG1180" s="109"/>
    </row>
    <row r="1181" spans="1:33">
      <c r="A1181" s="117"/>
      <c r="B1181" s="118"/>
      <c r="C1181" s="118"/>
      <c r="D1181" s="118"/>
      <c r="E1181" s="119"/>
      <c r="F1181" s="118"/>
      <c r="G1181" s="110"/>
      <c r="H1181" s="126"/>
      <c r="I1181" s="114">
        <v>0</v>
      </c>
      <c r="J1181" s="115">
        <v>0</v>
      </c>
      <c r="K1181" s="116">
        <v>0</v>
      </c>
      <c r="L1181" s="116">
        <v>0</v>
      </c>
      <c r="M1181" s="114">
        <v>0</v>
      </c>
      <c r="N1181" s="113">
        <v>0</v>
      </c>
      <c r="O1181" s="113">
        <v>0</v>
      </c>
      <c r="P1181" s="116">
        <v>0</v>
      </c>
      <c r="Q1181" s="116">
        <v>0</v>
      </c>
      <c r="R1181" s="116">
        <v>0</v>
      </c>
      <c r="S1181" s="114">
        <v>0</v>
      </c>
      <c r="T1181" s="116">
        <v>0</v>
      </c>
      <c r="U1181" s="116">
        <v>0</v>
      </c>
      <c r="V1181" s="121">
        <f t="shared" si="58"/>
        <v>0</v>
      </c>
      <c r="W1181" s="111"/>
      <c r="X1181" s="111"/>
      <c r="Y1181" s="111"/>
      <c r="Z1181" s="111"/>
      <c r="AA1181" s="111"/>
      <c r="AB1181" s="111"/>
      <c r="AC1181" s="111"/>
      <c r="AD1181" s="111"/>
      <c r="AE1181" s="139">
        <f t="shared" si="57"/>
        <v>0</v>
      </c>
      <c r="AF1181" s="109"/>
      <c r="AG1181" s="109"/>
    </row>
    <row r="1182" spans="1:33">
      <c r="A1182" s="117"/>
      <c r="B1182" s="118"/>
      <c r="C1182" s="118"/>
      <c r="D1182" s="118"/>
      <c r="E1182" s="119"/>
      <c r="F1182" s="118"/>
      <c r="G1182" s="110"/>
      <c r="H1182" s="126"/>
      <c r="I1182" s="114">
        <v>0</v>
      </c>
      <c r="J1182" s="115">
        <v>0</v>
      </c>
      <c r="K1182" s="116">
        <v>0</v>
      </c>
      <c r="L1182" s="116">
        <v>0</v>
      </c>
      <c r="M1182" s="114">
        <v>0</v>
      </c>
      <c r="N1182" s="113">
        <v>0</v>
      </c>
      <c r="O1182" s="113">
        <v>0</v>
      </c>
      <c r="P1182" s="116">
        <v>0</v>
      </c>
      <c r="Q1182" s="116">
        <v>0</v>
      </c>
      <c r="R1182" s="116">
        <v>0</v>
      </c>
      <c r="S1182" s="114">
        <v>0</v>
      </c>
      <c r="T1182" s="116">
        <v>0</v>
      </c>
      <c r="U1182" s="116">
        <v>0</v>
      </c>
      <c r="V1182" s="121">
        <f t="shared" si="58"/>
        <v>0</v>
      </c>
      <c r="W1182" s="111"/>
      <c r="X1182" s="111"/>
      <c r="Y1182" s="111"/>
      <c r="Z1182" s="111"/>
      <c r="AA1182" s="111"/>
      <c r="AB1182" s="111"/>
      <c r="AC1182" s="111"/>
      <c r="AD1182" s="111"/>
      <c r="AE1182" s="139">
        <f t="shared" si="57"/>
        <v>0</v>
      </c>
      <c r="AF1182" s="109"/>
      <c r="AG1182" s="109"/>
    </row>
    <row r="1183" spans="1:33">
      <c r="A1183" s="117"/>
      <c r="B1183" s="118"/>
      <c r="C1183" s="118"/>
      <c r="D1183" s="118"/>
      <c r="E1183" s="119"/>
      <c r="F1183" s="118"/>
      <c r="G1183" s="110"/>
      <c r="H1183" s="126"/>
      <c r="I1183" s="114">
        <v>0</v>
      </c>
      <c r="J1183" s="115">
        <v>0</v>
      </c>
      <c r="K1183" s="116">
        <v>0</v>
      </c>
      <c r="L1183" s="116">
        <v>0</v>
      </c>
      <c r="M1183" s="114">
        <v>0</v>
      </c>
      <c r="N1183" s="113">
        <v>0</v>
      </c>
      <c r="O1183" s="113">
        <v>0</v>
      </c>
      <c r="P1183" s="116">
        <v>0</v>
      </c>
      <c r="Q1183" s="116">
        <v>0</v>
      </c>
      <c r="R1183" s="116">
        <v>0</v>
      </c>
      <c r="S1183" s="114">
        <v>0</v>
      </c>
      <c r="T1183" s="116">
        <v>0</v>
      </c>
      <c r="U1183" s="116">
        <v>0</v>
      </c>
      <c r="V1183" s="121">
        <f t="shared" si="58"/>
        <v>0</v>
      </c>
      <c r="W1183" s="111"/>
      <c r="X1183" s="111"/>
      <c r="Y1183" s="111"/>
      <c r="Z1183" s="111"/>
      <c r="AA1183" s="111"/>
      <c r="AB1183" s="111"/>
      <c r="AC1183" s="111"/>
      <c r="AD1183" s="111"/>
      <c r="AE1183" s="139">
        <f t="shared" si="57"/>
        <v>0</v>
      </c>
      <c r="AF1183" s="109"/>
      <c r="AG1183" s="109"/>
    </row>
    <row r="1184" spans="1:33">
      <c r="A1184" s="117"/>
      <c r="B1184" s="118"/>
      <c r="C1184" s="118"/>
      <c r="D1184" s="118"/>
      <c r="E1184" s="119"/>
      <c r="F1184" s="118"/>
      <c r="G1184" s="110"/>
      <c r="H1184" s="126"/>
      <c r="I1184" s="114">
        <v>0</v>
      </c>
      <c r="J1184" s="115">
        <v>0</v>
      </c>
      <c r="K1184" s="116">
        <v>0</v>
      </c>
      <c r="L1184" s="116">
        <v>0</v>
      </c>
      <c r="M1184" s="114">
        <v>0</v>
      </c>
      <c r="N1184" s="113">
        <v>0</v>
      </c>
      <c r="O1184" s="113">
        <v>0</v>
      </c>
      <c r="P1184" s="116">
        <v>0</v>
      </c>
      <c r="Q1184" s="116">
        <v>0</v>
      </c>
      <c r="R1184" s="116">
        <v>0</v>
      </c>
      <c r="S1184" s="114">
        <v>0</v>
      </c>
      <c r="T1184" s="116">
        <v>0</v>
      </c>
      <c r="U1184" s="116">
        <v>0</v>
      </c>
      <c r="V1184" s="121">
        <f t="shared" si="58"/>
        <v>0</v>
      </c>
      <c r="W1184" s="111"/>
      <c r="X1184" s="111"/>
      <c r="Y1184" s="111"/>
      <c r="Z1184" s="111"/>
      <c r="AA1184" s="111"/>
      <c r="AB1184" s="111"/>
      <c r="AC1184" s="111"/>
      <c r="AD1184" s="111"/>
      <c r="AE1184" s="139">
        <f t="shared" si="57"/>
        <v>0</v>
      </c>
      <c r="AF1184" s="109"/>
      <c r="AG1184" s="109"/>
    </row>
    <row r="1185" spans="1:33">
      <c r="A1185" s="117"/>
      <c r="B1185" s="118"/>
      <c r="C1185" s="118"/>
      <c r="D1185" s="118"/>
      <c r="E1185" s="119"/>
      <c r="F1185" s="118"/>
      <c r="G1185" s="110"/>
      <c r="H1185" s="126"/>
      <c r="I1185" s="114">
        <v>0</v>
      </c>
      <c r="J1185" s="115">
        <v>0</v>
      </c>
      <c r="K1185" s="116">
        <v>0</v>
      </c>
      <c r="L1185" s="116">
        <v>0</v>
      </c>
      <c r="M1185" s="114">
        <v>0</v>
      </c>
      <c r="N1185" s="113">
        <v>0</v>
      </c>
      <c r="O1185" s="113">
        <v>0</v>
      </c>
      <c r="P1185" s="116">
        <v>0</v>
      </c>
      <c r="Q1185" s="116">
        <v>0</v>
      </c>
      <c r="R1185" s="116">
        <v>0</v>
      </c>
      <c r="S1185" s="114">
        <v>0</v>
      </c>
      <c r="T1185" s="116">
        <v>0</v>
      </c>
      <c r="U1185" s="116">
        <v>0</v>
      </c>
      <c r="V1185" s="121">
        <f t="shared" si="58"/>
        <v>0</v>
      </c>
      <c r="W1185" s="111"/>
      <c r="X1185" s="111"/>
      <c r="Y1185" s="111"/>
      <c r="Z1185" s="111"/>
      <c r="AA1185" s="111"/>
      <c r="AB1185" s="111"/>
      <c r="AC1185" s="111"/>
      <c r="AD1185" s="111"/>
      <c r="AE1185" s="139">
        <f t="shared" si="57"/>
        <v>0</v>
      </c>
      <c r="AF1185" s="109"/>
      <c r="AG1185" s="109"/>
    </row>
    <row r="1186" spans="1:33">
      <c r="A1186" s="117"/>
      <c r="B1186" s="118"/>
      <c r="C1186" s="118"/>
      <c r="D1186" s="118"/>
      <c r="E1186" s="119"/>
      <c r="F1186" s="118"/>
      <c r="G1186" s="110"/>
      <c r="H1186" s="126"/>
      <c r="I1186" s="114">
        <v>0</v>
      </c>
      <c r="J1186" s="115">
        <v>0</v>
      </c>
      <c r="K1186" s="116">
        <v>0</v>
      </c>
      <c r="L1186" s="116">
        <v>0</v>
      </c>
      <c r="M1186" s="114">
        <v>0</v>
      </c>
      <c r="N1186" s="113">
        <v>0</v>
      </c>
      <c r="O1186" s="113">
        <v>0</v>
      </c>
      <c r="P1186" s="116">
        <v>0</v>
      </c>
      <c r="Q1186" s="116">
        <v>0</v>
      </c>
      <c r="R1186" s="116">
        <v>0</v>
      </c>
      <c r="S1186" s="114">
        <v>0</v>
      </c>
      <c r="T1186" s="116">
        <v>0</v>
      </c>
      <c r="U1186" s="116">
        <v>0</v>
      </c>
      <c r="V1186" s="121">
        <f t="shared" si="58"/>
        <v>0</v>
      </c>
      <c r="W1186" s="111"/>
      <c r="X1186" s="111"/>
      <c r="Y1186" s="111"/>
      <c r="Z1186" s="111"/>
      <c r="AA1186" s="111"/>
      <c r="AB1186" s="111"/>
      <c r="AC1186" s="111"/>
      <c r="AD1186" s="111"/>
      <c r="AE1186" s="139">
        <f t="shared" si="57"/>
        <v>0</v>
      </c>
      <c r="AF1186" s="109"/>
      <c r="AG1186" s="109"/>
    </row>
    <row r="1187" spans="1:33">
      <c r="A1187" s="117"/>
      <c r="B1187" s="118"/>
      <c r="C1187" s="118"/>
      <c r="D1187" s="118"/>
      <c r="E1187" s="119"/>
      <c r="F1187" s="118"/>
      <c r="G1187" s="110"/>
      <c r="H1187" s="126"/>
      <c r="I1187" s="114">
        <v>0</v>
      </c>
      <c r="J1187" s="115">
        <v>0</v>
      </c>
      <c r="K1187" s="116">
        <v>0</v>
      </c>
      <c r="L1187" s="116">
        <v>0</v>
      </c>
      <c r="M1187" s="114">
        <v>0</v>
      </c>
      <c r="N1187" s="113">
        <v>0</v>
      </c>
      <c r="O1187" s="113">
        <v>0</v>
      </c>
      <c r="P1187" s="116">
        <v>0</v>
      </c>
      <c r="Q1187" s="116">
        <v>0</v>
      </c>
      <c r="R1187" s="116">
        <v>0</v>
      </c>
      <c r="S1187" s="114">
        <v>0</v>
      </c>
      <c r="T1187" s="116">
        <v>0</v>
      </c>
      <c r="U1187" s="116">
        <v>0</v>
      </c>
      <c r="V1187" s="121">
        <f t="shared" si="58"/>
        <v>0</v>
      </c>
      <c r="W1187" s="111"/>
      <c r="X1187" s="111"/>
      <c r="Y1187" s="111"/>
      <c r="Z1187" s="111"/>
      <c r="AA1187" s="111"/>
      <c r="AB1187" s="111"/>
      <c r="AC1187" s="111"/>
      <c r="AD1187" s="111"/>
      <c r="AE1187" s="139">
        <f t="shared" si="57"/>
        <v>0</v>
      </c>
      <c r="AF1187" s="109"/>
      <c r="AG1187" s="109"/>
    </row>
    <row r="1188" spans="1:33">
      <c r="A1188" s="117"/>
      <c r="B1188" s="118"/>
      <c r="C1188" s="118"/>
      <c r="D1188" s="118"/>
      <c r="E1188" s="119"/>
      <c r="F1188" s="118"/>
      <c r="G1188" s="110"/>
      <c r="H1188" s="126"/>
      <c r="I1188" s="114">
        <v>0</v>
      </c>
      <c r="J1188" s="115">
        <v>0</v>
      </c>
      <c r="K1188" s="116">
        <v>0</v>
      </c>
      <c r="L1188" s="116">
        <v>0</v>
      </c>
      <c r="M1188" s="114">
        <v>0</v>
      </c>
      <c r="N1188" s="113">
        <v>0</v>
      </c>
      <c r="O1188" s="113">
        <v>0</v>
      </c>
      <c r="P1188" s="116">
        <v>0</v>
      </c>
      <c r="Q1188" s="116">
        <v>0</v>
      </c>
      <c r="R1188" s="116">
        <v>0</v>
      </c>
      <c r="S1188" s="114">
        <v>0</v>
      </c>
      <c r="T1188" s="116">
        <v>0</v>
      </c>
      <c r="U1188" s="116">
        <v>0</v>
      </c>
      <c r="V1188" s="121">
        <f t="shared" si="58"/>
        <v>0</v>
      </c>
      <c r="W1188" s="111"/>
      <c r="X1188" s="111"/>
      <c r="Y1188" s="111"/>
      <c r="Z1188" s="111"/>
      <c r="AA1188" s="111"/>
      <c r="AB1188" s="111"/>
      <c r="AC1188" s="111"/>
      <c r="AD1188" s="111"/>
      <c r="AE1188" s="139">
        <f t="shared" si="57"/>
        <v>0</v>
      </c>
      <c r="AF1188" s="109"/>
      <c r="AG1188" s="109"/>
    </row>
    <row r="1189" spans="1:33">
      <c r="A1189" s="117"/>
      <c r="B1189" s="118"/>
      <c r="C1189" s="118"/>
      <c r="D1189" s="118"/>
      <c r="E1189" s="119"/>
      <c r="F1189" s="118"/>
      <c r="G1189" s="110"/>
      <c r="H1189" s="126"/>
      <c r="I1189" s="114">
        <v>0</v>
      </c>
      <c r="J1189" s="115">
        <v>0</v>
      </c>
      <c r="K1189" s="116">
        <v>0</v>
      </c>
      <c r="L1189" s="116">
        <v>0</v>
      </c>
      <c r="M1189" s="114">
        <v>0</v>
      </c>
      <c r="N1189" s="113">
        <v>0</v>
      </c>
      <c r="O1189" s="113">
        <v>0</v>
      </c>
      <c r="P1189" s="116">
        <v>0</v>
      </c>
      <c r="Q1189" s="116">
        <v>0</v>
      </c>
      <c r="R1189" s="116">
        <v>0</v>
      </c>
      <c r="S1189" s="114">
        <v>0</v>
      </c>
      <c r="T1189" s="116">
        <v>0</v>
      </c>
      <c r="U1189" s="116">
        <v>0</v>
      </c>
      <c r="V1189" s="121">
        <f t="shared" si="58"/>
        <v>0</v>
      </c>
      <c r="W1189" s="111"/>
      <c r="X1189" s="111"/>
      <c r="Y1189" s="111"/>
      <c r="Z1189" s="111"/>
      <c r="AA1189" s="111"/>
      <c r="AB1189" s="111"/>
      <c r="AC1189" s="111"/>
      <c r="AD1189" s="111"/>
      <c r="AE1189" s="139">
        <f t="shared" si="57"/>
        <v>0</v>
      </c>
      <c r="AF1189" s="109"/>
      <c r="AG1189" s="109"/>
    </row>
    <row r="1190" spans="1:33">
      <c r="A1190" s="117"/>
      <c r="B1190" s="118"/>
      <c r="C1190" s="118"/>
      <c r="D1190" s="118"/>
      <c r="E1190" s="119"/>
      <c r="F1190" s="118"/>
      <c r="G1190" s="110"/>
      <c r="H1190" s="126"/>
      <c r="I1190" s="114">
        <v>0</v>
      </c>
      <c r="J1190" s="115">
        <v>0</v>
      </c>
      <c r="K1190" s="116">
        <v>0</v>
      </c>
      <c r="L1190" s="116">
        <v>0</v>
      </c>
      <c r="M1190" s="114">
        <v>0</v>
      </c>
      <c r="N1190" s="113">
        <v>0</v>
      </c>
      <c r="O1190" s="113">
        <v>0</v>
      </c>
      <c r="P1190" s="116">
        <v>0</v>
      </c>
      <c r="Q1190" s="116">
        <v>0</v>
      </c>
      <c r="R1190" s="116">
        <v>0</v>
      </c>
      <c r="S1190" s="114">
        <v>0</v>
      </c>
      <c r="T1190" s="116">
        <v>0</v>
      </c>
      <c r="U1190" s="116">
        <v>0</v>
      </c>
      <c r="V1190" s="121">
        <f t="shared" si="58"/>
        <v>0</v>
      </c>
      <c r="W1190" s="111"/>
      <c r="X1190" s="111"/>
      <c r="Y1190" s="111"/>
      <c r="Z1190" s="111"/>
      <c r="AA1190" s="111"/>
      <c r="AB1190" s="111"/>
      <c r="AC1190" s="111"/>
      <c r="AD1190" s="111"/>
      <c r="AE1190" s="139">
        <f t="shared" si="57"/>
        <v>0</v>
      </c>
      <c r="AF1190" s="109"/>
      <c r="AG1190" s="109"/>
    </row>
    <row r="1191" spans="1:33">
      <c r="A1191" s="117"/>
      <c r="B1191" s="118"/>
      <c r="C1191" s="118"/>
      <c r="D1191" s="118"/>
      <c r="E1191" s="119"/>
      <c r="F1191" s="118"/>
      <c r="G1191" s="110"/>
      <c r="H1191" s="126"/>
      <c r="I1191" s="114">
        <v>0</v>
      </c>
      <c r="J1191" s="115">
        <v>0</v>
      </c>
      <c r="K1191" s="116">
        <v>0</v>
      </c>
      <c r="L1191" s="116">
        <v>0</v>
      </c>
      <c r="M1191" s="114">
        <v>0</v>
      </c>
      <c r="N1191" s="113">
        <v>0</v>
      </c>
      <c r="O1191" s="113">
        <v>0</v>
      </c>
      <c r="P1191" s="116">
        <v>0</v>
      </c>
      <c r="Q1191" s="116">
        <v>0</v>
      </c>
      <c r="R1191" s="116">
        <v>0</v>
      </c>
      <c r="S1191" s="114">
        <v>0</v>
      </c>
      <c r="T1191" s="116">
        <v>0</v>
      </c>
      <c r="U1191" s="116">
        <v>0</v>
      </c>
      <c r="V1191" s="121">
        <f t="shared" si="58"/>
        <v>0</v>
      </c>
      <c r="W1191" s="111"/>
      <c r="X1191" s="111"/>
      <c r="Y1191" s="111"/>
      <c r="Z1191" s="111"/>
      <c r="AA1191" s="111"/>
      <c r="AB1191" s="111"/>
      <c r="AC1191" s="111"/>
      <c r="AD1191" s="111"/>
      <c r="AE1191" s="139">
        <f t="shared" si="57"/>
        <v>0</v>
      </c>
      <c r="AF1191" s="109"/>
      <c r="AG1191" s="109"/>
    </row>
    <row r="1192" spans="1:33">
      <c r="A1192" s="117"/>
      <c r="B1192" s="118"/>
      <c r="C1192" s="118"/>
      <c r="D1192" s="118"/>
      <c r="E1192" s="119"/>
      <c r="F1192" s="118"/>
      <c r="G1192" s="110"/>
      <c r="H1192" s="126"/>
      <c r="I1192" s="114">
        <v>0</v>
      </c>
      <c r="J1192" s="115">
        <v>0</v>
      </c>
      <c r="K1192" s="116">
        <v>0</v>
      </c>
      <c r="L1192" s="116">
        <v>0</v>
      </c>
      <c r="M1192" s="114">
        <v>0</v>
      </c>
      <c r="N1192" s="113">
        <v>0</v>
      </c>
      <c r="O1192" s="113">
        <v>0</v>
      </c>
      <c r="P1192" s="116">
        <v>0</v>
      </c>
      <c r="Q1192" s="116">
        <v>0</v>
      </c>
      <c r="R1192" s="116">
        <v>0</v>
      </c>
      <c r="S1192" s="114">
        <v>0</v>
      </c>
      <c r="T1192" s="116">
        <v>0</v>
      </c>
      <c r="U1192" s="116">
        <v>0</v>
      </c>
      <c r="V1192" s="121">
        <f t="shared" si="58"/>
        <v>0</v>
      </c>
      <c r="W1192" s="111"/>
      <c r="X1192" s="111"/>
      <c r="Y1192" s="111"/>
      <c r="Z1192" s="111"/>
      <c r="AA1192" s="111"/>
      <c r="AB1192" s="111"/>
      <c r="AC1192" s="111"/>
      <c r="AD1192" s="111"/>
      <c r="AE1192" s="139">
        <f t="shared" si="57"/>
        <v>0</v>
      </c>
      <c r="AF1192" s="109"/>
      <c r="AG1192" s="109"/>
    </row>
    <row r="1193" spans="1:33">
      <c r="A1193" s="117"/>
      <c r="B1193" s="118"/>
      <c r="C1193" s="118"/>
      <c r="D1193" s="118"/>
      <c r="E1193" s="119"/>
      <c r="F1193" s="118"/>
      <c r="G1193" s="110"/>
      <c r="H1193" s="126"/>
      <c r="I1193" s="114">
        <v>0</v>
      </c>
      <c r="J1193" s="115">
        <v>0</v>
      </c>
      <c r="K1193" s="116">
        <v>0</v>
      </c>
      <c r="L1193" s="116">
        <v>0</v>
      </c>
      <c r="M1193" s="114">
        <v>0</v>
      </c>
      <c r="N1193" s="113">
        <v>0</v>
      </c>
      <c r="O1193" s="113">
        <v>0</v>
      </c>
      <c r="P1193" s="116">
        <v>0</v>
      </c>
      <c r="Q1193" s="116">
        <v>0</v>
      </c>
      <c r="R1193" s="116">
        <v>0</v>
      </c>
      <c r="S1193" s="114">
        <v>0</v>
      </c>
      <c r="T1193" s="116">
        <v>0</v>
      </c>
      <c r="U1193" s="116">
        <v>0</v>
      </c>
      <c r="V1193" s="121">
        <f t="shared" si="58"/>
        <v>0</v>
      </c>
      <c r="W1193" s="111"/>
      <c r="X1193" s="111"/>
      <c r="Y1193" s="111"/>
      <c r="Z1193" s="111"/>
      <c r="AA1193" s="111"/>
      <c r="AB1193" s="111"/>
      <c r="AC1193" s="111"/>
      <c r="AD1193" s="111"/>
      <c r="AE1193" s="139">
        <f t="shared" ref="AE1193:AE1256" si="59">V1193-(X1193+Y1193)</f>
        <v>0</v>
      </c>
      <c r="AF1193" s="109"/>
      <c r="AG1193" s="109"/>
    </row>
    <row r="1194" spans="1:33">
      <c r="A1194" s="117"/>
      <c r="B1194" s="118"/>
      <c r="C1194" s="118"/>
      <c r="D1194" s="118"/>
      <c r="E1194" s="119"/>
      <c r="F1194" s="118"/>
      <c r="G1194" s="110"/>
      <c r="H1194" s="126"/>
      <c r="I1194" s="114">
        <v>0</v>
      </c>
      <c r="J1194" s="115">
        <v>0</v>
      </c>
      <c r="K1194" s="116">
        <v>0</v>
      </c>
      <c r="L1194" s="116">
        <v>0</v>
      </c>
      <c r="M1194" s="114">
        <v>0</v>
      </c>
      <c r="N1194" s="113">
        <v>0</v>
      </c>
      <c r="O1194" s="113">
        <v>0</v>
      </c>
      <c r="P1194" s="116">
        <v>0</v>
      </c>
      <c r="Q1194" s="116">
        <v>0</v>
      </c>
      <c r="R1194" s="116">
        <v>0</v>
      </c>
      <c r="S1194" s="114">
        <v>0</v>
      </c>
      <c r="T1194" s="116">
        <v>0</v>
      </c>
      <c r="U1194" s="116">
        <v>0</v>
      </c>
      <c r="V1194" s="121">
        <f t="shared" si="58"/>
        <v>0</v>
      </c>
      <c r="W1194" s="111"/>
      <c r="X1194" s="111"/>
      <c r="Y1194" s="111"/>
      <c r="Z1194" s="111"/>
      <c r="AA1194" s="111"/>
      <c r="AB1194" s="111"/>
      <c r="AC1194" s="111"/>
      <c r="AD1194" s="111"/>
      <c r="AE1194" s="139">
        <f t="shared" si="59"/>
        <v>0</v>
      </c>
      <c r="AF1194" s="109"/>
      <c r="AG1194" s="109"/>
    </row>
    <row r="1195" spans="1:33">
      <c r="A1195" s="117"/>
      <c r="B1195" s="118"/>
      <c r="C1195" s="118"/>
      <c r="D1195" s="118"/>
      <c r="E1195" s="119"/>
      <c r="F1195" s="118"/>
      <c r="G1195" s="110"/>
      <c r="H1195" s="126"/>
      <c r="I1195" s="114">
        <v>0</v>
      </c>
      <c r="J1195" s="115">
        <v>0</v>
      </c>
      <c r="K1195" s="116">
        <v>0</v>
      </c>
      <c r="L1195" s="116">
        <v>0</v>
      </c>
      <c r="M1195" s="114">
        <v>0</v>
      </c>
      <c r="N1195" s="113">
        <v>0</v>
      </c>
      <c r="O1195" s="113">
        <v>0</v>
      </c>
      <c r="P1195" s="116">
        <v>0</v>
      </c>
      <c r="Q1195" s="116">
        <v>0</v>
      </c>
      <c r="R1195" s="116">
        <v>0</v>
      </c>
      <c r="S1195" s="114">
        <v>0</v>
      </c>
      <c r="T1195" s="116">
        <v>0</v>
      </c>
      <c r="U1195" s="116">
        <v>0</v>
      </c>
      <c r="V1195" s="121">
        <f t="shared" si="58"/>
        <v>0</v>
      </c>
      <c r="W1195" s="111"/>
      <c r="X1195" s="111"/>
      <c r="Y1195" s="111"/>
      <c r="Z1195" s="111"/>
      <c r="AA1195" s="111"/>
      <c r="AB1195" s="111"/>
      <c r="AC1195" s="111"/>
      <c r="AD1195" s="111"/>
      <c r="AE1195" s="139">
        <f t="shared" si="59"/>
        <v>0</v>
      </c>
      <c r="AF1195" s="109"/>
      <c r="AG1195" s="109"/>
    </row>
    <row r="1196" spans="1:33">
      <c r="A1196" s="117"/>
      <c r="B1196" s="118"/>
      <c r="C1196" s="118"/>
      <c r="D1196" s="118"/>
      <c r="E1196" s="119"/>
      <c r="F1196" s="118"/>
      <c r="G1196" s="110"/>
      <c r="H1196" s="126"/>
      <c r="I1196" s="114">
        <v>0</v>
      </c>
      <c r="J1196" s="115">
        <v>0</v>
      </c>
      <c r="K1196" s="116">
        <v>0</v>
      </c>
      <c r="L1196" s="116">
        <v>0</v>
      </c>
      <c r="M1196" s="114">
        <v>0</v>
      </c>
      <c r="N1196" s="113">
        <v>0</v>
      </c>
      <c r="O1196" s="113">
        <v>0</v>
      </c>
      <c r="P1196" s="116">
        <v>0</v>
      </c>
      <c r="Q1196" s="116">
        <v>0</v>
      </c>
      <c r="R1196" s="116">
        <v>0</v>
      </c>
      <c r="S1196" s="114">
        <v>0</v>
      </c>
      <c r="T1196" s="116">
        <v>0</v>
      </c>
      <c r="U1196" s="116">
        <v>0</v>
      </c>
      <c r="V1196" s="121">
        <f t="shared" si="58"/>
        <v>0</v>
      </c>
      <c r="W1196" s="111"/>
      <c r="X1196" s="111"/>
      <c r="Y1196" s="111"/>
      <c r="Z1196" s="111"/>
      <c r="AA1196" s="111"/>
      <c r="AB1196" s="111"/>
      <c r="AC1196" s="111"/>
      <c r="AD1196" s="111"/>
      <c r="AE1196" s="139">
        <f t="shared" si="59"/>
        <v>0</v>
      </c>
      <c r="AF1196" s="109"/>
      <c r="AG1196" s="109"/>
    </row>
    <row r="1197" spans="1:33">
      <c r="A1197" s="117"/>
      <c r="B1197" s="118"/>
      <c r="C1197" s="118"/>
      <c r="D1197" s="118"/>
      <c r="E1197" s="119"/>
      <c r="F1197" s="118"/>
      <c r="G1197" s="110"/>
      <c r="H1197" s="126"/>
      <c r="I1197" s="114">
        <v>0</v>
      </c>
      <c r="J1197" s="115">
        <v>0</v>
      </c>
      <c r="K1197" s="116">
        <v>0</v>
      </c>
      <c r="L1197" s="116">
        <v>0</v>
      </c>
      <c r="M1197" s="114">
        <v>0</v>
      </c>
      <c r="N1197" s="113">
        <v>0</v>
      </c>
      <c r="O1197" s="113">
        <v>0</v>
      </c>
      <c r="P1197" s="116">
        <v>0</v>
      </c>
      <c r="Q1197" s="116">
        <v>0</v>
      </c>
      <c r="R1197" s="116">
        <v>0</v>
      </c>
      <c r="S1197" s="114">
        <v>0</v>
      </c>
      <c r="T1197" s="116">
        <v>0</v>
      </c>
      <c r="U1197" s="116">
        <v>0</v>
      </c>
      <c r="V1197" s="121">
        <f t="shared" si="58"/>
        <v>0</v>
      </c>
      <c r="W1197" s="111"/>
      <c r="X1197" s="111"/>
      <c r="Y1197" s="111"/>
      <c r="Z1197" s="111"/>
      <c r="AA1197" s="111"/>
      <c r="AB1197" s="111"/>
      <c r="AC1197" s="111"/>
      <c r="AD1197" s="111"/>
      <c r="AE1197" s="139">
        <f t="shared" si="59"/>
        <v>0</v>
      </c>
      <c r="AF1197" s="109"/>
      <c r="AG1197" s="109"/>
    </row>
    <row r="1198" spans="1:33">
      <c r="A1198" s="117"/>
      <c r="B1198" s="118"/>
      <c r="C1198" s="118"/>
      <c r="D1198" s="118"/>
      <c r="E1198" s="119"/>
      <c r="F1198" s="118"/>
      <c r="G1198" s="110"/>
      <c r="H1198" s="126"/>
      <c r="I1198" s="114">
        <v>0</v>
      </c>
      <c r="J1198" s="115">
        <v>0</v>
      </c>
      <c r="K1198" s="116">
        <v>0</v>
      </c>
      <c r="L1198" s="116">
        <v>0</v>
      </c>
      <c r="M1198" s="114">
        <v>0</v>
      </c>
      <c r="N1198" s="113">
        <v>0</v>
      </c>
      <c r="O1198" s="113">
        <v>0</v>
      </c>
      <c r="P1198" s="116">
        <v>0</v>
      </c>
      <c r="Q1198" s="116">
        <v>0</v>
      </c>
      <c r="R1198" s="116">
        <v>0</v>
      </c>
      <c r="S1198" s="114">
        <v>0</v>
      </c>
      <c r="T1198" s="116">
        <v>0</v>
      </c>
      <c r="U1198" s="116">
        <v>0</v>
      </c>
      <c r="V1198" s="121">
        <f t="shared" si="58"/>
        <v>0</v>
      </c>
      <c r="W1198" s="111"/>
      <c r="X1198" s="111"/>
      <c r="Y1198" s="111"/>
      <c r="Z1198" s="111"/>
      <c r="AA1198" s="111"/>
      <c r="AB1198" s="111"/>
      <c r="AC1198" s="111"/>
      <c r="AD1198" s="111"/>
      <c r="AE1198" s="139">
        <f t="shared" si="59"/>
        <v>0</v>
      </c>
      <c r="AF1198" s="109"/>
      <c r="AG1198" s="109"/>
    </row>
    <row r="1199" spans="1:33">
      <c r="A1199" s="117"/>
      <c r="B1199" s="118"/>
      <c r="C1199" s="118"/>
      <c r="D1199" s="118"/>
      <c r="E1199" s="119"/>
      <c r="F1199" s="118"/>
      <c r="G1199" s="110"/>
      <c r="H1199" s="126"/>
      <c r="I1199" s="114">
        <v>0</v>
      </c>
      <c r="J1199" s="115">
        <v>0</v>
      </c>
      <c r="K1199" s="116">
        <v>0</v>
      </c>
      <c r="L1199" s="116">
        <v>0</v>
      </c>
      <c r="M1199" s="114">
        <v>0</v>
      </c>
      <c r="N1199" s="113">
        <v>0</v>
      </c>
      <c r="O1199" s="113">
        <v>0</v>
      </c>
      <c r="P1199" s="116">
        <v>0</v>
      </c>
      <c r="Q1199" s="116">
        <v>0</v>
      </c>
      <c r="R1199" s="116">
        <v>0</v>
      </c>
      <c r="S1199" s="114">
        <v>0</v>
      </c>
      <c r="T1199" s="116">
        <v>0</v>
      </c>
      <c r="U1199" s="116">
        <v>0</v>
      </c>
      <c r="V1199" s="121">
        <f t="shared" si="58"/>
        <v>0</v>
      </c>
      <c r="W1199" s="111"/>
      <c r="X1199" s="111"/>
      <c r="Y1199" s="111"/>
      <c r="Z1199" s="111"/>
      <c r="AA1199" s="111"/>
      <c r="AB1199" s="111"/>
      <c r="AC1199" s="111"/>
      <c r="AD1199" s="111"/>
      <c r="AE1199" s="139">
        <f t="shared" si="59"/>
        <v>0</v>
      </c>
      <c r="AF1199" s="109"/>
      <c r="AG1199" s="109"/>
    </row>
    <row r="1200" spans="1:33">
      <c r="A1200" s="117"/>
      <c r="B1200" s="118"/>
      <c r="C1200" s="118"/>
      <c r="D1200" s="118"/>
      <c r="E1200" s="119"/>
      <c r="F1200" s="118"/>
      <c r="G1200" s="110"/>
      <c r="H1200" s="126"/>
      <c r="I1200" s="114">
        <v>0</v>
      </c>
      <c r="J1200" s="115">
        <v>0</v>
      </c>
      <c r="K1200" s="116">
        <v>0</v>
      </c>
      <c r="L1200" s="116">
        <v>0</v>
      </c>
      <c r="M1200" s="114">
        <v>0</v>
      </c>
      <c r="N1200" s="113">
        <v>0</v>
      </c>
      <c r="O1200" s="113">
        <v>0</v>
      </c>
      <c r="P1200" s="116">
        <v>0</v>
      </c>
      <c r="Q1200" s="116">
        <v>0</v>
      </c>
      <c r="R1200" s="116">
        <v>0</v>
      </c>
      <c r="S1200" s="114">
        <v>0</v>
      </c>
      <c r="T1200" s="116">
        <v>0</v>
      </c>
      <c r="U1200" s="116">
        <v>0</v>
      </c>
      <c r="V1200" s="121">
        <f t="shared" si="58"/>
        <v>0</v>
      </c>
      <c r="W1200" s="111"/>
      <c r="X1200" s="111"/>
      <c r="Y1200" s="111"/>
      <c r="Z1200" s="111"/>
      <c r="AA1200" s="111"/>
      <c r="AB1200" s="111"/>
      <c r="AC1200" s="111"/>
      <c r="AD1200" s="111"/>
      <c r="AE1200" s="139">
        <f t="shared" si="59"/>
        <v>0</v>
      </c>
      <c r="AF1200" s="109"/>
      <c r="AG1200" s="109"/>
    </row>
    <row r="1201" spans="1:33">
      <c r="A1201" s="117"/>
      <c r="B1201" s="118"/>
      <c r="C1201" s="118"/>
      <c r="D1201" s="118"/>
      <c r="E1201" s="119"/>
      <c r="F1201" s="118"/>
      <c r="G1201" s="110"/>
      <c r="H1201" s="126"/>
      <c r="I1201" s="114">
        <v>0</v>
      </c>
      <c r="J1201" s="115">
        <v>0</v>
      </c>
      <c r="K1201" s="116">
        <v>0</v>
      </c>
      <c r="L1201" s="116">
        <v>0</v>
      </c>
      <c r="M1201" s="114">
        <v>0</v>
      </c>
      <c r="N1201" s="113">
        <v>0</v>
      </c>
      <c r="O1201" s="113">
        <v>0</v>
      </c>
      <c r="P1201" s="116">
        <v>0</v>
      </c>
      <c r="Q1201" s="116">
        <v>0</v>
      </c>
      <c r="R1201" s="116">
        <v>0</v>
      </c>
      <c r="S1201" s="114">
        <v>0</v>
      </c>
      <c r="T1201" s="116">
        <v>0</v>
      </c>
      <c r="U1201" s="116">
        <v>0</v>
      </c>
      <c r="V1201" s="121">
        <f t="shared" ref="V1201:V1264" si="60">+G1201-(SUM(I1201:N1201,P1201:S1201,U1201))</f>
        <v>0</v>
      </c>
      <c r="W1201" s="111"/>
      <c r="X1201" s="111"/>
      <c r="Y1201" s="111"/>
      <c r="Z1201" s="111"/>
      <c r="AA1201" s="111"/>
      <c r="AB1201" s="111"/>
      <c r="AC1201" s="111"/>
      <c r="AD1201" s="111"/>
      <c r="AE1201" s="139">
        <f t="shared" si="59"/>
        <v>0</v>
      </c>
      <c r="AF1201" s="109"/>
      <c r="AG1201" s="109"/>
    </row>
    <row r="1202" spans="1:33">
      <c r="A1202" s="117"/>
      <c r="B1202" s="118"/>
      <c r="C1202" s="118"/>
      <c r="D1202" s="118"/>
      <c r="E1202" s="119"/>
      <c r="F1202" s="118"/>
      <c r="G1202" s="110"/>
      <c r="H1202" s="126"/>
      <c r="I1202" s="114">
        <v>0</v>
      </c>
      <c r="J1202" s="115">
        <v>0</v>
      </c>
      <c r="K1202" s="116">
        <v>0</v>
      </c>
      <c r="L1202" s="116">
        <v>0</v>
      </c>
      <c r="M1202" s="114">
        <v>0</v>
      </c>
      <c r="N1202" s="113">
        <v>0</v>
      </c>
      <c r="O1202" s="113">
        <v>0</v>
      </c>
      <c r="P1202" s="116">
        <v>0</v>
      </c>
      <c r="Q1202" s="116">
        <v>0</v>
      </c>
      <c r="R1202" s="116">
        <v>0</v>
      </c>
      <c r="S1202" s="114">
        <v>0</v>
      </c>
      <c r="T1202" s="116">
        <v>0</v>
      </c>
      <c r="U1202" s="116">
        <v>0</v>
      </c>
      <c r="V1202" s="121">
        <f t="shared" si="60"/>
        <v>0</v>
      </c>
      <c r="W1202" s="111"/>
      <c r="X1202" s="111"/>
      <c r="Y1202" s="111"/>
      <c r="Z1202" s="111"/>
      <c r="AA1202" s="111"/>
      <c r="AB1202" s="111"/>
      <c r="AC1202" s="111"/>
      <c r="AD1202" s="111"/>
      <c r="AE1202" s="139">
        <f t="shared" si="59"/>
        <v>0</v>
      </c>
      <c r="AF1202" s="109"/>
      <c r="AG1202" s="109"/>
    </row>
    <row r="1203" spans="1:33">
      <c r="A1203" s="117"/>
      <c r="B1203" s="118"/>
      <c r="C1203" s="118"/>
      <c r="D1203" s="118"/>
      <c r="E1203" s="119"/>
      <c r="F1203" s="118"/>
      <c r="G1203" s="110"/>
      <c r="H1203" s="126"/>
      <c r="I1203" s="114">
        <v>0</v>
      </c>
      <c r="J1203" s="115">
        <v>0</v>
      </c>
      <c r="K1203" s="116">
        <v>0</v>
      </c>
      <c r="L1203" s="116">
        <v>0</v>
      </c>
      <c r="M1203" s="114">
        <v>0</v>
      </c>
      <c r="N1203" s="113">
        <v>0</v>
      </c>
      <c r="O1203" s="113">
        <v>0</v>
      </c>
      <c r="P1203" s="116">
        <v>0</v>
      </c>
      <c r="Q1203" s="116">
        <v>0</v>
      </c>
      <c r="R1203" s="116">
        <v>0</v>
      </c>
      <c r="S1203" s="114">
        <v>0</v>
      </c>
      <c r="T1203" s="116">
        <v>0</v>
      </c>
      <c r="U1203" s="116">
        <v>0</v>
      </c>
      <c r="V1203" s="121">
        <f t="shared" si="60"/>
        <v>0</v>
      </c>
      <c r="W1203" s="111"/>
      <c r="X1203" s="111"/>
      <c r="Y1203" s="111"/>
      <c r="Z1203" s="111"/>
      <c r="AA1203" s="111"/>
      <c r="AB1203" s="111"/>
      <c r="AC1203" s="111"/>
      <c r="AD1203" s="111"/>
      <c r="AE1203" s="139">
        <f t="shared" si="59"/>
        <v>0</v>
      </c>
      <c r="AF1203" s="109"/>
      <c r="AG1203" s="109"/>
    </row>
    <row r="1204" spans="1:33">
      <c r="A1204" s="117"/>
      <c r="B1204" s="118"/>
      <c r="C1204" s="118"/>
      <c r="D1204" s="118"/>
      <c r="E1204" s="119"/>
      <c r="F1204" s="118"/>
      <c r="G1204" s="110"/>
      <c r="H1204" s="126"/>
      <c r="I1204" s="114">
        <v>0</v>
      </c>
      <c r="J1204" s="115">
        <v>0</v>
      </c>
      <c r="K1204" s="116">
        <v>0</v>
      </c>
      <c r="L1204" s="116">
        <v>0</v>
      </c>
      <c r="M1204" s="114">
        <v>0</v>
      </c>
      <c r="N1204" s="113">
        <v>0</v>
      </c>
      <c r="O1204" s="113">
        <v>0</v>
      </c>
      <c r="P1204" s="116">
        <v>0</v>
      </c>
      <c r="Q1204" s="116">
        <v>0</v>
      </c>
      <c r="R1204" s="116">
        <v>0</v>
      </c>
      <c r="S1204" s="114">
        <v>0</v>
      </c>
      <c r="T1204" s="116">
        <v>0</v>
      </c>
      <c r="U1204" s="116">
        <v>0</v>
      </c>
      <c r="V1204" s="121">
        <f t="shared" si="60"/>
        <v>0</v>
      </c>
      <c r="W1204" s="111"/>
      <c r="X1204" s="111"/>
      <c r="Y1204" s="111"/>
      <c r="Z1204" s="111"/>
      <c r="AA1204" s="111"/>
      <c r="AB1204" s="111"/>
      <c r="AC1204" s="111"/>
      <c r="AD1204" s="111"/>
      <c r="AE1204" s="139">
        <f t="shared" si="59"/>
        <v>0</v>
      </c>
      <c r="AF1204" s="109"/>
      <c r="AG1204" s="109"/>
    </row>
    <row r="1205" spans="1:33">
      <c r="A1205" s="117"/>
      <c r="B1205" s="118"/>
      <c r="C1205" s="118"/>
      <c r="D1205" s="118"/>
      <c r="E1205" s="119"/>
      <c r="F1205" s="118"/>
      <c r="G1205" s="110"/>
      <c r="H1205" s="126"/>
      <c r="I1205" s="114">
        <v>0</v>
      </c>
      <c r="J1205" s="115">
        <v>0</v>
      </c>
      <c r="K1205" s="116">
        <v>0</v>
      </c>
      <c r="L1205" s="116">
        <v>0</v>
      </c>
      <c r="M1205" s="114">
        <v>0</v>
      </c>
      <c r="N1205" s="113">
        <v>0</v>
      </c>
      <c r="O1205" s="113">
        <v>0</v>
      </c>
      <c r="P1205" s="116">
        <v>0</v>
      </c>
      <c r="Q1205" s="116">
        <v>0</v>
      </c>
      <c r="R1205" s="116">
        <v>0</v>
      </c>
      <c r="S1205" s="114">
        <v>0</v>
      </c>
      <c r="T1205" s="116">
        <v>0</v>
      </c>
      <c r="U1205" s="116">
        <v>0</v>
      </c>
      <c r="V1205" s="121">
        <f t="shared" si="60"/>
        <v>0</v>
      </c>
      <c r="W1205" s="111"/>
      <c r="X1205" s="111"/>
      <c r="Y1205" s="111"/>
      <c r="Z1205" s="111"/>
      <c r="AA1205" s="111"/>
      <c r="AB1205" s="111"/>
      <c r="AC1205" s="111"/>
      <c r="AD1205" s="111"/>
      <c r="AE1205" s="139">
        <f t="shared" si="59"/>
        <v>0</v>
      </c>
      <c r="AF1205" s="109"/>
      <c r="AG1205" s="109"/>
    </row>
    <row r="1206" spans="1:33">
      <c r="A1206" s="117"/>
      <c r="B1206" s="118"/>
      <c r="C1206" s="118"/>
      <c r="D1206" s="118"/>
      <c r="E1206" s="119"/>
      <c r="F1206" s="118"/>
      <c r="G1206" s="110"/>
      <c r="H1206" s="126"/>
      <c r="I1206" s="114">
        <v>0</v>
      </c>
      <c r="J1206" s="115">
        <v>0</v>
      </c>
      <c r="K1206" s="116">
        <v>0</v>
      </c>
      <c r="L1206" s="116">
        <v>0</v>
      </c>
      <c r="M1206" s="114">
        <v>0</v>
      </c>
      <c r="N1206" s="113">
        <v>0</v>
      </c>
      <c r="O1206" s="113">
        <v>0</v>
      </c>
      <c r="P1206" s="116">
        <v>0</v>
      </c>
      <c r="Q1206" s="116">
        <v>0</v>
      </c>
      <c r="R1206" s="116">
        <v>0</v>
      </c>
      <c r="S1206" s="114">
        <v>0</v>
      </c>
      <c r="T1206" s="116">
        <v>0</v>
      </c>
      <c r="U1206" s="116">
        <v>0</v>
      </c>
      <c r="V1206" s="121">
        <f t="shared" si="60"/>
        <v>0</v>
      </c>
      <c r="W1206" s="111"/>
      <c r="X1206" s="111"/>
      <c r="Y1206" s="111"/>
      <c r="Z1206" s="111"/>
      <c r="AA1206" s="111"/>
      <c r="AB1206" s="111"/>
      <c r="AC1206" s="111"/>
      <c r="AD1206" s="111"/>
      <c r="AE1206" s="139">
        <f t="shared" si="59"/>
        <v>0</v>
      </c>
      <c r="AF1206" s="109"/>
      <c r="AG1206" s="109"/>
    </row>
    <row r="1207" spans="1:33">
      <c r="A1207" s="117"/>
      <c r="B1207" s="118"/>
      <c r="C1207" s="118"/>
      <c r="D1207" s="118"/>
      <c r="E1207" s="119"/>
      <c r="F1207" s="118"/>
      <c r="G1207" s="110"/>
      <c r="H1207" s="126"/>
      <c r="I1207" s="114">
        <v>0</v>
      </c>
      <c r="J1207" s="115">
        <v>0</v>
      </c>
      <c r="K1207" s="116">
        <v>0</v>
      </c>
      <c r="L1207" s="116">
        <v>0</v>
      </c>
      <c r="M1207" s="114">
        <v>0</v>
      </c>
      <c r="N1207" s="113">
        <v>0</v>
      </c>
      <c r="O1207" s="113">
        <v>0</v>
      </c>
      <c r="P1207" s="116">
        <v>0</v>
      </c>
      <c r="Q1207" s="116">
        <v>0</v>
      </c>
      <c r="R1207" s="116">
        <v>0</v>
      </c>
      <c r="S1207" s="114">
        <v>0</v>
      </c>
      <c r="T1207" s="116">
        <v>0</v>
      </c>
      <c r="U1207" s="116">
        <v>0</v>
      </c>
      <c r="V1207" s="121">
        <f t="shared" si="60"/>
        <v>0</v>
      </c>
      <c r="W1207" s="111"/>
      <c r="X1207" s="111"/>
      <c r="Y1207" s="111"/>
      <c r="Z1207" s="111"/>
      <c r="AA1207" s="111"/>
      <c r="AB1207" s="111"/>
      <c r="AC1207" s="111"/>
      <c r="AD1207" s="111"/>
      <c r="AE1207" s="139">
        <f t="shared" si="59"/>
        <v>0</v>
      </c>
      <c r="AF1207" s="109"/>
      <c r="AG1207" s="109"/>
    </row>
    <row r="1208" spans="1:33">
      <c r="A1208" s="117"/>
      <c r="B1208" s="118"/>
      <c r="C1208" s="118"/>
      <c r="D1208" s="118"/>
      <c r="E1208" s="119"/>
      <c r="F1208" s="118"/>
      <c r="G1208" s="110"/>
      <c r="H1208" s="126"/>
      <c r="I1208" s="114">
        <v>0</v>
      </c>
      <c r="J1208" s="115">
        <v>0</v>
      </c>
      <c r="K1208" s="116">
        <v>0</v>
      </c>
      <c r="L1208" s="116">
        <v>0</v>
      </c>
      <c r="M1208" s="114">
        <v>0</v>
      </c>
      <c r="N1208" s="113">
        <v>0</v>
      </c>
      <c r="O1208" s="113">
        <v>0</v>
      </c>
      <c r="P1208" s="116">
        <v>0</v>
      </c>
      <c r="Q1208" s="116">
        <v>0</v>
      </c>
      <c r="R1208" s="116">
        <v>0</v>
      </c>
      <c r="S1208" s="114">
        <v>0</v>
      </c>
      <c r="T1208" s="116">
        <v>0</v>
      </c>
      <c r="U1208" s="116">
        <v>0</v>
      </c>
      <c r="V1208" s="121">
        <f t="shared" si="60"/>
        <v>0</v>
      </c>
      <c r="W1208" s="111"/>
      <c r="X1208" s="111"/>
      <c r="Y1208" s="111"/>
      <c r="Z1208" s="111"/>
      <c r="AA1208" s="111"/>
      <c r="AB1208" s="111"/>
      <c r="AC1208" s="111"/>
      <c r="AD1208" s="111"/>
      <c r="AE1208" s="139">
        <f t="shared" si="59"/>
        <v>0</v>
      </c>
      <c r="AF1208" s="109"/>
      <c r="AG1208" s="109"/>
    </row>
    <row r="1209" spans="1:33">
      <c r="A1209" s="117"/>
      <c r="B1209" s="118"/>
      <c r="C1209" s="118"/>
      <c r="D1209" s="118"/>
      <c r="E1209" s="119"/>
      <c r="F1209" s="118"/>
      <c r="G1209" s="110"/>
      <c r="H1209" s="126"/>
      <c r="I1209" s="114">
        <v>0</v>
      </c>
      <c r="J1209" s="115">
        <v>0</v>
      </c>
      <c r="K1209" s="116">
        <v>0</v>
      </c>
      <c r="L1209" s="116">
        <v>0</v>
      </c>
      <c r="M1209" s="114">
        <v>0</v>
      </c>
      <c r="N1209" s="113">
        <v>0</v>
      </c>
      <c r="O1209" s="113">
        <v>0</v>
      </c>
      <c r="P1209" s="116">
        <v>0</v>
      </c>
      <c r="Q1209" s="116">
        <v>0</v>
      </c>
      <c r="R1209" s="116">
        <v>0</v>
      </c>
      <c r="S1209" s="114">
        <v>0</v>
      </c>
      <c r="T1209" s="116">
        <v>0</v>
      </c>
      <c r="U1209" s="116">
        <v>0</v>
      </c>
      <c r="V1209" s="121">
        <f t="shared" si="60"/>
        <v>0</v>
      </c>
      <c r="W1209" s="111"/>
      <c r="X1209" s="111"/>
      <c r="Y1209" s="111"/>
      <c r="Z1209" s="111"/>
      <c r="AA1209" s="111"/>
      <c r="AB1209" s="111"/>
      <c r="AC1209" s="111"/>
      <c r="AD1209" s="111"/>
      <c r="AE1209" s="139">
        <f t="shared" si="59"/>
        <v>0</v>
      </c>
      <c r="AF1209" s="109"/>
      <c r="AG1209" s="109"/>
    </row>
    <row r="1210" spans="1:33">
      <c r="A1210" s="117"/>
      <c r="B1210" s="118"/>
      <c r="C1210" s="118"/>
      <c r="D1210" s="118"/>
      <c r="E1210" s="119"/>
      <c r="F1210" s="118"/>
      <c r="G1210" s="110"/>
      <c r="H1210" s="126"/>
      <c r="I1210" s="114">
        <v>0</v>
      </c>
      <c r="J1210" s="115">
        <v>0</v>
      </c>
      <c r="K1210" s="116">
        <v>0</v>
      </c>
      <c r="L1210" s="116">
        <v>0</v>
      </c>
      <c r="M1210" s="114">
        <v>0</v>
      </c>
      <c r="N1210" s="113">
        <v>0</v>
      </c>
      <c r="O1210" s="113">
        <v>0</v>
      </c>
      <c r="P1210" s="116">
        <v>0</v>
      </c>
      <c r="Q1210" s="116">
        <v>0</v>
      </c>
      <c r="R1210" s="116">
        <v>0</v>
      </c>
      <c r="S1210" s="114">
        <v>0</v>
      </c>
      <c r="T1210" s="116">
        <v>0</v>
      </c>
      <c r="U1210" s="116">
        <v>0</v>
      </c>
      <c r="V1210" s="121">
        <f t="shared" si="60"/>
        <v>0</v>
      </c>
      <c r="W1210" s="111"/>
      <c r="X1210" s="111"/>
      <c r="Y1210" s="111"/>
      <c r="Z1210" s="111"/>
      <c r="AA1210" s="111"/>
      <c r="AB1210" s="111"/>
      <c r="AC1210" s="111"/>
      <c r="AD1210" s="111"/>
      <c r="AE1210" s="139">
        <f t="shared" si="59"/>
        <v>0</v>
      </c>
      <c r="AF1210" s="109"/>
      <c r="AG1210" s="109"/>
    </row>
    <row r="1211" spans="1:33">
      <c r="A1211" s="117"/>
      <c r="B1211" s="118"/>
      <c r="C1211" s="118"/>
      <c r="D1211" s="118"/>
      <c r="E1211" s="119"/>
      <c r="F1211" s="118"/>
      <c r="G1211" s="110"/>
      <c r="H1211" s="126"/>
      <c r="I1211" s="114">
        <v>0</v>
      </c>
      <c r="J1211" s="115">
        <v>0</v>
      </c>
      <c r="K1211" s="116">
        <v>0</v>
      </c>
      <c r="L1211" s="116">
        <v>0</v>
      </c>
      <c r="M1211" s="114">
        <v>0</v>
      </c>
      <c r="N1211" s="113">
        <v>0</v>
      </c>
      <c r="O1211" s="113">
        <v>0</v>
      </c>
      <c r="P1211" s="116">
        <v>0</v>
      </c>
      <c r="Q1211" s="116">
        <v>0</v>
      </c>
      <c r="R1211" s="116">
        <v>0</v>
      </c>
      <c r="S1211" s="114">
        <v>0</v>
      </c>
      <c r="T1211" s="116">
        <v>0</v>
      </c>
      <c r="U1211" s="116">
        <v>0</v>
      </c>
      <c r="V1211" s="121">
        <f t="shared" si="60"/>
        <v>0</v>
      </c>
      <c r="W1211" s="111"/>
      <c r="X1211" s="111"/>
      <c r="Y1211" s="111"/>
      <c r="Z1211" s="111"/>
      <c r="AA1211" s="111"/>
      <c r="AB1211" s="111"/>
      <c r="AC1211" s="111"/>
      <c r="AD1211" s="111"/>
      <c r="AE1211" s="139">
        <f t="shared" si="59"/>
        <v>0</v>
      </c>
      <c r="AF1211" s="109"/>
      <c r="AG1211" s="109"/>
    </row>
    <row r="1212" spans="1:33">
      <c r="A1212" s="117"/>
      <c r="B1212" s="118"/>
      <c r="C1212" s="118"/>
      <c r="D1212" s="118"/>
      <c r="E1212" s="119"/>
      <c r="F1212" s="118"/>
      <c r="G1212" s="110"/>
      <c r="H1212" s="126"/>
      <c r="I1212" s="114">
        <v>0</v>
      </c>
      <c r="J1212" s="115">
        <v>0</v>
      </c>
      <c r="K1212" s="116">
        <v>0</v>
      </c>
      <c r="L1212" s="116">
        <v>0</v>
      </c>
      <c r="M1212" s="114">
        <v>0</v>
      </c>
      <c r="N1212" s="113">
        <v>0</v>
      </c>
      <c r="O1212" s="113">
        <v>0</v>
      </c>
      <c r="P1212" s="116">
        <v>0</v>
      </c>
      <c r="Q1212" s="116">
        <v>0</v>
      </c>
      <c r="R1212" s="116">
        <v>0</v>
      </c>
      <c r="S1212" s="114">
        <v>0</v>
      </c>
      <c r="T1212" s="116">
        <v>0</v>
      </c>
      <c r="U1212" s="116">
        <v>0</v>
      </c>
      <c r="V1212" s="121">
        <f t="shared" si="60"/>
        <v>0</v>
      </c>
      <c r="W1212" s="111"/>
      <c r="X1212" s="111"/>
      <c r="Y1212" s="111"/>
      <c r="Z1212" s="111"/>
      <c r="AA1212" s="111"/>
      <c r="AB1212" s="111"/>
      <c r="AC1212" s="111"/>
      <c r="AD1212" s="111"/>
      <c r="AE1212" s="139">
        <f t="shared" si="59"/>
        <v>0</v>
      </c>
      <c r="AF1212" s="109"/>
      <c r="AG1212" s="109"/>
    </row>
    <row r="1213" spans="1:33">
      <c r="A1213" s="117"/>
      <c r="B1213" s="118"/>
      <c r="C1213" s="118"/>
      <c r="D1213" s="118"/>
      <c r="E1213" s="119"/>
      <c r="F1213" s="118"/>
      <c r="G1213" s="110"/>
      <c r="H1213" s="126"/>
      <c r="I1213" s="114">
        <v>0</v>
      </c>
      <c r="J1213" s="115">
        <v>0</v>
      </c>
      <c r="K1213" s="116">
        <v>0</v>
      </c>
      <c r="L1213" s="116">
        <v>0</v>
      </c>
      <c r="M1213" s="114">
        <v>0</v>
      </c>
      <c r="N1213" s="113">
        <v>0</v>
      </c>
      <c r="O1213" s="113">
        <v>0</v>
      </c>
      <c r="P1213" s="116">
        <v>0</v>
      </c>
      <c r="Q1213" s="116">
        <v>0</v>
      </c>
      <c r="R1213" s="116">
        <v>0</v>
      </c>
      <c r="S1213" s="114">
        <v>0</v>
      </c>
      <c r="T1213" s="116">
        <v>0</v>
      </c>
      <c r="U1213" s="116">
        <v>0</v>
      </c>
      <c r="V1213" s="121">
        <f t="shared" si="60"/>
        <v>0</v>
      </c>
      <c r="W1213" s="111"/>
      <c r="X1213" s="111"/>
      <c r="Y1213" s="111"/>
      <c r="Z1213" s="111"/>
      <c r="AA1213" s="111"/>
      <c r="AB1213" s="111"/>
      <c r="AC1213" s="111"/>
      <c r="AD1213" s="111"/>
      <c r="AE1213" s="139">
        <f t="shared" si="59"/>
        <v>0</v>
      </c>
      <c r="AF1213" s="109"/>
      <c r="AG1213" s="109"/>
    </row>
    <row r="1214" spans="1:33">
      <c r="A1214" s="117"/>
      <c r="B1214" s="118"/>
      <c r="C1214" s="118"/>
      <c r="D1214" s="118"/>
      <c r="E1214" s="119"/>
      <c r="F1214" s="118"/>
      <c r="G1214" s="110"/>
      <c r="H1214" s="126"/>
      <c r="I1214" s="114">
        <v>0</v>
      </c>
      <c r="J1214" s="115">
        <v>0</v>
      </c>
      <c r="K1214" s="116">
        <v>0</v>
      </c>
      <c r="L1214" s="116">
        <v>0</v>
      </c>
      <c r="M1214" s="114">
        <v>0</v>
      </c>
      <c r="N1214" s="113">
        <v>0</v>
      </c>
      <c r="O1214" s="113">
        <v>0</v>
      </c>
      <c r="P1214" s="116">
        <v>0</v>
      </c>
      <c r="Q1214" s="116">
        <v>0</v>
      </c>
      <c r="R1214" s="116">
        <v>0</v>
      </c>
      <c r="S1214" s="114">
        <v>0</v>
      </c>
      <c r="T1214" s="116">
        <v>0</v>
      </c>
      <c r="U1214" s="116">
        <v>0</v>
      </c>
      <c r="V1214" s="121">
        <f t="shared" si="60"/>
        <v>0</v>
      </c>
      <c r="W1214" s="111"/>
      <c r="X1214" s="111"/>
      <c r="Y1214" s="111"/>
      <c r="Z1214" s="111"/>
      <c r="AA1214" s="111"/>
      <c r="AB1214" s="111"/>
      <c r="AC1214" s="111"/>
      <c r="AD1214" s="111"/>
      <c r="AE1214" s="139">
        <f t="shared" si="59"/>
        <v>0</v>
      </c>
      <c r="AF1214" s="109"/>
      <c r="AG1214" s="109"/>
    </row>
    <row r="1215" spans="1:33">
      <c r="A1215" s="117"/>
      <c r="B1215" s="118"/>
      <c r="C1215" s="118"/>
      <c r="D1215" s="118"/>
      <c r="E1215" s="119"/>
      <c r="F1215" s="118"/>
      <c r="G1215" s="110"/>
      <c r="H1215" s="126"/>
      <c r="I1215" s="114">
        <v>0</v>
      </c>
      <c r="J1215" s="115">
        <v>0</v>
      </c>
      <c r="K1215" s="116">
        <v>0</v>
      </c>
      <c r="L1215" s="116">
        <v>0</v>
      </c>
      <c r="M1215" s="114">
        <v>0</v>
      </c>
      <c r="N1215" s="113">
        <v>0</v>
      </c>
      <c r="O1215" s="113">
        <v>0</v>
      </c>
      <c r="P1215" s="116">
        <v>0</v>
      </c>
      <c r="Q1215" s="116">
        <v>0</v>
      </c>
      <c r="R1215" s="116">
        <v>0</v>
      </c>
      <c r="S1215" s="114">
        <v>0</v>
      </c>
      <c r="T1215" s="116">
        <v>0</v>
      </c>
      <c r="U1215" s="116">
        <v>0</v>
      </c>
      <c r="V1215" s="121">
        <f t="shared" si="60"/>
        <v>0</v>
      </c>
      <c r="W1215" s="111"/>
      <c r="X1215" s="111"/>
      <c r="Y1215" s="111"/>
      <c r="Z1215" s="111"/>
      <c r="AA1215" s="111"/>
      <c r="AB1215" s="111"/>
      <c r="AC1215" s="111"/>
      <c r="AD1215" s="111"/>
      <c r="AE1215" s="139">
        <f t="shared" si="59"/>
        <v>0</v>
      </c>
      <c r="AF1215" s="109"/>
      <c r="AG1215" s="109"/>
    </row>
    <row r="1216" spans="1:33">
      <c r="A1216" s="117"/>
      <c r="B1216" s="118"/>
      <c r="C1216" s="118"/>
      <c r="D1216" s="118"/>
      <c r="E1216" s="119"/>
      <c r="F1216" s="118"/>
      <c r="G1216" s="110"/>
      <c r="H1216" s="126"/>
      <c r="I1216" s="114">
        <v>0</v>
      </c>
      <c r="J1216" s="115">
        <v>0</v>
      </c>
      <c r="K1216" s="116">
        <v>0</v>
      </c>
      <c r="L1216" s="116">
        <v>0</v>
      </c>
      <c r="M1216" s="114">
        <v>0</v>
      </c>
      <c r="N1216" s="113">
        <v>0</v>
      </c>
      <c r="O1216" s="113">
        <v>0</v>
      </c>
      <c r="P1216" s="116">
        <v>0</v>
      </c>
      <c r="Q1216" s="116">
        <v>0</v>
      </c>
      <c r="R1216" s="116">
        <v>0</v>
      </c>
      <c r="S1216" s="114">
        <v>0</v>
      </c>
      <c r="T1216" s="116">
        <v>0</v>
      </c>
      <c r="U1216" s="116">
        <v>0</v>
      </c>
      <c r="V1216" s="121">
        <f t="shared" si="60"/>
        <v>0</v>
      </c>
      <c r="W1216" s="111"/>
      <c r="X1216" s="111"/>
      <c r="Y1216" s="111"/>
      <c r="Z1216" s="111"/>
      <c r="AA1216" s="111"/>
      <c r="AB1216" s="111"/>
      <c r="AC1216" s="111"/>
      <c r="AD1216" s="111"/>
      <c r="AE1216" s="139">
        <f t="shared" si="59"/>
        <v>0</v>
      </c>
      <c r="AF1216" s="109"/>
      <c r="AG1216" s="109"/>
    </row>
    <row r="1217" spans="1:33">
      <c r="A1217" s="117"/>
      <c r="B1217" s="118"/>
      <c r="C1217" s="118"/>
      <c r="D1217" s="118"/>
      <c r="E1217" s="119"/>
      <c r="F1217" s="118"/>
      <c r="G1217" s="110"/>
      <c r="H1217" s="126"/>
      <c r="I1217" s="114">
        <v>0</v>
      </c>
      <c r="J1217" s="115">
        <v>0</v>
      </c>
      <c r="K1217" s="116">
        <v>0</v>
      </c>
      <c r="L1217" s="116">
        <v>0</v>
      </c>
      <c r="M1217" s="114">
        <v>0</v>
      </c>
      <c r="N1217" s="113">
        <v>0</v>
      </c>
      <c r="O1217" s="113">
        <v>0</v>
      </c>
      <c r="P1217" s="116">
        <v>0</v>
      </c>
      <c r="Q1217" s="116">
        <v>0</v>
      </c>
      <c r="R1217" s="116">
        <v>0</v>
      </c>
      <c r="S1217" s="114">
        <v>0</v>
      </c>
      <c r="T1217" s="116">
        <v>0</v>
      </c>
      <c r="U1217" s="116">
        <v>0</v>
      </c>
      <c r="V1217" s="121">
        <f t="shared" si="60"/>
        <v>0</v>
      </c>
      <c r="W1217" s="111"/>
      <c r="X1217" s="111"/>
      <c r="Y1217" s="111"/>
      <c r="Z1217" s="111"/>
      <c r="AA1217" s="111"/>
      <c r="AB1217" s="111"/>
      <c r="AC1217" s="111"/>
      <c r="AD1217" s="111"/>
      <c r="AE1217" s="139">
        <f t="shared" si="59"/>
        <v>0</v>
      </c>
      <c r="AF1217" s="109"/>
      <c r="AG1217" s="109"/>
    </row>
    <row r="1218" spans="1:33">
      <c r="A1218" s="117"/>
      <c r="B1218" s="118"/>
      <c r="C1218" s="118"/>
      <c r="D1218" s="118"/>
      <c r="E1218" s="119"/>
      <c r="F1218" s="118"/>
      <c r="G1218" s="110"/>
      <c r="H1218" s="126"/>
      <c r="I1218" s="114">
        <v>0</v>
      </c>
      <c r="J1218" s="115">
        <v>0</v>
      </c>
      <c r="K1218" s="116">
        <v>0</v>
      </c>
      <c r="L1218" s="116">
        <v>0</v>
      </c>
      <c r="M1218" s="114">
        <v>0</v>
      </c>
      <c r="N1218" s="113">
        <v>0</v>
      </c>
      <c r="O1218" s="113">
        <v>0</v>
      </c>
      <c r="P1218" s="116">
        <v>0</v>
      </c>
      <c r="Q1218" s="116">
        <v>0</v>
      </c>
      <c r="R1218" s="116">
        <v>0</v>
      </c>
      <c r="S1218" s="114">
        <v>0</v>
      </c>
      <c r="T1218" s="116">
        <v>0</v>
      </c>
      <c r="U1218" s="116">
        <v>0</v>
      </c>
      <c r="V1218" s="121">
        <f t="shared" si="60"/>
        <v>0</v>
      </c>
      <c r="W1218" s="111"/>
      <c r="X1218" s="111"/>
      <c r="Y1218" s="111"/>
      <c r="Z1218" s="111"/>
      <c r="AA1218" s="111"/>
      <c r="AB1218" s="111"/>
      <c r="AC1218" s="111"/>
      <c r="AD1218" s="111"/>
      <c r="AE1218" s="139">
        <f t="shared" si="59"/>
        <v>0</v>
      </c>
      <c r="AF1218" s="109"/>
      <c r="AG1218" s="109"/>
    </row>
    <row r="1219" spans="1:33">
      <c r="A1219" s="117"/>
      <c r="B1219" s="118"/>
      <c r="C1219" s="118"/>
      <c r="D1219" s="118"/>
      <c r="E1219" s="119"/>
      <c r="F1219" s="118"/>
      <c r="G1219" s="110"/>
      <c r="H1219" s="126"/>
      <c r="I1219" s="114">
        <v>0</v>
      </c>
      <c r="J1219" s="115">
        <v>0</v>
      </c>
      <c r="K1219" s="116">
        <v>0</v>
      </c>
      <c r="L1219" s="116">
        <v>0</v>
      </c>
      <c r="M1219" s="114">
        <v>0</v>
      </c>
      <c r="N1219" s="113">
        <v>0</v>
      </c>
      <c r="O1219" s="113">
        <v>0</v>
      </c>
      <c r="P1219" s="116">
        <v>0</v>
      </c>
      <c r="Q1219" s="116">
        <v>0</v>
      </c>
      <c r="R1219" s="116">
        <v>0</v>
      </c>
      <c r="S1219" s="114">
        <v>0</v>
      </c>
      <c r="T1219" s="116">
        <v>0</v>
      </c>
      <c r="U1219" s="116">
        <v>0</v>
      </c>
      <c r="V1219" s="121">
        <f t="shared" si="60"/>
        <v>0</v>
      </c>
      <c r="W1219" s="111"/>
      <c r="X1219" s="111"/>
      <c r="Y1219" s="111"/>
      <c r="Z1219" s="111"/>
      <c r="AA1219" s="111"/>
      <c r="AB1219" s="111"/>
      <c r="AC1219" s="111"/>
      <c r="AD1219" s="111"/>
      <c r="AE1219" s="139">
        <f t="shared" si="59"/>
        <v>0</v>
      </c>
      <c r="AF1219" s="109"/>
      <c r="AG1219" s="109"/>
    </row>
    <row r="1220" spans="1:33">
      <c r="A1220" s="117"/>
      <c r="B1220" s="118"/>
      <c r="C1220" s="118"/>
      <c r="D1220" s="118"/>
      <c r="E1220" s="119"/>
      <c r="F1220" s="118"/>
      <c r="G1220" s="110"/>
      <c r="H1220" s="126"/>
      <c r="I1220" s="114">
        <v>0</v>
      </c>
      <c r="J1220" s="115">
        <v>0</v>
      </c>
      <c r="K1220" s="116">
        <v>0</v>
      </c>
      <c r="L1220" s="116">
        <v>0</v>
      </c>
      <c r="M1220" s="114">
        <v>0</v>
      </c>
      <c r="N1220" s="113">
        <v>0</v>
      </c>
      <c r="O1220" s="113">
        <v>0</v>
      </c>
      <c r="P1220" s="116">
        <v>0</v>
      </c>
      <c r="Q1220" s="116">
        <v>0</v>
      </c>
      <c r="R1220" s="116">
        <v>0</v>
      </c>
      <c r="S1220" s="114">
        <v>0</v>
      </c>
      <c r="T1220" s="116">
        <v>0</v>
      </c>
      <c r="U1220" s="116">
        <v>0</v>
      </c>
      <c r="V1220" s="121">
        <f t="shared" si="60"/>
        <v>0</v>
      </c>
      <c r="W1220" s="111"/>
      <c r="X1220" s="111"/>
      <c r="Y1220" s="111"/>
      <c r="Z1220" s="111"/>
      <c r="AA1220" s="111"/>
      <c r="AB1220" s="111"/>
      <c r="AC1220" s="111"/>
      <c r="AD1220" s="111"/>
      <c r="AE1220" s="139">
        <f t="shared" si="59"/>
        <v>0</v>
      </c>
      <c r="AF1220" s="109"/>
      <c r="AG1220" s="109"/>
    </row>
    <row r="1221" spans="1:33">
      <c r="A1221" s="117"/>
      <c r="B1221" s="118"/>
      <c r="C1221" s="118"/>
      <c r="D1221" s="118"/>
      <c r="E1221" s="119"/>
      <c r="F1221" s="118"/>
      <c r="G1221" s="110"/>
      <c r="H1221" s="126"/>
      <c r="I1221" s="114">
        <v>0</v>
      </c>
      <c r="J1221" s="115">
        <v>0</v>
      </c>
      <c r="K1221" s="116">
        <v>0</v>
      </c>
      <c r="L1221" s="116">
        <v>0</v>
      </c>
      <c r="M1221" s="114">
        <v>0</v>
      </c>
      <c r="N1221" s="113">
        <v>0</v>
      </c>
      <c r="O1221" s="113">
        <v>0</v>
      </c>
      <c r="P1221" s="116">
        <v>0</v>
      </c>
      <c r="Q1221" s="116">
        <v>0</v>
      </c>
      <c r="R1221" s="116">
        <v>0</v>
      </c>
      <c r="S1221" s="114">
        <v>0</v>
      </c>
      <c r="T1221" s="116">
        <v>0</v>
      </c>
      <c r="U1221" s="116">
        <v>0</v>
      </c>
      <c r="V1221" s="121">
        <f t="shared" si="60"/>
        <v>0</v>
      </c>
      <c r="W1221" s="111"/>
      <c r="X1221" s="111"/>
      <c r="Y1221" s="111"/>
      <c r="Z1221" s="111"/>
      <c r="AA1221" s="111"/>
      <c r="AB1221" s="111"/>
      <c r="AC1221" s="111"/>
      <c r="AD1221" s="111"/>
      <c r="AE1221" s="139">
        <f t="shared" si="59"/>
        <v>0</v>
      </c>
      <c r="AF1221" s="109"/>
      <c r="AG1221" s="109"/>
    </row>
    <row r="1222" spans="1:33">
      <c r="A1222" s="117"/>
      <c r="B1222" s="118"/>
      <c r="C1222" s="118"/>
      <c r="D1222" s="118"/>
      <c r="E1222" s="119"/>
      <c r="F1222" s="118"/>
      <c r="G1222" s="110"/>
      <c r="H1222" s="126"/>
      <c r="I1222" s="114">
        <v>0</v>
      </c>
      <c r="J1222" s="115">
        <v>0</v>
      </c>
      <c r="K1222" s="116">
        <v>0</v>
      </c>
      <c r="L1222" s="116">
        <v>0</v>
      </c>
      <c r="M1222" s="114">
        <v>0</v>
      </c>
      <c r="N1222" s="113">
        <v>0</v>
      </c>
      <c r="O1222" s="113">
        <v>0</v>
      </c>
      <c r="P1222" s="116">
        <v>0</v>
      </c>
      <c r="Q1222" s="116">
        <v>0</v>
      </c>
      <c r="R1222" s="116">
        <v>0</v>
      </c>
      <c r="S1222" s="114">
        <v>0</v>
      </c>
      <c r="T1222" s="116">
        <v>0</v>
      </c>
      <c r="U1222" s="116">
        <v>0</v>
      </c>
      <c r="V1222" s="121">
        <f t="shared" si="60"/>
        <v>0</v>
      </c>
      <c r="W1222" s="111"/>
      <c r="X1222" s="111"/>
      <c r="Y1222" s="111"/>
      <c r="Z1222" s="111"/>
      <c r="AA1222" s="111"/>
      <c r="AB1222" s="111"/>
      <c r="AC1222" s="111"/>
      <c r="AD1222" s="111"/>
      <c r="AE1222" s="139">
        <f t="shared" si="59"/>
        <v>0</v>
      </c>
      <c r="AF1222" s="109"/>
      <c r="AG1222" s="109"/>
    </row>
    <row r="1223" spans="1:33">
      <c r="A1223" s="117"/>
      <c r="B1223" s="118"/>
      <c r="C1223" s="118"/>
      <c r="D1223" s="118"/>
      <c r="E1223" s="119"/>
      <c r="F1223" s="118"/>
      <c r="G1223" s="110"/>
      <c r="H1223" s="126"/>
      <c r="I1223" s="114">
        <v>0</v>
      </c>
      <c r="J1223" s="115">
        <v>0</v>
      </c>
      <c r="K1223" s="116">
        <v>0</v>
      </c>
      <c r="L1223" s="116">
        <v>0</v>
      </c>
      <c r="M1223" s="114">
        <v>0</v>
      </c>
      <c r="N1223" s="113">
        <v>0</v>
      </c>
      <c r="O1223" s="113">
        <v>0</v>
      </c>
      <c r="P1223" s="116">
        <v>0</v>
      </c>
      <c r="Q1223" s="116">
        <v>0</v>
      </c>
      <c r="R1223" s="116">
        <v>0</v>
      </c>
      <c r="S1223" s="114">
        <v>0</v>
      </c>
      <c r="T1223" s="116">
        <v>0</v>
      </c>
      <c r="U1223" s="116">
        <v>0</v>
      </c>
      <c r="V1223" s="121">
        <f t="shared" si="60"/>
        <v>0</v>
      </c>
      <c r="W1223" s="111"/>
      <c r="X1223" s="111"/>
      <c r="Y1223" s="111"/>
      <c r="Z1223" s="111"/>
      <c r="AA1223" s="111"/>
      <c r="AB1223" s="111"/>
      <c r="AC1223" s="111"/>
      <c r="AD1223" s="111"/>
      <c r="AE1223" s="139">
        <f t="shared" si="59"/>
        <v>0</v>
      </c>
      <c r="AF1223" s="109"/>
      <c r="AG1223" s="109"/>
    </row>
    <row r="1224" spans="1:33">
      <c r="A1224" s="117"/>
      <c r="B1224" s="118"/>
      <c r="C1224" s="118"/>
      <c r="D1224" s="118"/>
      <c r="E1224" s="119"/>
      <c r="F1224" s="118"/>
      <c r="G1224" s="110"/>
      <c r="H1224" s="126"/>
      <c r="I1224" s="114">
        <v>0</v>
      </c>
      <c r="J1224" s="115">
        <v>0</v>
      </c>
      <c r="K1224" s="116">
        <v>0</v>
      </c>
      <c r="L1224" s="116">
        <v>0</v>
      </c>
      <c r="M1224" s="114">
        <v>0</v>
      </c>
      <c r="N1224" s="113">
        <v>0</v>
      </c>
      <c r="O1224" s="113">
        <v>0</v>
      </c>
      <c r="P1224" s="116">
        <v>0</v>
      </c>
      <c r="Q1224" s="116">
        <v>0</v>
      </c>
      <c r="R1224" s="116">
        <v>0</v>
      </c>
      <c r="S1224" s="114">
        <v>0</v>
      </c>
      <c r="T1224" s="116">
        <v>0</v>
      </c>
      <c r="U1224" s="116">
        <v>0</v>
      </c>
      <c r="V1224" s="121">
        <f t="shared" si="60"/>
        <v>0</v>
      </c>
      <c r="W1224" s="111"/>
      <c r="X1224" s="111"/>
      <c r="Y1224" s="111"/>
      <c r="Z1224" s="111"/>
      <c r="AA1224" s="111"/>
      <c r="AB1224" s="111"/>
      <c r="AC1224" s="111"/>
      <c r="AD1224" s="111"/>
      <c r="AE1224" s="139">
        <f t="shared" si="59"/>
        <v>0</v>
      </c>
      <c r="AF1224" s="109"/>
      <c r="AG1224" s="109"/>
    </row>
    <row r="1225" spans="1:33">
      <c r="A1225" s="117"/>
      <c r="B1225" s="118"/>
      <c r="C1225" s="118"/>
      <c r="D1225" s="118"/>
      <c r="E1225" s="119"/>
      <c r="F1225" s="118"/>
      <c r="G1225" s="110"/>
      <c r="H1225" s="126"/>
      <c r="I1225" s="114">
        <v>0</v>
      </c>
      <c r="J1225" s="115">
        <v>0</v>
      </c>
      <c r="K1225" s="116">
        <v>0</v>
      </c>
      <c r="L1225" s="116">
        <v>0</v>
      </c>
      <c r="M1225" s="114">
        <v>0</v>
      </c>
      <c r="N1225" s="113">
        <v>0</v>
      </c>
      <c r="O1225" s="113">
        <v>0</v>
      </c>
      <c r="P1225" s="116">
        <v>0</v>
      </c>
      <c r="Q1225" s="116">
        <v>0</v>
      </c>
      <c r="R1225" s="116">
        <v>0</v>
      </c>
      <c r="S1225" s="114">
        <v>0</v>
      </c>
      <c r="T1225" s="116">
        <v>0</v>
      </c>
      <c r="U1225" s="116">
        <v>0</v>
      </c>
      <c r="V1225" s="121">
        <f t="shared" si="60"/>
        <v>0</v>
      </c>
      <c r="W1225" s="111"/>
      <c r="X1225" s="111"/>
      <c r="Y1225" s="111"/>
      <c r="Z1225" s="111"/>
      <c r="AA1225" s="111"/>
      <c r="AB1225" s="111"/>
      <c r="AC1225" s="111"/>
      <c r="AD1225" s="111"/>
      <c r="AE1225" s="139">
        <f t="shared" si="59"/>
        <v>0</v>
      </c>
      <c r="AF1225" s="109"/>
      <c r="AG1225" s="109"/>
    </row>
    <row r="1226" spans="1:33">
      <c r="A1226" s="117"/>
      <c r="B1226" s="118"/>
      <c r="C1226" s="118"/>
      <c r="D1226" s="118"/>
      <c r="E1226" s="119"/>
      <c r="F1226" s="118"/>
      <c r="G1226" s="110"/>
      <c r="H1226" s="126"/>
      <c r="I1226" s="114">
        <v>0</v>
      </c>
      <c r="J1226" s="115">
        <v>0</v>
      </c>
      <c r="K1226" s="116">
        <v>0</v>
      </c>
      <c r="L1226" s="116">
        <v>0</v>
      </c>
      <c r="M1226" s="114">
        <v>0</v>
      </c>
      <c r="N1226" s="113">
        <v>0</v>
      </c>
      <c r="O1226" s="113">
        <v>0</v>
      </c>
      <c r="P1226" s="116">
        <v>0</v>
      </c>
      <c r="Q1226" s="116">
        <v>0</v>
      </c>
      <c r="R1226" s="116">
        <v>0</v>
      </c>
      <c r="S1226" s="114">
        <v>0</v>
      </c>
      <c r="T1226" s="116">
        <v>0</v>
      </c>
      <c r="U1226" s="116">
        <v>0</v>
      </c>
      <c r="V1226" s="121">
        <f t="shared" si="60"/>
        <v>0</v>
      </c>
      <c r="W1226" s="111"/>
      <c r="X1226" s="111"/>
      <c r="Y1226" s="111"/>
      <c r="Z1226" s="111"/>
      <c r="AA1226" s="111"/>
      <c r="AB1226" s="111"/>
      <c r="AC1226" s="111"/>
      <c r="AD1226" s="111"/>
      <c r="AE1226" s="139">
        <f t="shared" si="59"/>
        <v>0</v>
      </c>
      <c r="AF1226" s="109"/>
      <c r="AG1226" s="109"/>
    </row>
    <row r="1227" spans="1:33">
      <c r="A1227" s="117"/>
      <c r="B1227" s="118"/>
      <c r="C1227" s="118"/>
      <c r="D1227" s="118"/>
      <c r="E1227" s="119"/>
      <c r="F1227" s="118"/>
      <c r="G1227" s="110"/>
      <c r="H1227" s="126"/>
      <c r="I1227" s="114">
        <v>0</v>
      </c>
      <c r="J1227" s="115">
        <v>0</v>
      </c>
      <c r="K1227" s="116">
        <v>0</v>
      </c>
      <c r="L1227" s="116">
        <v>0</v>
      </c>
      <c r="M1227" s="114">
        <v>0</v>
      </c>
      <c r="N1227" s="113">
        <v>0</v>
      </c>
      <c r="O1227" s="113">
        <v>0</v>
      </c>
      <c r="P1227" s="116">
        <v>0</v>
      </c>
      <c r="Q1227" s="116">
        <v>0</v>
      </c>
      <c r="R1227" s="116">
        <v>0</v>
      </c>
      <c r="S1227" s="114">
        <v>0</v>
      </c>
      <c r="T1227" s="116">
        <v>0</v>
      </c>
      <c r="U1227" s="116">
        <v>0</v>
      </c>
      <c r="V1227" s="121">
        <f t="shared" si="60"/>
        <v>0</v>
      </c>
      <c r="W1227" s="111"/>
      <c r="X1227" s="111"/>
      <c r="Y1227" s="111"/>
      <c r="Z1227" s="111"/>
      <c r="AA1227" s="111"/>
      <c r="AB1227" s="111"/>
      <c r="AC1227" s="111"/>
      <c r="AD1227" s="111"/>
      <c r="AE1227" s="139">
        <f t="shared" si="59"/>
        <v>0</v>
      </c>
      <c r="AF1227" s="109"/>
      <c r="AG1227" s="109"/>
    </row>
    <row r="1228" spans="1:33">
      <c r="A1228" s="117"/>
      <c r="B1228" s="118"/>
      <c r="C1228" s="118"/>
      <c r="D1228" s="118"/>
      <c r="E1228" s="119"/>
      <c r="F1228" s="118"/>
      <c r="G1228" s="110"/>
      <c r="H1228" s="126"/>
      <c r="I1228" s="114">
        <v>0</v>
      </c>
      <c r="J1228" s="115">
        <v>0</v>
      </c>
      <c r="K1228" s="116">
        <v>0</v>
      </c>
      <c r="L1228" s="116">
        <v>0</v>
      </c>
      <c r="M1228" s="114">
        <v>0</v>
      </c>
      <c r="N1228" s="113">
        <v>0</v>
      </c>
      <c r="O1228" s="113">
        <v>0</v>
      </c>
      <c r="P1228" s="116">
        <v>0</v>
      </c>
      <c r="Q1228" s="116">
        <v>0</v>
      </c>
      <c r="R1228" s="116">
        <v>0</v>
      </c>
      <c r="S1228" s="114">
        <v>0</v>
      </c>
      <c r="T1228" s="116">
        <v>0</v>
      </c>
      <c r="U1228" s="116">
        <v>0</v>
      </c>
      <c r="V1228" s="121">
        <f t="shared" si="60"/>
        <v>0</v>
      </c>
      <c r="W1228" s="111"/>
      <c r="X1228" s="111"/>
      <c r="Y1228" s="111"/>
      <c r="Z1228" s="111"/>
      <c r="AA1228" s="111"/>
      <c r="AB1228" s="111"/>
      <c r="AC1228" s="111"/>
      <c r="AD1228" s="111"/>
      <c r="AE1228" s="139">
        <f t="shared" si="59"/>
        <v>0</v>
      </c>
      <c r="AF1228" s="109"/>
      <c r="AG1228" s="109"/>
    </row>
    <row r="1229" spans="1:33">
      <c r="A1229" s="117"/>
      <c r="B1229" s="118"/>
      <c r="C1229" s="118"/>
      <c r="D1229" s="118"/>
      <c r="E1229" s="119"/>
      <c r="F1229" s="118"/>
      <c r="G1229" s="110"/>
      <c r="H1229" s="126"/>
      <c r="I1229" s="114">
        <v>0</v>
      </c>
      <c r="J1229" s="115">
        <v>0</v>
      </c>
      <c r="K1229" s="116">
        <v>0</v>
      </c>
      <c r="L1229" s="116">
        <v>0</v>
      </c>
      <c r="M1229" s="114">
        <v>0</v>
      </c>
      <c r="N1229" s="113">
        <v>0</v>
      </c>
      <c r="O1229" s="113">
        <v>0</v>
      </c>
      <c r="P1229" s="116">
        <v>0</v>
      </c>
      <c r="Q1229" s="116">
        <v>0</v>
      </c>
      <c r="R1229" s="116">
        <v>0</v>
      </c>
      <c r="S1229" s="114">
        <v>0</v>
      </c>
      <c r="T1229" s="116">
        <v>0</v>
      </c>
      <c r="U1229" s="116">
        <v>0</v>
      </c>
      <c r="V1229" s="121">
        <f t="shared" si="60"/>
        <v>0</v>
      </c>
      <c r="W1229" s="111"/>
      <c r="X1229" s="111"/>
      <c r="Y1229" s="111"/>
      <c r="Z1229" s="111"/>
      <c r="AA1229" s="111"/>
      <c r="AB1229" s="111"/>
      <c r="AC1229" s="111"/>
      <c r="AD1229" s="111"/>
      <c r="AE1229" s="139">
        <f t="shared" si="59"/>
        <v>0</v>
      </c>
      <c r="AF1229" s="109"/>
      <c r="AG1229" s="109"/>
    </row>
    <row r="1230" spans="1:33">
      <c r="A1230" s="117"/>
      <c r="B1230" s="118"/>
      <c r="C1230" s="118"/>
      <c r="D1230" s="118"/>
      <c r="E1230" s="119"/>
      <c r="F1230" s="118"/>
      <c r="G1230" s="110"/>
      <c r="H1230" s="126"/>
      <c r="I1230" s="114">
        <v>0</v>
      </c>
      <c r="J1230" s="115">
        <v>0</v>
      </c>
      <c r="K1230" s="116">
        <v>0</v>
      </c>
      <c r="L1230" s="116">
        <v>0</v>
      </c>
      <c r="M1230" s="114">
        <v>0</v>
      </c>
      <c r="N1230" s="113">
        <v>0</v>
      </c>
      <c r="O1230" s="113">
        <v>0</v>
      </c>
      <c r="P1230" s="116">
        <v>0</v>
      </c>
      <c r="Q1230" s="116">
        <v>0</v>
      </c>
      <c r="R1230" s="116">
        <v>0</v>
      </c>
      <c r="S1230" s="114">
        <v>0</v>
      </c>
      <c r="T1230" s="116">
        <v>0</v>
      </c>
      <c r="U1230" s="116">
        <v>0</v>
      </c>
      <c r="V1230" s="121">
        <f t="shared" si="60"/>
        <v>0</v>
      </c>
      <c r="W1230" s="111"/>
      <c r="X1230" s="111"/>
      <c r="Y1230" s="111"/>
      <c r="Z1230" s="111"/>
      <c r="AA1230" s="111"/>
      <c r="AB1230" s="111"/>
      <c r="AC1230" s="111"/>
      <c r="AD1230" s="111"/>
      <c r="AE1230" s="139">
        <f t="shared" si="59"/>
        <v>0</v>
      </c>
      <c r="AF1230" s="109"/>
      <c r="AG1230" s="109"/>
    </row>
    <row r="1231" spans="1:33">
      <c r="A1231" s="117"/>
      <c r="B1231" s="118"/>
      <c r="C1231" s="118"/>
      <c r="D1231" s="118"/>
      <c r="E1231" s="119"/>
      <c r="F1231" s="118"/>
      <c r="G1231" s="110"/>
      <c r="H1231" s="126"/>
      <c r="I1231" s="114">
        <v>0</v>
      </c>
      <c r="J1231" s="115">
        <v>0</v>
      </c>
      <c r="K1231" s="116">
        <v>0</v>
      </c>
      <c r="L1231" s="116">
        <v>0</v>
      </c>
      <c r="M1231" s="114">
        <v>0</v>
      </c>
      <c r="N1231" s="113">
        <v>0</v>
      </c>
      <c r="O1231" s="113">
        <v>0</v>
      </c>
      <c r="P1231" s="116">
        <v>0</v>
      </c>
      <c r="Q1231" s="116">
        <v>0</v>
      </c>
      <c r="R1231" s="116">
        <v>0</v>
      </c>
      <c r="S1231" s="114">
        <v>0</v>
      </c>
      <c r="T1231" s="116">
        <v>0</v>
      </c>
      <c r="U1231" s="116">
        <v>0</v>
      </c>
      <c r="V1231" s="121">
        <f t="shared" si="60"/>
        <v>0</v>
      </c>
      <c r="W1231" s="111"/>
      <c r="X1231" s="111"/>
      <c r="Y1231" s="111"/>
      <c r="Z1231" s="111"/>
      <c r="AA1231" s="111"/>
      <c r="AB1231" s="111"/>
      <c r="AC1231" s="111"/>
      <c r="AD1231" s="111"/>
      <c r="AE1231" s="139">
        <f t="shared" si="59"/>
        <v>0</v>
      </c>
      <c r="AF1231" s="109"/>
      <c r="AG1231" s="109"/>
    </row>
    <row r="1232" spans="1:33">
      <c r="A1232" s="117"/>
      <c r="B1232" s="118"/>
      <c r="C1232" s="118"/>
      <c r="D1232" s="118"/>
      <c r="E1232" s="119"/>
      <c r="F1232" s="118"/>
      <c r="G1232" s="110"/>
      <c r="H1232" s="126"/>
      <c r="I1232" s="114">
        <v>0</v>
      </c>
      <c r="J1232" s="115">
        <v>0</v>
      </c>
      <c r="K1232" s="116">
        <v>0</v>
      </c>
      <c r="L1232" s="116">
        <v>0</v>
      </c>
      <c r="M1232" s="114">
        <v>0</v>
      </c>
      <c r="N1232" s="113">
        <v>0</v>
      </c>
      <c r="O1232" s="113">
        <v>0</v>
      </c>
      <c r="P1232" s="116">
        <v>0</v>
      </c>
      <c r="Q1232" s="116">
        <v>0</v>
      </c>
      <c r="R1232" s="116">
        <v>0</v>
      </c>
      <c r="S1232" s="114">
        <v>0</v>
      </c>
      <c r="T1232" s="116">
        <v>0</v>
      </c>
      <c r="U1232" s="116">
        <v>0</v>
      </c>
      <c r="V1232" s="121">
        <f t="shared" si="60"/>
        <v>0</v>
      </c>
      <c r="W1232" s="111"/>
      <c r="X1232" s="111"/>
      <c r="Y1232" s="111"/>
      <c r="Z1232" s="111"/>
      <c r="AA1232" s="111"/>
      <c r="AB1232" s="111"/>
      <c r="AC1232" s="111"/>
      <c r="AD1232" s="111"/>
      <c r="AE1232" s="139">
        <f t="shared" si="59"/>
        <v>0</v>
      </c>
      <c r="AF1232" s="109"/>
      <c r="AG1232" s="109"/>
    </row>
    <row r="1233" spans="1:33">
      <c r="A1233" s="117"/>
      <c r="B1233" s="118"/>
      <c r="C1233" s="118"/>
      <c r="D1233" s="118"/>
      <c r="E1233" s="119"/>
      <c r="F1233" s="118"/>
      <c r="G1233" s="110"/>
      <c r="H1233" s="126"/>
      <c r="I1233" s="114">
        <v>0</v>
      </c>
      <c r="J1233" s="115">
        <v>0</v>
      </c>
      <c r="K1233" s="116">
        <v>0</v>
      </c>
      <c r="L1233" s="116">
        <v>0</v>
      </c>
      <c r="M1233" s="114">
        <v>0</v>
      </c>
      <c r="N1233" s="113">
        <v>0</v>
      </c>
      <c r="O1233" s="113">
        <v>0</v>
      </c>
      <c r="P1233" s="116">
        <v>0</v>
      </c>
      <c r="Q1233" s="116">
        <v>0</v>
      </c>
      <c r="R1233" s="116">
        <v>0</v>
      </c>
      <c r="S1233" s="114">
        <v>0</v>
      </c>
      <c r="T1233" s="116">
        <v>0</v>
      </c>
      <c r="U1233" s="116">
        <v>0</v>
      </c>
      <c r="V1233" s="121">
        <f t="shared" si="60"/>
        <v>0</v>
      </c>
      <c r="W1233" s="111"/>
      <c r="X1233" s="111"/>
      <c r="Y1233" s="111"/>
      <c r="Z1233" s="111"/>
      <c r="AA1233" s="111"/>
      <c r="AB1233" s="111"/>
      <c r="AC1233" s="111"/>
      <c r="AD1233" s="111"/>
      <c r="AE1233" s="139">
        <f t="shared" si="59"/>
        <v>0</v>
      </c>
      <c r="AF1233" s="109"/>
      <c r="AG1233" s="109"/>
    </row>
    <row r="1234" spans="1:33">
      <c r="A1234" s="117"/>
      <c r="B1234" s="118"/>
      <c r="C1234" s="118"/>
      <c r="D1234" s="118"/>
      <c r="E1234" s="119"/>
      <c r="F1234" s="118"/>
      <c r="G1234" s="110"/>
      <c r="H1234" s="126"/>
      <c r="I1234" s="114">
        <v>0</v>
      </c>
      <c r="J1234" s="115">
        <v>0</v>
      </c>
      <c r="K1234" s="116">
        <v>0</v>
      </c>
      <c r="L1234" s="116">
        <v>0</v>
      </c>
      <c r="M1234" s="114">
        <v>0</v>
      </c>
      <c r="N1234" s="113">
        <v>0</v>
      </c>
      <c r="O1234" s="113">
        <v>0</v>
      </c>
      <c r="P1234" s="116">
        <v>0</v>
      </c>
      <c r="Q1234" s="116">
        <v>0</v>
      </c>
      <c r="R1234" s="116">
        <v>0</v>
      </c>
      <c r="S1234" s="114">
        <v>0</v>
      </c>
      <c r="T1234" s="116">
        <v>0</v>
      </c>
      <c r="U1234" s="116">
        <v>0</v>
      </c>
      <c r="V1234" s="121">
        <f t="shared" si="60"/>
        <v>0</v>
      </c>
      <c r="W1234" s="111"/>
      <c r="X1234" s="111"/>
      <c r="Y1234" s="111"/>
      <c r="Z1234" s="111"/>
      <c r="AA1234" s="111"/>
      <c r="AB1234" s="111"/>
      <c r="AC1234" s="111"/>
      <c r="AD1234" s="111"/>
      <c r="AE1234" s="139">
        <f t="shared" si="59"/>
        <v>0</v>
      </c>
      <c r="AF1234" s="109"/>
      <c r="AG1234" s="109"/>
    </row>
    <row r="1235" spans="1:33">
      <c r="A1235" s="117"/>
      <c r="B1235" s="118"/>
      <c r="C1235" s="118"/>
      <c r="D1235" s="118"/>
      <c r="E1235" s="119"/>
      <c r="F1235" s="118"/>
      <c r="G1235" s="110"/>
      <c r="H1235" s="126"/>
      <c r="I1235" s="114">
        <v>0</v>
      </c>
      <c r="J1235" s="115">
        <v>0</v>
      </c>
      <c r="K1235" s="116">
        <v>0</v>
      </c>
      <c r="L1235" s="116">
        <v>0</v>
      </c>
      <c r="M1235" s="114">
        <v>0</v>
      </c>
      <c r="N1235" s="113">
        <v>0</v>
      </c>
      <c r="O1235" s="113">
        <v>0</v>
      </c>
      <c r="P1235" s="116">
        <v>0</v>
      </c>
      <c r="Q1235" s="116">
        <v>0</v>
      </c>
      <c r="R1235" s="116">
        <v>0</v>
      </c>
      <c r="S1235" s="114">
        <v>0</v>
      </c>
      <c r="T1235" s="116">
        <v>0</v>
      </c>
      <c r="U1235" s="116">
        <v>0</v>
      </c>
      <c r="V1235" s="121">
        <f t="shared" si="60"/>
        <v>0</v>
      </c>
      <c r="W1235" s="111"/>
      <c r="X1235" s="111"/>
      <c r="Y1235" s="111"/>
      <c r="Z1235" s="111"/>
      <c r="AA1235" s="111"/>
      <c r="AB1235" s="111"/>
      <c r="AC1235" s="111"/>
      <c r="AD1235" s="111"/>
      <c r="AE1235" s="139">
        <f t="shared" si="59"/>
        <v>0</v>
      </c>
      <c r="AF1235" s="109"/>
      <c r="AG1235" s="109"/>
    </row>
    <row r="1236" spans="1:33">
      <c r="A1236" s="117"/>
      <c r="B1236" s="118"/>
      <c r="C1236" s="118"/>
      <c r="D1236" s="118"/>
      <c r="E1236" s="119"/>
      <c r="F1236" s="118"/>
      <c r="G1236" s="110"/>
      <c r="H1236" s="126"/>
      <c r="I1236" s="114">
        <v>0</v>
      </c>
      <c r="J1236" s="115">
        <v>0</v>
      </c>
      <c r="K1236" s="116">
        <v>0</v>
      </c>
      <c r="L1236" s="116">
        <v>0</v>
      </c>
      <c r="M1236" s="114">
        <v>0</v>
      </c>
      <c r="N1236" s="113">
        <v>0</v>
      </c>
      <c r="O1236" s="113">
        <v>0</v>
      </c>
      <c r="P1236" s="116">
        <v>0</v>
      </c>
      <c r="Q1236" s="116">
        <v>0</v>
      </c>
      <c r="R1236" s="116">
        <v>0</v>
      </c>
      <c r="S1236" s="114">
        <v>0</v>
      </c>
      <c r="T1236" s="116">
        <v>0</v>
      </c>
      <c r="U1236" s="116">
        <v>0</v>
      </c>
      <c r="V1236" s="121">
        <f t="shared" si="60"/>
        <v>0</v>
      </c>
      <c r="W1236" s="111"/>
      <c r="X1236" s="111"/>
      <c r="Y1236" s="111"/>
      <c r="Z1236" s="111"/>
      <c r="AA1236" s="111"/>
      <c r="AB1236" s="111"/>
      <c r="AC1236" s="111"/>
      <c r="AD1236" s="111"/>
      <c r="AE1236" s="139">
        <f t="shared" si="59"/>
        <v>0</v>
      </c>
      <c r="AF1236" s="109"/>
      <c r="AG1236" s="109"/>
    </row>
    <row r="1237" spans="1:33">
      <c r="A1237" s="117"/>
      <c r="B1237" s="118"/>
      <c r="C1237" s="118"/>
      <c r="D1237" s="118"/>
      <c r="E1237" s="119"/>
      <c r="F1237" s="118"/>
      <c r="G1237" s="110"/>
      <c r="H1237" s="126"/>
      <c r="I1237" s="114">
        <v>0</v>
      </c>
      <c r="J1237" s="115">
        <v>0</v>
      </c>
      <c r="K1237" s="116">
        <v>0</v>
      </c>
      <c r="L1237" s="116">
        <v>0</v>
      </c>
      <c r="M1237" s="114">
        <v>0</v>
      </c>
      <c r="N1237" s="113">
        <v>0</v>
      </c>
      <c r="O1237" s="113">
        <v>0</v>
      </c>
      <c r="P1237" s="116">
        <v>0</v>
      </c>
      <c r="Q1237" s="116">
        <v>0</v>
      </c>
      <c r="R1237" s="116">
        <v>0</v>
      </c>
      <c r="S1237" s="114">
        <v>0</v>
      </c>
      <c r="T1237" s="116">
        <v>0</v>
      </c>
      <c r="U1237" s="116">
        <v>0</v>
      </c>
      <c r="V1237" s="121">
        <f t="shared" si="60"/>
        <v>0</v>
      </c>
      <c r="W1237" s="111"/>
      <c r="X1237" s="111"/>
      <c r="Y1237" s="111"/>
      <c r="Z1237" s="111"/>
      <c r="AA1237" s="111"/>
      <c r="AB1237" s="111"/>
      <c r="AC1237" s="111"/>
      <c r="AD1237" s="111"/>
      <c r="AE1237" s="139">
        <f t="shared" si="59"/>
        <v>0</v>
      </c>
      <c r="AF1237" s="109"/>
      <c r="AG1237" s="109"/>
    </row>
    <row r="1238" spans="1:33">
      <c r="A1238" s="117"/>
      <c r="B1238" s="118"/>
      <c r="C1238" s="118"/>
      <c r="D1238" s="118"/>
      <c r="E1238" s="119"/>
      <c r="F1238" s="118"/>
      <c r="G1238" s="110"/>
      <c r="H1238" s="126"/>
      <c r="I1238" s="114">
        <v>0</v>
      </c>
      <c r="J1238" s="115">
        <v>0</v>
      </c>
      <c r="K1238" s="116">
        <v>0</v>
      </c>
      <c r="L1238" s="116">
        <v>0</v>
      </c>
      <c r="M1238" s="114">
        <v>0</v>
      </c>
      <c r="N1238" s="113">
        <v>0</v>
      </c>
      <c r="O1238" s="113">
        <v>0</v>
      </c>
      <c r="P1238" s="116">
        <v>0</v>
      </c>
      <c r="Q1238" s="116">
        <v>0</v>
      </c>
      <c r="R1238" s="116">
        <v>0</v>
      </c>
      <c r="S1238" s="114">
        <v>0</v>
      </c>
      <c r="T1238" s="116">
        <v>0</v>
      </c>
      <c r="U1238" s="116">
        <v>0</v>
      </c>
      <c r="V1238" s="121">
        <f t="shared" si="60"/>
        <v>0</v>
      </c>
      <c r="W1238" s="111"/>
      <c r="X1238" s="111"/>
      <c r="Y1238" s="111"/>
      <c r="Z1238" s="111"/>
      <c r="AA1238" s="111"/>
      <c r="AB1238" s="111"/>
      <c r="AC1238" s="111"/>
      <c r="AD1238" s="111"/>
      <c r="AE1238" s="139">
        <f t="shared" si="59"/>
        <v>0</v>
      </c>
      <c r="AF1238" s="109"/>
      <c r="AG1238" s="109"/>
    </row>
    <row r="1239" spans="1:33">
      <c r="A1239" s="117"/>
      <c r="B1239" s="118"/>
      <c r="C1239" s="118"/>
      <c r="D1239" s="118"/>
      <c r="E1239" s="119"/>
      <c r="F1239" s="118"/>
      <c r="G1239" s="110"/>
      <c r="H1239" s="126"/>
      <c r="I1239" s="114">
        <v>0</v>
      </c>
      <c r="J1239" s="115">
        <v>0</v>
      </c>
      <c r="K1239" s="116">
        <v>0</v>
      </c>
      <c r="L1239" s="116">
        <v>0</v>
      </c>
      <c r="M1239" s="114">
        <v>0</v>
      </c>
      <c r="N1239" s="113">
        <v>0</v>
      </c>
      <c r="O1239" s="113">
        <v>0</v>
      </c>
      <c r="P1239" s="116">
        <v>0</v>
      </c>
      <c r="Q1239" s="116">
        <v>0</v>
      </c>
      <c r="R1239" s="116">
        <v>0</v>
      </c>
      <c r="S1239" s="114">
        <v>0</v>
      </c>
      <c r="T1239" s="116">
        <v>0</v>
      </c>
      <c r="U1239" s="116">
        <v>0</v>
      </c>
      <c r="V1239" s="121">
        <f t="shared" si="60"/>
        <v>0</v>
      </c>
      <c r="W1239" s="111"/>
      <c r="X1239" s="111"/>
      <c r="Y1239" s="111"/>
      <c r="Z1239" s="111"/>
      <c r="AA1239" s="111"/>
      <c r="AB1239" s="111"/>
      <c r="AC1239" s="111"/>
      <c r="AD1239" s="111"/>
      <c r="AE1239" s="139">
        <f t="shared" si="59"/>
        <v>0</v>
      </c>
      <c r="AF1239" s="109"/>
      <c r="AG1239" s="109"/>
    </row>
    <row r="1240" spans="1:33">
      <c r="A1240" s="117"/>
      <c r="B1240" s="118"/>
      <c r="C1240" s="118"/>
      <c r="D1240" s="118"/>
      <c r="E1240" s="119"/>
      <c r="F1240" s="118"/>
      <c r="G1240" s="110"/>
      <c r="H1240" s="126"/>
      <c r="I1240" s="114">
        <v>0</v>
      </c>
      <c r="J1240" s="115">
        <v>0</v>
      </c>
      <c r="K1240" s="116">
        <v>0</v>
      </c>
      <c r="L1240" s="116">
        <v>0</v>
      </c>
      <c r="M1240" s="114">
        <v>0</v>
      </c>
      <c r="N1240" s="113">
        <v>0</v>
      </c>
      <c r="O1240" s="113">
        <v>0</v>
      </c>
      <c r="P1240" s="116">
        <v>0</v>
      </c>
      <c r="Q1240" s="116">
        <v>0</v>
      </c>
      <c r="R1240" s="116">
        <v>0</v>
      </c>
      <c r="S1240" s="114">
        <v>0</v>
      </c>
      <c r="T1240" s="116">
        <v>0</v>
      </c>
      <c r="U1240" s="116">
        <v>0</v>
      </c>
      <c r="V1240" s="121">
        <f t="shared" si="60"/>
        <v>0</v>
      </c>
      <c r="W1240" s="111"/>
      <c r="X1240" s="111"/>
      <c r="Y1240" s="111"/>
      <c r="Z1240" s="111"/>
      <c r="AA1240" s="111"/>
      <c r="AB1240" s="111"/>
      <c r="AC1240" s="111"/>
      <c r="AD1240" s="111"/>
      <c r="AE1240" s="139">
        <f t="shared" si="59"/>
        <v>0</v>
      </c>
      <c r="AF1240" s="109"/>
      <c r="AG1240" s="109"/>
    </row>
    <row r="1241" spans="1:33">
      <c r="A1241" s="117"/>
      <c r="B1241" s="118"/>
      <c r="C1241" s="118"/>
      <c r="D1241" s="118"/>
      <c r="E1241" s="119"/>
      <c r="F1241" s="118"/>
      <c r="G1241" s="110"/>
      <c r="H1241" s="126"/>
      <c r="I1241" s="114">
        <v>0</v>
      </c>
      <c r="J1241" s="115">
        <v>0</v>
      </c>
      <c r="K1241" s="116">
        <v>0</v>
      </c>
      <c r="L1241" s="116">
        <v>0</v>
      </c>
      <c r="M1241" s="114">
        <v>0</v>
      </c>
      <c r="N1241" s="113">
        <v>0</v>
      </c>
      <c r="O1241" s="113">
        <v>0</v>
      </c>
      <c r="P1241" s="116">
        <v>0</v>
      </c>
      <c r="Q1241" s="116">
        <v>0</v>
      </c>
      <c r="R1241" s="116">
        <v>0</v>
      </c>
      <c r="S1241" s="114">
        <v>0</v>
      </c>
      <c r="T1241" s="116">
        <v>0</v>
      </c>
      <c r="U1241" s="116">
        <v>0</v>
      </c>
      <c r="V1241" s="121">
        <f t="shared" si="60"/>
        <v>0</v>
      </c>
      <c r="W1241" s="111"/>
      <c r="X1241" s="111"/>
      <c r="Y1241" s="111"/>
      <c r="Z1241" s="111"/>
      <c r="AA1241" s="111"/>
      <c r="AB1241" s="111"/>
      <c r="AC1241" s="111"/>
      <c r="AD1241" s="111"/>
      <c r="AE1241" s="139">
        <f t="shared" si="59"/>
        <v>0</v>
      </c>
      <c r="AF1241" s="109"/>
      <c r="AG1241" s="109"/>
    </row>
    <row r="1242" spans="1:33">
      <c r="A1242" s="117"/>
      <c r="B1242" s="118"/>
      <c r="C1242" s="118"/>
      <c r="D1242" s="118"/>
      <c r="E1242" s="119"/>
      <c r="F1242" s="118"/>
      <c r="G1242" s="110"/>
      <c r="H1242" s="126"/>
      <c r="I1242" s="114">
        <v>0</v>
      </c>
      <c r="J1242" s="115">
        <v>0</v>
      </c>
      <c r="K1242" s="116">
        <v>0</v>
      </c>
      <c r="L1242" s="116">
        <v>0</v>
      </c>
      <c r="M1242" s="114">
        <v>0</v>
      </c>
      <c r="N1242" s="113">
        <v>0</v>
      </c>
      <c r="O1242" s="113">
        <v>0</v>
      </c>
      <c r="P1242" s="116">
        <v>0</v>
      </c>
      <c r="Q1242" s="116">
        <v>0</v>
      </c>
      <c r="R1242" s="116">
        <v>0</v>
      </c>
      <c r="S1242" s="114">
        <v>0</v>
      </c>
      <c r="T1242" s="116">
        <v>0</v>
      </c>
      <c r="U1242" s="116">
        <v>0</v>
      </c>
      <c r="V1242" s="121">
        <f t="shared" si="60"/>
        <v>0</v>
      </c>
      <c r="W1242" s="111"/>
      <c r="X1242" s="111"/>
      <c r="Y1242" s="111"/>
      <c r="Z1242" s="111"/>
      <c r="AA1242" s="111"/>
      <c r="AB1242" s="111"/>
      <c r="AC1242" s="111"/>
      <c r="AD1242" s="111"/>
      <c r="AE1242" s="139">
        <f t="shared" si="59"/>
        <v>0</v>
      </c>
      <c r="AF1242" s="109"/>
      <c r="AG1242" s="109"/>
    </row>
    <row r="1243" spans="1:33">
      <c r="A1243" s="117"/>
      <c r="B1243" s="118"/>
      <c r="C1243" s="118"/>
      <c r="D1243" s="118"/>
      <c r="E1243" s="119"/>
      <c r="F1243" s="118"/>
      <c r="G1243" s="110"/>
      <c r="H1243" s="126"/>
      <c r="I1243" s="114">
        <v>0</v>
      </c>
      <c r="J1243" s="115">
        <v>0</v>
      </c>
      <c r="K1243" s="116">
        <v>0</v>
      </c>
      <c r="L1243" s="116">
        <v>0</v>
      </c>
      <c r="M1243" s="114">
        <v>0</v>
      </c>
      <c r="N1243" s="113">
        <v>0</v>
      </c>
      <c r="O1243" s="113">
        <v>0</v>
      </c>
      <c r="P1243" s="116">
        <v>0</v>
      </c>
      <c r="Q1243" s="116">
        <v>0</v>
      </c>
      <c r="R1243" s="116">
        <v>0</v>
      </c>
      <c r="S1243" s="114">
        <v>0</v>
      </c>
      <c r="T1243" s="116">
        <v>0</v>
      </c>
      <c r="U1243" s="116">
        <v>0</v>
      </c>
      <c r="V1243" s="121">
        <f t="shared" si="60"/>
        <v>0</v>
      </c>
      <c r="W1243" s="111"/>
      <c r="X1243" s="111"/>
      <c r="Y1243" s="111"/>
      <c r="Z1243" s="111"/>
      <c r="AA1243" s="111"/>
      <c r="AB1243" s="111"/>
      <c r="AC1243" s="111"/>
      <c r="AD1243" s="111"/>
      <c r="AE1243" s="139">
        <f t="shared" si="59"/>
        <v>0</v>
      </c>
      <c r="AF1243" s="109"/>
      <c r="AG1243" s="109"/>
    </row>
    <row r="1244" spans="1:33">
      <c r="A1244" s="117"/>
      <c r="B1244" s="118"/>
      <c r="C1244" s="118"/>
      <c r="D1244" s="118"/>
      <c r="E1244" s="119"/>
      <c r="F1244" s="118"/>
      <c r="G1244" s="110"/>
      <c r="H1244" s="126"/>
      <c r="I1244" s="114">
        <v>0</v>
      </c>
      <c r="J1244" s="115">
        <v>0</v>
      </c>
      <c r="K1244" s="116">
        <v>0</v>
      </c>
      <c r="L1244" s="116">
        <v>0</v>
      </c>
      <c r="M1244" s="114">
        <v>0</v>
      </c>
      <c r="N1244" s="113">
        <v>0</v>
      </c>
      <c r="O1244" s="113">
        <v>0</v>
      </c>
      <c r="P1244" s="116">
        <v>0</v>
      </c>
      <c r="Q1244" s="116">
        <v>0</v>
      </c>
      <c r="R1244" s="116">
        <v>0</v>
      </c>
      <c r="S1244" s="114">
        <v>0</v>
      </c>
      <c r="T1244" s="116">
        <v>0</v>
      </c>
      <c r="U1244" s="116">
        <v>0</v>
      </c>
      <c r="V1244" s="121">
        <f t="shared" si="60"/>
        <v>0</v>
      </c>
      <c r="W1244" s="111"/>
      <c r="X1244" s="111"/>
      <c r="Y1244" s="111"/>
      <c r="Z1244" s="111"/>
      <c r="AA1244" s="111"/>
      <c r="AB1244" s="111"/>
      <c r="AC1244" s="111"/>
      <c r="AD1244" s="111"/>
      <c r="AE1244" s="139">
        <f t="shared" si="59"/>
        <v>0</v>
      </c>
      <c r="AF1244" s="109"/>
      <c r="AG1244" s="109"/>
    </row>
    <row r="1245" spans="1:33">
      <c r="A1245" s="117"/>
      <c r="B1245" s="118"/>
      <c r="C1245" s="118"/>
      <c r="D1245" s="118"/>
      <c r="E1245" s="119"/>
      <c r="F1245" s="118"/>
      <c r="G1245" s="110"/>
      <c r="H1245" s="126"/>
      <c r="I1245" s="114">
        <v>0</v>
      </c>
      <c r="J1245" s="115">
        <v>0</v>
      </c>
      <c r="K1245" s="116">
        <v>0</v>
      </c>
      <c r="L1245" s="116">
        <v>0</v>
      </c>
      <c r="M1245" s="114">
        <v>0</v>
      </c>
      <c r="N1245" s="113">
        <v>0</v>
      </c>
      <c r="O1245" s="113">
        <v>0</v>
      </c>
      <c r="P1245" s="116">
        <v>0</v>
      </c>
      <c r="Q1245" s="116">
        <v>0</v>
      </c>
      <c r="R1245" s="116">
        <v>0</v>
      </c>
      <c r="S1245" s="114">
        <v>0</v>
      </c>
      <c r="T1245" s="116">
        <v>0</v>
      </c>
      <c r="U1245" s="116">
        <v>0</v>
      </c>
      <c r="V1245" s="121">
        <f t="shared" si="60"/>
        <v>0</v>
      </c>
      <c r="W1245" s="111"/>
      <c r="X1245" s="111"/>
      <c r="Y1245" s="111"/>
      <c r="Z1245" s="111"/>
      <c r="AA1245" s="111"/>
      <c r="AB1245" s="111"/>
      <c r="AC1245" s="111"/>
      <c r="AD1245" s="111"/>
      <c r="AE1245" s="139">
        <f t="shared" si="59"/>
        <v>0</v>
      </c>
      <c r="AF1245" s="109"/>
      <c r="AG1245" s="109"/>
    </row>
    <row r="1246" spans="1:33">
      <c r="A1246" s="117"/>
      <c r="B1246" s="118"/>
      <c r="C1246" s="118"/>
      <c r="D1246" s="118"/>
      <c r="E1246" s="119"/>
      <c r="F1246" s="118"/>
      <c r="G1246" s="110"/>
      <c r="H1246" s="126"/>
      <c r="I1246" s="114">
        <v>0</v>
      </c>
      <c r="J1246" s="115">
        <v>0</v>
      </c>
      <c r="K1246" s="116">
        <v>0</v>
      </c>
      <c r="L1246" s="116">
        <v>0</v>
      </c>
      <c r="M1246" s="114">
        <v>0</v>
      </c>
      <c r="N1246" s="113">
        <v>0</v>
      </c>
      <c r="O1246" s="113">
        <v>0</v>
      </c>
      <c r="P1246" s="116">
        <v>0</v>
      </c>
      <c r="Q1246" s="116">
        <v>0</v>
      </c>
      <c r="R1246" s="116">
        <v>0</v>
      </c>
      <c r="S1246" s="114">
        <v>0</v>
      </c>
      <c r="T1246" s="116">
        <v>0</v>
      </c>
      <c r="U1246" s="116">
        <v>0</v>
      </c>
      <c r="V1246" s="121">
        <f t="shared" si="60"/>
        <v>0</v>
      </c>
      <c r="W1246" s="111"/>
      <c r="X1246" s="111"/>
      <c r="Y1246" s="111"/>
      <c r="Z1246" s="111"/>
      <c r="AA1246" s="111"/>
      <c r="AB1246" s="111"/>
      <c r="AC1246" s="111"/>
      <c r="AD1246" s="111"/>
      <c r="AE1246" s="139">
        <f t="shared" si="59"/>
        <v>0</v>
      </c>
      <c r="AF1246" s="109"/>
      <c r="AG1246" s="109"/>
    </row>
    <row r="1247" spans="1:33">
      <c r="A1247" s="117"/>
      <c r="B1247" s="118"/>
      <c r="C1247" s="118"/>
      <c r="D1247" s="118"/>
      <c r="E1247" s="119"/>
      <c r="F1247" s="118"/>
      <c r="G1247" s="110"/>
      <c r="H1247" s="126"/>
      <c r="I1247" s="114">
        <v>0</v>
      </c>
      <c r="J1247" s="115">
        <v>0</v>
      </c>
      <c r="K1247" s="116">
        <v>0</v>
      </c>
      <c r="L1247" s="116">
        <v>0</v>
      </c>
      <c r="M1247" s="114">
        <v>0</v>
      </c>
      <c r="N1247" s="113">
        <v>0</v>
      </c>
      <c r="O1247" s="113">
        <v>0</v>
      </c>
      <c r="P1247" s="116">
        <v>0</v>
      </c>
      <c r="Q1247" s="116">
        <v>0</v>
      </c>
      <c r="R1247" s="116">
        <v>0</v>
      </c>
      <c r="S1247" s="114">
        <v>0</v>
      </c>
      <c r="T1247" s="116">
        <v>0</v>
      </c>
      <c r="U1247" s="116">
        <v>0</v>
      </c>
      <c r="V1247" s="121">
        <f t="shared" si="60"/>
        <v>0</v>
      </c>
      <c r="W1247" s="111"/>
      <c r="X1247" s="111"/>
      <c r="Y1247" s="111"/>
      <c r="Z1247" s="111"/>
      <c r="AA1247" s="111"/>
      <c r="AB1247" s="111"/>
      <c r="AC1247" s="111"/>
      <c r="AD1247" s="111"/>
      <c r="AE1247" s="139">
        <f t="shared" si="59"/>
        <v>0</v>
      </c>
      <c r="AF1247" s="109"/>
      <c r="AG1247" s="109"/>
    </row>
    <row r="1248" spans="1:33">
      <c r="A1248" s="117"/>
      <c r="B1248" s="118"/>
      <c r="C1248" s="118"/>
      <c r="D1248" s="118"/>
      <c r="E1248" s="119"/>
      <c r="F1248" s="118"/>
      <c r="G1248" s="110"/>
      <c r="H1248" s="126"/>
      <c r="I1248" s="114">
        <v>0</v>
      </c>
      <c r="J1248" s="115">
        <v>0</v>
      </c>
      <c r="K1248" s="116">
        <v>0</v>
      </c>
      <c r="L1248" s="116">
        <v>0</v>
      </c>
      <c r="M1248" s="114">
        <v>0</v>
      </c>
      <c r="N1248" s="113">
        <v>0</v>
      </c>
      <c r="O1248" s="113">
        <v>0</v>
      </c>
      <c r="P1248" s="116">
        <v>0</v>
      </c>
      <c r="Q1248" s="116">
        <v>0</v>
      </c>
      <c r="R1248" s="116">
        <v>0</v>
      </c>
      <c r="S1248" s="114">
        <v>0</v>
      </c>
      <c r="T1248" s="116">
        <v>0</v>
      </c>
      <c r="U1248" s="116">
        <v>0</v>
      </c>
      <c r="V1248" s="121">
        <f t="shared" si="60"/>
        <v>0</v>
      </c>
      <c r="W1248" s="111"/>
      <c r="X1248" s="111"/>
      <c r="Y1248" s="111"/>
      <c r="Z1248" s="111"/>
      <c r="AA1248" s="111"/>
      <c r="AB1248" s="111"/>
      <c r="AC1248" s="111"/>
      <c r="AD1248" s="111"/>
      <c r="AE1248" s="139">
        <f t="shared" si="59"/>
        <v>0</v>
      </c>
      <c r="AF1248" s="109"/>
      <c r="AG1248" s="109"/>
    </row>
    <row r="1249" spans="1:33">
      <c r="A1249" s="117"/>
      <c r="B1249" s="118"/>
      <c r="C1249" s="118"/>
      <c r="D1249" s="118"/>
      <c r="E1249" s="119"/>
      <c r="F1249" s="118"/>
      <c r="G1249" s="110"/>
      <c r="H1249" s="126"/>
      <c r="I1249" s="114">
        <v>0</v>
      </c>
      <c r="J1249" s="115">
        <v>0</v>
      </c>
      <c r="K1249" s="116">
        <v>0</v>
      </c>
      <c r="L1249" s="116">
        <v>0</v>
      </c>
      <c r="M1249" s="114">
        <v>0</v>
      </c>
      <c r="N1249" s="113">
        <v>0</v>
      </c>
      <c r="O1249" s="113">
        <v>0</v>
      </c>
      <c r="P1249" s="116">
        <v>0</v>
      </c>
      <c r="Q1249" s="116">
        <v>0</v>
      </c>
      <c r="R1249" s="116">
        <v>0</v>
      </c>
      <c r="S1249" s="114">
        <v>0</v>
      </c>
      <c r="T1249" s="116">
        <v>0</v>
      </c>
      <c r="U1249" s="116">
        <v>0</v>
      </c>
      <c r="V1249" s="121">
        <f t="shared" si="60"/>
        <v>0</v>
      </c>
      <c r="W1249" s="111"/>
      <c r="X1249" s="111"/>
      <c r="Y1249" s="111"/>
      <c r="Z1249" s="111"/>
      <c r="AA1249" s="111"/>
      <c r="AB1249" s="111"/>
      <c r="AC1249" s="111"/>
      <c r="AD1249" s="111"/>
      <c r="AE1249" s="139">
        <f t="shared" si="59"/>
        <v>0</v>
      </c>
      <c r="AF1249" s="109"/>
      <c r="AG1249" s="109"/>
    </row>
    <row r="1250" spans="1:33">
      <c r="A1250" s="117"/>
      <c r="B1250" s="118"/>
      <c r="C1250" s="118"/>
      <c r="D1250" s="118"/>
      <c r="E1250" s="119"/>
      <c r="F1250" s="118"/>
      <c r="G1250" s="110"/>
      <c r="H1250" s="126"/>
      <c r="I1250" s="114">
        <v>0</v>
      </c>
      <c r="J1250" s="115">
        <v>0</v>
      </c>
      <c r="K1250" s="116">
        <v>0</v>
      </c>
      <c r="L1250" s="116">
        <v>0</v>
      </c>
      <c r="M1250" s="114">
        <v>0</v>
      </c>
      <c r="N1250" s="113">
        <v>0</v>
      </c>
      <c r="O1250" s="113">
        <v>0</v>
      </c>
      <c r="P1250" s="116">
        <v>0</v>
      </c>
      <c r="Q1250" s="116">
        <v>0</v>
      </c>
      <c r="R1250" s="116">
        <v>0</v>
      </c>
      <c r="S1250" s="114">
        <v>0</v>
      </c>
      <c r="T1250" s="116">
        <v>0</v>
      </c>
      <c r="U1250" s="116">
        <v>0</v>
      </c>
      <c r="V1250" s="121">
        <f t="shared" si="60"/>
        <v>0</v>
      </c>
      <c r="W1250" s="111"/>
      <c r="X1250" s="111"/>
      <c r="Y1250" s="111"/>
      <c r="Z1250" s="111"/>
      <c r="AA1250" s="111"/>
      <c r="AB1250" s="111"/>
      <c r="AC1250" s="111"/>
      <c r="AD1250" s="111"/>
      <c r="AE1250" s="139">
        <f t="shared" si="59"/>
        <v>0</v>
      </c>
      <c r="AF1250" s="109"/>
      <c r="AG1250" s="109"/>
    </row>
    <row r="1251" spans="1:33">
      <c r="A1251" s="117"/>
      <c r="B1251" s="118"/>
      <c r="C1251" s="118"/>
      <c r="D1251" s="118"/>
      <c r="E1251" s="119"/>
      <c r="F1251" s="118"/>
      <c r="G1251" s="110"/>
      <c r="H1251" s="126"/>
      <c r="I1251" s="114">
        <v>0</v>
      </c>
      <c r="J1251" s="115">
        <v>0</v>
      </c>
      <c r="K1251" s="116">
        <v>0</v>
      </c>
      <c r="L1251" s="116">
        <v>0</v>
      </c>
      <c r="M1251" s="114">
        <v>0</v>
      </c>
      <c r="N1251" s="113">
        <v>0</v>
      </c>
      <c r="O1251" s="113">
        <v>0</v>
      </c>
      <c r="P1251" s="116">
        <v>0</v>
      </c>
      <c r="Q1251" s="116">
        <v>0</v>
      </c>
      <c r="R1251" s="116">
        <v>0</v>
      </c>
      <c r="S1251" s="114">
        <v>0</v>
      </c>
      <c r="T1251" s="116">
        <v>0</v>
      </c>
      <c r="U1251" s="116">
        <v>0</v>
      </c>
      <c r="V1251" s="121">
        <f t="shared" si="60"/>
        <v>0</v>
      </c>
      <c r="W1251" s="111"/>
      <c r="X1251" s="111"/>
      <c r="Y1251" s="111"/>
      <c r="Z1251" s="111"/>
      <c r="AA1251" s="111"/>
      <c r="AB1251" s="111"/>
      <c r="AC1251" s="111"/>
      <c r="AD1251" s="111"/>
      <c r="AE1251" s="139">
        <f t="shared" si="59"/>
        <v>0</v>
      </c>
      <c r="AF1251" s="109"/>
      <c r="AG1251" s="109"/>
    </row>
    <row r="1252" spans="1:33">
      <c r="A1252" s="117"/>
      <c r="B1252" s="118"/>
      <c r="C1252" s="118"/>
      <c r="D1252" s="118"/>
      <c r="E1252" s="119"/>
      <c r="F1252" s="118"/>
      <c r="G1252" s="110"/>
      <c r="H1252" s="126"/>
      <c r="I1252" s="114">
        <v>0</v>
      </c>
      <c r="J1252" s="115">
        <v>0</v>
      </c>
      <c r="K1252" s="116">
        <v>0</v>
      </c>
      <c r="L1252" s="116">
        <v>0</v>
      </c>
      <c r="M1252" s="114">
        <v>0</v>
      </c>
      <c r="N1252" s="113">
        <v>0</v>
      </c>
      <c r="O1252" s="113">
        <v>0</v>
      </c>
      <c r="P1252" s="116">
        <v>0</v>
      </c>
      <c r="Q1252" s="116">
        <v>0</v>
      </c>
      <c r="R1252" s="116">
        <v>0</v>
      </c>
      <c r="S1252" s="114">
        <v>0</v>
      </c>
      <c r="T1252" s="116">
        <v>0</v>
      </c>
      <c r="U1252" s="116">
        <v>0</v>
      </c>
      <c r="V1252" s="121">
        <f t="shared" si="60"/>
        <v>0</v>
      </c>
      <c r="W1252" s="111"/>
      <c r="X1252" s="111"/>
      <c r="Y1252" s="111"/>
      <c r="Z1252" s="111"/>
      <c r="AA1252" s="111"/>
      <c r="AB1252" s="111"/>
      <c r="AC1252" s="111"/>
      <c r="AD1252" s="111"/>
      <c r="AE1252" s="139">
        <f t="shared" si="59"/>
        <v>0</v>
      </c>
      <c r="AF1252" s="109"/>
      <c r="AG1252" s="109"/>
    </row>
    <row r="1253" spans="1:33">
      <c r="A1253" s="117"/>
      <c r="B1253" s="118"/>
      <c r="C1253" s="118"/>
      <c r="D1253" s="118"/>
      <c r="E1253" s="119"/>
      <c r="F1253" s="118"/>
      <c r="G1253" s="110"/>
      <c r="H1253" s="126"/>
      <c r="I1253" s="114">
        <v>0</v>
      </c>
      <c r="J1253" s="115">
        <v>0</v>
      </c>
      <c r="K1253" s="116">
        <v>0</v>
      </c>
      <c r="L1253" s="116">
        <v>0</v>
      </c>
      <c r="M1253" s="114">
        <v>0</v>
      </c>
      <c r="N1253" s="113">
        <v>0</v>
      </c>
      <c r="O1253" s="113">
        <v>0</v>
      </c>
      <c r="P1253" s="116">
        <v>0</v>
      </c>
      <c r="Q1253" s="116">
        <v>0</v>
      </c>
      <c r="R1253" s="116">
        <v>0</v>
      </c>
      <c r="S1253" s="114">
        <v>0</v>
      </c>
      <c r="T1253" s="116">
        <v>0</v>
      </c>
      <c r="U1253" s="116">
        <v>0</v>
      </c>
      <c r="V1253" s="121">
        <f t="shared" si="60"/>
        <v>0</v>
      </c>
      <c r="W1253" s="111"/>
      <c r="X1253" s="111"/>
      <c r="Y1253" s="111"/>
      <c r="Z1253" s="111"/>
      <c r="AA1253" s="111"/>
      <c r="AB1253" s="111"/>
      <c r="AC1253" s="111"/>
      <c r="AD1253" s="111"/>
      <c r="AE1253" s="139">
        <f t="shared" si="59"/>
        <v>0</v>
      </c>
      <c r="AF1253" s="109"/>
      <c r="AG1253" s="109"/>
    </row>
    <row r="1254" spans="1:33">
      <c r="A1254" s="117"/>
      <c r="B1254" s="118"/>
      <c r="C1254" s="118"/>
      <c r="D1254" s="118"/>
      <c r="E1254" s="119"/>
      <c r="F1254" s="118"/>
      <c r="G1254" s="110"/>
      <c r="H1254" s="126"/>
      <c r="I1254" s="114">
        <v>0</v>
      </c>
      <c r="J1254" s="115">
        <v>0</v>
      </c>
      <c r="K1254" s="116">
        <v>0</v>
      </c>
      <c r="L1254" s="116">
        <v>0</v>
      </c>
      <c r="M1254" s="114">
        <v>0</v>
      </c>
      <c r="N1254" s="113">
        <v>0</v>
      </c>
      <c r="O1254" s="113">
        <v>0</v>
      </c>
      <c r="P1254" s="116">
        <v>0</v>
      </c>
      <c r="Q1254" s="116">
        <v>0</v>
      </c>
      <c r="R1254" s="116">
        <v>0</v>
      </c>
      <c r="S1254" s="114">
        <v>0</v>
      </c>
      <c r="T1254" s="116">
        <v>0</v>
      </c>
      <c r="U1254" s="116">
        <v>0</v>
      </c>
      <c r="V1254" s="121">
        <f t="shared" si="60"/>
        <v>0</v>
      </c>
      <c r="W1254" s="111"/>
      <c r="X1254" s="111"/>
      <c r="Y1254" s="111"/>
      <c r="Z1254" s="111"/>
      <c r="AA1254" s="111"/>
      <c r="AB1254" s="111"/>
      <c r="AC1254" s="111"/>
      <c r="AD1254" s="111"/>
      <c r="AE1254" s="139">
        <f t="shared" si="59"/>
        <v>0</v>
      </c>
      <c r="AF1254" s="109"/>
      <c r="AG1254" s="109"/>
    </row>
    <row r="1255" spans="1:33">
      <c r="A1255" s="117"/>
      <c r="B1255" s="118"/>
      <c r="C1255" s="118"/>
      <c r="D1255" s="118"/>
      <c r="E1255" s="119"/>
      <c r="F1255" s="118"/>
      <c r="G1255" s="110"/>
      <c r="H1255" s="126"/>
      <c r="I1255" s="114">
        <v>0</v>
      </c>
      <c r="J1255" s="115">
        <v>0</v>
      </c>
      <c r="K1255" s="116">
        <v>0</v>
      </c>
      <c r="L1255" s="116">
        <v>0</v>
      </c>
      <c r="M1255" s="114">
        <v>0</v>
      </c>
      <c r="N1255" s="113">
        <v>0</v>
      </c>
      <c r="O1255" s="113">
        <v>0</v>
      </c>
      <c r="P1255" s="116">
        <v>0</v>
      </c>
      <c r="Q1255" s="116">
        <v>0</v>
      </c>
      <c r="R1255" s="116">
        <v>0</v>
      </c>
      <c r="S1255" s="114">
        <v>0</v>
      </c>
      <c r="T1255" s="116">
        <v>0</v>
      </c>
      <c r="U1255" s="116">
        <v>0</v>
      </c>
      <c r="V1255" s="121">
        <f t="shared" si="60"/>
        <v>0</v>
      </c>
      <c r="W1255" s="111"/>
      <c r="X1255" s="111"/>
      <c r="Y1255" s="111"/>
      <c r="Z1255" s="111"/>
      <c r="AA1255" s="111"/>
      <c r="AB1255" s="111"/>
      <c r="AC1255" s="111"/>
      <c r="AD1255" s="111"/>
      <c r="AE1255" s="139">
        <f t="shared" si="59"/>
        <v>0</v>
      </c>
      <c r="AF1255" s="109"/>
      <c r="AG1255" s="109"/>
    </row>
    <row r="1256" spans="1:33">
      <c r="A1256" s="117"/>
      <c r="B1256" s="118"/>
      <c r="C1256" s="118"/>
      <c r="D1256" s="118"/>
      <c r="E1256" s="119"/>
      <c r="F1256" s="118"/>
      <c r="G1256" s="110"/>
      <c r="H1256" s="126"/>
      <c r="I1256" s="114">
        <v>0</v>
      </c>
      <c r="J1256" s="115">
        <v>0</v>
      </c>
      <c r="K1256" s="116">
        <v>0</v>
      </c>
      <c r="L1256" s="116">
        <v>0</v>
      </c>
      <c r="M1256" s="114">
        <v>0</v>
      </c>
      <c r="N1256" s="113">
        <v>0</v>
      </c>
      <c r="O1256" s="113">
        <v>0</v>
      </c>
      <c r="P1256" s="116">
        <v>0</v>
      </c>
      <c r="Q1256" s="116">
        <v>0</v>
      </c>
      <c r="R1256" s="116">
        <v>0</v>
      </c>
      <c r="S1256" s="114">
        <v>0</v>
      </c>
      <c r="T1256" s="116">
        <v>0</v>
      </c>
      <c r="U1256" s="116">
        <v>0</v>
      </c>
      <c r="V1256" s="121">
        <f t="shared" si="60"/>
        <v>0</v>
      </c>
      <c r="W1256" s="111"/>
      <c r="X1256" s="111"/>
      <c r="Y1256" s="111"/>
      <c r="Z1256" s="111"/>
      <c r="AA1256" s="111"/>
      <c r="AB1256" s="111"/>
      <c r="AC1256" s="111"/>
      <c r="AD1256" s="111"/>
      <c r="AE1256" s="139">
        <f t="shared" si="59"/>
        <v>0</v>
      </c>
      <c r="AF1256" s="109"/>
      <c r="AG1256" s="109"/>
    </row>
    <row r="1257" spans="1:33">
      <c r="A1257" s="117"/>
      <c r="B1257" s="118"/>
      <c r="C1257" s="118"/>
      <c r="D1257" s="118"/>
      <c r="E1257" s="119"/>
      <c r="F1257" s="118"/>
      <c r="G1257" s="110"/>
      <c r="H1257" s="126"/>
      <c r="I1257" s="114">
        <v>0</v>
      </c>
      <c r="J1257" s="115">
        <v>0</v>
      </c>
      <c r="K1257" s="116">
        <v>0</v>
      </c>
      <c r="L1257" s="116">
        <v>0</v>
      </c>
      <c r="M1257" s="114">
        <v>0</v>
      </c>
      <c r="N1257" s="113">
        <v>0</v>
      </c>
      <c r="O1257" s="113">
        <v>0</v>
      </c>
      <c r="P1257" s="116">
        <v>0</v>
      </c>
      <c r="Q1257" s="116">
        <v>0</v>
      </c>
      <c r="R1257" s="116">
        <v>0</v>
      </c>
      <c r="S1257" s="114">
        <v>0</v>
      </c>
      <c r="T1257" s="116">
        <v>0</v>
      </c>
      <c r="U1257" s="116">
        <v>0</v>
      </c>
      <c r="V1257" s="121">
        <f t="shared" si="60"/>
        <v>0</v>
      </c>
      <c r="W1257" s="111"/>
      <c r="X1257" s="111"/>
      <c r="Y1257" s="111"/>
      <c r="Z1257" s="111"/>
      <c r="AA1257" s="111"/>
      <c r="AB1257" s="111"/>
      <c r="AC1257" s="111"/>
      <c r="AD1257" s="111"/>
      <c r="AE1257" s="139">
        <f t="shared" ref="AE1257:AE1275" si="61">V1257-(X1257+Y1257)</f>
        <v>0</v>
      </c>
      <c r="AF1257" s="109"/>
      <c r="AG1257" s="109"/>
    </row>
    <row r="1258" spans="1:33">
      <c r="A1258" s="117"/>
      <c r="B1258" s="118"/>
      <c r="C1258" s="118"/>
      <c r="D1258" s="118"/>
      <c r="E1258" s="119"/>
      <c r="F1258" s="118"/>
      <c r="G1258" s="110"/>
      <c r="H1258" s="126"/>
      <c r="I1258" s="114">
        <v>0</v>
      </c>
      <c r="J1258" s="115">
        <v>0</v>
      </c>
      <c r="K1258" s="116">
        <v>0</v>
      </c>
      <c r="L1258" s="116">
        <v>0</v>
      </c>
      <c r="M1258" s="114">
        <v>0</v>
      </c>
      <c r="N1258" s="113">
        <v>0</v>
      </c>
      <c r="O1258" s="113">
        <v>0</v>
      </c>
      <c r="P1258" s="116">
        <v>0</v>
      </c>
      <c r="Q1258" s="116">
        <v>0</v>
      </c>
      <c r="R1258" s="116">
        <v>0</v>
      </c>
      <c r="S1258" s="114">
        <v>0</v>
      </c>
      <c r="T1258" s="116">
        <v>0</v>
      </c>
      <c r="U1258" s="116">
        <v>0</v>
      </c>
      <c r="V1258" s="121">
        <f t="shared" si="60"/>
        <v>0</v>
      </c>
      <c r="W1258" s="111"/>
      <c r="X1258" s="111"/>
      <c r="Y1258" s="111"/>
      <c r="Z1258" s="111"/>
      <c r="AA1258" s="111"/>
      <c r="AB1258" s="111"/>
      <c r="AC1258" s="111"/>
      <c r="AD1258" s="111"/>
      <c r="AE1258" s="139">
        <f t="shared" si="61"/>
        <v>0</v>
      </c>
      <c r="AF1258" s="109"/>
      <c r="AG1258" s="109"/>
    </row>
    <row r="1259" spans="1:33">
      <c r="A1259" s="117"/>
      <c r="B1259" s="118"/>
      <c r="C1259" s="118"/>
      <c r="D1259" s="118"/>
      <c r="E1259" s="119"/>
      <c r="F1259" s="118"/>
      <c r="G1259" s="110"/>
      <c r="H1259" s="126"/>
      <c r="I1259" s="114">
        <v>0</v>
      </c>
      <c r="J1259" s="115">
        <v>0</v>
      </c>
      <c r="K1259" s="116">
        <v>0</v>
      </c>
      <c r="L1259" s="116">
        <v>0</v>
      </c>
      <c r="M1259" s="114">
        <v>0</v>
      </c>
      <c r="N1259" s="113">
        <v>0</v>
      </c>
      <c r="O1259" s="113">
        <v>0</v>
      </c>
      <c r="P1259" s="116">
        <v>0</v>
      </c>
      <c r="Q1259" s="116">
        <v>0</v>
      </c>
      <c r="R1259" s="116">
        <v>0</v>
      </c>
      <c r="S1259" s="114">
        <v>0</v>
      </c>
      <c r="T1259" s="116">
        <v>0</v>
      </c>
      <c r="U1259" s="116">
        <v>0</v>
      </c>
      <c r="V1259" s="121">
        <f t="shared" si="60"/>
        <v>0</v>
      </c>
      <c r="W1259" s="111"/>
      <c r="X1259" s="111"/>
      <c r="Y1259" s="111"/>
      <c r="Z1259" s="111"/>
      <c r="AA1259" s="111"/>
      <c r="AB1259" s="111"/>
      <c r="AC1259" s="111"/>
      <c r="AD1259" s="111"/>
      <c r="AE1259" s="139">
        <f t="shared" si="61"/>
        <v>0</v>
      </c>
      <c r="AF1259" s="109"/>
      <c r="AG1259" s="109"/>
    </row>
    <row r="1260" spans="1:33">
      <c r="A1260" s="117"/>
      <c r="B1260" s="118"/>
      <c r="C1260" s="118"/>
      <c r="D1260" s="118"/>
      <c r="E1260" s="119"/>
      <c r="F1260" s="118"/>
      <c r="G1260" s="110"/>
      <c r="H1260" s="126"/>
      <c r="I1260" s="114">
        <v>0</v>
      </c>
      <c r="J1260" s="115">
        <v>0</v>
      </c>
      <c r="K1260" s="116">
        <v>0</v>
      </c>
      <c r="L1260" s="116">
        <v>0</v>
      </c>
      <c r="M1260" s="114">
        <v>0</v>
      </c>
      <c r="N1260" s="113">
        <v>0</v>
      </c>
      <c r="O1260" s="113">
        <v>0</v>
      </c>
      <c r="P1260" s="116">
        <v>0</v>
      </c>
      <c r="Q1260" s="116">
        <v>0</v>
      </c>
      <c r="R1260" s="116">
        <v>0</v>
      </c>
      <c r="S1260" s="114">
        <v>0</v>
      </c>
      <c r="T1260" s="116">
        <v>0</v>
      </c>
      <c r="U1260" s="116">
        <v>0</v>
      </c>
      <c r="V1260" s="121">
        <f t="shared" si="60"/>
        <v>0</v>
      </c>
      <c r="W1260" s="111"/>
      <c r="X1260" s="111"/>
      <c r="Y1260" s="111"/>
      <c r="Z1260" s="111"/>
      <c r="AA1260" s="111"/>
      <c r="AB1260" s="111"/>
      <c r="AC1260" s="111"/>
      <c r="AD1260" s="111"/>
      <c r="AE1260" s="139">
        <f t="shared" si="61"/>
        <v>0</v>
      </c>
      <c r="AF1260" s="109"/>
      <c r="AG1260" s="109"/>
    </row>
    <row r="1261" spans="1:33">
      <c r="A1261" s="117"/>
      <c r="B1261" s="118"/>
      <c r="C1261" s="118"/>
      <c r="D1261" s="118"/>
      <c r="E1261" s="119"/>
      <c r="F1261" s="118"/>
      <c r="G1261" s="110"/>
      <c r="H1261" s="126"/>
      <c r="I1261" s="114">
        <v>0</v>
      </c>
      <c r="J1261" s="115">
        <v>0</v>
      </c>
      <c r="K1261" s="116">
        <v>0</v>
      </c>
      <c r="L1261" s="116">
        <v>0</v>
      </c>
      <c r="M1261" s="114">
        <v>0</v>
      </c>
      <c r="N1261" s="113">
        <v>0</v>
      </c>
      <c r="O1261" s="113">
        <v>0</v>
      </c>
      <c r="P1261" s="116">
        <v>0</v>
      </c>
      <c r="Q1261" s="116">
        <v>0</v>
      </c>
      <c r="R1261" s="116">
        <v>0</v>
      </c>
      <c r="S1261" s="114">
        <v>0</v>
      </c>
      <c r="T1261" s="116">
        <v>0</v>
      </c>
      <c r="U1261" s="116">
        <v>0</v>
      </c>
      <c r="V1261" s="121">
        <f t="shared" si="60"/>
        <v>0</v>
      </c>
      <c r="W1261" s="111"/>
      <c r="X1261" s="111"/>
      <c r="Y1261" s="111"/>
      <c r="Z1261" s="111"/>
      <c r="AA1261" s="111"/>
      <c r="AB1261" s="111"/>
      <c r="AC1261" s="111"/>
      <c r="AD1261" s="111"/>
      <c r="AE1261" s="139">
        <f t="shared" si="61"/>
        <v>0</v>
      </c>
      <c r="AF1261" s="109"/>
      <c r="AG1261" s="109"/>
    </row>
    <row r="1262" spans="1:33">
      <c r="A1262" s="117"/>
      <c r="B1262" s="118"/>
      <c r="C1262" s="118"/>
      <c r="D1262" s="118"/>
      <c r="E1262" s="119"/>
      <c r="F1262" s="118"/>
      <c r="G1262" s="110"/>
      <c r="H1262" s="126"/>
      <c r="I1262" s="114">
        <v>0</v>
      </c>
      <c r="J1262" s="115">
        <v>0</v>
      </c>
      <c r="K1262" s="116">
        <v>0</v>
      </c>
      <c r="L1262" s="116">
        <v>0</v>
      </c>
      <c r="M1262" s="114">
        <v>0</v>
      </c>
      <c r="N1262" s="113">
        <v>0</v>
      </c>
      <c r="O1262" s="113">
        <v>0</v>
      </c>
      <c r="P1262" s="116">
        <v>0</v>
      </c>
      <c r="Q1262" s="116">
        <v>0</v>
      </c>
      <c r="R1262" s="116">
        <v>0</v>
      </c>
      <c r="S1262" s="114">
        <v>0</v>
      </c>
      <c r="T1262" s="116">
        <v>0</v>
      </c>
      <c r="U1262" s="116">
        <v>0</v>
      </c>
      <c r="V1262" s="121">
        <f t="shared" si="60"/>
        <v>0</v>
      </c>
      <c r="W1262" s="111"/>
      <c r="X1262" s="111"/>
      <c r="Y1262" s="111"/>
      <c r="Z1262" s="111"/>
      <c r="AA1262" s="111"/>
      <c r="AB1262" s="111"/>
      <c r="AC1262" s="111"/>
      <c r="AD1262" s="111"/>
      <c r="AE1262" s="139">
        <f t="shared" si="61"/>
        <v>0</v>
      </c>
      <c r="AF1262" s="109"/>
      <c r="AG1262" s="109"/>
    </row>
    <row r="1263" spans="1:33">
      <c r="A1263" s="117"/>
      <c r="B1263" s="118"/>
      <c r="C1263" s="118"/>
      <c r="D1263" s="118"/>
      <c r="E1263" s="119"/>
      <c r="F1263" s="118"/>
      <c r="G1263" s="110"/>
      <c r="H1263" s="126"/>
      <c r="I1263" s="114">
        <v>0</v>
      </c>
      <c r="J1263" s="115">
        <v>0</v>
      </c>
      <c r="K1263" s="116">
        <v>0</v>
      </c>
      <c r="L1263" s="116">
        <v>0</v>
      </c>
      <c r="M1263" s="114">
        <v>0</v>
      </c>
      <c r="N1263" s="113">
        <v>0</v>
      </c>
      <c r="O1263" s="113">
        <v>0</v>
      </c>
      <c r="P1263" s="116">
        <v>0</v>
      </c>
      <c r="Q1263" s="116">
        <v>0</v>
      </c>
      <c r="R1263" s="116">
        <v>0</v>
      </c>
      <c r="S1263" s="114">
        <v>0</v>
      </c>
      <c r="T1263" s="116">
        <v>0</v>
      </c>
      <c r="U1263" s="116">
        <v>0</v>
      </c>
      <c r="V1263" s="121">
        <f t="shared" si="60"/>
        <v>0</v>
      </c>
      <c r="W1263" s="111"/>
      <c r="X1263" s="111"/>
      <c r="Y1263" s="111"/>
      <c r="Z1263" s="111"/>
      <c r="AA1263" s="111"/>
      <c r="AB1263" s="111"/>
      <c r="AC1263" s="111"/>
      <c r="AD1263" s="111"/>
      <c r="AE1263" s="139">
        <f t="shared" si="61"/>
        <v>0</v>
      </c>
      <c r="AF1263" s="109"/>
      <c r="AG1263" s="109"/>
    </row>
    <row r="1264" spans="1:33">
      <c r="A1264" s="117"/>
      <c r="B1264" s="118"/>
      <c r="C1264" s="118"/>
      <c r="D1264" s="118"/>
      <c r="E1264" s="119"/>
      <c r="F1264" s="118"/>
      <c r="G1264" s="110"/>
      <c r="H1264" s="126"/>
      <c r="I1264" s="114">
        <v>0</v>
      </c>
      <c r="J1264" s="115">
        <v>0</v>
      </c>
      <c r="K1264" s="116">
        <v>0</v>
      </c>
      <c r="L1264" s="116">
        <v>0</v>
      </c>
      <c r="M1264" s="114">
        <v>0</v>
      </c>
      <c r="N1264" s="113">
        <v>0</v>
      </c>
      <c r="O1264" s="113">
        <v>0</v>
      </c>
      <c r="P1264" s="116">
        <v>0</v>
      </c>
      <c r="Q1264" s="116">
        <v>0</v>
      </c>
      <c r="R1264" s="116">
        <v>0</v>
      </c>
      <c r="S1264" s="114">
        <v>0</v>
      </c>
      <c r="T1264" s="116">
        <v>0</v>
      </c>
      <c r="U1264" s="116">
        <v>0</v>
      </c>
      <c r="V1264" s="121">
        <f t="shared" si="60"/>
        <v>0</v>
      </c>
      <c r="W1264" s="111"/>
      <c r="X1264" s="111"/>
      <c r="Y1264" s="111"/>
      <c r="Z1264" s="111"/>
      <c r="AA1264" s="111"/>
      <c r="AB1264" s="111"/>
      <c r="AC1264" s="111"/>
      <c r="AD1264" s="111"/>
      <c r="AE1264" s="139">
        <f t="shared" si="61"/>
        <v>0</v>
      </c>
      <c r="AF1264" s="109"/>
      <c r="AG1264" s="109"/>
    </row>
    <row r="1265" spans="1:33">
      <c r="A1265" s="117"/>
      <c r="B1265" s="118"/>
      <c r="C1265" s="118"/>
      <c r="D1265" s="118"/>
      <c r="E1265" s="119"/>
      <c r="F1265" s="118"/>
      <c r="G1265" s="110"/>
      <c r="H1265" s="126"/>
      <c r="I1265" s="114">
        <v>0</v>
      </c>
      <c r="J1265" s="115">
        <v>0</v>
      </c>
      <c r="K1265" s="116">
        <v>0</v>
      </c>
      <c r="L1265" s="116">
        <v>0</v>
      </c>
      <c r="M1265" s="114">
        <v>0</v>
      </c>
      <c r="N1265" s="113">
        <v>0</v>
      </c>
      <c r="O1265" s="113">
        <v>0</v>
      </c>
      <c r="P1265" s="116">
        <v>0</v>
      </c>
      <c r="Q1265" s="116">
        <v>0</v>
      </c>
      <c r="R1265" s="116">
        <v>0</v>
      </c>
      <c r="S1265" s="114">
        <v>0</v>
      </c>
      <c r="T1265" s="116">
        <v>0</v>
      </c>
      <c r="U1265" s="116">
        <v>0</v>
      </c>
      <c r="V1265" s="121">
        <f t="shared" ref="V1265:V1275" si="62">+G1265-(SUM(I1265:N1265,P1265:S1265,U1265))</f>
        <v>0</v>
      </c>
      <c r="W1265" s="111"/>
      <c r="X1265" s="111"/>
      <c r="Y1265" s="111"/>
      <c r="Z1265" s="111"/>
      <c r="AA1265" s="111"/>
      <c r="AB1265" s="111"/>
      <c r="AC1265" s="111"/>
      <c r="AD1265" s="111"/>
      <c r="AE1265" s="139">
        <f t="shared" si="61"/>
        <v>0</v>
      </c>
      <c r="AF1265" s="109"/>
      <c r="AG1265" s="109"/>
    </row>
    <row r="1266" spans="1:33">
      <c r="A1266" s="117"/>
      <c r="B1266" s="118"/>
      <c r="C1266" s="118"/>
      <c r="D1266" s="118"/>
      <c r="E1266" s="119"/>
      <c r="F1266" s="118"/>
      <c r="G1266" s="110"/>
      <c r="H1266" s="126"/>
      <c r="I1266" s="114">
        <v>0</v>
      </c>
      <c r="J1266" s="115">
        <v>0</v>
      </c>
      <c r="K1266" s="116">
        <v>0</v>
      </c>
      <c r="L1266" s="116">
        <v>0</v>
      </c>
      <c r="M1266" s="114">
        <v>0</v>
      </c>
      <c r="N1266" s="113">
        <v>0</v>
      </c>
      <c r="O1266" s="113">
        <v>0</v>
      </c>
      <c r="P1266" s="116">
        <v>0</v>
      </c>
      <c r="Q1266" s="116">
        <v>0</v>
      </c>
      <c r="R1266" s="116">
        <v>0</v>
      </c>
      <c r="S1266" s="114">
        <v>0</v>
      </c>
      <c r="T1266" s="116">
        <v>0</v>
      </c>
      <c r="U1266" s="116">
        <v>0</v>
      </c>
      <c r="V1266" s="121">
        <f t="shared" si="62"/>
        <v>0</v>
      </c>
      <c r="W1266" s="111"/>
      <c r="X1266" s="111"/>
      <c r="Y1266" s="111"/>
      <c r="Z1266" s="111"/>
      <c r="AA1266" s="111"/>
      <c r="AB1266" s="111"/>
      <c r="AC1266" s="111"/>
      <c r="AD1266" s="111"/>
      <c r="AE1266" s="139">
        <f t="shared" si="61"/>
        <v>0</v>
      </c>
      <c r="AF1266" s="109"/>
      <c r="AG1266" s="109"/>
    </row>
    <row r="1267" spans="1:33">
      <c r="A1267" s="117"/>
      <c r="B1267" s="118"/>
      <c r="C1267" s="118"/>
      <c r="D1267" s="118"/>
      <c r="E1267" s="119"/>
      <c r="F1267" s="118"/>
      <c r="G1267" s="110"/>
      <c r="H1267" s="126"/>
      <c r="I1267" s="114">
        <v>0</v>
      </c>
      <c r="J1267" s="115">
        <v>0</v>
      </c>
      <c r="K1267" s="116">
        <v>0</v>
      </c>
      <c r="L1267" s="116">
        <v>0</v>
      </c>
      <c r="M1267" s="114">
        <v>0</v>
      </c>
      <c r="N1267" s="113">
        <v>0</v>
      </c>
      <c r="O1267" s="113">
        <v>0</v>
      </c>
      <c r="P1267" s="116">
        <v>0</v>
      </c>
      <c r="Q1267" s="116">
        <v>0</v>
      </c>
      <c r="R1267" s="116">
        <v>0</v>
      </c>
      <c r="S1267" s="114">
        <v>0</v>
      </c>
      <c r="T1267" s="116">
        <v>0</v>
      </c>
      <c r="U1267" s="116">
        <v>0</v>
      </c>
      <c r="V1267" s="121">
        <f t="shared" si="62"/>
        <v>0</v>
      </c>
      <c r="W1267" s="111"/>
      <c r="X1267" s="111"/>
      <c r="Y1267" s="111"/>
      <c r="Z1267" s="111"/>
      <c r="AA1267" s="111"/>
      <c r="AB1267" s="111"/>
      <c r="AC1267" s="111"/>
      <c r="AD1267" s="111"/>
      <c r="AE1267" s="139">
        <f t="shared" si="61"/>
        <v>0</v>
      </c>
      <c r="AF1267" s="109"/>
      <c r="AG1267" s="109"/>
    </row>
    <row r="1268" spans="1:33">
      <c r="A1268" s="117"/>
      <c r="B1268" s="118"/>
      <c r="C1268" s="118"/>
      <c r="D1268" s="118"/>
      <c r="E1268" s="119"/>
      <c r="F1268" s="118"/>
      <c r="G1268" s="110"/>
      <c r="H1268" s="126"/>
      <c r="I1268" s="114">
        <v>0</v>
      </c>
      <c r="J1268" s="115">
        <v>0</v>
      </c>
      <c r="K1268" s="116">
        <v>0</v>
      </c>
      <c r="L1268" s="116">
        <v>0</v>
      </c>
      <c r="M1268" s="114">
        <v>0</v>
      </c>
      <c r="N1268" s="113">
        <v>0</v>
      </c>
      <c r="O1268" s="113">
        <v>0</v>
      </c>
      <c r="P1268" s="116">
        <v>0</v>
      </c>
      <c r="Q1268" s="116">
        <v>0</v>
      </c>
      <c r="R1268" s="116">
        <v>0</v>
      </c>
      <c r="S1268" s="114">
        <v>0</v>
      </c>
      <c r="T1268" s="116">
        <v>0</v>
      </c>
      <c r="U1268" s="116">
        <v>0</v>
      </c>
      <c r="V1268" s="121">
        <f t="shared" si="62"/>
        <v>0</v>
      </c>
      <c r="W1268" s="111"/>
      <c r="X1268" s="111"/>
      <c r="Y1268" s="111"/>
      <c r="Z1268" s="111"/>
      <c r="AA1268" s="111"/>
      <c r="AB1268" s="111"/>
      <c r="AC1268" s="111"/>
      <c r="AD1268" s="111"/>
      <c r="AE1268" s="139">
        <f t="shared" si="61"/>
        <v>0</v>
      </c>
      <c r="AF1268" s="109"/>
      <c r="AG1268" s="109"/>
    </row>
    <row r="1269" spans="1:33">
      <c r="A1269" s="117"/>
      <c r="B1269" s="118"/>
      <c r="C1269" s="118"/>
      <c r="D1269" s="118"/>
      <c r="E1269" s="119"/>
      <c r="F1269" s="118"/>
      <c r="G1269" s="110"/>
      <c r="H1269" s="126"/>
      <c r="I1269" s="114">
        <v>0</v>
      </c>
      <c r="J1269" s="115">
        <v>0</v>
      </c>
      <c r="K1269" s="116">
        <v>0</v>
      </c>
      <c r="L1269" s="116">
        <v>0</v>
      </c>
      <c r="M1269" s="114">
        <v>0</v>
      </c>
      <c r="N1269" s="113">
        <v>0</v>
      </c>
      <c r="O1269" s="113">
        <v>0</v>
      </c>
      <c r="P1269" s="116">
        <v>0</v>
      </c>
      <c r="Q1269" s="116">
        <v>0</v>
      </c>
      <c r="R1269" s="116">
        <v>0</v>
      </c>
      <c r="S1269" s="114">
        <v>0</v>
      </c>
      <c r="T1269" s="116">
        <v>0</v>
      </c>
      <c r="U1269" s="116">
        <v>0</v>
      </c>
      <c r="V1269" s="121">
        <f t="shared" si="62"/>
        <v>0</v>
      </c>
      <c r="W1269" s="111"/>
      <c r="X1269" s="111"/>
      <c r="Y1269" s="111"/>
      <c r="Z1269" s="111"/>
      <c r="AA1269" s="111"/>
      <c r="AB1269" s="111"/>
      <c r="AC1269" s="111"/>
      <c r="AD1269" s="111"/>
      <c r="AE1269" s="139">
        <f t="shared" si="61"/>
        <v>0</v>
      </c>
      <c r="AF1269" s="109"/>
      <c r="AG1269" s="109"/>
    </row>
    <row r="1270" spans="1:33">
      <c r="A1270" s="117"/>
      <c r="B1270" s="118"/>
      <c r="C1270" s="118"/>
      <c r="D1270" s="118"/>
      <c r="E1270" s="119"/>
      <c r="F1270" s="118"/>
      <c r="G1270" s="110"/>
      <c r="H1270" s="126"/>
      <c r="I1270" s="114">
        <v>0</v>
      </c>
      <c r="J1270" s="115">
        <v>0</v>
      </c>
      <c r="K1270" s="116">
        <v>0</v>
      </c>
      <c r="L1270" s="116">
        <v>0</v>
      </c>
      <c r="M1270" s="114">
        <v>0</v>
      </c>
      <c r="N1270" s="113">
        <v>0</v>
      </c>
      <c r="O1270" s="113">
        <v>0</v>
      </c>
      <c r="P1270" s="116">
        <v>0</v>
      </c>
      <c r="Q1270" s="116">
        <v>0</v>
      </c>
      <c r="R1270" s="116">
        <v>0</v>
      </c>
      <c r="S1270" s="114">
        <v>0</v>
      </c>
      <c r="T1270" s="116">
        <v>0</v>
      </c>
      <c r="U1270" s="116">
        <v>0</v>
      </c>
      <c r="V1270" s="121">
        <f t="shared" si="62"/>
        <v>0</v>
      </c>
      <c r="W1270" s="111"/>
      <c r="X1270" s="111"/>
      <c r="Y1270" s="111"/>
      <c r="Z1270" s="111"/>
      <c r="AA1270" s="111"/>
      <c r="AB1270" s="111"/>
      <c r="AC1270" s="111"/>
      <c r="AD1270" s="111"/>
      <c r="AE1270" s="139">
        <f t="shared" si="61"/>
        <v>0</v>
      </c>
      <c r="AF1270" s="109"/>
      <c r="AG1270" s="109"/>
    </row>
    <row r="1271" spans="1:33">
      <c r="A1271" s="117"/>
      <c r="B1271" s="118"/>
      <c r="C1271" s="118"/>
      <c r="D1271" s="118"/>
      <c r="E1271" s="119"/>
      <c r="F1271" s="118"/>
      <c r="G1271" s="110"/>
      <c r="H1271" s="126"/>
      <c r="I1271" s="114">
        <v>0</v>
      </c>
      <c r="J1271" s="115">
        <v>0</v>
      </c>
      <c r="K1271" s="116">
        <v>0</v>
      </c>
      <c r="L1271" s="116">
        <v>0</v>
      </c>
      <c r="M1271" s="114">
        <v>0</v>
      </c>
      <c r="N1271" s="113">
        <v>0</v>
      </c>
      <c r="O1271" s="113">
        <v>0</v>
      </c>
      <c r="P1271" s="116">
        <v>0</v>
      </c>
      <c r="Q1271" s="116">
        <v>0</v>
      </c>
      <c r="R1271" s="116">
        <v>0</v>
      </c>
      <c r="S1271" s="114">
        <v>0</v>
      </c>
      <c r="T1271" s="116">
        <v>0</v>
      </c>
      <c r="U1271" s="116">
        <v>0</v>
      </c>
      <c r="V1271" s="121">
        <f t="shared" si="62"/>
        <v>0</v>
      </c>
      <c r="W1271" s="111"/>
      <c r="X1271" s="111"/>
      <c r="Y1271" s="111"/>
      <c r="Z1271" s="111"/>
      <c r="AA1271" s="111"/>
      <c r="AB1271" s="111"/>
      <c r="AC1271" s="111"/>
      <c r="AD1271" s="111"/>
      <c r="AE1271" s="139">
        <f t="shared" si="61"/>
        <v>0</v>
      </c>
      <c r="AF1271" s="109"/>
      <c r="AG1271" s="109"/>
    </row>
    <row r="1272" spans="1:33">
      <c r="A1272" s="117"/>
      <c r="B1272" s="118"/>
      <c r="C1272" s="118"/>
      <c r="D1272" s="118"/>
      <c r="E1272" s="119"/>
      <c r="F1272" s="118"/>
      <c r="G1272" s="110"/>
      <c r="H1272" s="126"/>
      <c r="I1272" s="114">
        <v>0</v>
      </c>
      <c r="J1272" s="115">
        <v>0</v>
      </c>
      <c r="K1272" s="116">
        <v>0</v>
      </c>
      <c r="L1272" s="116">
        <v>0</v>
      </c>
      <c r="M1272" s="114">
        <v>0</v>
      </c>
      <c r="N1272" s="113">
        <v>0</v>
      </c>
      <c r="O1272" s="113">
        <v>0</v>
      </c>
      <c r="P1272" s="116">
        <v>0</v>
      </c>
      <c r="Q1272" s="116">
        <v>0</v>
      </c>
      <c r="R1272" s="116">
        <v>0</v>
      </c>
      <c r="S1272" s="114">
        <v>0</v>
      </c>
      <c r="T1272" s="116">
        <v>0</v>
      </c>
      <c r="U1272" s="116">
        <v>0</v>
      </c>
      <c r="V1272" s="121">
        <f t="shared" si="62"/>
        <v>0</v>
      </c>
      <c r="W1272" s="111"/>
      <c r="X1272" s="111"/>
      <c r="Y1272" s="111"/>
      <c r="Z1272" s="111"/>
      <c r="AA1272" s="111"/>
      <c r="AB1272" s="111"/>
      <c r="AC1272" s="111"/>
      <c r="AD1272" s="111"/>
      <c r="AE1272" s="139">
        <f t="shared" si="61"/>
        <v>0</v>
      </c>
      <c r="AF1272" s="109"/>
      <c r="AG1272" s="109"/>
    </row>
    <row r="1273" spans="1:33">
      <c r="A1273" s="117"/>
      <c r="B1273" s="118"/>
      <c r="C1273" s="118"/>
      <c r="D1273" s="118"/>
      <c r="E1273" s="119"/>
      <c r="F1273" s="118"/>
      <c r="G1273" s="110"/>
      <c r="H1273" s="126"/>
      <c r="I1273" s="114">
        <v>0</v>
      </c>
      <c r="J1273" s="115">
        <v>0</v>
      </c>
      <c r="K1273" s="116">
        <v>0</v>
      </c>
      <c r="L1273" s="116">
        <v>0</v>
      </c>
      <c r="M1273" s="114">
        <v>0</v>
      </c>
      <c r="N1273" s="113">
        <v>0</v>
      </c>
      <c r="O1273" s="113">
        <v>0</v>
      </c>
      <c r="P1273" s="116">
        <v>0</v>
      </c>
      <c r="Q1273" s="116">
        <v>0</v>
      </c>
      <c r="R1273" s="116">
        <v>0</v>
      </c>
      <c r="S1273" s="114">
        <v>0</v>
      </c>
      <c r="T1273" s="116">
        <v>0</v>
      </c>
      <c r="U1273" s="116">
        <v>0</v>
      </c>
      <c r="V1273" s="121">
        <f t="shared" si="62"/>
        <v>0</v>
      </c>
      <c r="W1273" s="111"/>
      <c r="X1273" s="111"/>
      <c r="Y1273" s="111"/>
      <c r="Z1273" s="111"/>
      <c r="AA1273" s="111"/>
      <c r="AB1273" s="111"/>
      <c r="AC1273" s="111"/>
      <c r="AD1273" s="111"/>
      <c r="AE1273" s="139">
        <f t="shared" si="61"/>
        <v>0</v>
      </c>
      <c r="AF1273" s="109"/>
      <c r="AG1273" s="109"/>
    </row>
    <row r="1274" spans="1:33">
      <c r="A1274" s="117"/>
      <c r="B1274" s="118"/>
      <c r="C1274" s="118"/>
      <c r="D1274" s="118"/>
      <c r="E1274" s="119"/>
      <c r="F1274" s="118"/>
      <c r="G1274" s="110"/>
      <c r="H1274" s="126"/>
      <c r="I1274" s="114">
        <v>0</v>
      </c>
      <c r="J1274" s="115">
        <v>0</v>
      </c>
      <c r="K1274" s="116">
        <v>0</v>
      </c>
      <c r="L1274" s="116">
        <v>0</v>
      </c>
      <c r="M1274" s="114">
        <v>0</v>
      </c>
      <c r="N1274" s="113">
        <v>0</v>
      </c>
      <c r="O1274" s="113">
        <v>0</v>
      </c>
      <c r="P1274" s="116">
        <v>0</v>
      </c>
      <c r="Q1274" s="116">
        <v>0</v>
      </c>
      <c r="R1274" s="116">
        <v>0</v>
      </c>
      <c r="S1274" s="114">
        <v>0</v>
      </c>
      <c r="T1274" s="116">
        <v>0</v>
      </c>
      <c r="U1274" s="116">
        <v>0</v>
      </c>
      <c r="V1274" s="121">
        <f t="shared" si="62"/>
        <v>0</v>
      </c>
      <c r="W1274" s="111"/>
      <c r="X1274" s="111"/>
      <c r="Y1274" s="111"/>
      <c r="Z1274" s="111"/>
      <c r="AA1274" s="111"/>
      <c r="AB1274" s="111"/>
      <c r="AC1274" s="111"/>
      <c r="AD1274" s="111"/>
      <c r="AE1274" s="139">
        <f t="shared" si="61"/>
        <v>0</v>
      </c>
      <c r="AF1274" s="109"/>
      <c r="AG1274" s="109"/>
    </row>
    <row r="1275" spans="1:33">
      <c r="A1275" s="117"/>
      <c r="B1275" s="118"/>
      <c r="C1275" s="118"/>
      <c r="D1275" s="118"/>
      <c r="E1275" s="119"/>
      <c r="F1275" s="118"/>
      <c r="G1275" s="110"/>
      <c r="H1275" s="126"/>
      <c r="I1275" s="114">
        <v>0</v>
      </c>
      <c r="J1275" s="115">
        <v>0</v>
      </c>
      <c r="K1275" s="116">
        <v>0</v>
      </c>
      <c r="L1275" s="116">
        <v>0</v>
      </c>
      <c r="M1275" s="114">
        <v>0</v>
      </c>
      <c r="N1275" s="113">
        <v>0</v>
      </c>
      <c r="O1275" s="113">
        <v>0</v>
      </c>
      <c r="P1275" s="116">
        <v>0</v>
      </c>
      <c r="Q1275" s="116">
        <v>0</v>
      </c>
      <c r="R1275" s="116">
        <v>0</v>
      </c>
      <c r="S1275" s="114">
        <v>0</v>
      </c>
      <c r="T1275" s="116">
        <v>0</v>
      </c>
      <c r="U1275" s="116">
        <v>0</v>
      </c>
      <c r="V1275" s="121">
        <f t="shared" si="62"/>
        <v>0</v>
      </c>
      <c r="W1275" s="111"/>
      <c r="X1275" s="111"/>
      <c r="Y1275" s="111"/>
      <c r="Z1275" s="111"/>
      <c r="AA1275" s="111"/>
      <c r="AB1275" s="111"/>
      <c r="AC1275" s="111"/>
      <c r="AD1275" s="111"/>
      <c r="AE1275" s="139">
        <f t="shared" si="61"/>
        <v>0</v>
      </c>
      <c r="AF1275" s="109"/>
      <c r="AG1275" s="109"/>
    </row>
  </sheetData>
  <sheetProtection selectLockedCells="1"/>
  <protectedRanges>
    <protectedRange sqref="D17:D18 D19:E1275 D7:E16 I5:U1275 AF5:AG1275 G5:G1275 D5:D6 B5:C1275" name="Rango1_4"/>
    <protectedRange sqref="AE5:AE1275" name="Rango1_2_2"/>
    <protectedRange sqref="A5:A69" name="Rango1_1_1_2"/>
    <protectedRange sqref="F19:F1275 F7:F16" name="Rango1_1_2_1"/>
    <protectedRange sqref="A70:A1275" name="Rango1_1_1_2_1"/>
    <protectedRange sqref="H548:H1275" name="Rango1_1"/>
    <protectedRange sqref="H5:H547" name="Rango1_3_1"/>
    <protectedRange sqref="E17:E18" name="Rango1_1_4"/>
    <protectedRange sqref="F5:F6" name="Rango1_1_1_1"/>
    <protectedRange sqref="E5:E6" name="Rango1_1_1_1_1"/>
  </protectedRanges>
  <autoFilter ref="A4:AG1275" xr:uid="{00000000-0009-0000-0000-000005000000}"/>
  <mergeCells count="7">
    <mergeCell ref="B2:H3"/>
    <mergeCell ref="P2:T2"/>
    <mergeCell ref="I2:O2"/>
    <mergeCell ref="K3:O3"/>
    <mergeCell ref="I3:J3"/>
    <mergeCell ref="R3:T3"/>
    <mergeCell ref="P3:Q3"/>
  </mergeCells>
  <phoneticPr fontId="0" type="noConversion"/>
  <conditionalFormatting sqref="W7:AD23 F19:G23 K25:O30 W25:AD35 G28:G31 K32:O35 B35 F32:G35 F25:G27 C46:C48 B49:C52 D46:D52 A36:A52 W40:AD1275 K353:U1275 F548:I1275 K40:O352 Q40:U352 Q32:U35 Q25:U30 F40:G547 I40:I547 I32:I35 I25:I30 H7:H547 P7:P352 I7:I23 Q7:U23 K7:O23 K5:U6 H5:I6 A5:D34 A53:D1275 C35:D45">
    <cfRule type="expression" dxfId="30" priority="522" stopIfTrue="1">
      <formula>"SEVERSTAL"</formula>
    </cfRule>
  </conditionalFormatting>
  <conditionalFormatting sqref="E19:E23 E25:E27 E32:E35 E45:E1275 AE45:AE1275 AF40:AG1275 AE5:AG38">
    <cfRule type="cellIs" dxfId="29" priority="523" stopIfTrue="1" operator="equal">
      <formula>"APROBADO"</formula>
    </cfRule>
    <cfRule type="cellIs" dxfId="28" priority="524" stopIfTrue="1" operator="equal">
      <formula>"ESPERA"</formula>
    </cfRule>
    <cfRule type="cellIs" dxfId="27" priority="525" stopIfTrue="1" operator="equal">
      <formula>"RECHAZADO"</formula>
    </cfRule>
  </conditionalFormatting>
  <conditionalFormatting sqref="W5:AD6">
    <cfRule type="expression" dxfId="26" priority="513" stopIfTrue="1">
      <formula>"SEVERSTAL"</formula>
    </cfRule>
  </conditionalFormatting>
  <conditionalFormatting sqref="G17:G18 F7:G16 G5:G6">
    <cfRule type="expression" dxfId="25" priority="103" stopIfTrue="1">
      <formula>"SEVERSTAL"</formula>
    </cfRule>
  </conditionalFormatting>
  <conditionalFormatting sqref="E7:E16">
    <cfRule type="cellIs" dxfId="24" priority="100" stopIfTrue="1" operator="equal">
      <formula>"APROBADO"</formula>
    </cfRule>
    <cfRule type="cellIs" dxfId="23" priority="101" stopIfTrue="1" operator="equal">
      <formula>"ESPERA"</formula>
    </cfRule>
    <cfRule type="cellIs" dxfId="22" priority="102" stopIfTrue="1" operator="equal">
      <formula>"RECHAZADO"</formula>
    </cfRule>
  </conditionalFormatting>
  <conditionalFormatting sqref="E17:E18">
    <cfRule type="cellIs" dxfId="21" priority="57" stopIfTrue="1" operator="equal">
      <formula>"APROBADO"</formula>
    </cfRule>
    <cfRule type="cellIs" dxfId="20" priority="58" stopIfTrue="1" operator="equal">
      <formula>"ESPERA"</formula>
    </cfRule>
    <cfRule type="cellIs" dxfId="19" priority="59" stopIfTrue="1" operator="equal">
      <formula>"RECHAZADO"</formula>
    </cfRule>
  </conditionalFormatting>
  <conditionalFormatting sqref="K24:O24 F24:G24 W24:AD24 Q24:U24 I24">
    <cfRule type="expression" dxfId="18" priority="53" stopIfTrue="1">
      <formula>"SEVERSTAL"</formula>
    </cfRule>
  </conditionalFormatting>
  <conditionalFormatting sqref="E24">
    <cfRule type="cellIs" dxfId="17" priority="54" stopIfTrue="1" operator="equal">
      <formula>"APROBADO"</formula>
    </cfRule>
    <cfRule type="cellIs" dxfId="16" priority="55" stopIfTrue="1" operator="equal">
      <formula>"ESPERA"</formula>
    </cfRule>
    <cfRule type="cellIs" dxfId="15" priority="56" stopIfTrue="1" operator="equal">
      <formula>"RECHAZADO"</formula>
    </cfRule>
  </conditionalFormatting>
  <conditionalFormatting sqref="F28:F31 A35">
    <cfRule type="expression" dxfId="14" priority="49" stopIfTrue="1">
      <formula>"SEVERSTAL"</formula>
    </cfRule>
  </conditionalFormatting>
  <conditionalFormatting sqref="E28:E31">
    <cfRule type="cellIs" dxfId="13" priority="50" stopIfTrue="1" operator="equal">
      <formula>"APROBADO"</formula>
    </cfRule>
    <cfRule type="cellIs" dxfId="12" priority="51" stopIfTrue="1" operator="equal">
      <formula>"ESPERA"</formula>
    </cfRule>
    <cfRule type="cellIs" dxfId="11" priority="52" stopIfTrue="1" operator="equal">
      <formula>"RECHAZADO"</formula>
    </cfRule>
  </conditionalFormatting>
  <conditionalFormatting sqref="I31 K31:O31 Q31:U31">
    <cfRule type="expression" dxfId="10" priority="48" stopIfTrue="1">
      <formula>"SEVERSTAL"</formula>
    </cfRule>
  </conditionalFormatting>
  <conditionalFormatting sqref="W36:AD39 K36:O39 I36:I39 F36:G39 B36:B48 Q36:U39">
    <cfRule type="expression" dxfId="9" priority="44" stopIfTrue="1">
      <formula>"SEVERSTAL"</formula>
    </cfRule>
  </conditionalFormatting>
  <conditionalFormatting sqref="E36:E44 AE39:AE44 AF39:AG39">
    <cfRule type="cellIs" dxfId="8" priority="45" stopIfTrue="1" operator="equal">
      <formula>"APROBADO"</formula>
    </cfRule>
    <cfRule type="cellIs" dxfId="7" priority="46" stopIfTrue="1" operator="equal">
      <formula>"ESPERA"</formula>
    </cfRule>
    <cfRule type="cellIs" dxfId="6" priority="47" stopIfTrue="1" operator="equal">
      <formula>"RECHAZADO"</formula>
    </cfRule>
  </conditionalFormatting>
  <conditionalFormatting sqref="F5:F6">
    <cfRule type="cellIs" dxfId="5" priority="4" stopIfTrue="1" operator="equal">
      <formula>"APROBADO"</formula>
    </cfRule>
    <cfRule type="cellIs" dxfId="4" priority="5" stopIfTrue="1" operator="equal">
      <formula>"ESPERA"</formula>
    </cfRule>
    <cfRule type="cellIs" dxfId="3" priority="6" stopIfTrue="1" operator="equal">
      <formula>"RECHAZADO"</formula>
    </cfRule>
  </conditionalFormatting>
  <conditionalFormatting sqref="E5:E6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2016-02-05T23:18:55Z</cp:lastPrinted>
  <dcterms:created xsi:type="dcterms:W3CDTF">2006-02-25T16:15:52Z</dcterms:created>
  <dcterms:modified xsi:type="dcterms:W3CDTF">2022-05-17T22:09:59Z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