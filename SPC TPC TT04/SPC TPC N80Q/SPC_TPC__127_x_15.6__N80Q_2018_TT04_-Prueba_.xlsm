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D0C62D57-22A0-497E-92EE-407FE36670DD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25" i="5"/>
  <c r="W20" i="5" l="1"/>
  <c r="W21" i="5"/>
  <c r="W22" i="5"/>
  <c r="W23" i="5"/>
  <c r="W24" i="5"/>
  <c r="W19" i="5" l="1"/>
  <c r="W18" i="5" l="1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W17" i="5" l="1"/>
  <c r="W12" i="5" l="1"/>
  <c r="W13" i="5"/>
  <c r="W14" i="5"/>
  <c r="W15" i="5"/>
  <c r="W16" i="5"/>
  <c r="W11" i="5" l="1"/>
  <c r="AD11" i="5" l="1"/>
  <c r="AD12" i="5"/>
  <c r="AD13" i="5"/>
  <c r="AD14" i="5"/>
  <c r="AD15" i="5"/>
  <c r="AD16" i="5"/>
  <c r="AD17" i="5"/>
  <c r="AD18" i="5"/>
  <c r="AD19" i="5"/>
  <c r="AD20" i="5"/>
  <c r="W7" i="5" l="1"/>
  <c r="AD7" i="5" s="1"/>
  <c r="W8" i="5"/>
  <c r="AD8" i="5" s="1"/>
  <c r="W9" i="5"/>
  <c r="AD9" i="5" s="1"/>
  <c r="W10" i="5"/>
  <c r="AD10" i="5" s="1"/>
  <c r="W6" i="5" l="1"/>
  <c r="AD6" i="5" s="1"/>
</calcChain>
</file>

<file path=xl/sharedStrings.xml><?xml version="1.0" encoding="utf-8"?>
<sst xmlns="http://schemas.openxmlformats.org/spreadsheetml/2006/main" count="142" uniqueCount="111">
  <si>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</si>
  <si>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</si>
  <si>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</si>
  <si>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</si>
  <si>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</si>
  <si>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</si>
  <si>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</si>
  <si>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</si>
  <si>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</si>
  <si>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</si>
  <si>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</si>
  <si>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</si>
  <si>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</si>
  <si>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</si>
  <si>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</si>
  <si>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</si>
  <si>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</si>
  <si>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</si>
  <si>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</si>
  <si>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</si>
  <si>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</si>
  <si>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</si>
  <si>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</si>
  <si>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</si>
  <si>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</si>
  <si>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</si>
  <si>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</si>
  <si>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</si>
  <si>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</si>
  <si>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</si>
  <si>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</si>
  <si>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</si>
  <si>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</si>
  <si>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</si>
  <si>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</si>
  <si>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</si>
  <si>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</si>
  <si>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</si>
  <si>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</si>
  <si>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</si>
  <si>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</si>
  <si>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</si>
  <si>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</si>
  <si>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</si>
  <si>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</si>
  <si>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</si>
  <si>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</si>
  <si>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</si>
  <si>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</si>
  <si>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</si>
  <si>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</si>
  <si>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</si>
  <si>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</si>
  <si>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</si>
  <si>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</si>
  <si>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</si>
  <si>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</si>
  <si>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</si>
  <si>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</si>
  <si>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</si>
  <si>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</si>
  <si>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</si>
  <si>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</si>
  <si>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</si>
  <si>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</si>
  <si>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</si>
  <si>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</si>
  <si>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</si>
  <si>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</si>
  <si>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</si>
  <si>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</si>
  <si>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</si>
  <si>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</si>
  <si>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</si>
  <si>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</si>
  <si>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</si>
  <si>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</si>
  <si>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</si>
  <si>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</si>
  <si>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</si>
  <si>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</si>
  <si>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</si>
  <si>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</si>
  <si>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</si>
  <si>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</si>
  <si>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</si>
  <si>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</si>
  <si>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</si>
  <si>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</si>
  <si>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Clave</t>
  </si>
  <si>
    <t>N80Q 127 x 15,6 mm TPC</t>
  </si>
  <si>
    <t>1 al 28</t>
  </si>
  <si>
    <t>TAMSA</t>
  </si>
  <si>
    <t>Estado 27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</si>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</sst>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u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194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9" fillId="0" borderId="2" xfId="0" applyFont="1" applyFill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0" fontId="48" fillId="0" borderId="0" xfId="0" applyFont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Fill="1" applyBorder="1" applyAlignment="1"/>
    <xf numFmtId="14" fontId="51" fillId="0" borderId="0" xfId="0" quotePrefix="1" applyNumberFormat="1" applyFont="1" applyFill="1" applyBorder="1" applyAlignment="1"/>
    <xf numFmtId="14" fontId="51" fillId="0" borderId="0" xfId="0" applyNumberFormat="1" applyFont="1" applyFill="1" applyBorder="1" applyAlignment="1"/>
    <xf numFmtId="165" fontId="48" fillId="0" borderId="0" xfId="0" applyNumberFormat="1" applyFont="1" applyAlignment="1">
      <alignment horizontal="center"/>
    </xf>
    <xf numFmtId="0" fontId="53" fillId="0" borderId="22" xfId="0" applyFont="1" applyFill="1" applyBorder="1" applyAlignment="1"/>
    <xf numFmtId="165" fontId="53" fillId="0" borderId="22" xfId="0" applyNumberFormat="1" applyFont="1" applyFill="1" applyBorder="1" applyAlignment="1">
      <alignment horizontal="center"/>
    </xf>
    <xf numFmtId="0" fontId="53" fillId="0" borderId="2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/>
    </xf>
    <xf numFmtId="3" fontId="59" fillId="0" borderId="5" xfId="0" applyNumberFormat="1" applyFont="1" applyFill="1" applyBorder="1" applyAlignment="1">
      <alignment horizontal="center"/>
    </xf>
    <xf numFmtId="0" fontId="59" fillId="0" borderId="2" xfId="0" applyFont="1" applyFill="1" applyBorder="1" applyAlignment="1" applyProtection="1">
      <alignment horizontal="center"/>
      <protection locked="0"/>
    </xf>
    <xf numFmtId="0" fontId="1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1" fillId="5" borderId="0" xfId="0" applyFont="1" applyFill="1" applyBorder="1" applyAlignment="1" applyProtection="1">
      <alignment vertical="center"/>
      <protection hidden="1"/>
    </xf>
    <xf numFmtId="0" fontId="1" fillId="5" borderId="0" xfId="0" applyFont="1" applyFill="1" applyBorder="1" applyAlignment="1">
      <alignment vertical="center"/>
    </xf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44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21" fontId="30" fillId="5" borderId="0" xfId="0" applyNumberFormat="1" applyFont="1" applyFill="1" applyBorder="1" applyAlignment="1" applyProtection="1">
      <alignment horizontal="center" vertical="center"/>
      <protection hidden="1"/>
    </xf>
    <xf numFmtId="21" fontId="44" fillId="5" borderId="0" xfId="0" applyNumberFormat="1" applyFont="1" applyFill="1" applyBorder="1" applyAlignment="1" applyProtection="1">
      <alignment horizontal="center" vertical="center"/>
      <protection hidden="1"/>
    </xf>
    <xf numFmtId="0" fontId="17" fillId="5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 vertical="center"/>
      <protection hidden="1"/>
    </xf>
    <xf numFmtId="0" fontId="36" fillId="5" borderId="0" xfId="0" applyFont="1" applyFill="1" applyBorder="1" applyAlignment="1" applyProtection="1">
      <alignment horizontal="center" vertical="center"/>
      <protection hidden="1"/>
    </xf>
    <xf numFmtId="0" fontId="1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0" xfId="0" applyFill="1"/>
    <xf numFmtId="0" fontId="1" fillId="4" borderId="0" xfId="0" applyFont="1" applyFill="1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vertical="center"/>
      <protection hidden="1"/>
    </xf>
    <xf numFmtId="0" fontId="3" fillId="4" borderId="0" xfId="0" applyFont="1" applyFill="1" applyBorder="1" applyAlignment="1" applyProtection="1">
      <alignment horizontal="left" vertical="center"/>
      <protection hidden="1"/>
    </xf>
    <xf numFmtId="0" fontId="19" fillId="4" borderId="0" xfId="0" applyFont="1" applyFill="1" applyBorder="1" applyAlignment="1" applyProtection="1">
      <alignment horizontal="left" vertical="center"/>
      <protection hidden="1"/>
    </xf>
    <xf numFmtId="0" fontId="23" fillId="4" borderId="0" xfId="0" applyFont="1" applyFill="1" applyBorder="1" applyAlignment="1" applyProtection="1">
      <alignment horizontal="left" vertical="center"/>
      <protection hidden="1"/>
    </xf>
    <xf numFmtId="15" fontId="4" fillId="4" borderId="0" xfId="0" applyNumberFormat="1" applyFont="1" applyFill="1" applyBorder="1" applyAlignment="1" applyProtection="1">
      <alignment horizontal="center" vertical="center"/>
      <protection hidden="1"/>
    </xf>
    <xf numFmtId="0" fontId="5" fillId="4" borderId="0" xfId="0" applyFont="1" applyFill="1" applyBorder="1" applyAlignment="1" applyProtection="1">
      <alignment horizontal="center" vertical="center"/>
      <protection hidden="1"/>
    </xf>
    <xf numFmtId="21" fontId="6" fillId="4" borderId="0" xfId="0" applyNumberFormat="1" applyFont="1" applyFill="1" applyBorder="1" applyAlignment="1" applyProtection="1">
      <alignment horizontal="center" vertical="center"/>
      <protection hidden="1"/>
    </xf>
    <xf numFmtId="0" fontId="7" fillId="4" borderId="0" xfId="0" applyFont="1" applyFill="1" applyBorder="1" applyAlignment="1" applyProtection="1">
      <alignment horizontal="center" vertical="center"/>
      <protection hidden="1"/>
    </xf>
    <xf numFmtId="0" fontId="24" fillId="4" borderId="0" xfId="0" applyFont="1" applyFill="1" applyBorder="1" applyAlignment="1" applyProtection="1">
      <alignment horizontal="right" vertical="center"/>
      <protection hidden="1"/>
    </xf>
    <xf numFmtId="0" fontId="24" fillId="4" borderId="0" xfId="0" applyFont="1" applyFill="1" applyBorder="1" applyAlignment="1" applyProtection="1">
      <alignment horizontal="center" vertical="center"/>
      <protection hidden="1"/>
    </xf>
    <xf numFmtId="0" fontId="6" fillId="4" borderId="0" xfId="0" applyFont="1" applyFill="1" applyBorder="1" applyAlignment="1" applyProtection="1">
      <alignment horizontal="center" vertical="center"/>
      <protection hidden="1"/>
    </xf>
    <xf numFmtId="21" fontId="25" fillId="4" borderId="0" xfId="0" applyNumberFormat="1" applyFont="1" applyFill="1" applyBorder="1" applyAlignment="1" applyProtection="1">
      <alignment horizontal="center" vertical="center"/>
      <protection hidden="1"/>
    </xf>
    <xf numFmtId="0" fontId="8" fillId="4" borderId="0" xfId="0" applyFont="1" applyFill="1" applyBorder="1" applyAlignment="1" applyProtection="1">
      <alignment horizontal="center" vertic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hidden="1"/>
    </xf>
    <xf numFmtId="0" fontId="9" fillId="4" borderId="0" xfId="0" applyFont="1" applyFill="1" applyBorder="1" applyAlignment="1" applyProtection="1">
      <alignment vertical="center"/>
      <protection hidden="1"/>
    </xf>
    <xf numFmtId="0" fontId="16" fillId="4" borderId="0" xfId="0" applyFont="1" applyFill="1" applyBorder="1" applyAlignment="1" applyProtection="1">
      <alignment vertical="center"/>
      <protection hidden="1"/>
    </xf>
    <xf numFmtId="0" fontId="43" fillId="4" borderId="0" xfId="0" applyFont="1" applyFill="1" applyBorder="1" applyAlignment="1" applyProtection="1">
      <alignment vertical="center"/>
      <protection hidden="1"/>
    </xf>
    <xf numFmtId="0" fontId="27" fillId="4" borderId="0" xfId="0" applyFont="1" applyFill="1" applyBorder="1" applyAlignment="1" applyProtection="1">
      <alignment vertical="center"/>
      <protection hidden="1"/>
    </xf>
    <xf numFmtId="0" fontId="28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vertical="center"/>
      <protection hidden="1"/>
    </xf>
    <xf numFmtId="0" fontId="20" fillId="4" borderId="0" xfId="0" applyFont="1" applyFill="1" applyBorder="1" applyAlignment="1" applyProtection="1">
      <alignment vertical="center"/>
      <protection hidden="1"/>
    </xf>
    <xf numFmtId="0" fontId="29" fillId="4" borderId="0" xfId="0" applyFont="1" applyFill="1" applyBorder="1" applyAlignment="1" applyProtection="1">
      <alignment horizontal="center" vertical="center"/>
      <protection hidden="1"/>
    </xf>
    <xf numFmtId="0" fontId="9" fillId="4" borderId="0" xfId="0" quotePrefix="1" applyFont="1" applyFill="1" applyBorder="1" applyAlignment="1" applyProtection="1">
      <alignment vertical="center"/>
      <protection hidden="1"/>
    </xf>
    <xf numFmtId="0" fontId="12" fillId="4" borderId="0" xfId="0" applyFont="1" applyFill="1" applyBorder="1" applyAlignment="1" applyProtection="1">
      <alignment vertical="center"/>
      <protection hidden="1"/>
    </xf>
    <xf numFmtId="21" fontId="31" fillId="4" borderId="0" xfId="0" applyNumberFormat="1" applyFont="1" applyFill="1" applyBorder="1" applyAlignment="1" applyProtection="1">
      <alignment horizontal="center" vertical="center"/>
      <protection hidden="1"/>
    </xf>
    <xf numFmtId="0" fontId="44" fillId="4" borderId="0" xfId="0" applyFont="1" applyFill="1" applyBorder="1" applyAlignment="1" applyProtection="1">
      <alignment vertical="center"/>
      <protection hidden="1"/>
    </xf>
    <xf numFmtId="0" fontId="32" fillId="4" borderId="0" xfId="0" applyFont="1" applyFill="1" applyBorder="1" applyAlignment="1" applyProtection="1">
      <alignment vertical="center"/>
      <protection hidden="1"/>
    </xf>
    <xf numFmtId="0" fontId="34" fillId="4" borderId="0" xfId="0" applyFont="1" applyFill="1" applyBorder="1" applyAlignment="1" applyProtection="1">
      <alignment vertical="center"/>
      <protection hidden="1"/>
    </xf>
    <xf numFmtId="0" fontId="15" fillId="4" borderId="0" xfId="0" applyFont="1" applyFill="1" applyBorder="1" applyAlignment="1" applyProtection="1">
      <alignment vertical="center"/>
      <protection hidden="1"/>
    </xf>
    <xf numFmtId="0" fontId="33" fillId="4" borderId="0" xfId="0" applyFont="1" applyFill="1" applyBorder="1" applyAlignment="1" applyProtection="1">
      <alignment vertical="center"/>
      <protection hidden="1"/>
    </xf>
    <xf numFmtId="0" fontId="35" fillId="4" borderId="0" xfId="0" applyFont="1" applyFill="1" applyBorder="1" applyAlignment="1" applyProtection="1">
      <alignment vertical="center"/>
      <protection hidden="1"/>
    </xf>
    <xf numFmtId="0" fontId="45" fillId="4" borderId="0" xfId="0" applyFont="1" applyFill="1" applyBorder="1" applyAlignment="1" applyProtection="1">
      <alignment vertical="center"/>
      <protection hidden="1"/>
    </xf>
    <xf numFmtId="21" fontId="32" fillId="4" borderId="0" xfId="0" applyNumberFormat="1" applyFont="1" applyFill="1" applyBorder="1" applyAlignment="1" applyProtection="1">
      <alignment horizontal="center" vertical="center"/>
      <protection hidden="1"/>
    </xf>
    <xf numFmtId="0" fontId="0" fillId="4" borderId="8" xfId="0" applyFill="1" applyBorder="1" applyAlignment="1" applyProtection="1">
      <alignment vertical="center"/>
      <protection hidden="1"/>
    </xf>
    <xf numFmtId="0" fontId="0" fillId="4" borderId="17" xfId="0" applyFill="1" applyBorder="1" applyAlignment="1" applyProtection="1">
      <alignment vertical="center"/>
      <protection hidden="1"/>
    </xf>
    <xf numFmtId="0" fontId="1" fillId="4" borderId="17" xfId="0" applyFont="1" applyFill="1" applyBorder="1" applyAlignment="1" applyProtection="1">
      <alignment vertical="center"/>
      <protection hidden="1"/>
    </xf>
    <xf numFmtId="0" fontId="1" fillId="4" borderId="19" xfId="0" applyFont="1" applyFill="1" applyBorder="1" applyAlignment="1" applyProtection="1">
      <alignment vertical="center"/>
      <protection hidden="1"/>
    </xf>
    <xf numFmtId="0" fontId="0" fillId="4" borderId="21" xfId="0" applyFill="1" applyBorder="1" applyAlignment="1" applyProtection="1">
      <alignment vertical="center"/>
      <protection hidden="1"/>
    </xf>
    <xf numFmtId="0" fontId="1" fillId="4" borderId="23" xfId="0" applyFont="1" applyFill="1" applyBorder="1" applyAlignment="1" applyProtection="1">
      <alignment vertical="center"/>
      <protection hidden="1"/>
    </xf>
    <xf numFmtId="21" fontId="25" fillId="4" borderId="23" xfId="0" applyNumberFormat="1" applyFont="1" applyFill="1" applyBorder="1" applyAlignment="1" applyProtection="1">
      <alignment horizontal="center" vertical="center"/>
      <protection hidden="1"/>
    </xf>
    <xf numFmtId="0" fontId="8" fillId="4" borderId="21" xfId="0" applyFont="1" applyFill="1" applyBorder="1" applyAlignment="1" applyProtection="1">
      <alignment horizontal="center" vertical="center"/>
      <protection hidden="1"/>
    </xf>
    <xf numFmtId="0" fontId="9" fillId="4" borderId="21" xfId="0" applyFont="1" applyFill="1" applyBorder="1" applyAlignment="1" applyProtection="1">
      <alignment vertical="center"/>
      <protection hidden="1"/>
    </xf>
    <xf numFmtId="0" fontId="10" fillId="4" borderId="21" xfId="0" applyFont="1" applyFill="1" applyBorder="1" applyAlignment="1" applyProtection="1">
      <alignment vertical="center"/>
      <protection hidden="1"/>
    </xf>
    <xf numFmtId="0" fontId="27" fillId="4" borderId="23" xfId="0" applyFont="1" applyFill="1" applyBorder="1" applyAlignment="1" applyProtection="1">
      <alignment vertical="center"/>
      <protection hidden="1"/>
    </xf>
    <xf numFmtId="21" fontId="30" fillId="4" borderId="23" xfId="0" applyNumberFormat="1" applyFont="1" applyFill="1" applyBorder="1" applyAlignment="1" applyProtection="1">
      <alignment horizontal="center" vertical="center"/>
      <protection hidden="1"/>
    </xf>
    <xf numFmtId="0" fontId="9" fillId="4" borderId="24" xfId="0" applyFont="1" applyFill="1" applyBorder="1" applyAlignment="1" applyProtection="1">
      <alignment vertical="center"/>
      <protection hidden="1"/>
    </xf>
    <xf numFmtId="0" fontId="9" fillId="4" borderId="22" xfId="0" applyFont="1" applyFill="1" applyBorder="1" applyAlignment="1" applyProtection="1">
      <alignment vertical="center"/>
      <protection hidden="1"/>
    </xf>
    <xf numFmtId="0" fontId="27" fillId="4" borderId="22" xfId="0" applyFont="1" applyFill="1" applyBorder="1" applyAlignment="1" applyProtection="1">
      <alignment vertical="center"/>
      <protection hidden="1"/>
    </xf>
    <xf numFmtId="0" fontId="45" fillId="4" borderId="22" xfId="0" applyFont="1" applyFill="1" applyBorder="1" applyAlignment="1" applyProtection="1">
      <alignment vertical="center"/>
      <protection hidden="1"/>
    </xf>
    <xf numFmtId="0" fontId="44" fillId="4" borderId="22" xfId="0" applyFont="1" applyFill="1" applyBorder="1" applyAlignment="1" applyProtection="1">
      <alignment vertical="center"/>
      <protection hidden="1"/>
    </xf>
    <xf numFmtId="21" fontId="44" fillId="4" borderId="22" xfId="0" applyNumberFormat="1" applyFont="1" applyFill="1" applyBorder="1" applyAlignment="1" applyProtection="1">
      <alignment horizontal="center" vertical="center"/>
      <protection hidden="1"/>
    </xf>
    <xf numFmtId="21" fontId="32" fillId="4" borderId="22" xfId="0" applyNumberFormat="1" applyFont="1" applyFill="1" applyBorder="1" applyAlignment="1" applyProtection="1">
      <alignment horizontal="center" vertical="center"/>
      <protection hidden="1"/>
    </xf>
    <xf numFmtId="21" fontId="30" fillId="4" borderId="20" xfId="0" applyNumberFormat="1" applyFont="1" applyFill="1" applyBorder="1" applyAlignment="1" applyProtection="1">
      <alignment horizontal="center" vertical="center"/>
      <protection hidden="1"/>
    </xf>
    <xf numFmtId="15" fontId="58" fillId="0" borderId="5" xfId="0" applyNumberFormat="1" applyFont="1" applyFill="1" applyBorder="1" applyAlignment="1">
      <alignment horizontal="center"/>
    </xf>
    <xf numFmtId="0" fontId="59" fillId="0" borderId="2" xfId="3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0" fontId="59" fillId="0" borderId="3" xfId="0" applyFont="1" applyFill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59" fillId="0" borderId="25" xfId="2" applyNumberFormat="1" applyFont="1" applyFill="1" applyBorder="1" applyAlignment="1" applyProtection="1">
      <alignment horizontal="center"/>
      <protection locked="0"/>
    </xf>
    <xf numFmtId="3" fontId="60" fillId="0" borderId="2" xfId="0" applyNumberFormat="1" applyFont="1" applyFill="1" applyBorder="1" applyAlignment="1" applyProtection="1">
      <alignment horizontal="center"/>
    </xf>
    <xf numFmtId="0" fontId="62" fillId="0" borderId="2" xfId="0" applyFont="1" applyFill="1" applyBorder="1" applyAlignment="1" applyProtection="1">
      <alignment horizontal="center"/>
      <protection locked="0"/>
    </xf>
    <xf numFmtId="0" fontId="59" fillId="0" borderId="26" xfId="0" applyFont="1" applyBorder="1" applyAlignment="1">
      <alignment horizontal="center"/>
    </xf>
    <xf numFmtId="0" fontId="59" fillId="0" borderId="26" xfId="0" applyFont="1" applyFill="1" applyBorder="1" applyAlignment="1">
      <alignment horizontal="center"/>
    </xf>
    <xf numFmtId="15" fontId="58" fillId="0" borderId="4" xfId="0" applyNumberFormat="1" applyFont="1" applyFill="1" applyBorder="1" applyAlignment="1">
      <alignment horizontal="center"/>
    </xf>
    <xf numFmtId="0" fontId="64" fillId="0" borderId="0" xfId="0" applyFont="1" applyFill="1" applyBorder="1" applyAlignment="1"/>
    <xf numFmtId="0" fontId="65" fillId="0" borderId="0" xfId="0" applyFont="1" applyFill="1" applyBorder="1" applyAlignment="1"/>
    <xf numFmtId="0" fontId="65" fillId="0" borderId="0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3" fontId="66" fillId="0" borderId="25" xfId="2" applyNumberFormat="1" applyFont="1" applyFill="1" applyBorder="1" applyAlignment="1" applyProtection="1">
      <alignment horizontal="center"/>
      <protection locked="0"/>
    </xf>
    <xf numFmtId="3" fontId="62" fillId="0" borderId="1" xfId="0" applyNumberFormat="1" applyFont="1" applyFill="1" applyBorder="1" applyAlignment="1" applyProtection="1">
      <alignment horizontal="center"/>
      <protection locked="0"/>
    </xf>
    <xf numFmtId="0" fontId="61" fillId="8" borderId="0" xfId="0" applyFont="1" applyFill="1" applyBorder="1" applyAlignment="1">
      <alignment horizontal="center"/>
    </xf>
    <xf numFmtId="0" fontId="46" fillId="8" borderId="0" xfId="0" applyFont="1" applyFill="1" applyBorder="1" applyAlignment="1">
      <alignment horizontal="center" vertical="center" wrapText="1"/>
    </xf>
    <xf numFmtId="0" fontId="46" fillId="9" borderId="0" xfId="0" applyFont="1" applyFill="1" applyAlignment="1">
      <alignment horizontal="center" vertical="center" wrapText="1"/>
    </xf>
    <xf numFmtId="0" fontId="67" fillId="9" borderId="0" xfId="0" applyFont="1" applyFill="1" applyAlignment="1">
      <alignment horizontal="center" vertical="center" wrapText="1"/>
    </xf>
    <xf numFmtId="165" fontId="39" fillId="0" borderId="2" xfId="0" applyNumberFormat="1" applyFont="1" applyFill="1" applyBorder="1" applyAlignment="1">
      <alignment horizontal="center"/>
    </xf>
    <xf numFmtId="0" fontId="52" fillId="6" borderId="0" xfId="0" applyFont="1" applyFill="1" applyAlignment="1">
      <alignment horizontal="center"/>
    </xf>
    <xf numFmtId="0" fontId="47" fillId="6" borderId="0" xfId="0" applyFont="1" applyFill="1" applyBorder="1" applyAlignment="1"/>
    <xf numFmtId="0" fontId="68" fillId="6" borderId="0" xfId="0" applyFont="1" applyFill="1" applyBorder="1" applyAlignment="1">
      <alignment horizontal="center"/>
    </xf>
    <xf numFmtId="0" fontId="48" fillId="6" borderId="0" xfId="0" applyFont="1" applyFill="1" applyAlignment="1">
      <alignment horizontal="center"/>
    </xf>
    <xf numFmtId="0" fontId="55" fillId="6" borderId="0" xfId="0" applyFont="1" applyFill="1" applyAlignment="1">
      <alignment horizontal="center"/>
    </xf>
    <xf numFmtId="0" fontId="56" fillId="6" borderId="0" xfId="0" applyFont="1" applyFill="1" applyBorder="1" applyAlignment="1">
      <alignment horizontal="right"/>
    </xf>
    <xf numFmtId="1" fontId="54" fillId="5" borderId="0" xfId="0" applyNumberFormat="1" applyFont="1" applyFill="1" applyBorder="1" applyAlignment="1">
      <alignment horizontal="center"/>
    </xf>
    <xf numFmtId="165" fontId="54" fillId="6" borderId="0" xfId="0" applyNumberFormat="1" applyFont="1" applyFill="1" applyBorder="1" applyAlignment="1">
      <alignment horizontal="center"/>
    </xf>
    <xf numFmtId="1" fontId="48" fillId="6" borderId="0" xfId="0" applyNumberFormat="1" applyFont="1" applyFill="1" applyAlignment="1">
      <alignment horizontal="center"/>
    </xf>
    <xf numFmtId="0" fontId="42" fillId="0" borderId="0" xfId="0" applyFont="1" applyAlignment="1">
      <alignment horizontal="center" wrapText="1"/>
    </xf>
    <xf numFmtId="0" fontId="14" fillId="0" borderId="22" xfId="0" applyFont="1" applyFill="1" applyBorder="1" applyAlignment="1">
      <alignment horizontal="center" vertical="center"/>
    </xf>
    <xf numFmtId="0" fontId="41" fillId="0" borderId="0" xfId="4" applyFont="1"/>
    <xf numFmtId="0" fontId="41" fillId="0" borderId="0" xfId="4" applyFont="1" applyBorder="1" applyAlignment="1">
      <alignment horizontal="center" vertical="center"/>
    </xf>
    <xf numFmtId="0" fontId="73" fillId="7" borderId="31" xfId="4" applyFont="1" applyFill="1" applyBorder="1" applyAlignment="1">
      <alignment horizontal="center"/>
    </xf>
    <xf numFmtId="0" fontId="73" fillId="11" borderId="31" xfId="4" applyFont="1" applyFill="1" applyBorder="1" applyAlignment="1">
      <alignment horizontal="center"/>
    </xf>
    <xf numFmtId="0" fontId="73" fillId="12" borderId="32" xfId="4" applyFont="1" applyFill="1" applyBorder="1" applyAlignment="1">
      <alignment horizontal="center"/>
    </xf>
    <xf numFmtId="0" fontId="74" fillId="14" borderId="2" xfId="4" applyFont="1" applyFill="1" applyBorder="1" applyAlignment="1">
      <alignment horizontal="center" vertical="center" wrapText="1"/>
    </xf>
    <xf numFmtId="0" fontId="74" fillId="10" borderId="2" xfId="4" applyFont="1" applyFill="1" applyBorder="1" applyAlignment="1">
      <alignment horizontal="center" vertical="center" wrapText="1"/>
    </xf>
    <xf numFmtId="0" fontId="73" fillId="7" borderId="2" xfId="4" applyFont="1" applyFill="1" applyBorder="1" applyAlignment="1">
      <alignment horizontal="center" vertical="center" wrapText="1"/>
    </xf>
    <xf numFmtId="0" fontId="73" fillId="11" borderId="2" xfId="4" applyFont="1" applyFill="1" applyBorder="1" applyAlignment="1">
      <alignment horizontal="center" vertical="center" wrapText="1"/>
    </xf>
    <xf numFmtId="0" fontId="73" fillId="12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58" fillId="0" borderId="2" xfId="0" applyNumberFormat="1" applyFont="1" applyFill="1" applyBorder="1" applyAlignment="1">
      <alignment horizontal="center"/>
    </xf>
    <xf numFmtId="15" fontId="21" fillId="2" borderId="2" xfId="0" applyNumberFormat="1" applyFont="1" applyFill="1" applyBorder="1" applyAlignment="1">
      <alignment horizontal="center"/>
    </xf>
    <xf numFmtId="0" fontId="40" fillId="0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63" fillId="4" borderId="0" xfId="0" applyFont="1" applyFill="1" applyBorder="1" applyAlignment="1" applyProtection="1">
      <alignment horizontal="center" vertical="center"/>
      <protection hidden="1"/>
    </xf>
    <xf numFmtId="0" fontId="75" fillId="0" borderId="22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top"/>
    </xf>
    <xf numFmtId="0" fontId="38" fillId="0" borderId="17" xfId="0" applyFont="1" applyBorder="1" applyAlignment="1">
      <alignment horizontal="center" vertical="top"/>
    </xf>
    <xf numFmtId="0" fontId="38" fillId="0" borderId="19" xfId="0" applyFont="1" applyBorder="1" applyAlignment="1">
      <alignment horizontal="center" vertical="top"/>
    </xf>
    <xf numFmtId="0" fontId="73" fillId="12" borderId="31" xfId="4" applyFont="1" applyFill="1" applyBorder="1" applyAlignment="1">
      <alignment horizontal="center"/>
    </xf>
    <xf numFmtId="0" fontId="71" fillId="11" borderId="28" xfId="4" applyFont="1" applyFill="1" applyBorder="1" applyAlignment="1">
      <alignment horizontal="center"/>
    </xf>
    <xf numFmtId="0" fontId="70" fillId="7" borderId="27" xfId="4" applyFont="1" applyFill="1" applyBorder="1" applyAlignment="1">
      <alignment horizontal="center"/>
    </xf>
    <xf numFmtId="0" fontId="70" fillId="7" borderId="28" xfId="4" applyFont="1" applyFill="1" applyBorder="1" applyAlignment="1">
      <alignment horizontal="center"/>
    </xf>
    <xf numFmtId="0" fontId="71" fillId="12" borderId="28" xfId="4" applyFont="1" applyFill="1" applyBorder="1" applyAlignment="1">
      <alignment horizontal="center"/>
    </xf>
    <xf numFmtId="0" fontId="71" fillId="12" borderId="29" xfId="4" applyFont="1" applyFill="1" applyBorder="1" applyAlignment="1">
      <alignment horizontal="center"/>
    </xf>
    <xf numFmtId="0" fontId="73" fillId="7" borderId="30" xfId="4" applyFont="1" applyFill="1" applyBorder="1" applyAlignment="1">
      <alignment horizontal="center"/>
    </xf>
    <xf numFmtId="0" fontId="73" fillId="7" borderId="31" xfId="4" applyFont="1" applyFill="1" applyBorder="1" applyAlignment="1">
      <alignment horizontal="center"/>
    </xf>
    <xf numFmtId="0" fontId="69" fillId="10" borderId="8" xfId="4" applyFont="1" applyFill="1" applyBorder="1" applyAlignment="1">
      <alignment horizontal="center" vertical="center"/>
    </xf>
    <xf numFmtId="0" fontId="69" fillId="10" borderId="17" xfId="4" applyFont="1" applyFill="1" applyBorder="1" applyAlignment="1">
      <alignment horizontal="center" vertical="center"/>
    </xf>
    <xf numFmtId="0" fontId="69" fillId="10" borderId="6" xfId="4" applyFont="1" applyFill="1" applyBorder="1" applyAlignment="1">
      <alignment horizontal="center" vertical="center"/>
    </xf>
    <xf numFmtId="0" fontId="69" fillId="10" borderId="18" xfId="4" applyFont="1" applyFill="1" applyBorder="1" applyAlignment="1">
      <alignment horizontal="center" vertical="center"/>
    </xf>
    <xf numFmtId="0" fontId="72" fillId="10" borderId="8" xfId="4" applyFont="1" applyFill="1" applyBorder="1" applyAlignment="1">
      <alignment horizontal="center" vertical="center" shrinkToFit="1"/>
    </xf>
    <xf numFmtId="0" fontId="72" fillId="10" borderId="17" xfId="4" applyFont="1" applyFill="1" applyBorder="1" applyAlignment="1">
      <alignment horizontal="center" vertical="center" shrinkToFit="1"/>
    </xf>
    <xf numFmtId="0" fontId="72" fillId="13" borderId="11" xfId="4" applyFont="1" applyFill="1" applyBorder="1" applyAlignment="1">
      <alignment horizontal="center" vertical="center" shrinkToFit="1"/>
    </xf>
    <xf numFmtId="0" fontId="72" fillId="13" borderId="10" xfId="4" applyFont="1" applyFill="1" applyBorder="1" applyAlignment="1">
      <alignment horizontal="center" vertical="center" shrinkToFit="1"/>
    </xf>
    <xf numFmtId="0" fontId="72" fillId="13" borderId="12" xfId="4" applyFont="1" applyFill="1" applyBorder="1" applyAlignment="1">
      <alignment horizontal="center" vertical="center" shrinkToFit="1"/>
    </xf>
    <xf numFmtId="0" fontId="72" fillId="13" borderId="13" xfId="4" applyFont="1" applyFill="1" applyBorder="1" applyAlignment="1">
      <alignment horizontal="center" vertical="center" shrinkToFit="1"/>
    </xf>
    <xf numFmtId="0" fontId="72" fillId="13" borderId="17" xfId="4" applyFont="1" applyFill="1" applyBorder="1" applyAlignment="1">
      <alignment horizontal="center" vertical="center" shrinkToFit="1"/>
    </xf>
    <xf numFmtId="0" fontId="72" fillId="13" borderId="19" xfId="4" applyFont="1" applyFill="1" applyBorder="1" applyAlignment="1">
      <alignment horizontal="center" vertical="center" shrinkToFit="1"/>
    </xf>
    <xf numFmtId="0" fontId="69" fillId="10" borderId="9" xfId="4" applyFont="1" applyFill="1" applyBorder="1" applyAlignment="1">
      <alignment horizontal="center" vertical="center"/>
    </xf>
    <xf numFmtId="0" fontId="61" fillId="8" borderId="22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8" xfId="0" applyFont="1" applyFill="1" applyBorder="1" applyAlignment="1">
      <alignment horizontal="center" vertical="center" wrapText="1"/>
    </xf>
    <xf numFmtId="0" fontId="46" fillId="8" borderId="17" xfId="0" applyFont="1" applyFill="1" applyBorder="1" applyAlignment="1">
      <alignment horizontal="center" vertical="center" wrapText="1"/>
    </xf>
    <xf numFmtId="0" fontId="46" fillId="8" borderId="19" xfId="0" applyFont="1" applyFill="1" applyBorder="1" applyAlignment="1">
      <alignment horizontal="center" vertical="center" wrapText="1"/>
    </xf>
    <xf numFmtId="0" fontId="76" fillId="0" borderId="0" xfId="0" applyFont="1"/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885-419A-BD49-150E9ED84D6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885-419A-BD49-150E9ED84D6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885-419A-BD49-150E9ED84D6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885-419A-BD49-150E9ED84D6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885-419A-BD49-150E9ED84D6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885-419A-BD49-150E9ED84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785288"/>
        <c:axId val="533782936"/>
      </c:barChart>
      <c:catAx>
        <c:axId val="5337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7829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3782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7852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B19-4279-9BF2-4173DC4B684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B19-4279-9BF2-4173DC4B684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B19-4279-9BF2-4173DC4B684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B19-4279-9BF2-4173DC4B684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B19-4279-9BF2-4173DC4B684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B19-4279-9BF2-4173DC4B684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B19-4279-9BF2-4173DC4B684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B19-4279-9BF2-4173DC4B684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B19-4279-9BF2-4173DC4B684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B19-4279-9BF2-4173DC4B684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B19-4279-9BF2-4173DC4B6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86464"/>
        <c:axId val="533781368"/>
      </c:lineChart>
      <c:catAx>
        <c:axId val="533786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781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781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7864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42-4F74-BA79-01F5ED24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42-4F74-BA79-01F5ED24F6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42-4F74-BA79-01F5ED24F6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42-4F74-BA79-01F5ED24F6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42-4F74-BA79-01F5ED24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42-4F74-BA79-01F5ED24F6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42-4F74-BA79-01F5ED24F6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42-4F74-BA79-01F5ED24F6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42-4F74-BA79-01F5ED24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42-4F74-BA79-01F5ED24F6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42-4F74-BA79-01F5ED24F6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42-4F74-BA79-01F5ED24F6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42-4F74-BA79-01F5ED24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42-4F74-BA79-01F5ED24F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27664"/>
        <c:axId val="472128056"/>
      </c:barChart>
      <c:catAx>
        <c:axId val="47212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28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28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27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65-414F-8E2A-ADB75CA09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65-414F-8E2A-ADB75CA091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65-414F-8E2A-ADB75CA09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65-414F-8E2A-ADB75CA09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65-414F-8E2A-ADB75CA09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65-414F-8E2A-ADB75CA091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65-414F-8E2A-ADB75CA09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65-414F-8E2A-ADB75CA09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65-414F-8E2A-ADB75CA09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65-414F-8E2A-ADB75CA091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65-414F-8E2A-ADB75CA091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65-414F-8E2A-ADB75CA091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65-414F-8E2A-ADB75CA091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65-414F-8E2A-ADB75CA0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28840"/>
        <c:axId val="472129232"/>
      </c:barChart>
      <c:catAx>
        <c:axId val="47212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2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2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2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D5-4D5C-81A2-E7337E396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D5-4D5C-81A2-E7337E396C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D5-4D5C-81A2-E7337E396C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D5-4D5C-81A2-E7337E396C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D5-4D5C-81A2-E7337E396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D5-4D5C-81A2-E7337E396C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D5-4D5C-81A2-E7337E396C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D5-4D5C-81A2-E7337E396C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D5-4D5C-81A2-E7337E396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D5-4D5C-81A2-E7337E396C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D5-4D5C-81A2-E7337E396C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D5-4D5C-81A2-E7337E396C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D5-4D5C-81A2-E7337E396C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D5-4D5C-81A2-E7337E396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30016"/>
        <c:axId val="472130408"/>
      </c:barChart>
      <c:catAx>
        <c:axId val="4721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0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30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32-4370-8B64-8A958A6DE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32-4370-8B64-8A958A6DE3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32-4370-8B64-8A958A6DE3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32-4370-8B64-8A958A6DE3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32-4370-8B64-8A958A6DE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32-4370-8B64-8A958A6DE3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32-4370-8B64-8A958A6DE3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32-4370-8B64-8A958A6DE3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32-4370-8B64-8A958A6DE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32-4370-8B64-8A958A6DE3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32-4370-8B64-8A958A6DE3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32-4370-8B64-8A958A6DE3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32-4370-8B64-8A958A6DE3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32-4370-8B64-8A958A6DE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31192"/>
        <c:axId val="472131584"/>
      </c:barChart>
      <c:catAx>
        <c:axId val="472131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31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1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37-4D51-AE5B-BE0FAB9B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37-4D51-AE5B-BE0FAB9BFA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37-4D51-AE5B-BE0FAB9BF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37-4D51-AE5B-BE0FAB9BF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37-4D51-AE5B-BE0FAB9B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37-4D51-AE5B-BE0FAB9BFA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37-4D51-AE5B-BE0FAB9BF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37-4D51-AE5B-BE0FAB9BF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37-4D51-AE5B-BE0FAB9B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37-4D51-AE5B-BE0FAB9BFA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37-4D51-AE5B-BE0FAB9BF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37-4D51-AE5B-BE0FAB9BF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37-4D51-AE5B-BE0FAB9BF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37-4D51-AE5B-BE0FAB9B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32368"/>
        <c:axId val="472132760"/>
      </c:barChart>
      <c:catAx>
        <c:axId val="4721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2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32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2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C6-41E9-A9E4-A1DB05352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C6-41E9-A9E4-A1DB05352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C6-41E9-A9E4-A1DB05352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C6-41E9-A9E4-A1DB05352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C6-41E9-A9E4-A1DB05352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C6-41E9-A9E4-A1DB05352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C6-41E9-A9E4-A1DB05352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C6-41E9-A9E4-A1DB05352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C6-41E9-A9E4-A1DB05352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C6-41E9-A9E4-A1DB05352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C6-41E9-A9E4-A1DB05352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C6-41E9-A9E4-A1DB05352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C6-41E9-A9E4-A1DB05352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C6-41E9-A9E4-A1DB0535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33544"/>
        <c:axId val="472133936"/>
      </c:barChart>
      <c:catAx>
        <c:axId val="4721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33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3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55-4B9B-B1EC-6F831582C9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55-4B9B-B1EC-6F831582C9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55-4B9B-B1EC-6F831582C9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55-4B9B-B1EC-6F831582C9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55-4B9B-B1EC-6F831582C9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55-4B9B-B1EC-6F831582C9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55-4B9B-B1EC-6F831582C9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55-4B9B-B1EC-6F831582C9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55-4B9B-B1EC-6F831582C9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55-4B9B-B1EC-6F831582C9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55-4B9B-B1EC-6F831582C9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55-4B9B-B1EC-6F831582C9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55-4B9B-B1EC-6F831582C9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55-4B9B-B1EC-6F831582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34720"/>
        <c:axId val="536062440"/>
      </c:barChart>
      <c:catAx>
        <c:axId val="47213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06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72134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B9-417A-A9EA-E24A5705CC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B9-417A-A9EA-E24A5705CC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B9-417A-A9EA-E24A5705CC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B9-417A-A9EA-E24A5705CC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B9-417A-A9EA-E24A5705CC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B9-417A-A9EA-E24A5705CC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B9-417A-A9EA-E24A5705CC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B9-417A-A9EA-E24A5705CC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B9-417A-A9EA-E24A5705CC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B9-417A-A9EA-E24A5705CC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B9-417A-A9EA-E24A5705CC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B9-417A-A9EA-E24A5705CC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B9-417A-A9EA-E24A5705CC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B9-417A-A9EA-E24A5705C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063224"/>
        <c:axId val="536063616"/>
      </c:barChart>
      <c:catAx>
        <c:axId val="53606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06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F-4612-8815-C8E147FAAB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EF-4612-8815-C8E147FAABB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EF-4612-8815-C8E147FAAB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EF-4612-8815-C8E147FAAB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EF-4612-8815-C8E147FAAB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EF-4612-8815-C8E147FAABB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EF-4612-8815-C8E147FAAB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EF-4612-8815-C8E147FAAB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EF-4612-8815-C8E147FAAB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EF-4612-8815-C8E147FAABB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EF-4612-8815-C8E147FAAB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EF-4612-8815-C8E147FAAB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EF-4612-8815-C8E147FAAB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EF-4612-8815-C8E147FAA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064400"/>
        <c:axId val="536064792"/>
      </c:barChart>
      <c:catAx>
        <c:axId val="53606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06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FF-4CF9-851A-845125D7D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FF-4CF9-851A-845125D7D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FF-4CF9-851A-845125D7D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F-4CF9-851A-845125D7D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FF-4CF9-851A-845125D7D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FF-4CF9-851A-845125D7D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FF-4CF9-851A-845125D7D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FF-4CF9-851A-845125D7D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FF-4CF9-851A-845125D7D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FF-4CF9-851A-845125D7D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FF-4CF9-851A-845125D7D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FF-4CF9-851A-845125D7D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FF-4CF9-851A-845125D7D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FF-4CF9-851A-845125D7D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065576"/>
        <c:axId val="536065968"/>
      </c:barChart>
      <c:catAx>
        <c:axId val="53606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606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606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F4-4F56-9F1A-894B481E86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F4-4F56-9F1A-894B481E86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F4-4F56-9F1A-894B481E86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F4-4F56-9F1A-894B481E86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F4-4F56-9F1A-894B481E86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F4-4F56-9F1A-894B481E86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F4-4F56-9F1A-894B481E86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F4-4F56-9F1A-894B481E86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F4-4F56-9F1A-894B481E86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F4-4F56-9F1A-894B481E86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F4-4F56-9F1A-894B481E86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F4-4F56-9F1A-894B481E86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F4-4F56-9F1A-894B481E86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F4-4F56-9F1A-894B481E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180544"/>
        <c:axId val="533180936"/>
      </c:barChart>
      <c:catAx>
        <c:axId val="53318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180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180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180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72-4618-9C82-D16F0CCD57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72-4618-9C82-D16F0CCD57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72-4618-9C82-D16F0CCD57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72-4618-9C82-D16F0CCD57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72-4618-9C82-D16F0CCD57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72-4618-9C82-D16F0CCD57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72-4618-9C82-D16F0CCD57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72-4618-9C82-D16F0CCD57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72-4618-9C82-D16F0CCD57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72-4618-9C82-D16F0CCD57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72-4618-9C82-D16F0CCD57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72-4618-9C82-D16F0CCD57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72-4618-9C82-D16F0CCD57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72-4618-9C82-D16F0CCD5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181720"/>
        <c:axId val="533182112"/>
      </c:barChart>
      <c:catAx>
        <c:axId val="533181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182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182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181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9D-495B-A50D-72E778973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9D-495B-A50D-72E7789734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9D-495B-A50D-72E778973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9D-495B-A50D-72E778973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9D-495B-A50D-72E778973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9D-495B-A50D-72E7789734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9D-495B-A50D-72E778973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9D-495B-A50D-72E778973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9D-495B-A50D-72E778973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9D-495B-A50D-72E7789734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9D-495B-A50D-72E7789734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9D-495B-A50D-72E7789734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9D-495B-A50D-72E7789734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9D-495B-A50D-72E778973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3182896"/>
        <c:axId val="533183288"/>
      </c:barChart>
      <c:catAx>
        <c:axId val="53318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183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3183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3182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DD-4C40-B329-C0683E5FCC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DD-4C40-B329-C0683E5FCC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DD-4C40-B329-C0683E5FCC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DD-4C40-B329-C0683E5FCC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DD-4C40-B329-C0683E5FCC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DD-4C40-B329-C0683E5FCC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DD-4C40-B329-C0683E5FCC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DD-4C40-B329-C0683E5FCC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DD-4C40-B329-C0683E5FCC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DD-4C40-B329-C0683E5FCC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DD-4C40-B329-C0683E5FCC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DD-4C40-B329-C0683E5FCC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DD-4C40-B329-C0683E5FCC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DD-4C40-B329-C0683E5FC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446008"/>
        <c:axId val="330446400"/>
      </c:barChart>
      <c:catAx>
        <c:axId val="33044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44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F-42F0-B21B-9FBCD3A2C3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F-42F0-B21B-9FBCD3A2C3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F-42F0-B21B-9FBCD3A2C3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F-42F0-B21B-9FBCD3A2C3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F-42F0-B21B-9FBCD3A2C3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F-42F0-B21B-9FBCD3A2C3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F-42F0-B21B-9FBCD3A2C3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F-42F0-B21B-9FBCD3A2C3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F-42F0-B21B-9FBCD3A2C3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F-42F0-B21B-9FBCD3A2C3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F-42F0-B21B-9FBCD3A2C3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F-42F0-B21B-9FBCD3A2C3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F-42F0-B21B-9FBCD3A2C3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F-42F0-B21B-9FBCD3A2C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447184"/>
        <c:axId val="330447576"/>
      </c:barChart>
      <c:catAx>
        <c:axId val="33044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44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7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5F-43B4-B1A6-F450E8C45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05F-43B4-B1A6-F450E8C456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5F-43B4-B1A6-F450E8C45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5F-43B4-B1A6-F450E8C45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5F-43B4-B1A6-F450E8C45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05F-43B4-B1A6-F450E8C456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5F-43B4-B1A6-F450E8C45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5F-43B4-B1A6-F450E8C45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5F-43B4-B1A6-F450E8C45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05F-43B4-B1A6-F450E8C456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5F-43B4-B1A6-F450E8C45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5F-43B4-B1A6-F450E8C45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5F-43B4-B1A6-F450E8C45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05F-43B4-B1A6-F450E8C4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448360"/>
        <c:axId val="330448752"/>
      </c:barChart>
      <c:catAx>
        <c:axId val="33044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44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8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E3-49E7-B47E-2BC41E5BB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E3-49E7-B47E-2BC41E5BB1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E3-49E7-B47E-2BC41E5BB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E3-49E7-B47E-2BC41E5BB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E3-49E7-B47E-2BC41E5BB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E3-49E7-B47E-2BC41E5BB1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E3-49E7-B47E-2BC41E5BB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E3-49E7-B47E-2BC41E5BB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E3-49E7-B47E-2BC41E5BB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E3-49E7-B47E-2BC41E5BB1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E3-49E7-B47E-2BC41E5BB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E3-49E7-B47E-2BC41E5BB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E3-49E7-B47E-2BC41E5BB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E3-49E7-B47E-2BC41E5BB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449536"/>
        <c:axId val="539169880"/>
      </c:barChart>
      <c:catAx>
        <c:axId val="33044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69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169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449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07-4284-93A9-F7E8DCDC5B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07-4284-93A9-F7E8DCDC5B2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07-4284-93A9-F7E8DCDC5B2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07-4284-93A9-F7E8DCDC5B2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07-4284-93A9-F7E8DCDC5B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07-4284-93A9-F7E8DCDC5B2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07-4284-93A9-F7E8DCDC5B2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07-4284-93A9-F7E8DCDC5B2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07-4284-93A9-F7E8DCDC5B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07-4284-93A9-F7E8DCDC5B2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07-4284-93A9-F7E8DCDC5B2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07-4284-93A9-F7E8DCDC5B2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07-4284-93A9-F7E8DCDC5B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07-4284-93A9-F7E8DCDC5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170664"/>
        <c:axId val="539171056"/>
      </c:barChart>
      <c:catAx>
        <c:axId val="53917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7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17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70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9-44A8-AA84-DC64EF3F9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19-44A8-AA84-DC64EF3F92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19-44A8-AA84-DC64EF3F92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19-44A8-AA84-DC64EF3F92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19-44A8-AA84-DC64EF3F9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19-44A8-AA84-DC64EF3F92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19-44A8-AA84-DC64EF3F92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19-44A8-AA84-DC64EF3F92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19-44A8-AA84-DC64EF3F9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19-44A8-AA84-DC64EF3F92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19-44A8-AA84-DC64EF3F92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19-44A8-AA84-DC64EF3F92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19-44A8-AA84-DC64EF3F92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19-44A8-AA84-DC64EF3F9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171840"/>
        <c:axId val="539172232"/>
      </c:barChart>
      <c:catAx>
        <c:axId val="53917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72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172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71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9D-45C3-8B28-13CE33EED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9D-45C3-8B28-13CE33EED1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9D-45C3-8B28-13CE33EED1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9D-45C3-8B28-13CE33EED1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9D-45C3-8B28-13CE33EED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9D-45C3-8B28-13CE33EED1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9D-45C3-8B28-13CE33EED1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9D-45C3-8B28-13CE33EED1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9D-45C3-8B28-13CE33EED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9D-45C3-8B28-13CE33EED1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9D-45C3-8B28-13CE33EED1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9D-45C3-8B28-13CE33EED1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9D-45C3-8B28-13CE33EED1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9D-45C3-8B28-13CE33EED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173016"/>
        <c:axId val="539173408"/>
      </c:barChart>
      <c:catAx>
        <c:axId val="539173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73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9173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39173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B6-4C61-94B0-461E495734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B6-4C61-94B0-461E495734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B6-4C61-94B0-461E495734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B6-4C61-94B0-461E495734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B6-4C61-94B0-461E495734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B6-4C61-94B0-461E495734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B6-4C61-94B0-461E495734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B6-4C61-94B0-461E495734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B6-4C61-94B0-461E495734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B6-4C61-94B0-461E495734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B6-4C61-94B0-461E495734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B6-4C61-94B0-461E495734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B6-4C61-94B0-461E495734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B6-4C61-94B0-461E49573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733824"/>
        <c:axId val="280734216"/>
      </c:barChart>
      <c:catAx>
        <c:axId val="28073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0734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734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0733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E3-40F5-B6D0-765E01FA19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AE3-40F5-B6D0-765E01FA19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E3-40F5-B6D0-765E01FA19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E3-40F5-B6D0-765E01FA19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E3-40F5-B6D0-765E01FA19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AE3-40F5-B6D0-765E01FA19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E3-40F5-B6D0-765E01FA19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E3-40F5-B6D0-765E01FA19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E3-40F5-B6D0-765E01FA19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AE3-40F5-B6D0-765E01FA19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E3-40F5-B6D0-765E01FA19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E3-40F5-B6D0-765E01FA19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E3-40F5-B6D0-765E01FA19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AE3-40F5-B6D0-765E01FA1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735000"/>
        <c:axId val="280735392"/>
      </c:barChart>
      <c:catAx>
        <c:axId val="280735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073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735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0735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6A-409B-845F-7F3DF4C072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6A-409B-845F-7F3DF4C072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6A-409B-845F-7F3DF4C072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6A-409B-845F-7F3DF4C072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6A-409B-845F-7F3DF4C072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6A-409B-845F-7F3DF4C072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6A-409B-845F-7F3DF4C072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6A-409B-845F-7F3DF4C072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6A-409B-845F-7F3DF4C072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6A-409B-845F-7F3DF4C072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6A-409B-845F-7F3DF4C072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6A-409B-845F-7F3DF4C072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6A-409B-845F-7F3DF4C072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6A-409B-845F-7F3DF4C07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736176"/>
        <c:axId val="280736568"/>
      </c:barChart>
      <c:catAx>
        <c:axId val="28073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073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073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073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79-4385-8FB5-43B1EC77FB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79-4385-8FB5-43B1EC77FB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79-4385-8FB5-43B1EC77FB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79-4385-8FB5-43B1EC77FB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79-4385-8FB5-43B1EC77FB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79-4385-8FB5-43B1EC77FB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79-4385-8FB5-43B1EC77FB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79-4385-8FB5-43B1EC77FB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79-4385-8FB5-43B1EC77FB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79-4385-8FB5-43B1EC77FB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79-4385-8FB5-43B1EC77FB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79-4385-8FB5-43B1EC77FB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79-4385-8FB5-43B1EC77FB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79-4385-8FB5-43B1EC77F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135120"/>
        <c:axId val="503135512"/>
      </c:barChart>
      <c:catAx>
        <c:axId val="50313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03135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135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03135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95250</xdr:rowOff>
    </xdr:from>
    <xdr:to>
      <xdr:col>2</xdr:col>
      <xdr:colOff>342900</xdr:colOff>
      <xdr:row>2</xdr:row>
      <xdr:rowOff>285750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95250"/>
          <a:ext cx="9810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533400</xdr:colOff>
      <xdr:row>0</xdr:row>
      <xdr:rowOff>114300</xdr:rowOff>
    </xdr:from>
    <xdr:to>
      <xdr:col>4</xdr:col>
      <xdr:colOff>137795</xdr:colOff>
      <xdr:row>2</xdr:row>
      <xdr:rowOff>187960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19225" y="114300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6"/>
      <c r="B1" s="37"/>
      <c r="C1" s="37"/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4"/>
      <c r="W1" s="4"/>
    </row>
    <row r="2" spans="1:23" ht="17.45" customHeight="1">
      <c r="A2" s="40"/>
      <c r="B2" s="90"/>
      <c r="C2" s="91"/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38"/>
      <c r="S2" s="38"/>
      <c r="T2" s="38"/>
      <c r="U2" s="39"/>
      <c r="V2" s="4"/>
      <c r="W2" s="4"/>
    </row>
    <row r="3" spans="1:23" ht="17.45" customHeight="1">
      <c r="A3" s="40"/>
      <c r="B3" s="94"/>
      <c r="C3" s="57"/>
      <c r="D3" s="57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95"/>
      <c r="R3" s="38"/>
      <c r="S3" s="38"/>
      <c r="T3" s="38"/>
      <c r="U3" s="39"/>
      <c r="V3" s="4"/>
      <c r="W3" s="4"/>
    </row>
    <row r="4" spans="1:23" ht="10.5" customHeight="1">
      <c r="A4" s="40"/>
      <c r="B4" s="94"/>
      <c r="C4" s="58"/>
      <c r="D4" s="59"/>
      <c r="E4" s="60"/>
      <c r="F4" s="60"/>
      <c r="G4" s="60"/>
      <c r="H4" s="60"/>
      <c r="I4" s="60"/>
      <c r="J4" s="60"/>
      <c r="K4" s="60"/>
      <c r="L4" s="60"/>
      <c r="M4" s="60"/>
      <c r="N4" s="61"/>
      <c r="O4" s="56"/>
      <c r="P4" s="56"/>
      <c r="Q4" s="95"/>
      <c r="R4" s="38"/>
      <c r="S4" s="38"/>
      <c r="T4" s="38"/>
      <c r="U4" s="39"/>
      <c r="V4" s="4"/>
      <c r="W4" s="4"/>
    </row>
    <row r="5" spans="1:23" ht="32.25" customHeight="1">
      <c r="A5" s="41"/>
      <c r="B5" s="94"/>
      <c r="C5" s="62"/>
      <c r="D5" s="62"/>
      <c r="E5" s="162" t="s">
        <v>66</v>
      </c>
      <c r="F5" s="162"/>
      <c r="G5" s="162"/>
      <c r="H5" s="162"/>
      <c r="I5" s="162"/>
      <c r="J5" s="162"/>
      <c r="K5" s="162"/>
      <c r="L5" s="162"/>
      <c r="M5" s="162"/>
      <c r="N5" s="63"/>
      <c r="O5" s="56"/>
      <c r="P5" s="56"/>
      <c r="Q5" s="95"/>
      <c r="R5" s="38"/>
      <c r="S5" s="38"/>
      <c r="T5" s="38"/>
      <c r="U5" s="39"/>
      <c r="V5" s="4"/>
      <c r="W5" s="4"/>
    </row>
    <row r="6" spans="1:23" ht="17.45" customHeight="1">
      <c r="A6" s="40"/>
      <c r="B6" s="94"/>
      <c r="C6" s="64"/>
      <c r="D6" s="64"/>
      <c r="E6" s="65"/>
      <c r="F6" s="66"/>
      <c r="G6" s="66"/>
      <c r="H6" s="66"/>
      <c r="I6" s="66"/>
      <c r="J6" s="66"/>
      <c r="K6" s="66"/>
      <c r="L6" s="66"/>
      <c r="M6" s="66"/>
      <c r="N6" s="67"/>
      <c r="O6" s="68"/>
      <c r="P6" s="68"/>
      <c r="Q6" s="96"/>
      <c r="R6" s="38"/>
      <c r="S6" s="38"/>
      <c r="T6" s="38"/>
      <c r="U6" s="39"/>
      <c r="V6" s="4"/>
      <c r="W6" s="4"/>
    </row>
    <row r="7" spans="1:23" ht="17.45" customHeight="1">
      <c r="A7" s="40"/>
      <c r="B7" s="97"/>
      <c r="C7" s="69"/>
      <c r="D7" s="69"/>
      <c r="E7" s="70"/>
      <c r="F7" s="70"/>
      <c r="G7" s="70"/>
      <c r="H7" s="70"/>
      <c r="I7" s="70"/>
      <c r="J7" s="70"/>
      <c r="K7" s="70"/>
      <c r="L7" s="70"/>
      <c r="M7" s="56"/>
      <c r="N7" s="68"/>
      <c r="O7" s="68"/>
      <c r="P7" s="68"/>
      <c r="Q7" s="96"/>
      <c r="R7" s="38"/>
      <c r="S7" s="38"/>
      <c r="T7" s="38"/>
      <c r="U7" s="39"/>
      <c r="V7" s="4"/>
      <c r="W7" s="4"/>
    </row>
    <row r="8" spans="1:23" ht="17.45" customHeight="1">
      <c r="A8" s="40"/>
      <c r="B8" s="98"/>
      <c r="C8" s="71"/>
      <c r="D8" s="71"/>
      <c r="E8" s="72"/>
      <c r="F8" s="73"/>
      <c r="G8" s="73"/>
      <c r="H8" s="73"/>
      <c r="I8" s="74"/>
      <c r="J8" s="74"/>
      <c r="K8" s="74"/>
      <c r="L8" s="75"/>
      <c r="M8" s="56"/>
      <c r="N8" s="56"/>
      <c r="O8" s="68"/>
      <c r="P8" s="68"/>
      <c r="Q8" s="96"/>
      <c r="R8" s="38"/>
      <c r="S8" s="38"/>
      <c r="T8" s="38"/>
      <c r="U8" s="39"/>
      <c r="V8" s="4"/>
      <c r="W8" s="4"/>
    </row>
    <row r="9" spans="1:23" ht="17.45" customHeight="1">
      <c r="A9" s="40"/>
      <c r="B9" s="98"/>
      <c r="C9" s="71"/>
      <c r="D9" s="76"/>
      <c r="E9" s="74"/>
      <c r="F9" s="74"/>
      <c r="G9" s="74"/>
      <c r="H9" s="74"/>
      <c r="I9" s="74"/>
      <c r="J9" s="74"/>
      <c r="K9" s="74"/>
      <c r="L9" s="75"/>
      <c r="M9" s="56"/>
      <c r="N9" s="56"/>
      <c r="O9" s="68"/>
      <c r="P9" s="56"/>
      <c r="Q9" s="95"/>
      <c r="R9" s="38"/>
      <c r="S9" s="38"/>
      <c r="T9" s="38"/>
      <c r="U9" s="39"/>
      <c r="V9" s="4"/>
      <c r="W9" s="4"/>
    </row>
    <row r="10" spans="1:23" ht="17.45" customHeight="1">
      <c r="A10" s="40"/>
      <c r="B10" s="98"/>
      <c r="C10" s="71"/>
      <c r="D10" s="77"/>
      <c r="E10" s="78"/>
      <c r="F10" s="74"/>
      <c r="G10" s="74"/>
      <c r="H10" s="74"/>
      <c r="I10" s="74"/>
      <c r="J10" s="74"/>
      <c r="K10" s="74"/>
      <c r="L10" s="75"/>
      <c r="M10" s="56"/>
      <c r="N10" s="56"/>
      <c r="O10" s="68"/>
      <c r="P10" s="56"/>
      <c r="Q10" s="95"/>
      <c r="R10" s="38"/>
      <c r="S10" s="38"/>
      <c r="T10" s="38"/>
      <c r="U10" s="39"/>
      <c r="V10" s="4"/>
      <c r="W10" s="4"/>
    </row>
    <row r="11" spans="1:23" ht="12" customHeight="1">
      <c r="A11" s="40"/>
      <c r="B11" s="98"/>
      <c r="C11" s="71"/>
      <c r="D11" s="79"/>
      <c r="E11" s="74"/>
      <c r="F11" s="74"/>
      <c r="G11" s="74"/>
      <c r="H11" s="74"/>
      <c r="I11" s="74"/>
      <c r="J11" s="74"/>
      <c r="K11" s="74"/>
      <c r="L11" s="80"/>
      <c r="M11" s="80"/>
      <c r="N11" s="80"/>
      <c r="O11" s="81"/>
      <c r="P11" s="56"/>
      <c r="Q11" s="95"/>
      <c r="R11" s="38"/>
      <c r="S11" s="38"/>
      <c r="T11" s="38"/>
      <c r="U11" s="39"/>
      <c r="V11" s="4"/>
      <c r="W11" s="4"/>
    </row>
    <row r="12" spans="1:23" ht="17.45" customHeight="1">
      <c r="A12" s="40"/>
      <c r="B12" s="98"/>
      <c r="C12" s="71"/>
      <c r="D12" s="71"/>
      <c r="E12" s="74"/>
      <c r="F12" s="74"/>
      <c r="G12" s="74"/>
      <c r="H12" s="74"/>
      <c r="I12" s="74"/>
      <c r="J12" s="74"/>
      <c r="K12" s="74"/>
      <c r="L12" s="82"/>
      <c r="M12" s="80"/>
      <c r="N12" s="80"/>
      <c r="O12" s="81"/>
      <c r="P12" s="83"/>
      <c r="Q12" s="95"/>
      <c r="R12" s="38"/>
      <c r="S12" s="38"/>
      <c r="T12" s="38"/>
      <c r="U12" s="39"/>
      <c r="V12" s="4"/>
      <c r="W12" s="4"/>
    </row>
    <row r="13" spans="1:23" ht="17.25" customHeight="1">
      <c r="A13" s="40"/>
      <c r="B13" s="99"/>
      <c r="C13" s="71"/>
      <c r="D13" s="71"/>
      <c r="E13" s="84"/>
      <c r="F13" s="74"/>
      <c r="G13" s="74"/>
      <c r="H13" s="74"/>
      <c r="I13" s="74"/>
      <c r="J13" s="74"/>
      <c r="K13" s="74"/>
      <c r="L13" s="82"/>
      <c r="M13" s="80"/>
      <c r="N13" s="80"/>
      <c r="O13" s="81"/>
      <c r="P13" s="83"/>
      <c r="Q13" s="95"/>
      <c r="R13" s="38"/>
      <c r="S13" s="38"/>
      <c r="T13" s="38"/>
      <c r="U13" s="39"/>
      <c r="V13" s="4"/>
      <c r="W13" s="4"/>
    </row>
    <row r="14" spans="1:23" ht="17.25" customHeight="1">
      <c r="A14" s="40"/>
      <c r="B14" s="99"/>
      <c r="C14" s="85"/>
      <c r="D14" s="71"/>
      <c r="E14" s="74"/>
      <c r="F14" s="74"/>
      <c r="G14" s="74"/>
      <c r="H14" s="74"/>
      <c r="I14" s="74"/>
      <c r="J14" s="74"/>
      <c r="K14" s="74"/>
      <c r="L14" s="82"/>
      <c r="M14" s="80"/>
      <c r="N14" s="80"/>
      <c r="O14" s="81"/>
      <c r="P14" s="83"/>
      <c r="Q14" s="95"/>
      <c r="R14" s="38"/>
      <c r="S14" s="38"/>
      <c r="T14" s="38"/>
      <c r="U14" s="39"/>
      <c r="V14" s="4"/>
      <c r="W14" s="4"/>
    </row>
    <row r="15" spans="1:23" ht="17.45" customHeight="1">
      <c r="A15" s="44"/>
      <c r="B15" s="99"/>
      <c r="C15" s="71"/>
      <c r="D15" s="71"/>
      <c r="E15" s="74"/>
      <c r="F15" s="74"/>
      <c r="G15" s="74"/>
      <c r="H15" s="74"/>
      <c r="I15" s="74"/>
      <c r="J15" s="74"/>
      <c r="K15" s="74"/>
      <c r="L15" s="82"/>
      <c r="M15" s="80"/>
      <c r="N15" s="80"/>
      <c r="O15" s="81"/>
      <c r="P15" s="86"/>
      <c r="Q15" s="100"/>
      <c r="R15" s="38"/>
      <c r="S15" s="38"/>
      <c r="T15" s="38"/>
      <c r="U15" s="39"/>
      <c r="V15" s="4"/>
      <c r="W15" s="4"/>
    </row>
    <row r="16" spans="1:23" ht="17.45" customHeight="1">
      <c r="A16" s="44"/>
      <c r="B16" s="98"/>
      <c r="C16" s="71"/>
      <c r="D16" s="71"/>
      <c r="E16" s="87"/>
      <c r="F16" s="74"/>
      <c r="G16" s="74"/>
      <c r="H16" s="74"/>
      <c r="I16" s="74"/>
      <c r="J16" s="74"/>
      <c r="K16" s="74"/>
      <c r="L16" s="82"/>
      <c r="M16" s="80"/>
      <c r="N16" s="80"/>
      <c r="O16" s="81"/>
      <c r="P16" s="86"/>
      <c r="Q16" s="100"/>
      <c r="R16" s="38"/>
      <c r="S16" s="38"/>
      <c r="T16" s="38"/>
      <c r="U16" s="39"/>
      <c r="V16" s="4"/>
      <c r="W16" s="4"/>
    </row>
    <row r="17" spans="1:23" ht="17.45" customHeight="1">
      <c r="A17" s="44"/>
      <c r="B17" s="99"/>
      <c r="C17" s="71"/>
      <c r="D17" s="71"/>
      <c r="E17" s="74"/>
      <c r="F17" s="74"/>
      <c r="G17" s="74"/>
      <c r="H17" s="74"/>
      <c r="I17" s="74"/>
      <c r="J17" s="74"/>
      <c r="K17" s="74"/>
      <c r="L17" s="82"/>
      <c r="M17" s="80"/>
      <c r="N17" s="80"/>
      <c r="O17" s="81"/>
      <c r="P17" s="86"/>
      <c r="Q17" s="95"/>
      <c r="R17" s="38"/>
      <c r="S17" s="38"/>
      <c r="T17" s="38"/>
      <c r="U17" s="39"/>
      <c r="V17" s="4"/>
      <c r="W17" s="4"/>
    </row>
    <row r="18" spans="1:23" ht="17.25" customHeight="1">
      <c r="A18" s="44"/>
      <c r="B18" s="99"/>
      <c r="C18" s="71"/>
      <c r="D18" s="71"/>
      <c r="E18" s="74"/>
      <c r="F18" s="74"/>
      <c r="G18" s="74"/>
      <c r="H18" s="74"/>
      <c r="I18" s="74"/>
      <c r="J18" s="74"/>
      <c r="K18" s="74"/>
      <c r="L18" s="82"/>
      <c r="M18" s="80"/>
      <c r="N18" s="80"/>
      <c r="O18" s="81"/>
      <c r="P18" s="86"/>
      <c r="Q18" s="95"/>
      <c r="R18" s="38"/>
      <c r="S18" s="38"/>
      <c r="T18" s="38"/>
      <c r="U18" s="39"/>
      <c r="V18" s="4"/>
      <c r="W18" s="4"/>
    </row>
    <row r="19" spans="1:23" ht="17.45" customHeight="1">
      <c r="A19" s="44"/>
      <c r="B19" s="98"/>
      <c r="C19" s="71"/>
      <c r="D19" s="71"/>
      <c r="E19" s="74"/>
      <c r="F19" s="74"/>
      <c r="G19" s="74"/>
      <c r="H19" s="74"/>
      <c r="I19" s="74"/>
      <c r="J19" s="74"/>
      <c r="K19" s="74"/>
      <c r="L19" s="88"/>
      <c r="M19" s="80"/>
      <c r="N19" s="80"/>
      <c r="O19" s="81"/>
      <c r="P19" s="86"/>
      <c r="Q19" s="100"/>
      <c r="R19" s="38"/>
      <c r="S19" s="38"/>
      <c r="T19" s="38"/>
      <c r="U19" s="39"/>
      <c r="V19" s="4"/>
      <c r="W19" s="4"/>
    </row>
    <row r="20" spans="1:23" ht="17.45" customHeight="1">
      <c r="A20" s="44"/>
      <c r="B20" s="98"/>
      <c r="C20" s="71"/>
      <c r="D20" s="71"/>
      <c r="E20" s="74"/>
      <c r="F20" s="74"/>
      <c r="G20" s="74"/>
      <c r="H20" s="74"/>
      <c r="I20" s="74"/>
      <c r="J20" s="74"/>
      <c r="K20" s="74"/>
      <c r="L20" s="88"/>
      <c r="M20" s="80"/>
      <c r="N20" s="80"/>
      <c r="O20" s="81"/>
      <c r="P20" s="89"/>
      <c r="Q20" s="101"/>
      <c r="R20" s="38"/>
      <c r="S20" s="38"/>
      <c r="T20" s="38"/>
      <c r="U20" s="39"/>
      <c r="V20" s="4"/>
      <c r="W20" s="4"/>
    </row>
    <row r="21" spans="1:23" ht="17.45" customHeight="1">
      <c r="A21" s="44"/>
      <c r="B21" s="102"/>
      <c r="C21" s="103"/>
      <c r="D21" s="103"/>
      <c r="E21" s="104"/>
      <c r="F21" s="104"/>
      <c r="G21" s="104"/>
      <c r="H21" s="104"/>
      <c r="I21" s="104"/>
      <c r="J21" s="104"/>
      <c r="K21" s="104"/>
      <c r="L21" s="105"/>
      <c r="M21" s="106"/>
      <c r="N21" s="106"/>
      <c r="O21" s="107"/>
      <c r="P21" s="108"/>
      <c r="Q21" s="109"/>
      <c r="R21" s="38"/>
      <c r="S21" s="38"/>
      <c r="T21" s="38"/>
      <c r="U21" s="39"/>
      <c r="V21" s="4"/>
      <c r="W21" s="4"/>
    </row>
    <row r="22" spans="1:23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39"/>
      <c r="V22" s="4"/>
      <c r="W22" s="4"/>
    </row>
    <row r="23" spans="1:23" ht="15" customHeight="1">
      <c r="A23" s="52"/>
      <c r="B23" s="53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3"/>
      <c r="R23" s="52"/>
      <c r="S23" s="53"/>
      <c r="T23" s="54"/>
      <c r="U23" s="53"/>
      <c r="V23" s="4"/>
      <c r="W23" s="4"/>
    </row>
    <row r="24" spans="1:23" ht="15" customHeight="1">
      <c r="A24" s="52"/>
      <c r="B24" s="53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3"/>
      <c r="R24" s="52"/>
      <c r="S24" s="53"/>
      <c r="T24" s="54"/>
      <c r="U24" s="53"/>
      <c r="V24" s="4"/>
      <c r="W24" s="4"/>
    </row>
    <row r="25" spans="1:23" ht="15" customHeight="1">
      <c r="A25" s="52"/>
      <c r="B25" s="53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3"/>
      <c r="R25" s="52"/>
      <c r="S25" s="53"/>
      <c r="T25" s="54"/>
      <c r="U25" s="53"/>
      <c r="V25" s="4"/>
      <c r="W25" s="4"/>
    </row>
    <row r="26" spans="1:23">
      <c r="A26" s="52"/>
      <c r="B26" s="53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3"/>
      <c r="R26" s="52"/>
      <c r="S26" s="53"/>
      <c r="T26" s="54"/>
      <c r="U26" s="55"/>
    </row>
    <row r="27" spans="1:23">
      <c r="A27" s="52"/>
      <c r="B27" s="53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3"/>
      <c r="R27" s="52"/>
      <c r="S27" s="53"/>
      <c r="T27" s="54"/>
      <c r="U27" s="55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9" t="s">
        <v>23</v>
      </c>
    </row>
    <row r="72" spans="2:2">
      <c r="B72" s="10" t="s">
        <v>25</v>
      </c>
    </row>
    <row r="73" spans="2:2">
      <c r="B73" s="11" t="s">
        <v>29</v>
      </c>
    </row>
    <row r="74" spans="2:2">
      <c r="B74" s="12"/>
    </row>
    <row r="76" spans="2:2">
      <c r="B76" s="9" t="s">
        <v>23</v>
      </c>
    </row>
    <row r="77" spans="2:2">
      <c r="B77" s="10" t="s">
        <v>26</v>
      </c>
    </row>
    <row r="78" spans="2:2">
      <c r="B78" s="11" t="s">
        <v>30</v>
      </c>
    </row>
    <row r="79" spans="2:2">
      <c r="B79" s="12"/>
    </row>
    <row r="81" spans="2:2">
      <c r="B81" s="9" t="s">
        <v>31</v>
      </c>
    </row>
    <row r="82" spans="2:2">
      <c r="B82" s="10" t="s">
        <v>20</v>
      </c>
    </row>
    <row r="83" spans="2:2">
      <c r="B83" s="11" t="s">
        <v>27</v>
      </c>
    </row>
    <row r="84" spans="2:2">
      <c r="B84" s="11" t="s">
        <v>32</v>
      </c>
    </row>
    <row r="85" spans="2:2">
      <c r="B85" s="11" t="s">
        <v>33</v>
      </c>
    </row>
    <row r="86" spans="2:2">
      <c r="B86" s="11" t="s">
        <v>34</v>
      </c>
    </row>
    <row r="87" spans="2:2">
      <c r="B87" s="12" t="s">
        <v>35</v>
      </c>
    </row>
    <row r="88" spans="2:2">
      <c r="B88" s="3"/>
    </row>
    <row r="89" spans="2:2">
      <c r="B89" s="9" t="s">
        <v>36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37</v>
      </c>
    </row>
    <row r="95" spans="2:2">
      <c r="B95" s="15" t="s">
        <v>38</v>
      </c>
    </row>
    <row r="96" spans="2:2">
      <c r="B96" s="15" t="s">
        <v>28</v>
      </c>
    </row>
    <row r="97" spans="2:2">
      <c r="B97" s="16" t="s">
        <v>39</v>
      </c>
    </row>
    <row r="98" spans="2:2">
      <c r="B98" s="3"/>
    </row>
    <row r="99" spans="2:2">
      <c r="B99" s="9" t="s">
        <v>24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40</v>
      </c>
    </row>
    <row r="111" spans="2:2">
      <c r="B111" s="10" t="s">
        <v>41</v>
      </c>
    </row>
    <row r="112" spans="2:2">
      <c r="B112" s="11" t="s">
        <v>42</v>
      </c>
    </row>
    <row r="113" spans="2:2">
      <c r="B113" s="11" t="s">
        <v>43</v>
      </c>
    </row>
    <row r="114" spans="2:2">
      <c r="B114" s="12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14"/>
  <sheetViews>
    <sheetView showGridLines="0" tabSelected="1" zoomScaleNormal="100" workbookViewId="0">
      <pane xSplit="13" ySplit="4" topLeftCell="N5" activePane="bottomRight" state="frozen"/>
      <selection activeCell="E47" sqref="E47"/>
      <selection pane="topRight" activeCell="E47" sqref="E47"/>
      <selection pane="bottomLeft" activeCell="E47" sqref="E47"/>
      <selection pane="bottomRight" activeCell="A5" sqref="A5"/>
    </sheetView>
  </sheetViews>
  <sheetFormatPr baseColWidth="10" defaultRowHeight="14.25" customHeight="1"/>
  <cols>
    <col min="1" max="1" width="4.875" customWidth="1"/>
    <col min="2" max="2" width="6.75" customWidth="1"/>
    <col min="3" max="3" width="7.125" customWidth="1"/>
    <col min="4" max="4" width="7.625" customWidth="1"/>
    <col min="5" max="5" width="11.125" bestFit="1" customWidth="1"/>
    <col min="6" max="6" width="13.37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E1" s="142"/>
      <c r="F1" s="163" t="s">
        <v>17</v>
      </c>
      <c r="G1" s="163"/>
      <c r="H1" s="163"/>
      <c r="I1" s="163"/>
      <c r="J1" s="163"/>
      <c r="K1" s="163"/>
      <c r="L1" s="163"/>
      <c r="M1" s="163"/>
      <c r="N1" s="1"/>
      <c r="O1" s="2"/>
      <c r="P1" s="2"/>
      <c r="Q1" s="143"/>
      <c r="R1" s="143"/>
      <c r="S1" s="143"/>
      <c r="T1" s="143"/>
      <c r="U1" s="143"/>
      <c r="V1" s="143"/>
      <c r="W1" s="143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</row>
    <row r="2" spans="1:34" ht="27.75" thickBot="1">
      <c r="E2" s="144"/>
      <c r="F2" s="163" t="s">
        <v>18</v>
      </c>
      <c r="G2" s="163"/>
      <c r="H2" s="163"/>
      <c r="I2" s="163"/>
      <c r="J2" s="163"/>
      <c r="K2" s="163"/>
      <c r="L2" s="163"/>
      <c r="M2" s="163"/>
      <c r="N2" s="175" t="s">
        <v>100</v>
      </c>
      <c r="O2" s="176"/>
      <c r="P2" s="178" t="s">
        <v>101</v>
      </c>
      <c r="Q2" s="178"/>
      <c r="R2" s="178"/>
      <c r="S2" s="178"/>
      <c r="T2" s="178"/>
      <c r="U2" s="187"/>
      <c r="V2" s="177" t="s">
        <v>100</v>
      </c>
      <c r="W2" s="178"/>
      <c r="X2" s="169" t="s">
        <v>79</v>
      </c>
      <c r="Y2" s="170"/>
      <c r="Z2" s="170"/>
      <c r="AA2" s="170"/>
      <c r="AB2" s="168" t="s">
        <v>78</v>
      </c>
      <c r="AC2" s="168"/>
      <c r="AD2" s="171" t="s">
        <v>80</v>
      </c>
      <c r="AE2" s="171"/>
      <c r="AF2" s="171"/>
      <c r="AG2" s="171"/>
      <c r="AH2" s="172"/>
    </row>
    <row r="3" spans="1:34" ht="26.25">
      <c r="E3" s="145"/>
      <c r="F3" s="164" t="s">
        <v>90</v>
      </c>
      <c r="G3" s="165"/>
      <c r="H3" s="165"/>
      <c r="I3" s="165"/>
      <c r="J3" s="165"/>
      <c r="K3" s="165"/>
      <c r="L3" s="165"/>
      <c r="M3" s="166"/>
      <c r="N3" s="181" t="s">
        <v>102</v>
      </c>
      <c r="O3" s="182"/>
      <c r="P3" s="183" t="s">
        <v>65</v>
      </c>
      <c r="Q3" s="184"/>
      <c r="R3" s="183" t="s">
        <v>88</v>
      </c>
      <c r="S3" s="184"/>
      <c r="T3" s="185" t="s">
        <v>87</v>
      </c>
      <c r="U3" s="186"/>
      <c r="V3" s="179" t="s">
        <v>86</v>
      </c>
      <c r="W3" s="180"/>
      <c r="X3" s="173" t="s">
        <v>75</v>
      </c>
      <c r="Y3" s="174"/>
      <c r="Z3" s="146" t="s">
        <v>76</v>
      </c>
      <c r="AA3" s="146" t="s">
        <v>70</v>
      </c>
      <c r="AB3" s="147" t="s">
        <v>72</v>
      </c>
      <c r="AC3" s="147" t="s">
        <v>74</v>
      </c>
      <c r="AD3" s="167" t="s">
        <v>77</v>
      </c>
      <c r="AE3" s="167"/>
      <c r="AF3" s="167" t="s">
        <v>76</v>
      </c>
      <c r="AG3" s="167"/>
      <c r="AH3" s="148" t="s">
        <v>70</v>
      </c>
    </row>
    <row r="4" spans="1:34" ht="30">
      <c r="A4" s="149" t="s">
        <v>23</v>
      </c>
      <c r="B4" s="149" t="s">
        <v>103</v>
      </c>
      <c r="C4" s="149" t="s">
        <v>104</v>
      </c>
      <c r="D4" s="149" t="s">
        <v>19</v>
      </c>
      <c r="E4" s="149" t="s">
        <v>1</v>
      </c>
      <c r="F4" s="149" t="s">
        <v>105</v>
      </c>
      <c r="G4" s="149" t="s">
        <v>5</v>
      </c>
      <c r="H4" s="149" t="s">
        <v>106</v>
      </c>
      <c r="I4" s="149" t="s">
        <v>57</v>
      </c>
      <c r="J4" s="149" t="s">
        <v>89</v>
      </c>
      <c r="K4" s="149" t="s">
        <v>21</v>
      </c>
      <c r="L4" s="149" t="s">
        <v>22</v>
      </c>
      <c r="M4" s="149" t="s">
        <v>107</v>
      </c>
      <c r="N4" s="150" t="s">
        <v>16</v>
      </c>
      <c r="O4" s="150" t="s">
        <v>2</v>
      </c>
      <c r="P4" s="150" t="s">
        <v>16</v>
      </c>
      <c r="Q4" s="150" t="s">
        <v>2</v>
      </c>
      <c r="R4" s="150" t="s">
        <v>16</v>
      </c>
      <c r="S4" s="150" t="s">
        <v>2</v>
      </c>
      <c r="T4" s="150" t="s">
        <v>16</v>
      </c>
      <c r="U4" s="150" t="s">
        <v>2</v>
      </c>
      <c r="V4" s="150" t="s">
        <v>16</v>
      </c>
      <c r="W4" s="150" t="s">
        <v>2</v>
      </c>
      <c r="X4" s="151" t="s">
        <v>81</v>
      </c>
      <c r="Y4" s="151" t="s">
        <v>82</v>
      </c>
      <c r="Z4" s="151" t="s">
        <v>81</v>
      </c>
      <c r="AA4" s="151" t="s">
        <v>71</v>
      </c>
      <c r="AB4" s="152" t="s">
        <v>73</v>
      </c>
      <c r="AC4" s="152" t="s">
        <v>83</v>
      </c>
      <c r="AD4" s="153" t="s">
        <v>81</v>
      </c>
      <c r="AE4" s="153" t="s">
        <v>82</v>
      </c>
      <c r="AF4" s="153" t="s">
        <v>81</v>
      </c>
      <c r="AG4" s="153" t="s">
        <v>84</v>
      </c>
      <c r="AH4" s="153" t="s">
        <v>71</v>
      </c>
    </row>
    <row r="5" spans="1:34" ht="15.75">
      <c r="A5" s="154" t="s">
        <v>108</v>
      </c>
      <c r="B5" s="155">
        <v>127</v>
      </c>
      <c r="C5" s="155">
        <v>15.6</v>
      </c>
      <c r="D5" s="154" t="s">
        <v>109</v>
      </c>
      <c r="E5" s="156">
        <v>43478</v>
      </c>
      <c r="F5" s="157" t="s">
        <v>92</v>
      </c>
      <c r="G5" s="21">
        <v>7886</v>
      </c>
      <c r="H5" s="20">
        <v>91126</v>
      </c>
      <c r="I5" s="20">
        <v>3042837</v>
      </c>
      <c r="J5" s="158">
        <v>364</v>
      </c>
      <c r="K5" s="20">
        <v>52</v>
      </c>
      <c r="L5" s="21">
        <v>3.33</v>
      </c>
      <c r="M5" s="21">
        <v>13</v>
      </c>
      <c r="N5" s="132">
        <v>98.6</v>
      </c>
      <c r="O5" s="22">
        <v>113.3</v>
      </c>
      <c r="P5" s="22"/>
      <c r="Q5" s="22"/>
      <c r="R5" s="22"/>
      <c r="S5" s="22"/>
      <c r="T5" s="22"/>
      <c r="U5" s="22"/>
      <c r="V5" s="21">
        <v>99</v>
      </c>
      <c r="W5" s="132">
        <v>113.2</v>
      </c>
      <c r="X5" s="159">
        <v>880</v>
      </c>
      <c r="Y5" s="159">
        <v>800</v>
      </c>
      <c r="Z5" s="160">
        <v>930</v>
      </c>
      <c r="AA5" s="160">
        <v>130</v>
      </c>
      <c r="AB5" s="161">
        <v>0.12</v>
      </c>
      <c r="AC5" s="160">
        <v>1400</v>
      </c>
      <c r="AD5" s="155">
        <v>675</v>
      </c>
      <c r="AE5" s="155">
        <v>580</v>
      </c>
      <c r="AF5" s="155">
        <v>675</v>
      </c>
      <c r="AG5" s="155">
        <v>675</v>
      </c>
      <c r="AH5" s="160">
        <v>130</v>
      </c>
    </row>
    <row r="14" spans="1:34" ht="14.25" customHeight="1">
      <c r="F14" s="193"/>
    </row>
  </sheetData>
  <protectedRanges>
    <protectedRange sqref="H5:I15 K7:K15" name="Rango1_1"/>
    <protectedRange sqref="K5:K6" name="Rango1_1_2"/>
    <protectedRange sqref="E5" name="Rango1_1_1"/>
  </protectedRanges>
  <autoFilter ref="A4:DI4" xr:uid="{00000000-0001-0000-0200-000000000000}"/>
  <mergeCells count="17">
    <mergeCell ref="P2:U2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N2:O2"/>
    <mergeCell ref="V2:W2"/>
    <mergeCell ref="V3:W3"/>
    <mergeCell ref="N3:O3"/>
    <mergeCell ref="P3:Q3"/>
    <mergeCell ref="R3:S3"/>
    <mergeCell ref="T3:U3"/>
  </mergeCells>
  <phoneticPr fontId="0" type="noConversion"/>
  <conditionalFormatting sqref="F5">
    <cfRule type="expression" dxfId="16" priority="98" stopIfTrue="1">
      <formula>"SEVERSTAL"</formula>
    </cfRule>
  </conditionalFormatting>
  <conditionalFormatting sqref="H5:I5">
    <cfRule type="cellIs" dxfId="15" priority="99" stopIfTrue="1" operator="equal">
      <formula>"APROBADO"</formula>
    </cfRule>
    <cfRule type="cellIs" dxfId="14" priority="100" stopIfTrue="1" operator="equal">
      <formula>"ESPERA"</formula>
    </cfRule>
    <cfRule type="cellIs" dxfId="13" priority="101" stopIfTrue="1" operator="equal">
      <formula>"RECHAZADO"</formula>
    </cfRule>
  </conditionalFormatting>
  <conditionalFormatting sqref="K5">
    <cfRule type="cellIs" dxfId="12" priority="2" stopIfTrue="1" operator="equal">
      <formula>"APROBADO"</formula>
    </cfRule>
    <cfRule type="cellIs" dxfId="11" priority="3" stopIfTrue="1" operator="equal">
      <formula>"ESPERA"</formula>
    </cfRule>
    <cfRule type="cellIs" dxfId="10" priority="4" stopIfTrue="1" operator="equal">
      <formula>"RECHAZADO"</formula>
    </cfRule>
  </conditionalFormatting>
  <conditionalFormatting sqref="E5">
    <cfRule type="expression" dxfId="9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44"/>
  <sheetViews>
    <sheetView showGridLines="0" zoomScale="90" zoomScaleNormal="90" workbookViewId="0">
      <pane xSplit="7" ySplit="5" topLeftCell="H6" activePane="bottomRight" state="frozen"/>
      <selection activeCell="E47" sqref="E47"/>
      <selection pane="topRight" activeCell="E47" sqref="E47"/>
      <selection pane="bottomLeft" activeCell="E47" sqref="E47"/>
      <selection pane="bottomRight" activeCell="E47" sqref="E47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6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54</v>
      </c>
      <c r="H1" s="1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23"/>
      <c r="I2" s="27"/>
      <c r="J2" s="28" t="s">
        <v>90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33"/>
      <c r="AB2" s="134"/>
      <c r="AC2" s="134"/>
      <c r="AD2" s="135" t="s">
        <v>94</v>
      </c>
      <c r="AE2" s="135" t="s">
        <v>95</v>
      </c>
      <c r="AF2" s="135" t="s">
        <v>96</v>
      </c>
      <c r="AG2" s="136" t="s">
        <v>97</v>
      </c>
    </row>
    <row r="3" spans="1:33" ht="26.25" customHeight="1">
      <c r="A3" s="24"/>
      <c r="B3" s="24"/>
      <c r="C3" s="24"/>
      <c r="D3" s="24"/>
      <c r="E3" s="24"/>
      <c r="F3" s="29"/>
      <c r="G3" s="24"/>
      <c r="H3" s="125"/>
      <c r="I3" s="189" t="s">
        <v>55</v>
      </c>
      <c r="J3" s="189"/>
      <c r="K3" s="189"/>
      <c r="L3" s="189"/>
      <c r="M3" s="189"/>
      <c r="N3" s="189"/>
      <c r="O3" s="189"/>
      <c r="P3" s="188" t="s">
        <v>56</v>
      </c>
      <c r="Q3" s="188"/>
      <c r="R3" s="188"/>
      <c r="S3" s="188"/>
      <c r="T3" s="188"/>
      <c r="U3" s="188"/>
      <c r="V3" s="128"/>
      <c r="W3" s="23"/>
      <c r="X3" s="23"/>
      <c r="Y3" s="23"/>
      <c r="Z3" s="23"/>
      <c r="AA3" s="137"/>
      <c r="AB3" s="137"/>
      <c r="AC3" s="138" t="s">
        <v>98</v>
      </c>
      <c r="AD3" s="139">
        <v>128</v>
      </c>
      <c r="AE3" s="140">
        <f>22*AD3/60</f>
        <v>46.93333333333333</v>
      </c>
      <c r="AF3" s="140">
        <f>3600/AD3</f>
        <v>28.125</v>
      </c>
      <c r="AG3" s="141">
        <f>AF3*8</f>
        <v>225</v>
      </c>
    </row>
    <row r="4" spans="1:33" ht="21" customHeight="1">
      <c r="A4" s="30"/>
      <c r="B4" s="24"/>
      <c r="C4" s="24"/>
      <c r="D4" s="24"/>
      <c r="E4" s="24"/>
      <c r="F4" s="31"/>
      <c r="G4" s="32"/>
      <c r="H4" s="124"/>
      <c r="I4" s="191" t="s">
        <v>8</v>
      </c>
      <c r="J4" s="192"/>
      <c r="K4" s="190" t="s">
        <v>9</v>
      </c>
      <c r="L4" s="191"/>
      <c r="M4" s="191"/>
      <c r="N4" s="191"/>
      <c r="O4" s="192"/>
      <c r="P4" s="190" t="s">
        <v>13</v>
      </c>
      <c r="Q4" s="192"/>
      <c r="R4" s="190" t="s">
        <v>9</v>
      </c>
      <c r="S4" s="191"/>
      <c r="T4" s="191"/>
      <c r="U4" s="191"/>
      <c r="V4" s="129"/>
      <c r="W4" s="33"/>
      <c r="X4" s="23"/>
      <c r="Y4" s="23"/>
      <c r="Z4" s="23"/>
      <c r="AA4" s="137"/>
      <c r="AB4" s="137"/>
      <c r="AC4" s="138" t="s">
        <v>99</v>
      </c>
      <c r="AD4" s="139">
        <f>AD3</f>
        <v>128</v>
      </c>
      <c r="AE4" s="140">
        <f>34*AD4/60</f>
        <v>72.533333333333331</v>
      </c>
      <c r="AF4" s="140">
        <f>3600/AD4</f>
        <v>28.125</v>
      </c>
      <c r="AG4" s="141">
        <f>AF4*8</f>
        <v>225</v>
      </c>
    </row>
    <row r="5" spans="1:33" ht="56.25" customHeight="1">
      <c r="A5" s="130" t="s">
        <v>1</v>
      </c>
      <c r="B5" s="130" t="s">
        <v>4</v>
      </c>
      <c r="C5" s="130" t="s">
        <v>57</v>
      </c>
      <c r="D5" s="130" t="s">
        <v>110</v>
      </c>
      <c r="E5" s="130" t="s">
        <v>3</v>
      </c>
      <c r="F5" s="130" t="s">
        <v>5</v>
      </c>
      <c r="G5" s="130" t="s">
        <v>12</v>
      </c>
      <c r="H5" s="131" t="s">
        <v>68</v>
      </c>
      <c r="I5" s="130" t="s">
        <v>7</v>
      </c>
      <c r="J5" s="130" t="s">
        <v>61</v>
      </c>
      <c r="K5" s="130" t="s">
        <v>60</v>
      </c>
      <c r="L5" s="130" t="s">
        <v>10</v>
      </c>
      <c r="M5" s="130" t="s">
        <v>11</v>
      </c>
      <c r="N5" s="130" t="s">
        <v>15</v>
      </c>
      <c r="O5" s="130" t="s">
        <v>62</v>
      </c>
      <c r="P5" s="130" t="s">
        <v>63</v>
      </c>
      <c r="Q5" s="130" t="s">
        <v>7</v>
      </c>
      <c r="R5" s="130" t="s">
        <v>10</v>
      </c>
      <c r="S5" s="130" t="s">
        <v>11</v>
      </c>
      <c r="T5" s="130" t="s">
        <v>15</v>
      </c>
      <c r="U5" s="130" t="s">
        <v>64</v>
      </c>
      <c r="V5" s="130" t="s">
        <v>60</v>
      </c>
      <c r="W5" s="130" t="s">
        <v>0</v>
      </c>
      <c r="X5" s="130" t="s">
        <v>6</v>
      </c>
      <c r="Y5" s="130" t="s">
        <v>52</v>
      </c>
      <c r="Z5" s="130" t="s">
        <v>59</v>
      </c>
      <c r="AA5" s="130" t="s">
        <v>85</v>
      </c>
      <c r="AB5" s="130" t="s">
        <v>67</v>
      </c>
      <c r="AC5" s="130" t="s">
        <v>58</v>
      </c>
      <c r="AD5" s="130" t="s">
        <v>93</v>
      </c>
      <c r="AE5" s="130" t="s">
        <v>51</v>
      </c>
      <c r="AF5" s="130" t="s">
        <v>69</v>
      </c>
      <c r="AG5" s="130" t="s">
        <v>53</v>
      </c>
    </row>
    <row r="6" spans="1:33" ht="15.75">
      <c r="A6" s="121">
        <v>43478</v>
      </c>
      <c r="B6" s="35">
        <v>2</v>
      </c>
      <c r="C6" s="35">
        <v>3042837</v>
      </c>
      <c r="D6" s="157" t="s">
        <v>92</v>
      </c>
      <c r="E6" s="111">
        <v>91126</v>
      </c>
      <c r="F6" s="35">
        <v>91126</v>
      </c>
      <c r="G6" s="112">
        <v>28</v>
      </c>
      <c r="H6" s="126" t="s">
        <v>91</v>
      </c>
      <c r="I6" s="113">
        <v>0</v>
      </c>
      <c r="J6" s="114">
        <v>0</v>
      </c>
      <c r="K6" s="120">
        <v>0</v>
      </c>
      <c r="L6" s="115">
        <v>0</v>
      </c>
      <c r="M6" s="113">
        <v>0</v>
      </c>
      <c r="N6" s="116">
        <v>0</v>
      </c>
      <c r="O6" s="112">
        <v>0</v>
      </c>
      <c r="P6" s="115">
        <v>0</v>
      </c>
      <c r="Q6" s="112">
        <v>0</v>
      </c>
      <c r="R6" s="115">
        <v>0</v>
      </c>
      <c r="S6" s="113">
        <v>0</v>
      </c>
      <c r="T6" s="116">
        <v>0</v>
      </c>
      <c r="U6" s="115">
        <v>0</v>
      </c>
      <c r="V6" s="115">
        <v>0</v>
      </c>
      <c r="W6" s="34">
        <f t="shared" ref="W6:W18" si="0">+G6-(SUM(I6:N6,P6,Q6,R6,S6,T6,V6))</f>
        <v>28</v>
      </c>
      <c r="X6" s="117"/>
      <c r="Y6" s="117"/>
      <c r="Z6" s="117"/>
      <c r="AA6" s="117"/>
      <c r="AB6" s="117"/>
      <c r="AC6" s="117"/>
      <c r="AD6" s="127">
        <f t="shared" ref="AD6:AD20" si="1">W6-SUM(Y6:AC6)</f>
        <v>28</v>
      </c>
      <c r="AE6" s="118"/>
      <c r="AF6" s="119"/>
      <c r="AG6" s="111"/>
    </row>
    <row r="7" spans="1:33" ht="15.75">
      <c r="A7" s="121"/>
      <c r="B7" s="35"/>
      <c r="C7" s="35"/>
      <c r="D7" s="35"/>
      <c r="E7" s="111"/>
      <c r="F7" s="35"/>
      <c r="G7" s="112"/>
      <c r="H7" s="126"/>
      <c r="I7" s="113">
        <v>0</v>
      </c>
      <c r="J7" s="114">
        <v>0</v>
      </c>
      <c r="K7" s="120">
        <v>0</v>
      </c>
      <c r="L7" s="115">
        <v>0</v>
      </c>
      <c r="M7" s="113">
        <v>0</v>
      </c>
      <c r="N7" s="116">
        <v>0</v>
      </c>
      <c r="O7" s="112">
        <v>0</v>
      </c>
      <c r="P7" s="115">
        <v>0</v>
      </c>
      <c r="Q7" s="112">
        <v>0</v>
      </c>
      <c r="R7" s="115">
        <v>0</v>
      </c>
      <c r="S7" s="113">
        <v>0</v>
      </c>
      <c r="T7" s="116">
        <v>0</v>
      </c>
      <c r="U7" s="115">
        <v>0</v>
      </c>
      <c r="V7" s="115">
        <v>0</v>
      </c>
      <c r="W7" s="34">
        <f t="shared" si="0"/>
        <v>0</v>
      </c>
      <c r="X7" s="117"/>
      <c r="Y7" s="117"/>
      <c r="Z7" s="117"/>
      <c r="AA7" s="117"/>
      <c r="AB7" s="117"/>
      <c r="AC7" s="117"/>
      <c r="AD7" s="127">
        <f t="shared" si="1"/>
        <v>0</v>
      </c>
      <c r="AE7" s="118"/>
      <c r="AF7" s="119"/>
      <c r="AG7" s="111"/>
    </row>
    <row r="8" spans="1:33" ht="15.75">
      <c r="A8" s="121"/>
      <c r="B8" s="35"/>
      <c r="C8" s="35"/>
      <c r="D8" s="35"/>
      <c r="E8" s="111"/>
      <c r="F8" s="35"/>
      <c r="G8" s="112"/>
      <c r="H8" s="126"/>
      <c r="I8" s="113">
        <v>0</v>
      </c>
      <c r="J8" s="114">
        <v>0</v>
      </c>
      <c r="K8" s="120">
        <v>0</v>
      </c>
      <c r="L8" s="115">
        <v>0</v>
      </c>
      <c r="M8" s="113">
        <v>0</v>
      </c>
      <c r="N8" s="116">
        <v>0</v>
      </c>
      <c r="O8" s="112">
        <v>0</v>
      </c>
      <c r="P8" s="115">
        <v>0</v>
      </c>
      <c r="Q8" s="112">
        <v>0</v>
      </c>
      <c r="R8" s="115">
        <v>0</v>
      </c>
      <c r="S8" s="113">
        <v>0</v>
      </c>
      <c r="T8" s="116">
        <v>0</v>
      </c>
      <c r="U8" s="115">
        <v>0</v>
      </c>
      <c r="V8" s="115">
        <v>0</v>
      </c>
      <c r="W8" s="34">
        <f t="shared" si="0"/>
        <v>0</v>
      </c>
      <c r="X8" s="117"/>
      <c r="Y8" s="117"/>
      <c r="Z8" s="117"/>
      <c r="AA8" s="117"/>
      <c r="AB8" s="117"/>
      <c r="AC8" s="117"/>
      <c r="AD8" s="127">
        <f t="shared" si="1"/>
        <v>0</v>
      </c>
      <c r="AE8" s="118"/>
      <c r="AF8" s="119"/>
      <c r="AG8" s="111"/>
    </row>
    <row r="9" spans="1:33" ht="15.75">
      <c r="A9" s="121"/>
      <c r="B9" s="35"/>
      <c r="C9" s="35"/>
      <c r="D9" s="35"/>
      <c r="E9" s="111"/>
      <c r="F9" s="35"/>
      <c r="G9" s="112"/>
      <c r="H9" s="126"/>
      <c r="I9" s="113">
        <v>0</v>
      </c>
      <c r="J9" s="114">
        <v>0</v>
      </c>
      <c r="K9" s="120">
        <v>0</v>
      </c>
      <c r="L9" s="115">
        <v>0</v>
      </c>
      <c r="M9" s="113">
        <v>0</v>
      </c>
      <c r="N9" s="116">
        <v>0</v>
      </c>
      <c r="O9" s="112">
        <v>0</v>
      </c>
      <c r="P9" s="115">
        <v>0</v>
      </c>
      <c r="Q9" s="112">
        <v>0</v>
      </c>
      <c r="R9" s="115">
        <v>0</v>
      </c>
      <c r="S9" s="113">
        <v>0</v>
      </c>
      <c r="T9" s="116">
        <v>0</v>
      </c>
      <c r="U9" s="115">
        <v>0</v>
      </c>
      <c r="V9" s="115">
        <v>0</v>
      </c>
      <c r="W9" s="34">
        <f t="shared" si="0"/>
        <v>0</v>
      </c>
      <c r="X9" s="117"/>
      <c r="Y9" s="117"/>
      <c r="Z9" s="117"/>
      <c r="AA9" s="117"/>
      <c r="AB9" s="117"/>
      <c r="AC9" s="117"/>
      <c r="AD9" s="127">
        <f t="shared" si="1"/>
        <v>0</v>
      </c>
      <c r="AE9" s="118"/>
      <c r="AF9" s="119"/>
      <c r="AG9" s="111"/>
    </row>
    <row r="10" spans="1:33" ht="15.75">
      <c r="A10" s="121"/>
      <c r="B10" s="35"/>
      <c r="C10" s="35"/>
      <c r="D10" s="35"/>
      <c r="E10" s="111"/>
      <c r="F10" s="35"/>
      <c r="G10" s="112"/>
      <c r="H10" s="126"/>
      <c r="I10" s="113">
        <v>0</v>
      </c>
      <c r="J10" s="114">
        <v>0</v>
      </c>
      <c r="K10" s="120">
        <v>0</v>
      </c>
      <c r="L10" s="115">
        <v>0</v>
      </c>
      <c r="M10" s="113">
        <v>0</v>
      </c>
      <c r="N10" s="116">
        <v>0</v>
      </c>
      <c r="O10" s="112">
        <v>0</v>
      </c>
      <c r="P10" s="115">
        <v>0</v>
      </c>
      <c r="Q10" s="112">
        <v>0</v>
      </c>
      <c r="R10" s="115">
        <v>0</v>
      </c>
      <c r="S10" s="113">
        <v>0</v>
      </c>
      <c r="T10" s="116">
        <v>0</v>
      </c>
      <c r="U10" s="115">
        <v>0</v>
      </c>
      <c r="V10" s="115">
        <v>0</v>
      </c>
      <c r="W10" s="34">
        <f t="shared" si="0"/>
        <v>0</v>
      </c>
      <c r="X10" s="117"/>
      <c r="Y10" s="117"/>
      <c r="Z10" s="117"/>
      <c r="AA10" s="117"/>
      <c r="AB10" s="117"/>
      <c r="AC10" s="117"/>
      <c r="AD10" s="127">
        <f t="shared" si="1"/>
        <v>0</v>
      </c>
      <c r="AE10" s="118"/>
      <c r="AF10" s="119"/>
      <c r="AG10" s="111"/>
    </row>
    <row r="11" spans="1:33" ht="15.75">
      <c r="A11" s="121"/>
      <c r="B11" s="35"/>
      <c r="C11" s="35"/>
      <c r="D11" s="35"/>
      <c r="E11" s="111"/>
      <c r="F11" s="35"/>
      <c r="G11" s="112"/>
      <c r="H11" s="126"/>
      <c r="I11" s="113">
        <v>0</v>
      </c>
      <c r="J11" s="114">
        <v>0</v>
      </c>
      <c r="K11" s="120">
        <v>0</v>
      </c>
      <c r="L11" s="115">
        <v>0</v>
      </c>
      <c r="M11" s="113">
        <v>0</v>
      </c>
      <c r="N11" s="116">
        <v>0</v>
      </c>
      <c r="O11" s="112">
        <v>0</v>
      </c>
      <c r="P11" s="115">
        <v>0</v>
      </c>
      <c r="Q11" s="112">
        <v>0</v>
      </c>
      <c r="R11" s="115">
        <v>0</v>
      </c>
      <c r="S11" s="113">
        <v>0</v>
      </c>
      <c r="T11" s="116">
        <v>0</v>
      </c>
      <c r="U11" s="115">
        <v>0</v>
      </c>
      <c r="V11" s="115">
        <v>0</v>
      </c>
      <c r="W11" s="34">
        <f t="shared" si="0"/>
        <v>0</v>
      </c>
      <c r="X11" s="117"/>
      <c r="Y11" s="117"/>
      <c r="Z11" s="117"/>
      <c r="AA11" s="117"/>
      <c r="AB11" s="117"/>
      <c r="AC11" s="117"/>
      <c r="AD11" s="127">
        <f t="shared" si="1"/>
        <v>0</v>
      </c>
      <c r="AE11" s="118"/>
      <c r="AF11" s="119"/>
      <c r="AG11" s="111"/>
    </row>
    <row r="12" spans="1:33" ht="15.75">
      <c r="A12" s="121"/>
      <c r="B12" s="35"/>
      <c r="C12" s="35"/>
      <c r="D12" s="35"/>
      <c r="E12" s="111"/>
      <c r="F12" s="35"/>
      <c r="G12" s="112"/>
      <c r="H12" s="126"/>
      <c r="I12" s="113">
        <v>0</v>
      </c>
      <c r="J12" s="114">
        <v>0</v>
      </c>
      <c r="K12" s="120">
        <v>0</v>
      </c>
      <c r="L12" s="115">
        <v>0</v>
      </c>
      <c r="M12" s="113">
        <v>0</v>
      </c>
      <c r="N12" s="116">
        <v>0</v>
      </c>
      <c r="O12" s="112">
        <v>0</v>
      </c>
      <c r="P12" s="115">
        <v>0</v>
      </c>
      <c r="Q12" s="112">
        <v>0</v>
      </c>
      <c r="R12" s="115">
        <v>0</v>
      </c>
      <c r="S12" s="113">
        <v>0</v>
      </c>
      <c r="T12" s="116">
        <v>0</v>
      </c>
      <c r="U12" s="115">
        <v>0</v>
      </c>
      <c r="V12" s="115">
        <v>0</v>
      </c>
      <c r="W12" s="34">
        <f t="shared" si="0"/>
        <v>0</v>
      </c>
      <c r="X12" s="117"/>
      <c r="Y12" s="117"/>
      <c r="Z12" s="117"/>
      <c r="AA12" s="117"/>
      <c r="AB12" s="117"/>
      <c r="AC12" s="117"/>
      <c r="AD12" s="127">
        <f t="shared" si="1"/>
        <v>0</v>
      </c>
      <c r="AE12" s="118"/>
      <c r="AF12" s="119"/>
      <c r="AG12" s="111"/>
    </row>
    <row r="13" spans="1:33" ht="15.75">
      <c r="A13" s="121"/>
      <c r="B13" s="35"/>
      <c r="C13" s="35"/>
      <c r="D13" s="35"/>
      <c r="E13" s="111"/>
      <c r="F13" s="35"/>
      <c r="G13" s="112"/>
      <c r="H13" s="126"/>
      <c r="I13" s="113">
        <v>0</v>
      </c>
      <c r="J13" s="114">
        <v>0</v>
      </c>
      <c r="K13" s="120">
        <v>0</v>
      </c>
      <c r="L13" s="115">
        <v>0</v>
      </c>
      <c r="M13" s="113">
        <v>0</v>
      </c>
      <c r="N13" s="116">
        <v>0</v>
      </c>
      <c r="O13" s="112">
        <v>0</v>
      </c>
      <c r="P13" s="115">
        <v>0</v>
      </c>
      <c r="Q13" s="112">
        <v>0</v>
      </c>
      <c r="R13" s="115">
        <v>0</v>
      </c>
      <c r="S13" s="113">
        <v>0</v>
      </c>
      <c r="T13" s="116">
        <v>0</v>
      </c>
      <c r="U13" s="115">
        <v>0</v>
      </c>
      <c r="V13" s="115">
        <v>0</v>
      </c>
      <c r="W13" s="34">
        <f t="shared" si="0"/>
        <v>0</v>
      </c>
      <c r="X13" s="117"/>
      <c r="Y13" s="117"/>
      <c r="Z13" s="117"/>
      <c r="AA13" s="117"/>
      <c r="AB13" s="117"/>
      <c r="AC13" s="117"/>
      <c r="AD13" s="127">
        <f t="shared" si="1"/>
        <v>0</v>
      </c>
      <c r="AE13" s="118"/>
      <c r="AF13" s="119"/>
      <c r="AG13" s="111"/>
    </row>
    <row r="14" spans="1:33" ht="15.75">
      <c r="A14" s="121"/>
      <c r="B14" s="35"/>
      <c r="C14" s="35"/>
      <c r="D14" s="35"/>
      <c r="E14" s="111"/>
      <c r="F14" s="35"/>
      <c r="G14" s="112"/>
      <c r="H14" s="126"/>
      <c r="I14" s="113">
        <v>0</v>
      </c>
      <c r="J14" s="114">
        <v>0</v>
      </c>
      <c r="K14" s="120">
        <v>0</v>
      </c>
      <c r="L14" s="115">
        <v>0</v>
      </c>
      <c r="M14" s="113">
        <v>0</v>
      </c>
      <c r="N14" s="116">
        <v>0</v>
      </c>
      <c r="O14" s="112">
        <v>0</v>
      </c>
      <c r="P14" s="115">
        <v>0</v>
      </c>
      <c r="Q14" s="112">
        <v>0</v>
      </c>
      <c r="R14" s="115">
        <v>0</v>
      </c>
      <c r="S14" s="113">
        <v>0</v>
      </c>
      <c r="T14" s="116">
        <v>0</v>
      </c>
      <c r="U14" s="115">
        <v>0</v>
      </c>
      <c r="V14" s="115">
        <v>0</v>
      </c>
      <c r="W14" s="34">
        <f t="shared" si="0"/>
        <v>0</v>
      </c>
      <c r="X14" s="117"/>
      <c r="Y14" s="117"/>
      <c r="Z14" s="117"/>
      <c r="AA14" s="117"/>
      <c r="AB14" s="117"/>
      <c r="AC14" s="117"/>
      <c r="AD14" s="127">
        <f t="shared" si="1"/>
        <v>0</v>
      </c>
      <c r="AE14" s="118"/>
      <c r="AF14" s="119"/>
      <c r="AG14" s="111"/>
    </row>
    <row r="15" spans="1:33" ht="15.75">
      <c r="A15" s="121"/>
      <c r="B15" s="35"/>
      <c r="C15" s="35"/>
      <c r="D15" s="35"/>
      <c r="E15" s="111"/>
      <c r="F15" s="35"/>
      <c r="G15" s="112"/>
      <c r="H15" s="126"/>
      <c r="I15" s="113">
        <v>0</v>
      </c>
      <c r="J15" s="114">
        <v>0</v>
      </c>
      <c r="K15" s="120">
        <v>0</v>
      </c>
      <c r="L15" s="115">
        <v>0</v>
      </c>
      <c r="M15" s="113">
        <v>0</v>
      </c>
      <c r="N15" s="116">
        <v>0</v>
      </c>
      <c r="O15" s="112">
        <v>0</v>
      </c>
      <c r="P15" s="115">
        <v>0</v>
      </c>
      <c r="Q15" s="112">
        <v>0</v>
      </c>
      <c r="R15" s="115">
        <v>0</v>
      </c>
      <c r="S15" s="113">
        <v>0</v>
      </c>
      <c r="T15" s="116">
        <v>0</v>
      </c>
      <c r="U15" s="115">
        <v>0</v>
      </c>
      <c r="V15" s="115">
        <v>0</v>
      </c>
      <c r="W15" s="34">
        <f t="shared" si="0"/>
        <v>0</v>
      </c>
      <c r="X15" s="117"/>
      <c r="Y15" s="117"/>
      <c r="Z15" s="117"/>
      <c r="AA15" s="117"/>
      <c r="AB15" s="117"/>
      <c r="AC15" s="117"/>
      <c r="AD15" s="127">
        <f t="shared" si="1"/>
        <v>0</v>
      </c>
      <c r="AE15" s="118"/>
      <c r="AF15" s="119"/>
      <c r="AG15" s="111"/>
    </row>
    <row r="16" spans="1:33" ht="15.75">
      <c r="A16" s="121"/>
      <c r="B16" s="35"/>
      <c r="C16" s="35"/>
      <c r="D16" s="35"/>
      <c r="E16" s="111"/>
      <c r="F16" s="35"/>
      <c r="G16" s="112"/>
      <c r="H16" s="126"/>
      <c r="I16" s="113">
        <v>0</v>
      </c>
      <c r="J16" s="114">
        <v>0</v>
      </c>
      <c r="K16" s="120">
        <v>0</v>
      </c>
      <c r="L16" s="115">
        <v>0</v>
      </c>
      <c r="M16" s="113">
        <v>0</v>
      </c>
      <c r="N16" s="116">
        <v>0</v>
      </c>
      <c r="O16" s="112">
        <v>0</v>
      </c>
      <c r="P16" s="115">
        <v>0</v>
      </c>
      <c r="Q16" s="112">
        <v>0</v>
      </c>
      <c r="R16" s="115">
        <v>0</v>
      </c>
      <c r="S16" s="113">
        <v>0</v>
      </c>
      <c r="T16" s="116">
        <v>0</v>
      </c>
      <c r="U16" s="115">
        <v>0</v>
      </c>
      <c r="V16" s="115">
        <v>0</v>
      </c>
      <c r="W16" s="34">
        <f t="shared" si="0"/>
        <v>0</v>
      </c>
      <c r="X16" s="117"/>
      <c r="Y16" s="117"/>
      <c r="Z16" s="117"/>
      <c r="AA16" s="117"/>
      <c r="AB16" s="117"/>
      <c r="AC16" s="117"/>
      <c r="AD16" s="127">
        <f t="shared" si="1"/>
        <v>0</v>
      </c>
      <c r="AE16" s="118"/>
      <c r="AF16" s="119"/>
      <c r="AG16" s="111"/>
    </row>
    <row r="17" spans="1:33" ht="15.75">
      <c r="A17" s="110"/>
      <c r="B17" s="35"/>
      <c r="C17" s="35"/>
      <c r="D17" s="35"/>
      <c r="E17" s="111"/>
      <c r="F17" s="35"/>
      <c r="G17" s="112"/>
      <c r="H17" s="126"/>
      <c r="I17" s="113">
        <v>0</v>
      </c>
      <c r="J17" s="114">
        <v>0</v>
      </c>
      <c r="K17" s="120">
        <v>0</v>
      </c>
      <c r="L17" s="115">
        <v>0</v>
      </c>
      <c r="M17" s="113">
        <v>0</v>
      </c>
      <c r="N17" s="116">
        <v>0</v>
      </c>
      <c r="O17" s="112">
        <v>0</v>
      </c>
      <c r="P17" s="115">
        <v>0</v>
      </c>
      <c r="Q17" s="112">
        <v>0</v>
      </c>
      <c r="R17" s="115">
        <v>0</v>
      </c>
      <c r="S17" s="113">
        <v>0</v>
      </c>
      <c r="T17" s="116">
        <v>0</v>
      </c>
      <c r="U17" s="115">
        <v>0</v>
      </c>
      <c r="V17" s="115">
        <v>0</v>
      </c>
      <c r="W17" s="34">
        <f t="shared" si="0"/>
        <v>0</v>
      </c>
      <c r="X17" s="117"/>
      <c r="Y17" s="117"/>
      <c r="Z17" s="117"/>
      <c r="AA17" s="117"/>
      <c r="AB17" s="117"/>
      <c r="AC17" s="117"/>
      <c r="AD17" s="127">
        <f t="shared" si="1"/>
        <v>0</v>
      </c>
      <c r="AE17" s="118"/>
      <c r="AF17" s="119"/>
      <c r="AG17" s="111"/>
    </row>
    <row r="18" spans="1:33" ht="15.75">
      <c r="A18" s="110"/>
      <c r="B18" s="35"/>
      <c r="C18" s="35"/>
      <c r="D18" s="35"/>
      <c r="E18" s="111"/>
      <c r="F18" s="35"/>
      <c r="G18" s="112"/>
      <c r="H18" s="126"/>
      <c r="I18" s="113">
        <v>0</v>
      </c>
      <c r="J18" s="114">
        <v>0</v>
      </c>
      <c r="K18" s="120">
        <v>0</v>
      </c>
      <c r="L18" s="115">
        <v>0</v>
      </c>
      <c r="M18" s="113">
        <v>0</v>
      </c>
      <c r="N18" s="116">
        <v>0</v>
      </c>
      <c r="O18" s="112">
        <v>0</v>
      </c>
      <c r="P18" s="115">
        <v>0</v>
      </c>
      <c r="Q18" s="112">
        <v>0</v>
      </c>
      <c r="R18" s="115">
        <v>0</v>
      </c>
      <c r="S18" s="113">
        <v>0</v>
      </c>
      <c r="T18" s="116">
        <v>0</v>
      </c>
      <c r="U18" s="115">
        <v>0</v>
      </c>
      <c r="V18" s="115">
        <v>0</v>
      </c>
      <c r="W18" s="34">
        <f t="shared" si="0"/>
        <v>0</v>
      </c>
      <c r="X18" s="117"/>
      <c r="Y18" s="117"/>
      <c r="Z18" s="117"/>
      <c r="AA18" s="117"/>
      <c r="AB18" s="117"/>
      <c r="AC18" s="117"/>
      <c r="AD18" s="127">
        <f t="shared" si="1"/>
        <v>0</v>
      </c>
      <c r="AE18" s="118"/>
      <c r="AF18" s="119"/>
      <c r="AG18" s="111"/>
    </row>
    <row r="19" spans="1:33" ht="15.75">
      <c r="A19" s="110"/>
      <c r="B19" s="35"/>
      <c r="C19" s="35"/>
      <c r="D19" s="35"/>
      <c r="E19" s="111"/>
      <c r="F19" s="35"/>
      <c r="G19" s="112"/>
      <c r="H19" s="126"/>
      <c r="I19" s="113">
        <v>0</v>
      </c>
      <c r="J19" s="114">
        <v>0</v>
      </c>
      <c r="K19" s="120">
        <v>0</v>
      </c>
      <c r="L19" s="115">
        <v>0</v>
      </c>
      <c r="M19" s="113">
        <v>0</v>
      </c>
      <c r="N19" s="116">
        <v>0</v>
      </c>
      <c r="O19" s="112">
        <v>0</v>
      </c>
      <c r="P19" s="115">
        <v>0</v>
      </c>
      <c r="Q19" s="112">
        <v>0</v>
      </c>
      <c r="R19" s="115">
        <v>0</v>
      </c>
      <c r="S19" s="113">
        <v>0</v>
      </c>
      <c r="T19" s="116">
        <v>0</v>
      </c>
      <c r="U19" s="115">
        <v>0</v>
      </c>
      <c r="V19" s="115">
        <v>0</v>
      </c>
      <c r="W19" s="34">
        <f t="shared" ref="W19:W25" si="2">+G19-(SUM(I19:N19,P19,Q19,R19,S19,T19,V19))</f>
        <v>0</v>
      </c>
      <c r="X19" s="117"/>
      <c r="Y19" s="117"/>
      <c r="Z19" s="117"/>
      <c r="AA19" s="117"/>
      <c r="AB19" s="117"/>
      <c r="AC19" s="117"/>
      <c r="AD19" s="127">
        <f t="shared" si="1"/>
        <v>0</v>
      </c>
      <c r="AE19" s="118"/>
      <c r="AF19" s="119"/>
      <c r="AG19" s="111"/>
    </row>
    <row r="20" spans="1:33" ht="15.75">
      <c r="A20" s="110"/>
      <c r="B20" s="35"/>
      <c r="C20" s="35"/>
      <c r="D20" s="35"/>
      <c r="E20" s="111"/>
      <c r="F20" s="35"/>
      <c r="G20" s="112"/>
      <c r="H20" s="126"/>
      <c r="I20" s="113">
        <v>0</v>
      </c>
      <c r="J20" s="114">
        <v>0</v>
      </c>
      <c r="K20" s="120">
        <v>0</v>
      </c>
      <c r="L20" s="115">
        <v>0</v>
      </c>
      <c r="M20" s="113">
        <v>0</v>
      </c>
      <c r="N20" s="116">
        <v>0</v>
      </c>
      <c r="O20" s="112">
        <v>0</v>
      </c>
      <c r="P20" s="115">
        <v>0</v>
      </c>
      <c r="Q20" s="112">
        <v>0</v>
      </c>
      <c r="R20" s="115">
        <v>0</v>
      </c>
      <c r="S20" s="113">
        <v>0</v>
      </c>
      <c r="T20" s="116">
        <v>0</v>
      </c>
      <c r="U20" s="115">
        <v>0</v>
      </c>
      <c r="V20" s="115">
        <v>0</v>
      </c>
      <c r="W20" s="34">
        <f t="shared" si="2"/>
        <v>0</v>
      </c>
      <c r="X20" s="117"/>
      <c r="Y20" s="117"/>
      <c r="Z20" s="117"/>
      <c r="AA20" s="117"/>
      <c r="AB20" s="117"/>
      <c r="AC20" s="117"/>
      <c r="AD20" s="127">
        <f t="shared" si="1"/>
        <v>0</v>
      </c>
      <c r="AE20" s="118"/>
      <c r="AF20" s="119"/>
      <c r="AG20" s="111"/>
    </row>
    <row r="21" spans="1:33" ht="15.75">
      <c r="A21" s="110"/>
      <c r="B21" s="35"/>
      <c r="C21" s="35"/>
      <c r="D21" s="35"/>
      <c r="E21" s="111"/>
      <c r="F21" s="35"/>
      <c r="G21" s="112"/>
      <c r="H21" s="126"/>
      <c r="I21" s="113">
        <v>0</v>
      </c>
      <c r="J21" s="114">
        <v>0</v>
      </c>
      <c r="K21" s="120">
        <v>0</v>
      </c>
      <c r="L21" s="115">
        <v>0</v>
      </c>
      <c r="M21" s="113">
        <v>0</v>
      </c>
      <c r="N21" s="116">
        <v>0</v>
      </c>
      <c r="O21" s="112">
        <v>0</v>
      </c>
      <c r="P21" s="115">
        <v>0</v>
      </c>
      <c r="Q21" s="112">
        <v>0</v>
      </c>
      <c r="R21" s="115">
        <v>0</v>
      </c>
      <c r="S21" s="113">
        <v>0</v>
      </c>
      <c r="T21" s="116">
        <v>0</v>
      </c>
      <c r="U21" s="115">
        <v>0</v>
      </c>
      <c r="V21" s="115">
        <v>0</v>
      </c>
      <c r="W21" s="34">
        <f t="shared" si="2"/>
        <v>0</v>
      </c>
      <c r="X21" s="117"/>
      <c r="Y21" s="117"/>
      <c r="Z21" s="117"/>
      <c r="AA21" s="117"/>
      <c r="AB21" s="117"/>
      <c r="AC21" s="117"/>
      <c r="AD21" s="127">
        <f t="shared" ref="AD21:AD44" si="3">W21-SUM(Y21:AC21)</f>
        <v>0</v>
      </c>
      <c r="AE21" s="118"/>
      <c r="AF21" s="119"/>
      <c r="AG21" s="111"/>
    </row>
    <row r="22" spans="1:33" ht="15.75">
      <c r="A22" s="110"/>
      <c r="B22" s="35"/>
      <c r="C22" s="35"/>
      <c r="D22" s="35"/>
      <c r="E22" s="111"/>
      <c r="F22" s="35"/>
      <c r="G22" s="112"/>
      <c r="H22" s="126"/>
      <c r="I22" s="113">
        <v>0</v>
      </c>
      <c r="J22" s="114">
        <v>0</v>
      </c>
      <c r="K22" s="120">
        <v>0</v>
      </c>
      <c r="L22" s="115">
        <v>0</v>
      </c>
      <c r="M22" s="113">
        <v>0</v>
      </c>
      <c r="N22" s="116">
        <v>0</v>
      </c>
      <c r="O22" s="112">
        <v>0</v>
      </c>
      <c r="P22" s="115">
        <v>0</v>
      </c>
      <c r="Q22" s="112">
        <v>0</v>
      </c>
      <c r="R22" s="115">
        <v>0</v>
      </c>
      <c r="S22" s="113">
        <v>0</v>
      </c>
      <c r="T22" s="116">
        <v>0</v>
      </c>
      <c r="U22" s="115">
        <v>0</v>
      </c>
      <c r="V22" s="115">
        <v>0</v>
      </c>
      <c r="W22" s="34">
        <f t="shared" si="2"/>
        <v>0</v>
      </c>
      <c r="X22" s="117"/>
      <c r="Y22" s="117"/>
      <c r="Z22" s="117"/>
      <c r="AA22" s="117"/>
      <c r="AB22" s="117"/>
      <c r="AC22" s="117"/>
      <c r="AD22" s="127">
        <f t="shared" si="3"/>
        <v>0</v>
      </c>
      <c r="AE22" s="118"/>
      <c r="AF22" s="119"/>
      <c r="AG22" s="111"/>
    </row>
    <row r="23" spans="1:33" ht="15.75">
      <c r="A23" s="110"/>
      <c r="B23" s="35"/>
      <c r="C23" s="35"/>
      <c r="D23" s="35"/>
      <c r="E23" s="111"/>
      <c r="F23" s="35"/>
      <c r="G23" s="112"/>
      <c r="H23" s="126"/>
      <c r="I23" s="113">
        <v>0</v>
      </c>
      <c r="J23" s="114">
        <v>0</v>
      </c>
      <c r="K23" s="120">
        <v>0</v>
      </c>
      <c r="L23" s="115">
        <v>0</v>
      </c>
      <c r="M23" s="113">
        <v>0</v>
      </c>
      <c r="N23" s="116">
        <v>0</v>
      </c>
      <c r="O23" s="112">
        <v>0</v>
      </c>
      <c r="P23" s="115">
        <v>0</v>
      </c>
      <c r="Q23" s="112">
        <v>0</v>
      </c>
      <c r="R23" s="115">
        <v>0</v>
      </c>
      <c r="S23" s="113">
        <v>0</v>
      </c>
      <c r="T23" s="116">
        <v>0</v>
      </c>
      <c r="U23" s="115">
        <v>0</v>
      </c>
      <c r="V23" s="115">
        <v>0</v>
      </c>
      <c r="W23" s="34">
        <f t="shared" si="2"/>
        <v>0</v>
      </c>
      <c r="X23" s="117"/>
      <c r="Y23" s="117"/>
      <c r="Z23" s="117"/>
      <c r="AA23" s="117"/>
      <c r="AB23" s="117"/>
      <c r="AC23" s="117"/>
      <c r="AD23" s="127">
        <f t="shared" si="3"/>
        <v>0</v>
      </c>
      <c r="AE23" s="118"/>
      <c r="AF23" s="119"/>
      <c r="AG23" s="111"/>
    </row>
    <row r="24" spans="1:33" ht="15.75">
      <c r="A24" s="110"/>
      <c r="B24" s="35"/>
      <c r="C24" s="35"/>
      <c r="D24" s="35"/>
      <c r="E24" s="111"/>
      <c r="F24" s="35"/>
      <c r="G24" s="112"/>
      <c r="H24" s="126"/>
      <c r="I24" s="113">
        <v>0</v>
      </c>
      <c r="J24" s="114">
        <v>0</v>
      </c>
      <c r="K24" s="120">
        <v>0</v>
      </c>
      <c r="L24" s="115">
        <v>0</v>
      </c>
      <c r="M24" s="113">
        <v>0</v>
      </c>
      <c r="N24" s="116">
        <v>0</v>
      </c>
      <c r="O24" s="112">
        <v>0</v>
      </c>
      <c r="P24" s="115">
        <v>0</v>
      </c>
      <c r="Q24" s="112">
        <v>0</v>
      </c>
      <c r="R24" s="115">
        <v>0</v>
      </c>
      <c r="S24" s="113">
        <v>0</v>
      </c>
      <c r="T24" s="116">
        <v>0</v>
      </c>
      <c r="U24" s="115">
        <v>0</v>
      </c>
      <c r="V24" s="115">
        <v>0</v>
      </c>
      <c r="W24" s="34">
        <f t="shared" si="2"/>
        <v>0</v>
      </c>
      <c r="X24" s="117"/>
      <c r="Y24" s="117"/>
      <c r="Z24" s="117"/>
      <c r="AA24" s="117"/>
      <c r="AB24" s="117"/>
      <c r="AC24" s="117"/>
      <c r="AD24" s="127">
        <f t="shared" si="3"/>
        <v>0</v>
      </c>
      <c r="AE24" s="118"/>
      <c r="AF24" s="119"/>
      <c r="AG24" s="111"/>
    </row>
    <row r="25" spans="1:33" ht="15.75">
      <c r="A25" s="110"/>
      <c r="B25" s="35"/>
      <c r="C25" s="35"/>
      <c r="D25" s="35"/>
      <c r="E25" s="111"/>
      <c r="F25" s="35"/>
      <c r="G25" s="112"/>
      <c r="H25" s="126"/>
      <c r="I25" s="113">
        <v>0</v>
      </c>
      <c r="J25" s="114">
        <v>0</v>
      </c>
      <c r="K25" s="120">
        <v>0</v>
      </c>
      <c r="L25" s="115">
        <v>0</v>
      </c>
      <c r="M25" s="113">
        <v>0</v>
      </c>
      <c r="N25" s="116">
        <v>0</v>
      </c>
      <c r="O25" s="112">
        <v>0</v>
      </c>
      <c r="P25" s="115">
        <v>0</v>
      </c>
      <c r="Q25" s="112">
        <v>0</v>
      </c>
      <c r="R25" s="115">
        <v>0</v>
      </c>
      <c r="S25" s="113">
        <v>0</v>
      </c>
      <c r="T25" s="116">
        <v>0</v>
      </c>
      <c r="U25" s="115">
        <v>0</v>
      </c>
      <c r="V25" s="115">
        <v>0</v>
      </c>
      <c r="W25" s="34">
        <f t="shared" si="2"/>
        <v>0</v>
      </c>
      <c r="X25" s="117"/>
      <c r="Y25" s="117"/>
      <c r="Z25" s="117"/>
      <c r="AA25" s="117"/>
      <c r="AB25" s="117"/>
      <c r="AC25" s="117"/>
      <c r="AD25" s="127">
        <f t="shared" si="3"/>
        <v>0</v>
      </c>
      <c r="AE25" s="118"/>
      <c r="AF25" s="119"/>
      <c r="AG25" s="111"/>
    </row>
    <row r="26" spans="1:33" ht="15.75">
      <c r="A26" s="110"/>
      <c r="B26" s="35"/>
      <c r="C26" s="35"/>
      <c r="D26" s="35"/>
      <c r="E26" s="111"/>
      <c r="F26" s="35"/>
      <c r="G26" s="112"/>
      <c r="H26" s="126"/>
      <c r="I26" s="113"/>
      <c r="J26" s="114"/>
      <c r="K26" s="120"/>
      <c r="L26" s="115"/>
      <c r="M26" s="113"/>
      <c r="N26" s="116"/>
      <c r="O26" s="112"/>
      <c r="P26" s="115"/>
      <c r="Q26" s="112"/>
      <c r="R26" s="115"/>
      <c r="S26" s="113"/>
      <c r="T26" s="116"/>
      <c r="U26" s="115"/>
      <c r="V26" s="115"/>
      <c r="W26" s="34"/>
      <c r="X26" s="117"/>
      <c r="Y26" s="117"/>
      <c r="Z26" s="117"/>
      <c r="AA26" s="117"/>
      <c r="AB26" s="117"/>
      <c r="AC26" s="117"/>
      <c r="AD26" s="127">
        <f t="shared" si="3"/>
        <v>0</v>
      </c>
      <c r="AE26" s="118"/>
      <c r="AF26" s="119"/>
      <c r="AG26" s="111"/>
    </row>
    <row r="27" spans="1:33" ht="15.75">
      <c r="A27" s="110"/>
      <c r="B27" s="35"/>
      <c r="C27" s="35"/>
      <c r="D27" s="35"/>
      <c r="E27" s="111"/>
      <c r="F27" s="35"/>
      <c r="G27" s="112"/>
      <c r="H27" s="126"/>
      <c r="I27" s="113"/>
      <c r="J27" s="114"/>
      <c r="K27" s="120"/>
      <c r="L27" s="115"/>
      <c r="M27" s="113"/>
      <c r="N27" s="116"/>
      <c r="O27" s="112"/>
      <c r="P27" s="115"/>
      <c r="Q27" s="112"/>
      <c r="R27" s="115"/>
      <c r="S27" s="113"/>
      <c r="T27" s="116"/>
      <c r="U27" s="115"/>
      <c r="V27" s="115"/>
      <c r="W27" s="34"/>
      <c r="X27" s="117"/>
      <c r="Y27" s="117"/>
      <c r="Z27" s="117"/>
      <c r="AA27" s="117"/>
      <c r="AB27" s="117"/>
      <c r="AC27" s="117"/>
      <c r="AD27" s="127">
        <f t="shared" si="3"/>
        <v>0</v>
      </c>
      <c r="AE27" s="118"/>
      <c r="AF27" s="119"/>
      <c r="AG27" s="111"/>
    </row>
    <row r="28" spans="1:33" ht="15.75">
      <c r="A28" s="110"/>
      <c r="B28" s="35"/>
      <c r="C28" s="35"/>
      <c r="D28" s="35"/>
      <c r="E28" s="111"/>
      <c r="F28" s="35"/>
      <c r="G28" s="112"/>
      <c r="H28" s="126"/>
      <c r="I28" s="113"/>
      <c r="J28" s="114"/>
      <c r="K28" s="120"/>
      <c r="L28" s="115"/>
      <c r="M28" s="113"/>
      <c r="N28" s="116"/>
      <c r="O28" s="112"/>
      <c r="P28" s="115"/>
      <c r="Q28" s="112"/>
      <c r="R28" s="115"/>
      <c r="S28" s="113"/>
      <c r="T28" s="116"/>
      <c r="U28" s="115"/>
      <c r="V28" s="115"/>
      <c r="W28" s="34"/>
      <c r="X28" s="117"/>
      <c r="Y28" s="117"/>
      <c r="Z28" s="117"/>
      <c r="AA28" s="117"/>
      <c r="AB28" s="117"/>
      <c r="AC28" s="117"/>
      <c r="AD28" s="127">
        <f t="shared" si="3"/>
        <v>0</v>
      </c>
      <c r="AE28" s="118"/>
      <c r="AF28" s="119"/>
      <c r="AG28" s="111"/>
    </row>
    <row r="29" spans="1:33" ht="15.75">
      <c r="A29" s="110"/>
      <c r="B29" s="35"/>
      <c r="C29" s="35"/>
      <c r="D29" s="35"/>
      <c r="E29" s="111"/>
      <c r="F29" s="35"/>
      <c r="G29" s="112"/>
      <c r="H29" s="126"/>
      <c r="I29" s="113"/>
      <c r="J29" s="114"/>
      <c r="K29" s="120"/>
      <c r="L29" s="115"/>
      <c r="M29" s="113"/>
      <c r="N29" s="116"/>
      <c r="O29" s="112"/>
      <c r="P29" s="115"/>
      <c r="Q29" s="112"/>
      <c r="R29" s="115"/>
      <c r="S29" s="113"/>
      <c r="T29" s="116"/>
      <c r="U29" s="115"/>
      <c r="V29" s="115"/>
      <c r="W29" s="34"/>
      <c r="X29" s="117"/>
      <c r="Y29" s="117"/>
      <c r="Z29" s="117"/>
      <c r="AA29" s="117"/>
      <c r="AB29" s="117"/>
      <c r="AC29" s="117"/>
      <c r="AD29" s="127">
        <f t="shared" si="3"/>
        <v>0</v>
      </c>
      <c r="AE29" s="118"/>
      <c r="AF29" s="119"/>
      <c r="AG29" s="111"/>
    </row>
    <row r="30" spans="1:33" ht="15.75">
      <c r="A30" s="110"/>
      <c r="B30" s="35"/>
      <c r="C30" s="35"/>
      <c r="D30" s="35"/>
      <c r="E30" s="111"/>
      <c r="F30" s="35"/>
      <c r="G30" s="112"/>
      <c r="H30" s="126"/>
      <c r="I30" s="113"/>
      <c r="J30" s="114"/>
      <c r="K30" s="120"/>
      <c r="L30" s="115"/>
      <c r="M30" s="113"/>
      <c r="N30" s="116"/>
      <c r="O30" s="112"/>
      <c r="P30" s="115"/>
      <c r="Q30" s="112"/>
      <c r="R30" s="115"/>
      <c r="S30" s="113"/>
      <c r="T30" s="116"/>
      <c r="U30" s="115"/>
      <c r="V30" s="115"/>
      <c r="W30" s="34"/>
      <c r="X30" s="117"/>
      <c r="Y30" s="117"/>
      <c r="Z30" s="117"/>
      <c r="AA30" s="117"/>
      <c r="AB30" s="117"/>
      <c r="AC30" s="117"/>
      <c r="AD30" s="127">
        <f t="shared" si="3"/>
        <v>0</v>
      </c>
      <c r="AE30" s="118"/>
      <c r="AF30" s="119"/>
      <c r="AG30" s="111"/>
    </row>
    <row r="31" spans="1:33" ht="15.75">
      <c r="A31" s="110"/>
      <c r="B31" s="35"/>
      <c r="C31" s="35"/>
      <c r="D31" s="35"/>
      <c r="E31" s="111"/>
      <c r="F31" s="35"/>
      <c r="G31" s="112"/>
      <c r="H31" s="126"/>
      <c r="I31" s="113"/>
      <c r="J31" s="114"/>
      <c r="K31" s="120"/>
      <c r="L31" s="115"/>
      <c r="M31" s="113"/>
      <c r="N31" s="116"/>
      <c r="O31" s="112"/>
      <c r="P31" s="115"/>
      <c r="Q31" s="112"/>
      <c r="R31" s="115"/>
      <c r="S31" s="113"/>
      <c r="T31" s="116"/>
      <c r="U31" s="115"/>
      <c r="V31" s="115"/>
      <c r="W31" s="34"/>
      <c r="X31" s="117"/>
      <c r="Y31" s="117"/>
      <c r="Z31" s="117"/>
      <c r="AA31" s="117"/>
      <c r="AB31" s="117"/>
      <c r="AC31" s="117"/>
      <c r="AD31" s="127">
        <f t="shared" si="3"/>
        <v>0</v>
      </c>
      <c r="AE31" s="118"/>
      <c r="AF31" s="119"/>
      <c r="AG31" s="111"/>
    </row>
    <row r="32" spans="1:33" ht="15.75">
      <c r="A32" s="110"/>
      <c r="B32" s="35"/>
      <c r="C32" s="35"/>
      <c r="D32" s="35"/>
      <c r="E32" s="111"/>
      <c r="F32" s="35"/>
      <c r="G32" s="112"/>
      <c r="H32" s="126"/>
      <c r="I32" s="113"/>
      <c r="J32" s="114"/>
      <c r="K32" s="120"/>
      <c r="L32" s="115"/>
      <c r="M32" s="113"/>
      <c r="N32" s="116"/>
      <c r="O32" s="112"/>
      <c r="P32" s="115"/>
      <c r="Q32" s="112"/>
      <c r="R32" s="115"/>
      <c r="S32" s="113"/>
      <c r="T32" s="116"/>
      <c r="U32" s="115"/>
      <c r="V32" s="115"/>
      <c r="W32" s="34"/>
      <c r="X32" s="117"/>
      <c r="Y32" s="117"/>
      <c r="Z32" s="117"/>
      <c r="AA32" s="117"/>
      <c r="AB32" s="117"/>
      <c r="AC32" s="117"/>
      <c r="AD32" s="127">
        <f t="shared" si="3"/>
        <v>0</v>
      </c>
      <c r="AE32" s="118"/>
      <c r="AF32" s="119"/>
      <c r="AG32" s="111"/>
    </row>
    <row r="33" spans="1:33" ht="15.75">
      <c r="A33" s="110"/>
      <c r="B33" s="35"/>
      <c r="C33" s="35"/>
      <c r="D33" s="35"/>
      <c r="E33" s="111"/>
      <c r="F33" s="35"/>
      <c r="G33" s="112"/>
      <c r="H33" s="126"/>
      <c r="I33" s="113"/>
      <c r="J33" s="114"/>
      <c r="K33" s="120"/>
      <c r="L33" s="115"/>
      <c r="M33" s="113"/>
      <c r="N33" s="116"/>
      <c r="O33" s="112"/>
      <c r="P33" s="115"/>
      <c r="Q33" s="112"/>
      <c r="R33" s="115"/>
      <c r="S33" s="113"/>
      <c r="T33" s="116"/>
      <c r="U33" s="115"/>
      <c r="V33" s="115"/>
      <c r="W33" s="34"/>
      <c r="X33" s="117"/>
      <c r="Y33" s="117"/>
      <c r="Z33" s="117"/>
      <c r="AA33" s="117"/>
      <c r="AB33" s="117"/>
      <c r="AC33" s="117"/>
      <c r="AD33" s="127">
        <f t="shared" si="3"/>
        <v>0</v>
      </c>
      <c r="AE33" s="118"/>
      <c r="AF33" s="119"/>
      <c r="AG33" s="111"/>
    </row>
    <row r="34" spans="1:33" ht="15.75">
      <c r="A34" s="110"/>
      <c r="B34" s="35"/>
      <c r="C34" s="35"/>
      <c r="D34" s="35"/>
      <c r="E34" s="111"/>
      <c r="F34" s="35"/>
      <c r="G34" s="112"/>
      <c r="H34" s="126"/>
      <c r="I34" s="113"/>
      <c r="J34" s="114"/>
      <c r="K34" s="120"/>
      <c r="L34" s="115"/>
      <c r="M34" s="113"/>
      <c r="N34" s="116"/>
      <c r="O34" s="112"/>
      <c r="P34" s="115"/>
      <c r="Q34" s="112"/>
      <c r="R34" s="115"/>
      <c r="S34" s="113"/>
      <c r="T34" s="116"/>
      <c r="U34" s="115"/>
      <c r="V34" s="115"/>
      <c r="W34" s="34"/>
      <c r="X34" s="117"/>
      <c r="Y34" s="117"/>
      <c r="Z34" s="117"/>
      <c r="AA34" s="117"/>
      <c r="AB34" s="117"/>
      <c r="AC34" s="117"/>
      <c r="AD34" s="127">
        <f t="shared" si="3"/>
        <v>0</v>
      </c>
      <c r="AE34" s="118"/>
      <c r="AF34" s="119"/>
      <c r="AG34" s="111"/>
    </row>
    <row r="35" spans="1:33" ht="15.75">
      <c r="A35" s="110"/>
      <c r="B35" s="35"/>
      <c r="C35" s="35"/>
      <c r="D35" s="35"/>
      <c r="E35" s="111"/>
      <c r="F35" s="35"/>
      <c r="G35" s="112"/>
      <c r="H35" s="126"/>
      <c r="I35" s="113"/>
      <c r="J35" s="114"/>
      <c r="K35" s="120"/>
      <c r="L35" s="115"/>
      <c r="M35" s="113"/>
      <c r="N35" s="116"/>
      <c r="O35" s="112"/>
      <c r="P35" s="115"/>
      <c r="Q35" s="112"/>
      <c r="R35" s="115"/>
      <c r="S35" s="113"/>
      <c r="T35" s="116"/>
      <c r="U35" s="115"/>
      <c r="V35" s="115"/>
      <c r="W35" s="34"/>
      <c r="X35" s="117"/>
      <c r="Y35" s="117"/>
      <c r="Z35" s="117"/>
      <c r="AA35" s="117"/>
      <c r="AB35" s="117"/>
      <c r="AC35" s="117"/>
      <c r="AD35" s="127">
        <f t="shared" si="3"/>
        <v>0</v>
      </c>
      <c r="AE35" s="118"/>
      <c r="AF35" s="119"/>
      <c r="AG35" s="111"/>
    </row>
    <row r="36" spans="1:33" ht="15.75">
      <c r="A36" s="110"/>
      <c r="B36" s="35"/>
      <c r="C36" s="35"/>
      <c r="D36" s="35"/>
      <c r="E36" s="111"/>
      <c r="F36" s="35"/>
      <c r="G36" s="112"/>
      <c r="H36" s="126"/>
      <c r="I36" s="113"/>
      <c r="J36" s="114"/>
      <c r="K36" s="120"/>
      <c r="L36" s="115"/>
      <c r="M36" s="113"/>
      <c r="N36" s="116"/>
      <c r="O36" s="112"/>
      <c r="P36" s="115"/>
      <c r="Q36" s="112"/>
      <c r="R36" s="115"/>
      <c r="S36" s="113"/>
      <c r="T36" s="116"/>
      <c r="U36" s="115"/>
      <c r="V36" s="115"/>
      <c r="W36" s="34"/>
      <c r="X36" s="117"/>
      <c r="Y36" s="117"/>
      <c r="Z36" s="117"/>
      <c r="AA36" s="117"/>
      <c r="AB36" s="117"/>
      <c r="AC36" s="117"/>
      <c r="AD36" s="127">
        <f t="shared" si="3"/>
        <v>0</v>
      </c>
      <c r="AE36" s="118"/>
      <c r="AF36" s="119"/>
      <c r="AG36" s="111"/>
    </row>
    <row r="37" spans="1:33" ht="15.75">
      <c r="A37" s="110"/>
      <c r="B37" s="35"/>
      <c r="C37" s="35"/>
      <c r="D37" s="35"/>
      <c r="E37" s="111"/>
      <c r="F37" s="35"/>
      <c r="G37" s="112"/>
      <c r="H37" s="126"/>
      <c r="I37" s="113"/>
      <c r="J37" s="114"/>
      <c r="K37" s="120"/>
      <c r="L37" s="115"/>
      <c r="M37" s="113"/>
      <c r="N37" s="116"/>
      <c r="O37" s="112"/>
      <c r="P37" s="115"/>
      <c r="Q37" s="112"/>
      <c r="R37" s="115"/>
      <c r="S37" s="113"/>
      <c r="T37" s="116"/>
      <c r="U37" s="115"/>
      <c r="V37" s="115"/>
      <c r="W37" s="34"/>
      <c r="X37" s="117"/>
      <c r="Y37" s="117"/>
      <c r="Z37" s="117"/>
      <c r="AA37" s="117"/>
      <c r="AB37" s="117"/>
      <c r="AC37" s="117"/>
      <c r="AD37" s="127">
        <f t="shared" si="3"/>
        <v>0</v>
      </c>
      <c r="AE37" s="118"/>
      <c r="AF37" s="119"/>
      <c r="AG37" s="111"/>
    </row>
    <row r="38" spans="1:33" ht="15.75">
      <c r="A38" s="110"/>
      <c r="B38" s="35"/>
      <c r="C38" s="35"/>
      <c r="D38" s="35"/>
      <c r="E38" s="111"/>
      <c r="F38" s="35"/>
      <c r="G38" s="112"/>
      <c r="H38" s="126"/>
      <c r="I38" s="113"/>
      <c r="J38" s="114"/>
      <c r="K38" s="120"/>
      <c r="L38" s="115"/>
      <c r="M38" s="113"/>
      <c r="N38" s="116"/>
      <c r="O38" s="112"/>
      <c r="P38" s="115"/>
      <c r="Q38" s="112"/>
      <c r="R38" s="115"/>
      <c r="S38" s="113"/>
      <c r="T38" s="116"/>
      <c r="U38" s="115"/>
      <c r="V38" s="115"/>
      <c r="W38" s="34"/>
      <c r="X38" s="117"/>
      <c r="Y38" s="117"/>
      <c r="Z38" s="117"/>
      <c r="AA38" s="117"/>
      <c r="AB38" s="117"/>
      <c r="AC38" s="117"/>
      <c r="AD38" s="127">
        <f t="shared" si="3"/>
        <v>0</v>
      </c>
      <c r="AE38" s="118"/>
      <c r="AF38" s="119"/>
      <c r="AG38" s="111"/>
    </row>
    <row r="39" spans="1:33" ht="15.75">
      <c r="A39" s="110"/>
      <c r="B39" s="35"/>
      <c r="C39" s="35"/>
      <c r="D39" s="35"/>
      <c r="E39" s="111"/>
      <c r="F39" s="35"/>
      <c r="G39" s="112"/>
      <c r="H39" s="126"/>
      <c r="I39" s="113"/>
      <c r="J39" s="114"/>
      <c r="K39" s="120"/>
      <c r="L39" s="115"/>
      <c r="M39" s="113"/>
      <c r="N39" s="116"/>
      <c r="O39" s="112"/>
      <c r="P39" s="115"/>
      <c r="Q39" s="112"/>
      <c r="R39" s="115"/>
      <c r="S39" s="113"/>
      <c r="T39" s="116"/>
      <c r="U39" s="115"/>
      <c r="V39" s="115"/>
      <c r="W39" s="34"/>
      <c r="X39" s="117"/>
      <c r="Y39" s="117"/>
      <c r="Z39" s="117"/>
      <c r="AA39" s="117"/>
      <c r="AB39" s="117"/>
      <c r="AC39" s="117"/>
      <c r="AD39" s="127">
        <f t="shared" si="3"/>
        <v>0</v>
      </c>
      <c r="AE39" s="118"/>
      <c r="AF39" s="119"/>
      <c r="AG39" s="111"/>
    </row>
    <row r="40" spans="1:33" ht="15.75">
      <c r="A40" s="110"/>
      <c r="B40" s="35"/>
      <c r="C40" s="35"/>
      <c r="D40" s="35"/>
      <c r="E40" s="111"/>
      <c r="F40" s="35"/>
      <c r="G40" s="112"/>
      <c r="H40" s="126"/>
      <c r="I40" s="113"/>
      <c r="J40" s="114"/>
      <c r="K40" s="120"/>
      <c r="L40" s="115"/>
      <c r="M40" s="113"/>
      <c r="N40" s="116"/>
      <c r="O40" s="112"/>
      <c r="P40" s="115"/>
      <c r="Q40" s="112"/>
      <c r="R40" s="115"/>
      <c r="S40" s="113"/>
      <c r="T40" s="116"/>
      <c r="U40" s="115"/>
      <c r="V40" s="115"/>
      <c r="W40" s="34"/>
      <c r="X40" s="117"/>
      <c r="Y40" s="117"/>
      <c r="Z40" s="117"/>
      <c r="AA40" s="117"/>
      <c r="AB40" s="117"/>
      <c r="AC40" s="117"/>
      <c r="AD40" s="127">
        <f t="shared" si="3"/>
        <v>0</v>
      </c>
      <c r="AE40" s="118"/>
      <c r="AF40" s="119"/>
      <c r="AG40" s="111"/>
    </row>
    <row r="41" spans="1:33" ht="15.75">
      <c r="A41" s="110"/>
      <c r="B41" s="35"/>
      <c r="C41" s="35"/>
      <c r="D41" s="35"/>
      <c r="E41" s="111"/>
      <c r="F41" s="35"/>
      <c r="G41" s="112"/>
      <c r="H41" s="126"/>
      <c r="I41" s="113"/>
      <c r="J41" s="114"/>
      <c r="K41" s="120"/>
      <c r="L41" s="115"/>
      <c r="M41" s="113"/>
      <c r="N41" s="116"/>
      <c r="O41" s="112"/>
      <c r="P41" s="115"/>
      <c r="Q41" s="112"/>
      <c r="R41" s="115"/>
      <c r="S41" s="113"/>
      <c r="T41" s="116"/>
      <c r="U41" s="115"/>
      <c r="V41" s="115"/>
      <c r="W41" s="34"/>
      <c r="X41" s="117"/>
      <c r="Y41" s="117"/>
      <c r="Z41" s="117"/>
      <c r="AA41" s="117"/>
      <c r="AB41" s="117"/>
      <c r="AC41" s="117"/>
      <c r="AD41" s="127">
        <f t="shared" si="3"/>
        <v>0</v>
      </c>
      <c r="AE41" s="118"/>
      <c r="AF41" s="119"/>
      <c r="AG41" s="111"/>
    </row>
    <row r="42" spans="1:33" ht="15.75">
      <c r="A42" s="110"/>
      <c r="B42" s="35"/>
      <c r="C42" s="35"/>
      <c r="D42" s="35"/>
      <c r="E42" s="111"/>
      <c r="F42" s="35"/>
      <c r="G42" s="112"/>
      <c r="H42" s="126"/>
      <c r="I42" s="113"/>
      <c r="J42" s="114"/>
      <c r="K42" s="120"/>
      <c r="L42" s="115"/>
      <c r="M42" s="113"/>
      <c r="N42" s="116"/>
      <c r="O42" s="112"/>
      <c r="P42" s="115"/>
      <c r="Q42" s="112"/>
      <c r="R42" s="115"/>
      <c r="S42" s="113"/>
      <c r="T42" s="116"/>
      <c r="U42" s="115"/>
      <c r="V42" s="115"/>
      <c r="W42" s="34"/>
      <c r="X42" s="117"/>
      <c r="Y42" s="117"/>
      <c r="Z42" s="117"/>
      <c r="AA42" s="117"/>
      <c r="AB42" s="117"/>
      <c r="AC42" s="117"/>
      <c r="AD42" s="127">
        <f t="shared" si="3"/>
        <v>0</v>
      </c>
      <c r="AE42" s="118"/>
      <c r="AF42" s="119"/>
      <c r="AG42" s="111"/>
    </row>
    <row r="43" spans="1:33" ht="15.75">
      <c r="A43" s="110"/>
      <c r="B43" s="35"/>
      <c r="C43" s="35"/>
      <c r="D43" s="35"/>
      <c r="E43" s="111"/>
      <c r="F43" s="35"/>
      <c r="G43" s="112"/>
      <c r="H43" s="126"/>
      <c r="I43" s="113"/>
      <c r="J43" s="114"/>
      <c r="K43" s="120"/>
      <c r="L43" s="115"/>
      <c r="M43" s="113"/>
      <c r="N43" s="116"/>
      <c r="O43" s="112"/>
      <c r="P43" s="115"/>
      <c r="Q43" s="112"/>
      <c r="R43" s="115"/>
      <c r="S43" s="113"/>
      <c r="T43" s="116"/>
      <c r="U43" s="115"/>
      <c r="V43" s="115"/>
      <c r="W43" s="34"/>
      <c r="X43" s="117"/>
      <c r="Y43" s="117"/>
      <c r="Z43" s="117"/>
      <c r="AA43" s="117"/>
      <c r="AB43" s="117"/>
      <c r="AC43" s="117"/>
      <c r="AD43" s="127">
        <f t="shared" si="3"/>
        <v>0</v>
      </c>
      <c r="AE43" s="118"/>
      <c r="AF43" s="119"/>
      <c r="AG43" s="111"/>
    </row>
    <row r="44" spans="1:33" ht="15.75">
      <c r="A44" s="110"/>
      <c r="B44" s="35"/>
      <c r="C44" s="35"/>
      <c r="D44" s="35"/>
      <c r="E44" s="111"/>
      <c r="F44" s="35"/>
      <c r="G44" s="112"/>
      <c r="H44" s="126"/>
      <c r="I44" s="113"/>
      <c r="J44" s="114"/>
      <c r="K44" s="120"/>
      <c r="L44" s="115"/>
      <c r="M44" s="113"/>
      <c r="N44" s="116"/>
      <c r="O44" s="112"/>
      <c r="P44" s="115"/>
      <c r="Q44" s="112"/>
      <c r="R44" s="115"/>
      <c r="S44" s="113"/>
      <c r="T44" s="116"/>
      <c r="U44" s="115"/>
      <c r="V44" s="115"/>
      <c r="W44" s="34"/>
      <c r="X44" s="117"/>
      <c r="Y44" s="117"/>
      <c r="Z44" s="117"/>
      <c r="AA44" s="117"/>
      <c r="AB44" s="117"/>
      <c r="AC44" s="117"/>
      <c r="AD44" s="127">
        <f t="shared" si="3"/>
        <v>0</v>
      </c>
      <c r="AE44" s="118"/>
      <c r="AF44" s="119"/>
      <c r="AG44" s="111"/>
    </row>
  </sheetData>
  <sheetProtection selectLockedCells="1"/>
  <protectedRanges>
    <protectedRange sqref="AG6:AG44 B7:E44 G6:V44 B6:C6 E6" name="Rango1"/>
    <protectedRange sqref="AE6:AE44" name="Rango1_2"/>
    <protectedRange sqref="F6:F44 A6:A44" name="Rango1_1"/>
    <protectedRange sqref="AD6:AD44" name="Rango1_2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G14 F7:G13 F21:I44 A7:D44 F15:G20 H7:I20 F6:I6 X6:AC44 L6:V44 A6:C6">
    <cfRule type="expression" dxfId="8" priority="249" stopIfTrue="1">
      <formula>"SEVERSTAL"</formula>
    </cfRule>
  </conditionalFormatting>
  <conditionalFormatting sqref="E6:E13 E16:E44 AG6:AG44 AD6:AE44">
    <cfRule type="cellIs" dxfId="7" priority="250" stopIfTrue="1" operator="equal">
      <formula>"APROBADO"</formula>
    </cfRule>
    <cfRule type="cellIs" dxfId="6" priority="251" stopIfTrue="1" operator="equal">
      <formula>"ESPERA"</formula>
    </cfRule>
    <cfRule type="cellIs" dxfId="5" priority="252" stopIfTrue="1" operator="equal">
      <formula>"RECHAZADO"</formula>
    </cfRule>
  </conditionalFormatting>
  <conditionalFormatting sqref="F14">
    <cfRule type="expression" dxfId="4" priority="9" stopIfTrue="1">
      <formula>"SEVERSTAL"</formula>
    </cfRule>
  </conditionalFormatting>
  <conditionalFormatting sqref="E14:E15">
    <cfRule type="cellIs" dxfId="3" priority="10" stopIfTrue="1" operator="equal">
      <formula>"APROBADO"</formula>
    </cfRule>
    <cfRule type="cellIs" dxfId="2" priority="11" stopIfTrue="1" operator="equal">
      <formula>"ESPERA"</formula>
    </cfRule>
    <cfRule type="cellIs" dxfId="1" priority="12" stopIfTrue="1" operator="equal">
      <formula>"RECHAZADO"</formula>
    </cfRule>
  </conditionalFormatting>
  <conditionalFormatting sqref="D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2022-05-17T22:29:32Z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