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CE6521EB-6D74-4145-A9DD-5133A9B47634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7" i="5" l="1"/>
  <c r="W22" i="5" l="1"/>
  <c r="W23" i="5"/>
  <c r="W24" i="5"/>
  <c r="W25" i="5"/>
  <c r="W26" i="5"/>
  <c r="Z3" i="5"/>
  <c r="W21" i="5" l="1"/>
  <c r="W20" i="5" l="1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W19" i="5" l="1"/>
  <c r="W14" i="5" l="1"/>
  <c r="W15" i="5"/>
  <c r="W16" i="5"/>
  <c r="W17" i="5"/>
  <c r="W18" i="5"/>
  <c r="W13" i="5" l="1"/>
  <c r="AD13" i="5" l="1"/>
  <c r="AD14" i="5"/>
  <c r="AD15" i="5"/>
  <c r="AD16" i="5"/>
  <c r="AD17" i="5"/>
  <c r="AD18" i="5"/>
  <c r="AD19" i="5"/>
  <c r="AD20" i="5"/>
  <c r="AD21" i="5"/>
  <c r="AD22" i="5"/>
  <c r="W9" i="5" l="1"/>
  <c r="AD9" i="5" s="1"/>
  <c r="W10" i="5"/>
  <c r="AD10" i="5" s="1"/>
  <c r="W11" i="5"/>
  <c r="AD11" i="5" s="1"/>
  <c r="W12" i="5"/>
  <c r="AD12" i="5" s="1"/>
  <c r="W8" i="5" l="1"/>
  <c r="AD8" i="5" s="1"/>
  <c r="W7" i="5" l="1"/>
  <c r="AD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Z7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Baja pirometria de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<sst xmlns="http://schemas.openxmlformats.org/spreadsheetml/2006/main" count="143" uniqueCount="110">
  <si>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</si>
  <si>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</si>
  <si>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</si>
  <si>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</si>
  <si>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</si>
  <si>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</si>
  <si>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</si>
  <si>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</si>
  <si>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</si>
  <si>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</si>
  <si>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</si>
  <si>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</si>
  <si>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</si>
  <si>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</si>
  <si>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</si>
  <si>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</si>
  <si>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</si>
  <si>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</si>
  <si>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</si>
  <si>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</si>
  <si>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</si>
  <si>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</si>
  <si>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</si>
  <si>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</si>
  <si>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</si>
  <si>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</si>
  <si>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</si>
  <si>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</si>
  <si>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</si>
  <si>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</si>
  <si>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</si>
  <si>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</si>
  <si>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</si>
  <si>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</si>
  <si>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</si>
  <si>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</si>
  <si>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</si>
  <si>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</si>
  <si>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</si>
  <si>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</si>
  <si>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</si>
  <si>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</si>
  <si>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</si>
  <si>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</si>
  <si>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</si>
  <si>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</si>
  <si>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</si>
  <si>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</si>
  <si>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</si>
  <si>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</si>
  <si>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</si>
  <si>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</si>
  <si>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</si>
  <si>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</si>
  <si>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</si>
  <si>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</si>
  <si>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</si>
  <si>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</si>
  <si>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</si>
  <si>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</si>
  <si>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</si>
  <si>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</si>
  <si>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</si>
  <si>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</si>
  <si>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</si>
  <si>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</si>
  <si>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</si>
  <si>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</si>
  <si>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</si>
  <si>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</si>
  <si>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</si>
  <si>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</si>
  <si>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</si>
  <si>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</si>
  <si>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</si>
  <si>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</si>
  <si>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</si>
  <si>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</si>
  <si>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</si>
  <si>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</si>
  <si>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</si>
  <si>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</si>
  <si>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</si>
  <si>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</si>
  <si>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</si>
  <si>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</si>
  <si>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</si>
  <si>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</si>
  <si>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</si>
  <si>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</si>
  <si>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</si>
  <si>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 xml:space="preserve">SUR </t>
  </si>
  <si>
    <t>P1</t>
  </si>
  <si>
    <t>Centro</t>
  </si>
  <si>
    <t>Clave</t>
  </si>
  <si>
    <t>140 Seg</t>
  </si>
  <si>
    <t>N80 127,38 x 16,5 mm TPC</t>
  </si>
  <si>
    <t>N80 127,37 x 16,69 mm TPC</t>
  </si>
  <si>
    <t>1 al 20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</si>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</sst>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8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39" fillId="0" borderId="0" xfId="0" applyFont="1" applyBorder="1" applyAlignment="1">
      <alignment horizontal="center" vertical="top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2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2" xfId="0" applyFont="1" applyFill="1" applyBorder="1" applyAlignment="1">
      <alignment horizontal="center"/>
    </xf>
    <xf numFmtId="165" fontId="40" fillId="0" borderId="2" xfId="2" applyNumberFormat="1" applyFont="1" applyFill="1" applyBorder="1" applyAlignment="1">
      <alignment horizontal="center"/>
    </xf>
    <xf numFmtId="0" fontId="49" fillId="0" borderId="0" xfId="0" applyFont="1" applyFill="1" applyBorder="1" applyAlignment="1"/>
    <xf numFmtId="0" fontId="50" fillId="0" borderId="0" xfId="0" applyFont="1" applyAlignment="1">
      <alignment horizontal="center"/>
    </xf>
    <xf numFmtId="0" fontId="51" fillId="0" borderId="0" xfId="0" applyFont="1" applyFill="1" applyBorder="1" applyAlignment="1"/>
    <xf numFmtId="0" fontId="52" fillId="0" borderId="0" xfId="0" applyFont="1" applyFill="1" applyBorder="1" applyAlignment="1"/>
    <xf numFmtId="14" fontId="53" fillId="0" borderId="0" xfId="0" quotePrefix="1" applyNumberFormat="1" applyFont="1" applyFill="1" applyBorder="1" applyAlignment="1"/>
    <xf numFmtId="14" fontId="53" fillId="0" borderId="0" xfId="0" applyNumberFormat="1" applyFont="1" applyFill="1" applyBorder="1" applyAlignment="1"/>
    <xf numFmtId="0" fontId="55" fillId="0" borderId="0" xfId="0" applyFont="1" applyFill="1" applyBorder="1" applyAlignment="1">
      <alignment horizontal="center"/>
    </xf>
    <xf numFmtId="0" fontId="54" fillId="2" borderId="0" xfId="0" applyFont="1" applyFill="1" applyAlignment="1">
      <alignment horizontal="center"/>
    </xf>
    <xf numFmtId="0" fontId="56" fillId="2" borderId="0" xfId="0" applyFont="1" applyFill="1" applyAlignment="1">
      <alignment horizontal="center"/>
    </xf>
    <xf numFmtId="0" fontId="57" fillId="2" borderId="0" xfId="0" applyFont="1" applyFill="1" applyBorder="1" applyAlignment="1">
      <alignment horizontal="center"/>
    </xf>
    <xf numFmtId="165" fontId="50" fillId="0" borderId="0" xfId="0" applyNumberFormat="1" applyFont="1" applyAlignment="1">
      <alignment horizontal="center"/>
    </xf>
    <xf numFmtId="0" fontId="58" fillId="2" borderId="0" xfId="0" applyFont="1" applyFill="1" applyAlignment="1">
      <alignment horizontal="center"/>
    </xf>
    <xf numFmtId="0" fontId="59" fillId="2" borderId="0" xfId="0" applyFont="1" applyFill="1" applyBorder="1" applyAlignment="1">
      <alignment horizontal="right"/>
    </xf>
    <xf numFmtId="165" fontId="57" fillId="2" borderId="0" xfId="0" applyNumberFormat="1" applyFont="1" applyFill="1" applyBorder="1" applyAlignment="1">
      <alignment horizontal="center"/>
    </xf>
    <xf numFmtId="0" fontId="55" fillId="0" borderId="22" xfId="0" applyFont="1" applyFill="1" applyBorder="1" applyAlignment="1"/>
    <xf numFmtId="165" fontId="55" fillId="0" borderId="22" xfId="0" applyNumberFormat="1" applyFont="1" applyFill="1" applyBorder="1" applyAlignment="1">
      <alignment horizontal="center"/>
    </xf>
    <xf numFmtId="0" fontId="55" fillId="0" borderId="20" xfId="0" applyFont="1" applyFill="1" applyBorder="1" applyAlignment="1">
      <alignment horizontal="center"/>
    </xf>
    <xf numFmtId="0" fontId="60" fillId="0" borderId="0" xfId="0" applyFont="1" applyFill="1" applyBorder="1" applyAlignment="1">
      <alignment horizontal="center"/>
    </xf>
    <xf numFmtId="3" fontId="62" fillId="0" borderId="5" xfId="0" applyNumberFormat="1" applyFont="1" applyFill="1" applyBorder="1" applyAlignment="1">
      <alignment horizontal="center"/>
    </xf>
    <xf numFmtId="0" fontId="62" fillId="0" borderId="0" xfId="0" applyFont="1" applyAlignment="1">
      <alignment horizontal="center"/>
    </xf>
    <xf numFmtId="0" fontId="62" fillId="0" borderId="2" xfId="0" applyFont="1" applyFill="1" applyBorder="1" applyAlignment="1" applyProtection="1">
      <alignment horizontal="center"/>
      <protection locked="0"/>
    </xf>
    <xf numFmtId="0" fontId="57" fillId="0" borderId="0" xfId="0" applyFont="1" applyFill="1" applyBorder="1" applyAlignment="1">
      <alignment horizontal="center"/>
    </xf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1" fillId="6" borderId="0" xfId="0" applyFont="1" applyFill="1" applyBorder="1" applyAlignment="1" applyProtection="1">
      <alignment vertical="center"/>
      <protection hidden="1"/>
    </xf>
    <xf numFmtId="0" fontId="1" fillId="6" borderId="0" xfId="0" applyFont="1" applyFill="1" applyBorder="1" applyAlignment="1">
      <alignment vertical="center"/>
    </xf>
    <xf numFmtId="0" fontId="2" fillId="6" borderId="0" xfId="0" applyFont="1" applyFill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0" fontId="11" fillId="6" borderId="0" xfId="0" applyFont="1" applyFill="1" applyAlignment="1" applyProtection="1">
      <alignment vertical="center"/>
      <protection hidden="1"/>
    </xf>
    <xf numFmtId="0" fontId="47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21" fontId="30" fillId="6" borderId="0" xfId="0" applyNumberFormat="1" applyFont="1" applyFill="1" applyBorder="1" applyAlignment="1" applyProtection="1">
      <alignment horizontal="center" vertical="center"/>
      <protection hidden="1"/>
    </xf>
    <xf numFmtId="21" fontId="46" fillId="6" borderId="0" xfId="0" applyNumberFormat="1" applyFont="1" applyFill="1" applyBorder="1" applyAlignment="1" applyProtection="1">
      <alignment horizontal="center" vertical="center"/>
      <protection hidden="1"/>
    </xf>
    <xf numFmtId="0" fontId="18" fillId="6" borderId="0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Border="1" applyAlignment="1" applyProtection="1">
      <alignment horizontal="center" vertical="center"/>
      <protection hidden="1"/>
    </xf>
    <xf numFmtId="0" fontId="37" fillId="6" borderId="0" xfId="0" applyFont="1" applyFill="1" applyBorder="1" applyAlignment="1" applyProtection="1">
      <alignment horizontal="center" vertical="center"/>
      <protection hidden="1"/>
    </xf>
    <xf numFmtId="0" fontId="11" fillId="6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0" xfId="0" applyFill="1"/>
    <xf numFmtId="0" fontId="1" fillId="5" borderId="0" xfId="0" applyFont="1" applyFill="1" applyBorder="1" applyAlignment="1" applyProtection="1">
      <alignment vertical="center"/>
      <protection hidden="1"/>
    </xf>
    <xf numFmtId="0" fontId="0" fillId="5" borderId="0" xfId="0" applyFill="1" applyBorder="1" applyAlignment="1" applyProtection="1">
      <alignment vertical="center"/>
      <protection hidden="1"/>
    </xf>
    <xf numFmtId="0" fontId="3" fillId="5" borderId="0" xfId="0" applyFont="1" applyFill="1" applyBorder="1" applyAlignment="1" applyProtection="1">
      <alignment horizontal="left" vertical="center"/>
      <protection hidden="1"/>
    </xf>
    <xf numFmtId="0" fontId="20" fillId="5" borderId="0" xfId="0" applyFont="1" applyFill="1" applyBorder="1" applyAlignment="1" applyProtection="1">
      <alignment horizontal="left" vertical="center"/>
      <protection hidden="1"/>
    </xf>
    <xf numFmtId="0" fontId="23" fillId="5" borderId="0" xfId="0" applyFont="1" applyFill="1" applyBorder="1" applyAlignment="1" applyProtection="1">
      <alignment horizontal="left" vertical="center"/>
      <protection hidden="1"/>
    </xf>
    <xf numFmtId="15" fontId="4" fillId="5" borderId="0" xfId="0" applyNumberFormat="1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21" fontId="6" fillId="5" borderId="0" xfId="0" applyNumberFormat="1" applyFont="1" applyFill="1" applyBorder="1" applyAlignment="1" applyProtection="1">
      <alignment horizontal="center" vertical="center"/>
      <protection hidden="1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right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6" fillId="5" borderId="0" xfId="0" applyFont="1" applyFill="1" applyBorder="1" applyAlignment="1" applyProtection="1">
      <alignment horizontal="center" vertical="center"/>
      <protection hidden="1"/>
    </xf>
    <xf numFmtId="21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8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vertical="center"/>
      <protection hidden="1"/>
    </xf>
    <xf numFmtId="0" fontId="17" fillId="5" borderId="0" xfId="0" applyFont="1" applyFill="1" applyBorder="1" applyAlignment="1" applyProtection="1">
      <alignment vertical="center"/>
      <protection hidden="1"/>
    </xf>
    <xf numFmtId="0" fontId="45" fillId="5" borderId="0" xfId="0" applyFont="1" applyFill="1" applyBorder="1" applyAlignment="1" applyProtection="1">
      <alignment vertical="center"/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alignment vertical="center"/>
      <protection hidden="1"/>
    </xf>
    <xf numFmtId="0" fontId="10" fillId="5" borderId="0" xfId="0" applyFont="1" applyFill="1" applyBorder="1" applyAlignment="1" applyProtection="1">
      <alignment vertical="center"/>
      <protection hidden="1"/>
    </xf>
    <xf numFmtId="0" fontId="21" fillId="5" borderId="0" xfId="0" applyFont="1" applyFill="1" applyBorder="1" applyAlignment="1" applyProtection="1">
      <alignment vertical="center"/>
      <protection hidden="1"/>
    </xf>
    <xf numFmtId="0" fontId="29" fillId="5" borderId="0" xfId="0" applyFont="1" applyFill="1" applyBorder="1" applyAlignment="1" applyProtection="1">
      <alignment horizontal="center" vertical="center"/>
      <protection hidden="1"/>
    </xf>
    <xf numFmtId="0" fontId="9" fillId="5" borderId="0" xfId="0" quotePrefix="1" applyFont="1" applyFill="1" applyBorder="1" applyAlignment="1" applyProtection="1">
      <alignment vertical="center"/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21" fontId="32" fillId="5" borderId="0" xfId="0" applyNumberFormat="1" applyFont="1" applyFill="1" applyBorder="1" applyAlignment="1" applyProtection="1">
      <alignment horizontal="center" vertical="center"/>
      <protection hidden="1"/>
    </xf>
    <xf numFmtId="0" fontId="46" fillId="5" borderId="0" xfId="0" applyFont="1" applyFill="1" applyBorder="1" applyAlignment="1" applyProtection="1">
      <alignment vertical="center"/>
      <protection hidden="1"/>
    </xf>
    <xf numFmtId="0" fontId="33" fillId="5" borderId="0" xfId="0" applyFont="1" applyFill="1" applyBorder="1" applyAlignment="1" applyProtection="1">
      <alignment vertical="center"/>
      <protection hidden="1"/>
    </xf>
    <xf numFmtId="0" fontId="35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34" fillId="5" borderId="0" xfId="0" applyFont="1" applyFill="1" applyBorder="1" applyAlignment="1" applyProtection="1">
      <alignment vertical="center"/>
      <protection hidden="1"/>
    </xf>
    <xf numFmtId="0" fontId="36" fillId="5" borderId="0" xfId="0" applyFont="1" applyFill="1" applyBorder="1" applyAlignment="1" applyProtection="1">
      <alignment vertical="center"/>
      <protection hidden="1"/>
    </xf>
    <xf numFmtId="0" fontId="47" fillId="5" borderId="0" xfId="0" applyFont="1" applyFill="1" applyBorder="1" applyAlignment="1" applyProtection="1">
      <alignment vertical="center"/>
      <protection hidden="1"/>
    </xf>
    <xf numFmtId="21" fontId="33" fillId="5" borderId="0" xfId="0" applyNumberFormat="1" applyFont="1" applyFill="1" applyBorder="1" applyAlignment="1" applyProtection="1">
      <alignment horizontal="center"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17" xfId="0" applyFill="1" applyBorder="1" applyAlignment="1" applyProtection="1">
      <alignment vertical="center"/>
      <protection hidden="1"/>
    </xf>
    <xf numFmtId="0" fontId="1" fillId="5" borderId="17" xfId="0" applyFont="1" applyFill="1" applyBorder="1" applyAlignment="1" applyProtection="1">
      <alignment vertical="center"/>
      <protection hidden="1"/>
    </xf>
    <xf numFmtId="0" fontId="1" fillId="5" borderId="19" xfId="0" applyFont="1" applyFill="1" applyBorder="1" applyAlignment="1" applyProtection="1">
      <alignment vertical="center"/>
      <protection hidden="1"/>
    </xf>
    <xf numFmtId="0" fontId="0" fillId="5" borderId="21" xfId="0" applyFill="1" applyBorder="1" applyAlignment="1" applyProtection="1">
      <alignment vertical="center"/>
      <protection hidden="1"/>
    </xf>
    <xf numFmtId="0" fontId="1" fillId="5" borderId="23" xfId="0" applyFont="1" applyFill="1" applyBorder="1" applyAlignment="1" applyProtection="1">
      <alignment vertical="center"/>
      <protection hidden="1"/>
    </xf>
    <xf numFmtId="21" fontId="25" fillId="5" borderId="23" xfId="0" applyNumberFormat="1" applyFont="1" applyFill="1" applyBorder="1" applyAlignment="1" applyProtection="1">
      <alignment horizontal="center" vertical="center"/>
      <protection hidden="1"/>
    </xf>
    <xf numFmtId="0" fontId="8" fillId="5" borderId="21" xfId="0" applyFont="1" applyFill="1" applyBorder="1" applyAlignment="1" applyProtection="1">
      <alignment horizontal="center" vertical="center"/>
      <protection hidden="1"/>
    </xf>
    <xf numFmtId="0" fontId="9" fillId="5" borderId="21" xfId="0" applyFont="1" applyFill="1" applyBorder="1" applyAlignment="1" applyProtection="1">
      <alignment vertical="center"/>
      <protection hidden="1"/>
    </xf>
    <xf numFmtId="0" fontId="10" fillId="5" borderId="21" xfId="0" applyFont="1" applyFill="1" applyBorder="1" applyAlignment="1" applyProtection="1">
      <alignment vertical="center"/>
      <protection hidden="1"/>
    </xf>
    <xf numFmtId="0" fontId="27" fillId="5" borderId="23" xfId="0" applyFont="1" applyFill="1" applyBorder="1" applyAlignment="1" applyProtection="1">
      <alignment vertical="center"/>
      <protection hidden="1"/>
    </xf>
    <xf numFmtId="21" fontId="30" fillId="5" borderId="23" xfId="0" applyNumberFormat="1" applyFont="1" applyFill="1" applyBorder="1" applyAlignment="1" applyProtection="1">
      <alignment horizontal="center" vertical="center"/>
      <protection hidden="1"/>
    </xf>
    <xf numFmtId="0" fontId="9" fillId="5" borderId="24" xfId="0" applyFont="1" applyFill="1" applyBorder="1" applyAlignment="1" applyProtection="1">
      <alignment vertical="center"/>
      <protection hidden="1"/>
    </xf>
    <xf numFmtId="0" fontId="9" fillId="5" borderId="22" xfId="0" applyFont="1" applyFill="1" applyBorder="1" applyAlignment="1" applyProtection="1">
      <alignment vertical="center"/>
      <protection hidden="1"/>
    </xf>
    <xf numFmtId="0" fontId="27" fillId="5" borderId="22" xfId="0" applyFont="1" applyFill="1" applyBorder="1" applyAlignment="1" applyProtection="1">
      <alignment vertical="center"/>
      <protection hidden="1"/>
    </xf>
    <xf numFmtId="0" fontId="47" fillId="5" borderId="22" xfId="0" applyFont="1" applyFill="1" applyBorder="1" applyAlignment="1" applyProtection="1">
      <alignment vertical="center"/>
      <protection hidden="1"/>
    </xf>
    <xf numFmtId="0" fontId="46" fillId="5" borderId="22" xfId="0" applyFont="1" applyFill="1" applyBorder="1" applyAlignment="1" applyProtection="1">
      <alignment vertical="center"/>
      <protection hidden="1"/>
    </xf>
    <xf numFmtId="21" fontId="46" fillId="5" borderId="22" xfId="0" applyNumberFormat="1" applyFont="1" applyFill="1" applyBorder="1" applyAlignment="1" applyProtection="1">
      <alignment horizontal="center" vertical="center"/>
      <protection hidden="1"/>
    </xf>
    <xf numFmtId="21" fontId="33" fillId="5" borderId="22" xfId="0" applyNumberFormat="1" applyFont="1" applyFill="1" applyBorder="1" applyAlignment="1" applyProtection="1">
      <alignment horizontal="center" vertical="center"/>
      <protection hidden="1"/>
    </xf>
    <xf numFmtId="21" fontId="30" fillId="5" borderId="20" xfId="0" applyNumberFormat="1" applyFont="1" applyFill="1" applyBorder="1" applyAlignment="1" applyProtection="1">
      <alignment horizontal="center" vertical="center"/>
      <protection hidden="1"/>
    </xf>
    <xf numFmtId="15" fontId="61" fillId="0" borderId="5" xfId="0" applyNumberFormat="1" applyFont="1" applyFill="1" applyBorder="1" applyAlignment="1">
      <alignment horizontal="center"/>
    </xf>
    <xf numFmtId="0" fontId="62" fillId="0" borderId="2" xfId="3" applyFont="1" applyBorder="1" applyAlignment="1">
      <alignment horizontal="center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0" fontId="62" fillId="0" borderId="3" xfId="0" applyFont="1" applyFill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25" xfId="2" applyNumberFormat="1" applyFont="1" applyFill="1" applyBorder="1" applyAlignment="1" applyProtection="1">
      <alignment horizontal="center"/>
      <protection locked="0"/>
    </xf>
    <xf numFmtId="3" fontId="63" fillId="0" borderId="2" xfId="0" applyNumberFormat="1" applyFont="1" applyFill="1" applyBorder="1" applyAlignment="1" applyProtection="1">
      <alignment horizontal="center"/>
    </xf>
    <xf numFmtId="0" fontId="65" fillId="0" borderId="2" xfId="0" applyFont="1" applyFill="1" applyBorder="1" applyAlignment="1" applyProtection="1">
      <alignment horizontal="center"/>
      <protection locked="0"/>
    </xf>
    <xf numFmtId="0" fontId="62" fillId="0" borderId="26" xfId="0" applyFont="1" applyBorder="1" applyAlignment="1">
      <alignment horizontal="center"/>
    </xf>
    <xf numFmtId="0" fontId="62" fillId="0" borderId="26" xfId="0" applyFont="1" applyFill="1" applyBorder="1" applyAlignment="1">
      <alignment horizontal="center"/>
    </xf>
    <xf numFmtId="0" fontId="48" fillId="6" borderId="0" xfId="0" applyFont="1" applyFill="1" applyAlignment="1">
      <alignment horizontal="center"/>
    </xf>
    <xf numFmtId="15" fontId="61" fillId="0" borderId="4" xfId="0" applyNumberFormat="1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3" fontId="69" fillId="0" borderId="25" xfId="2" applyNumberFormat="1" applyFont="1" applyFill="1" applyBorder="1" applyAlignment="1" applyProtection="1">
      <alignment horizontal="center"/>
      <protection locked="0"/>
    </xf>
    <xf numFmtId="2" fontId="40" fillId="0" borderId="2" xfId="0" applyNumberFormat="1" applyFont="1" applyFill="1" applyBorder="1" applyAlignment="1">
      <alignment horizontal="center"/>
    </xf>
    <xf numFmtId="3" fontId="65" fillId="0" borderId="1" xfId="0" applyNumberFormat="1" applyFont="1" applyFill="1" applyBorder="1" applyAlignment="1" applyProtection="1">
      <alignment horizontal="center"/>
      <protection locked="0"/>
    </xf>
    <xf numFmtId="0" fontId="64" fillId="8" borderId="0" xfId="0" applyFont="1" applyFill="1" applyBorder="1" applyAlignment="1">
      <alignment horizontal="center"/>
    </xf>
    <xf numFmtId="0" fontId="48" fillId="8" borderId="0" xfId="0" applyFont="1" applyFill="1" applyBorder="1" applyAlignment="1">
      <alignment horizontal="center" vertical="center" wrapText="1"/>
    </xf>
    <xf numFmtId="0" fontId="48" fillId="9" borderId="0" xfId="0" applyFont="1" applyFill="1" applyAlignment="1">
      <alignment horizontal="center" vertical="center" wrapText="1"/>
    </xf>
    <xf numFmtId="0" fontId="70" fillId="9" borderId="0" xfId="0" applyFont="1" applyFill="1" applyAlignment="1">
      <alignment horizontal="center" vertical="center" wrapText="1"/>
    </xf>
    <xf numFmtId="0" fontId="48" fillId="9" borderId="0" xfId="0" applyFont="1" applyFill="1" applyAlignment="1">
      <alignment horizontal="center"/>
    </xf>
    <xf numFmtId="165" fontId="40" fillId="0" borderId="2" xfId="0" applyNumberFormat="1" applyFont="1" applyFill="1" applyBorder="1" applyAlignment="1">
      <alignment horizontal="center"/>
    </xf>
    <xf numFmtId="0" fontId="44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Border="1" applyAlignment="1">
      <alignment horizontal="center" vertical="center"/>
    </xf>
    <xf numFmtId="0" fontId="78" fillId="7" borderId="31" xfId="4" applyFont="1" applyFill="1" applyBorder="1" applyAlignment="1">
      <alignment horizontal="center"/>
    </xf>
    <xf numFmtId="0" fontId="78" fillId="11" borderId="31" xfId="4" applyFont="1" applyFill="1" applyBorder="1" applyAlignment="1">
      <alignment horizontal="center"/>
    </xf>
    <xf numFmtId="0" fontId="78" fillId="12" borderId="32" xfId="4" applyFont="1" applyFill="1" applyBorder="1" applyAlignment="1">
      <alignment horizontal="center"/>
    </xf>
    <xf numFmtId="0" fontId="79" fillId="14" borderId="2" xfId="4" applyFont="1" applyFill="1" applyBorder="1" applyAlignment="1">
      <alignment horizontal="center" vertical="center" wrapText="1"/>
    </xf>
    <xf numFmtId="0" fontId="79" fillId="10" borderId="2" xfId="4" applyFont="1" applyFill="1" applyBorder="1" applyAlignment="1">
      <alignment horizontal="center" vertical="center" wrapText="1"/>
    </xf>
    <xf numFmtId="0" fontId="78" fillId="7" borderId="2" xfId="4" applyFont="1" applyFill="1" applyBorder="1" applyAlignment="1">
      <alignment horizontal="center" vertical="center" wrapText="1"/>
    </xf>
    <xf numFmtId="0" fontId="78" fillId="11" borderId="2" xfId="4" applyFont="1" applyFill="1" applyBorder="1" applyAlignment="1">
      <alignment horizontal="center" vertical="center" wrapText="1"/>
    </xf>
    <xf numFmtId="0" fontId="78" fillId="12" borderId="2" xfId="4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5" fontId="22" fillId="6" borderId="2" xfId="0" applyNumberFormat="1" applyFont="1" applyFill="1" applyBorder="1" applyAlignment="1">
      <alignment horizontal="center"/>
    </xf>
    <xf numFmtId="15" fontId="22" fillId="3" borderId="2" xfId="0" applyNumberFormat="1" applyFont="1" applyFill="1" applyBorder="1" applyAlignment="1">
      <alignment horizontal="center"/>
    </xf>
    <xf numFmtId="0" fontId="42" fillId="0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1" fontId="40" fillId="0" borderId="2" xfId="0" applyNumberFormat="1" applyFont="1" applyFill="1" applyBorder="1" applyAlignment="1">
      <alignment horizontal="center"/>
    </xf>
    <xf numFmtId="165" fontId="71" fillId="0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2" fillId="0" borderId="2" xfId="0" applyFont="1" applyBorder="1"/>
    <xf numFmtId="0" fontId="41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6" fontId="12" fillId="0" borderId="2" xfId="2" applyNumberFormat="1" applyFont="1" applyBorder="1"/>
    <xf numFmtId="0" fontId="0" fillId="3" borderId="2" xfId="0" applyFill="1" applyBorder="1"/>
    <xf numFmtId="0" fontId="22" fillId="0" borderId="0" xfId="0" applyFont="1" applyBorder="1" applyAlignment="1">
      <alignment horizontal="center" vertical="top"/>
    </xf>
    <xf numFmtId="0" fontId="66" fillId="5" borderId="0" xfId="0" applyFont="1" applyFill="1" applyBorder="1" applyAlignment="1" applyProtection="1">
      <alignment horizontal="center" vertical="center"/>
      <protection hidden="1"/>
    </xf>
    <xf numFmtId="0" fontId="80" fillId="0" borderId="22" xfId="0" applyFont="1" applyFill="1" applyBorder="1" applyAlignment="1">
      <alignment horizontal="center" vertical="center"/>
    </xf>
    <xf numFmtId="0" fontId="81" fillId="0" borderId="17" xfId="0" applyFont="1" applyBorder="1" applyAlignment="1">
      <alignment horizontal="center" vertical="top"/>
    </xf>
    <xf numFmtId="0" fontId="81" fillId="0" borderId="19" xfId="0" applyFont="1" applyBorder="1" applyAlignment="1">
      <alignment horizontal="center" vertical="top"/>
    </xf>
    <xf numFmtId="0" fontId="15" fillId="0" borderId="22" xfId="0" applyFont="1" applyFill="1" applyBorder="1" applyAlignment="1">
      <alignment horizontal="center" vertical="center"/>
    </xf>
    <xf numFmtId="0" fontId="74" fillId="10" borderId="8" xfId="4" applyFont="1" applyFill="1" applyBorder="1" applyAlignment="1">
      <alignment horizontal="center" vertical="center"/>
    </xf>
    <xf numFmtId="0" fontId="74" fillId="10" borderId="17" xfId="4" applyFont="1" applyFill="1" applyBorder="1" applyAlignment="1">
      <alignment horizontal="center" vertical="center"/>
    </xf>
    <xf numFmtId="0" fontId="74" fillId="10" borderId="6" xfId="4" applyFont="1" applyFill="1" applyBorder="1" applyAlignment="1">
      <alignment horizontal="center" vertical="center"/>
    </xf>
    <xf numFmtId="0" fontId="74" fillId="10" borderId="18" xfId="4" applyFont="1" applyFill="1" applyBorder="1" applyAlignment="1">
      <alignment horizontal="center" vertical="center"/>
    </xf>
    <xf numFmtId="0" fontId="77" fillId="10" borderId="8" xfId="4" applyFont="1" applyFill="1" applyBorder="1" applyAlignment="1">
      <alignment horizontal="center" vertical="center" shrinkToFit="1"/>
    </xf>
    <xf numFmtId="0" fontId="77" fillId="10" borderId="17" xfId="4" applyFont="1" applyFill="1" applyBorder="1" applyAlignment="1">
      <alignment horizontal="center" vertical="center" shrinkToFit="1"/>
    </xf>
    <xf numFmtId="0" fontId="77" fillId="13" borderId="11" xfId="4" applyFont="1" applyFill="1" applyBorder="1" applyAlignment="1">
      <alignment horizontal="center" vertical="center" shrinkToFit="1"/>
    </xf>
    <xf numFmtId="0" fontId="77" fillId="13" borderId="10" xfId="4" applyFont="1" applyFill="1" applyBorder="1" applyAlignment="1">
      <alignment horizontal="center" vertical="center" shrinkToFit="1"/>
    </xf>
    <xf numFmtId="0" fontId="77" fillId="13" borderId="12" xfId="4" applyFont="1" applyFill="1" applyBorder="1" applyAlignment="1">
      <alignment horizontal="center" vertical="center" shrinkToFit="1"/>
    </xf>
    <xf numFmtId="0" fontId="77" fillId="13" borderId="13" xfId="4" applyFont="1" applyFill="1" applyBorder="1" applyAlignment="1">
      <alignment horizontal="center" vertical="center" shrinkToFit="1"/>
    </xf>
    <xf numFmtId="0" fontId="77" fillId="13" borderId="17" xfId="4" applyFont="1" applyFill="1" applyBorder="1" applyAlignment="1">
      <alignment horizontal="center" vertical="center" shrinkToFit="1"/>
    </xf>
    <xf numFmtId="0" fontId="77" fillId="13" borderId="19" xfId="4" applyFont="1" applyFill="1" applyBorder="1" applyAlignment="1">
      <alignment horizontal="center" vertical="center" shrinkToFit="1"/>
    </xf>
    <xf numFmtId="0" fontId="74" fillId="10" borderId="9" xfId="4" applyFont="1" applyFill="1" applyBorder="1" applyAlignment="1">
      <alignment horizontal="center" vertical="center"/>
    </xf>
    <xf numFmtId="0" fontId="78" fillId="12" borderId="31" xfId="4" applyFont="1" applyFill="1" applyBorder="1" applyAlignment="1">
      <alignment horizontal="center"/>
    </xf>
    <xf numFmtId="0" fontId="76" fillId="11" borderId="28" xfId="4" applyFont="1" applyFill="1" applyBorder="1" applyAlignment="1">
      <alignment horizontal="center"/>
    </xf>
    <xf numFmtId="0" fontId="75" fillId="7" borderId="27" xfId="4" applyFont="1" applyFill="1" applyBorder="1" applyAlignment="1">
      <alignment horizontal="center"/>
    </xf>
    <xf numFmtId="0" fontId="75" fillId="7" borderId="28" xfId="4" applyFont="1" applyFill="1" applyBorder="1" applyAlignment="1">
      <alignment horizontal="center"/>
    </xf>
    <xf numFmtId="0" fontId="76" fillId="12" borderId="28" xfId="4" applyFont="1" applyFill="1" applyBorder="1" applyAlignment="1">
      <alignment horizontal="center"/>
    </xf>
    <xf numFmtId="0" fontId="76" fillId="12" borderId="29" xfId="4" applyFont="1" applyFill="1" applyBorder="1" applyAlignment="1">
      <alignment horizontal="center"/>
    </xf>
    <xf numFmtId="0" fontId="78" fillId="7" borderId="30" xfId="4" applyFont="1" applyFill="1" applyBorder="1" applyAlignment="1">
      <alignment horizontal="center"/>
    </xf>
    <xf numFmtId="0" fontId="78" fillId="7" borderId="31" xfId="4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64" fillId="8" borderId="22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7" xfId="0" applyFont="1" applyFill="1" applyBorder="1" applyAlignment="1">
      <alignment horizontal="center" vertical="center" wrapText="1"/>
    </xf>
    <xf numFmtId="0" fontId="48" fillId="8" borderId="1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3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D8A-4B62-BF84-FD3AF86CB8A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D8A-4B62-BF84-FD3AF86CB8A4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D8A-4B62-BF84-FD3AF86CB8A4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D8A-4B62-BF84-FD3AF86CB8A4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D8A-4B62-BF84-FD3AF86CB8A4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D8A-4B62-BF84-FD3AF86CB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2236360"/>
        <c:axId val="432236752"/>
      </c:barChart>
      <c:catAx>
        <c:axId val="432236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223675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32236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22363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4D0-4AC7-8523-EF95A0A52DD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4D0-4AC7-8523-EF95A0A52DD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4D0-4AC7-8523-EF95A0A52DD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D0-4AC7-8523-EF95A0A52DD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4D0-4AC7-8523-EF95A0A52DD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4D0-4AC7-8523-EF95A0A52DD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F4D0-4AC7-8523-EF95A0A52DD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F4D0-4AC7-8523-EF95A0A52DD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F4D0-4AC7-8523-EF95A0A52DD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F4D0-4AC7-8523-EF95A0A52DD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F4D0-4AC7-8523-EF95A0A52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65592"/>
        <c:axId val="419065984"/>
      </c:lineChart>
      <c:catAx>
        <c:axId val="419065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9065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906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90655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E1-49A8-B63D-635EED871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E1-49A8-B63D-635EED8714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E1-49A8-B63D-635EED8714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E1-49A8-B63D-635EED8714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E1-49A8-B63D-635EED871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E1-49A8-B63D-635EED8714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E1-49A8-B63D-635EED8714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E1-49A8-B63D-635EED8714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E1-49A8-B63D-635EED871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E1-49A8-B63D-635EED8714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E1-49A8-B63D-635EED8714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E1-49A8-B63D-635EED8714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E1-49A8-B63D-635EED8714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E1-49A8-B63D-635EED87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007488"/>
        <c:axId val="433007880"/>
      </c:barChart>
      <c:catAx>
        <c:axId val="433007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007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007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007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95A-4FCE-AEF8-200B24165D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95A-4FCE-AEF8-200B24165D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A-4FCE-AEF8-200B24165D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A-4FCE-AEF8-200B24165D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95A-4FCE-AEF8-200B24165D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95A-4FCE-AEF8-200B24165D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5A-4FCE-AEF8-200B24165D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95A-4FCE-AEF8-200B24165D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5A-4FCE-AEF8-200B24165D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95A-4FCE-AEF8-200B24165D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5A-4FCE-AEF8-200B24165D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95A-4FCE-AEF8-200B24165D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5A-4FCE-AEF8-200B24165D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95A-4FCE-AEF8-200B24165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372120"/>
        <c:axId val="427372512"/>
      </c:barChart>
      <c:catAx>
        <c:axId val="42737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7372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7372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7372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02-41E1-9F99-76914AA70B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02-41E1-9F99-76914AA70B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02-41E1-9F99-76914AA70B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02-41E1-9F99-76914AA70B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02-41E1-9F99-76914AA70B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02-41E1-9F99-76914AA70B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02-41E1-9F99-76914AA70B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02-41E1-9F99-76914AA70B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02-41E1-9F99-76914AA70B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02-41E1-9F99-76914AA70B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02-41E1-9F99-76914AA70B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02-41E1-9F99-76914AA70B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02-41E1-9F99-76914AA70B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02-41E1-9F99-76914AA70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7373296"/>
        <c:axId val="349200592"/>
      </c:barChart>
      <c:catAx>
        <c:axId val="42737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200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200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7373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DF-4B25-A867-83BC0921C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DF-4B25-A867-83BC0921CEA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DF-4B25-A867-83BC0921C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DF-4B25-A867-83BC0921C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F-4B25-A867-83BC0921C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DF-4B25-A867-83BC0921CEA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DF-4B25-A867-83BC0921C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DF-4B25-A867-83BC0921C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DF-4B25-A867-83BC0921C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DF-4B25-A867-83BC0921CEA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DF-4B25-A867-83BC0921CEA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DF-4B25-A867-83BC0921CEA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DF-4B25-A867-83BC0921CEA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DF-4B25-A867-83BC0921C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9201376"/>
        <c:axId val="349201768"/>
      </c:barChart>
      <c:catAx>
        <c:axId val="34920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201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9201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49201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F7-4219-BC5D-85780EBA5A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F7-4219-BC5D-85780EBA5A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F7-4219-BC5D-85780EBA5A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F7-4219-BC5D-85780EBA5A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F7-4219-BC5D-85780EBA5A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F7-4219-BC5D-85780EBA5A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F7-4219-BC5D-85780EBA5A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F7-4219-BC5D-85780EBA5A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F7-4219-BC5D-85780EBA5A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F7-4219-BC5D-85780EBA5A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F7-4219-BC5D-85780EBA5A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F7-4219-BC5D-85780EBA5A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F7-4219-BC5D-85780EBA5A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F7-4219-BC5D-85780EBA5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700552"/>
        <c:axId val="422700944"/>
      </c:barChart>
      <c:catAx>
        <c:axId val="42270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0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700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05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B0-4BB2-B12F-A68E54F62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B0-4BB2-B12F-A68E54F62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B0-4BB2-B12F-A68E54F62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B0-4BB2-B12F-A68E54F62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B0-4BB2-B12F-A68E54F62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B0-4BB2-B12F-A68E54F62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B0-4BB2-B12F-A68E54F62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B0-4BB2-B12F-A68E54F62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B0-4BB2-B12F-A68E54F62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B0-4BB2-B12F-A68E54F62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B0-4BB2-B12F-A68E54F62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B0-4BB2-B12F-A68E54F62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B0-4BB2-B12F-A68E54F62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B0-4BB2-B12F-A68E54F62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2701728"/>
        <c:axId val="422702120"/>
      </c:barChart>
      <c:catAx>
        <c:axId val="42270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2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2702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27017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C-4A8C-A456-66B44BA8D6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5C-4A8C-A456-66B44BA8D62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C-4A8C-A456-66B44BA8D6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5C-4A8C-A456-66B44BA8D6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C-4A8C-A456-66B44BA8D6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5C-4A8C-A456-66B44BA8D62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C-4A8C-A456-66B44BA8D6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C-4A8C-A456-66B44BA8D6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C-4A8C-A456-66B44BA8D6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5C-4A8C-A456-66B44BA8D62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5C-4A8C-A456-66B44BA8D62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C-4A8C-A456-66B44BA8D62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C-4A8C-A456-66B44BA8D6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5C-4A8C-A456-66B44BA8D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75800"/>
        <c:axId val="429676192"/>
      </c:barChart>
      <c:catAx>
        <c:axId val="429675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9676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9676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96758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290-4E3E-87EF-73873C67E2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290-4E3E-87EF-73873C67E2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90-4E3E-87EF-73873C67E2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90-4E3E-87EF-73873C67E2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290-4E3E-87EF-73873C67E2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290-4E3E-87EF-73873C67E2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290-4E3E-87EF-73873C67E2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290-4E3E-87EF-73873C67E2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290-4E3E-87EF-73873C67E2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290-4E3E-87EF-73873C67E2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290-4E3E-87EF-73873C67E2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290-4E3E-87EF-73873C67E2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290-4E3E-87EF-73873C67E2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290-4E3E-87EF-73873C67E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9676976"/>
        <c:axId val="498989568"/>
      </c:barChart>
      <c:catAx>
        <c:axId val="42967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8989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989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96769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E2-455A-AB89-7DA1348A5F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E2-455A-AB89-7DA1348A5F3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E2-455A-AB89-7DA1348A5F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E2-455A-AB89-7DA1348A5F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E2-455A-AB89-7DA1348A5F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E2-455A-AB89-7DA1348A5F3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E2-455A-AB89-7DA1348A5F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E2-455A-AB89-7DA1348A5F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E2-455A-AB89-7DA1348A5F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E2-455A-AB89-7DA1348A5F3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E2-455A-AB89-7DA1348A5F3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E2-455A-AB89-7DA1348A5F3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E2-455A-AB89-7DA1348A5F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E2-455A-AB89-7DA1348A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990352"/>
        <c:axId val="498990744"/>
      </c:barChart>
      <c:catAx>
        <c:axId val="49899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8990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990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98990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E2-46B4-83AA-6201079BB5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E2-46B4-83AA-6201079BB5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E2-46B4-83AA-6201079BB5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E2-46B4-83AA-6201079BB5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E2-46B4-83AA-6201079BB5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FE2-46B4-83AA-6201079BB5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E2-46B4-83AA-6201079BB5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E2-46B4-83AA-6201079BB5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E2-46B4-83AA-6201079BB5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FE2-46B4-83AA-6201079BB5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E2-46B4-83AA-6201079BB5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E2-46B4-83AA-6201079BB5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E2-46B4-83AA-6201079BB5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FE2-46B4-83AA-6201079BB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284904"/>
        <c:axId val="423285296"/>
      </c:barChart>
      <c:catAx>
        <c:axId val="423284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3285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3285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3284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C8E-45C6-96C6-95BC8EDCE0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C8E-45C6-96C6-95BC8EDCE0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E-45C6-96C6-95BC8EDCE0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C8E-45C6-96C6-95BC8EDCE0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E-45C6-96C6-95BC8EDCE0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C8E-45C6-96C6-95BC8EDCE0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E-45C6-96C6-95BC8EDCE0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C8E-45C6-96C6-95BC8EDCE0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E-45C6-96C6-95BC8EDCE0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C8E-45C6-96C6-95BC8EDCE0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C8E-45C6-96C6-95BC8EDCE0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C8E-45C6-96C6-95BC8EDCE0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C8E-45C6-96C6-95BC8EDCE0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C8E-45C6-96C6-95BC8EDCE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3286080"/>
        <c:axId val="423286472"/>
      </c:barChart>
      <c:catAx>
        <c:axId val="42328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3286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32864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32860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DC-4679-9F4D-11B8FDC174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8DC-4679-9F4D-11B8FDC174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8DC-4679-9F4D-11B8FDC174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8DC-4679-9F4D-11B8FDC174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8DC-4679-9F4D-11B8FDC174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8DC-4679-9F4D-11B8FDC174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8DC-4679-9F4D-11B8FDC174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8DC-4679-9F4D-11B8FDC174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8DC-4679-9F4D-11B8FDC174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8DC-4679-9F4D-11B8FDC174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8DC-4679-9F4D-11B8FDC174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8DC-4679-9F4D-11B8FDC174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8DC-4679-9F4D-11B8FDC174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8DC-4679-9F4D-11B8FDC17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037448"/>
        <c:axId val="359037840"/>
      </c:barChart>
      <c:catAx>
        <c:axId val="359037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9037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037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9037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08-4D31-B296-C0BA20E1B2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08-4D31-B296-C0BA20E1B28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08-4D31-B296-C0BA20E1B2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08-4D31-B296-C0BA20E1B2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8-4D31-B296-C0BA20E1B2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08-4D31-B296-C0BA20E1B28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08-4D31-B296-C0BA20E1B2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8-4D31-B296-C0BA20E1B2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08-4D31-B296-C0BA20E1B2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08-4D31-B296-C0BA20E1B28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8-4D31-B296-C0BA20E1B28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08-4D31-B296-C0BA20E1B28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08-4D31-B296-C0BA20E1B28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08-4D31-B296-C0BA20E1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038624"/>
        <c:axId val="418125640"/>
      </c:barChart>
      <c:catAx>
        <c:axId val="35903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8125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125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90386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4B-4E65-B136-B26F075D2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4B-4E65-B136-B26F075D29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4B-4E65-B136-B26F075D2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4B-4E65-B136-B26F075D2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4B-4E65-B136-B26F075D2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4B-4E65-B136-B26F075D29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4B-4E65-B136-B26F075D2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4B-4E65-B136-B26F075D2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4B-4E65-B136-B26F075D2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4B-4E65-B136-B26F075D29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4B-4E65-B136-B26F075D29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4B-4E65-B136-B26F075D29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4B-4E65-B136-B26F075D29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4B-4E65-B136-B26F075D2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8126424"/>
        <c:axId val="418126816"/>
      </c:barChart>
      <c:catAx>
        <c:axId val="418126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8126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18126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18126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79-45DD-8F05-993EDA87A1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79-45DD-8F05-993EDA87A13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9-45DD-8F05-993EDA87A1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9-45DD-8F05-993EDA87A1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9-45DD-8F05-993EDA87A1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79-45DD-8F05-993EDA87A13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9-45DD-8F05-993EDA87A1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9-45DD-8F05-993EDA87A1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9-45DD-8F05-993EDA87A1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79-45DD-8F05-993EDA87A13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79-45DD-8F05-993EDA87A13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9-45DD-8F05-993EDA87A13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9-45DD-8F05-993EDA87A13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79-45DD-8F05-993EDA87A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412272"/>
        <c:axId val="431412664"/>
      </c:barChart>
      <c:catAx>
        <c:axId val="43141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1412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412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1412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DF-4AAC-A9FA-60F8C9F6F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DF-4AAC-A9FA-60F8C9F6F9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DF-4AAC-A9FA-60F8C9F6F9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DF-4AAC-A9FA-60F8C9F6F9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DF-4AAC-A9FA-60F8C9F6F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DF-4AAC-A9FA-60F8C9F6F9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DF-4AAC-A9FA-60F8C9F6F9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DF-4AAC-A9FA-60F8C9F6F9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DF-4AAC-A9FA-60F8C9F6F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DF-4AAC-A9FA-60F8C9F6F9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DF-4AAC-A9FA-60F8C9F6F9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DF-4AAC-A9FA-60F8C9F6F9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DF-4AAC-A9FA-60F8C9F6F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DF-4AAC-A9FA-60F8C9F6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1413448"/>
        <c:axId val="431413840"/>
      </c:barChart>
      <c:catAx>
        <c:axId val="431413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1413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14138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1413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FED-4961-AD6B-676A0BCE8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FED-4961-AD6B-676A0BCE8D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ED-4961-AD6B-676A0BCE8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ED-4961-AD6B-676A0BCE8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FED-4961-AD6B-676A0BCE8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FED-4961-AD6B-676A0BCE8D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FED-4961-AD6B-676A0BCE8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FED-4961-AD6B-676A0BCE8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FED-4961-AD6B-676A0BCE8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FED-4961-AD6B-676A0BCE8D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FED-4961-AD6B-676A0BCE8D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FED-4961-AD6B-676A0BCE8D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FED-4961-AD6B-676A0BCE8D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FED-4961-AD6B-676A0BCE8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78760"/>
        <c:axId val="363279152"/>
      </c:barChart>
      <c:catAx>
        <c:axId val="363278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327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3279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3278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C8-4700-9DCC-047B50326F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C8-4700-9DCC-047B50326F9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C8-4700-9DCC-047B50326F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C8-4700-9DCC-047B50326F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C8-4700-9DCC-047B50326F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C8-4700-9DCC-047B50326F9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C8-4700-9DCC-047B50326F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C8-4700-9DCC-047B50326F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C8-4700-9DCC-047B50326F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C8-4700-9DCC-047B50326F9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C8-4700-9DCC-047B50326F9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C8-4700-9DCC-047B50326F9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C8-4700-9DCC-047B50326F9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C8-4700-9DCC-047B50326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279936"/>
        <c:axId val="355514400"/>
      </c:barChart>
      <c:catAx>
        <c:axId val="363279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5514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514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63279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CA-4D6C-A118-5BB3787E9A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CA-4D6C-A118-5BB3787E9A1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CA-4D6C-A118-5BB3787E9A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CA-4D6C-A118-5BB3787E9A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CA-4D6C-A118-5BB3787E9A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CA-4D6C-A118-5BB3787E9A1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CA-4D6C-A118-5BB3787E9A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CA-4D6C-A118-5BB3787E9A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CA-4D6C-A118-5BB3787E9A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CA-4D6C-A118-5BB3787E9A1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CA-4D6C-A118-5BB3787E9A1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CA-4D6C-A118-5BB3787E9A1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CA-4D6C-A118-5BB3787E9A1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CA-4D6C-A118-5BB3787E9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5515184"/>
        <c:axId val="355515576"/>
      </c:barChart>
      <c:catAx>
        <c:axId val="35551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5515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5515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55515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A5-4A4A-AAE1-2C59C7233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A5-4A4A-AAE1-2C59C7233F6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A5-4A4A-AAE1-2C59C7233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A5-4A4A-AAE1-2C59C7233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A5-4A4A-AAE1-2C59C7233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A5-4A4A-AAE1-2C59C7233F6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A5-4A4A-AAE1-2C59C7233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A5-4A4A-AAE1-2C59C7233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A5-4A4A-AAE1-2C59C7233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A5-4A4A-AAE1-2C59C7233F6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A5-4A4A-AAE1-2C59C7233F6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A5-4A4A-AAE1-2C59C7233F6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A5-4A4A-AAE1-2C59C7233F6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A5-4A4A-AAE1-2C59C7233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066056"/>
        <c:axId val="428066448"/>
      </c:barChart>
      <c:catAx>
        <c:axId val="428066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8066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066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8066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EC-4074-8DDC-CB8C9A13CE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EC-4074-8DDC-CB8C9A13CE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EC-4074-8DDC-CB8C9A13CE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EC-4074-8DDC-CB8C9A13CE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EC-4074-8DDC-CB8C9A13CE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EC-4074-8DDC-CB8C9A13CE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EC-4074-8DDC-CB8C9A13CE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EC-4074-8DDC-CB8C9A13CE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EC-4074-8DDC-CB8C9A13CE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EC-4074-8DDC-CB8C9A13CE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EC-4074-8DDC-CB8C9A13CE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EC-4074-8DDC-CB8C9A13CE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EC-4074-8DDC-CB8C9A13CE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EC-4074-8DDC-CB8C9A13C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8067232"/>
        <c:axId val="428067624"/>
      </c:barChart>
      <c:catAx>
        <c:axId val="42806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8067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8067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8067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93-4C6C-951A-AC82126436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93-4C6C-951A-AC82126436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93-4C6C-951A-AC82126436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93-4C6C-951A-AC82126436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93-4C6C-951A-AC82126436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93-4C6C-951A-AC82126436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93-4C6C-951A-AC82126436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93-4C6C-951A-AC82126436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93-4C6C-951A-AC82126436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93-4C6C-951A-AC82126436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93-4C6C-951A-AC82126436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93-4C6C-951A-AC82126436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93-4C6C-951A-AC82126436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93-4C6C-951A-AC82126436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263120"/>
        <c:axId val="434263512"/>
      </c:barChart>
      <c:catAx>
        <c:axId val="43426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4263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4263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4263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A4A-4A72-9FA9-E3C42CD56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A4A-4A72-9FA9-E3C42CD56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A-4A72-9FA9-E3C42CD56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A-4A72-9FA9-E3C42CD56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A-4A72-9FA9-E3C42CD56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A4A-4A72-9FA9-E3C42CD56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A-4A72-9FA9-E3C42CD56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A-4A72-9FA9-E3C42CD56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A-4A72-9FA9-E3C42CD56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A4A-4A72-9FA9-E3C42CD56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A4A-4A72-9FA9-E3C42CD56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A-4A72-9FA9-E3C42CD56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A-4A72-9FA9-E3C42CD56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A4A-4A72-9FA9-E3C42CD56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4264296"/>
        <c:axId val="424046904"/>
      </c:barChart>
      <c:catAx>
        <c:axId val="434264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4046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4046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4264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51-4A93-91D3-596C456232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51-4A93-91D3-596C4562321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51-4A93-91D3-596C456232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51-4A93-91D3-596C456232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51-4A93-91D3-596C456232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51-4A93-91D3-596C4562321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51-4A93-91D3-596C456232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51-4A93-91D3-596C456232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51-4A93-91D3-596C456232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51-4A93-91D3-596C4562321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51-4A93-91D3-596C4562321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51-4A93-91D3-596C4562321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51-4A93-91D3-596C4562321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51-4A93-91D3-596C45623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047688"/>
        <c:axId val="424048080"/>
      </c:barChart>
      <c:catAx>
        <c:axId val="42404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404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2404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2404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256048</xdr:colOff>
      <xdr:row>0</xdr:row>
      <xdr:rowOff>58583</xdr:rowOff>
    </xdr:from>
    <xdr:to>
      <xdr:col>2</xdr:col>
      <xdr:colOff>232184</xdr:colOff>
      <xdr:row>2</xdr:row>
      <xdr:rowOff>251951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048" y="58583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481371</xdr:colOff>
      <xdr:row>0</xdr:row>
      <xdr:rowOff>153629</xdr:rowOff>
    </xdr:from>
    <xdr:to>
      <xdr:col>4</xdr:col>
      <xdr:colOff>195764</xdr:colOff>
      <xdr:row>2</xdr:row>
      <xdr:rowOff>233537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536290" y="153629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349250</xdr:colOff>
      <xdr:row>1</xdr:row>
      <xdr:rowOff>0</xdr:rowOff>
    </xdr:from>
    <xdr:to>
      <xdr:col>1</xdr:col>
      <xdr:colOff>294217</xdr:colOff>
      <xdr:row>3</xdr:row>
      <xdr:rowOff>221192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250" y="33866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4"/>
      <c r="B1" s="55"/>
      <c r="C1" s="55"/>
      <c r="D1" s="55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/>
    </row>
    <row r="2" spans="1:21" s="8" customFormat="1" ht="17.45" customHeight="1">
      <c r="A2" s="58"/>
      <c r="B2" s="108"/>
      <c r="C2" s="109"/>
      <c r="D2" s="109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1"/>
      <c r="R2" s="56"/>
      <c r="S2" s="56"/>
      <c r="T2" s="56"/>
      <c r="U2" s="57"/>
    </row>
    <row r="3" spans="1:21" s="8" customFormat="1" ht="17.45" customHeight="1">
      <c r="A3" s="58"/>
      <c r="B3" s="112"/>
      <c r="C3" s="75"/>
      <c r="D3" s="75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113"/>
      <c r="R3" s="56"/>
      <c r="S3" s="56"/>
      <c r="T3" s="56"/>
      <c r="U3" s="57"/>
    </row>
    <row r="4" spans="1:21" s="8" customFormat="1" ht="10.5" customHeight="1">
      <c r="A4" s="58"/>
      <c r="B4" s="112"/>
      <c r="C4" s="76"/>
      <c r="D4" s="77"/>
      <c r="E4" s="78"/>
      <c r="F4" s="78"/>
      <c r="G4" s="78"/>
      <c r="H4" s="78"/>
      <c r="I4" s="78"/>
      <c r="J4" s="78"/>
      <c r="K4" s="78"/>
      <c r="L4" s="78"/>
      <c r="M4" s="78"/>
      <c r="N4" s="79"/>
      <c r="O4" s="74"/>
      <c r="P4" s="74"/>
      <c r="Q4" s="113"/>
      <c r="R4" s="56"/>
      <c r="S4" s="56"/>
      <c r="T4" s="56"/>
      <c r="U4" s="57"/>
    </row>
    <row r="5" spans="1:21" s="8" customFormat="1" ht="32.25" customHeight="1">
      <c r="A5" s="59"/>
      <c r="B5" s="112"/>
      <c r="C5" s="80"/>
      <c r="D5" s="80"/>
      <c r="E5" s="182" t="s">
        <v>70</v>
      </c>
      <c r="F5" s="182"/>
      <c r="G5" s="182"/>
      <c r="H5" s="182"/>
      <c r="I5" s="182"/>
      <c r="J5" s="182"/>
      <c r="K5" s="182"/>
      <c r="L5" s="182"/>
      <c r="M5" s="182"/>
      <c r="N5" s="81"/>
      <c r="O5" s="74"/>
      <c r="P5" s="74"/>
      <c r="Q5" s="113"/>
      <c r="R5" s="56"/>
      <c r="S5" s="56"/>
      <c r="T5" s="56"/>
      <c r="U5" s="57"/>
    </row>
    <row r="6" spans="1:21" s="8" customFormat="1" ht="17.45" customHeight="1">
      <c r="A6" s="58"/>
      <c r="B6" s="112"/>
      <c r="C6" s="82"/>
      <c r="D6" s="82"/>
      <c r="E6" s="83"/>
      <c r="F6" s="84"/>
      <c r="G6" s="84"/>
      <c r="H6" s="84"/>
      <c r="I6" s="84"/>
      <c r="J6" s="84"/>
      <c r="K6" s="84"/>
      <c r="L6" s="84"/>
      <c r="M6" s="84"/>
      <c r="N6" s="85"/>
      <c r="O6" s="86"/>
      <c r="P6" s="86"/>
      <c r="Q6" s="114"/>
      <c r="R6" s="56"/>
      <c r="S6" s="56"/>
      <c r="T6" s="56"/>
      <c r="U6" s="57"/>
    </row>
    <row r="7" spans="1:21" s="8" customFormat="1" ht="17.45" customHeight="1">
      <c r="A7" s="58"/>
      <c r="B7" s="115"/>
      <c r="C7" s="87"/>
      <c r="D7" s="87"/>
      <c r="E7" s="88"/>
      <c r="F7" s="88"/>
      <c r="G7" s="88"/>
      <c r="H7" s="88"/>
      <c r="I7" s="88"/>
      <c r="J7" s="88"/>
      <c r="K7" s="88"/>
      <c r="L7" s="88"/>
      <c r="M7" s="74"/>
      <c r="N7" s="86"/>
      <c r="O7" s="86"/>
      <c r="P7" s="86"/>
      <c r="Q7" s="114"/>
      <c r="R7" s="56"/>
      <c r="S7" s="56"/>
      <c r="T7" s="56"/>
      <c r="U7" s="57"/>
    </row>
    <row r="8" spans="1:21" s="8" customFormat="1" ht="17.45" customHeight="1">
      <c r="A8" s="58"/>
      <c r="B8" s="116"/>
      <c r="C8" s="89"/>
      <c r="D8" s="89"/>
      <c r="E8" s="90"/>
      <c r="F8" s="91"/>
      <c r="G8" s="91"/>
      <c r="H8" s="91"/>
      <c r="I8" s="92"/>
      <c r="J8" s="92"/>
      <c r="K8" s="92"/>
      <c r="L8" s="93"/>
      <c r="M8" s="74"/>
      <c r="N8" s="74"/>
      <c r="O8" s="86"/>
      <c r="P8" s="86"/>
      <c r="Q8" s="114"/>
      <c r="R8" s="56"/>
      <c r="S8" s="56"/>
      <c r="T8" s="56"/>
      <c r="U8" s="57"/>
    </row>
    <row r="9" spans="1:21" s="8" customFormat="1" ht="17.45" customHeight="1">
      <c r="A9" s="58"/>
      <c r="B9" s="116"/>
      <c r="C9" s="89"/>
      <c r="D9" s="94"/>
      <c r="E9" s="92"/>
      <c r="F9" s="92"/>
      <c r="G9" s="92"/>
      <c r="H9" s="92"/>
      <c r="I9" s="92"/>
      <c r="J9" s="92"/>
      <c r="K9" s="92"/>
      <c r="L9" s="93"/>
      <c r="M9" s="74"/>
      <c r="N9" s="74"/>
      <c r="O9" s="86"/>
      <c r="P9" s="74"/>
      <c r="Q9" s="113"/>
      <c r="R9" s="56"/>
      <c r="S9" s="56"/>
      <c r="T9" s="56"/>
      <c r="U9" s="57"/>
    </row>
    <row r="10" spans="1:21" s="8" customFormat="1" ht="17.45" customHeight="1">
      <c r="A10" s="58"/>
      <c r="B10" s="116"/>
      <c r="C10" s="89"/>
      <c r="D10" s="95"/>
      <c r="E10" s="96"/>
      <c r="F10" s="92"/>
      <c r="G10" s="92"/>
      <c r="H10" s="92"/>
      <c r="I10" s="92"/>
      <c r="J10" s="92"/>
      <c r="K10" s="92"/>
      <c r="L10" s="93"/>
      <c r="M10" s="74"/>
      <c r="N10" s="74"/>
      <c r="O10" s="86"/>
      <c r="P10" s="74"/>
      <c r="Q10" s="113"/>
      <c r="R10" s="56"/>
      <c r="S10" s="56"/>
      <c r="T10" s="56"/>
      <c r="U10" s="57"/>
    </row>
    <row r="11" spans="1:21" s="8" customFormat="1" ht="12" customHeight="1">
      <c r="A11" s="58"/>
      <c r="B11" s="116"/>
      <c r="C11" s="89"/>
      <c r="D11" s="97"/>
      <c r="E11" s="92"/>
      <c r="F11" s="92"/>
      <c r="G11" s="92"/>
      <c r="H11" s="92"/>
      <c r="I11" s="92"/>
      <c r="J11" s="92"/>
      <c r="K11" s="92"/>
      <c r="L11" s="98"/>
      <c r="M11" s="98"/>
      <c r="N11" s="98"/>
      <c r="O11" s="99"/>
      <c r="P11" s="74"/>
      <c r="Q11" s="113"/>
      <c r="R11" s="56"/>
      <c r="S11" s="56"/>
      <c r="T11" s="56"/>
      <c r="U11" s="57"/>
    </row>
    <row r="12" spans="1:21" s="8" customFormat="1" ht="17.45" customHeight="1">
      <c r="A12" s="58"/>
      <c r="B12" s="116"/>
      <c r="C12" s="89"/>
      <c r="D12" s="89"/>
      <c r="E12" s="92"/>
      <c r="F12" s="92"/>
      <c r="G12" s="92"/>
      <c r="H12" s="92"/>
      <c r="I12" s="92"/>
      <c r="J12" s="92"/>
      <c r="K12" s="92"/>
      <c r="L12" s="100"/>
      <c r="M12" s="98"/>
      <c r="N12" s="98"/>
      <c r="O12" s="99"/>
      <c r="P12" s="101"/>
      <c r="Q12" s="113"/>
      <c r="R12" s="56"/>
      <c r="S12" s="56"/>
      <c r="T12" s="56"/>
      <c r="U12" s="57"/>
    </row>
    <row r="13" spans="1:21" s="8" customFormat="1" ht="17.25" customHeight="1">
      <c r="A13" s="58"/>
      <c r="B13" s="117"/>
      <c r="C13" s="89"/>
      <c r="D13" s="89"/>
      <c r="E13" s="102"/>
      <c r="F13" s="92"/>
      <c r="G13" s="92"/>
      <c r="H13" s="92"/>
      <c r="I13" s="92"/>
      <c r="J13" s="92"/>
      <c r="K13" s="92"/>
      <c r="L13" s="100"/>
      <c r="M13" s="98"/>
      <c r="N13" s="98"/>
      <c r="O13" s="99"/>
      <c r="P13" s="101"/>
      <c r="Q13" s="113"/>
      <c r="R13" s="56"/>
      <c r="S13" s="56"/>
      <c r="T13" s="56"/>
      <c r="U13" s="57"/>
    </row>
    <row r="14" spans="1:21" s="8" customFormat="1" ht="17.25" customHeight="1">
      <c r="A14" s="58"/>
      <c r="B14" s="117"/>
      <c r="C14" s="103"/>
      <c r="D14" s="89"/>
      <c r="E14" s="92"/>
      <c r="F14" s="92"/>
      <c r="G14" s="92"/>
      <c r="H14" s="92"/>
      <c r="I14" s="92"/>
      <c r="J14" s="92"/>
      <c r="K14" s="92"/>
      <c r="L14" s="100"/>
      <c r="M14" s="98"/>
      <c r="N14" s="98"/>
      <c r="O14" s="99"/>
      <c r="P14" s="101"/>
      <c r="Q14" s="113"/>
      <c r="R14" s="56"/>
      <c r="S14" s="56"/>
      <c r="T14" s="56"/>
      <c r="U14" s="57"/>
    </row>
    <row r="15" spans="1:21" s="8" customFormat="1" ht="17.45" customHeight="1">
      <c r="A15" s="62"/>
      <c r="B15" s="117"/>
      <c r="C15" s="89"/>
      <c r="D15" s="89"/>
      <c r="E15" s="92"/>
      <c r="F15" s="92"/>
      <c r="G15" s="92"/>
      <c r="H15" s="92"/>
      <c r="I15" s="92"/>
      <c r="J15" s="92"/>
      <c r="K15" s="92"/>
      <c r="L15" s="100"/>
      <c r="M15" s="98"/>
      <c r="N15" s="98"/>
      <c r="O15" s="99"/>
      <c r="P15" s="104"/>
      <c r="Q15" s="118"/>
      <c r="R15" s="56"/>
      <c r="S15" s="56"/>
      <c r="T15" s="56"/>
      <c r="U15" s="57"/>
    </row>
    <row r="16" spans="1:21" s="8" customFormat="1" ht="17.45" customHeight="1">
      <c r="A16" s="62"/>
      <c r="B16" s="116"/>
      <c r="C16" s="89"/>
      <c r="D16" s="89"/>
      <c r="E16" s="105"/>
      <c r="F16" s="92"/>
      <c r="G16" s="92"/>
      <c r="H16" s="92"/>
      <c r="I16" s="92"/>
      <c r="J16" s="92"/>
      <c r="K16" s="92"/>
      <c r="L16" s="100"/>
      <c r="M16" s="98"/>
      <c r="N16" s="98"/>
      <c r="O16" s="99"/>
      <c r="P16" s="104"/>
      <c r="Q16" s="118"/>
      <c r="R16" s="56"/>
      <c r="S16" s="56"/>
      <c r="T16" s="56"/>
      <c r="U16" s="57"/>
    </row>
    <row r="17" spans="1:21" s="8" customFormat="1" ht="17.45" customHeight="1">
      <c r="A17" s="62"/>
      <c r="B17" s="117"/>
      <c r="C17" s="89"/>
      <c r="D17" s="89"/>
      <c r="E17" s="92"/>
      <c r="F17" s="92"/>
      <c r="G17" s="92"/>
      <c r="H17" s="92"/>
      <c r="I17" s="92"/>
      <c r="J17" s="92"/>
      <c r="K17" s="92"/>
      <c r="L17" s="100"/>
      <c r="M17" s="98"/>
      <c r="N17" s="98"/>
      <c r="O17" s="99"/>
      <c r="P17" s="104"/>
      <c r="Q17" s="113"/>
      <c r="R17" s="56"/>
      <c r="S17" s="56"/>
      <c r="T17" s="56"/>
      <c r="U17" s="57"/>
    </row>
    <row r="18" spans="1:21" s="8" customFormat="1" ht="17.25" customHeight="1">
      <c r="A18" s="62"/>
      <c r="B18" s="117"/>
      <c r="C18" s="89"/>
      <c r="D18" s="89"/>
      <c r="E18" s="92"/>
      <c r="F18" s="92"/>
      <c r="G18" s="92"/>
      <c r="H18" s="92"/>
      <c r="I18" s="92"/>
      <c r="J18" s="92"/>
      <c r="K18" s="92"/>
      <c r="L18" s="100"/>
      <c r="M18" s="98"/>
      <c r="N18" s="98"/>
      <c r="O18" s="99"/>
      <c r="P18" s="104"/>
      <c r="Q18" s="113"/>
      <c r="R18" s="56"/>
      <c r="S18" s="56"/>
      <c r="T18" s="56"/>
      <c r="U18" s="57"/>
    </row>
    <row r="19" spans="1:21" s="8" customFormat="1" ht="17.45" customHeight="1">
      <c r="A19" s="62"/>
      <c r="B19" s="116"/>
      <c r="C19" s="89"/>
      <c r="D19" s="89"/>
      <c r="E19" s="92"/>
      <c r="F19" s="92"/>
      <c r="G19" s="92"/>
      <c r="H19" s="92"/>
      <c r="I19" s="92"/>
      <c r="J19" s="92"/>
      <c r="K19" s="92"/>
      <c r="L19" s="106"/>
      <c r="M19" s="98"/>
      <c r="N19" s="98"/>
      <c r="O19" s="99"/>
      <c r="P19" s="104"/>
      <c r="Q19" s="118"/>
      <c r="R19" s="56"/>
      <c r="S19" s="56"/>
      <c r="T19" s="56"/>
      <c r="U19" s="57"/>
    </row>
    <row r="20" spans="1:21" s="8" customFormat="1" ht="17.45" customHeight="1">
      <c r="A20" s="62"/>
      <c r="B20" s="116"/>
      <c r="C20" s="89"/>
      <c r="D20" s="89"/>
      <c r="E20" s="92"/>
      <c r="F20" s="92"/>
      <c r="G20" s="92"/>
      <c r="H20" s="92"/>
      <c r="I20" s="92"/>
      <c r="J20" s="92"/>
      <c r="K20" s="92"/>
      <c r="L20" s="106"/>
      <c r="M20" s="98"/>
      <c r="N20" s="98"/>
      <c r="O20" s="99"/>
      <c r="P20" s="107"/>
      <c r="Q20" s="119"/>
      <c r="R20" s="56"/>
      <c r="S20" s="56"/>
      <c r="T20" s="56"/>
      <c r="U20" s="57"/>
    </row>
    <row r="21" spans="1:21" s="8" customFormat="1" ht="17.45" customHeight="1">
      <c r="A21" s="62"/>
      <c r="B21" s="120"/>
      <c r="C21" s="121"/>
      <c r="D21" s="121"/>
      <c r="E21" s="122"/>
      <c r="F21" s="122"/>
      <c r="G21" s="122"/>
      <c r="H21" s="122"/>
      <c r="I21" s="122"/>
      <c r="J21" s="122"/>
      <c r="K21" s="122"/>
      <c r="L21" s="123"/>
      <c r="M21" s="124"/>
      <c r="N21" s="124"/>
      <c r="O21" s="125"/>
      <c r="P21" s="126"/>
      <c r="Q21" s="127"/>
      <c r="R21" s="56"/>
      <c r="S21" s="56"/>
      <c r="T21" s="56"/>
      <c r="U21" s="57"/>
    </row>
    <row r="22" spans="1:21" s="8" customFormat="1" ht="17.45" customHeight="1">
      <c r="A22" s="62"/>
      <c r="B22" s="67"/>
      <c r="C22" s="68"/>
      <c r="D22" s="68"/>
      <c r="E22" s="69"/>
      <c r="F22" s="60"/>
      <c r="G22" s="60"/>
      <c r="H22" s="60"/>
      <c r="I22" s="60"/>
      <c r="J22" s="60"/>
      <c r="K22" s="60"/>
      <c r="L22" s="63"/>
      <c r="M22" s="61"/>
      <c r="N22" s="61"/>
      <c r="O22" s="66"/>
      <c r="P22" s="64"/>
      <c r="Q22" s="65"/>
      <c r="R22" s="56"/>
      <c r="S22" s="56"/>
      <c r="T22" s="56"/>
      <c r="U22" s="57"/>
    </row>
    <row r="23" spans="1:21" s="8" customFormat="1" ht="15" customHeight="1">
      <c r="A23" s="70"/>
      <c r="B23" s="71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1"/>
      <c r="R23" s="70"/>
      <c r="S23" s="71"/>
      <c r="T23" s="72"/>
      <c r="U23" s="71"/>
    </row>
    <row r="24" spans="1:21" s="8" customFormat="1" ht="15" customHeight="1">
      <c r="A24" s="70"/>
      <c r="B24" s="71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1"/>
      <c r="R24" s="70"/>
      <c r="S24" s="71"/>
      <c r="T24" s="72"/>
      <c r="U24" s="71"/>
    </row>
    <row r="25" spans="1:21" s="8" customFormat="1" ht="15" customHeight="1">
      <c r="A25" s="70"/>
      <c r="B25" s="71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1"/>
      <c r="R25" s="70"/>
      <c r="S25" s="71"/>
      <c r="T25" s="72"/>
      <c r="U25" s="71"/>
    </row>
    <row r="26" spans="1:21">
      <c r="A26" s="70"/>
      <c r="B26" s="71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1"/>
      <c r="R26" s="70"/>
      <c r="S26" s="71"/>
      <c r="T26" s="72"/>
      <c r="U26" s="73"/>
    </row>
    <row r="27" spans="1:21">
      <c r="A27" s="70"/>
      <c r="B27" s="71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1"/>
      <c r="R27" s="70"/>
      <c r="S27" s="71"/>
      <c r="T27" s="72"/>
      <c r="U27" s="7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5" t="s">
        <v>24</v>
      </c>
    </row>
    <row r="72" spans="2:2">
      <c r="B72" s="16" t="s">
        <v>26</v>
      </c>
    </row>
    <row r="73" spans="2:2">
      <c r="B73" s="17" t="s">
        <v>30</v>
      </c>
    </row>
    <row r="74" spans="2:2">
      <c r="B74" s="18"/>
    </row>
    <row r="76" spans="2:2">
      <c r="B76" s="15" t="s">
        <v>24</v>
      </c>
    </row>
    <row r="77" spans="2:2">
      <c r="B77" s="16" t="s">
        <v>27</v>
      </c>
    </row>
    <row r="78" spans="2:2">
      <c r="B78" s="17" t="s">
        <v>31</v>
      </c>
    </row>
    <row r="79" spans="2:2">
      <c r="B79" s="18"/>
    </row>
    <row r="81" spans="2:2">
      <c r="B81" s="15" t="s">
        <v>32</v>
      </c>
    </row>
    <row r="82" spans="2:2">
      <c r="B82" s="16" t="s">
        <v>20</v>
      </c>
    </row>
    <row r="83" spans="2:2">
      <c r="B83" s="17" t="s">
        <v>28</v>
      </c>
    </row>
    <row r="84" spans="2:2">
      <c r="B84" s="17" t="s">
        <v>33</v>
      </c>
    </row>
    <row r="85" spans="2:2">
      <c r="B85" s="17" t="s">
        <v>34</v>
      </c>
    </row>
    <row r="86" spans="2:2">
      <c r="B86" s="17" t="s">
        <v>35</v>
      </c>
    </row>
    <row r="87" spans="2:2">
      <c r="B87" s="18" t="s">
        <v>36</v>
      </c>
    </row>
    <row r="88" spans="2:2">
      <c r="B88" s="5"/>
    </row>
    <row r="89" spans="2:2">
      <c r="B89" s="15" t="s">
        <v>37</v>
      </c>
    </row>
    <row r="90" spans="2:2">
      <c r="B90" s="19">
        <v>23</v>
      </c>
    </row>
    <row r="91" spans="2:2">
      <c r="B91" s="20">
        <v>27</v>
      </c>
    </row>
    <row r="92" spans="2:2">
      <c r="B92" s="20">
        <v>31</v>
      </c>
    </row>
    <row r="93" spans="2:2">
      <c r="B93" s="20">
        <v>41</v>
      </c>
    </row>
    <row r="94" spans="2:2">
      <c r="B94" s="21" t="s">
        <v>38</v>
      </c>
    </row>
    <row r="95" spans="2:2">
      <c r="B95" s="21" t="s">
        <v>39</v>
      </c>
    </row>
    <row r="96" spans="2:2">
      <c r="B96" s="21" t="s">
        <v>29</v>
      </c>
    </row>
    <row r="97" spans="2:2">
      <c r="B97" s="22" t="s">
        <v>40</v>
      </c>
    </row>
    <row r="98" spans="2:2">
      <c r="B98" s="5"/>
    </row>
    <row r="99" spans="2:2">
      <c r="B99" s="15" t="s">
        <v>25</v>
      </c>
    </row>
    <row r="100" spans="2:2">
      <c r="B100" s="23">
        <v>190</v>
      </c>
    </row>
    <row r="101" spans="2:2">
      <c r="B101" s="24">
        <v>217</v>
      </c>
    </row>
    <row r="102" spans="2:2">
      <c r="B102" s="24">
        <v>250</v>
      </c>
    </row>
    <row r="103" spans="2:2">
      <c r="B103" s="24">
        <v>254</v>
      </c>
    </row>
    <row r="104" spans="2:2">
      <c r="B104" s="24">
        <v>271</v>
      </c>
    </row>
    <row r="105" spans="2:2">
      <c r="B105" s="24">
        <v>304</v>
      </c>
    </row>
    <row r="106" spans="2:2">
      <c r="B106" s="24">
        <v>317</v>
      </c>
    </row>
    <row r="107" spans="2:2">
      <c r="B107" s="24">
        <v>362</v>
      </c>
    </row>
    <row r="108" spans="2:2">
      <c r="B108" s="25"/>
    </row>
    <row r="109" spans="2:2">
      <c r="B109" s="5"/>
    </row>
    <row r="110" spans="2:2">
      <c r="B110" s="15" t="s">
        <v>41</v>
      </c>
    </row>
    <row r="111" spans="2:2">
      <c r="B111" s="16" t="s">
        <v>42</v>
      </c>
    </row>
    <row r="112" spans="2:2">
      <c r="B112" s="17" t="s">
        <v>43</v>
      </c>
    </row>
    <row r="113" spans="2:2">
      <c r="B113" s="17" t="s">
        <v>44</v>
      </c>
    </row>
    <row r="114" spans="2:2">
      <c r="B114" s="18" t="s">
        <v>14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I1493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A4" sqref="A4:AH6"/>
    </sheetView>
  </sheetViews>
  <sheetFormatPr baseColWidth="10" defaultRowHeight="15"/>
  <cols>
    <col min="1" max="1" width="4.75" style="5" bestFit="1" customWidth="1"/>
    <col min="2" max="2" width="9.125" style="5" customWidth="1"/>
    <col min="3" max="3" width="7.25" style="5" customWidth="1"/>
    <col min="4" max="4" width="6" style="5" customWidth="1"/>
    <col min="5" max="5" width="10.5" style="3" customWidth="1"/>
    <col min="6" max="6" width="13.375" style="3" customWidth="1"/>
    <col min="7" max="7" width="10.5" style="3" bestFit="1" customWidth="1"/>
    <col min="8" max="9" width="9.75" style="28" customWidth="1"/>
    <col min="10" max="10" width="8.875" style="7" customWidth="1"/>
    <col min="11" max="11" width="9.625" style="28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54"/>
      <c r="F1" s="183" t="s">
        <v>17</v>
      </c>
      <c r="G1" s="183"/>
      <c r="H1" s="183"/>
      <c r="I1" s="183"/>
      <c r="J1" s="183"/>
      <c r="K1" s="183"/>
      <c r="L1" s="183"/>
      <c r="M1" s="183"/>
      <c r="N1" s="13"/>
      <c r="O1" s="186"/>
      <c r="P1" s="186"/>
      <c r="Q1" s="186"/>
      <c r="R1" s="186"/>
      <c r="S1" s="186"/>
      <c r="T1" s="186"/>
      <c r="U1" s="186"/>
      <c r="V1" s="186"/>
      <c r="W1" s="186"/>
      <c r="Y1" s="181"/>
      <c r="Z1" s="14"/>
    </row>
    <row r="2" spans="1:113" ht="27.75" thickBot="1">
      <c r="E2" s="155"/>
      <c r="F2" s="183" t="s">
        <v>18</v>
      </c>
      <c r="G2" s="183"/>
      <c r="H2" s="183"/>
      <c r="I2" s="183"/>
      <c r="J2" s="183"/>
      <c r="K2" s="183"/>
      <c r="L2" s="183"/>
      <c r="M2" s="183"/>
      <c r="N2" s="187" t="s">
        <v>99</v>
      </c>
      <c r="O2" s="188"/>
      <c r="P2" s="190" t="s">
        <v>100</v>
      </c>
      <c r="Q2" s="190"/>
      <c r="R2" s="190"/>
      <c r="S2" s="190"/>
      <c r="T2" s="190"/>
      <c r="U2" s="199"/>
      <c r="V2" s="189" t="s">
        <v>99</v>
      </c>
      <c r="W2" s="190"/>
      <c r="X2" s="202" t="s">
        <v>83</v>
      </c>
      <c r="Y2" s="203"/>
      <c r="Z2" s="203"/>
      <c r="AA2" s="203"/>
      <c r="AB2" s="201" t="s">
        <v>82</v>
      </c>
      <c r="AC2" s="201"/>
      <c r="AD2" s="204" t="s">
        <v>84</v>
      </c>
      <c r="AE2" s="204"/>
      <c r="AF2" s="204"/>
      <c r="AG2" s="204"/>
      <c r="AH2" s="205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6"/>
      <c r="F3" s="184" t="s">
        <v>96</v>
      </c>
      <c r="G3" s="184"/>
      <c r="H3" s="184"/>
      <c r="I3" s="184"/>
      <c r="J3" s="184"/>
      <c r="K3" s="184"/>
      <c r="L3" s="184"/>
      <c r="M3" s="185"/>
      <c r="N3" s="193" t="s">
        <v>101</v>
      </c>
      <c r="O3" s="194"/>
      <c r="P3" s="195" t="s">
        <v>69</v>
      </c>
      <c r="Q3" s="196"/>
      <c r="R3" s="195" t="s">
        <v>93</v>
      </c>
      <c r="S3" s="196"/>
      <c r="T3" s="197" t="s">
        <v>92</v>
      </c>
      <c r="U3" s="198"/>
      <c r="V3" s="191" t="s">
        <v>91</v>
      </c>
      <c r="W3" s="192"/>
      <c r="X3" s="206" t="s">
        <v>79</v>
      </c>
      <c r="Y3" s="207"/>
      <c r="Z3" s="157" t="s">
        <v>80</v>
      </c>
      <c r="AA3" s="157" t="s">
        <v>74</v>
      </c>
      <c r="AB3" s="158" t="s">
        <v>76</v>
      </c>
      <c r="AC3" s="158" t="s">
        <v>78</v>
      </c>
      <c r="AD3" s="200" t="s">
        <v>81</v>
      </c>
      <c r="AE3" s="200"/>
      <c r="AF3" s="200" t="s">
        <v>80</v>
      </c>
      <c r="AG3" s="200"/>
      <c r="AH3" s="159" t="s">
        <v>74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60" t="s">
        <v>24</v>
      </c>
      <c r="B4" s="160" t="s">
        <v>102</v>
      </c>
      <c r="C4" s="160" t="s">
        <v>103</v>
      </c>
      <c r="D4" s="160" t="s">
        <v>19</v>
      </c>
      <c r="E4" s="160" t="s">
        <v>1</v>
      </c>
      <c r="F4" s="160" t="s">
        <v>104</v>
      </c>
      <c r="G4" s="160" t="s">
        <v>5</v>
      </c>
      <c r="H4" s="160" t="s">
        <v>105</v>
      </c>
      <c r="I4" s="160" t="s">
        <v>60</v>
      </c>
      <c r="J4" s="160" t="s">
        <v>94</v>
      </c>
      <c r="K4" s="160" t="s">
        <v>21</v>
      </c>
      <c r="L4" s="160" t="s">
        <v>22</v>
      </c>
      <c r="M4" s="160" t="s">
        <v>106</v>
      </c>
      <c r="N4" s="161" t="s">
        <v>16</v>
      </c>
      <c r="O4" s="161" t="s">
        <v>2</v>
      </c>
      <c r="P4" s="161" t="s">
        <v>16</v>
      </c>
      <c r="Q4" s="161" t="s">
        <v>2</v>
      </c>
      <c r="R4" s="161" t="s">
        <v>16</v>
      </c>
      <c r="S4" s="161" t="s">
        <v>2</v>
      </c>
      <c r="T4" s="161" t="s">
        <v>16</v>
      </c>
      <c r="U4" s="161" t="s">
        <v>2</v>
      </c>
      <c r="V4" s="161" t="s">
        <v>16</v>
      </c>
      <c r="W4" s="161" t="s">
        <v>2</v>
      </c>
      <c r="X4" s="162" t="s">
        <v>85</v>
      </c>
      <c r="Y4" s="162" t="s">
        <v>86</v>
      </c>
      <c r="Z4" s="162" t="s">
        <v>85</v>
      </c>
      <c r="AA4" s="162" t="s">
        <v>75</v>
      </c>
      <c r="AB4" s="163" t="s">
        <v>77</v>
      </c>
      <c r="AC4" s="163" t="s">
        <v>87</v>
      </c>
      <c r="AD4" s="164" t="s">
        <v>85</v>
      </c>
      <c r="AE4" s="164" t="s">
        <v>86</v>
      </c>
      <c r="AF4" s="164" t="s">
        <v>85</v>
      </c>
      <c r="AG4" s="164" t="s">
        <v>88</v>
      </c>
      <c r="AH4" s="164" t="s">
        <v>75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9" customFormat="1" ht="15.75">
      <c r="A5" s="165" t="s">
        <v>107</v>
      </c>
      <c r="B5" s="166">
        <v>127.38</v>
      </c>
      <c r="C5" s="166">
        <v>16.3</v>
      </c>
      <c r="D5" s="165" t="s">
        <v>108</v>
      </c>
      <c r="E5" s="167">
        <v>43285</v>
      </c>
      <c r="F5" s="168" t="s">
        <v>90</v>
      </c>
      <c r="G5" s="30">
        <v>6004</v>
      </c>
      <c r="H5" s="26">
        <v>90875</v>
      </c>
      <c r="I5" s="26">
        <v>2640285</v>
      </c>
      <c r="J5" s="169">
        <v>364</v>
      </c>
      <c r="K5" s="26">
        <v>53</v>
      </c>
      <c r="L5" s="30">
        <v>3.14</v>
      </c>
      <c r="M5" s="30">
        <v>4</v>
      </c>
      <c r="N5" s="153">
        <v>98.8</v>
      </c>
      <c r="O5" s="31">
        <v>112.5</v>
      </c>
      <c r="P5" s="31"/>
      <c r="Q5" s="31"/>
      <c r="R5" s="31"/>
      <c r="S5" s="31"/>
      <c r="T5" s="31"/>
      <c r="U5" s="31"/>
      <c r="V5" s="30">
        <v>95.2</v>
      </c>
      <c r="W5" s="153">
        <v>110.5</v>
      </c>
      <c r="X5" s="170">
        <v>880</v>
      </c>
      <c r="Y5" s="170">
        <v>800</v>
      </c>
      <c r="Z5" s="171">
        <v>930</v>
      </c>
      <c r="AA5" s="171">
        <v>140</v>
      </c>
      <c r="AB5" s="172">
        <v>0.12</v>
      </c>
      <c r="AC5" s="171">
        <v>1700</v>
      </c>
      <c r="AD5" s="166">
        <v>675</v>
      </c>
      <c r="AE5" s="166">
        <v>580</v>
      </c>
      <c r="AF5" s="166">
        <v>675</v>
      </c>
      <c r="AG5" s="166">
        <v>675</v>
      </c>
      <c r="AH5" s="171">
        <v>140</v>
      </c>
    </row>
    <row r="6" spans="1:113" s="29" customFormat="1" ht="15.75">
      <c r="A6" s="165" t="s">
        <v>107</v>
      </c>
      <c r="B6" s="166">
        <v>127.38</v>
      </c>
      <c r="C6" s="166">
        <v>16.3</v>
      </c>
      <c r="D6" s="165" t="s">
        <v>108</v>
      </c>
      <c r="E6" s="167">
        <v>43285</v>
      </c>
      <c r="F6" s="168" t="s">
        <v>90</v>
      </c>
      <c r="G6" s="30">
        <v>6004</v>
      </c>
      <c r="H6" s="26">
        <v>90875</v>
      </c>
      <c r="I6" s="26">
        <v>2640285</v>
      </c>
      <c r="J6" s="169">
        <v>364</v>
      </c>
      <c r="K6" s="26">
        <v>53</v>
      </c>
      <c r="L6" s="30">
        <v>3.14</v>
      </c>
      <c r="M6" s="30">
        <v>17</v>
      </c>
      <c r="N6" s="153">
        <v>98</v>
      </c>
      <c r="O6" s="31">
        <v>112.3</v>
      </c>
      <c r="P6" s="31"/>
      <c r="Q6" s="31"/>
      <c r="R6" s="31"/>
      <c r="S6" s="31"/>
      <c r="T6" s="31"/>
      <c r="U6" s="31"/>
      <c r="V6" s="30">
        <v>96.9</v>
      </c>
      <c r="W6" s="153">
        <v>111.7</v>
      </c>
      <c r="X6" s="170">
        <v>880</v>
      </c>
      <c r="Y6" s="170">
        <v>800</v>
      </c>
      <c r="Z6" s="171">
        <v>930</v>
      </c>
      <c r="AA6" s="171">
        <v>140</v>
      </c>
      <c r="AB6" s="172">
        <v>0.12</v>
      </c>
      <c r="AC6" s="171">
        <v>1700</v>
      </c>
      <c r="AD6" s="166">
        <v>675</v>
      </c>
      <c r="AE6" s="166">
        <v>580</v>
      </c>
      <c r="AF6" s="166">
        <v>675</v>
      </c>
      <c r="AG6" s="166">
        <v>675</v>
      </c>
      <c r="AH6" s="171">
        <v>140</v>
      </c>
    </row>
    <row r="7" spans="1:113" s="29" customFormat="1">
      <c r="A7" s="166"/>
      <c r="B7" s="166"/>
      <c r="C7" s="166"/>
      <c r="D7" s="166"/>
      <c r="E7" s="167"/>
      <c r="F7" s="168"/>
      <c r="G7" s="30"/>
      <c r="H7" s="26"/>
      <c r="I7" s="26"/>
      <c r="J7" s="173"/>
      <c r="K7" s="26"/>
      <c r="L7" s="146"/>
      <c r="M7" s="30"/>
      <c r="N7" s="153"/>
      <c r="O7" s="31"/>
      <c r="P7" s="31"/>
      <c r="Q7" s="31"/>
      <c r="R7" s="31"/>
      <c r="S7" s="31"/>
      <c r="T7" s="31"/>
      <c r="U7" s="31"/>
      <c r="V7" s="30"/>
      <c r="W7" s="153"/>
      <c r="X7" s="170"/>
      <c r="Y7" s="170"/>
      <c r="Z7" s="171"/>
      <c r="AA7" s="171"/>
      <c r="AB7" s="172"/>
      <c r="AC7" s="171"/>
      <c r="AD7" s="166"/>
      <c r="AE7" s="166"/>
      <c r="AF7" s="166"/>
      <c r="AG7" s="166"/>
      <c r="AH7" s="171"/>
    </row>
    <row r="8" spans="1:113" s="29" customFormat="1">
      <c r="A8" s="166"/>
      <c r="B8" s="166"/>
      <c r="C8" s="166"/>
      <c r="D8" s="166"/>
      <c r="E8" s="167"/>
      <c r="F8" s="168"/>
      <c r="G8" s="30"/>
      <c r="H8" s="26"/>
      <c r="I8" s="26"/>
      <c r="J8" s="173"/>
      <c r="K8" s="26"/>
      <c r="L8" s="146"/>
      <c r="M8" s="30"/>
      <c r="N8" s="153"/>
      <c r="O8" s="31"/>
      <c r="P8" s="31"/>
      <c r="Q8" s="31"/>
      <c r="R8" s="31"/>
      <c r="S8" s="31"/>
      <c r="T8" s="31"/>
      <c r="U8" s="31"/>
      <c r="V8" s="30"/>
      <c r="W8" s="153"/>
      <c r="X8" s="170"/>
      <c r="Y8" s="170"/>
      <c r="Z8" s="171"/>
      <c r="AA8" s="171"/>
      <c r="AB8" s="172"/>
      <c r="AC8" s="171"/>
      <c r="AD8" s="166"/>
      <c r="AE8" s="166"/>
      <c r="AF8" s="166"/>
      <c r="AG8" s="166"/>
      <c r="AH8" s="171"/>
    </row>
    <row r="9" spans="1:113" s="29" customFormat="1" ht="16.5" customHeight="1">
      <c r="A9" s="166"/>
      <c r="B9" s="166"/>
      <c r="C9" s="166"/>
      <c r="D9" s="166"/>
      <c r="E9" s="167"/>
      <c r="F9" s="168"/>
      <c r="G9" s="30"/>
      <c r="H9" s="26"/>
      <c r="I9" s="26"/>
      <c r="J9" s="173"/>
      <c r="K9" s="26"/>
      <c r="L9" s="146"/>
      <c r="M9" s="30"/>
      <c r="N9" s="174"/>
      <c r="O9" s="31"/>
      <c r="P9" s="31"/>
      <c r="Q9" s="31"/>
      <c r="R9" s="31"/>
      <c r="S9" s="31"/>
      <c r="T9" s="31"/>
      <c r="U9" s="31"/>
      <c r="V9" s="30"/>
      <c r="W9" s="153"/>
      <c r="X9" s="170"/>
      <c r="Y9" s="170"/>
      <c r="Z9" s="171"/>
      <c r="AA9" s="171"/>
      <c r="AB9" s="172"/>
      <c r="AC9" s="171"/>
      <c r="AD9" s="166"/>
      <c r="AE9" s="166"/>
      <c r="AF9" s="166"/>
      <c r="AG9" s="166"/>
      <c r="AH9" s="171"/>
    </row>
    <row r="10" spans="1:113" s="29" customFormat="1">
      <c r="A10" s="166"/>
      <c r="B10" s="166"/>
      <c r="C10" s="166"/>
      <c r="D10" s="166"/>
      <c r="E10" s="167"/>
      <c r="F10" s="168"/>
      <c r="G10" s="30"/>
      <c r="H10" s="26"/>
      <c r="I10" s="26"/>
      <c r="J10" s="173"/>
      <c r="K10" s="26"/>
      <c r="L10" s="146"/>
      <c r="M10" s="30"/>
      <c r="N10" s="153"/>
      <c r="O10" s="31"/>
      <c r="P10" s="31"/>
      <c r="Q10" s="31"/>
      <c r="R10" s="31"/>
      <c r="S10" s="31"/>
      <c r="T10" s="31"/>
      <c r="U10" s="31"/>
      <c r="V10" s="30"/>
      <c r="W10" s="153"/>
      <c r="X10" s="170"/>
      <c r="Y10" s="170"/>
      <c r="Z10" s="171"/>
      <c r="AA10" s="171"/>
      <c r="AB10" s="172"/>
      <c r="AC10" s="171"/>
      <c r="AD10" s="166"/>
      <c r="AE10" s="166"/>
      <c r="AF10" s="166"/>
      <c r="AG10" s="166"/>
      <c r="AH10" s="171"/>
    </row>
    <row r="11" spans="1:113" s="29" customFormat="1">
      <c r="A11" s="166"/>
      <c r="B11" s="166"/>
      <c r="C11" s="166"/>
      <c r="D11" s="166"/>
      <c r="E11" s="167"/>
      <c r="F11" s="168"/>
      <c r="G11" s="30"/>
      <c r="H11" s="26"/>
      <c r="I11" s="26"/>
      <c r="J11" s="173"/>
      <c r="K11" s="26"/>
      <c r="L11" s="146"/>
      <c r="M11" s="30"/>
      <c r="N11" s="153"/>
      <c r="O11" s="31"/>
      <c r="P11" s="31"/>
      <c r="Q11" s="31"/>
      <c r="R11" s="153"/>
      <c r="S11" s="31"/>
      <c r="T11" s="31"/>
      <c r="U11" s="31"/>
      <c r="V11" s="30"/>
      <c r="W11" s="153"/>
      <c r="X11" s="170"/>
      <c r="Y11" s="170"/>
      <c r="Z11" s="171"/>
      <c r="AA11" s="171"/>
      <c r="AB11" s="172"/>
      <c r="AC11" s="171"/>
      <c r="AD11" s="171"/>
      <c r="AE11" s="171"/>
      <c r="AF11" s="171"/>
      <c r="AG11" s="171"/>
      <c r="AH11" s="171"/>
    </row>
    <row r="12" spans="1:113" s="29" customFormat="1" ht="15.75" customHeight="1">
      <c r="A12" s="166"/>
      <c r="B12" s="166"/>
      <c r="C12" s="166"/>
      <c r="D12" s="166"/>
      <c r="E12" s="167"/>
      <c r="F12" s="168"/>
      <c r="G12" s="30"/>
      <c r="H12" s="26"/>
      <c r="I12" s="26"/>
      <c r="J12" s="173"/>
      <c r="K12" s="26"/>
      <c r="L12" s="146"/>
      <c r="M12" s="30"/>
      <c r="N12" s="153"/>
      <c r="O12" s="31"/>
      <c r="P12" s="31"/>
      <c r="Q12" s="31"/>
      <c r="R12" s="31"/>
      <c r="S12" s="31"/>
      <c r="T12" s="31"/>
      <c r="U12" s="31"/>
      <c r="V12" s="30"/>
      <c r="W12" s="153"/>
      <c r="X12" s="170"/>
      <c r="Y12" s="170"/>
      <c r="Z12" s="171"/>
      <c r="AA12" s="171"/>
      <c r="AB12" s="172"/>
      <c r="AC12" s="171"/>
      <c r="AD12" s="171"/>
      <c r="AE12" s="171"/>
      <c r="AF12" s="171"/>
      <c r="AG12" s="171"/>
      <c r="AH12" s="171"/>
    </row>
    <row r="13" spans="1:113" s="29" customFormat="1">
      <c r="A13" s="166"/>
      <c r="B13" s="166"/>
      <c r="C13" s="166"/>
      <c r="D13" s="166"/>
      <c r="E13" s="167"/>
      <c r="F13" s="168"/>
      <c r="G13" s="30"/>
      <c r="H13" s="26"/>
      <c r="I13" s="26"/>
      <c r="J13" s="173"/>
      <c r="K13" s="26"/>
      <c r="L13" s="146"/>
      <c r="M13" s="30"/>
      <c r="N13" s="153"/>
      <c r="O13" s="31"/>
      <c r="P13" s="31"/>
      <c r="Q13" s="31"/>
      <c r="R13" s="31"/>
      <c r="S13" s="31"/>
      <c r="T13" s="31"/>
      <c r="U13" s="31"/>
      <c r="V13" s="30"/>
      <c r="W13" s="153"/>
      <c r="X13" s="170"/>
      <c r="Y13" s="170"/>
      <c r="Z13" s="171"/>
      <c r="AA13" s="171"/>
      <c r="AB13" s="172"/>
      <c r="AC13" s="171"/>
      <c r="AD13" s="171"/>
      <c r="AE13" s="171"/>
      <c r="AF13" s="171"/>
      <c r="AG13" s="171"/>
      <c r="AH13" s="171"/>
    </row>
    <row r="14" spans="1:113" s="29" customFormat="1">
      <c r="A14" s="166"/>
      <c r="B14" s="166"/>
      <c r="C14" s="166"/>
      <c r="D14" s="166"/>
      <c r="E14" s="167"/>
      <c r="F14" s="168"/>
      <c r="G14" s="30"/>
      <c r="H14" s="26"/>
      <c r="I14" s="26"/>
      <c r="J14" s="173"/>
      <c r="K14" s="26"/>
      <c r="L14" s="146"/>
      <c r="M14" s="30"/>
      <c r="N14" s="153"/>
      <c r="O14" s="31"/>
      <c r="P14" s="31"/>
      <c r="Q14" s="31"/>
      <c r="R14" s="31"/>
      <c r="S14" s="31"/>
      <c r="T14" s="31"/>
      <c r="U14" s="31"/>
      <c r="V14" s="30"/>
      <c r="W14" s="153"/>
      <c r="X14" s="170"/>
      <c r="Y14" s="170"/>
      <c r="Z14" s="171"/>
      <c r="AA14" s="171"/>
      <c r="AB14" s="172"/>
      <c r="AC14" s="171"/>
      <c r="AD14" s="171"/>
      <c r="AE14" s="171"/>
      <c r="AF14" s="171"/>
      <c r="AG14" s="171"/>
      <c r="AH14" s="171"/>
    </row>
    <row r="15" spans="1:113" s="29" customFormat="1">
      <c r="A15" s="166"/>
      <c r="B15" s="166"/>
      <c r="C15" s="166"/>
      <c r="D15" s="166"/>
      <c r="E15" s="167"/>
      <c r="F15" s="168"/>
      <c r="G15" s="30"/>
      <c r="H15" s="26"/>
      <c r="I15" s="26"/>
      <c r="J15" s="173"/>
      <c r="K15" s="26"/>
      <c r="L15" s="146"/>
      <c r="M15" s="30"/>
      <c r="N15" s="153"/>
      <c r="O15" s="31"/>
      <c r="P15" s="31"/>
      <c r="Q15" s="31"/>
      <c r="R15" s="31"/>
      <c r="S15" s="31"/>
      <c r="T15" s="31"/>
      <c r="U15" s="31"/>
      <c r="V15" s="30"/>
      <c r="W15" s="153"/>
      <c r="X15" s="170"/>
      <c r="Y15" s="170"/>
      <c r="Z15" s="171"/>
      <c r="AA15" s="171"/>
      <c r="AB15" s="172"/>
      <c r="AC15" s="171"/>
      <c r="AD15" s="171"/>
      <c r="AE15" s="171"/>
      <c r="AF15" s="171"/>
      <c r="AG15" s="171"/>
      <c r="AH15" s="171"/>
    </row>
    <row r="16" spans="1:113">
      <c r="A16" s="175"/>
      <c r="B16" s="175"/>
      <c r="C16" s="175"/>
      <c r="D16" s="175"/>
      <c r="E16" s="176"/>
      <c r="F16" s="176"/>
      <c r="G16" s="176"/>
      <c r="H16" s="177"/>
      <c r="I16" s="177"/>
      <c r="J16" s="178"/>
      <c r="K16" s="177"/>
      <c r="L16" s="178"/>
      <c r="M16" s="178"/>
      <c r="N16" s="176"/>
      <c r="O16" s="179"/>
      <c r="P16" s="179"/>
      <c r="Q16" s="179"/>
      <c r="R16" s="179"/>
      <c r="S16" s="179"/>
      <c r="T16" s="179"/>
      <c r="U16" s="179"/>
      <c r="V16" s="176"/>
      <c r="W16" s="176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</row>
    <row r="17" spans="1:34">
      <c r="A17" s="175"/>
      <c r="B17" s="175"/>
      <c r="C17" s="175"/>
      <c r="D17" s="175"/>
      <c r="E17" s="176"/>
      <c r="F17" s="176"/>
      <c r="G17" s="176"/>
      <c r="H17" s="177"/>
      <c r="I17" s="177"/>
      <c r="J17" s="178"/>
      <c r="K17" s="177"/>
      <c r="L17" s="178"/>
      <c r="M17" s="178"/>
      <c r="N17" s="176"/>
      <c r="O17" s="179"/>
      <c r="P17" s="179"/>
      <c r="Q17" s="179"/>
      <c r="R17" s="179"/>
      <c r="S17" s="179"/>
      <c r="T17" s="179"/>
      <c r="U17" s="179"/>
      <c r="V17" s="176"/>
      <c r="W17" s="176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</row>
    <row r="18" spans="1:34">
      <c r="A18" s="175"/>
      <c r="B18" s="175"/>
      <c r="C18" s="175"/>
      <c r="D18" s="175"/>
      <c r="E18" s="176"/>
      <c r="F18" s="176"/>
      <c r="G18" s="176"/>
      <c r="H18" s="177"/>
      <c r="I18" s="177"/>
      <c r="J18" s="178"/>
      <c r="K18" s="177"/>
      <c r="L18" s="178"/>
      <c r="M18" s="178"/>
      <c r="N18" s="176"/>
      <c r="O18" s="179"/>
      <c r="P18" s="179"/>
      <c r="Q18" s="179"/>
      <c r="R18" s="179"/>
      <c r="S18" s="179"/>
      <c r="T18" s="179"/>
      <c r="U18" s="179"/>
      <c r="V18" s="176"/>
      <c r="W18" s="176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</row>
    <row r="19" spans="1:34">
      <c r="A19" s="175"/>
      <c r="B19" s="175"/>
      <c r="C19" s="175"/>
      <c r="D19" s="175"/>
      <c r="E19" s="176"/>
      <c r="F19" s="176"/>
      <c r="G19" s="176"/>
      <c r="H19" s="177"/>
      <c r="I19" s="177"/>
      <c r="J19" s="178"/>
      <c r="K19" s="177"/>
      <c r="L19" s="178"/>
      <c r="M19" s="178"/>
      <c r="N19" s="176"/>
      <c r="O19" s="179"/>
      <c r="P19" s="179"/>
      <c r="Q19" s="179"/>
      <c r="R19" s="179"/>
      <c r="S19" s="179"/>
      <c r="T19" s="179"/>
      <c r="U19" s="179"/>
      <c r="V19" s="176"/>
      <c r="W19" s="176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</row>
    <row r="20" spans="1:34">
      <c r="A20" s="175"/>
      <c r="B20" s="175"/>
      <c r="C20" s="175"/>
      <c r="D20" s="175"/>
      <c r="E20" s="176"/>
      <c r="F20" s="176"/>
      <c r="G20" s="176"/>
      <c r="H20" s="177"/>
      <c r="I20" s="177"/>
      <c r="J20" s="178"/>
      <c r="K20" s="177"/>
      <c r="L20" s="178"/>
      <c r="M20" s="178"/>
      <c r="N20" s="176"/>
      <c r="O20" s="179"/>
      <c r="P20" s="179"/>
      <c r="Q20" s="179"/>
      <c r="R20" s="179"/>
      <c r="S20" s="179"/>
      <c r="T20" s="179"/>
      <c r="U20" s="179"/>
      <c r="V20" s="176"/>
      <c r="W20" s="176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</row>
    <row r="21" spans="1:34">
      <c r="A21" s="175"/>
      <c r="B21" s="175"/>
      <c r="C21" s="175"/>
      <c r="D21" s="175"/>
      <c r="E21" s="176"/>
      <c r="F21" s="176"/>
      <c r="G21" s="176"/>
      <c r="H21" s="177"/>
      <c r="I21" s="177"/>
      <c r="J21" s="178"/>
      <c r="K21" s="177"/>
      <c r="L21" s="178"/>
      <c r="M21" s="178"/>
      <c r="N21" s="176"/>
      <c r="O21" s="179"/>
      <c r="P21" s="179"/>
      <c r="Q21" s="179"/>
      <c r="R21" s="179"/>
      <c r="S21" s="179"/>
      <c r="T21" s="179"/>
      <c r="U21" s="179"/>
      <c r="V21" s="176"/>
      <c r="W21" s="176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</row>
    <row r="22" spans="1:34">
      <c r="A22" s="175"/>
      <c r="B22" s="175"/>
      <c r="C22" s="175"/>
      <c r="D22" s="175"/>
      <c r="E22" s="176"/>
      <c r="F22" s="176"/>
      <c r="G22" s="176"/>
      <c r="H22" s="177"/>
      <c r="I22" s="177"/>
      <c r="J22" s="178"/>
      <c r="K22" s="177"/>
      <c r="L22" s="178"/>
      <c r="M22" s="178"/>
      <c r="N22" s="176"/>
      <c r="O22" s="179"/>
      <c r="P22" s="179"/>
      <c r="Q22" s="179"/>
      <c r="R22" s="179"/>
      <c r="S22" s="179"/>
      <c r="T22" s="179"/>
      <c r="U22" s="179"/>
      <c r="V22" s="176"/>
      <c r="W22" s="176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</row>
    <row r="23" spans="1:34">
      <c r="A23" s="175"/>
      <c r="B23" s="175"/>
      <c r="C23" s="175"/>
      <c r="D23" s="175"/>
      <c r="E23" s="176"/>
      <c r="F23" s="176"/>
      <c r="G23" s="176"/>
      <c r="H23" s="177"/>
      <c r="I23" s="177"/>
      <c r="J23" s="178"/>
      <c r="K23" s="177"/>
      <c r="L23" s="178"/>
      <c r="M23" s="178"/>
      <c r="N23" s="176"/>
      <c r="O23" s="179"/>
      <c r="P23" s="179"/>
      <c r="Q23" s="179"/>
      <c r="R23" s="179"/>
      <c r="S23" s="179"/>
      <c r="T23" s="179"/>
      <c r="U23" s="179"/>
      <c r="V23" s="176"/>
      <c r="W23" s="176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</row>
    <row r="24" spans="1:34">
      <c r="A24" s="175"/>
      <c r="B24" s="175"/>
      <c r="C24" s="175"/>
      <c r="D24" s="175"/>
      <c r="E24" s="176"/>
      <c r="F24" s="176"/>
      <c r="G24" s="176"/>
      <c r="H24" s="177"/>
      <c r="I24" s="177"/>
      <c r="J24" s="178"/>
      <c r="K24" s="177"/>
      <c r="L24" s="178"/>
      <c r="M24" s="178"/>
      <c r="N24" s="176"/>
      <c r="O24" s="179"/>
      <c r="P24" s="179"/>
      <c r="Q24" s="179"/>
      <c r="R24" s="179"/>
      <c r="S24" s="179"/>
      <c r="T24" s="179"/>
      <c r="U24" s="179"/>
      <c r="V24" s="176"/>
      <c r="W24" s="176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</row>
    <row r="25" spans="1:34">
      <c r="A25" s="175"/>
      <c r="B25" s="175"/>
      <c r="C25" s="175"/>
      <c r="D25" s="175"/>
      <c r="E25" s="176"/>
      <c r="F25" s="176"/>
      <c r="G25" s="176"/>
      <c r="H25" s="177"/>
      <c r="I25" s="177"/>
      <c r="J25" s="178"/>
      <c r="K25" s="177"/>
      <c r="L25" s="178"/>
      <c r="M25" s="178"/>
      <c r="N25" s="176"/>
      <c r="O25" s="179"/>
      <c r="P25" s="179"/>
      <c r="Q25" s="179"/>
      <c r="R25" s="179"/>
      <c r="S25" s="179"/>
      <c r="T25" s="179"/>
      <c r="U25" s="179"/>
      <c r="V25" s="176"/>
      <c r="W25" s="176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</row>
    <row r="26" spans="1:34">
      <c r="A26" s="175"/>
      <c r="B26" s="175"/>
      <c r="C26" s="175"/>
      <c r="D26" s="175"/>
      <c r="E26" s="176"/>
      <c r="F26" s="176"/>
      <c r="G26" s="176"/>
      <c r="H26" s="177"/>
      <c r="I26" s="177"/>
      <c r="J26" s="178"/>
      <c r="K26" s="177"/>
      <c r="L26" s="178"/>
      <c r="M26" s="178"/>
      <c r="N26" s="176"/>
      <c r="O26" s="179"/>
      <c r="P26" s="179"/>
      <c r="Q26" s="179"/>
      <c r="R26" s="179"/>
      <c r="S26" s="179"/>
      <c r="T26" s="179"/>
      <c r="U26" s="179"/>
      <c r="V26" s="176"/>
      <c r="W26" s="176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</row>
    <row r="27" spans="1:34">
      <c r="A27" s="175"/>
      <c r="B27" s="175"/>
      <c r="C27" s="175"/>
      <c r="D27" s="175"/>
      <c r="E27" s="176"/>
      <c r="F27" s="176"/>
      <c r="G27" s="176"/>
      <c r="H27" s="177"/>
      <c r="I27" s="177"/>
      <c r="J27" s="178"/>
      <c r="K27" s="177"/>
      <c r="L27" s="178"/>
      <c r="M27" s="178"/>
      <c r="N27" s="176"/>
      <c r="O27" s="179"/>
      <c r="P27" s="179"/>
      <c r="Q27" s="179"/>
      <c r="R27" s="179"/>
      <c r="S27" s="179"/>
      <c r="T27" s="179"/>
      <c r="U27" s="179"/>
      <c r="V27" s="176"/>
      <c r="W27" s="176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</row>
    <row r="28" spans="1:34">
      <c r="A28" s="175"/>
      <c r="B28" s="175"/>
      <c r="C28" s="175"/>
      <c r="D28" s="175"/>
      <c r="E28" s="176"/>
      <c r="F28" s="176"/>
      <c r="G28" s="176"/>
      <c r="H28" s="177"/>
      <c r="I28" s="177"/>
      <c r="J28" s="178"/>
      <c r="K28" s="177"/>
      <c r="L28" s="178"/>
      <c r="M28" s="178"/>
      <c r="N28" s="176"/>
      <c r="O28" s="179"/>
      <c r="P28" s="179"/>
      <c r="Q28" s="179"/>
      <c r="R28" s="179"/>
      <c r="S28" s="179"/>
      <c r="T28" s="179"/>
      <c r="U28" s="179"/>
      <c r="V28" s="176"/>
      <c r="W28" s="176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</row>
    <row r="29" spans="1:34">
      <c r="A29" s="175"/>
      <c r="B29" s="175"/>
      <c r="C29" s="175"/>
      <c r="D29" s="175"/>
      <c r="E29" s="176"/>
      <c r="F29" s="176"/>
      <c r="G29" s="176"/>
      <c r="H29" s="177"/>
      <c r="I29" s="177"/>
      <c r="J29" s="178"/>
      <c r="K29" s="177"/>
      <c r="L29" s="178"/>
      <c r="M29" s="178"/>
      <c r="N29" s="176"/>
      <c r="O29" s="179"/>
      <c r="P29" s="179"/>
      <c r="Q29" s="179"/>
      <c r="R29" s="179"/>
      <c r="S29" s="179"/>
      <c r="T29" s="179"/>
      <c r="U29" s="179"/>
      <c r="V29" s="176"/>
      <c r="W29" s="176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</row>
    <row r="30" spans="1:34">
      <c r="A30" s="175"/>
      <c r="B30" s="175"/>
      <c r="C30" s="175"/>
      <c r="D30" s="175"/>
      <c r="E30" s="176"/>
      <c r="F30" s="176"/>
      <c r="G30" s="176"/>
      <c r="H30" s="177"/>
      <c r="I30" s="177"/>
      <c r="J30" s="178"/>
      <c r="K30" s="177"/>
      <c r="L30" s="178"/>
      <c r="M30" s="178"/>
      <c r="N30" s="176"/>
      <c r="O30" s="179"/>
      <c r="P30" s="179"/>
      <c r="Q30" s="179"/>
      <c r="R30" s="179"/>
      <c r="S30" s="179"/>
      <c r="T30" s="179"/>
      <c r="U30" s="179"/>
      <c r="V30" s="176"/>
      <c r="W30" s="176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</row>
    <row r="31" spans="1:34">
      <c r="A31" s="175"/>
      <c r="B31" s="175"/>
      <c r="C31" s="175"/>
      <c r="D31" s="175"/>
      <c r="E31" s="176"/>
      <c r="F31" s="176"/>
      <c r="G31" s="176"/>
      <c r="H31" s="177"/>
      <c r="I31" s="177"/>
      <c r="J31" s="178"/>
      <c r="K31" s="177"/>
      <c r="L31" s="178"/>
      <c r="M31" s="178"/>
      <c r="N31" s="176"/>
      <c r="O31" s="179"/>
      <c r="P31" s="179"/>
      <c r="Q31" s="179"/>
      <c r="R31" s="179"/>
      <c r="S31" s="179"/>
      <c r="T31" s="179"/>
      <c r="U31" s="179"/>
      <c r="V31" s="176"/>
      <c r="W31" s="176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</row>
    <row r="32" spans="1:34">
      <c r="A32" s="175"/>
      <c r="B32" s="175"/>
      <c r="C32" s="175"/>
      <c r="D32" s="175"/>
      <c r="E32" s="176"/>
      <c r="F32" s="176"/>
      <c r="G32" s="176"/>
      <c r="H32" s="177"/>
      <c r="I32" s="177"/>
      <c r="J32" s="178"/>
      <c r="K32" s="177"/>
      <c r="L32" s="178"/>
      <c r="M32" s="178"/>
      <c r="N32" s="176"/>
      <c r="O32" s="179"/>
      <c r="P32" s="179"/>
      <c r="Q32" s="179"/>
      <c r="R32" s="179"/>
      <c r="S32" s="179"/>
      <c r="T32" s="179"/>
      <c r="U32" s="179"/>
      <c r="V32" s="176"/>
      <c r="W32" s="176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</row>
    <row r="33" spans="1:34">
      <c r="A33" s="175"/>
      <c r="B33" s="175"/>
      <c r="C33" s="175"/>
      <c r="D33" s="175"/>
      <c r="E33" s="176"/>
      <c r="F33" s="176"/>
      <c r="G33" s="176"/>
      <c r="H33" s="177"/>
      <c r="I33" s="177"/>
      <c r="J33" s="178"/>
      <c r="K33" s="177"/>
      <c r="L33" s="178"/>
      <c r="M33" s="178"/>
      <c r="N33" s="176"/>
      <c r="O33" s="179"/>
      <c r="P33" s="179"/>
      <c r="Q33" s="179"/>
      <c r="R33" s="179"/>
      <c r="S33" s="179"/>
      <c r="T33" s="179"/>
      <c r="U33" s="179"/>
      <c r="V33" s="176"/>
      <c r="W33" s="176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</row>
    <row r="34" spans="1:34">
      <c r="A34" s="175"/>
      <c r="B34" s="175"/>
      <c r="C34" s="175"/>
      <c r="D34" s="175"/>
      <c r="E34" s="176"/>
      <c r="F34" s="176"/>
      <c r="G34" s="176"/>
      <c r="H34" s="177"/>
      <c r="I34" s="177"/>
      <c r="J34" s="178"/>
      <c r="K34" s="177"/>
      <c r="L34" s="178"/>
      <c r="M34" s="178"/>
      <c r="N34" s="176"/>
      <c r="O34" s="179"/>
      <c r="P34" s="179"/>
      <c r="Q34" s="179"/>
      <c r="R34" s="179"/>
      <c r="S34" s="179"/>
      <c r="T34" s="179"/>
      <c r="U34" s="179"/>
      <c r="V34" s="176"/>
      <c r="W34" s="176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</row>
    <row r="35" spans="1:34">
      <c r="A35" s="175"/>
      <c r="B35" s="175"/>
      <c r="C35" s="175"/>
      <c r="D35" s="175"/>
      <c r="E35" s="176"/>
      <c r="F35" s="176"/>
      <c r="G35" s="176"/>
      <c r="H35" s="177"/>
      <c r="I35" s="177"/>
      <c r="J35" s="178"/>
      <c r="K35" s="177"/>
      <c r="L35" s="178"/>
      <c r="M35" s="178"/>
      <c r="N35" s="176"/>
      <c r="O35" s="179"/>
      <c r="P35" s="179"/>
      <c r="Q35" s="179"/>
      <c r="R35" s="179"/>
      <c r="S35" s="179"/>
      <c r="T35" s="179"/>
      <c r="U35" s="179"/>
      <c r="V35" s="176"/>
      <c r="W35" s="176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</row>
    <row r="36" spans="1:34">
      <c r="A36" s="175"/>
      <c r="B36" s="175"/>
      <c r="C36" s="175"/>
      <c r="D36" s="175"/>
      <c r="E36" s="176"/>
      <c r="F36" s="176"/>
      <c r="G36" s="176"/>
      <c r="H36" s="177"/>
      <c r="I36" s="177"/>
      <c r="J36" s="178"/>
      <c r="K36" s="177"/>
      <c r="L36" s="178"/>
      <c r="M36" s="178"/>
      <c r="N36" s="176"/>
      <c r="O36" s="179"/>
      <c r="P36" s="179"/>
      <c r="Q36" s="179"/>
      <c r="R36" s="179"/>
      <c r="S36" s="179"/>
      <c r="T36" s="179"/>
      <c r="U36" s="179"/>
      <c r="V36" s="176"/>
      <c r="W36" s="176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</row>
    <row r="37" spans="1:34">
      <c r="A37" s="175"/>
      <c r="B37" s="175"/>
      <c r="C37" s="175"/>
      <c r="D37" s="175"/>
      <c r="E37" s="176"/>
      <c r="F37" s="176"/>
      <c r="G37" s="176"/>
      <c r="H37" s="177"/>
      <c r="I37" s="177"/>
      <c r="J37" s="178"/>
      <c r="K37" s="177"/>
      <c r="L37" s="178"/>
      <c r="M37" s="178"/>
      <c r="N37" s="176"/>
      <c r="O37" s="179"/>
      <c r="P37" s="179"/>
      <c r="Q37" s="179"/>
      <c r="R37" s="179"/>
      <c r="S37" s="179"/>
      <c r="T37" s="179"/>
      <c r="U37" s="179"/>
      <c r="V37" s="176"/>
      <c r="W37" s="176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</row>
    <row r="38" spans="1:34">
      <c r="A38" s="175"/>
      <c r="B38" s="175"/>
      <c r="C38" s="175"/>
      <c r="D38" s="175"/>
      <c r="E38" s="176"/>
      <c r="F38" s="176"/>
      <c r="G38" s="176"/>
      <c r="H38" s="177"/>
      <c r="I38" s="177"/>
      <c r="J38" s="178"/>
      <c r="K38" s="177"/>
      <c r="L38" s="178"/>
      <c r="M38" s="178"/>
      <c r="N38" s="176"/>
      <c r="O38" s="179"/>
      <c r="P38" s="179"/>
      <c r="Q38" s="179"/>
      <c r="R38" s="179"/>
      <c r="S38" s="179"/>
      <c r="T38" s="179"/>
      <c r="U38" s="179"/>
      <c r="V38" s="176"/>
      <c r="W38" s="176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</row>
    <row r="39" spans="1:34">
      <c r="A39" s="175"/>
      <c r="B39" s="175"/>
      <c r="C39" s="175"/>
      <c r="D39" s="175"/>
      <c r="E39" s="176"/>
      <c r="F39" s="176"/>
      <c r="G39" s="176"/>
      <c r="H39" s="177"/>
      <c r="I39" s="177"/>
      <c r="J39" s="178"/>
      <c r="K39" s="177"/>
      <c r="L39" s="178"/>
      <c r="M39" s="178"/>
      <c r="N39" s="176"/>
      <c r="O39" s="179"/>
      <c r="P39" s="179"/>
      <c r="Q39" s="179"/>
      <c r="R39" s="179"/>
      <c r="S39" s="179"/>
      <c r="T39" s="179"/>
      <c r="U39" s="179"/>
      <c r="V39" s="176"/>
      <c r="W39" s="176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</row>
    <row r="40" spans="1:34">
      <c r="A40" s="175"/>
      <c r="B40" s="175"/>
      <c r="C40" s="175"/>
      <c r="D40" s="175"/>
      <c r="E40" s="176"/>
      <c r="F40" s="176"/>
      <c r="G40" s="176"/>
      <c r="H40" s="177"/>
      <c r="I40" s="177"/>
      <c r="J40" s="178"/>
      <c r="K40" s="177"/>
      <c r="L40" s="178"/>
      <c r="M40" s="178"/>
      <c r="N40" s="176"/>
      <c r="O40" s="179"/>
      <c r="P40" s="179"/>
      <c r="Q40" s="179"/>
      <c r="R40" s="179"/>
      <c r="S40" s="179"/>
      <c r="T40" s="179"/>
      <c r="U40" s="179"/>
      <c r="V40" s="176"/>
      <c r="W40" s="176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</row>
    <row r="41" spans="1:34">
      <c r="A41" s="175"/>
      <c r="B41" s="175"/>
      <c r="C41" s="175"/>
      <c r="D41" s="175"/>
      <c r="E41" s="176"/>
      <c r="F41" s="176"/>
      <c r="G41" s="176"/>
      <c r="H41" s="177"/>
      <c r="I41" s="177"/>
      <c r="J41" s="178"/>
      <c r="K41" s="177"/>
      <c r="L41" s="178"/>
      <c r="M41" s="178"/>
      <c r="N41" s="176"/>
      <c r="O41" s="179"/>
      <c r="P41" s="179"/>
      <c r="Q41" s="179"/>
      <c r="R41" s="179"/>
      <c r="S41" s="179"/>
      <c r="T41" s="179"/>
      <c r="U41" s="179"/>
      <c r="V41" s="176"/>
      <c r="W41" s="176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</row>
    <row r="42" spans="1:34">
      <c r="A42" s="175"/>
      <c r="B42" s="175"/>
      <c r="C42" s="175"/>
      <c r="D42" s="175"/>
      <c r="E42" s="176"/>
      <c r="F42" s="176"/>
      <c r="G42" s="176"/>
      <c r="H42" s="177"/>
      <c r="I42" s="177"/>
      <c r="J42" s="178"/>
      <c r="K42" s="177"/>
      <c r="L42" s="178"/>
      <c r="M42" s="178"/>
      <c r="N42" s="176"/>
      <c r="O42" s="179"/>
      <c r="P42" s="179"/>
      <c r="Q42" s="179"/>
      <c r="R42" s="179"/>
      <c r="S42" s="179"/>
      <c r="T42" s="179"/>
      <c r="U42" s="179"/>
      <c r="V42" s="176"/>
      <c r="W42" s="176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</row>
    <row r="43" spans="1:34">
      <c r="A43" s="175"/>
      <c r="B43" s="175"/>
      <c r="C43" s="175"/>
      <c r="D43" s="175"/>
      <c r="E43" s="176"/>
      <c r="F43" s="176"/>
      <c r="G43" s="176"/>
      <c r="H43" s="177"/>
      <c r="I43" s="177"/>
      <c r="J43" s="178"/>
      <c r="K43" s="177"/>
      <c r="L43" s="178"/>
      <c r="M43" s="178"/>
      <c r="N43" s="176"/>
      <c r="O43" s="179"/>
      <c r="P43" s="179"/>
      <c r="Q43" s="179"/>
      <c r="R43" s="179"/>
      <c r="S43" s="179"/>
      <c r="T43" s="179"/>
      <c r="U43" s="179"/>
      <c r="V43" s="176"/>
      <c r="W43" s="176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</row>
    <row r="44" spans="1:34">
      <c r="A44" s="175"/>
      <c r="B44" s="175"/>
      <c r="C44" s="175"/>
      <c r="D44" s="175"/>
      <c r="E44" s="176"/>
      <c r="F44" s="176"/>
      <c r="G44" s="176"/>
      <c r="H44" s="177"/>
      <c r="I44" s="177"/>
      <c r="J44" s="178"/>
      <c r="K44" s="177"/>
      <c r="L44" s="178"/>
      <c r="M44" s="178"/>
      <c r="N44" s="176"/>
      <c r="O44" s="179"/>
      <c r="P44" s="179"/>
      <c r="Q44" s="179"/>
      <c r="R44" s="179"/>
      <c r="S44" s="179"/>
      <c r="T44" s="179"/>
      <c r="U44" s="179"/>
      <c r="V44" s="176"/>
      <c r="W44" s="176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</row>
    <row r="45" spans="1:34">
      <c r="A45" s="175"/>
      <c r="B45" s="175"/>
      <c r="C45" s="175"/>
      <c r="D45" s="175"/>
      <c r="E45" s="176"/>
      <c r="F45" s="176"/>
      <c r="G45" s="176"/>
      <c r="H45" s="177"/>
      <c r="I45" s="177"/>
      <c r="J45" s="178"/>
      <c r="K45" s="177"/>
      <c r="L45" s="178"/>
      <c r="M45" s="178"/>
      <c r="N45" s="176"/>
      <c r="O45" s="179"/>
      <c r="P45" s="179"/>
      <c r="Q45" s="179"/>
      <c r="R45" s="179"/>
      <c r="S45" s="179"/>
      <c r="T45" s="179"/>
      <c r="U45" s="179"/>
      <c r="V45" s="176"/>
      <c r="W45" s="176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</row>
    <row r="46" spans="1:34">
      <c r="A46" s="175"/>
      <c r="B46" s="175"/>
      <c r="C46" s="175"/>
      <c r="D46" s="175"/>
      <c r="E46" s="176"/>
      <c r="F46" s="176"/>
      <c r="G46" s="176"/>
      <c r="H46" s="177"/>
      <c r="I46" s="177"/>
      <c r="J46" s="178"/>
      <c r="K46" s="177"/>
      <c r="L46" s="178"/>
      <c r="M46" s="178"/>
      <c r="N46" s="176"/>
      <c r="O46" s="179"/>
      <c r="P46" s="179"/>
      <c r="Q46" s="179"/>
      <c r="R46" s="179"/>
      <c r="S46" s="179"/>
      <c r="T46" s="179"/>
      <c r="U46" s="179"/>
      <c r="V46" s="176"/>
      <c r="W46" s="176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</row>
    <row r="47" spans="1:34">
      <c r="A47" s="175"/>
      <c r="B47" s="175"/>
      <c r="C47" s="175"/>
      <c r="D47" s="175"/>
      <c r="E47" s="176"/>
      <c r="F47" s="176"/>
      <c r="G47" s="176"/>
      <c r="H47" s="177"/>
      <c r="I47" s="177"/>
      <c r="J47" s="178"/>
      <c r="K47" s="177"/>
      <c r="L47" s="178"/>
      <c r="M47" s="178"/>
      <c r="N47" s="176"/>
      <c r="O47" s="179"/>
      <c r="P47" s="179"/>
      <c r="Q47" s="179"/>
      <c r="R47" s="179"/>
      <c r="S47" s="179"/>
      <c r="T47" s="179"/>
      <c r="U47" s="179"/>
      <c r="V47" s="176"/>
      <c r="W47" s="176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</row>
    <row r="48" spans="1:34">
      <c r="A48" s="175"/>
      <c r="B48" s="175"/>
      <c r="C48" s="175"/>
      <c r="D48" s="175"/>
      <c r="E48" s="176"/>
      <c r="F48" s="176"/>
      <c r="G48" s="176"/>
      <c r="H48" s="177"/>
      <c r="I48" s="177"/>
      <c r="J48" s="178"/>
      <c r="K48" s="177"/>
      <c r="L48" s="178"/>
      <c r="M48" s="178"/>
      <c r="N48" s="176"/>
      <c r="O48" s="179"/>
      <c r="P48" s="179"/>
      <c r="Q48" s="179"/>
      <c r="R48" s="179"/>
      <c r="S48" s="179"/>
      <c r="T48" s="179"/>
      <c r="U48" s="179"/>
      <c r="V48" s="176"/>
      <c r="W48" s="176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</row>
    <row r="49" spans="1:34">
      <c r="A49" s="175"/>
      <c r="B49" s="175"/>
      <c r="C49" s="175"/>
      <c r="D49" s="175"/>
      <c r="E49" s="176"/>
      <c r="F49" s="176"/>
      <c r="G49" s="176"/>
      <c r="H49" s="177"/>
      <c r="I49" s="177"/>
      <c r="J49" s="178"/>
      <c r="K49" s="177"/>
      <c r="L49" s="178"/>
      <c r="M49" s="178"/>
      <c r="N49" s="176"/>
      <c r="O49" s="179"/>
      <c r="P49" s="179"/>
      <c r="Q49" s="179"/>
      <c r="R49" s="179"/>
      <c r="S49" s="179"/>
      <c r="T49" s="179"/>
      <c r="U49" s="179"/>
      <c r="V49" s="176"/>
      <c r="W49" s="176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</row>
    <row r="50" spans="1:34">
      <c r="A50" s="175"/>
      <c r="B50" s="175"/>
      <c r="C50" s="175"/>
      <c r="D50" s="175"/>
      <c r="E50" s="176"/>
      <c r="F50" s="176"/>
      <c r="G50" s="176"/>
      <c r="H50" s="177"/>
      <c r="I50" s="177"/>
      <c r="J50" s="178"/>
      <c r="K50" s="177"/>
      <c r="L50" s="178"/>
      <c r="M50" s="178"/>
      <c r="N50" s="176"/>
      <c r="O50" s="179"/>
      <c r="P50" s="179"/>
      <c r="Q50" s="179"/>
      <c r="R50" s="179"/>
      <c r="S50" s="179"/>
      <c r="T50" s="179"/>
      <c r="U50" s="179"/>
      <c r="V50" s="176"/>
      <c r="W50" s="176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</row>
    <row r="51" spans="1:34">
      <c r="A51" s="175"/>
      <c r="B51" s="175"/>
      <c r="C51" s="175"/>
      <c r="D51" s="175"/>
      <c r="E51" s="176"/>
      <c r="F51" s="176"/>
      <c r="G51" s="176"/>
      <c r="H51" s="177"/>
      <c r="I51" s="177"/>
      <c r="J51" s="178"/>
      <c r="K51" s="177"/>
      <c r="L51" s="178"/>
      <c r="M51" s="178"/>
      <c r="N51" s="176"/>
      <c r="O51" s="179"/>
      <c r="P51" s="179"/>
      <c r="Q51" s="179"/>
      <c r="R51" s="179"/>
      <c r="S51" s="179"/>
      <c r="T51" s="179"/>
      <c r="U51" s="179"/>
      <c r="V51" s="176"/>
      <c r="W51" s="176"/>
      <c r="X51" s="180"/>
      <c r="Y51" s="180"/>
      <c r="Z51" s="180"/>
      <c r="AA51" s="180"/>
      <c r="AB51" s="180"/>
      <c r="AC51" s="180"/>
      <c r="AD51" s="180"/>
      <c r="AE51" s="180"/>
      <c r="AF51" s="180"/>
      <c r="AG51" s="180"/>
      <c r="AH51" s="180"/>
    </row>
    <row r="52" spans="1:34">
      <c r="A52" s="175"/>
      <c r="B52" s="175"/>
      <c r="C52" s="175"/>
      <c r="D52" s="175"/>
      <c r="E52" s="176"/>
      <c r="F52" s="176"/>
      <c r="G52" s="176"/>
      <c r="H52" s="177"/>
      <c r="I52" s="177"/>
      <c r="J52" s="178"/>
      <c r="K52" s="177"/>
      <c r="L52" s="178"/>
      <c r="M52" s="178"/>
      <c r="N52" s="176"/>
      <c r="O52" s="179"/>
      <c r="P52" s="179"/>
      <c r="Q52" s="179"/>
      <c r="R52" s="179"/>
      <c r="S52" s="179"/>
      <c r="T52" s="179"/>
      <c r="U52" s="179"/>
      <c r="V52" s="176"/>
      <c r="W52" s="176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</row>
    <row r="53" spans="1:34">
      <c r="A53" s="175"/>
      <c r="B53" s="175"/>
      <c r="C53" s="175"/>
      <c r="D53" s="175"/>
      <c r="E53" s="176"/>
      <c r="F53" s="176"/>
      <c r="G53" s="176"/>
      <c r="H53" s="177"/>
      <c r="I53" s="177"/>
      <c r="J53" s="178"/>
      <c r="K53" s="177"/>
      <c r="L53" s="178"/>
      <c r="M53" s="178"/>
      <c r="N53" s="176"/>
      <c r="O53" s="179"/>
      <c r="P53" s="179"/>
      <c r="Q53" s="179"/>
      <c r="R53" s="179"/>
      <c r="S53" s="179"/>
      <c r="T53" s="179"/>
      <c r="U53" s="179"/>
      <c r="V53" s="176"/>
      <c r="W53" s="176"/>
      <c r="X53" s="180"/>
      <c r="Y53" s="180"/>
      <c r="Z53" s="180"/>
      <c r="AA53" s="180"/>
      <c r="AB53" s="180"/>
      <c r="AC53" s="180"/>
      <c r="AD53" s="180"/>
      <c r="AE53" s="180"/>
      <c r="AF53" s="180"/>
      <c r="AG53" s="180"/>
      <c r="AH53" s="180"/>
    </row>
    <row r="54" spans="1:34">
      <c r="A54" s="175"/>
      <c r="B54" s="175"/>
      <c r="C54" s="175"/>
      <c r="D54" s="175"/>
      <c r="E54" s="176"/>
      <c r="F54" s="176"/>
      <c r="G54" s="176"/>
      <c r="H54" s="177"/>
      <c r="I54" s="177"/>
      <c r="J54" s="178"/>
      <c r="K54" s="177"/>
      <c r="L54" s="178"/>
      <c r="M54" s="178"/>
      <c r="N54" s="176"/>
      <c r="O54" s="179"/>
      <c r="P54" s="179"/>
      <c r="Q54" s="179"/>
      <c r="R54" s="179"/>
      <c r="S54" s="179"/>
      <c r="T54" s="179"/>
      <c r="U54" s="179"/>
      <c r="V54" s="176"/>
      <c r="W54" s="176"/>
      <c r="X54" s="180"/>
      <c r="Y54" s="180"/>
      <c r="Z54" s="180"/>
      <c r="AA54" s="180"/>
      <c r="AB54" s="180"/>
      <c r="AC54" s="180"/>
      <c r="AD54" s="180"/>
      <c r="AE54" s="180"/>
      <c r="AF54" s="180"/>
      <c r="AG54" s="180"/>
      <c r="AH54" s="180"/>
    </row>
    <row r="55" spans="1:34">
      <c r="A55" s="175"/>
      <c r="B55" s="175"/>
      <c r="C55" s="175"/>
      <c r="D55" s="175"/>
      <c r="E55" s="176"/>
      <c r="F55" s="176"/>
      <c r="G55" s="176"/>
      <c r="H55" s="177"/>
      <c r="I55" s="177"/>
      <c r="J55" s="178"/>
      <c r="K55" s="177"/>
      <c r="L55" s="178"/>
      <c r="M55" s="178"/>
      <c r="N55" s="176"/>
      <c r="O55" s="179"/>
      <c r="P55" s="179"/>
      <c r="Q55" s="179"/>
      <c r="R55" s="179"/>
      <c r="S55" s="179"/>
      <c r="T55" s="179"/>
      <c r="U55" s="179"/>
      <c r="V55" s="176"/>
      <c r="W55" s="176"/>
      <c r="X55" s="180"/>
      <c r="Y55" s="180"/>
      <c r="Z55" s="180"/>
      <c r="AA55" s="180"/>
      <c r="AB55" s="180"/>
      <c r="AC55" s="180"/>
      <c r="AD55" s="180"/>
      <c r="AE55" s="180"/>
      <c r="AF55" s="180"/>
      <c r="AG55" s="180"/>
      <c r="AH55" s="180"/>
    </row>
    <row r="56" spans="1:34">
      <c r="A56" s="175"/>
      <c r="B56" s="175"/>
      <c r="C56" s="175"/>
      <c r="D56" s="175"/>
      <c r="E56" s="176"/>
      <c r="F56" s="176"/>
      <c r="G56" s="176"/>
      <c r="H56" s="177"/>
      <c r="I56" s="177"/>
      <c r="J56" s="178"/>
      <c r="K56" s="177"/>
      <c r="L56" s="178"/>
      <c r="M56" s="178"/>
      <c r="N56" s="176"/>
      <c r="O56" s="179"/>
      <c r="P56" s="179"/>
      <c r="Q56" s="179"/>
      <c r="R56" s="179"/>
      <c r="S56" s="179"/>
      <c r="T56" s="179"/>
      <c r="U56" s="179"/>
      <c r="V56" s="176"/>
      <c r="W56" s="176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</row>
    <row r="57" spans="1:34">
      <c r="A57" s="175"/>
      <c r="B57" s="175"/>
      <c r="C57" s="175"/>
      <c r="D57" s="175"/>
      <c r="E57" s="176"/>
      <c r="F57" s="176"/>
      <c r="G57" s="176"/>
      <c r="H57" s="177"/>
      <c r="I57" s="177"/>
      <c r="J57" s="178"/>
      <c r="K57" s="177"/>
      <c r="L57" s="178"/>
      <c r="M57" s="178"/>
      <c r="N57" s="176"/>
      <c r="O57" s="179"/>
      <c r="P57" s="179"/>
      <c r="Q57" s="179"/>
      <c r="R57" s="179"/>
      <c r="S57" s="179"/>
      <c r="T57" s="179"/>
      <c r="U57" s="179"/>
      <c r="V57" s="176"/>
      <c r="W57" s="176"/>
      <c r="X57" s="180"/>
      <c r="Y57" s="180"/>
      <c r="Z57" s="180"/>
      <c r="AA57" s="180"/>
      <c r="AB57" s="180"/>
      <c r="AC57" s="180"/>
      <c r="AD57" s="180"/>
      <c r="AE57" s="180"/>
      <c r="AF57" s="180"/>
      <c r="AG57" s="180"/>
      <c r="AH57" s="180"/>
    </row>
    <row r="58" spans="1:34">
      <c r="A58" s="175"/>
      <c r="B58" s="175"/>
      <c r="C58" s="175"/>
      <c r="D58" s="175"/>
      <c r="E58" s="176"/>
      <c r="F58" s="176"/>
      <c r="G58" s="176"/>
      <c r="H58" s="177"/>
      <c r="I58" s="177"/>
      <c r="J58" s="178"/>
      <c r="K58" s="177"/>
      <c r="L58" s="178"/>
      <c r="M58" s="178"/>
      <c r="N58" s="176"/>
      <c r="O58" s="179"/>
      <c r="P58" s="179"/>
      <c r="Q58" s="179"/>
      <c r="R58" s="179"/>
      <c r="S58" s="179"/>
      <c r="T58" s="179"/>
      <c r="U58" s="179"/>
      <c r="V58" s="176"/>
      <c r="W58" s="176"/>
      <c r="X58" s="180"/>
      <c r="Y58" s="180"/>
      <c r="Z58" s="180"/>
      <c r="AA58" s="180"/>
      <c r="AB58" s="180"/>
      <c r="AC58" s="180"/>
      <c r="AD58" s="180"/>
      <c r="AE58" s="180"/>
      <c r="AF58" s="180"/>
      <c r="AG58" s="180"/>
      <c r="AH58" s="180"/>
    </row>
    <row r="59" spans="1:34">
      <c r="A59" s="175"/>
      <c r="B59" s="175"/>
      <c r="C59" s="175"/>
      <c r="D59" s="175"/>
      <c r="E59" s="176"/>
      <c r="F59" s="176"/>
      <c r="G59" s="176"/>
      <c r="H59" s="177"/>
      <c r="I59" s="177"/>
      <c r="J59" s="178"/>
      <c r="K59" s="177"/>
      <c r="L59" s="178"/>
      <c r="M59" s="178"/>
      <c r="N59" s="176"/>
      <c r="O59" s="179"/>
      <c r="P59" s="179"/>
      <c r="Q59" s="179"/>
      <c r="R59" s="179"/>
      <c r="S59" s="179"/>
      <c r="T59" s="179"/>
      <c r="U59" s="179"/>
      <c r="V59" s="176"/>
      <c r="W59" s="176"/>
      <c r="X59" s="180"/>
      <c r="Y59" s="180"/>
      <c r="Z59" s="180"/>
      <c r="AA59" s="180"/>
      <c r="AB59" s="180"/>
      <c r="AC59" s="180"/>
      <c r="AD59" s="180"/>
      <c r="AE59" s="180"/>
      <c r="AF59" s="180"/>
      <c r="AG59" s="180"/>
      <c r="AH59" s="180"/>
    </row>
    <row r="60" spans="1:34">
      <c r="A60" s="175"/>
      <c r="B60" s="175"/>
      <c r="C60" s="175"/>
      <c r="D60" s="175"/>
      <c r="E60" s="176"/>
      <c r="F60" s="176"/>
      <c r="G60" s="176"/>
      <c r="H60" s="177"/>
      <c r="I60" s="177"/>
      <c r="J60" s="178"/>
      <c r="K60" s="177"/>
      <c r="L60" s="178"/>
      <c r="M60" s="178"/>
      <c r="N60" s="176"/>
      <c r="O60" s="179"/>
      <c r="P60" s="179"/>
      <c r="Q60" s="179"/>
      <c r="R60" s="179"/>
      <c r="S60" s="179"/>
      <c r="T60" s="179"/>
      <c r="U60" s="179"/>
      <c r="V60" s="176"/>
      <c r="W60" s="176"/>
      <c r="X60" s="180"/>
      <c r="Y60" s="180"/>
      <c r="Z60" s="180"/>
      <c r="AA60" s="180"/>
      <c r="AB60" s="180"/>
      <c r="AC60" s="180"/>
      <c r="AD60" s="180"/>
      <c r="AE60" s="180"/>
      <c r="AF60" s="180"/>
      <c r="AG60" s="180"/>
      <c r="AH60" s="180"/>
    </row>
    <row r="61" spans="1:34">
      <c r="A61" s="175"/>
      <c r="B61" s="175"/>
      <c r="C61" s="175"/>
      <c r="D61" s="175"/>
      <c r="E61" s="176"/>
      <c r="F61" s="176"/>
      <c r="G61" s="176"/>
      <c r="H61" s="177"/>
      <c r="I61" s="177"/>
      <c r="J61" s="178"/>
      <c r="K61" s="177"/>
      <c r="L61" s="178"/>
      <c r="M61" s="178"/>
      <c r="N61" s="176"/>
      <c r="O61" s="179"/>
      <c r="P61" s="179"/>
      <c r="Q61" s="179"/>
      <c r="R61" s="179"/>
      <c r="S61" s="179"/>
      <c r="T61" s="179"/>
      <c r="U61" s="179"/>
      <c r="V61" s="176"/>
      <c r="W61" s="176"/>
      <c r="X61" s="180"/>
      <c r="Y61" s="180"/>
      <c r="Z61" s="180"/>
      <c r="AA61" s="180"/>
      <c r="AB61" s="180"/>
      <c r="AC61" s="180"/>
      <c r="AD61" s="180"/>
      <c r="AE61" s="180"/>
      <c r="AF61" s="180"/>
      <c r="AG61" s="180"/>
      <c r="AH61" s="180"/>
    </row>
    <row r="62" spans="1:34">
      <c r="A62" s="175"/>
      <c r="B62" s="175"/>
      <c r="C62" s="175"/>
      <c r="D62" s="175"/>
      <c r="E62" s="176"/>
      <c r="F62" s="176"/>
      <c r="G62" s="176"/>
      <c r="H62" s="177"/>
      <c r="I62" s="177"/>
      <c r="J62" s="178"/>
      <c r="K62" s="177"/>
      <c r="L62" s="178"/>
      <c r="M62" s="178"/>
      <c r="N62" s="176"/>
      <c r="O62" s="179"/>
      <c r="P62" s="179"/>
      <c r="Q62" s="179"/>
      <c r="R62" s="179"/>
      <c r="S62" s="179"/>
      <c r="T62" s="179"/>
      <c r="U62" s="179"/>
      <c r="V62" s="176"/>
      <c r="W62" s="176"/>
      <c r="X62" s="180"/>
      <c r="Y62" s="180"/>
      <c r="Z62" s="180"/>
      <c r="AA62" s="180"/>
      <c r="AB62" s="180"/>
      <c r="AC62" s="180"/>
      <c r="AD62" s="180"/>
      <c r="AE62" s="180"/>
      <c r="AF62" s="180"/>
      <c r="AG62" s="180"/>
      <c r="AH62" s="180"/>
    </row>
    <row r="63" spans="1:34">
      <c r="A63" s="175"/>
      <c r="B63" s="175"/>
      <c r="C63" s="175"/>
      <c r="D63" s="175"/>
      <c r="E63" s="176"/>
      <c r="F63" s="176"/>
      <c r="G63" s="176"/>
      <c r="H63" s="177"/>
      <c r="I63" s="177"/>
      <c r="J63" s="178"/>
      <c r="K63" s="177"/>
      <c r="L63" s="178"/>
      <c r="M63" s="178"/>
      <c r="N63" s="176"/>
      <c r="O63" s="179"/>
      <c r="P63" s="179"/>
      <c r="Q63" s="179"/>
      <c r="R63" s="179"/>
      <c r="S63" s="179"/>
      <c r="T63" s="179"/>
      <c r="U63" s="179"/>
      <c r="V63" s="176"/>
      <c r="W63" s="176"/>
      <c r="X63" s="180"/>
      <c r="Y63" s="180"/>
      <c r="Z63" s="180"/>
      <c r="AA63" s="180"/>
      <c r="AB63" s="180"/>
      <c r="AC63" s="180"/>
      <c r="AD63" s="180"/>
      <c r="AE63" s="180"/>
      <c r="AF63" s="180"/>
      <c r="AG63" s="180"/>
      <c r="AH63" s="180"/>
    </row>
    <row r="64" spans="1:34">
      <c r="A64" s="175"/>
      <c r="B64" s="175"/>
      <c r="C64" s="175"/>
      <c r="D64" s="175"/>
      <c r="E64" s="176"/>
      <c r="F64" s="176"/>
      <c r="G64" s="176"/>
      <c r="H64" s="177"/>
      <c r="I64" s="177"/>
      <c r="J64" s="178"/>
      <c r="K64" s="177"/>
      <c r="L64" s="178"/>
      <c r="M64" s="178"/>
      <c r="N64" s="176"/>
      <c r="O64" s="179"/>
      <c r="P64" s="179"/>
      <c r="Q64" s="179"/>
      <c r="R64" s="179"/>
      <c r="S64" s="179"/>
      <c r="T64" s="179"/>
      <c r="U64" s="179"/>
      <c r="V64" s="176"/>
      <c r="W64" s="176"/>
      <c r="X64" s="180"/>
      <c r="Y64" s="180"/>
      <c r="Z64" s="180"/>
      <c r="AA64" s="180"/>
      <c r="AB64" s="180"/>
      <c r="AC64" s="180"/>
      <c r="AD64" s="180"/>
      <c r="AE64" s="180"/>
      <c r="AF64" s="180"/>
      <c r="AG64" s="180"/>
      <c r="AH64" s="180"/>
    </row>
    <row r="65" spans="1:34">
      <c r="A65" s="175"/>
      <c r="B65" s="175"/>
      <c r="C65" s="175"/>
      <c r="D65" s="175"/>
      <c r="E65" s="176"/>
      <c r="F65" s="176"/>
      <c r="G65" s="176"/>
      <c r="H65" s="177"/>
      <c r="I65" s="177"/>
      <c r="J65" s="178"/>
      <c r="K65" s="177"/>
      <c r="L65" s="178"/>
      <c r="M65" s="178"/>
      <c r="N65" s="176"/>
      <c r="O65" s="179"/>
      <c r="P65" s="179"/>
      <c r="Q65" s="179"/>
      <c r="R65" s="179"/>
      <c r="S65" s="179"/>
      <c r="T65" s="179"/>
      <c r="U65" s="179"/>
      <c r="V65" s="176"/>
      <c r="W65" s="176"/>
      <c r="X65" s="180"/>
      <c r="Y65" s="180"/>
      <c r="Z65" s="180"/>
      <c r="AA65" s="180"/>
      <c r="AB65" s="180"/>
      <c r="AC65" s="180"/>
      <c r="AD65" s="180"/>
      <c r="AE65" s="180"/>
      <c r="AF65" s="180"/>
      <c r="AG65" s="180"/>
      <c r="AH65" s="180"/>
    </row>
    <row r="66" spans="1:34">
      <c r="A66" s="175"/>
      <c r="B66" s="175"/>
      <c r="C66" s="175"/>
      <c r="D66" s="175"/>
      <c r="E66" s="176"/>
      <c r="F66" s="176"/>
      <c r="G66" s="176"/>
      <c r="H66" s="177"/>
      <c r="I66" s="177"/>
      <c r="J66" s="178"/>
      <c r="K66" s="177"/>
      <c r="L66" s="178"/>
      <c r="M66" s="178"/>
      <c r="N66" s="176"/>
      <c r="O66" s="179"/>
      <c r="P66" s="179"/>
      <c r="Q66" s="179"/>
      <c r="R66" s="179"/>
      <c r="S66" s="179"/>
      <c r="T66" s="179"/>
      <c r="U66" s="179"/>
      <c r="V66" s="176"/>
      <c r="W66" s="176"/>
      <c r="X66" s="180"/>
      <c r="Y66" s="180"/>
      <c r="Z66" s="180"/>
      <c r="AA66" s="180"/>
      <c r="AB66" s="180"/>
      <c r="AC66" s="180"/>
      <c r="AD66" s="180"/>
      <c r="AE66" s="180"/>
      <c r="AF66" s="180"/>
      <c r="AG66" s="180"/>
      <c r="AH66" s="180"/>
    </row>
    <row r="67" spans="1:34">
      <c r="A67" s="175"/>
      <c r="B67" s="175"/>
      <c r="C67" s="175"/>
      <c r="D67" s="175"/>
      <c r="E67" s="176"/>
      <c r="F67" s="176"/>
      <c r="G67" s="176"/>
      <c r="H67" s="177"/>
      <c r="I67" s="177"/>
      <c r="J67" s="178"/>
      <c r="K67" s="177"/>
      <c r="L67" s="178"/>
      <c r="M67" s="178"/>
      <c r="N67" s="176"/>
      <c r="O67" s="179"/>
      <c r="P67" s="179"/>
      <c r="Q67" s="179"/>
      <c r="R67" s="179"/>
      <c r="S67" s="179"/>
      <c r="T67" s="179"/>
      <c r="U67" s="179"/>
      <c r="V67" s="176"/>
      <c r="W67" s="176"/>
      <c r="X67" s="180"/>
      <c r="Y67" s="180"/>
      <c r="Z67" s="180"/>
      <c r="AA67" s="180"/>
      <c r="AB67" s="180"/>
      <c r="AC67" s="180"/>
      <c r="AD67" s="180"/>
      <c r="AE67" s="180"/>
      <c r="AF67" s="180"/>
      <c r="AG67" s="180"/>
      <c r="AH67" s="180"/>
    </row>
    <row r="68" spans="1:34">
      <c r="A68" s="175"/>
      <c r="B68" s="175"/>
      <c r="C68" s="175"/>
      <c r="D68" s="175"/>
      <c r="E68" s="176"/>
      <c r="F68" s="176"/>
      <c r="G68" s="176"/>
      <c r="H68" s="177"/>
      <c r="I68" s="177"/>
      <c r="J68" s="178"/>
      <c r="K68" s="177"/>
      <c r="L68" s="178"/>
      <c r="M68" s="178"/>
      <c r="N68" s="176"/>
      <c r="O68" s="179"/>
      <c r="P68" s="179"/>
      <c r="Q68" s="179"/>
      <c r="R68" s="179"/>
      <c r="S68" s="179"/>
      <c r="T68" s="179"/>
      <c r="U68" s="179"/>
      <c r="V68" s="176"/>
      <c r="W68" s="176"/>
      <c r="X68" s="180"/>
      <c r="Y68" s="180"/>
      <c r="Z68" s="180"/>
      <c r="AA68" s="180"/>
      <c r="AB68" s="180"/>
      <c r="AC68" s="180"/>
      <c r="AD68" s="180"/>
      <c r="AE68" s="180"/>
      <c r="AF68" s="180"/>
      <c r="AG68" s="180"/>
      <c r="AH68" s="180"/>
    </row>
    <row r="69" spans="1:34">
      <c r="A69" s="175"/>
      <c r="B69" s="175"/>
      <c r="C69" s="175"/>
      <c r="D69" s="175"/>
      <c r="E69" s="176"/>
      <c r="F69" s="176"/>
      <c r="G69" s="176"/>
      <c r="H69" s="177"/>
      <c r="I69" s="177"/>
      <c r="J69" s="178"/>
      <c r="K69" s="177"/>
      <c r="L69" s="178"/>
      <c r="M69" s="178"/>
      <c r="N69" s="176"/>
      <c r="O69" s="179"/>
      <c r="P69" s="179"/>
      <c r="Q69" s="179"/>
      <c r="R69" s="179"/>
      <c r="S69" s="179"/>
      <c r="T69" s="179"/>
      <c r="U69" s="179"/>
      <c r="V69" s="176"/>
      <c r="W69" s="176"/>
      <c r="X69" s="180"/>
      <c r="Y69" s="180"/>
      <c r="Z69" s="180"/>
      <c r="AA69" s="180"/>
      <c r="AB69" s="180"/>
      <c r="AC69" s="180"/>
      <c r="AD69" s="180"/>
      <c r="AE69" s="180"/>
      <c r="AF69" s="180"/>
      <c r="AG69" s="180"/>
      <c r="AH69" s="180"/>
    </row>
    <row r="70" spans="1:34">
      <c r="A70" s="175"/>
      <c r="B70" s="175"/>
      <c r="C70" s="175"/>
      <c r="D70" s="175"/>
      <c r="E70" s="176"/>
      <c r="F70" s="176"/>
      <c r="G70" s="176"/>
      <c r="H70" s="177"/>
      <c r="I70" s="177"/>
      <c r="J70" s="178"/>
      <c r="K70" s="177"/>
      <c r="L70" s="178"/>
      <c r="M70" s="178"/>
      <c r="N70" s="176"/>
      <c r="O70" s="179"/>
      <c r="P70" s="179"/>
      <c r="Q70" s="179"/>
      <c r="R70" s="179"/>
      <c r="S70" s="179"/>
      <c r="T70" s="179"/>
      <c r="U70" s="179"/>
      <c r="V70" s="176"/>
      <c r="W70" s="176"/>
      <c r="X70" s="180"/>
      <c r="Y70" s="180"/>
      <c r="Z70" s="180"/>
      <c r="AA70" s="180"/>
      <c r="AB70" s="180"/>
      <c r="AC70" s="180"/>
      <c r="AD70" s="180"/>
      <c r="AE70" s="180"/>
      <c r="AF70" s="180"/>
      <c r="AG70" s="180"/>
      <c r="AH70" s="180"/>
    </row>
    <row r="71" spans="1:34">
      <c r="A71" s="175"/>
      <c r="B71" s="175"/>
      <c r="C71" s="175"/>
      <c r="D71" s="175"/>
      <c r="E71" s="176"/>
      <c r="F71" s="176"/>
      <c r="G71" s="176"/>
      <c r="H71" s="177"/>
      <c r="I71" s="177"/>
      <c r="J71" s="178"/>
      <c r="K71" s="177"/>
      <c r="L71" s="178"/>
      <c r="M71" s="178"/>
      <c r="N71" s="176"/>
      <c r="O71" s="179"/>
      <c r="P71" s="179"/>
      <c r="Q71" s="179"/>
      <c r="R71" s="179"/>
      <c r="S71" s="179"/>
      <c r="T71" s="179"/>
      <c r="U71" s="179"/>
      <c r="V71" s="176"/>
      <c r="W71" s="176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</row>
    <row r="72" spans="1:34">
      <c r="A72" s="175"/>
      <c r="B72" s="175"/>
      <c r="C72" s="175"/>
      <c r="D72" s="175"/>
      <c r="E72" s="176"/>
      <c r="F72" s="176"/>
      <c r="G72" s="176"/>
      <c r="H72" s="177"/>
      <c r="I72" s="177"/>
      <c r="J72" s="178"/>
      <c r="K72" s="177"/>
      <c r="L72" s="178"/>
      <c r="M72" s="178"/>
      <c r="N72" s="176"/>
      <c r="O72" s="179"/>
      <c r="P72" s="179"/>
      <c r="Q72" s="179"/>
      <c r="R72" s="179"/>
      <c r="S72" s="179"/>
      <c r="T72" s="179"/>
      <c r="U72" s="179"/>
      <c r="V72" s="176"/>
      <c r="W72" s="176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</row>
    <row r="73" spans="1:34">
      <c r="A73" s="175"/>
      <c r="B73" s="175"/>
      <c r="C73" s="175"/>
      <c r="D73" s="175"/>
      <c r="E73" s="176"/>
      <c r="F73" s="176"/>
      <c r="G73" s="176"/>
      <c r="H73" s="177"/>
      <c r="I73" s="177"/>
      <c r="J73" s="178"/>
      <c r="K73" s="177"/>
      <c r="L73" s="178"/>
      <c r="M73" s="178"/>
      <c r="N73" s="176"/>
      <c r="O73" s="179"/>
      <c r="P73" s="179"/>
      <c r="Q73" s="179"/>
      <c r="R73" s="179"/>
      <c r="S73" s="179"/>
      <c r="T73" s="179"/>
      <c r="U73" s="179"/>
      <c r="V73" s="176"/>
      <c r="W73" s="176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</row>
    <row r="74" spans="1:34">
      <c r="A74" s="175"/>
      <c r="B74" s="175"/>
      <c r="C74" s="175"/>
      <c r="D74" s="175"/>
      <c r="E74" s="176"/>
      <c r="F74" s="176"/>
      <c r="G74" s="176"/>
      <c r="H74" s="177"/>
      <c r="I74" s="177"/>
      <c r="J74" s="178"/>
      <c r="K74" s="177"/>
      <c r="L74" s="178"/>
      <c r="M74" s="178"/>
      <c r="N74" s="176"/>
      <c r="O74" s="179"/>
      <c r="P74" s="179"/>
      <c r="Q74" s="179"/>
      <c r="R74" s="179"/>
      <c r="S74" s="179"/>
      <c r="T74" s="179"/>
      <c r="U74" s="179"/>
      <c r="V74" s="176"/>
      <c r="W74" s="176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</row>
    <row r="75" spans="1:34">
      <c r="A75" s="175"/>
      <c r="B75" s="175"/>
      <c r="C75" s="175"/>
      <c r="D75" s="175"/>
      <c r="E75" s="176"/>
      <c r="F75" s="176"/>
      <c r="G75" s="176"/>
      <c r="H75" s="177"/>
      <c r="I75" s="177"/>
      <c r="J75" s="178"/>
      <c r="K75" s="177"/>
      <c r="L75" s="178"/>
      <c r="M75" s="178"/>
      <c r="N75" s="176"/>
      <c r="O75" s="179"/>
      <c r="P75" s="179"/>
      <c r="Q75" s="179"/>
      <c r="R75" s="179"/>
      <c r="S75" s="179"/>
      <c r="T75" s="179"/>
      <c r="U75" s="179"/>
      <c r="V75" s="176"/>
      <c r="W75" s="176"/>
      <c r="X75" s="180"/>
      <c r="Y75" s="180"/>
      <c r="Z75" s="180"/>
      <c r="AA75" s="180"/>
      <c r="AB75" s="180"/>
      <c r="AC75" s="180"/>
      <c r="AD75" s="180"/>
      <c r="AE75" s="180"/>
      <c r="AF75" s="180"/>
      <c r="AG75" s="180"/>
      <c r="AH75" s="180"/>
    </row>
    <row r="76" spans="1:34">
      <c r="A76" s="175"/>
      <c r="B76" s="175"/>
      <c r="C76" s="175"/>
      <c r="D76" s="175"/>
      <c r="E76" s="176"/>
      <c r="F76" s="176"/>
      <c r="G76" s="176"/>
      <c r="H76" s="177"/>
      <c r="I76" s="177"/>
      <c r="J76" s="178"/>
      <c r="K76" s="177"/>
      <c r="L76" s="178"/>
      <c r="M76" s="178"/>
      <c r="N76" s="176"/>
      <c r="O76" s="179"/>
      <c r="P76" s="179"/>
      <c r="Q76" s="179"/>
      <c r="R76" s="179"/>
      <c r="S76" s="179"/>
      <c r="T76" s="179"/>
      <c r="U76" s="179"/>
      <c r="V76" s="176"/>
      <c r="W76" s="176"/>
      <c r="X76" s="180"/>
      <c r="Y76" s="180"/>
      <c r="Z76" s="180"/>
      <c r="AA76" s="180"/>
      <c r="AB76" s="180"/>
      <c r="AC76" s="180"/>
      <c r="AD76" s="180"/>
      <c r="AE76" s="180"/>
      <c r="AF76" s="180"/>
      <c r="AG76" s="180"/>
      <c r="AH76" s="180"/>
    </row>
    <row r="77" spans="1:34">
      <c r="A77" s="175"/>
      <c r="B77" s="175"/>
      <c r="C77" s="175"/>
      <c r="D77" s="175"/>
      <c r="E77" s="176"/>
      <c r="F77" s="176"/>
      <c r="G77" s="176"/>
      <c r="H77" s="177"/>
      <c r="I77" s="177"/>
      <c r="J77" s="178"/>
      <c r="K77" s="177"/>
      <c r="L77" s="178"/>
      <c r="M77" s="178"/>
      <c r="N77" s="176"/>
      <c r="O77" s="179"/>
      <c r="P77" s="179"/>
      <c r="Q77" s="179"/>
      <c r="R77" s="179"/>
      <c r="S77" s="179"/>
      <c r="T77" s="179"/>
      <c r="U77" s="179"/>
      <c r="V77" s="176"/>
      <c r="W77" s="176"/>
      <c r="X77" s="180"/>
      <c r="Y77" s="180"/>
      <c r="Z77" s="180"/>
      <c r="AA77" s="180"/>
      <c r="AB77" s="180"/>
      <c r="AC77" s="180"/>
      <c r="AD77" s="180"/>
      <c r="AE77" s="180"/>
      <c r="AF77" s="180"/>
      <c r="AG77" s="180"/>
      <c r="AH77" s="180"/>
    </row>
    <row r="78" spans="1:34">
      <c r="A78" s="175"/>
      <c r="B78" s="175"/>
      <c r="C78" s="175"/>
      <c r="D78" s="175"/>
      <c r="E78" s="176"/>
      <c r="F78" s="176"/>
      <c r="G78" s="176"/>
      <c r="H78" s="177"/>
      <c r="I78" s="177"/>
      <c r="J78" s="178"/>
      <c r="K78" s="177"/>
      <c r="L78" s="178"/>
      <c r="M78" s="178"/>
      <c r="N78" s="176"/>
      <c r="O78" s="179"/>
      <c r="P78" s="179"/>
      <c r="Q78" s="179"/>
      <c r="R78" s="179"/>
      <c r="S78" s="179"/>
      <c r="T78" s="179"/>
      <c r="U78" s="179"/>
      <c r="V78" s="176"/>
      <c r="W78" s="176"/>
      <c r="X78" s="180"/>
      <c r="Y78" s="180"/>
      <c r="Z78" s="180"/>
      <c r="AA78" s="180"/>
      <c r="AB78" s="180"/>
      <c r="AC78" s="180"/>
      <c r="AD78" s="180"/>
      <c r="AE78" s="180"/>
      <c r="AF78" s="180"/>
      <c r="AG78" s="180"/>
      <c r="AH78" s="180"/>
    </row>
    <row r="79" spans="1:34">
      <c r="A79" s="175"/>
      <c r="B79" s="175"/>
      <c r="C79" s="175"/>
      <c r="D79" s="175"/>
      <c r="E79" s="176"/>
      <c r="F79" s="176"/>
      <c r="G79" s="176"/>
      <c r="H79" s="177"/>
      <c r="I79" s="177"/>
      <c r="J79" s="178"/>
      <c r="K79" s="177"/>
      <c r="L79" s="178"/>
      <c r="M79" s="178"/>
      <c r="N79" s="176"/>
      <c r="O79" s="179"/>
      <c r="P79" s="179"/>
      <c r="Q79" s="179"/>
      <c r="R79" s="179"/>
      <c r="S79" s="179"/>
      <c r="T79" s="179"/>
      <c r="U79" s="179"/>
      <c r="V79" s="176"/>
      <c r="W79" s="176"/>
      <c r="X79" s="180"/>
      <c r="Y79" s="180"/>
      <c r="Z79" s="180"/>
      <c r="AA79" s="180"/>
      <c r="AB79" s="180"/>
      <c r="AC79" s="180"/>
      <c r="AD79" s="180"/>
      <c r="AE79" s="180"/>
      <c r="AF79" s="180"/>
      <c r="AG79" s="180"/>
      <c r="AH79" s="180"/>
    </row>
    <row r="80" spans="1:34">
      <c r="A80" s="175"/>
      <c r="B80" s="175"/>
      <c r="C80" s="175"/>
      <c r="D80" s="175"/>
      <c r="E80" s="176"/>
      <c r="F80" s="176"/>
      <c r="G80" s="176"/>
      <c r="H80" s="177"/>
      <c r="I80" s="177"/>
      <c r="J80" s="178"/>
      <c r="K80" s="177"/>
      <c r="L80" s="178"/>
      <c r="M80" s="178"/>
      <c r="N80" s="176"/>
      <c r="O80" s="179"/>
      <c r="P80" s="179"/>
      <c r="Q80" s="179"/>
      <c r="R80" s="179"/>
      <c r="S80" s="179"/>
      <c r="T80" s="179"/>
      <c r="U80" s="179"/>
      <c r="V80" s="176"/>
      <c r="W80" s="176"/>
      <c r="X80" s="180"/>
      <c r="Y80" s="180"/>
      <c r="Z80" s="180"/>
      <c r="AA80" s="180"/>
      <c r="AB80" s="180"/>
      <c r="AC80" s="180"/>
      <c r="AD80" s="180"/>
      <c r="AE80" s="180"/>
      <c r="AF80" s="180"/>
      <c r="AG80" s="180"/>
      <c r="AH80" s="180"/>
    </row>
    <row r="81" spans="1:34">
      <c r="A81" s="175"/>
      <c r="B81" s="175"/>
      <c r="C81" s="175"/>
      <c r="D81" s="175"/>
      <c r="E81" s="176"/>
      <c r="F81" s="176"/>
      <c r="G81" s="176"/>
      <c r="H81" s="177"/>
      <c r="I81" s="177"/>
      <c r="J81" s="178"/>
      <c r="K81" s="177"/>
      <c r="L81" s="178"/>
      <c r="M81" s="178"/>
      <c r="N81" s="176"/>
      <c r="O81" s="179"/>
      <c r="P81" s="179"/>
      <c r="Q81" s="179"/>
      <c r="R81" s="179"/>
      <c r="S81" s="179"/>
      <c r="T81" s="179"/>
      <c r="U81" s="179"/>
      <c r="V81" s="176"/>
      <c r="W81" s="176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</row>
    <row r="82" spans="1:34">
      <c r="A82" s="175"/>
      <c r="B82" s="175"/>
      <c r="C82" s="175"/>
      <c r="D82" s="175"/>
      <c r="E82" s="176"/>
      <c r="F82" s="176"/>
      <c r="G82" s="176"/>
      <c r="H82" s="177"/>
      <c r="I82" s="177"/>
      <c r="J82" s="178"/>
      <c r="K82" s="177"/>
      <c r="L82" s="178"/>
      <c r="M82" s="178"/>
      <c r="N82" s="176"/>
      <c r="O82" s="179"/>
      <c r="P82" s="179"/>
      <c r="Q82" s="179"/>
      <c r="R82" s="179"/>
      <c r="S82" s="179"/>
      <c r="T82" s="179"/>
      <c r="U82" s="179"/>
      <c r="V82" s="176"/>
      <c r="W82" s="176"/>
      <c r="X82" s="180"/>
      <c r="Y82" s="180"/>
      <c r="Z82" s="180"/>
      <c r="AA82" s="180"/>
      <c r="AB82" s="180"/>
      <c r="AC82" s="180"/>
      <c r="AD82" s="180"/>
      <c r="AE82" s="180"/>
      <c r="AF82" s="180"/>
      <c r="AG82" s="180"/>
      <c r="AH82" s="180"/>
    </row>
    <row r="83" spans="1:34">
      <c r="A83" s="175"/>
      <c r="B83" s="175"/>
      <c r="C83" s="175"/>
      <c r="D83" s="175"/>
      <c r="E83" s="176"/>
      <c r="F83" s="176"/>
      <c r="G83" s="176"/>
      <c r="H83" s="177"/>
      <c r="I83" s="177"/>
      <c r="J83" s="178"/>
      <c r="K83" s="177"/>
      <c r="L83" s="178"/>
      <c r="M83" s="178"/>
      <c r="N83" s="176"/>
      <c r="O83" s="179"/>
      <c r="P83" s="179"/>
      <c r="Q83" s="179"/>
      <c r="R83" s="179"/>
      <c r="S83" s="179"/>
      <c r="T83" s="179"/>
      <c r="U83" s="179"/>
      <c r="V83" s="176"/>
      <c r="W83" s="176"/>
      <c r="X83" s="180"/>
      <c r="Y83" s="180"/>
      <c r="Z83" s="180"/>
      <c r="AA83" s="180"/>
      <c r="AB83" s="180"/>
      <c r="AC83" s="180"/>
      <c r="AD83" s="180"/>
      <c r="AE83" s="180"/>
      <c r="AF83" s="180"/>
      <c r="AG83" s="180"/>
      <c r="AH83" s="180"/>
    </row>
    <row r="84" spans="1:34">
      <c r="A84" s="175"/>
      <c r="B84" s="175"/>
      <c r="C84" s="175"/>
      <c r="D84" s="175"/>
      <c r="E84" s="176"/>
      <c r="F84" s="176"/>
      <c r="G84" s="176"/>
      <c r="H84" s="177"/>
      <c r="I84" s="177"/>
      <c r="J84" s="178"/>
      <c r="K84" s="177"/>
      <c r="L84" s="178"/>
      <c r="M84" s="178"/>
      <c r="N84" s="176"/>
      <c r="O84" s="179"/>
      <c r="P84" s="179"/>
      <c r="Q84" s="179"/>
      <c r="R84" s="179"/>
      <c r="S84" s="179"/>
      <c r="T84" s="179"/>
      <c r="U84" s="179"/>
      <c r="V84" s="176"/>
      <c r="W84" s="176"/>
      <c r="X84" s="180"/>
      <c r="Y84" s="180"/>
      <c r="Z84" s="180"/>
      <c r="AA84" s="180"/>
      <c r="AB84" s="180"/>
      <c r="AC84" s="180"/>
      <c r="AD84" s="180"/>
      <c r="AE84" s="180"/>
      <c r="AF84" s="180"/>
      <c r="AG84" s="180"/>
      <c r="AH84" s="180"/>
    </row>
    <row r="85" spans="1:34">
      <c r="A85" s="175"/>
      <c r="B85" s="175"/>
      <c r="C85" s="175"/>
      <c r="D85" s="175"/>
      <c r="E85" s="176"/>
      <c r="F85" s="176"/>
      <c r="G85" s="176"/>
      <c r="H85" s="177"/>
      <c r="I85" s="177"/>
      <c r="J85" s="178"/>
      <c r="K85" s="177"/>
      <c r="L85" s="178"/>
      <c r="M85" s="178"/>
      <c r="N85" s="176"/>
      <c r="O85" s="179"/>
      <c r="P85" s="179"/>
      <c r="Q85" s="179"/>
      <c r="R85" s="179"/>
      <c r="S85" s="179"/>
      <c r="T85" s="179"/>
      <c r="U85" s="179"/>
      <c r="V85" s="176"/>
      <c r="W85" s="176"/>
      <c r="X85" s="180"/>
      <c r="Y85" s="180"/>
      <c r="Z85" s="180"/>
      <c r="AA85" s="180"/>
      <c r="AB85" s="180"/>
      <c r="AC85" s="180"/>
      <c r="AD85" s="180"/>
      <c r="AE85" s="180"/>
      <c r="AF85" s="180"/>
      <c r="AG85" s="180"/>
      <c r="AH85" s="180"/>
    </row>
    <row r="86" spans="1:34">
      <c r="A86" s="175"/>
      <c r="B86" s="175"/>
      <c r="C86" s="175"/>
      <c r="D86" s="175"/>
      <c r="E86" s="176"/>
      <c r="F86" s="176"/>
      <c r="G86" s="176"/>
      <c r="H86" s="177"/>
      <c r="I86" s="177"/>
      <c r="J86" s="178"/>
      <c r="K86" s="177"/>
      <c r="L86" s="178"/>
      <c r="M86" s="178"/>
      <c r="N86" s="176"/>
      <c r="O86" s="179"/>
      <c r="P86" s="179"/>
      <c r="Q86" s="179"/>
      <c r="R86" s="179"/>
      <c r="S86" s="179"/>
      <c r="T86" s="179"/>
      <c r="U86" s="179"/>
      <c r="V86" s="176"/>
      <c r="W86" s="176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>
      <c r="A87" s="175"/>
      <c r="B87" s="175"/>
      <c r="C87" s="175"/>
      <c r="D87" s="175"/>
      <c r="E87" s="176"/>
      <c r="F87" s="176"/>
      <c r="G87" s="176"/>
      <c r="H87" s="177"/>
      <c r="I87" s="177"/>
      <c r="J87" s="178"/>
      <c r="K87" s="177"/>
      <c r="L87" s="178"/>
      <c r="M87" s="178"/>
      <c r="N87" s="176"/>
      <c r="O87" s="179"/>
      <c r="P87" s="179"/>
      <c r="Q87" s="179"/>
      <c r="R87" s="179"/>
      <c r="S87" s="179"/>
      <c r="T87" s="179"/>
      <c r="U87" s="179"/>
      <c r="V87" s="176"/>
      <c r="W87" s="176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>
      <c r="A88" s="175"/>
      <c r="B88" s="175"/>
      <c r="C88" s="175"/>
      <c r="D88" s="175"/>
      <c r="E88" s="176"/>
      <c r="F88" s="176"/>
      <c r="G88" s="176"/>
      <c r="H88" s="177"/>
      <c r="I88" s="177"/>
      <c r="J88" s="178"/>
      <c r="K88" s="177"/>
      <c r="L88" s="178"/>
      <c r="M88" s="178"/>
      <c r="N88" s="176"/>
      <c r="O88" s="179"/>
      <c r="P88" s="179"/>
      <c r="Q88" s="179"/>
      <c r="R88" s="179"/>
      <c r="S88" s="179"/>
      <c r="T88" s="179"/>
      <c r="U88" s="179"/>
      <c r="V88" s="176"/>
      <c r="W88" s="176"/>
      <c r="X88" s="180"/>
      <c r="Y88" s="180"/>
      <c r="Z88" s="180"/>
      <c r="AA88" s="180"/>
      <c r="AB88" s="180"/>
      <c r="AC88" s="180"/>
      <c r="AD88" s="180"/>
      <c r="AE88" s="180"/>
      <c r="AF88" s="180"/>
      <c r="AG88" s="180"/>
      <c r="AH88" s="180"/>
    </row>
    <row r="89" spans="1:34">
      <c r="A89" s="175"/>
      <c r="B89" s="175"/>
      <c r="C89" s="175"/>
      <c r="D89" s="175"/>
      <c r="E89" s="176"/>
      <c r="F89" s="176"/>
      <c r="G89" s="176"/>
      <c r="H89" s="177"/>
      <c r="I89" s="177"/>
      <c r="J89" s="178"/>
      <c r="K89" s="177"/>
      <c r="L89" s="178"/>
      <c r="M89" s="178"/>
      <c r="N89" s="176"/>
      <c r="O89" s="179"/>
      <c r="P89" s="179"/>
      <c r="Q89" s="179"/>
      <c r="R89" s="179"/>
      <c r="S89" s="179"/>
      <c r="T89" s="179"/>
      <c r="U89" s="179"/>
      <c r="V89" s="176"/>
      <c r="W89" s="176"/>
      <c r="X89" s="180"/>
      <c r="Y89" s="180"/>
      <c r="Z89" s="180"/>
      <c r="AA89" s="180"/>
      <c r="AB89" s="180"/>
      <c r="AC89" s="180"/>
      <c r="AD89" s="180"/>
      <c r="AE89" s="180"/>
      <c r="AF89" s="180"/>
      <c r="AG89" s="180"/>
      <c r="AH89" s="180"/>
    </row>
    <row r="90" spans="1:34">
      <c r="A90" s="175"/>
      <c r="B90" s="175"/>
      <c r="C90" s="175"/>
      <c r="D90" s="175"/>
      <c r="E90" s="176"/>
      <c r="F90" s="176"/>
      <c r="G90" s="176"/>
      <c r="H90" s="177"/>
      <c r="I90" s="177"/>
      <c r="J90" s="178"/>
      <c r="K90" s="177"/>
      <c r="L90" s="178"/>
      <c r="M90" s="178"/>
      <c r="N90" s="176"/>
      <c r="O90" s="179"/>
      <c r="P90" s="179"/>
      <c r="Q90" s="179"/>
      <c r="R90" s="179"/>
      <c r="S90" s="179"/>
      <c r="T90" s="179"/>
      <c r="U90" s="179"/>
      <c r="V90" s="176"/>
      <c r="W90" s="176"/>
      <c r="X90" s="180"/>
      <c r="Y90" s="180"/>
      <c r="Z90" s="180"/>
      <c r="AA90" s="180"/>
      <c r="AB90" s="180"/>
      <c r="AC90" s="180"/>
      <c r="AD90" s="180"/>
      <c r="AE90" s="180"/>
      <c r="AF90" s="180"/>
      <c r="AG90" s="180"/>
      <c r="AH90" s="180"/>
    </row>
    <row r="91" spans="1:34">
      <c r="A91" s="175"/>
      <c r="B91" s="175"/>
      <c r="C91" s="175"/>
      <c r="D91" s="175"/>
      <c r="E91" s="176"/>
      <c r="F91" s="176"/>
      <c r="G91" s="176"/>
      <c r="H91" s="177"/>
      <c r="I91" s="177"/>
      <c r="J91" s="178"/>
      <c r="K91" s="177"/>
      <c r="L91" s="178"/>
      <c r="M91" s="178"/>
      <c r="N91" s="176"/>
      <c r="O91" s="179"/>
      <c r="P91" s="179"/>
      <c r="Q91" s="179"/>
      <c r="R91" s="179"/>
      <c r="S91" s="179"/>
      <c r="T91" s="179"/>
      <c r="U91" s="179"/>
      <c r="V91" s="176"/>
      <c r="W91" s="176"/>
      <c r="X91" s="180"/>
      <c r="Y91" s="180"/>
      <c r="Z91" s="180"/>
      <c r="AA91" s="180"/>
      <c r="AB91" s="180"/>
      <c r="AC91" s="180"/>
      <c r="AD91" s="180"/>
      <c r="AE91" s="180"/>
      <c r="AF91" s="180"/>
      <c r="AG91" s="180"/>
      <c r="AH91" s="180"/>
    </row>
    <row r="92" spans="1:34">
      <c r="A92" s="175"/>
      <c r="B92" s="175"/>
      <c r="C92" s="175"/>
      <c r="D92" s="175"/>
      <c r="E92" s="176"/>
      <c r="F92" s="176"/>
      <c r="G92" s="176"/>
      <c r="H92" s="177"/>
      <c r="I92" s="177"/>
      <c r="J92" s="178"/>
      <c r="K92" s="177"/>
      <c r="L92" s="178"/>
      <c r="M92" s="178"/>
      <c r="N92" s="176"/>
      <c r="O92" s="179"/>
      <c r="P92" s="179"/>
      <c r="Q92" s="179"/>
      <c r="R92" s="179"/>
      <c r="S92" s="179"/>
      <c r="T92" s="179"/>
      <c r="U92" s="179"/>
      <c r="V92" s="176"/>
      <c r="W92" s="176"/>
      <c r="X92" s="180"/>
      <c r="Y92" s="180"/>
      <c r="Z92" s="180"/>
      <c r="AA92" s="180"/>
      <c r="AB92" s="180"/>
      <c r="AC92" s="180"/>
      <c r="AD92" s="180"/>
      <c r="AE92" s="180"/>
      <c r="AF92" s="180"/>
      <c r="AG92" s="180"/>
      <c r="AH92" s="180"/>
    </row>
    <row r="93" spans="1:34">
      <c r="A93" s="175"/>
      <c r="B93" s="175"/>
      <c r="C93" s="175"/>
      <c r="D93" s="175"/>
      <c r="E93" s="176"/>
      <c r="F93" s="176"/>
      <c r="G93" s="176"/>
      <c r="H93" s="177"/>
      <c r="I93" s="177"/>
      <c r="J93" s="178"/>
      <c r="K93" s="177"/>
      <c r="L93" s="178"/>
      <c r="M93" s="178"/>
      <c r="N93" s="176"/>
      <c r="O93" s="179"/>
      <c r="P93" s="179"/>
      <c r="Q93" s="179"/>
      <c r="R93" s="179"/>
      <c r="S93" s="179"/>
      <c r="T93" s="179"/>
      <c r="U93" s="179"/>
      <c r="V93" s="176"/>
      <c r="W93" s="176"/>
      <c r="X93" s="180"/>
      <c r="Y93" s="180"/>
      <c r="Z93" s="180"/>
      <c r="AA93" s="180"/>
      <c r="AB93" s="180"/>
      <c r="AC93" s="180"/>
      <c r="AD93" s="180"/>
      <c r="AE93" s="180"/>
      <c r="AF93" s="180"/>
      <c r="AG93" s="180"/>
      <c r="AH93" s="180"/>
    </row>
    <row r="94" spans="1:34">
      <c r="A94" s="175"/>
      <c r="B94" s="175"/>
      <c r="C94" s="175"/>
      <c r="D94" s="175"/>
      <c r="E94" s="176"/>
      <c r="F94" s="176"/>
      <c r="G94" s="176"/>
      <c r="H94" s="177"/>
      <c r="I94" s="177"/>
      <c r="J94" s="178"/>
      <c r="K94" s="177"/>
      <c r="L94" s="178"/>
      <c r="M94" s="178"/>
      <c r="N94" s="176"/>
      <c r="O94" s="179"/>
      <c r="P94" s="179"/>
      <c r="Q94" s="179"/>
      <c r="R94" s="179"/>
      <c r="S94" s="179"/>
      <c r="T94" s="179"/>
      <c r="U94" s="179"/>
      <c r="V94" s="176"/>
      <c r="W94" s="176"/>
      <c r="X94" s="180"/>
      <c r="Y94" s="180"/>
      <c r="Z94" s="180"/>
      <c r="AA94" s="180"/>
      <c r="AB94" s="180"/>
      <c r="AC94" s="180"/>
      <c r="AD94" s="180"/>
      <c r="AE94" s="180"/>
      <c r="AF94" s="180"/>
      <c r="AG94" s="180"/>
      <c r="AH94" s="180"/>
    </row>
    <row r="95" spans="1:34">
      <c r="A95" s="175"/>
      <c r="B95" s="175"/>
      <c r="C95" s="175"/>
      <c r="D95" s="175"/>
      <c r="E95" s="176"/>
      <c r="F95" s="176"/>
      <c r="G95" s="176"/>
      <c r="H95" s="177"/>
      <c r="I95" s="177"/>
      <c r="J95" s="178"/>
      <c r="K95" s="177"/>
      <c r="L95" s="178"/>
      <c r="M95" s="178"/>
      <c r="N95" s="176"/>
      <c r="O95" s="179"/>
      <c r="P95" s="179"/>
      <c r="Q95" s="179"/>
      <c r="R95" s="179"/>
      <c r="S95" s="179"/>
      <c r="T95" s="179"/>
      <c r="U95" s="179"/>
      <c r="V95" s="176"/>
      <c r="W95" s="176"/>
      <c r="X95" s="180"/>
      <c r="Y95" s="180"/>
      <c r="Z95" s="180"/>
      <c r="AA95" s="180"/>
      <c r="AB95" s="180"/>
      <c r="AC95" s="180"/>
      <c r="AD95" s="180"/>
      <c r="AE95" s="180"/>
      <c r="AF95" s="180"/>
      <c r="AG95" s="180"/>
      <c r="AH95" s="180"/>
    </row>
    <row r="96" spans="1:34">
      <c r="A96" s="175"/>
      <c r="B96" s="175"/>
      <c r="C96" s="175"/>
      <c r="D96" s="175"/>
      <c r="E96" s="176"/>
      <c r="F96" s="176"/>
      <c r="G96" s="176"/>
      <c r="H96" s="177"/>
      <c r="I96" s="177"/>
      <c r="J96" s="178"/>
      <c r="K96" s="177"/>
      <c r="L96" s="178"/>
      <c r="M96" s="178"/>
      <c r="N96" s="176"/>
      <c r="O96" s="179"/>
      <c r="P96" s="179"/>
      <c r="Q96" s="179"/>
      <c r="R96" s="179"/>
      <c r="S96" s="179"/>
      <c r="T96" s="179"/>
      <c r="U96" s="179"/>
      <c r="V96" s="176"/>
      <c r="W96" s="176"/>
      <c r="X96" s="180"/>
      <c r="Y96" s="180"/>
      <c r="Z96" s="180"/>
      <c r="AA96" s="180"/>
      <c r="AB96" s="180"/>
      <c r="AC96" s="180"/>
      <c r="AD96" s="180"/>
      <c r="AE96" s="180"/>
      <c r="AF96" s="180"/>
      <c r="AG96" s="180"/>
      <c r="AH96" s="180"/>
    </row>
    <row r="97" spans="1:34">
      <c r="A97" s="175"/>
      <c r="B97" s="175"/>
      <c r="C97" s="175"/>
      <c r="D97" s="175"/>
      <c r="E97" s="176"/>
      <c r="F97" s="176"/>
      <c r="G97" s="176"/>
      <c r="H97" s="177"/>
      <c r="I97" s="177"/>
      <c r="J97" s="178"/>
      <c r="K97" s="177"/>
      <c r="L97" s="178"/>
      <c r="M97" s="178"/>
      <c r="N97" s="176"/>
      <c r="O97" s="179"/>
      <c r="P97" s="179"/>
      <c r="Q97" s="179"/>
      <c r="R97" s="179"/>
      <c r="S97" s="179"/>
      <c r="T97" s="179"/>
      <c r="U97" s="179"/>
      <c r="V97" s="176"/>
      <c r="W97" s="176"/>
      <c r="X97" s="180"/>
      <c r="Y97" s="180"/>
      <c r="Z97" s="180"/>
      <c r="AA97" s="180"/>
      <c r="AB97" s="180"/>
      <c r="AC97" s="180"/>
      <c r="AD97" s="180"/>
      <c r="AE97" s="180"/>
      <c r="AF97" s="180"/>
      <c r="AG97" s="180"/>
      <c r="AH97" s="180"/>
    </row>
    <row r="98" spans="1:34">
      <c r="A98" s="175"/>
      <c r="B98" s="175"/>
      <c r="C98" s="175"/>
      <c r="D98" s="175"/>
      <c r="E98" s="176"/>
      <c r="F98" s="176"/>
      <c r="G98" s="176"/>
      <c r="H98" s="177"/>
      <c r="I98" s="177"/>
      <c r="J98" s="178"/>
      <c r="K98" s="177"/>
      <c r="L98" s="178"/>
      <c r="M98" s="178"/>
      <c r="N98" s="176"/>
      <c r="O98" s="179"/>
      <c r="P98" s="179"/>
      <c r="Q98" s="179"/>
      <c r="R98" s="179"/>
      <c r="S98" s="179"/>
      <c r="T98" s="179"/>
      <c r="U98" s="179"/>
      <c r="V98" s="176"/>
      <c r="W98" s="176"/>
      <c r="X98" s="180"/>
      <c r="Y98" s="180"/>
      <c r="Z98" s="180"/>
      <c r="AA98" s="180"/>
      <c r="AB98" s="180"/>
      <c r="AC98" s="180"/>
      <c r="AD98" s="180"/>
      <c r="AE98" s="180"/>
      <c r="AF98" s="180"/>
      <c r="AG98" s="180"/>
      <c r="AH98" s="180"/>
    </row>
    <row r="99" spans="1:34">
      <c r="A99" s="175"/>
      <c r="B99" s="175"/>
      <c r="C99" s="175"/>
      <c r="D99" s="175"/>
      <c r="E99" s="176"/>
      <c r="F99" s="176"/>
      <c r="G99" s="176"/>
      <c r="H99" s="177"/>
      <c r="I99" s="177"/>
      <c r="J99" s="178"/>
      <c r="K99" s="177"/>
      <c r="L99" s="178"/>
      <c r="M99" s="178"/>
      <c r="N99" s="176"/>
      <c r="O99" s="179"/>
      <c r="P99" s="179"/>
      <c r="Q99" s="179"/>
      <c r="R99" s="179"/>
      <c r="S99" s="179"/>
      <c r="T99" s="179"/>
      <c r="U99" s="179"/>
      <c r="V99" s="176"/>
      <c r="W99" s="176"/>
      <c r="X99" s="180"/>
      <c r="Y99" s="180"/>
      <c r="Z99" s="180"/>
      <c r="AA99" s="180"/>
      <c r="AB99" s="180"/>
      <c r="AC99" s="180"/>
      <c r="AD99" s="180"/>
      <c r="AE99" s="180"/>
      <c r="AF99" s="180"/>
      <c r="AG99" s="180"/>
      <c r="AH99" s="180"/>
    </row>
    <row r="100" spans="1:34">
      <c r="A100" s="175"/>
      <c r="B100" s="175"/>
      <c r="C100" s="175"/>
      <c r="D100" s="175"/>
      <c r="E100" s="176"/>
      <c r="F100" s="176"/>
      <c r="G100" s="176"/>
      <c r="H100" s="177"/>
      <c r="I100" s="177"/>
      <c r="J100" s="178"/>
      <c r="K100" s="177"/>
      <c r="L100" s="178"/>
      <c r="M100" s="178"/>
      <c r="N100" s="176"/>
      <c r="O100" s="179"/>
      <c r="P100" s="179"/>
      <c r="Q100" s="179"/>
      <c r="R100" s="179"/>
      <c r="S100" s="179"/>
      <c r="T100" s="179"/>
      <c r="U100" s="179"/>
      <c r="V100" s="176"/>
      <c r="W100" s="176"/>
      <c r="X100" s="180"/>
      <c r="Y100" s="180"/>
      <c r="Z100" s="180"/>
      <c r="AA100" s="180"/>
      <c r="AB100" s="180"/>
      <c r="AC100" s="180"/>
      <c r="AD100" s="180"/>
      <c r="AE100" s="180"/>
      <c r="AF100" s="180"/>
      <c r="AG100" s="180"/>
      <c r="AH100" s="180"/>
    </row>
    <row r="101" spans="1:34">
      <c r="A101" s="175"/>
      <c r="B101" s="175"/>
      <c r="C101" s="175"/>
      <c r="D101" s="175"/>
      <c r="E101" s="176"/>
      <c r="F101" s="176"/>
      <c r="G101" s="176"/>
      <c r="H101" s="177"/>
      <c r="I101" s="177"/>
      <c r="J101" s="178"/>
      <c r="K101" s="177"/>
      <c r="L101" s="178"/>
      <c r="M101" s="178"/>
      <c r="N101" s="176"/>
      <c r="O101" s="179"/>
      <c r="P101" s="179"/>
      <c r="Q101" s="179"/>
      <c r="R101" s="179"/>
      <c r="S101" s="179"/>
      <c r="T101" s="179"/>
      <c r="U101" s="179"/>
      <c r="V101" s="176"/>
      <c r="W101" s="176"/>
      <c r="X101" s="180"/>
      <c r="Y101" s="180"/>
      <c r="Z101" s="180"/>
      <c r="AA101" s="180"/>
      <c r="AB101" s="180"/>
      <c r="AC101" s="180"/>
      <c r="AD101" s="180"/>
      <c r="AE101" s="180"/>
      <c r="AF101" s="180"/>
      <c r="AG101" s="180"/>
      <c r="AH101" s="180"/>
    </row>
    <row r="102" spans="1:34">
      <c r="A102" s="175"/>
      <c r="B102" s="175"/>
      <c r="C102" s="175"/>
      <c r="D102" s="175"/>
      <c r="E102" s="176"/>
      <c r="F102" s="176"/>
      <c r="G102" s="176"/>
      <c r="H102" s="177"/>
      <c r="I102" s="177"/>
      <c r="J102" s="178"/>
      <c r="K102" s="177"/>
      <c r="L102" s="178"/>
      <c r="M102" s="178"/>
      <c r="N102" s="176"/>
      <c r="O102" s="179"/>
      <c r="P102" s="179"/>
      <c r="Q102" s="179"/>
      <c r="R102" s="179"/>
      <c r="S102" s="179"/>
      <c r="T102" s="179"/>
      <c r="U102" s="179"/>
      <c r="V102" s="176"/>
      <c r="W102" s="176"/>
      <c r="X102" s="180"/>
      <c r="Y102" s="180"/>
      <c r="Z102" s="180"/>
      <c r="AA102" s="180"/>
      <c r="AB102" s="180"/>
      <c r="AC102" s="180"/>
      <c r="AD102" s="180"/>
      <c r="AE102" s="180"/>
      <c r="AF102" s="180"/>
      <c r="AG102" s="180"/>
      <c r="AH102" s="180"/>
    </row>
    <row r="103" spans="1:34">
      <c r="A103" s="175"/>
      <c r="B103" s="175"/>
      <c r="C103" s="175"/>
      <c r="D103" s="175"/>
      <c r="E103" s="176"/>
      <c r="F103" s="176"/>
      <c r="G103" s="176"/>
      <c r="H103" s="177"/>
      <c r="I103" s="177"/>
      <c r="J103" s="178"/>
      <c r="K103" s="177"/>
      <c r="L103" s="178"/>
      <c r="M103" s="178"/>
      <c r="N103" s="176"/>
      <c r="O103" s="179"/>
      <c r="P103" s="179"/>
      <c r="Q103" s="179"/>
      <c r="R103" s="179"/>
      <c r="S103" s="179"/>
      <c r="T103" s="179"/>
      <c r="U103" s="179"/>
      <c r="V103" s="176"/>
      <c r="W103" s="176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80"/>
      <c r="AH103" s="180"/>
    </row>
    <row r="104" spans="1:34">
      <c r="A104" s="175"/>
      <c r="B104" s="175"/>
      <c r="C104" s="175"/>
      <c r="D104" s="175"/>
      <c r="E104" s="176"/>
      <c r="F104" s="176"/>
      <c r="G104" s="176"/>
      <c r="H104" s="177"/>
      <c r="I104" s="177"/>
      <c r="J104" s="178"/>
      <c r="K104" s="177"/>
      <c r="L104" s="178"/>
      <c r="M104" s="178"/>
      <c r="N104" s="176"/>
      <c r="O104" s="179"/>
      <c r="P104" s="179"/>
      <c r="Q104" s="179"/>
      <c r="R104" s="179"/>
      <c r="S104" s="179"/>
      <c r="T104" s="179"/>
      <c r="U104" s="179"/>
      <c r="V104" s="176"/>
      <c r="W104" s="176"/>
      <c r="X104" s="180"/>
      <c r="Y104" s="180"/>
      <c r="Z104" s="180"/>
      <c r="AA104" s="180"/>
      <c r="AB104" s="180"/>
      <c r="AC104" s="180"/>
      <c r="AD104" s="180"/>
      <c r="AE104" s="180"/>
      <c r="AF104" s="180"/>
      <c r="AG104" s="180"/>
      <c r="AH104" s="180"/>
    </row>
    <row r="105" spans="1:34">
      <c r="A105" s="175"/>
      <c r="B105" s="175"/>
      <c r="C105" s="175"/>
      <c r="D105" s="175"/>
      <c r="E105" s="176"/>
      <c r="F105" s="176"/>
      <c r="G105" s="176"/>
      <c r="H105" s="177"/>
      <c r="I105" s="177"/>
      <c r="J105" s="178"/>
      <c r="K105" s="177"/>
      <c r="L105" s="178"/>
      <c r="M105" s="178"/>
      <c r="N105" s="176"/>
      <c r="O105" s="179"/>
      <c r="P105" s="179"/>
      <c r="Q105" s="179"/>
      <c r="R105" s="179"/>
      <c r="S105" s="179"/>
      <c r="T105" s="179"/>
      <c r="U105" s="179"/>
      <c r="V105" s="176"/>
      <c r="W105" s="176"/>
      <c r="X105" s="180"/>
      <c r="Y105" s="180"/>
      <c r="Z105" s="180"/>
      <c r="AA105" s="180"/>
      <c r="AB105" s="180"/>
      <c r="AC105" s="180"/>
      <c r="AD105" s="180"/>
      <c r="AE105" s="180"/>
      <c r="AF105" s="180"/>
      <c r="AG105" s="180"/>
      <c r="AH105" s="180"/>
    </row>
    <row r="106" spans="1:34">
      <c r="A106" s="175"/>
      <c r="B106" s="175"/>
      <c r="C106" s="175"/>
      <c r="D106" s="175"/>
      <c r="E106" s="176"/>
      <c r="F106" s="176"/>
      <c r="G106" s="176"/>
      <c r="H106" s="177"/>
      <c r="I106" s="177"/>
      <c r="J106" s="178"/>
      <c r="K106" s="177"/>
      <c r="L106" s="178"/>
      <c r="M106" s="178"/>
      <c r="N106" s="176"/>
      <c r="O106" s="179"/>
      <c r="P106" s="179"/>
      <c r="Q106" s="179"/>
      <c r="R106" s="179"/>
      <c r="S106" s="179"/>
      <c r="T106" s="179"/>
      <c r="U106" s="179"/>
      <c r="V106" s="176"/>
      <c r="W106" s="176"/>
      <c r="X106" s="180"/>
      <c r="Y106" s="180"/>
      <c r="Z106" s="180"/>
      <c r="AA106" s="180"/>
      <c r="AB106" s="180"/>
      <c r="AC106" s="180"/>
      <c r="AD106" s="180"/>
      <c r="AE106" s="180"/>
      <c r="AF106" s="180"/>
      <c r="AG106" s="180"/>
      <c r="AH106" s="180"/>
    </row>
    <row r="107" spans="1:34">
      <c r="A107" s="175"/>
      <c r="B107" s="175"/>
      <c r="C107" s="175"/>
      <c r="D107" s="175"/>
      <c r="E107" s="176"/>
      <c r="F107" s="176"/>
      <c r="G107" s="176"/>
      <c r="H107" s="177"/>
      <c r="I107" s="177"/>
      <c r="J107" s="178"/>
      <c r="K107" s="177"/>
      <c r="L107" s="178"/>
      <c r="M107" s="178"/>
      <c r="N107" s="176"/>
      <c r="O107" s="179"/>
      <c r="P107" s="179"/>
      <c r="Q107" s="179"/>
      <c r="R107" s="179"/>
      <c r="S107" s="179"/>
      <c r="T107" s="179"/>
      <c r="U107" s="179"/>
      <c r="V107" s="176"/>
      <c r="W107" s="176"/>
      <c r="X107" s="180"/>
      <c r="Y107" s="180"/>
      <c r="Z107" s="180"/>
      <c r="AA107" s="180"/>
      <c r="AB107" s="180"/>
      <c r="AC107" s="180"/>
      <c r="AD107" s="180"/>
      <c r="AE107" s="180"/>
      <c r="AF107" s="180"/>
      <c r="AG107" s="180"/>
      <c r="AH107" s="180"/>
    </row>
    <row r="108" spans="1:34">
      <c r="A108" s="175"/>
      <c r="B108" s="175"/>
      <c r="C108" s="175"/>
      <c r="D108" s="175"/>
      <c r="E108" s="176"/>
      <c r="F108" s="176"/>
      <c r="G108" s="176"/>
      <c r="H108" s="177"/>
      <c r="I108" s="177"/>
      <c r="J108" s="178"/>
      <c r="K108" s="177"/>
      <c r="L108" s="178"/>
      <c r="M108" s="178"/>
      <c r="N108" s="176"/>
      <c r="O108" s="179"/>
      <c r="P108" s="179"/>
      <c r="Q108" s="179"/>
      <c r="R108" s="179"/>
      <c r="S108" s="179"/>
      <c r="T108" s="179"/>
      <c r="U108" s="179"/>
      <c r="V108" s="176"/>
      <c r="W108" s="176"/>
      <c r="X108" s="180"/>
      <c r="Y108" s="180"/>
      <c r="Z108" s="180"/>
      <c r="AA108" s="180"/>
      <c r="AB108" s="180"/>
      <c r="AC108" s="180"/>
      <c r="AD108" s="180"/>
      <c r="AE108" s="180"/>
      <c r="AF108" s="180"/>
      <c r="AG108" s="180"/>
      <c r="AH108" s="180"/>
    </row>
    <row r="109" spans="1:34">
      <c r="A109" s="175"/>
      <c r="B109" s="175"/>
      <c r="C109" s="175"/>
      <c r="D109" s="175"/>
      <c r="E109" s="176"/>
      <c r="F109" s="176"/>
      <c r="G109" s="176"/>
      <c r="H109" s="177"/>
      <c r="I109" s="177"/>
      <c r="J109" s="178"/>
      <c r="K109" s="177"/>
      <c r="L109" s="178"/>
      <c r="M109" s="178"/>
      <c r="N109" s="176"/>
      <c r="O109" s="179"/>
      <c r="P109" s="179"/>
      <c r="Q109" s="179"/>
      <c r="R109" s="179"/>
      <c r="S109" s="179"/>
      <c r="T109" s="179"/>
      <c r="U109" s="179"/>
      <c r="V109" s="176"/>
      <c r="W109" s="176"/>
      <c r="X109" s="180"/>
      <c r="Y109" s="180"/>
      <c r="Z109" s="180"/>
      <c r="AA109" s="180"/>
      <c r="AB109" s="180"/>
      <c r="AC109" s="180"/>
      <c r="AD109" s="180"/>
      <c r="AE109" s="180"/>
      <c r="AF109" s="180"/>
      <c r="AG109" s="180"/>
      <c r="AH109" s="180"/>
    </row>
    <row r="110" spans="1:34">
      <c r="A110" s="175"/>
      <c r="B110" s="175"/>
      <c r="C110" s="175"/>
      <c r="D110" s="175"/>
      <c r="E110" s="176"/>
      <c r="F110" s="176"/>
      <c r="G110" s="176"/>
      <c r="H110" s="177"/>
      <c r="I110" s="177"/>
      <c r="J110" s="178"/>
      <c r="K110" s="177"/>
      <c r="L110" s="178"/>
      <c r="M110" s="178"/>
      <c r="N110" s="176"/>
      <c r="O110" s="179"/>
      <c r="P110" s="179"/>
      <c r="Q110" s="179"/>
      <c r="R110" s="179"/>
      <c r="S110" s="179"/>
      <c r="T110" s="179"/>
      <c r="U110" s="179"/>
      <c r="V110" s="176"/>
      <c r="W110" s="176"/>
      <c r="X110" s="180"/>
      <c r="Y110" s="180"/>
      <c r="Z110" s="180"/>
      <c r="AA110" s="180"/>
      <c r="AB110" s="180"/>
      <c r="AC110" s="180"/>
      <c r="AD110" s="180"/>
      <c r="AE110" s="180"/>
      <c r="AF110" s="180"/>
      <c r="AG110" s="180"/>
      <c r="AH110" s="180"/>
    </row>
    <row r="111" spans="1:34">
      <c r="A111" s="175"/>
      <c r="B111" s="175"/>
      <c r="C111" s="175"/>
      <c r="D111" s="175"/>
      <c r="E111" s="176"/>
      <c r="F111" s="176"/>
      <c r="G111" s="176"/>
      <c r="H111" s="177"/>
      <c r="I111" s="177"/>
      <c r="J111" s="178"/>
      <c r="K111" s="177"/>
      <c r="L111" s="178"/>
      <c r="M111" s="178"/>
      <c r="N111" s="176"/>
      <c r="O111" s="179"/>
      <c r="P111" s="179"/>
      <c r="Q111" s="179"/>
      <c r="R111" s="179"/>
      <c r="S111" s="179"/>
      <c r="T111" s="179"/>
      <c r="U111" s="179"/>
      <c r="V111" s="176"/>
      <c r="W111" s="176"/>
      <c r="X111" s="180"/>
      <c r="Y111" s="180"/>
      <c r="Z111" s="180"/>
      <c r="AA111" s="180"/>
      <c r="AB111" s="180"/>
      <c r="AC111" s="180"/>
      <c r="AD111" s="180"/>
      <c r="AE111" s="180"/>
      <c r="AF111" s="180"/>
      <c r="AG111" s="180"/>
      <c r="AH111" s="180"/>
    </row>
    <row r="112" spans="1:34">
      <c r="A112" s="175"/>
      <c r="B112" s="175"/>
      <c r="C112" s="175"/>
      <c r="D112" s="175"/>
      <c r="E112" s="176"/>
      <c r="F112" s="176"/>
      <c r="G112" s="176"/>
      <c r="H112" s="177"/>
      <c r="I112" s="177"/>
      <c r="J112" s="178"/>
      <c r="K112" s="177"/>
      <c r="L112" s="178"/>
      <c r="M112" s="178"/>
      <c r="N112" s="176"/>
      <c r="O112" s="179"/>
      <c r="P112" s="179"/>
      <c r="Q112" s="179"/>
      <c r="R112" s="179"/>
      <c r="S112" s="179"/>
      <c r="T112" s="179"/>
      <c r="U112" s="179"/>
      <c r="V112" s="176"/>
      <c r="W112" s="176"/>
      <c r="X112" s="180"/>
      <c r="Y112" s="180"/>
      <c r="Z112" s="180"/>
      <c r="AA112" s="180"/>
      <c r="AB112" s="180"/>
      <c r="AC112" s="180"/>
      <c r="AD112" s="180"/>
      <c r="AE112" s="180"/>
      <c r="AF112" s="180"/>
      <c r="AG112" s="180"/>
      <c r="AH112" s="180"/>
    </row>
    <row r="113" spans="1:34">
      <c r="A113" s="175"/>
      <c r="B113" s="175"/>
      <c r="C113" s="175"/>
      <c r="D113" s="175"/>
      <c r="E113" s="176"/>
      <c r="F113" s="176"/>
      <c r="G113" s="176"/>
      <c r="H113" s="177"/>
      <c r="I113" s="177"/>
      <c r="J113" s="178"/>
      <c r="K113" s="177"/>
      <c r="L113" s="178"/>
      <c r="M113" s="178"/>
      <c r="N113" s="176"/>
      <c r="O113" s="179"/>
      <c r="P113" s="179"/>
      <c r="Q113" s="179"/>
      <c r="R113" s="179"/>
      <c r="S113" s="179"/>
      <c r="T113" s="179"/>
      <c r="U113" s="179"/>
      <c r="V113" s="176"/>
      <c r="W113" s="176"/>
      <c r="X113" s="180"/>
      <c r="Y113" s="180"/>
      <c r="Z113" s="180"/>
      <c r="AA113" s="180"/>
      <c r="AB113" s="180"/>
      <c r="AC113" s="180"/>
      <c r="AD113" s="180"/>
      <c r="AE113" s="180"/>
      <c r="AF113" s="180"/>
      <c r="AG113" s="180"/>
      <c r="AH113" s="180"/>
    </row>
    <row r="114" spans="1:34">
      <c r="A114" s="175"/>
      <c r="B114" s="175"/>
      <c r="C114" s="175"/>
      <c r="D114" s="175"/>
      <c r="E114" s="176"/>
      <c r="F114" s="176"/>
      <c r="G114" s="176"/>
      <c r="H114" s="177"/>
      <c r="I114" s="177"/>
      <c r="J114" s="178"/>
      <c r="K114" s="177"/>
      <c r="L114" s="178"/>
      <c r="M114" s="178"/>
      <c r="N114" s="176"/>
      <c r="O114" s="179"/>
      <c r="P114" s="179"/>
      <c r="Q114" s="179"/>
      <c r="R114" s="179"/>
      <c r="S114" s="179"/>
      <c r="T114" s="179"/>
      <c r="U114" s="179"/>
      <c r="V114" s="176"/>
      <c r="W114" s="176"/>
      <c r="X114" s="180"/>
      <c r="Y114" s="180"/>
      <c r="Z114" s="180"/>
      <c r="AA114" s="180"/>
      <c r="AB114" s="180"/>
      <c r="AC114" s="180"/>
      <c r="AD114" s="180"/>
      <c r="AE114" s="180"/>
      <c r="AF114" s="180"/>
      <c r="AG114" s="180"/>
      <c r="AH114" s="180"/>
    </row>
    <row r="115" spans="1:34">
      <c r="A115" s="175"/>
      <c r="B115" s="175"/>
      <c r="C115" s="175"/>
      <c r="D115" s="175"/>
      <c r="E115" s="176"/>
      <c r="F115" s="176"/>
      <c r="G115" s="176"/>
      <c r="H115" s="177"/>
      <c r="I115" s="177"/>
      <c r="J115" s="178"/>
      <c r="K115" s="177"/>
      <c r="L115" s="178"/>
      <c r="M115" s="178"/>
      <c r="N115" s="176"/>
      <c r="O115" s="179"/>
      <c r="P115" s="179"/>
      <c r="Q115" s="179"/>
      <c r="R115" s="179"/>
      <c r="S115" s="179"/>
      <c r="T115" s="179"/>
      <c r="U115" s="179"/>
      <c r="V115" s="176"/>
      <c r="W115" s="176"/>
      <c r="X115" s="180"/>
      <c r="Y115" s="180"/>
      <c r="Z115" s="180"/>
      <c r="AA115" s="180"/>
      <c r="AB115" s="180"/>
      <c r="AC115" s="180"/>
      <c r="AD115" s="180"/>
      <c r="AE115" s="180"/>
      <c r="AF115" s="180"/>
      <c r="AG115" s="180"/>
      <c r="AH115" s="180"/>
    </row>
    <row r="116" spans="1:34">
      <c r="A116" s="175"/>
      <c r="B116" s="175"/>
      <c r="C116" s="175"/>
      <c r="D116" s="175"/>
      <c r="E116" s="176"/>
      <c r="F116" s="176"/>
      <c r="G116" s="176"/>
      <c r="H116" s="177"/>
      <c r="I116" s="177"/>
      <c r="J116" s="178"/>
      <c r="K116" s="177"/>
      <c r="L116" s="178"/>
      <c r="M116" s="178"/>
      <c r="N116" s="176"/>
      <c r="O116" s="179"/>
      <c r="P116" s="179"/>
      <c r="Q116" s="179"/>
      <c r="R116" s="179"/>
      <c r="S116" s="179"/>
      <c r="T116" s="179"/>
      <c r="U116" s="179"/>
      <c r="V116" s="176"/>
      <c r="W116" s="176"/>
      <c r="X116" s="180"/>
      <c r="Y116" s="180"/>
      <c r="Z116" s="180"/>
      <c r="AA116" s="180"/>
      <c r="AB116" s="180"/>
      <c r="AC116" s="180"/>
      <c r="AD116" s="180"/>
      <c r="AE116" s="180"/>
      <c r="AF116" s="180"/>
      <c r="AG116" s="180"/>
      <c r="AH116" s="180"/>
    </row>
    <row r="117" spans="1:34">
      <c r="A117" s="175"/>
      <c r="B117" s="175"/>
      <c r="C117" s="175"/>
      <c r="D117" s="175"/>
      <c r="E117" s="176"/>
      <c r="F117" s="176"/>
      <c r="G117" s="176"/>
      <c r="H117" s="177"/>
      <c r="I117" s="177"/>
      <c r="J117" s="178"/>
      <c r="K117" s="177"/>
      <c r="L117" s="178"/>
      <c r="M117" s="178"/>
      <c r="N117" s="176"/>
      <c r="O117" s="179"/>
      <c r="P117" s="179"/>
      <c r="Q117" s="179"/>
      <c r="R117" s="179"/>
      <c r="S117" s="179"/>
      <c r="T117" s="179"/>
      <c r="U117" s="179"/>
      <c r="V117" s="176"/>
      <c r="W117" s="176"/>
      <c r="X117" s="180"/>
      <c r="Y117" s="180"/>
      <c r="Z117" s="180"/>
      <c r="AA117" s="180"/>
      <c r="AB117" s="180"/>
      <c r="AC117" s="180"/>
      <c r="AD117" s="180"/>
      <c r="AE117" s="180"/>
      <c r="AF117" s="180"/>
      <c r="AG117" s="180"/>
      <c r="AH117" s="180"/>
    </row>
    <row r="118" spans="1:34">
      <c r="A118" s="175"/>
      <c r="B118" s="175"/>
      <c r="C118" s="175"/>
      <c r="D118" s="175"/>
      <c r="E118" s="176"/>
      <c r="F118" s="176"/>
      <c r="G118" s="176"/>
      <c r="H118" s="177"/>
      <c r="I118" s="177"/>
      <c r="J118" s="178"/>
      <c r="K118" s="177"/>
      <c r="L118" s="178"/>
      <c r="M118" s="178"/>
      <c r="N118" s="176"/>
      <c r="O118" s="179"/>
      <c r="P118" s="179"/>
      <c r="Q118" s="179"/>
      <c r="R118" s="179"/>
      <c r="S118" s="179"/>
      <c r="T118" s="179"/>
      <c r="U118" s="179"/>
      <c r="V118" s="176"/>
      <c r="W118" s="176"/>
      <c r="X118" s="180"/>
      <c r="Y118" s="180"/>
      <c r="Z118" s="180"/>
      <c r="AA118" s="180"/>
      <c r="AB118" s="180"/>
      <c r="AC118" s="180"/>
      <c r="AD118" s="180"/>
      <c r="AE118" s="180"/>
      <c r="AF118" s="180"/>
      <c r="AG118" s="180"/>
      <c r="AH118" s="180"/>
    </row>
    <row r="119" spans="1:34">
      <c r="A119" s="175"/>
      <c r="B119" s="175"/>
      <c r="C119" s="175"/>
      <c r="D119" s="175"/>
      <c r="E119" s="176"/>
      <c r="F119" s="176"/>
      <c r="G119" s="176"/>
      <c r="H119" s="177"/>
      <c r="I119" s="177"/>
      <c r="J119" s="178"/>
      <c r="K119" s="177"/>
      <c r="L119" s="178"/>
      <c r="M119" s="178"/>
      <c r="N119" s="176"/>
      <c r="O119" s="179"/>
      <c r="P119" s="179"/>
      <c r="Q119" s="179"/>
      <c r="R119" s="179"/>
      <c r="S119" s="179"/>
      <c r="T119" s="179"/>
      <c r="U119" s="179"/>
      <c r="V119" s="176"/>
      <c r="W119" s="176"/>
      <c r="X119" s="180"/>
      <c r="Y119" s="180"/>
      <c r="Z119" s="180"/>
      <c r="AA119" s="180"/>
      <c r="AB119" s="180"/>
      <c r="AC119" s="180"/>
      <c r="AD119" s="180"/>
      <c r="AE119" s="180"/>
      <c r="AF119" s="180"/>
      <c r="AG119" s="180"/>
      <c r="AH119" s="180"/>
    </row>
    <row r="120" spans="1:34">
      <c r="A120" s="175"/>
      <c r="B120" s="175"/>
      <c r="C120" s="175"/>
      <c r="D120" s="175"/>
      <c r="E120" s="176"/>
      <c r="F120" s="176"/>
      <c r="G120" s="176"/>
      <c r="H120" s="177"/>
      <c r="I120" s="177"/>
      <c r="J120" s="178"/>
      <c r="K120" s="177"/>
      <c r="L120" s="178"/>
      <c r="M120" s="178"/>
      <c r="N120" s="176"/>
      <c r="O120" s="179"/>
      <c r="P120" s="179"/>
      <c r="Q120" s="179"/>
      <c r="R120" s="179"/>
      <c r="S120" s="179"/>
      <c r="T120" s="179"/>
      <c r="U120" s="179"/>
      <c r="V120" s="176"/>
      <c r="W120" s="176"/>
      <c r="X120" s="180"/>
      <c r="Y120" s="180"/>
      <c r="Z120" s="180"/>
      <c r="AA120" s="180"/>
      <c r="AB120" s="180"/>
      <c r="AC120" s="180"/>
      <c r="AD120" s="180"/>
      <c r="AE120" s="180"/>
      <c r="AF120" s="180"/>
      <c r="AG120" s="180"/>
      <c r="AH120" s="180"/>
    </row>
    <row r="121" spans="1:34">
      <c r="A121" s="175"/>
      <c r="B121" s="175"/>
      <c r="C121" s="175"/>
      <c r="D121" s="175"/>
      <c r="E121" s="176"/>
      <c r="F121" s="176"/>
      <c r="G121" s="176"/>
      <c r="H121" s="177"/>
      <c r="I121" s="177"/>
      <c r="J121" s="178"/>
      <c r="K121" s="177"/>
      <c r="L121" s="178"/>
      <c r="M121" s="178"/>
      <c r="N121" s="176"/>
      <c r="O121" s="179"/>
      <c r="P121" s="179"/>
      <c r="Q121" s="179"/>
      <c r="R121" s="179"/>
      <c r="S121" s="179"/>
      <c r="T121" s="179"/>
      <c r="U121" s="179"/>
      <c r="V121" s="176"/>
      <c r="W121" s="176"/>
      <c r="X121" s="180"/>
      <c r="Y121" s="180"/>
      <c r="Z121" s="180"/>
      <c r="AA121" s="180"/>
      <c r="AB121" s="180"/>
      <c r="AC121" s="180"/>
      <c r="AD121" s="180"/>
      <c r="AE121" s="180"/>
      <c r="AF121" s="180"/>
      <c r="AG121" s="180"/>
      <c r="AH121" s="180"/>
    </row>
    <row r="122" spans="1:34">
      <c r="A122" s="175"/>
      <c r="B122" s="175"/>
      <c r="C122" s="175"/>
      <c r="D122" s="175"/>
      <c r="E122" s="176"/>
      <c r="F122" s="176"/>
      <c r="G122" s="176"/>
      <c r="H122" s="177"/>
      <c r="I122" s="177"/>
      <c r="J122" s="178"/>
      <c r="K122" s="177"/>
      <c r="L122" s="178"/>
      <c r="M122" s="178"/>
      <c r="N122" s="176"/>
      <c r="O122" s="179"/>
      <c r="P122" s="179"/>
      <c r="Q122" s="179"/>
      <c r="R122" s="179"/>
      <c r="S122" s="179"/>
      <c r="T122" s="179"/>
      <c r="U122" s="179"/>
      <c r="V122" s="176"/>
      <c r="W122" s="176"/>
      <c r="X122" s="180"/>
      <c r="Y122" s="180"/>
      <c r="Z122" s="180"/>
      <c r="AA122" s="180"/>
      <c r="AB122" s="180"/>
      <c r="AC122" s="180"/>
      <c r="AD122" s="180"/>
      <c r="AE122" s="180"/>
      <c r="AF122" s="180"/>
      <c r="AG122" s="180"/>
      <c r="AH122" s="180"/>
    </row>
    <row r="123" spans="1:34">
      <c r="A123" s="175"/>
      <c r="B123" s="175"/>
      <c r="C123" s="175"/>
      <c r="D123" s="175"/>
      <c r="E123" s="176"/>
      <c r="F123" s="176"/>
      <c r="G123" s="176"/>
      <c r="H123" s="177"/>
      <c r="I123" s="177"/>
      <c r="J123" s="178"/>
      <c r="K123" s="177"/>
      <c r="L123" s="178"/>
      <c r="M123" s="178"/>
      <c r="N123" s="176"/>
      <c r="O123" s="179"/>
      <c r="P123" s="179"/>
      <c r="Q123" s="179"/>
      <c r="R123" s="179"/>
      <c r="S123" s="179"/>
      <c r="T123" s="179"/>
      <c r="U123" s="179"/>
      <c r="V123" s="176"/>
      <c r="W123" s="176"/>
      <c r="X123" s="180"/>
      <c r="Y123" s="180"/>
      <c r="Z123" s="180"/>
      <c r="AA123" s="180"/>
      <c r="AB123" s="180"/>
      <c r="AC123" s="180"/>
      <c r="AD123" s="180"/>
      <c r="AE123" s="180"/>
      <c r="AF123" s="180"/>
      <c r="AG123" s="180"/>
      <c r="AH123" s="180"/>
    </row>
    <row r="124" spans="1:34">
      <c r="A124" s="175"/>
      <c r="B124" s="175"/>
      <c r="C124" s="175"/>
      <c r="D124" s="175"/>
      <c r="E124" s="176"/>
      <c r="F124" s="176"/>
      <c r="G124" s="176"/>
      <c r="H124" s="177"/>
      <c r="I124" s="177"/>
      <c r="J124" s="178"/>
      <c r="K124" s="177"/>
      <c r="L124" s="178"/>
      <c r="M124" s="178"/>
      <c r="N124" s="176"/>
      <c r="O124" s="179"/>
      <c r="P124" s="179"/>
      <c r="Q124" s="179"/>
      <c r="R124" s="179"/>
      <c r="S124" s="179"/>
      <c r="T124" s="179"/>
      <c r="U124" s="179"/>
      <c r="V124" s="176"/>
      <c r="W124" s="176"/>
      <c r="X124" s="180"/>
      <c r="Y124" s="180"/>
      <c r="Z124" s="180"/>
      <c r="AA124" s="180"/>
      <c r="AB124" s="180"/>
      <c r="AC124" s="180"/>
      <c r="AD124" s="180"/>
      <c r="AE124" s="180"/>
      <c r="AF124" s="180"/>
      <c r="AG124" s="180"/>
      <c r="AH124" s="180"/>
    </row>
    <row r="125" spans="1:34">
      <c r="A125" s="175"/>
      <c r="B125" s="175"/>
      <c r="C125" s="175"/>
      <c r="D125" s="175"/>
      <c r="E125" s="176"/>
      <c r="F125" s="176"/>
      <c r="G125" s="176"/>
      <c r="H125" s="177"/>
      <c r="I125" s="177"/>
      <c r="J125" s="178"/>
      <c r="K125" s="177"/>
      <c r="L125" s="178"/>
      <c r="M125" s="178"/>
      <c r="N125" s="176"/>
      <c r="O125" s="179"/>
      <c r="P125" s="179"/>
      <c r="Q125" s="179"/>
      <c r="R125" s="179"/>
      <c r="S125" s="179"/>
      <c r="T125" s="179"/>
      <c r="U125" s="179"/>
      <c r="V125" s="176"/>
      <c r="W125" s="176"/>
      <c r="X125" s="180"/>
      <c r="Y125" s="180"/>
      <c r="Z125" s="180"/>
      <c r="AA125" s="180"/>
      <c r="AB125" s="180"/>
      <c r="AC125" s="180"/>
      <c r="AD125" s="180"/>
      <c r="AE125" s="180"/>
      <c r="AF125" s="180"/>
      <c r="AG125" s="180"/>
      <c r="AH125" s="180"/>
    </row>
    <row r="126" spans="1:34">
      <c r="A126" s="175"/>
      <c r="B126" s="175"/>
      <c r="C126" s="175"/>
      <c r="D126" s="175"/>
      <c r="E126" s="176"/>
      <c r="F126" s="176"/>
      <c r="G126" s="176"/>
      <c r="H126" s="177"/>
      <c r="I126" s="177"/>
      <c r="J126" s="178"/>
      <c r="K126" s="177"/>
      <c r="L126" s="178"/>
      <c r="M126" s="178"/>
      <c r="N126" s="176"/>
      <c r="O126" s="179"/>
      <c r="P126" s="179"/>
      <c r="Q126" s="179"/>
      <c r="R126" s="179"/>
      <c r="S126" s="179"/>
      <c r="T126" s="179"/>
      <c r="U126" s="179"/>
      <c r="V126" s="176"/>
      <c r="W126" s="176"/>
      <c r="X126" s="180"/>
      <c r="Y126" s="180"/>
      <c r="Z126" s="180"/>
      <c r="AA126" s="180"/>
      <c r="AB126" s="180"/>
      <c r="AC126" s="180"/>
      <c r="AD126" s="180"/>
      <c r="AE126" s="180"/>
      <c r="AF126" s="180"/>
      <c r="AG126" s="180"/>
      <c r="AH126" s="180"/>
    </row>
    <row r="127" spans="1:34">
      <c r="A127" s="175"/>
      <c r="B127" s="175"/>
      <c r="C127" s="175"/>
      <c r="D127" s="175"/>
      <c r="E127" s="176"/>
      <c r="F127" s="176"/>
      <c r="G127" s="176"/>
      <c r="H127" s="177"/>
      <c r="I127" s="177"/>
      <c r="J127" s="178"/>
      <c r="K127" s="177"/>
      <c r="L127" s="178"/>
      <c r="M127" s="178"/>
      <c r="N127" s="176"/>
      <c r="O127" s="179"/>
      <c r="P127" s="179"/>
      <c r="Q127" s="179"/>
      <c r="R127" s="179"/>
      <c r="S127" s="179"/>
      <c r="T127" s="179"/>
      <c r="U127" s="179"/>
      <c r="V127" s="176"/>
      <c r="W127" s="176"/>
      <c r="X127" s="180"/>
      <c r="Y127" s="180"/>
      <c r="Z127" s="180"/>
      <c r="AA127" s="180"/>
      <c r="AB127" s="180"/>
      <c r="AC127" s="180"/>
      <c r="AD127" s="180"/>
      <c r="AE127" s="180"/>
      <c r="AF127" s="180"/>
      <c r="AG127" s="180"/>
      <c r="AH127" s="180"/>
    </row>
    <row r="128" spans="1:34">
      <c r="A128" s="175"/>
      <c r="B128" s="175"/>
      <c r="C128" s="175"/>
      <c r="D128" s="175"/>
      <c r="E128" s="176"/>
      <c r="F128" s="176"/>
      <c r="G128" s="176"/>
      <c r="H128" s="177"/>
      <c r="I128" s="177"/>
      <c r="J128" s="178"/>
      <c r="K128" s="177"/>
      <c r="L128" s="178"/>
      <c r="M128" s="178"/>
      <c r="N128" s="176"/>
      <c r="O128" s="179"/>
      <c r="P128" s="179"/>
      <c r="Q128" s="179"/>
      <c r="R128" s="179"/>
      <c r="S128" s="179"/>
      <c r="T128" s="179"/>
      <c r="U128" s="179"/>
      <c r="V128" s="176"/>
      <c r="W128" s="176"/>
      <c r="X128" s="180"/>
      <c r="Y128" s="180"/>
      <c r="Z128" s="180"/>
      <c r="AA128" s="180"/>
      <c r="AB128" s="180"/>
      <c r="AC128" s="180"/>
      <c r="AD128" s="180"/>
      <c r="AE128" s="180"/>
      <c r="AF128" s="180"/>
      <c r="AG128" s="180"/>
      <c r="AH128" s="180"/>
    </row>
    <row r="129" spans="1:34">
      <c r="A129" s="175"/>
      <c r="B129" s="175"/>
      <c r="C129" s="175"/>
      <c r="D129" s="175"/>
      <c r="E129" s="176"/>
      <c r="F129" s="176"/>
      <c r="G129" s="176"/>
      <c r="H129" s="177"/>
      <c r="I129" s="177"/>
      <c r="J129" s="178"/>
      <c r="K129" s="177"/>
      <c r="L129" s="178"/>
      <c r="M129" s="178"/>
      <c r="N129" s="176"/>
      <c r="O129" s="179"/>
      <c r="P129" s="179"/>
      <c r="Q129" s="179"/>
      <c r="R129" s="179"/>
      <c r="S129" s="179"/>
      <c r="T129" s="179"/>
      <c r="U129" s="179"/>
      <c r="V129" s="176"/>
      <c r="W129" s="176"/>
      <c r="X129" s="180"/>
      <c r="Y129" s="180"/>
      <c r="Z129" s="180"/>
      <c r="AA129" s="180"/>
      <c r="AB129" s="180"/>
      <c r="AC129" s="180"/>
      <c r="AD129" s="180"/>
      <c r="AE129" s="180"/>
      <c r="AF129" s="180"/>
      <c r="AG129" s="180"/>
      <c r="AH129" s="180"/>
    </row>
    <row r="130" spans="1:34">
      <c r="A130" s="175"/>
      <c r="B130" s="175"/>
      <c r="C130" s="175"/>
      <c r="D130" s="175"/>
      <c r="E130" s="176"/>
      <c r="F130" s="176"/>
      <c r="G130" s="176"/>
      <c r="H130" s="177"/>
      <c r="I130" s="177"/>
      <c r="J130" s="178"/>
      <c r="K130" s="177"/>
      <c r="L130" s="178"/>
      <c r="M130" s="178"/>
      <c r="N130" s="176"/>
      <c r="O130" s="179"/>
      <c r="P130" s="179"/>
      <c r="Q130" s="179"/>
      <c r="R130" s="179"/>
      <c r="S130" s="179"/>
      <c r="T130" s="179"/>
      <c r="U130" s="179"/>
      <c r="V130" s="176"/>
      <c r="W130" s="176"/>
      <c r="X130" s="180"/>
      <c r="Y130" s="180"/>
      <c r="Z130" s="180"/>
      <c r="AA130" s="180"/>
      <c r="AB130" s="180"/>
      <c r="AC130" s="180"/>
      <c r="AD130" s="180"/>
      <c r="AE130" s="180"/>
      <c r="AF130" s="180"/>
      <c r="AG130" s="180"/>
      <c r="AH130" s="180"/>
    </row>
    <row r="131" spans="1:34">
      <c r="A131" s="175"/>
      <c r="B131" s="175"/>
      <c r="C131" s="175"/>
      <c r="D131" s="175"/>
      <c r="E131" s="176"/>
      <c r="F131" s="176"/>
      <c r="G131" s="176"/>
      <c r="H131" s="177"/>
      <c r="I131" s="177"/>
      <c r="J131" s="178"/>
      <c r="K131" s="177"/>
      <c r="L131" s="178"/>
      <c r="M131" s="178"/>
      <c r="N131" s="176"/>
      <c r="O131" s="179"/>
      <c r="P131" s="179"/>
      <c r="Q131" s="179"/>
      <c r="R131" s="179"/>
      <c r="S131" s="179"/>
      <c r="T131" s="179"/>
      <c r="U131" s="179"/>
      <c r="V131" s="176"/>
      <c r="W131" s="176"/>
      <c r="X131" s="180"/>
      <c r="Y131" s="180"/>
      <c r="Z131" s="180"/>
      <c r="AA131" s="180"/>
      <c r="AB131" s="180"/>
      <c r="AC131" s="180"/>
      <c r="AD131" s="180"/>
      <c r="AE131" s="180"/>
      <c r="AF131" s="180"/>
      <c r="AG131" s="180"/>
      <c r="AH131" s="180"/>
    </row>
    <row r="132" spans="1:34">
      <c r="A132" s="175"/>
      <c r="B132" s="175"/>
      <c r="C132" s="175"/>
      <c r="D132" s="175"/>
      <c r="E132" s="176"/>
      <c r="F132" s="176"/>
      <c r="G132" s="176"/>
      <c r="H132" s="177"/>
      <c r="I132" s="177"/>
      <c r="J132" s="178"/>
      <c r="K132" s="177"/>
      <c r="L132" s="178"/>
      <c r="M132" s="178"/>
      <c r="N132" s="176"/>
      <c r="O132" s="179"/>
      <c r="P132" s="179"/>
      <c r="Q132" s="179"/>
      <c r="R132" s="179"/>
      <c r="S132" s="179"/>
      <c r="T132" s="179"/>
      <c r="U132" s="179"/>
      <c r="V132" s="176"/>
      <c r="W132" s="176"/>
      <c r="X132" s="180"/>
      <c r="Y132" s="180"/>
      <c r="Z132" s="180"/>
      <c r="AA132" s="180"/>
      <c r="AB132" s="180"/>
      <c r="AC132" s="180"/>
      <c r="AD132" s="180"/>
      <c r="AE132" s="180"/>
      <c r="AF132" s="180"/>
      <c r="AG132" s="180"/>
      <c r="AH132" s="180"/>
    </row>
    <row r="133" spans="1:34">
      <c r="A133" s="175"/>
      <c r="B133" s="175"/>
      <c r="C133" s="175"/>
      <c r="D133" s="175"/>
      <c r="E133" s="176"/>
      <c r="F133" s="176"/>
      <c r="G133" s="176"/>
      <c r="H133" s="177"/>
      <c r="I133" s="177"/>
      <c r="J133" s="178"/>
      <c r="K133" s="177"/>
      <c r="L133" s="178"/>
      <c r="M133" s="178"/>
      <c r="N133" s="176"/>
      <c r="O133" s="179"/>
      <c r="P133" s="179"/>
      <c r="Q133" s="179"/>
      <c r="R133" s="179"/>
      <c r="S133" s="179"/>
      <c r="T133" s="179"/>
      <c r="U133" s="179"/>
      <c r="V133" s="176"/>
      <c r="W133" s="176"/>
      <c r="X133" s="180"/>
      <c r="Y133" s="180"/>
      <c r="Z133" s="180"/>
      <c r="AA133" s="180"/>
      <c r="AB133" s="180"/>
      <c r="AC133" s="180"/>
      <c r="AD133" s="180"/>
      <c r="AE133" s="180"/>
      <c r="AF133" s="180"/>
      <c r="AG133" s="180"/>
      <c r="AH133" s="180"/>
    </row>
    <row r="134" spans="1:34">
      <c r="A134" s="175"/>
      <c r="B134" s="175"/>
      <c r="C134" s="175"/>
      <c r="D134" s="175"/>
      <c r="E134" s="176"/>
      <c r="F134" s="176"/>
      <c r="G134" s="176"/>
      <c r="H134" s="177"/>
      <c r="I134" s="177"/>
      <c r="J134" s="178"/>
      <c r="K134" s="177"/>
      <c r="L134" s="178"/>
      <c r="M134" s="178"/>
      <c r="N134" s="176"/>
      <c r="O134" s="179"/>
      <c r="P134" s="179"/>
      <c r="Q134" s="179"/>
      <c r="R134" s="179"/>
      <c r="S134" s="179"/>
      <c r="T134" s="179"/>
      <c r="U134" s="179"/>
      <c r="V134" s="176"/>
      <c r="W134" s="176"/>
      <c r="X134" s="180"/>
      <c r="Y134" s="180"/>
      <c r="Z134" s="180"/>
      <c r="AA134" s="180"/>
      <c r="AB134" s="180"/>
      <c r="AC134" s="180"/>
      <c r="AD134" s="180"/>
      <c r="AE134" s="180"/>
      <c r="AF134" s="180"/>
      <c r="AG134" s="180"/>
      <c r="AH134" s="180"/>
    </row>
    <row r="135" spans="1:34">
      <c r="A135" s="175"/>
      <c r="B135" s="175"/>
      <c r="C135" s="175"/>
      <c r="D135" s="175"/>
      <c r="E135" s="176"/>
      <c r="F135" s="176"/>
      <c r="G135" s="176"/>
      <c r="H135" s="177"/>
      <c r="I135" s="177"/>
      <c r="J135" s="178"/>
      <c r="K135" s="177"/>
      <c r="L135" s="178"/>
      <c r="M135" s="178"/>
      <c r="N135" s="176"/>
      <c r="O135" s="179"/>
      <c r="P135" s="179"/>
      <c r="Q135" s="179"/>
      <c r="R135" s="179"/>
      <c r="S135" s="179"/>
      <c r="T135" s="179"/>
      <c r="U135" s="179"/>
      <c r="V135" s="176"/>
      <c r="W135" s="176"/>
      <c r="X135" s="180"/>
      <c r="Y135" s="180"/>
      <c r="Z135" s="180"/>
      <c r="AA135" s="180"/>
      <c r="AB135" s="180"/>
      <c r="AC135" s="180"/>
      <c r="AD135" s="180"/>
      <c r="AE135" s="180"/>
      <c r="AF135" s="180"/>
      <c r="AG135" s="180"/>
      <c r="AH135" s="180"/>
    </row>
    <row r="136" spans="1:34">
      <c r="A136" s="175"/>
      <c r="B136" s="175"/>
      <c r="C136" s="175"/>
      <c r="D136" s="175"/>
      <c r="E136" s="176"/>
      <c r="F136" s="176"/>
      <c r="G136" s="176"/>
      <c r="H136" s="177"/>
      <c r="I136" s="177"/>
      <c r="J136" s="178"/>
      <c r="K136" s="177"/>
      <c r="L136" s="178"/>
      <c r="M136" s="178"/>
      <c r="N136" s="176"/>
      <c r="O136" s="179"/>
      <c r="P136" s="179"/>
      <c r="Q136" s="179"/>
      <c r="R136" s="179"/>
      <c r="S136" s="179"/>
      <c r="T136" s="179"/>
      <c r="U136" s="179"/>
      <c r="V136" s="176"/>
      <c r="W136" s="176"/>
      <c r="X136" s="180"/>
      <c r="Y136" s="180"/>
      <c r="Z136" s="180"/>
      <c r="AA136" s="180"/>
      <c r="AB136" s="180"/>
      <c r="AC136" s="180"/>
      <c r="AD136" s="180"/>
      <c r="AE136" s="180"/>
      <c r="AF136" s="180"/>
      <c r="AG136" s="180"/>
      <c r="AH136" s="180"/>
    </row>
    <row r="137" spans="1:34">
      <c r="A137" s="175"/>
      <c r="B137" s="175"/>
      <c r="C137" s="175"/>
      <c r="D137" s="175"/>
      <c r="E137" s="176"/>
      <c r="F137" s="176"/>
      <c r="G137" s="176"/>
      <c r="H137" s="177"/>
      <c r="I137" s="177"/>
      <c r="J137" s="178"/>
      <c r="K137" s="177"/>
      <c r="L137" s="178"/>
      <c r="M137" s="178"/>
      <c r="N137" s="176"/>
      <c r="O137" s="179"/>
      <c r="P137" s="179"/>
      <c r="Q137" s="179"/>
      <c r="R137" s="179"/>
      <c r="S137" s="179"/>
      <c r="T137" s="179"/>
      <c r="U137" s="179"/>
      <c r="V137" s="176"/>
      <c r="W137" s="176"/>
      <c r="X137" s="180"/>
      <c r="Y137" s="180"/>
      <c r="Z137" s="180"/>
      <c r="AA137" s="180"/>
      <c r="AB137" s="180"/>
      <c r="AC137" s="180"/>
      <c r="AD137" s="180"/>
      <c r="AE137" s="180"/>
      <c r="AF137" s="180"/>
      <c r="AG137" s="180"/>
      <c r="AH137" s="180"/>
    </row>
    <row r="138" spans="1:34">
      <c r="A138" s="175"/>
      <c r="B138" s="175"/>
      <c r="C138" s="175"/>
      <c r="D138" s="175"/>
      <c r="E138" s="176"/>
      <c r="F138" s="176"/>
      <c r="G138" s="176"/>
      <c r="H138" s="177"/>
      <c r="I138" s="177"/>
      <c r="J138" s="178"/>
      <c r="K138" s="177"/>
      <c r="L138" s="178"/>
      <c r="M138" s="178"/>
      <c r="N138" s="176"/>
      <c r="O138" s="179"/>
      <c r="P138" s="179"/>
      <c r="Q138" s="179"/>
      <c r="R138" s="179"/>
      <c r="S138" s="179"/>
      <c r="T138" s="179"/>
      <c r="U138" s="179"/>
      <c r="V138" s="176"/>
      <c r="W138" s="176"/>
      <c r="X138" s="180"/>
      <c r="Y138" s="180"/>
      <c r="Z138" s="180"/>
      <c r="AA138" s="180"/>
      <c r="AB138" s="180"/>
      <c r="AC138" s="180"/>
      <c r="AD138" s="180"/>
      <c r="AE138" s="180"/>
      <c r="AF138" s="180"/>
      <c r="AG138" s="180"/>
      <c r="AH138" s="180"/>
    </row>
    <row r="139" spans="1:34">
      <c r="A139" s="175"/>
      <c r="B139" s="175"/>
      <c r="C139" s="175"/>
      <c r="D139" s="175"/>
      <c r="E139" s="176"/>
      <c r="F139" s="176"/>
      <c r="G139" s="176"/>
      <c r="H139" s="177"/>
      <c r="I139" s="177"/>
      <c r="J139" s="178"/>
      <c r="K139" s="177"/>
      <c r="L139" s="178"/>
      <c r="M139" s="178"/>
      <c r="N139" s="176"/>
      <c r="O139" s="179"/>
      <c r="P139" s="179"/>
      <c r="Q139" s="179"/>
      <c r="R139" s="179"/>
      <c r="S139" s="179"/>
      <c r="T139" s="179"/>
      <c r="U139" s="179"/>
      <c r="V139" s="176"/>
      <c r="W139" s="176"/>
      <c r="X139" s="180"/>
      <c r="Y139" s="180"/>
      <c r="Z139" s="180"/>
      <c r="AA139" s="180"/>
      <c r="AB139" s="180"/>
      <c r="AC139" s="180"/>
      <c r="AD139" s="180"/>
      <c r="AE139" s="180"/>
      <c r="AF139" s="180"/>
      <c r="AG139" s="180"/>
      <c r="AH139" s="180"/>
    </row>
    <row r="140" spans="1:34">
      <c r="A140" s="175"/>
      <c r="B140" s="175"/>
      <c r="C140" s="175"/>
      <c r="D140" s="175"/>
      <c r="E140" s="176"/>
      <c r="F140" s="176"/>
      <c r="G140" s="176"/>
      <c r="H140" s="177"/>
      <c r="I140" s="177"/>
      <c r="J140" s="178"/>
      <c r="K140" s="177"/>
      <c r="L140" s="178"/>
      <c r="M140" s="178"/>
      <c r="N140" s="176"/>
      <c r="O140" s="179"/>
      <c r="P140" s="179"/>
      <c r="Q140" s="179"/>
      <c r="R140" s="179"/>
      <c r="S140" s="179"/>
      <c r="T140" s="179"/>
      <c r="U140" s="179"/>
      <c r="V140" s="176"/>
      <c r="W140" s="176"/>
      <c r="X140" s="180"/>
      <c r="Y140" s="180"/>
      <c r="Z140" s="180"/>
      <c r="AA140" s="180"/>
      <c r="AB140" s="180"/>
      <c r="AC140" s="180"/>
      <c r="AD140" s="180"/>
      <c r="AE140" s="180"/>
      <c r="AF140" s="180"/>
      <c r="AG140" s="180"/>
      <c r="AH140" s="180"/>
    </row>
    <row r="141" spans="1:34">
      <c r="A141" s="175"/>
      <c r="B141" s="175"/>
      <c r="C141" s="175"/>
      <c r="D141" s="175"/>
      <c r="E141" s="176"/>
      <c r="F141" s="176"/>
      <c r="G141" s="176"/>
      <c r="H141" s="177"/>
      <c r="I141" s="177"/>
      <c r="J141" s="178"/>
      <c r="K141" s="177"/>
      <c r="L141" s="178"/>
      <c r="M141" s="178"/>
      <c r="N141" s="176"/>
      <c r="O141" s="179"/>
      <c r="P141" s="179"/>
      <c r="Q141" s="179"/>
      <c r="R141" s="179"/>
      <c r="S141" s="179"/>
      <c r="T141" s="179"/>
      <c r="U141" s="179"/>
      <c r="V141" s="176"/>
      <c r="W141" s="176"/>
      <c r="X141" s="180"/>
      <c r="Y141" s="180"/>
      <c r="Z141" s="180"/>
      <c r="AA141" s="180"/>
      <c r="AB141" s="180"/>
      <c r="AC141" s="180"/>
      <c r="AD141" s="180"/>
      <c r="AE141" s="180"/>
      <c r="AF141" s="180"/>
      <c r="AG141" s="180"/>
      <c r="AH141" s="180"/>
    </row>
    <row r="142" spans="1:34">
      <c r="A142" s="175"/>
      <c r="B142" s="175"/>
      <c r="C142" s="175"/>
      <c r="D142" s="175"/>
      <c r="E142" s="176"/>
      <c r="F142" s="176"/>
      <c r="G142" s="176"/>
      <c r="H142" s="177"/>
      <c r="I142" s="177"/>
      <c r="J142" s="178"/>
      <c r="K142" s="177"/>
      <c r="L142" s="178"/>
      <c r="M142" s="178"/>
      <c r="N142" s="176"/>
      <c r="O142" s="179"/>
      <c r="P142" s="179"/>
      <c r="Q142" s="179"/>
      <c r="R142" s="179"/>
      <c r="S142" s="179"/>
      <c r="T142" s="179"/>
      <c r="U142" s="179"/>
      <c r="V142" s="176"/>
      <c r="W142" s="176"/>
      <c r="X142" s="180"/>
      <c r="Y142" s="180"/>
      <c r="Z142" s="180"/>
      <c r="AA142" s="180"/>
      <c r="AB142" s="180"/>
      <c r="AC142" s="180"/>
      <c r="AD142" s="180"/>
      <c r="AE142" s="180"/>
      <c r="AF142" s="180"/>
      <c r="AG142" s="180"/>
      <c r="AH142" s="180"/>
    </row>
    <row r="143" spans="1:34">
      <c r="A143" s="175"/>
      <c r="B143" s="175"/>
      <c r="C143" s="175"/>
      <c r="D143" s="175"/>
      <c r="E143" s="176"/>
      <c r="F143" s="176"/>
      <c r="G143" s="176"/>
      <c r="H143" s="177"/>
      <c r="I143" s="177"/>
      <c r="J143" s="178"/>
      <c r="K143" s="177"/>
      <c r="L143" s="178"/>
      <c r="M143" s="178"/>
      <c r="N143" s="176"/>
      <c r="O143" s="179"/>
      <c r="P143" s="179"/>
      <c r="Q143" s="179"/>
      <c r="R143" s="179"/>
      <c r="S143" s="179"/>
      <c r="T143" s="179"/>
      <c r="U143" s="179"/>
      <c r="V143" s="176"/>
      <c r="W143" s="176"/>
      <c r="X143" s="180"/>
      <c r="Y143" s="180"/>
      <c r="Z143" s="180"/>
      <c r="AA143" s="180"/>
      <c r="AB143" s="180"/>
      <c r="AC143" s="180"/>
      <c r="AD143" s="180"/>
      <c r="AE143" s="180"/>
      <c r="AF143" s="180"/>
      <c r="AG143" s="180"/>
      <c r="AH143" s="180"/>
    </row>
    <row r="144" spans="1:34">
      <c r="A144" s="175"/>
      <c r="B144" s="175"/>
      <c r="C144" s="175"/>
      <c r="D144" s="175"/>
      <c r="E144" s="176"/>
      <c r="F144" s="176"/>
      <c r="G144" s="176"/>
      <c r="H144" s="177"/>
      <c r="I144" s="177"/>
      <c r="J144" s="178"/>
      <c r="K144" s="177"/>
      <c r="L144" s="178"/>
      <c r="M144" s="178"/>
      <c r="N144" s="176"/>
      <c r="O144" s="179"/>
      <c r="P144" s="179"/>
      <c r="Q144" s="179"/>
      <c r="R144" s="179"/>
      <c r="S144" s="179"/>
      <c r="T144" s="179"/>
      <c r="U144" s="179"/>
      <c r="V144" s="176"/>
      <c r="W144" s="176"/>
      <c r="X144" s="180"/>
      <c r="Y144" s="180"/>
      <c r="Z144" s="180"/>
      <c r="AA144" s="180"/>
      <c r="AB144" s="180"/>
      <c r="AC144" s="180"/>
      <c r="AD144" s="180"/>
      <c r="AE144" s="180"/>
      <c r="AF144" s="180"/>
      <c r="AG144" s="180"/>
      <c r="AH144" s="180"/>
    </row>
    <row r="145" spans="1:34">
      <c r="A145" s="175"/>
      <c r="B145" s="175"/>
      <c r="C145" s="175"/>
      <c r="D145" s="175"/>
      <c r="E145" s="176"/>
      <c r="F145" s="176"/>
      <c r="G145" s="176"/>
      <c r="H145" s="177"/>
      <c r="I145" s="177"/>
      <c r="J145" s="178"/>
      <c r="K145" s="177"/>
      <c r="L145" s="178"/>
      <c r="M145" s="178"/>
      <c r="N145" s="176"/>
      <c r="O145" s="179"/>
      <c r="P145" s="179"/>
      <c r="Q145" s="179"/>
      <c r="R145" s="179"/>
      <c r="S145" s="179"/>
      <c r="T145" s="179"/>
      <c r="U145" s="179"/>
      <c r="V145" s="176"/>
      <c r="W145" s="176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</row>
    <row r="146" spans="1:34">
      <c r="A146" s="175"/>
      <c r="B146" s="175"/>
      <c r="C146" s="175"/>
      <c r="D146" s="175"/>
      <c r="E146" s="176"/>
      <c r="F146" s="176"/>
      <c r="G146" s="176"/>
      <c r="H146" s="177"/>
      <c r="I146" s="177"/>
      <c r="J146" s="178"/>
      <c r="K146" s="177"/>
      <c r="L146" s="178"/>
      <c r="M146" s="178"/>
      <c r="N146" s="176"/>
      <c r="O146" s="179"/>
      <c r="P146" s="179"/>
      <c r="Q146" s="179"/>
      <c r="R146" s="179"/>
      <c r="S146" s="179"/>
      <c r="T146" s="179"/>
      <c r="U146" s="179"/>
      <c r="V146" s="176"/>
      <c r="W146" s="176"/>
      <c r="X146" s="180"/>
      <c r="Y146" s="180"/>
      <c r="Z146" s="180"/>
      <c r="AA146" s="180"/>
      <c r="AB146" s="180"/>
      <c r="AC146" s="180"/>
      <c r="AD146" s="180"/>
      <c r="AE146" s="180"/>
      <c r="AF146" s="180"/>
      <c r="AG146" s="180"/>
      <c r="AH146" s="180"/>
    </row>
    <row r="147" spans="1:34">
      <c r="A147" s="175"/>
      <c r="B147" s="175"/>
      <c r="C147" s="175"/>
      <c r="D147" s="175"/>
      <c r="E147" s="176"/>
      <c r="F147" s="176"/>
      <c r="G147" s="176"/>
      <c r="H147" s="177"/>
      <c r="I147" s="177"/>
      <c r="J147" s="178"/>
      <c r="K147" s="177"/>
      <c r="L147" s="178"/>
      <c r="M147" s="178"/>
      <c r="N147" s="176"/>
      <c r="O147" s="179"/>
      <c r="P147" s="179"/>
      <c r="Q147" s="179"/>
      <c r="R147" s="179"/>
      <c r="S147" s="179"/>
      <c r="T147" s="179"/>
      <c r="U147" s="179"/>
      <c r="V147" s="176"/>
      <c r="W147" s="176"/>
      <c r="X147" s="180"/>
      <c r="Y147" s="180"/>
      <c r="Z147" s="180"/>
      <c r="AA147" s="180"/>
      <c r="AB147" s="180"/>
      <c r="AC147" s="180"/>
      <c r="AD147" s="180"/>
      <c r="AE147" s="180"/>
      <c r="AF147" s="180"/>
      <c r="AG147" s="180"/>
      <c r="AH147" s="180"/>
    </row>
    <row r="148" spans="1:34">
      <c r="A148" s="175"/>
      <c r="B148" s="175"/>
      <c r="C148" s="175"/>
      <c r="D148" s="175"/>
      <c r="E148" s="176"/>
      <c r="F148" s="176"/>
      <c r="G148" s="176"/>
      <c r="H148" s="177"/>
      <c r="I148" s="177"/>
      <c r="J148" s="178"/>
      <c r="K148" s="177"/>
      <c r="L148" s="178"/>
      <c r="M148" s="178"/>
      <c r="N148" s="176"/>
      <c r="O148" s="179"/>
      <c r="P148" s="179"/>
      <c r="Q148" s="179"/>
      <c r="R148" s="179"/>
      <c r="S148" s="179"/>
      <c r="T148" s="179"/>
      <c r="U148" s="179"/>
      <c r="V148" s="176"/>
      <c r="W148" s="176"/>
      <c r="X148" s="180"/>
      <c r="Y148" s="180"/>
      <c r="Z148" s="180"/>
      <c r="AA148" s="180"/>
      <c r="AB148" s="180"/>
      <c r="AC148" s="180"/>
      <c r="AD148" s="180"/>
      <c r="AE148" s="180"/>
      <c r="AF148" s="180"/>
      <c r="AG148" s="180"/>
      <c r="AH148" s="180"/>
    </row>
    <row r="149" spans="1:34">
      <c r="A149" s="175"/>
      <c r="B149" s="175"/>
      <c r="C149" s="175"/>
      <c r="D149" s="175"/>
      <c r="E149" s="176"/>
      <c r="F149" s="176"/>
      <c r="G149" s="176"/>
      <c r="H149" s="177"/>
      <c r="I149" s="177"/>
      <c r="J149" s="178"/>
      <c r="K149" s="177"/>
      <c r="L149" s="178"/>
      <c r="M149" s="178"/>
      <c r="N149" s="176"/>
      <c r="O149" s="179"/>
      <c r="P149" s="179"/>
      <c r="Q149" s="179"/>
      <c r="R149" s="179"/>
      <c r="S149" s="179"/>
      <c r="T149" s="179"/>
      <c r="U149" s="179"/>
      <c r="V149" s="176"/>
      <c r="W149" s="176"/>
      <c r="X149" s="180"/>
      <c r="Y149" s="180"/>
      <c r="Z149" s="180"/>
      <c r="AA149" s="180"/>
      <c r="AB149" s="180"/>
      <c r="AC149" s="180"/>
      <c r="AD149" s="180"/>
      <c r="AE149" s="180"/>
      <c r="AF149" s="180"/>
      <c r="AG149" s="180"/>
      <c r="AH149" s="180"/>
    </row>
    <row r="150" spans="1:34">
      <c r="A150" s="175"/>
      <c r="B150" s="175"/>
      <c r="C150" s="175"/>
      <c r="D150" s="175"/>
      <c r="E150" s="176"/>
      <c r="F150" s="176"/>
      <c r="G150" s="176"/>
      <c r="H150" s="177"/>
      <c r="I150" s="177"/>
      <c r="J150" s="178"/>
      <c r="K150" s="177"/>
      <c r="L150" s="178"/>
      <c r="M150" s="178"/>
      <c r="N150" s="176"/>
      <c r="O150" s="179"/>
      <c r="P150" s="179"/>
      <c r="Q150" s="179"/>
      <c r="R150" s="179"/>
      <c r="S150" s="179"/>
      <c r="T150" s="179"/>
      <c r="U150" s="179"/>
      <c r="V150" s="176"/>
      <c r="W150" s="176"/>
      <c r="X150" s="180"/>
      <c r="Y150" s="180"/>
      <c r="Z150" s="180"/>
      <c r="AA150" s="180"/>
      <c r="AB150" s="180"/>
      <c r="AC150" s="180"/>
      <c r="AD150" s="180"/>
      <c r="AE150" s="180"/>
      <c r="AF150" s="180"/>
      <c r="AG150" s="180"/>
      <c r="AH150" s="180"/>
    </row>
    <row r="151" spans="1:34">
      <c r="A151" s="175"/>
      <c r="B151" s="175"/>
      <c r="C151" s="175"/>
      <c r="D151" s="175"/>
      <c r="E151" s="176"/>
      <c r="F151" s="176"/>
      <c r="G151" s="176"/>
      <c r="H151" s="177"/>
      <c r="I151" s="177"/>
      <c r="J151" s="178"/>
      <c r="K151" s="177"/>
      <c r="L151" s="178"/>
      <c r="M151" s="178"/>
      <c r="N151" s="176"/>
      <c r="O151" s="179"/>
      <c r="P151" s="179"/>
      <c r="Q151" s="179"/>
      <c r="R151" s="179"/>
      <c r="S151" s="179"/>
      <c r="T151" s="179"/>
      <c r="U151" s="179"/>
      <c r="V151" s="176"/>
      <c r="W151" s="176"/>
      <c r="X151" s="180"/>
      <c r="Y151" s="180"/>
      <c r="Z151" s="180"/>
      <c r="AA151" s="180"/>
      <c r="AB151" s="180"/>
      <c r="AC151" s="180"/>
      <c r="AD151" s="180"/>
      <c r="AE151" s="180"/>
      <c r="AF151" s="180"/>
      <c r="AG151" s="180"/>
      <c r="AH151" s="180"/>
    </row>
    <row r="152" spans="1:34">
      <c r="A152" s="175"/>
      <c r="B152" s="175"/>
      <c r="C152" s="175"/>
      <c r="D152" s="175"/>
      <c r="E152" s="176"/>
      <c r="F152" s="176"/>
      <c r="G152" s="176"/>
      <c r="H152" s="177"/>
      <c r="I152" s="177"/>
      <c r="J152" s="178"/>
      <c r="K152" s="177"/>
      <c r="L152" s="178"/>
      <c r="M152" s="178"/>
      <c r="N152" s="176"/>
      <c r="O152" s="179"/>
      <c r="P152" s="179"/>
      <c r="Q152" s="179"/>
      <c r="R152" s="179"/>
      <c r="S152" s="179"/>
      <c r="T152" s="179"/>
      <c r="U152" s="179"/>
      <c r="V152" s="176"/>
      <c r="W152" s="176"/>
      <c r="X152" s="180"/>
      <c r="Y152" s="180"/>
      <c r="Z152" s="180"/>
      <c r="AA152" s="180"/>
      <c r="AB152" s="180"/>
      <c r="AC152" s="180"/>
      <c r="AD152" s="180"/>
      <c r="AE152" s="180"/>
      <c r="AF152" s="180"/>
      <c r="AG152" s="180"/>
      <c r="AH152" s="180"/>
    </row>
    <row r="153" spans="1:34">
      <c r="A153" s="175"/>
      <c r="B153" s="175"/>
      <c r="C153" s="175"/>
      <c r="D153" s="175"/>
      <c r="E153" s="176"/>
      <c r="F153" s="176"/>
      <c r="G153" s="176"/>
      <c r="H153" s="177"/>
      <c r="I153" s="177"/>
      <c r="J153" s="178"/>
      <c r="K153" s="177"/>
      <c r="L153" s="178"/>
      <c r="M153" s="178"/>
      <c r="N153" s="176"/>
      <c r="O153" s="179"/>
      <c r="P153" s="179"/>
      <c r="Q153" s="179"/>
      <c r="R153" s="179"/>
      <c r="S153" s="179"/>
      <c r="T153" s="179"/>
      <c r="U153" s="179"/>
      <c r="V153" s="176"/>
      <c r="W153" s="176"/>
      <c r="X153" s="180"/>
      <c r="Y153" s="180"/>
      <c r="Z153" s="180"/>
      <c r="AA153" s="180"/>
      <c r="AB153" s="180"/>
      <c r="AC153" s="180"/>
      <c r="AD153" s="180"/>
      <c r="AE153" s="180"/>
      <c r="AF153" s="180"/>
      <c r="AG153" s="180"/>
      <c r="AH153" s="180"/>
    </row>
    <row r="154" spans="1:34">
      <c r="A154" s="175"/>
      <c r="B154" s="175"/>
      <c r="C154" s="175"/>
      <c r="D154" s="175"/>
      <c r="E154" s="176"/>
      <c r="F154" s="176"/>
      <c r="G154" s="176"/>
      <c r="H154" s="177"/>
      <c r="I154" s="177"/>
      <c r="J154" s="178"/>
      <c r="K154" s="177"/>
      <c r="L154" s="178"/>
      <c r="M154" s="178"/>
      <c r="N154" s="176"/>
      <c r="O154" s="179"/>
      <c r="P154" s="179"/>
      <c r="Q154" s="179"/>
      <c r="R154" s="179"/>
      <c r="S154" s="179"/>
      <c r="T154" s="179"/>
      <c r="U154" s="179"/>
      <c r="V154" s="176"/>
      <c r="W154" s="176"/>
      <c r="X154" s="180"/>
      <c r="Y154" s="180"/>
      <c r="Z154" s="180"/>
      <c r="AA154" s="180"/>
      <c r="AB154" s="180"/>
      <c r="AC154" s="180"/>
      <c r="AD154" s="180"/>
      <c r="AE154" s="180"/>
      <c r="AF154" s="180"/>
      <c r="AG154" s="180"/>
      <c r="AH154" s="180"/>
    </row>
    <row r="155" spans="1:34">
      <c r="A155" s="175"/>
      <c r="B155" s="175"/>
      <c r="C155" s="175"/>
      <c r="D155" s="175"/>
      <c r="E155" s="176"/>
      <c r="F155" s="176"/>
      <c r="G155" s="176"/>
      <c r="H155" s="177"/>
      <c r="I155" s="177"/>
      <c r="J155" s="178"/>
      <c r="K155" s="177"/>
      <c r="L155" s="178"/>
      <c r="M155" s="178"/>
      <c r="N155" s="176"/>
      <c r="O155" s="179"/>
      <c r="P155" s="179"/>
      <c r="Q155" s="179"/>
      <c r="R155" s="179"/>
      <c r="S155" s="179"/>
      <c r="T155" s="179"/>
      <c r="U155" s="179"/>
      <c r="V155" s="176"/>
      <c r="W155" s="176"/>
      <c r="X155" s="180"/>
      <c r="Y155" s="180"/>
      <c r="Z155" s="180"/>
      <c r="AA155" s="180"/>
      <c r="AB155" s="180"/>
      <c r="AC155" s="180"/>
      <c r="AD155" s="180"/>
      <c r="AE155" s="180"/>
      <c r="AF155" s="180"/>
      <c r="AG155" s="180"/>
      <c r="AH155" s="180"/>
    </row>
    <row r="156" spans="1:34">
      <c r="A156" s="175"/>
      <c r="B156" s="175"/>
      <c r="C156" s="175"/>
      <c r="D156" s="175"/>
      <c r="E156" s="176"/>
      <c r="F156" s="176"/>
      <c r="G156" s="176"/>
      <c r="H156" s="177"/>
      <c r="I156" s="177"/>
      <c r="J156" s="178"/>
      <c r="K156" s="177"/>
      <c r="L156" s="178"/>
      <c r="M156" s="178"/>
      <c r="N156" s="176"/>
      <c r="O156" s="179"/>
      <c r="P156" s="179"/>
      <c r="Q156" s="179"/>
      <c r="R156" s="179"/>
      <c r="S156" s="179"/>
      <c r="T156" s="179"/>
      <c r="U156" s="179"/>
      <c r="V156" s="176"/>
      <c r="W156" s="176"/>
      <c r="X156" s="180"/>
      <c r="Y156" s="180"/>
      <c r="Z156" s="180"/>
      <c r="AA156" s="180"/>
      <c r="AB156" s="180"/>
      <c r="AC156" s="180"/>
      <c r="AD156" s="180"/>
      <c r="AE156" s="180"/>
      <c r="AF156" s="180"/>
      <c r="AG156" s="180"/>
      <c r="AH156" s="180"/>
    </row>
    <row r="157" spans="1:34">
      <c r="A157" s="175"/>
      <c r="B157" s="175"/>
      <c r="C157" s="175"/>
      <c r="D157" s="175"/>
      <c r="E157" s="176"/>
      <c r="F157" s="176"/>
      <c r="G157" s="176"/>
      <c r="H157" s="177"/>
      <c r="I157" s="177"/>
      <c r="J157" s="178"/>
      <c r="K157" s="177"/>
      <c r="L157" s="178"/>
      <c r="M157" s="178"/>
      <c r="N157" s="176"/>
      <c r="O157" s="179"/>
      <c r="P157" s="179"/>
      <c r="Q157" s="179"/>
      <c r="R157" s="179"/>
      <c r="S157" s="179"/>
      <c r="T157" s="179"/>
      <c r="U157" s="179"/>
      <c r="V157" s="176"/>
      <c r="W157" s="176"/>
      <c r="X157" s="180"/>
      <c r="Y157" s="180"/>
      <c r="Z157" s="180"/>
      <c r="AA157" s="180"/>
      <c r="AB157" s="180"/>
      <c r="AC157" s="180"/>
      <c r="AD157" s="180"/>
      <c r="AE157" s="180"/>
      <c r="AF157" s="180"/>
      <c r="AG157" s="180"/>
      <c r="AH157" s="180"/>
    </row>
    <row r="158" spans="1:34">
      <c r="E158" s="1"/>
      <c r="F158" s="1"/>
      <c r="G158" s="1"/>
      <c r="H158" s="27"/>
      <c r="I158" s="27"/>
      <c r="J158" s="6"/>
      <c r="K158" s="27"/>
      <c r="L158" s="6"/>
      <c r="M158" s="6"/>
      <c r="N158" s="1"/>
      <c r="O158" s="2"/>
      <c r="P158" s="2"/>
      <c r="Q158" s="2"/>
      <c r="R158" s="2"/>
      <c r="S158" s="2"/>
      <c r="T158" s="2"/>
      <c r="U158" s="2"/>
      <c r="V158" s="1"/>
      <c r="W158" s="1"/>
    </row>
    <row r="159" spans="1:34">
      <c r="E159" s="1"/>
      <c r="F159" s="1"/>
      <c r="G159" s="1"/>
      <c r="H159" s="27"/>
      <c r="I159" s="27"/>
      <c r="J159" s="6"/>
      <c r="K159" s="27"/>
      <c r="L159" s="6"/>
      <c r="M159" s="6"/>
      <c r="N159" s="1"/>
      <c r="O159" s="2"/>
      <c r="P159" s="2"/>
      <c r="Q159" s="2"/>
      <c r="R159" s="2"/>
      <c r="S159" s="2"/>
      <c r="T159" s="2"/>
      <c r="U159" s="2"/>
      <c r="V159" s="1"/>
      <c r="W159" s="1"/>
    </row>
    <row r="160" spans="1:34">
      <c r="E160" s="1"/>
      <c r="F160" s="1"/>
      <c r="G160" s="1"/>
      <c r="H160" s="27"/>
      <c r="I160" s="27"/>
      <c r="J160" s="6"/>
      <c r="K160" s="27"/>
      <c r="L160" s="6"/>
      <c r="M160" s="6"/>
      <c r="N160" s="1"/>
      <c r="O160" s="2"/>
      <c r="P160" s="2"/>
      <c r="Q160" s="2"/>
      <c r="R160" s="2"/>
      <c r="S160" s="2"/>
      <c r="T160" s="2"/>
      <c r="U160" s="2"/>
      <c r="V160" s="1"/>
      <c r="W160" s="1"/>
    </row>
    <row r="161" spans="5:23">
      <c r="E161" s="1"/>
      <c r="F161" s="1"/>
      <c r="G161" s="1"/>
      <c r="H161" s="27"/>
      <c r="I161" s="27"/>
      <c r="J161" s="6"/>
      <c r="K161" s="27"/>
      <c r="L161" s="6"/>
      <c r="M161" s="6"/>
      <c r="N161" s="1"/>
      <c r="O161" s="2"/>
      <c r="P161" s="2"/>
      <c r="Q161" s="2"/>
      <c r="R161" s="2"/>
      <c r="S161" s="2"/>
      <c r="T161" s="2"/>
      <c r="U161" s="2"/>
      <c r="V161" s="1"/>
      <c r="W161" s="1"/>
    </row>
    <row r="162" spans="5:23">
      <c r="E162" s="1"/>
      <c r="F162" s="1"/>
      <c r="G162" s="1"/>
      <c r="H162" s="27"/>
      <c r="I162" s="27"/>
      <c r="J162" s="6"/>
      <c r="K162" s="27"/>
      <c r="L162" s="6"/>
      <c r="M162" s="6"/>
      <c r="N162" s="1"/>
      <c r="O162" s="2"/>
      <c r="P162" s="2"/>
      <c r="Q162" s="2"/>
      <c r="R162" s="2"/>
      <c r="S162" s="2"/>
      <c r="T162" s="2"/>
      <c r="U162" s="2"/>
      <c r="V162" s="1"/>
      <c r="W162" s="1"/>
    </row>
    <row r="163" spans="5:23">
      <c r="E163" s="1"/>
      <c r="F163" s="1"/>
      <c r="G163" s="1"/>
      <c r="H163" s="27"/>
      <c r="I163" s="27"/>
      <c r="J163" s="6"/>
      <c r="K163" s="27"/>
      <c r="L163" s="6"/>
      <c r="M163" s="6"/>
      <c r="N163" s="1"/>
      <c r="O163" s="2"/>
      <c r="P163" s="2"/>
      <c r="Q163" s="2"/>
      <c r="R163" s="2"/>
      <c r="S163" s="2"/>
      <c r="T163" s="2"/>
      <c r="U163" s="2"/>
      <c r="V163" s="1"/>
      <c r="W163" s="1"/>
    </row>
    <row r="164" spans="5:23">
      <c r="E164" s="1"/>
      <c r="F164" s="1"/>
      <c r="G164" s="1"/>
      <c r="H164" s="27"/>
      <c r="I164" s="27"/>
      <c r="J164" s="6"/>
      <c r="K164" s="27"/>
      <c r="L164" s="6"/>
      <c r="M164" s="6"/>
      <c r="N164" s="1"/>
      <c r="O164" s="2"/>
      <c r="P164" s="2"/>
      <c r="Q164" s="2"/>
      <c r="R164" s="2"/>
      <c r="S164" s="2"/>
      <c r="T164" s="2"/>
      <c r="U164" s="2"/>
      <c r="V164" s="1"/>
      <c r="W164" s="1"/>
    </row>
    <row r="165" spans="5:23">
      <c r="E165" s="1"/>
      <c r="F165" s="1"/>
      <c r="G165" s="1"/>
      <c r="H165" s="27"/>
      <c r="I165" s="27"/>
      <c r="J165" s="6"/>
      <c r="K165" s="27"/>
      <c r="L165" s="6"/>
      <c r="M165" s="6"/>
      <c r="N165" s="1"/>
      <c r="O165" s="2"/>
      <c r="P165" s="2"/>
      <c r="Q165" s="2"/>
      <c r="R165" s="2"/>
      <c r="S165" s="2"/>
      <c r="T165" s="2"/>
      <c r="U165" s="2"/>
      <c r="V165" s="1"/>
      <c r="W165" s="1"/>
    </row>
    <row r="166" spans="5:23">
      <c r="E166" s="1"/>
      <c r="F166" s="1"/>
      <c r="G166" s="1"/>
      <c r="H166" s="27"/>
      <c r="I166" s="27"/>
      <c r="J166" s="6"/>
      <c r="K166" s="27"/>
      <c r="L166" s="6"/>
      <c r="M166" s="6"/>
      <c r="N166" s="1"/>
      <c r="O166" s="2"/>
      <c r="P166" s="2"/>
      <c r="Q166" s="2"/>
      <c r="R166" s="2"/>
      <c r="S166" s="2"/>
      <c r="T166" s="2"/>
      <c r="U166" s="2"/>
      <c r="V166" s="1"/>
      <c r="W166" s="1"/>
    </row>
    <row r="167" spans="5:23">
      <c r="E167" s="1"/>
      <c r="F167" s="1"/>
      <c r="G167" s="1"/>
      <c r="H167" s="27"/>
      <c r="I167" s="27"/>
      <c r="J167" s="6"/>
      <c r="K167" s="27"/>
      <c r="L167" s="6"/>
      <c r="M167" s="6"/>
      <c r="N167" s="1"/>
      <c r="O167" s="2"/>
      <c r="P167" s="2"/>
      <c r="Q167" s="2"/>
      <c r="R167" s="2"/>
      <c r="S167" s="2"/>
      <c r="T167" s="2"/>
      <c r="U167" s="2"/>
      <c r="V167" s="1"/>
      <c r="W167" s="1"/>
    </row>
    <row r="168" spans="5:23">
      <c r="E168" s="1"/>
      <c r="F168" s="1"/>
      <c r="G168" s="1"/>
      <c r="H168" s="27"/>
      <c r="I168" s="27"/>
      <c r="J168" s="6"/>
      <c r="K168" s="27"/>
      <c r="L168" s="6"/>
      <c r="M168" s="6"/>
      <c r="N168" s="1"/>
      <c r="O168" s="2"/>
      <c r="P168" s="2"/>
      <c r="Q168" s="2"/>
      <c r="R168" s="2"/>
      <c r="S168" s="2"/>
      <c r="T168" s="2"/>
      <c r="U168" s="2"/>
      <c r="V168" s="1"/>
      <c r="W168" s="1"/>
    </row>
    <row r="169" spans="5:23">
      <c r="E169" s="1"/>
      <c r="F169" s="1"/>
      <c r="G169" s="1"/>
      <c r="H169" s="27"/>
      <c r="I169" s="27"/>
      <c r="J169" s="6"/>
      <c r="K169" s="27"/>
      <c r="L169" s="6"/>
      <c r="M169" s="6"/>
      <c r="N169" s="1"/>
      <c r="O169" s="2"/>
      <c r="P169" s="2"/>
      <c r="Q169" s="2"/>
      <c r="R169" s="2"/>
      <c r="S169" s="2"/>
      <c r="T169" s="2"/>
      <c r="U169" s="2"/>
      <c r="V169" s="1"/>
      <c r="W169" s="1"/>
    </row>
    <row r="170" spans="5:23">
      <c r="E170" s="1"/>
      <c r="F170" s="1"/>
      <c r="G170" s="1"/>
      <c r="H170" s="27"/>
      <c r="I170" s="27"/>
      <c r="J170" s="6"/>
      <c r="K170" s="27"/>
      <c r="L170" s="6"/>
      <c r="M170" s="6"/>
      <c r="N170" s="1"/>
      <c r="O170" s="2"/>
      <c r="P170" s="2"/>
      <c r="Q170" s="2"/>
      <c r="R170" s="2"/>
      <c r="S170" s="2"/>
      <c r="T170" s="2"/>
      <c r="U170" s="2"/>
      <c r="V170" s="1"/>
      <c r="W170" s="1"/>
    </row>
    <row r="171" spans="5:23">
      <c r="E171" s="1"/>
      <c r="F171" s="1"/>
      <c r="G171" s="1"/>
      <c r="H171" s="27"/>
      <c r="I171" s="27"/>
      <c r="J171" s="6"/>
      <c r="K171" s="27"/>
      <c r="L171" s="6"/>
      <c r="M171" s="6"/>
      <c r="N171" s="1"/>
      <c r="O171" s="2"/>
      <c r="P171" s="2"/>
      <c r="Q171" s="2"/>
      <c r="R171" s="2"/>
      <c r="S171" s="2"/>
      <c r="T171" s="2"/>
      <c r="U171" s="2"/>
      <c r="V171" s="1"/>
      <c r="W171" s="1"/>
    </row>
    <row r="172" spans="5:23">
      <c r="E172" s="1"/>
      <c r="F172" s="1"/>
      <c r="G172" s="1"/>
      <c r="H172" s="27"/>
      <c r="I172" s="27"/>
      <c r="J172" s="6"/>
      <c r="K172" s="27"/>
      <c r="L172" s="6"/>
      <c r="M172" s="6"/>
      <c r="N172" s="1"/>
      <c r="O172" s="2"/>
      <c r="P172" s="2"/>
      <c r="Q172" s="2"/>
      <c r="R172" s="2"/>
      <c r="S172" s="2"/>
      <c r="T172" s="2"/>
      <c r="U172" s="2"/>
      <c r="V172" s="1"/>
      <c r="W172" s="1"/>
    </row>
    <row r="173" spans="5:23">
      <c r="E173" s="1"/>
      <c r="F173" s="1"/>
      <c r="G173" s="1"/>
      <c r="H173" s="27"/>
      <c r="I173" s="27"/>
      <c r="J173" s="6"/>
      <c r="K173" s="27"/>
      <c r="L173" s="6"/>
      <c r="M173" s="6"/>
      <c r="N173" s="1"/>
      <c r="O173" s="2"/>
      <c r="P173" s="2"/>
      <c r="Q173" s="2"/>
      <c r="R173" s="2"/>
      <c r="S173" s="2"/>
      <c r="T173" s="2"/>
      <c r="U173" s="2"/>
      <c r="V173" s="1"/>
      <c r="W173" s="1"/>
    </row>
    <row r="174" spans="5:23">
      <c r="E174" s="1"/>
      <c r="F174" s="1"/>
      <c r="G174" s="1"/>
      <c r="H174" s="27"/>
      <c r="I174" s="27"/>
      <c r="J174" s="6"/>
      <c r="K174" s="27"/>
      <c r="L174" s="6"/>
      <c r="M174" s="6"/>
      <c r="N174" s="1"/>
      <c r="O174" s="2"/>
      <c r="P174" s="2"/>
      <c r="Q174" s="2"/>
      <c r="R174" s="2"/>
      <c r="S174" s="2"/>
      <c r="T174" s="2"/>
      <c r="U174" s="2"/>
      <c r="V174" s="1"/>
      <c r="W174" s="1"/>
    </row>
    <row r="175" spans="5:23">
      <c r="E175" s="1"/>
      <c r="F175" s="1"/>
      <c r="G175" s="1"/>
      <c r="H175" s="27"/>
      <c r="I175" s="27"/>
      <c r="J175" s="6"/>
      <c r="K175" s="27"/>
      <c r="L175" s="6"/>
      <c r="M175" s="6"/>
      <c r="N175" s="1"/>
      <c r="O175" s="2"/>
      <c r="P175" s="2"/>
      <c r="Q175" s="2"/>
      <c r="R175" s="2"/>
      <c r="S175" s="2"/>
      <c r="T175" s="2"/>
      <c r="U175" s="2"/>
      <c r="V175" s="1"/>
      <c r="W175" s="1"/>
    </row>
    <row r="176" spans="5:23">
      <c r="E176" s="1"/>
      <c r="F176" s="1"/>
      <c r="G176" s="1"/>
      <c r="H176" s="27"/>
      <c r="I176" s="27"/>
      <c r="J176" s="6"/>
      <c r="K176" s="27"/>
      <c r="L176" s="6"/>
      <c r="M176" s="6"/>
      <c r="N176" s="1"/>
      <c r="O176" s="2"/>
      <c r="P176" s="2"/>
      <c r="Q176" s="2"/>
      <c r="R176" s="2"/>
      <c r="S176" s="2"/>
      <c r="T176" s="2"/>
      <c r="U176" s="2"/>
      <c r="V176" s="1"/>
      <c r="W176" s="1"/>
    </row>
    <row r="177" spans="5:23">
      <c r="E177" s="1"/>
      <c r="F177" s="1"/>
      <c r="G177" s="1"/>
      <c r="H177" s="27"/>
      <c r="I177" s="27"/>
      <c r="J177" s="6"/>
      <c r="K177" s="27"/>
      <c r="L177" s="6"/>
      <c r="M177" s="6"/>
      <c r="N177" s="1"/>
      <c r="O177" s="2"/>
      <c r="P177" s="2"/>
      <c r="Q177" s="2"/>
      <c r="R177" s="2"/>
      <c r="S177" s="2"/>
      <c r="T177" s="2"/>
      <c r="U177" s="2"/>
      <c r="V177" s="1"/>
      <c r="W177" s="1"/>
    </row>
    <row r="178" spans="5:23">
      <c r="E178" s="1"/>
      <c r="F178" s="1"/>
      <c r="G178" s="1"/>
      <c r="H178" s="27"/>
      <c r="I178" s="27"/>
      <c r="J178" s="6"/>
      <c r="K178" s="27"/>
      <c r="L178" s="6"/>
      <c r="M178" s="6"/>
      <c r="N178" s="1"/>
      <c r="O178" s="2"/>
      <c r="P178" s="2"/>
      <c r="Q178" s="2"/>
      <c r="R178" s="2"/>
      <c r="S178" s="2"/>
      <c r="T178" s="2"/>
      <c r="U178" s="2"/>
      <c r="V178" s="1"/>
      <c r="W178" s="1"/>
    </row>
    <row r="179" spans="5:23">
      <c r="E179" s="1"/>
      <c r="F179" s="1"/>
      <c r="G179" s="1"/>
      <c r="H179" s="27"/>
      <c r="I179" s="27"/>
      <c r="J179" s="6"/>
      <c r="K179" s="27"/>
      <c r="L179" s="6"/>
      <c r="M179" s="6"/>
      <c r="N179" s="1"/>
      <c r="O179" s="2"/>
      <c r="P179" s="2"/>
      <c r="Q179" s="2"/>
      <c r="R179" s="2"/>
      <c r="S179" s="2"/>
      <c r="T179" s="2"/>
      <c r="U179" s="2"/>
      <c r="V179" s="1"/>
      <c r="W179" s="1"/>
    </row>
    <row r="180" spans="5:23">
      <c r="E180" s="1"/>
      <c r="F180" s="1"/>
      <c r="G180" s="1"/>
      <c r="H180" s="27"/>
      <c r="I180" s="27"/>
      <c r="J180" s="6"/>
      <c r="K180" s="27"/>
      <c r="L180" s="6"/>
      <c r="M180" s="6"/>
      <c r="N180" s="1"/>
      <c r="O180" s="2"/>
      <c r="P180" s="2"/>
      <c r="Q180" s="2"/>
      <c r="R180" s="2"/>
      <c r="S180" s="2"/>
      <c r="T180" s="2"/>
      <c r="U180" s="2"/>
      <c r="V180" s="1"/>
      <c r="W180" s="1"/>
    </row>
    <row r="181" spans="5:23">
      <c r="E181" s="1"/>
      <c r="F181" s="1"/>
      <c r="G181" s="1"/>
      <c r="H181" s="27"/>
      <c r="I181" s="27"/>
      <c r="J181" s="6"/>
      <c r="K181" s="27"/>
      <c r="L181" s="6"/>
      <c r="M181" s="6"/>
      <c r="N181" s="1"/>
      <c r="O181" s="2"/>
      <c r="P181" s="2"/>
      <c r="Q181" s="2"/>
      <c r="R181" s="2"/>
      <c r="S181" s="2"/>
      <c r="T181" s="2"/>
      <c r="U181" s="2"/>
      <c r="V181" s="1"/>
      <c r="W181" s="1"/>
    </row>
    <row r="182" spans="5:23">
      <c r="E182" s="1"/>
      <c r="F182" s="1"/>
      <c r="G182" s="1"/>
      <c r="H182" s="27"/>
      <c r="I182" s="27"/>
      <c r="J182" s="6"/>
      <c r="K182" s="27"/>
      <c r="L182" s="6"/>
      <c r="M182" s="6"/>
      <c r="N182" s="1"/>
      <c r="O182" s="2"/>
      <c r="P182" s="2"/>
      <c r="Q182" s="2"/>
      <c r="R182" s="2"/>
      <c r="S182" s="2"/>
      <c r="T182" s="2"/>
      <c r="U182" s="2"/>
      <c r="V182" s="1"/>
      <c r="W182" s="1"/>
    </row>
    <row r="183" spans="5:23">
      <c r="E183" s="1"/>
      <c r="F183" s="1"/>
      <c r="G183" s="1"/>
      <c r="H183" s="27"/>
      <c r="I183" s="27"/>
      <c r="J183" s="6"/>
      <c r="K183" s="27"/>
      <c r="L183" s="6"/>
      <c r="M183" s="6"/>
      <c r="N183" s="1"/>
      <c r="O183" s="2"/>
      <c r="P183" s="2"/>
      <c r="Q183" s="2"/>
      <c r="R183" s="2"/>
      <c r="S183" s="2"/>
      <c r="T183" s="2"/>
      <c r="U183" s="2"/>
      <c r="V183" s="1"/>
      <c r="W183" s="1"/>
    </row>
    <row r="184" spans="5:23">
      <c r="E184" s="1"/>
      <c r="F184" s="1"/>
      <c r="G184" s="1"/>
      <c r="H184" s="27"/>
      <c r="I184" s="27"/>
      <c r="J184" s="6"/>
      <c r="K184" s="27"/>
      <c r="L184" s="6"/>
      <c r="M184" s="6"/>
      <c r="N184" s="1"/>
      <c r="O184" s="2"/>
      <c r="P184" s="2"/>
      <c r="Q184" s="2"/>
      <c r="R184" s="2"/>
      <c r="S184" s="2"/>
      <c r="T184" s="2"/>
      <c r="U184" s="2"/>
      <c r="V184" s="1"/>
      <c r="W184" s="1"/>
    </row>
    <row r="185" spans="5:23">
      <c r="E185" s="1"/>
      <c r="F185" s="1"/>
      <c r="G185" s="1"/>
      <c r="H185" s="27"/>
      <c r="I185" s="27"/>
      <c r="J185" s="6"/>
      <c r="K185" s="27"/>
      <c r="L185" s="6"/>
      <c r="M185" s="6"/>
      <c r="N185" s="1"/>
      <c r="O185" s="2"/>
      <c r="P185" s="2"/>
      <c r="Q185" s="2"/>
      <c r="R185" s="2"/>
      <c r="S185" s="2"/>
      <c r="T185" s="2"/>
      <c r="U185" s="2"/>
      <c r="V185" s="1"/>
      <c r="W185" s="1"/>
    </row>
    <row r="186" spans="5:23">
      <c r="E186" s="1"/>
      <c r="F186" s="1"/>
      <c r="G186" s="1"/>
      <c r="H186" s="27"/>
      <c r="I186" s="27"/>
      <c r="J186" s="6"/>
      <c r="K186" s="27"/>
      <c r="L186" s="6"/>
      <c r="M186" s="6"/>
      <c r="N186" s="1"/>
      <c r="O186" s="2"/>
      <c r="P186" s="2"/>
      <c r="Q186" s="2"/>
      <c r="R186" s="2"/>
      <c r="S186" s="2"/>
      <c r="T186" s="2"/>
      <c r="U186" s="2"/>
      <c r="V186" s="1"/>
      <c r="W186" s="1"/>
    </row>
    <row r="187" spans="5:23">
      <c r="E187" s="1"/>
      <c r="F187" s="1"/>
      <c r="G187" s="1"/>
      <c r="H187" s="27"/>
      <c r="I187" s="27"/>
      <c r="J187" s="6"/>
      <c r="K187" s="27"/>
      <c r="L187" s="6"/>
      <c r="M187" s="6"/>
      <c r="N187" s="1"/>
      <c r="O187" s="2"/>
      <c r="P187" s="2"/>
      <c r="Q187" s="2"/>
      <c r="R187" s="2"/>
      <c r="S187" s="2"/>
      <c r="T187" s="2"/>
      <c r="U187" s="2"/>
      <c r="V187" s="1"/>
      <c r="W187" s="1"/>
    </row>
    <row r="188" spans="5:23">
      <c r="E188" s="1"/>
      <c r="F188" s="1"/>
      <c r="G188" s="1"/>
      <c r="H188" s="27"/>
      <c r="I188" s="27"/>
      <c r="J188" s="6"/>
      <c r="K188" s="27"/>
      <c r="L188" s="6"/>
      <c r="M188" s="6"/>
      <c r="N188" s="1"/>
      <c r="O188" s="2"/>
      <c r="P188" s="2"/>
      <c r="Q188" s="2"/>
      <c r="R188" s="2"/>
      <c r="S188" s="2"/>
      <c r="T188" s="2"/>
      <c r="U188" s="2"/>
      <c r="V188" s="1"/>
      <c r="W188" s="1"/>
    </row>
    <row r="189" spans="5:23">
      <c r="E189" s="1"/>
      <c r="F189" s="1"/>
      <c r="G189" s="1"/>
      <c r="H189" s="27"/>
      <c r="I189" s="27"/>
      <c r="J189" s="6"/>
      <c r="K189" s="27"/>
      <c r="L189" s="6"/>
      <c r="M189" s="6"/>
      <c r="N189" s="1"/>
      <c r="O189" s="2"/>
      <c r="P189" s="2"/>
      <c r="Q189" s="2"/>
      <c r="R189" s="2"/>
      <c r="S189" s="2"/>
      <c r="T189" s="2"/>
      <c r="U189" s="2"/>
      <c r="V189" s="1"/>
      <c r="W189" s="1"/>
    </row>
    <row r="190" spans="5:23">
      <c r="E190" s="1"/>
      <c r="F190" s="1"/>
      <c r="G190" s="1"/>
      <c r="H190" s="27"/>
      <c r="I190" s="27"/>
      <c r="J190" s="6"/>
      <c r="K190" s="27"/>
      <c r="L190" s="6"/>
      <c r="M190" s="6"/>
      <c r="N190" s="1"/>
      <c r="O190" s="2"/>
      <c r="P190" s="2"/>
      <c r="Q190" s="2"/>
      <c r="R190" s="2"/>
      <c r="S190" s="2"/>
      <c r="T190" s="2"/>
      <c r="U190" s="2"/>
      <c r="V190" s="1"/>
      <c r="W190" s="1"/>
    </row>
    <row r="191" spans="5:23">
      <c r="E191" s="1"/>
      <c r="F191" s="1"/>
      <c r="G191" s="1"/>
      <c r="H191" s="27"/>
      <c r="I191" s="27"/>
      <c r="J191" s="6"/>
      <c r="K191" s="27"/>
      <c r="L191" s="6"/>
      <c r="M191" s="6"/>
      <c r="N191" s="1"/>
      <c r="O191" s="2"/>
      <c r="P191" s="2"/>
      <c r="Q191" s="2"/>
      <c r="R191" s="2"/>
      <c r="S191" s="2"/>
      <c r="T191" s="2"/>
      <c r="U191" s="2"/>
      <c r="V191" s="1"/>
      <c r="W191" s="1"/>
    </row>
    <row r="192" spans="5:23">
      <c r="E192" s="1"/>
      <c r="F192" s="1"/>
      <c r="G192" s="1"/>
      <c r="H192" s="27"/>
      <c r="I192" s="27"/>
      <c r="J192" s="6"/>
      <c r="K192" s="27"/>
      <c r="L192" s="6"/>
      <c r="M192" s="6"/>
      <c r="N192" s="1"/>
      <c r="O192" s="2"/>
      <c r="P192" s="2"/>
      <c r="Q192" s="2"/>
      <c r="R192" s="2"/>
      <c r="S192" s="2"/>
      <c r="T192" s="2"/>
      <c r="U192" s="2"/>
      <c r="V192" s="1"/>
      <c r="W192" s="1"/>
    </row>
    <row r="193" spans="5:23">
      <c r="E193" s="1"/>
      <c r="F193" s="1"/>
      <c r="G193" s="1"/>
      <c r="H193" s="27"/>
      <c r="I193" s="27"/>
      <c r="J193" s="6"/>
      <c r="K193" s="27"/>
      <c r="L193" s="6"/>
      <c r="M193" s="6"/>
      <c r="N193" s="1"/>
      <c r="O193" s="2"/>
      <c r="P193" s="2"/>
      <c r="Q193" s="2"/>
      <c r="R193" s="2"/>
      <c r="S193" s="2"/>
      <c r="T193" s="2"/>
      <c r="U193" s="2"/>
      <c r="V193" s="1"/>
      <c r="W193" s="1"/>
    </row>
    <row r="194" spans="5:23">
      <c r="E194" s="1"/>
      <c r="F194" s="1"/>
      <c r="G194" s="1"/>
      <c r="H194" s="27"/>
      <c r="I194" s="27"/>
      <c r="J194" s="6"/>
      <c r="K194" s="27"/>
      <c r="L194" s="6"/>
      <c r="M194" s="6"/>
      <c r="N194" s="1"/>
      <c r="O194" s="2"/>
      <c r="P194" s="2"/>
      <c r="Q194" s="2"/>
      <c r="R194" s="2"/>
      <c r="S194" s="2"/>
      <c r="T194" s="2"/>
      <c r="U194" s="2"/>
      <c r="V194" s="1"/>
      <c r="W194" s="1"/>
    </row>
    <row r="195" spans="5:23">
      <c r="E195" s="1"/>
      <c r="F195" s="1"/>
      <c r="G195" s="1"/>
      <c r="H195" s="27"/>
      <c r="I195" s="27"/>
      <c r="J195" s="6"/>
      <c r="K195" s="27"/>
      <c r="L195" s="6"/>
      <c r="M195" s="6"/>
      <c r="N195" s="1"/>
      <c r="O195" s="2"/>
      <c r="P195" s="2"/>
      <c r="Q195" s="2"/>
      <c r="R195" s="2"/>
      <c r="S195" s="2"/>
      <c r="T195" s="2"/>
      <c r="U195" s="2"/>
      <c r="V195" s="1"/>
      <c r="W195" s="1"/>
    </row>
    <row r="196" spans="5:23">
      <c r="E196" s="1"/>
      <c r="F196" s="1"/>
      <c r="G196" s="1"/>
      <c r="H196" s="27"/>
      <c r="I196" s="27"/>
      <c r="J196" s="6"/>
      <c r="K196" s="27"/>
      <c r="L196" s="6"/>
      <c r="M196" s="6"/>
      <c r="N196" s="1"/>
      <c r="O196" s="2"/>
      <c r="P196" s="2"/>
      <c r="Q196" s="2"/>
      <c r="R196" s="2"/>
      <c r="S196" s="2"/>
      <c r="T196" s="2"/>
      <c r="U196" s="2"/>
      <c r="V196" s="1"/>
      <c r="W196" s="1"/>
    </row>
    <row r="197" spans="5:23">
      <c r="E197" s="1"/>
      <c r="F197" s="1"/>
      <c r="G197" s="1"/>
      <c r="H197" s="27"/>
      <c r="I197" s="27"/>
      <c r="J197" s="6"/>
      <c r="K197" s="27"/>
      <c r="L197" s="6"/>
      <c r="M197" s="6"/>
      <c r="N197" s="1"/>
      <c r="O197" s="2"/>
      <c r="P197" s="2"/>
      <c r="Q197" s="2"/>
      <c r="R197" s="2"/>
      <c r="S197" s="2"/>
      <c r="T197" s="2"/>
      <c r="U197" s="2"/>
      <c r="V197" s="1"/>
      <c r="W197" s="1"/>
    </row>
    <row r="198" spans="5:23">
      <c r="E198" s="1"/>
      <c r="F198" s="1"/>
      <c r="G198" s="1"/>
      <c r="H198" s="27"/>
      <c r="I198" s="27"/>
      <c r="J198" s="6"/>
      <c r="K198" s="27"/>
      <c r="L198" s="6"/>
      <c r="M198" s="6"/>
      <c r="N198" s="1"/>
      <c r="O198" s="2"/>
      <c r="P198" s="2"/>
      <c r="Q198" s="2"/>
      <c r="R198" s="2"/>
      <c r="S198" s="2"/>
      <c r="T198" s="2"/>
      <c r="U198" s="2"/>
      <c r="V198" s="1"/>
      <c r="W198" s="1"/>
    </row>
    <row r="199" spans="5:23">
      <c r="E199" s="1"/>
      <c r="F199" s="1"/>
      <c r="G199" s="1"/>
      <c r="H199" s="27"/>
      <c r="I199" s="27"/>
      <c r="J199" s="6"/>
      <c r="K199" s="27"/>
      <c r="L199" s="6"/>
      <c r="M199" s="6"/>
      <c r="N199" s="1"/>
      <c r="O199" s="2"/>
      <c r="P199" s="2"/>
      <c r="Q199" s="2"/>
      <c r="R199" s="2"/>
      <c r="S199" s="2"/>
      <c r="T199" s="2"/>
      <c r="U199" s="2"/>
      <c r="V199" s="1"/>
      <c r="W199" s="1"/>
    </row>
    <row r="200" spans="5:23">
      <c r="E200" s="1"/>
      <c r="F200" s="1"/>
      <c r="G200" s="1"/>
      <c r="H200" s="27"/>
      <c r="I200" s="27"/>
      <c r="J200" s="6"/>
      <c r="K200" s="27"/>
      <c r="L200" s="6"/>
      <c r="M200" s="6"/>
      <c r="N200" s="1"/>
      <c r="O200" s="2"/>
      <c r="P200" s="2"/>
      <c r="Q200" s="2"/>
      <c r="R200" s="2"/>
      <c r="S200" s="2"/>
      <c r="T200" s="2"/>
      <c r="U200" s="2"/>
      <c r="V200" s="1"/>
      <c r="W200" s="1"/>
    </row>
    <row r="201" spans="5:23">
      <c r="E201" s="1"/>
      <c r="F201" s="1"/>
      <c r="G201" s="1"/>
      <c r="H201" s="27"/>
      <c r="I201" s="27"/>
      <c r="J201" s="6"/>
      <c r="K201" s="27"/>
      <c r="L201" s="6"/>
      <c r="M201" s="6"/>
      <c r="N201" s="1"/>
      <c r="O201" s="2"/>
      <c r="P201" s="2"/>
      <c r="Q201" s="2"/>
      <c r="R201" s="2"/>
      <c r="S201" s="2"/>
      <c r="T201" s="2"/>
      <c r="U201" s="2"/>
      <c r="V201" s="1"/>
      <c r="W201" s="1"/>
    </row>
    <row r="202" spans="5:23">
      <c r="E202" s="1"/>
      <c r="F202" s="1"/>
      <c r="G202" s="1"/>
      <c r="H202" s="27"/>
      <c r="I202" s="27"/>
      <c r="J202" s="6"/>
      <c r="K202" s="27"/>
      <c r="L202" s="6"/>
      <c r="M202" s="6"/>
      <c r="N202" s="1"/>
      <c r="O202" s="2"/>
      <c r="P202" s="2"/>
      <c r="Q202" s="2"/>
      <c r="R202" s="2"/>
      <c r="S202" s="2"/>
      <c r="T202" s="2"/>
      <c r="U202" s="2"/>
      <c r="V202" s="1"/>
      <c r="W202" s="1"/>
    </row>
    <row r="203" spans="5:23">
      <c r="E203" s="1"/>
      <c r="F203" s="1"/>
      <c r="G203" s="1"/>
      <c r="H203" s="27"/>
      <c r="I203" s="27"/>
      <c r="J203" s="6"/>
      <c r="K203" s="27"/>
      <c r="L203" s="6"/>
      <c r="M203" s="6"/>
      <c r="N203" s="1"/>
      <c r="O203" s="2"/>
      <c r="P203" s="2"/>
      <c r="Q203" s="2"/>
      <c r="R203" s="2"/>
      <c r="S203" s="2"/>
      <c r="T203" s="2"/>
      <c r="U203" s="2"/>
      <c r="V203" s="1"/>
      <c r="W203" s="1"/>
    </row>
    <row r="204" spans="5:23">
      <c r="E204" s="1"/>
      <c r="F204" s="1"/>
      <c r="G204" s="1"/>
      <c r="H204" s="27"/>
      <c r="I204" s="27"/>
      <c r="J204" s="6"/>
      <c r="K204" s="27"/>
      <c r="L204" s="6"/>
      <c r="M204" s="6"/>
      <c r="N204" s="1"/>
      <c r="O204" s="2"/>
      <c r="P204" s="2"/>
      <c r="Q204" s="2"/>
      <c r="R204" s="2"/>
      <c r="S204" s="2"/>
      <c r="T204" s="2"/>
      <c r="U204" s="2"/>
      <c r="V204" s="1"/>
      <c r="W204" s="1"/>
    </row>
    <row r="205" spans="5:23">
      <c r="E205" s="1"/>
      <c r="F205" s="1"/>
      <c r="G205" s="1"/>
      <c r="H205" s="27"/>
      <c r="I205" s="27"/>
      <c r="J205" s="6"/>
      <c r="K205" s="27"/>
      <c r="L205" s="6"/>
      <c r="M205" s="6"/>
      <c r="N205" s="1"/>
      <c r="O205" s="2"/>
      <c r="P205" s="2"/>
      <c r="Q205" s="2"/>
      <c r="R205" s="2"/>
      <c r="S205" s="2"/>
      <c r="T205" s="2"/>
      <c r="U205" s="2"/>
      <c r="V205" s="1"/>
      <c r="W205" s="1"/>
    </row>
    <row r="206" spans="5:23">
      <c r="E206" s="1"/>
      <c r="F206" s="1"/>
      <c r="G206" s="1"/>
      <c r="H206" s="27"/>
      <c r="I206" s="27"/>
      <c r="J206" s="6"/>
      <c r="K206" s="27"/>
      <c r="L206" s="6"/>
      <c r="M206" s="6"/>
      <c r="N206" s="1"/>
      <c r="O206" s="2"/>
      <c r="P206" s="2"/>
      <c r="Q206" s="2"/>
      <c r="R206" s="2"/>
      <c r="S206" s="2"/>
      <c r="T206" s="2"/>
      <c r="U206" s="2"/>
      <c r="V206" s="1"/>
      <c r="W206" s="1"/>
    </row>
    <row r="207" spans="5:23">
      <c r="E207" s="1"/>
      <c r="F207" s="1"/>
      <c r="G207" s="1"/>
      <c r="H207" s="27"/>
      <c r="I207" s="27"/>
      <c r="J207" s="6"/>
      <c r="K207" s="27"/>
      <c r="L207" s="6"/>
      <c r="M207" s="6"/>
      <c r="N207" s="1"/>
      <c r="O207" s="2"/>
      <c r="P207" s="2"/>
      <c r="Q207" s="2"/>
      <c r="R207" s="2"/>
      <c r="S207" s="2"/>
      <c r="T207" s="2"/>
      <c r="U207" s="2"/>
      <c r="V207" s="1"/>
      <c r="W207" s="1"/>
    </row>
    <row r="208" spans="5:23">
      <c r="E208" s="1"/>
      <c r="F208" s="1"/>
      <c r="G208" s="1"/>
      <c r="H208" s="27"/>
      <c r="I208" s="27"/>
      <c r="J208" s="6"/>
      <c r="K208" s="27"/>
      <c r="L208" s="6"/>
      <c r="M208" s="6"/>
      <c r="N208" s="1"/>
      <c r="O208" s="2"/>
      <c r="P208" s="2"/>
      <c r="Q208" s="2"/>
      <c r="R208" s="2"/>
      <c r="S208" s="2"/>
      <c r="T208" s="2"/>
      <c r="U208" s="2"/>
      <c r="V208" s="1"/>
      <c r="W208" s="1"/>
    </row>
    <row r="209" spans="5:23">
      <c r="E209" s="1"/>
      <c r="F209" s="1"/>
      <c r="G209" s="1"/>
      <c r="H209" s="27"/>
      <c r="I209" s="27"/>
      <c r="J209" s="6"/>
      <c r="K209" s="27"/>
      <c r="L209" s="6"/>
      <c r="M209" s="6"/>
      <c r="N209" s="1"/>
      <c r="O209" s="2"/>
      <c r="P209" s="2"/>
      <c r="Q209" s="2"/>
      <c r="R209" s="2"/>
      <c r="S209" s="2"/>
      <c r="T209" s="2"/>
      <c r="U209" s="2"/>
      <c r="V209" s="1"/>
      <c r="W209" s="1"/>
    </row>
    <row r="210" spans="5:23">
      <c r="E210" s="1"/>
      <c r="F210" s="1"/>
      <c r="G210" s="1"/>
      <c r="H210" s="27"/>
      <c r="I210" s="27"/>
      <c r="J210" s="6"/>
      <c r="K210" s="27"/>
      <c r="L210" s="6"/>
      <c r="M210" s="6"/>
      <c r="N210" s="1"/>
      <c r="O210" s="2"/>
      <c r="P210" s="2"/>
      <c r="Q210" s="2"/>
      <c r="R210" s="2"/>
      <c r="S210" s="2"/>
      <c r="T210" s="2"/>
      <c r="U210" s="2"/>
      <c r="V210" s="1"/>
      <c r="W210" s="1"/>
    </row>
    <row r="211" spans="5:23">
      <c r="E211" s="1"/>
      <c r="F211" s="1"/>
      <c r="G211" s="1"/>
      <c r="H211" s="27"/>
      <c r="I211" s="27"/>
      <c r="J211" s="6"/>
      <c r="K211" s="27"/>
      <c r="L211" s="6"/>
      <c r="M211" s="6"/>
      <c r="N211" s="1"/>
      <c r="O211" s="2"/>
      <c r="P211" s="2"/>
      <c r="Q211" s="2"/>
      <c r="R211" s="2"/>
      <c r="S211" s="2"/>
      <c r="T211" s="2"/>
      <c r="U211" s="2"/>
      <c r="V211" s="1"/>
      <c r="W211" s="1"/>
    </row>
    <row r="212" spans="5:23">
      <c r="E212" s="1"/>
      <c r="F212" s="1"/>
      <c r="G212" s="1"/>
      <c r="H212" s="27"/>
      <c r="I212" s="27"/>
      <c r="J212" s="6"/>
      <c r="K212" s="27"/>
      <c r="L212" s="6"/>
      <c r="M212" s="6"/>
      <c r="N212" s="1"/>
      <c r="O212" s="2"/>
      <c r="P212" s="2"/>
      <c r="Q212" s="2"/>
      <c r="R212" s="2"/>
      <c r="S212" s="2"/>
      <c r="T212" s="2"/>
      <c r="U212" s="2"/>
      <c r="V212" s="1"/>
      <c r="W212" s="1"/>
    </row>
    <row r="213" spans="5:23">
      <c r="E213" s="1"/>
      <c r="F213" s="1"/>
      <c r="G213" s="1"/>
      <c r="H213" s="27"/>
      <c r="I213" s="27"/>
      <c r="J213" s="6"/>
      <c r="K213" s="27"/>
      <c r="L213" s="6"/>
      <c r="M213" s="6"/>
      <c r="N213" s="1"/>
      <c r="O213" s="2"/>
      <c r="P213" s="2"/>
      <c r="Q213" s="2"/>
      <c r="R213" s="2"/>
      <c r="S213" s="2"/>
      <c r="T213" s="2"/>
      <c r="U213" s="2"/>
      <c r="V213" s="1"/>
      <c r="W213" s="1"/>
    </row>
    <row r="214" spans="5:23">
      <c r="E214" s="1"/>
      <c r="F214" s="1"/>
      <c r="G214" s="1"/>
      <c r="H214" s="27"/>
      <c r="I214" s="27"/>
      <c r="J214" s="6"/>
      <c r="K214" s="27"/>
      <c r="L214" s="6"/>
      <c r="M214" s="6"/>
      <c r="N214" s="1"/>
      <c r="O214" s="2"/>
      <c r="P214" s="2"/>
      <c r="Q214" s="2"/>
      <c r="R214" s="2"/>
      <c r="S214" s="2"/>
      <c r="T214" s="2"/>
      <c r="U214" s="2"/>
      <c r="V214" s="1"/>
      <c r="W214" s="1"/>
    </row>
    <row r="215" spans="5:23">
      <c r="E215" s="1"/>
      <c r="F215" s="1"/>
      <c r="G215" s="1"/>
      <c r="H215" s="27"/>
      <c r="I215" s="27"/>
      <c r="J215" s="6"/>
      <c r="K215" s="27"/>
      <c r="L215" s="6"/>
      <c r="M215" s="6"/>
      <c r="N215" s="1"/>
      <c r="O215" s="2"/>
      <c r="P215" s="2"/>
      <c r="Q215" s="2"/>
      <c r="R215" s="2"/>
      <c r="S215" s="2"/>
      <c r="T215" s="2"/>
      <c r="U215" s="2"/>
      <c r="V215" s="1"/>
      <c r="W215" s="1"/>
    </row>
    <row r="216" spans="5:23">
      <c r="E216" s="1"/>
      <c r="F216" s="1"/>
      <c r="G216" s="1"/>
      <c r="H216" s="27"/>
      <c r="I216" s="27"/>
      <c r="J216" s="6"/>
      <c r="K216" s="27"/>
      <c r="L216" s="6"/>
      <c r="M216" s="6"/>
      <c r="N216" s="1"/>
      <c r="O216" s="2"/>
      <c r="P216" s="2"/>
      <c r="Q216" s="2"/>
      <c r="R216" s="2"/>
      <c r="S216" s="2"/>
      <c r="T216" s="2"/>
      <c r="U216" s="2"/>
      <c r="V216" s="1"/>
      <c r="W216" s="1"/>
    </row>
    <row r="217" spans="5:23">
      <c r="E217" s="1"/>
      <c r="F217" s="1"/>
      <c r="G217" s="1"/>
      <c r="H217" s="27"/>
      <c r="I217" s="27"/>
      <c r="J217" s="6"/>
      <c r="K217" s="27"/>
      <c r="L217" s="6"/>
      <c r="M217" s="6"/>
      <c r="N217" s="1"/>
      <c r="O217" s="2"/>
      <c r="P217" s="2"/>
      <c r="Q217" s="2"/>
      <c r="R217" s="2"/>
      <c r="S217" s="2"/>
      <c r="T217" s="2"/>
      <c r="U217" s="2"/>
      <c r="V217" s="1"/>
      <c r="W217" s="1"/>
    </row>
    <row r="218" spans="5:23">
      <c r="E218" s="1"/>
      <c r="F218" s="1"/>
      <c r="G218" s="1"/>
      <c r="H218" s="27"/>
      <c r="I218" s="27"/>
      <c r="J218" s="6"/>
      <c r="K218" s="27"/>
      <c r="L218" s="6"/>
      <c r="M218" s="6"/>
      <c r="N218" s="1"/>
      <c r="O218" s="2"/>
      <c r="P218" s="2"/>
      <c r="Q218" s="2"/>
      <c r="R218" s="2"/>
      <c r="S218" s="2"/>
      <c r="T218" s="2"/>
      <c r="U218" s="2"/>
      <c r="V218" s="1"/>
      <c r="W218" s="1"/>
    </row>
    <row r="219" spans="5:23">
      <c r="E219" s="1"/>
      <c r="F219" s="1"/>
      <c r="G219" s="1"/>
      <c r="H219" s="27"/>
      <c r="I219" s="27"/>
      <c r="J219" s="6"/>
      <c r="K219" s="27"/>
      <c r="L219" s="6"/>
      <c r="M219" s="6"/>
      <c r="N219" s="1"/>
      <c r="O219" s="2"/>
      <c r="P219" s="2"/>
      <c r="Q219" s="2"/>
      <c r="R219" s="2"/>
      <c r="S219" s="2"/>
      <c r="T219" s="2"/>
      <c r="U219" s="2"/>
      <c r="V219" s="1"/>
      <c r="W219" s="1"/>
    </row>
    <row r="220" spans="5:23">
      <c r="E220" s="1"/>
      <c r="F220" s="1"/>
      <c r="G220" s="1"/>
      <c r="H220" s="27"/>
      <c r="I220" s="27"/>
      <c r="J220" s="6"/>
      <c r="K220" s="27"/>
      <c r="L220" s="6"/>
      <c r="M220" s="6"/>
      <c r="N220" s="1"/>
      <c r="O220" s="2"/>
      <c r="P220" s="2"/>
      <c r="Q220" s="2"/>
      <c r="R220" s="2"/>
      <c r="S220" s="2"/>
      <c r="T220" s="2"/>
      <c r="U220" s="2"/>
      <c r="V220" s="1"/>
      <c r="W220" s="1"/>
    </row>
    <row r="221" spans="5:23">
      <c r="E221" s="1"/>
      <c r="F221" s="1"/>
      <c r="G221" s="1"/>
      <c r="H221" s="27"/>
      <c r="I221" s="27"/>
      <c r="J221" s="6"/>
      <c r="K221" s="27"/>
      <c r="L221" s="6"/>
      <c r="M221" s="6"/>
      <c r="N221" s="1"/>
      <c r="O221" s="2"/>
      <c r="P221" s="2"/>
      <c r="Q221" s="2"/>
      <c r="R221" s="2"/>
      <c r="S221" s="2"/>
      <c r="T221" s="2"/>
      <c r="U221" s="2"/>
      <c r="V221" s="1"/>
      <c r="W221" s="1"/>
    </row>
    <row r="222" spans="5:23">
      <c r="E222" s="1"/>
      <c r="F222" s="1"/>
      <c r="G222" s="1"/>
      <c r="H222" s="27"/>
      <c r="I222" s="27"/>
      <c r="J222" s="6"/>
      <c r="K222" s="27"/>
      <c r="L222" s="6"/>
      <c r="M222" s="6"/>
      <c r="N222" s="1"/>
      <c r="O222" s="2"/>
      <c r="P222" s="2"/>
      <c r="Q222" s="2"/>
      <c r="R222" s="2"/>
      <c r="S222" s="2"/>
      <c r="T222" s="2"/>
      <c r="U222" s="2"/>
      <c r="V222" s="1"/>
      <c r="W222" s="1"/>
    </row>
    <row r="223" spans="5:23">
      <c r="E223" s="1"/>
      <c r="F223" s="1"/>
      <c r="G223" s="1"/>
      <c r="H223" s="27"/>
      <c r="I223" s="27"/>
      <c r="J223" s="6"/>
      <c r="K223" s="27"/>
      <c r="L223" s="6"/>
      <c r="M223" s="6"/>
      <c r="N223" s="1"/>
      <c r="O223" s="2"/>
      <c r="P223" s="2"/>
      <c r="Q223" s="2"/>
      <c r="R223" s="2"/>
      <c r="S223" s="2"/>
      <c r="T223" s="2"/>
      <c r="U223" s="2"/>
      <c r="V223" s="1"/>
      <c r="W223" s="1"/>
    </row>
    <row r="224" spans="5:23">
      <c r="E224" s="1"/>
      <c r="F224" s="1"/>
      <c r="G224" s="1"/>
      <c r="H224" s="27"/>
      <c r="I224" s="27"/>
      <c r="J224" s="6"/>
      <c r="K224" s="27"/>
      <c r="L224" s="6"/>
      <c r="M224" s="6"/>
      <c r="N224" s="1"/>
      <c r="O224" s="2"/>
      <c r="P224" s="2"/>
      <c r="Q224" s="2"/>
      <c r="R224" s="2"/>
      <c r="S224" s="2"/>
      <c r="T224" s="2"/>
      <c r="U224" s="2"/>
      <c r="V224" s="1"/>
      <c r="W224" s="1"/>
    </row>
    <row r="225" spans="5:23">
      <c r="E225" s="1"/>
      <c r="F225" s="1"/>
      <c r="G225" s="1"/>
      <c r="H225" s="27"/>
      <c r="I225" s="27"/>
      <c r="J225" s="6"/>
      <c r="K225" s="27"/>
      <c r="L225" s="6"/>
      <c r="M225" s="6"/>
      <c r="N225" s="1"/>
      <c r="O225" s="2"/>
      <c r="P225" s="2"/>
      <c r="Q225" s="2"/>
      <c r="R225" s="2"/>
      <c r="S225" s="2"/>
      <c r="T225" s="2"/>
      <c r="U225" s="2"/>
      <c r="V225" s="1"/>
      <c r="W225" s="1"/>
    </row>
    <row r="226" spans="5:23">
      <c r="E226" s="1"/>
      <c r="F226" s="1"/>
      <c r="G226" s="1"/>
      <c r="H226" s="27"/>
      <c r="I226" s="27"/>
      <c r="J226" s="6"/>
      <c r="K226" s="27"/>
      <c r="L226" s="6"/>
      <c r="M226" s="6"/>
      <c r="N226" s="1"/>
      <c r="O226" s="2"/>
      <c r="P226" s="2"/>
      <c r="Q226" s="2"/>
      <c r="R226" s="2"/>
      <c r="S226" s="2"/>
      <c r="T226" s="2"/>
      <c r="U226" s="2"/>
      <c r="V226" s="1"/>
      <c r="W226" s="1"/>
    </row>
    <row r="227" spans="5:23">
      <c r="E227" s="1"/>
      <c r="F227" s="1"/>
      <c r="G227" s="1"/>
      <c r="H227" s="27"/>
      <c r="I227" s="27"/>
      <c r="J227" s="6"/>
      <c r="K227" s="27"/>
      <c r="L227" s="6"/>
      <c r="M227" s="6"/>
      <c r="N227" s="1"/>
      <c r="O227" s="2"/>
      <c r="P227" s="2"/>
      <c r="Q227" s="2"/>
      <c r="R227" s="2"/>
      <c r="S227" s="2"/>
      <c r="T227" s="2"/>
      <c r="U227" s="2"/>
      <c r="V227" s="1"/>
      <c r="W227" s="1"/>
    </row>
    <row r="228" spans="5:23">
      <c r="E228" s="1"/>
      <c r="F228" s="1"/>
      <c r="G228" s="1"/>
      <c r="H228" s="27"/>
      <c r="I228" s="27"/>
      <c r="J228" s="6"/>
      <c r="K228" s="27"/>
      <c r="L228" s="6"/>
      <c r="M228" s="6"/>
      <c r="N228" s="1"/>
      <c r="O228" s="2"/>
      <c r="P228" s="2"/>
      <c r="Q228" s="2"/>
      <c r="R228" s="2"/>
      <c r="S228" s="2"/>
      <c r="T228" s="2"/>
      <c r="U228" s="2"/>
      <c r="V228" s="1"/>
      <c r="W228" s="1"/>
    </row>
    <row r="229" spans="5:23">
      <c r="E229" s="1"/>
      <c r="F229" s="1"/>
      <c r="G229" s="1"/>
      <c r="H229" s="27"/>
      <c r="I229" s="27"/>
      <c r="J229" s="6"/>
      <c r="K229" s="27"/>
      <c r="L229" s="6"/>
      <c r="M229" s="6"/>
      <c r="N229" s="1"/>
      <c r="O229" s="2"/>
      <c r="P229" s="2"/>
      <c r="Q229" s="2"/>
      <c r="R229" s="2"/>
      <c r="S229" s="2"/>
      <c r="T229" s="2"/>
      <c r="U229" s="2"/>
      <c r="V229" s="1"/>
      <c r="W229" s="1"/>
    </row>
    <row r="230" spans="5:23">
      <c r="E230" s="1"/>
      <c r="F230" s="1"/>
      <c r="G230" s="1"/>
      <c r="H230" s="27"/>
      <c r="I230" s="27"/>
      <c r="J230" s="6"/>
      <c r="K230" s="27"/>
      <c r="L230" s="6"/>
      <c r="M230" s="6"/>
      <c r="N230" s="1"/>
      <c r="O230" s="2"/>
      <c r="P230" s="2"/>
      <c r="Q230" s="2"/>
      <c r="R230" s="2"/>
      <c r="S230" s="2"/>
      <c r="T230" s="2"/>
      <c r="U230" s="2"/>
      <c r="V230" s="1"/>
      <c r="W230" s="1"/>
    </row>
    <row r="231" spans="5:23">
      <c r="E231" s="1"/>
      <c r="F231" s="1"/>
      <c r="G231" s="1"/>
      <c r="H231" s="27"/>
      <c r="I231" s="27"/>
      <c r="J231" s="6"/>
      <c r="K231" s="27"/>
      <c r="L231" s="6"/>
      <c r="M231" s="6"/>
      <c r="N231" s="1"/>
      <c r="O231" s="2"/>
      <c r="P231" s="2"/>
      <c r="Q231" s="2"/>
      <c r="R231" s="2"/>
      <c r="S231" s="2"/>
      <c r="T231" s="2"/>
      <c r="U231" s="2"/>
      <c r="V231" s="1"/>
      <c r="W231" s="1"/>
    </row>
    <row r="232" spans="5:23">
      <c r="E232" s="1"/>
      <c r="F232" s="1"/>
      <c r="G232" s="1"/>
      <c r="H232" s="27"/>
      <c r="I232" s="27"/>
      <c r="J232" s="6"/>
      <c r="K232" s="27"/>
      <c r="L232" s="6"/>
      <c r="M232" s="6"/>
      <c r="N232" s="1"/>
      <c r="O232" s="2"/>
      <c r="P232" s="2"/>
      <c r="Q232" s="2"/>
      <c r="R232" s="2"/>
      <c r="S232" s="2"/>
      <c r="T232" s="2"/>
      <c r="U232" s="2"/>
      <c r="V232" s="1"/>
      <c r="W232" s="1"/>
    </row>
    <row r="233" spans="5:23">
      <c r="E233" s="1"/>
      <c r="F233" s="1"/>
      <c r="G233" s="1"/>
      <c r="H233" s="27"/>
      <c r="I233" s="27"/>
      <c r="J233" s="6"/>
      <c r="K233" s="27"/>
      <c r="L233" s="6"/>
      <c r="M233" s="6"/>
      <c r="N233" s="1"/>
      <c r="O233" s="2"/>
      <c r="P233" s="2"/>
      <c r="Q233" s="2"/>
      <c r="R233" s="2"/>
      <c r="S233" s="2"/>
      <c r="T233" s="2"/>
      <c r="U233" s="2"/>
      <c r="V233" s="1"/>
      <c r="W233" s="1"/>
    </row>
    <row r="234" spans="5:23">
      <c r="E234" s="1"/>
      <c r="F234" s="1"/>
      <c r="G234" s="1"/>
      <c r="H234" s="27"/>
      <c r="I234" s="27"/>
      <c r="J234" s="6"/>
      <c r="K234" s="27"/>
      <c r="L234" s="6"/>
      <c r="M234" s="6"/>
      <c r="N234" s="1"/>
      <c r="O234" s="2"/>
      <c r="P234" s="2"/>
      <c r="Q234" s="2"/>
      <c r="R234" s="2"/>
      <c r="S234" s="2"/>
      <c r="T234" s="2"/>
      <c r="U234" s="2"/>
      <c r="V234" s="1"/>
      <c r="W234" s="1"/>
    </row>
    <row r="235" spans="5:23">
      <c r="E235" s="1"/>
      <c r="F235" s="1"/>
      <c r="G235" s="1"/>
      <c r="H235" s="27"/>
      <c r="I235" s="27"/>
      <c r="J235" s="6"/>
      <c r="K235" s="27"/>
      <c r="L235" s="6"/>
      <c r="M235" s="6"/>
      <c r="N235" s="1"/>
      <c r="O235" s="2"/>
      <c r="P235" s="2"/>
      <c r="Q235" s="2"/>
      <c r="R235" s="2"/>
      <c r="S235" s="2"/>
      <c r="T235" s="2"/>
      <c r="U235" s="2"/>
      <c r="V235" s="1"/>
      <c r="W235" s="1"/>
    </row>
    <row r="236" spans="5:23">
      <c r="E236" s="1"/>
      <c r="F236" s="1"/>
      <c r="G236" s="1"/>
      <c r="H236" s="27"/>
      <c r="I236" s="27"/>
      <c r="J236" s="6"/>
      <c r="K236" s="27"/>
      <c r="L236" s="6"/>
      <c r="M236" s="6"/>
      <c r="N236" s="1"/>
      <c r="O236" s="2"/>
      <c r="P236" s="2"/>
      <c r="Q236" s="2"/>
      <c r="R236" s="2"/>
      <c r="S236" s="2"/>
      <c r="T236" s="2"/>
      <c r="U236" s="2"/>
      <c r="V236" s="1"/>
      <c r="W236" s="1"/>
    </row>
    <row r="237" spans="5:23">
      <c r="E237" s="1"/>
      <c r="F237" s="1"/>
      <c r="G237" s="1"/>
      <c r="H237" s="27"/>
      <c r="I237" s="27"/>
      <c r="J237" s="6"/>
      <c r="K237" s="27"/>
      <c r="L237" s="6"/>
      <c r="M237" s="6"/>
      <c r="N237" s="1"/>
      <c r="O237" s="2"/>
      <c r="P237" s="2"/>
      <c r="Q237" s="2"/>
      <c r="R237" s="2"/>
      <c r="S237" s="2"/>
      <c r="T237" s="2"/>
      <c r="U237" s="2"/>
      <c r="V237" s="1"/>
      <c r="W237" s="1"/>
    </row>
    <row r="238" spans="5:23">
      <c r="E238" s="1"/>
      <c r="F238" s="1"/>
      <c r="G238" s="1"/>
      <c r="H238" s="27"/>
      <c r="I238" s="27"/>
      <c r="J238" s="6"/>
      <c r="K238" s="27"/>
      <c r="L238" s="6"/>
      <c r="M238" s="6"/>
      <c r="N238" s="1"/>
      <c r="O238" s="2"/>
      <c r="P238" s="2"/>
      <c r="Q238" s="2"/>
      <c r="R238" s="2"/>
      <c r="S238" s="2"/>
      <c r="T238" s="2"/>
      <c r="U238" s="2"/>
      <c r="V238" s="1"/>
      <c r="W238" s="1"/>
    </row>
    <row r="239" spans="5:23">
      <c r="E239" s="1"/>
      <c r="F239" s="1"/>
      <c r="G239" s="1"/>
      <c r="H239" s="27"/>
      <c r="I239" s="27"/>
      <c r="J239" s="6"/>
      <c r="K239" s="27"/>
      <c r="L239" s="6"/>
      <c r="M239" s="6"/>
      <c r="N239" s="1"/>
      <c r="O239" s="2"/>
      <c r="P239" s="2"/>
      <c r="Q239" s="2"/>
      <c r="R239" s="2"/>
      <c r="S239" s="2"/>
      <c r="T239" s="2"/>
      <c r="U239" s="2"/>
      <c r="V239" s="1"/>
      <c r="W239" s="1"/>
    </row>
    <row r="240" spans="5:23">
      <c r="E240" s="1"/>
      <c r="F240" s="1"/>
      <c r="G240" s="1"/>
      <c r="H240" s="27"/>
      <c r="I240" s="27"/>
      <c r="J240" s="6"/>
      <c r="K240" s="27"/>
      <c r="L240" s="6"/>
      <c r="M240" s="6"/>
      <c r="N240" s="1"/>
      <c r="O240" s="2"/>
      <c r="P240" s="2"/>
      <c r="Q240" s="2"/>
      <c r="R240" s="2"/>
      <c r="S240" s="2"/>
      <c r="T240" s="2"/>
      <c r="U240" s="2"/>
      <c r="V240" s="1"/>
      <c r="W240" s="1"/>
    </row>
    <row r="241" spans="5:23">
      <c r="E241" s="1"/>
      <c r="F241" s="1"/>
      <c r="G241" s="1"/>
      <c r="H241" s="27"/>
      <c r="I241" s="27"/>
      <c r="J241" s="6"/>
      <c r="K241" s="27"/>
      <c r="L241" s="6"/>
      <c r="M241" s="6"/>
      <c r="N241" s="1"/>
      <c r="O241" s="2"/>
      <c r="P241" s="2"/>
      <c r="Q241" s="2"/>
      <c r="R241" s="2"/>
      <c r="S241" s="2"/>
      <c r="T241" s="2"/>
      <c r="U241" s="2"/>
      <c r="V241" s="1"/>
      <c r="W241" s="1"/>
    </row>
    <row r="242" spans="5:23">
      <c r="E242" s="1"/>
      <c r="F242" s="1"/>
      <c r="G242" s="1"/>
      <c r="H242" s="27"/>
      <c r="I242" s="27"/>
      <c r="J242" s="6"/>
      <c r="K242" s="27"/>
      <c r="L242" s="6"/>
      <c r="M242" s="6"/>
      <c r="N242" s="1"/>
      <c r="O242" s="2"/>
      <c r="P242" s="2"/>
      <c r="Q242" s="2"/>
      <c r="R242" s="2"/>
      <c r="S242" s="2"/>
      <c r="T242" s="2"/>
      <c r="U242" s="2"/>
      <c r="V242" s="1"/>
      <c r="W242" s="1"/>
    </row>
    <row r="243" spans="5:23">
      <c r="E243" s="1"/>
      <c r="F243" s="1"/>
      <c r="G243" s="1"/>
      <c r="H243" s="27"/>
      <c r="I243" s="27"/>
      <c r="J243" s="6"/>
      <c r="K243" s="27"/>
      <c r="L243" s="6"/>
      <c r="M243" s="6"/>
      <c r="N243" s="1"/>
      <c r="O243" s="2"/>
      <c r="P243" s="2"/>
      <c r="Q243" s="2"/>
      <c r="R243" s="2"/>
      <c r="S243" s="2"/>
      <c r="T243" s="2"/>
      <c r="U243" s="2"/>
      <c r="V243" s="1"/>
      <c r="W243" s="1"/>
    </row>
    <row r="244" spans="5:23">
      <c r="E244" s="1"/>
      <c r="F244" s="1"/>
      <c r="G244" s="1"/>
      <c r="H244" s="27"/>
      <c r="I244" s="27"/>
      <c r="J244" s="6"/>
      <c r="K244" s="27"/>
      <c r="L244" s="6"/>
      <c r="M244" s="6"/>
      <c r="N244" s="1"/>
      <c r="O244" s="2"/>
      <c r="P244" s="2"/>
      <c r="Q244" s="2"/>
      <c r="R244" s="2"/>
      <c r="S244" s="2"/>
      <c r="T244" s="2"/>
      <c r="U244" s="2"/>
      <c r="V244" s="1"/>
      <c r="W244" s="1"/>
    </row>
    <row r="245" spans="5:23">
      <c r="E245" s="1"/>
      <c r="F245" s="1"/>
      <c r="G245" s="1"/>
      <c r="H245" s="27"/>
      <c r="I245" s="27"/>
      <c r="J245" s="6"/>
      <c r="K245" s="27"/>
      <c r="L245" s="6"/>
      <c r="M245" s="6"/>
      <c r="N245" s="1"/>
      <c r="O245" s="2"/>
      <c r="P245" s="2"/>
      <c r="Q245" s="2"/>
      <c r="R245" s="2"/>
      <c r="S245" s="2"/>
      <c r="T245" s="2"/>
      <c r="U245" s="2"/>
      <c r="V245" s="1"/>
      <c r="W245" s="1"/>
    </row>
    <row r="246" spans="5:23">
      <c r="E246" s="1"/>
      <c r="F246" s="1"/>
      <c r="G246" s="1"/>
      <c r="H246" s="27"/>
      <c r="I246" s="27"/>
      <c r="J246" s="6"/>
      <c r="K246" s="27"/>
      <c r="L246" s="6"/>
      <c r="M246" s="6"/>
      <c r="N246" s="1"/>
      <c r="O246" s="2"/>
      <c r="P246" s="2"/>
      <c r="Q246" s="2"/>
      <c r="R246" s="2"/>
      <c r="S246" s="2"/>
      <c r="T246" s="2"/>
      <c r="U246" s="2"/>
      <c r="V246" s="1"/>
      <c r="W246" s="1"/>
    </row>
    <row r="247" spans="5:23">
      <c r="E247" s="1"/>
      <c r="F247" s="1"/>
      <c r="G247" s="1"/>
      <c r="H247" s="27"/>
      <c r="I247" s="27"/>
      <c r="J247" s="6"/>
      <c r="K247" s="27"/>
      <c r="L247" s="6"/>
      <c r="M247" s="6"/>
      <c r="N247" s="1"/>
      <c r="O247" s="2"/>
      <c r="P247" s="2"/>
      <c r="Q247" s="2"/>
      <c r="R247" s="2"/>
      <c r="S247" s="2"/>
      <c r="T247" s="2"/>
      <c r="U247" s="2"/>
      <c r="V247" s="1"/>
      <c r="W247" s="1"/>
    </row>
    <row r="248" spans="5:23">
      <c r="E248" s="1"/>
      <c r="F248" s="1"/>
      <c r="G248" s="1"/>
      <c r="H248" s="27"/>
      <c r="I248" s="27"/>
      <c r="J248" s="6"/>
      <c r="K248" s="27"/>
      <c r="L248" s="6"/>
      <c r="M248" s="6"/>
      <c r="N248" s="1"/>
      <c r="O248" s="2"/>
      <c r="P248" s="2"/>
      <c r="Q248" s="2"/>
      <c r="R248" s="2"/>
      <c r="S248" s="2"/>
      <c r="T248" s="2"/>
      <c r="U248" s="2"/>
      <c r="V248" s="1"/>
      <c r="W248" s="1"/>
    </row>
    <row r="249" spans="5:23">
      <c r="E249" s="1"/>
      <c r="F249" s="1"/>
      <c r="G249" s="1"/>
      <c r="H249" s="27"/>
      <c r="I249" s="27"/>
      <c r="J249" s="6"/>
      <c r="K249" s="27"/>
      <c r="L249" s="6"/>
      <c r="M249" s="6"/>
      <c r="N249" s="1"/>
      <c r="O249" s="2"/>
      <c r="P249" s="2"/>
      <c r="Q249" s="2"/>
      <c r="R249" s="2"/>
      <c r="S249" s="2"/>
      <c r="T249" s="2"/>
      <c r="U249" s="2"/>
      <c r="V249" s="1"/>
      <c r="W249" s="1"/>
    </row>
    <row r="250" spans="5:23">
      <c r="E250" s="1"/>
      <c r="F250" s="1"/>
      <c r="G250" s="1"/>
      <c r="H250" s="27"/>
      <c r="I250" s="27"/>
      <c r="J250" s="6"/>
      <c r="K250" s="27"/>
      <c r="L250" s="6"/>
      <c r="M250" s="6"/>
      <c r="N250" s="1"/>
      <c r="O250" s="2"/>
      <c r="P250" s="2"/>
      <c r="Q250" s="2"/>
      <c r="R250" s="2"/>
      <c r="S250" s="2"/>
      <c r="T250" s="2"/>
      <c r="U250" s="2"/>
      <c r="V250" s="1"/>
      <c r="W250" s="1"/>
    </row>
    <row r="251" spans="5:23">
      <c r="E251" s="1"/>
      <c r="F251" s="1"/>
      <c r="G251" s="1"/>
      <c r="H251" s="27"/>
      <c r="I251" s="27"/>
      <c r="J251" s="6"/>
      <c r="K251" s="27"/>
      <c r="L251" s="6"/>
      <c r="M251" s="6"/>
      <c r="N251" s="1"/>
      <c r="O251" s="2"/>
      <c r="P251" s="2"/>
      <c r="Q251" s="2"/>
      <c r="R251" s="2"/>
      <c r="S251" s="2"/>
      <c r="T251" s="2"/>
      <c r="U251" s="2"/>
      <c r="V251" s="1"/>
      <c r="W251" s="1"/>
    </row>
    <row r="252" spans="5:23">
      <c r="E252" s="1"/>
      <c r="F252" s="1"/>
      <c r="G252" s="1"/>
      <c r="H252" s="27"/>
      <c r="I252" s="27"/>
      <c r="J252" s="6"/>
      <c r="K252" s="27"/>
      <c r="L252" s="6"/>
      <c r="M252" s="6"/>
      <c r="N252" s="1"/>
      <c r="O252" s="2"/>
      <c r="P252" s="2"/>
      <c r="Q252" s="2"/>
      <c r="R252" s="2"/>
      <c r="S252" s="2"/>
      <c r="T252" s="2"/>
      <c r="U252" s="2"/>
      <c r="V252" s="1"/>
      <c r="W252" s="1"/>
    </row>
    <row r="253" spans="5:23">
      <c r="E253" s="1"/>
      <c r="F253" s="1"/>
      <c r="G253" s="1"/>
      <c r="H253" s="27"/>
      <c r="I253" s="27"/>
      <c r="J253" s="6"/>
      <c r="K253" s="27"/>
      <c r="L253" s="6"/>
      <c r="M253" s="6"/>
      <c r="N253" s="1"/>
      <c r="O253" s="2"/>
      <c r="P253" s="2"/>
      <c r="Q253" s="2"/>
      <c r="R253" s="2"/>
      <c r="S253" s="2"/>
      <c r="T253" s="2"/>
      <c r="U253" s="2"/>
      <c r="V253" s="1"/>
      <c r="W253" s="1"/>
    </row>
    <row r="254" spans="5:23">
      <c r="E254" s="1"/>
      <c r="F254" s="1"/>
      <c r="G254" s="1"/>
      <c r="H254" s="27"/>
      <c r="I254" s="27"/>
      <c r="J254" s="6"/>
      <c r="K254" s="27"/>
      <c r="L254" s="6"/>
      <c r="M254" s="6"/>
      <c r="N254" s="1"/>
      <c r="O254" s="2"/>
      <c r="P254" s="2"/>
      <c r="Q254" s="2"/>
      <c r="R254" s="2"/>
      <c r="S254" s="2"/>
      <c r="T254" s="2"/>
      <c r="U254" s="2"/>
      <c r="V254" s="1"/>
      <c r="W254" s="1"/>
    </row>
    <row r="255" spans="5:23">
      <c r="E255" s="1"/>
      <c r="F255" s="1"/>
      <c r="G255" s="1"/>
      <c r="H255" s="27"/>
      <c r="I255" s="27"/>
      <c r="J255" s="6"/>
      <c r="K255" s="27"/>
      <c r="L255" s="6"/>
      <c r="M255" s="6"/>
      <c r="N255" s="1"/>
      <c r="O255" s="2"/>
      <c r="P255" s="2"/>
      <c r="Q255" s="2"/>
      <c r="R255" s="2"/>
      <c r="S255" s="2"/>
      <c r="T255" s="2"/>
      <c r="U255" s="2"/>
      <c r="V255" s="1"/>
      <c r="W255" s="1"/>
    </row>
    <row r="256" spans="5:23">
      <c r="E256" s="1"/>
      <c r="F256" s="1"/>
      <c r="G256" s="1"/>
      <c r="H256" s="27"/>
      <c r="I256" s="27"/>
      <c r="J256" s="6"/>
      <c r="K256" s="27"/>
      <c r="L256" s="6"/>
      <c r="M256" s="6"/>
      <c r="N256" s="1"/>
      <c r="O256" s="2"/>
      <c r="P256" s="2"/>
      <c r="Q256" s="2"/>
      <c r="R256" s="2"/>
      <c r="S256" s="2"/>
      <c r="T256" s="2"/>
      <c r="U256" s="2"/>
      <c r="V256" s="1"/>
      <c r="W256" s="1"/>
    </row>
    <row r="257" spans="5:23">
      <c r="E257" s="1"/>
      <c r="F257" s="1"/>
      <c r="G257" s="1"/>
      <c r="H257" s="27"/>
      <c r="I257" s="27"/>
      <c r="J257" s="6"/>
      <c r="K257" s="27"/>
      <c r="L257" s="6"/>
      <c r="M257" s="6"/>
      <c r="N257" s="1"/>
      <c r="O257" s="2"/>
      <c r="P257" s="2"/>
      <c r="Q257" s="2"/>
      <c r="R257" s="2"/>
      <c r="S257" s="2"/>
      <c r="T257" s="2"/>
      <c r="U257" s="2"/>
      <c r="V257" s="1"/>
      <c r="W257" s="1"/>
    </row>
    <row r="258" spans="5:23">
      <c r="E258" s="1"/>
      <c r="F258" s="1"/>
      <c r="G258" s="1"/>
      <c r="H258" s="27"/>
      <c r="I258" s="27"/>
      <c r="J258" s="6"/>
      <c r="K258" s="27"/>
      <c r="L258" s="6"/>
      <c r="M258" s="6"/>
      <c r="N258" s="1"/>
      <c r="O258" s="2"/>
      <c r="P258" s="2"/>
      <c r="Q258" s="2"/>
      <c r="R258" s="2"/>
      <c r="S258" s="2"/>
      <c r="T258" s="2"/>
      <c r="U258" s="2"/>
      <c r="V258" s="1"/>
      <c r="W258" s="1"/>
    </row>
    <row r="259" spans="5:23">
      <c r="E259" s="1"/>
      <c r="F259" s="1"/>
      <c r="G259" s="1"/>
      <c r="H259" s="27"/>
      <c r="I259" s="27"/>
      <c r="J259" s="6"/>
      <c r="K259" s="27"/>
      <c r="L259" s="6"/>
      <c r="M259" s="6"/>
      <c r="N259" s="1"/>
      <c r="O259" s="2"/>
      <c r="P259" s="2"/>
      <c r="Q259" s="2"/>
      <c r="R259" s="2"/>
      <c r="S259" s="2"/>
      <c r="T259" s="2"/>
      <c r="U259" s="2"/>
      <c r="V259" s="1"/>
      <c r="W259" s="1"/>
    </row>
    <row r="260" spans="5:23">
      <c r="E260" s="1"/>
      <c r="F260" s="1"/>
      <c r="G260" s="1"/>
      <c r="H260" s="27"/>
      <c r="I260" s="27"/>
      <c r="J260" s="6"/>
      <c r="K260" s="27"/>
      <c r="L260" s="6"/>
      <c r="M260" s="6"/>
      <c r="N260" s="1"/>
      <c r="O260" s="2"/>
      <c r="P260" s="2"/>
      <c r="Q260" s="2"/>
      <c r="R260" s="2"/>
      <c r="S260" s="2"/>
      <c r="T260" s="2"/>
      <c r="U260" s="2"/>
      <c r="V260" s="1"/>
      <c r="W260" s="1"/>
    </row>
    <row r="261" spans="5:23">
      <c r="E261" s="1"/>
      <c r="F261" s="1"/>
      <c r="G261" s="1"/>
      <c r="H261" s="27"/>
      <c r="I261" s="27"/>
      <c r="J261" s="6"/>
      <c r="K261" s="27"/>
      <c r="L261" s="6"/>
      <c r="M261" s="6"/>
      <c r="N261" s="1"/>
      <c r="O261" s="2"/>
      <c r="P261" s="2"/>
      <c r="Q261" s="2"/>
      <c r="R261" s="2"/>
      <c r="S261" s="2"/>
      <c r="T261" s="2"/>
      <c r="U261" s="2"/>
      <c r="V261" s="1"/>
      <c r="W261" s="1"/>
    </row>
    <row r="262" spans="5:23">
      <c r="E262" s="1"/>
      <c r="F262" s="1"/>
      <c r="G262" s="1"/>
      <c r="H262" s="27"/>
      <c r="I262" s="27"/>
      <c r="J262" s="6"/>
      <c r="K262" s="27"/>
      <c r="L262" s="6"/>
      <c r="M262" s="6"/>
      <c r="N262" s="1"/>
      <c r="O262" s="2"/>
      <c r="P262" s="2"/>
      <c r="Q262" s="2"/>
      <c r="R262" s="2"/>
      <c r="S262" s="2"/>
      <c r="T262" s="2"/>
      <c r="U262" s="2"/>
      <c r="V262" s="1"/>
      <c r="W262" s="1"/>
    </row>
    <row r="263" spans="5:23">
      <c r="E263" s="1"/>
      <c r="F263" s="1"/>
      <c r="G263" s="1"/>
      <c r="H263" s="27"/>
      <c r="I263" s="27"/>
      <c r="J263" s="6"/>
      <c r="K263" s="27"/>
      <c r="L263" s="6"/>
      <c r="M263" s="6"/>
      <c r="N263" s="1"/>
      <c r="O263" s="2"/>
      <c r="P263" s="2"/>
      <c r="Q263" s="2"/>
      <c r="R263" s="2"/>
      <c r="S263" s="2"/>
      <c r="T263" s="2"/>
      <c r="U263" s="2"/>
      <c r="V263" s="1"/>
      <c r="W263" s="1"/>
    </row>
    <row r="264" spans="5:23">
      <c r="E264" s="1"/>
      <c r="F264" s="1"/>
      <c r="G264" s="1"/>
      <c r="H264" s="27"/>
      <c r="I264" s="27"/>
      <c r="J264" s="6"/>
      <c r="K264" s="27"/>
      <c r="L264" s="6"/>
      <c r="M264" s="6"/>
      <c r="N264" s="1"/>
      <c r="O264" s="2"/>
      <c r="P264" s="2"/>
      <c r="Q264" s="2"/>
      <c r="R264" s="2"/>
      <c r="S264" s="2"/>
      <c r="T264" s="2"/>
      <c r="U264" s="2"/>
      <c r="V264" s="1"/>
      <c r="W264" s="1"/>
    </row>
    <row r="265" spans="5:23">
      <c r="E265" s="1"/>
      <c r="F265" s="1"/>
      <c r="G265" s="1"/>
      <c r="H265" s="27"/>
      <c r="I265" s="27"/>
      <c r="J265" s="6"/>
      <c r="K265" s="27"/>
      <c r="L265" s="6"/>
      <c r="M265" s="6"/>
      <c r="N265" s="1"/>
      <c r="O265" s="2"/>
      <c r="P265" s="2"/>
      <c r="Q265" s="2"/>
      <c r="R265" s="2"/>
      <c r="S265" s="2"/>
      <c r="T265" s="2"/>
      <c r="U265" s="2"/>
      <c r="V265" s="1"/>
      <c r="W265" s="1"/>
    </row>
    <row r="266" spans="5:23">
      <c r="E266" s="1"/>
      <c r="F266" s="1"/>
      <c r="G266" s="1"/>
      <c r="H266" s="27"/>
      <c r="I266" s="27"/>
      <c r="J266" s="6"/>
      <c r="K266" s="27"/>
      <c r="L266" s="6"/>
      <c r="M266" s="6"/>
      <c r="N266" s="1"/>
      <c r="O266" s="2"/>
      <c r="P266" s="2"/>
      <c r="Q266" s="2"/>
      <c r="R266" s="2"/>
      <c r="S266" s="2"/>
      <c r="T266" s="2"/>
      <c r="U266" s="2"/>
      <c r="V266" s="1"/>
      <c r="W266" s="1"/>
    </row>
    <row r="267" spans="5:23">
      <c r="E267" s="1"/>
      <c r="F267" s="1"/>
      <c r="G267" s="1"/>
      <c r="H267" s="27"/>
      <c r="I267" s="27"/>
      <c r="J267" s="6"/>
      <c r="K267" s="27"/>
      <c r="L267" s="6"/>
      <c r="M267" s="6"/>
      <c r="N267" s="1"/>
      <c r="O267" s="2"/>
      <c r="P267" s="2"/>
      <c r="Q267" s="2"/>
      <c r="R267" s="2"/>
      <c r="S267" s="2"/>
      <c r="T267" s="2"/>
      <c r="U267" s="2"/>
      <c r="V267" s="1"/>
      <c r="W267" s="1"/>
    </row>
    <row r="268" spans="5:23">
      <c r="E268" s="1"/>
      <c r="F268" s="1"/>
      <c r="G268" s="1"/>
      <c r="H268" s="27"/>
      <c r="I268" s="27"/>
      <c r="J268" s="6"/>
      <c r="K268" s="27"/>
      <c r="L268" s="6"/>
      <c r="M268" s="6"/>
      <c r="N268" s="1"/>
      <c r="O268" s="2"/>
      <c r="P268" s="2"/>
      <c r="Q268" s="2"/>
      <c r="R268" s="2"/>
      <c r="S268" s="2"/>
      <c r="T268" s="2"/>
      <c r="U268" s="2"/>
      <c r="V268" s="1"/>
      <c r="W268" s="1"/>
    </row>
    <row r="269" spans="5:23">
      <c r="E269" s="1"/>
      <c r="F269" s="1"/>
      <c r="G269" s="1"/>
      <c r="H269" s="27"/>
      <c r="I269" s="27"/>
      <c r="J269" s="6"/>
      <c r="K269" s="27"/>
      <c r="L269" s="6"/>
      <c r="M269" s="6"/>
      <c r="N269" s="1"/>
      <c r="O269" s="2"/>
      <c r="P269" s="2"/>
      <c r="Q269" s="2"/>
      <c r="R269" s="2"/>
      <c r="S269" s="2"/>
      <c r="T269" s="2"/>
      <c r="U269" s="2"/>
      <c r="V269" s="1"/>
      <c r="W269" s="1"/>
    </row>
    <row r="270" spans="5:23">
      <c r="E270" s="1"/>
      <c r="F270" s="1"/>
      <c r="G270" s="1"/>
      <c r="H270" s="27"/>
      <c r="I270" s="27"/>
      <c r="J270" s="6"/>
      <c r="K270" s="27"/>
      <c r="L270" s="6"/>
      <c r="M270" s="6"/>
      <c r="N270" s="1"/>
      <c r="O270" s="2"/>
      <c r="P270" s="2"/>
      <c r="Q270" s="2"/>
      <c r="R270" s="2"/>
      <c r="S270" s="2"/>
      <c r="T270" s="2"/>
      <c r="U270" s="2"/>
      <c r="V270" s="1"/>
      <c r="W270" s="1"/>
    </row>
    <row r="271" spans="5:23">
      <c r="E271" s="1"/>
      <c r="F271" s="1"/>
      <c r="G271" s="1"/>
      <c r="H271" s="27"/>
      <c r="I271" s="27"/>
      <c r="J271" s="6"/>
      <c r="K271" s="27"/>
      <c r="L271" s="6"/>
      <c r="M271" s="6"/>
      <c r="N271" s="1"/>
      <c r="O271" s="2"/>
      <c r="P271" s="2"/>
      <c r="Q271" s="2"/>
      <c r="R271" s="2"/>
      <c r="S271" s="2"/>
      <c r="T271" s="2"/>
      <c r="U271" s="2"/>
      <c r="V271" s="1"/>
      <c r="W271" s="1"/>
    </row>
    <row r="272" spans="5:23">
      <c r="E272" s="1"/>
      <c r="F272" s="1"/>
      <c r="G272" s="1"/>
      <c r="H272" s="27"/>
      <c r="I272" s="27"/>
      <c r="J272" s="6"/>
      <c r="K272" s="27"/>
      <c r="L272" s="6"/>
      <c r="M272" s="6"/>
      <c r="N272" s="1"/>
      <c r="O272" s="2"/>
      <c r="P272" s="2"/>
      <c r="Q272" s="2"/>
      <c r="R272" s="2"/>
      <c r="S272" s="2"/>
      <c r="T272" s="2"/>
      <c r="U272" s="2"/>
      <c r="V272" s="1"/>
      <c r="W272" s="1"/>
    </row>
    <row r="273" spans="5:23">
      <c r="E273" s="1"/>
      <c r="F273" s="1"/>
      <c r="G273" s="1"/>
      <c r="H273" s="27"/>
      <c r="I273" s="27"/>
      <c r="J273" s="6"/>
      <c r="K273" s="27"/>
      <c r="L273" s="6"/>
      <c r="M273" s="6"/>
      <c r="N273" s="1"/>
      <c r="O273" s="2"/>
      <c r="P273" s="2"/>
      <c r="Q273" s="2"/>
      <c r="R273" s="2"/>
      <c r="S273" s="2"/>
      <c r="T273" s="2"/>
      <c r="U273" s="2"/>
      <c r="V273" s="1"/>
      <c r="W273" s="1"/>
    </row>
    <row r="274" spans="5:23">
      <c r="E274" s="1"/>
      <c r="F274" s="1"/>
      <c r="G274" s="1"/>
      <c r="H274" s="27"/>
      <c r="I274" s="27"/>
      <c r="J274" s="6"/>
      <c r="K274" s="27"/>
      <c r="L274" s="6"/>
      <c r="M274" s="6"/>
      <c r="N274" s="1"/>
      <c r="O274" s="2"/>
      <c r="P274" s="2"/>
      <c r="Q274" s="2"/>
      <c r="R274" s="2"/>
      <c r="S274" s="2"/>
      <c r="T274" s="2"/>
      <c r="U274" s="2"/>
      <c r="V274" s="1"/>
      <c r="W274" s="1"/>
    </row>
    <row r="275" spans="5:23">
      <c r="E275" s="1"/>
      <c r="F275" s="1"/>
      <c r="G275" s="1"/>
      <c r="H275" s="27"/>
      <c r="I275" s="27"/>
      <c r="J275" s="6"/>
      <c r="K275" s="27"/>
      <c r="L275" s="6"/>
      <c r="M275" s="6"/>
      <c r="N275" s="1"/>
      <c r="O275" s="2"/>
      <c r="P275" s="2"/>
      <c r="Q275" s="2"/>
      <c r="R275" s="2"/>
      <c r="S275" s="2"/>
      <c r="T275" s="2"/>
      <c r="U275" s="2"/>
      <c r="V275" s="1"/>
      <c r="W275" s="1"/>
    </row>
    <row r="276" spans="5:23">
      <c r="E276" s="1"/>
      <c r="F276" s="1"/>
      <c r="G276" s="1"/>
      <c r="H276" s="27"/>
      <c r="I276" s="27"/>
      <c r="J276" s="6"/>
      <c r="K276" s="27"/>
      <c r="L276" s="6"/>
      <c r="M276" s="6"/>
      <c r="N276" s="1"/>
      <c r="O276" s="2"/>
      <c r="P276" s="2"/>
      <c r="Q276" s="2"/>
      <c r="R276" s="2"/>
      <c r="S276" s="2"/>
      <c r="T276" s="2"/>
      <c r="U276" s="2"/>
      <c r="V276" s="1"/>
      <c r="W276" s="1"/>
    </row>
    <row r="277" spans="5:23">
      <c r="E277" s="1"/>
      <c r="F277" s="1"/>
      <c r="G277" s="1"/>
      <c r="H277" s="27"/>
      <c r="I277" s="27"/>
      <c r="J277" s="6"/>
      <c r="K277" s="27"/>
      <c r="L277" s="6"/>
      <c r="M277" s="6"/>
      <c r="N277" s="1"/>
      <c r="O277" s="2"/>
      <c r="P277" s="2"/>
      <c r="Q277" s="2"/>
      <c r="R277" s="2"/>
      <c r="S277" s="2"/>
      <c r="T277" s="2"/>
      <c r="U277" s="2"/>
      <c r="V277" s="1"/>
      <c r="W277" s="1"/>
    </row>
    <row r="278" spans="5:23">
      <c r="E278" s="1"/>
      <c r="F278" s="1"/>
      <c r="G278" s="1"/>
      <c r="H278" s="27"/>
      <c r="I278" s="27"/>
      <c r="J278" s="6"/>
      <c r="K278" s="27"/>
      <c r="L278" s="6"/>
      <c r="M278" s="6"/>
      <c r="N278" s="1"/>
      <c r="O278" s="2"/>
      <c r="P278" s="2"/>
      <c r="Q278" s="2"/>
      <c r="R278" s="2"/>
      <c r="S278" s="2"/>
      <c r="T278" s="2"/>
      <c r="U278" s="2"/>
      <c r="V278" s="1"/>
      <c r="W278" s="1"/>
    </row>
    <row r="279" spans="5:23">
      <c r="E279" s="1"/>
      <c r="F279" s="1"/>
      <c r="G279" s="1"/>
      <c r="H279" s="27"/>
      <c r="I279" s="27"/>
      <c r="J279" s="6"/>
      <c r="K279" s="27"/>
      <c r="L279" s="6"/>
      <c r="M279" s="6"/>
      <c r="N279" s="1"/>
      <c r="O279" s="2"/>
      <c r="P279" s="2"/>
      <c r="Q279" s="2"/>
      <c r="R279" s="2"/>
      <c r="S279" s="2"/>
      <c r="T279" s="2"/>
      <c r="U279" s="2"/>
      <c r="V279" s="1"/>
      <c r="W279" s="1"/>
    </row>
    <row r="280" spans="5:23">
      <c r="E280" s="1"/>
      <c r="F280" s="1"/>
      <c r="G280" s="1"/>
      <c r="H280" s="27"/>
      <c r="I280" s="27"/>
      <c r="J280" s="6"/>
      <c r="K280" s="27"/>
      <c r="L280" s="6"/>
      <c r="M280" s="6"/>
      <c r="N280" s="1"/>
      <c r="O280" s="2"/>
      <c r="P280" s="2"/>
      <c r="Q280" s="2"/>
      <c r="R280" s="2"/>
      <c r="S280" s="2"/>
      <c r="T280" s="2"/>
      <c r="U280" s="2"/>
      <c r="V280" s="1"/>
      <c r="W280" s="1"/>
    </row>
    <row r="281" spans="5:23">
      <c r="E281" s="1"/>
      <c r="F281" s="1"/>
      <c r="G281" s="1"/>
      <c r="H281" s="27"/>
      <c r="I281" s="27"/>
      <c r="J281" s="6"/>
      <c r="K281" s="27"/>
      <c r="L281" s="6"/>
      <c r="M281" s="6"/>
      <c r="N281" s="1"/>
      <c r="O281" s="2"/>
      <c r="P281" s="2"/>
      <c r="Q281" s="2"/>
      <c r="R281" s="2"/>
      <c r="S281" s="2"/>
      <c r="T281" s="2"/>
      <c r="U281" s="2"/>
      <c r="V281" s="1"/>
      <c r="W281" s="1"/>
    </row>
    <row r="282" spans="5:23">
      <c r="E282" s="1"/>
      <c r="F282" s="1"/>
      <c r="G282" s="1"/>
      <c r="H282" s="27"/>
      <c r="I282" s="27"/>
      <c r="J282" s="6"/>
      <c r="K282" s="27"/>
      <c r="L282" s="6"/>
      <c r="M282" s="6"/>
      <c r="N282" s="1"/>
      <c r="O282" s="2"/>
      <c r="P282" s="2"/>
      <c r="Q282" s="2"/>
      <c r="R282" s="2"/>
      <c r="S282" s="2"/>
      <c r="T282" s="2"/>
      <c r="U282" s="2"/>
      <c r="V282" s="1"/>
      <c r="W282" s="1"/>
    </row>
    <row r="283" spans="5:23">
      <c r="E283" s="1"/>
      <c r="F283" s="1"/>
      <c r="G283" s="1"/>
      <c r="H283" s="27"/>
      <c r="I283" s="27"/>
      <c r="J283" s="6"/>
      <c r="K283" s="27"/>
      <c r="L283" s="6"/>
      <c r="M283" s="6"/>
      <c r="N283" s="1"/>
      <c r="O283" s="2"/>
      <c r="P283" s="2"/>
      <c r="Q283" s="2"/>
      <c r="R283" s="2"/>
      <c r="S283" s="2"/>
      <c r="T283" s="2"/>
      <c r="U283" s="2"/>
      <c r="V283" s="1"/>
      <c r="W283" s="1"/>
    </row>
    <row r="284" spans="5:23">
      <c r="E284" s="1"/>
      <c r="F284" s="1"/>
      <c r="G284" s="1"/>
      <c r="H284" s="27"/>
      <c r="I284" s="27"/>
      <c r="J284" s="6"/>
      <c r="K284" s="27"/>
      <c r="L284" s="6"/>
      <c r="M284" s="6"/>
      <c r="N284" s="1"/>
      <c r="O284" s="2"/>
      <c r="P284" s="2"/>
      <c r="Q284" s="2"/>
      <c r="R284" s="2"/>
      <c r="S284" s="2"/>
      <c r="T284" s="2"/>
      <c r="U284" s="2"/>
      <c r="V284" s="1"/>
      <c r="W284" s="1"/>
    </row>
    <row r="285" spans="5:23">
      <c r="E285" s="1"/>
      <c r="F285" s="1"/>
      <c r="G285" s="1"/>
      <c r="H285" s="27"/>
      <c r="I285" s="27"/>
      <c r="J285" s="6"/>
      <c r="K285" s="27"/>
      <c r="L285" s="6"/>
      <c r="M285" s="6"/>
      <c r="N285" s="1"/>
      <c r="O285" s="2"/>
      <c r="P285" s="2"/>
      <c r="Q285" s="2"/>
      <c r="R285" s="2"/>
      <c r="S285" s="2"/>
      <c r="T285" s="2"/>
      <c r="U285" s="2"/>
      <c r="V285" s="1"/>
      <c r="W285" s="1"/>
    </row>
    <row r="286" spans="5:23">
      <c r="E286" s="1"/>
      <c r="F286" s="1"/>
      <c r="G286" s="1"/>
      <c r="H286" s="27"/>
      <c r="I286" s="27"/>
      <c r="J286" s="6"/>
      <c r="K286" s="27"/>
      <c r="L286" s="6"/>
      <c r="M286" s="6"/>
      <c r="N286" s="1"/>
      <c r="O286" s="2"/>
      <c r="P286" s="2"/>
      <c r="Q286" s="2"/>
      <c r="R286" s="2"/>
      <c r="S286" s="2"/>
      <c r="T286" s="2"/>
      <c r="U286" s="2"/>
      <c r="V286" s="1"/>
      <c r="W286" s="1"/>
    </row>
    <row r="287" spans="5:23">
      <c r="E287" s="1"/>
      <c r="F287" s="1"/>
      <c r="G287" s="1"/>
      <c r="H287" s="27"/>
      <c r="I287" s="27"/>
      <c r="J287" s="6"/>
      <c r="K287" s="27"/>
      <c r="L287" s="6"/>
      <c r="M287" s="6"/>
      <c r="N287" s="1"/>
      <c r="O287" s="2"/>
      <c r="P287" s="2"/>
      <c r="Q287" s="2"/>
      <c r="R287" s="2"/>
      <c r="S287" s="2"/>
      <c r="T287" s="2"/>
      <c r="U287" s="2"/>
      <c r="V287" s="1"/>
      <c r="W287" s="1"/>
    </row>
    <row r="288" spans="5:23">
      <c r="E288" s="1"/>
      <c r="F288" s="1"/>
      <c r="G288" s="1"/>
      <c r="H288" s="27"/>
      <c r="I288" s="27"/>
      <c r="J288" s="6"/>
      <c r="K288" s="27"/>
      <c r="L288" s="6"/>
      <c r="M288" s="6"/>
      <c r="N288" s="1"/>
      <c r="O288" s="2"/>
      <c r="P288" s="2"/>
      <c r="Q288" s="2"/>
      <c r="R288" s="2"/>
      <c r="S288" s="2"/>
      <c r="T288" s="2"/>
      <c r="U288" s="2"/>
      <c r="V288" s="1"/>
      <c r="W288" s="1"/>
    </row>
    <row r="289" spans="5:23">
      <c r="E289" s="1"/>
      <c r="F289" s="1"/>
      <c r="G289" s="1"/>
      <c r="H289" s="27"/>
      <c r="I289" s="27"/>
      <c r="J289" s="6"/>
      <c r="K289" s="27"/>
      <c r="L289" s="6"/>
      <c r="M289" s="6"/>
      <c r="N289" s="1"/>
      <c r="O289" s="2"/>
      <c r="P289" s="2"/>
      <c r="Q289" s="2"/>
      <c r="R289" s="2"/>
      <c r="S289" s="2"/>
      <c r="T289" s="2"/>
      <c r="U289" s="2"/>
      <c r="V289" s="1"/>
      <c r="W289" s="1"/>
    </row>
    <row r="290" spans="5:23">
      <c r="E290" s="1"/>
      <c r="F290" s="1"/>
      <c r="G290" s="1"/>
      <c r="H290" s="27"/>
      <c r="I290" s="27"/>
      <c r="J290" s="6"/>
      <c r="K290" s="27"/>
      <c r="L290" s="6"/>
      <c r="M290" s="6"/>
      <c r="N290" s="1"/>
      <c r="O290" s="2"/>
      <c r="P290" s="2"/>
      <c r="Q290" s="2"/>
      <c r="R290" s="2"/>
      <c r="S290" s="2"/>
      <c r="T290" s="2"/>
      <c r="U290" s="2"/>
      <c r="V290" s="1"/>
      <c r="W290" s="1"/>
    </row>
    <row r="291" spans="5:23">
      <c r="E291" s="1"/>
      <c r="F291" s="1"/>
      <c r="G291" s="1"/>
      <c r="H291" s="27"/>
      <c r="I291" s="27"/>
      <c r="J291" s="6"/>
      <c r="K291" s="27"/>
      <c r="L291" s="6"/>
      <c r="M291" s="6"/>
      <c r="N291" s="1"/>
      <c r="O291" s="2"/>
      <c r="P291" s="2"/>
      <c r="Q291" s="2"/>
      <c r="R291" s="2"/>
      <c r="S291" s="2"/>
      <c r="T291" s="2"/>
      <c r="U291" s="2"/>
      <c r="V291" s="1"/>
      <c r="W291" s="1"/>
    </row>
    <row r="292" spans="5:23">
      <c r="E292" s="1"/>
      <c r="F292" s="1"/>
      <c r="G292" s="1"/>
      <c r="H292" s="27"/>
      <c r="I292" s="27"/>
      <c r="J292" s="6"/>
      <c r="K292" s="27"/>
      <c r="L292" s="6"/>
      <c r="M292" s="6"/>
      <c r="N292" s="1"/>
      <c r="O292" s="2"/>
      <c r="P292" s="2"/>
      <c r="Q292" s="2"/>
      <c r="R292" s="2"/>
      <c r="S292" s="2"/>
      <c r="T292" s="2"/>
      <c r="U292" s="2"/>
      <c r="V292" s="1"/>
      <c r="W292" s="1"/>
    </row>
    <row r="293" spans="5:23">
      <c r="E293" s="1"/>
      <c r="F293" s="1"/>
      <c r="G293" s="1"/>
      <c r="H293" s="27"/>
      <c r="I293" s="27"/>
      <c r="J293" s="6"/>
      <c r="K293" s="27"/>
      <c r="L293" s="6"/>
      <c r="M293" s="6"/>
      <c r="N293" s="1"/>
      <c r="O293" s="2"/>
      <c r="P293" s="2"/>
      <c r="Q293" s="2"/>
      <c r="R293" s="2"/>
      <c r="S293" s="2"/>
      <c r="T293" s="2"/>
      <c r="U293" s="2"/>
      <c r="V293" s="1"/>
      <c r="W293" s="1"/>
    </row>
    <row r="294" spans="5:23">
      <c r="E294" s="1"/>
      <c r="F294" s="1"/>
      <c r="G294" s="1"/>
      <c r="H294" s="27"/>
      <c r="I294" s="27"/>
      <c r="J294" s="6"/>
      <c r="K294" s="27"/>
      <c r="L294" s="6"/>
      <c r="M294" s="6"/>
      <c r="N294" s="1"/>
      <c r="O294" s="2"/>
      <c r="P294" s="2"/>
      <c r="Q294" s="2"/>
      <c r="R294" s="2"/>
      <c r="S294" s="2"/>
      <c r="T294" s="2"/>
      <c r="U294" s="2"/>
      <c r="V294" s="1"/>
      <c r="W294" s="1"/>
    </row>
    <row r="295" spans="5:23">
      <c r="E295" s="1"/>
      <c r="F295" s="1"/>
      <c r="G295" s="1"/>
      <c r="H295" s="27"/>
      <c r="I295" s="27"/>
      <c r="J295" s="6"/>
      <c r="K295" s="27"/>
      <c r="L295" s="6"/>
      <c r="M295" s="6"/>
      <c r="N295" s="1"/>
      <c r="O295" s="2"/>
      <c r="P295" s="2"/>
      <c r="Q295" s="2"/>
      <c r="R295" s="2"/>
      <c r="S295" s="2"/>
      <c r="T295" s="2"/>
      <c r="U295" s="2"/>
      <c r="V295" s="1"/>
      <c r="W295" s="1"/>
    </row>
    <row r="296" spans="5:23">
      <c r="E296" s="1"/>
      <c r="F296" s="1"/>
      <c r="G296" s="1"/>
      <c r="H296" s="27"/>
      <c r="I296" s="27"/>
      <c r="J296" s="6"/>
      <c r="K296" s="27"/>
      <c r="L296" s="6"/>
      <c r="M296" s="6"/>
      <c r="N296" s="1"/>
      <c r="O296" s="2"/>
      <c r="P296" s="2"/>
      <c r="Q296" s="2"/>
      <c r="R296" s="2"/>
      <c r="S296" s="2"/>
      <c r="T296" s="2"/>
      <c r="U296" s="2"/>
      <c r="V296" s="1"/>
      <c r="W296" s="1"/>
    </row>
    <row r="297" spans="5:23">
      <c r="E297" s="1"/>
      <c r="F297" s="1"/>
      <c r="G297" s="1"/>
      <c r="H297" s="27"/>
      <c r="I297" s="27"/>
      <c r="J297" s="6"/>
      <c r="K297" s="27"/>
      <c r="L297" s="6"/>
      <c r="M297" s="6"/>
      <c r="N297" s="1"/>
      <c r="O297" s="2"/>
      <c r="P297" s="2"/>
      <c r="Q297" s="2"/>
      <c r="R297" s="2"/>
      <c r="S297" s="2"/>
      <c r="T297" s="2"/>
      <c r="U297" s="2"/>
      <c r="V297" s="1"/>
      <c r="W297" s="1"/>
    </row>
    <row r="298" spans="5:23">
      <c r="E298" s="1"/>
      <c r="F298" s="1"/>
      <c r="G298" s="1"/>
      <c r="H298" s="27"/>
      <c r="I298" s="27"/>
      <c r="J298" s="6"/>
      <c r="K298" s="27"/>
      <c r="L298" s="6"/>
      <c r="M298" s="6"/>
      <c r="N298" s="1"/>
      <c r="O298" s="2"/>
      <c r="P298" s="2"/>
      <c r="Q298" s="2"/>
      <c r="R298" s="2"/>
      <c r="S298" s="2"/>
      <c r="T298" s="2"/>
      <c r="U298" s="2"/>
      <c r="V298" s="1"/>
      <c r="W298" s="1"/>
    </row>
    <row r="299" spans="5:23">
      <c r="E299" s="1"/>
      <c r="F299" s="1"/>
      <c r="G299" s="1"/>
      <c r="H299" s="27"/>
      <c r="I299" s="27"/>
      <c r="J299" s="6"/>
      <c r="K299" s="27"/>
      <c r="L299" s="6"/>
      <c r="M299" s="6"/>
      <c r="N299" s="1"/>
      <c r="O299" s="2"/>
      <c r="P299" s="2"/>
      <c r="Q299" s="2"/>
      <c r="R299" s="2"/>
      <c r="S299" s="2"/>
      <c r="T299" s="2"/>
      <c r="U299" s="2"/>
      <c r="V299" s="1"/>
      <c r="W299" s="1"/>
    </row>
    <row r="300" spans="5:23">
      <c r="E300" s="1"/>
      <c r="F300" s="1"/>
      <c r="G300" s="1"/>
      <c r="H300" s="27"/>
      <c r="I300" s="27"/>
      <c r="J300" s="6"/>
      <c r="K300" s="27"/>
      <c r="L300" s="6"/>
      <c r="M300" s="6"/>
      <c r="N300" s="1"/>
      <c r="O300" s="2"/>
      <c r="P300" s="2"/>
      <c r="Q300" s="2"/>
      <c r="R300" s="2"/>
      <c r="S300" s="2"/>
      <c r="T300" s="2"/>
      <c r="U300" s="2"/>
      <c r="V300" s="1"/>
      <c r="W300" s="1"/>
    </row>
    <row r="301" spans="5:23">
      <c r="E301" s="1"/>
      <c r="F301" s="1"/>
      <c r="G301" s="1"/>
      <c r="H301" s="27"/>
      <c r="I301" s="27"/>
      <c r="J301" s="6"/>
      <c r="K301" s="27"/>
      <c r="L301" s="6"/>
      <c r="M301" s="6"/>
      <c r="N301" s="1"/>
      <c r="O301" s="2"/>
      <c r="P301" s="2"/>
      <c r="Q301" s="2"/>
      <c r="R301" s="2"/>
      <c r="S301" s="2"/>
      <c r="T301" s="2"/>
      <c r="U301" s="2"/>
      <c r="V301" s="1"/>
      <c r="W301" s="1"/>
    </row>
    <row r="302" spans="5:23">
      <c r="E302" s="1"/>
      <c r="F302" s="1"/>
      <c r="G302" s="1"/>
      <c r="H302" s="27"/>
      <c r="I302" s="27"/>
      <c r="J302" s="6"/>
      <c r="K302" s="27"/>
      <c r="L302" s="6"/>
      <c r="M302" s="6"/>
      <c r="N302" s="1"/>
      <c r="O302" s="2"/>
      <c r="P302" s="2"/>
      <c r="Q302" s="2"/>
      <c r="R302" s="2"/>
      <c r="S302" s="2"/>
      <c r="T302" s="2"/>
      <c r="U302" s="2"/>
      <c r="V302" s="1"/>
      <c r="W302" s="1"/>
    </row>
    <row r="303" spans="5:23">
      <c r="E303" s="1"/>
      <c r="F303" s="1"/>
      <c r="G303" s="1"/>
      <c r="H303" s="27"/>
      <c r="I303" s="27"/>
      <c r="J303" s="6"/>
      <c r="K303" s="27"/>
      <c r="L303" s="6"/>
      <c r="M303" s="6"/>
      <c r="N303" s="1"/>
      <c r="O303" s="2"/>
      <c r="P303" s="2"/>
      <c r="Q303" s="2"/>
      <c r="R303" s="2"/>
      <c r="S303" s="2"/>
      <c r="T303" s="2"/>
      <c r="U303" s="2"/>
      <c r="V303" s="1"/>
      <c r="W303" s="1"/>
    </row>
    <row r="304" spans="5:23">
      <c r="E304" s="1"/>
      <c r="F304" s="1"/>
      <c r="G304" s="1"/>
      <c r="H304" s="27"/>
      <c r="I304" s="27"/>
      <c r="J304" s="6"/>
      <c r="K304" s="27"/>
      <c r="L304" s="6"/>
      <c r="M304" s="6"/>
      <c r="N304" s="1"/>
      <c r="O304" s="2"/>
      <c r="P304" s="2"/>
      <c r="Q304" s="2"/>
      <c r="R304" s="2"/>
      <c r="S304" s="2"/>
      <c r="T304" s="2"/>
      <c r="U304" s="2"/>
      <c r="V304" s="1"/>
      <c r="W304" s="1"/>
    </row>
    <row r="305" spans="5:23">
      <c r="E305" s="1"/>
      <c r="F305" s="1"/>
      <c r="G305" s="1"/>
      <c r="H305" s="27"/>
      <c r="I305" s="27"/>
      <c r="J305" s="6"/>
      <c r="K305" s="27"/>
      <c r="L305" s="6"/>
      <c r="M305" s="6"/>
      <c r="N305" s="1"/>
      <c r="O305" s="2"/>
      <c r="P305" s="2"/>
      <c r="Q305" s="2"/>
      <c r="R305" s="2"/>
      <c r="S305" s="2"/>
      <c r="T305" s="2"/>
      <c r="U305" s="2"/>
      <c r="V305" s="1"/>
      <c r="W305" s="1"/>
    </row>
    <row r="306" spans="5:23">
      <c r="E306" s="1"/>
      <c r="F306" s="1"/>
      <c r="G306" s="1"/>
      <c r="H306" s="27"/>
      <c r="I306" s="27"/>
      <c r="J306" s="6"/>
      <c r="K306" s="27"/>
      <c r="L306" s="6"/>
      <c r="M306" s="6"/>
      <c r="N306" s="1"/>
      <c r="O306" s="2"/>
      <c r="P306" s="2"/>
      <c r="Q306" s="2"/>
      <c r="R306" s="2"/>
      <c r="S306" s="2"/>
      <c r="T306" s="2"/>
      <c r="U306" s="2"/>
      <c r="V306" s="1"/>
      <c r="W306" s="1"/>
    </row>
    <row r="307" spans="5:23">
      <c r="E307" s="1"/>
      <c r="F307" s="1"/>
      <c r="G307" s="1"/>
      <c r="H307" s="27"/>
      <c r="I307" s="27"/>
      <c r="J307" s="6"/>
      <c r="K307" s="27"/>
      <c r="L307" s="6"/>
      <c r="M307" s="6"/>
      <c r="N307" s="1"/>
      <c r="O307" s="2"/>
      <c r="P307" s="2"/>
      <c r="Q307" s="2"/>
      <c r="R307" s="2"/>
      <c r="S307" s="2"/>
      <c r="T307" s="2"/>
      <c r="U307" s="2"/>
      <c r="V307" s="1"/>
      <c r="W307" s="1"/>
    </row>
    <row r="308" spans="5:23">
      <c r="E308" s="1"/>
      <c r="F308" s="1"/>
      <c r="G308" s="1"/>
      <c r="H308" s="27"/>
      <c r="I308" s="27"/>
      <c r="J308" s="6"/>
      <c r="K308" s="27"/>
      <c r="L308" s="6"/>
      <c r="M308" s="6"/>
      <c r="N308" s="1"/>
      <c r="O308" s="2"/>
      <c r="P308" s="2"/>
      <c r="Q308" s="2"/>
      <c r="R308" s="2"/>
      <c r="S308" s="2"/>
      <c r="T308" s="2"/>
      <c r="U308" s="2"/>
      <c r="V308" s="1"/>
      <c r="W308" s="1"/>
    </row>
    <row r="309" spans="5:23">
      <c r="E309" s="1"/>
      <c r="F309" s="1"/>
      <c r="G309" s="1"/>
      <c r="H309" s="27"/>
      <c r="I309" s="27"/>
      <c r="J309" s="6"/>
      <c r="K309" s="27"/>
      <c r="L309" s="6"/>
      <c r="M309" s="6"/>
      <c r="N309" s="1"/>
      <c r="O309" s="2"/>
      <c r="P309" s="2"/>
      <c r="Q309" s="2"/>
      <c r="R309" s="2"/>
      <c r="S309" s="2"/>
      <c r="T309" s="2"/>
      <c r="U309" s="2"/>
      <c r="V309" s="1"/>
      <c r="W309" s="1"/>
    </row>
    <row r="310" spans="5:23">
      <c r="E310" s="1"/>
      <c r="F310" s="1"/>
      <c r="G310" s="1"/>
      <c r="H310" s="27"/>
      <c r="I310" s="27"/>
      <c r="J310" s="6"/>
      <c r="K310" s="27"/>
      <c r="L310" s="6"/>
      <c r="M310" s="6"/>
      <c r="N310" s="1"/>
      <c r="O310" s="2"/>
      <c r="P310" s="2"/>
      <c r="Q310" s="2"/>
      <c r="R310" s="2"/>
      <c r="S310" s="2"/>
      <c r="T310" s="2"/>
      <c r="U310" s="2"/>
      <c r="V310" s="1"/>
      <c r="W310" s="1"/>
    </row>
    <row r="311" spans="5:23">
      <c r="E311" s="1"/>
      <c r="F311" s="1"/>
      <c r="G311" s="1"/>
      <c r="H311" s="27"/>
      <c r="I311" s="27"/>
      <c r="J311" s="6"/>
      <c r="K311" s="27"/>
      <c r="L311" s="6"/>
      <c r="M311" s="6"/>
      <c r="N311" s="1"/>
      <c r="O311" s="2"/>
      <c r="P311" s="2"/>
      <c r="Q311" s="2"/>
      <c r="R311" s="2"/>
      <c r="S311" s="2"/>
      <c r="T311" s="2"/>
      <c r="U311" s="2"/>
      <c r="V311" s="1"/>
      <c r="W311" s="1"/>
    </row>
    <row r="312" spans="5:23">
      <c r="E312" s="1"/>
      <c r="F312" s="1"/>
      <c r="G312" s="1"/>
      <c r="H312" s="27"/>
      <c r="I312" s="27"/>
      <c r="J312" s="6"/>
      <c r="K312" s="27"/>
      <c r="L312" s="6"/>
      <c r="M312" s="6"/>
      <c r="N312" s="1"/>
      <c r="O312" s="2"/>
      <c r="P312" s="2"/>
      <c r="Q312" s="2"/>
      <c r="R312" s="2"/>
      <c r="S312" s="2"/>
      <c r="T312" s="2"/>
      <c r="U312" s="2"/>
      <c r="V312" s="1"/>
      <c r="W312" s="1"/>
    </row>
    <row r="313" spans="5:23">
      <c r="E313" s="1"/>
      <c r="F313" s="1"/>
      <c r="G313" s="1"/>
      <c r="H313" s="27"/>
      <c r="I313" s="27"/>
      <c r="J313" s="6"/>
      <c r="K313" s="27"/>
      <c r="L313" s="6"/>
      <c r="M313" s="6"/>
      <c r="N313" s="1"/>
      <c r="O313" s="2"/>
      <c r="P313" s="2"/>
      <c r="Q313" s="2"/>
      <c r="R313" s="2"/>
      <c r="S313" s="2"/>
      <c r="T313" s="2"/>
      <c r="U313" s="2"/>
      <c r="V313" s="1"/>
      <c r="W313" s="1"/>
    </row>
    <row r="314" spans="5:23">
      <c r="E314" s="1"/>
      <c r="F314" s="1"/>
      <c r="G314" s="1"/>
      <c r="H314" s="27"/>
      <c r="I314" s="27"/>
      <c r="J314" s="6"/>
      <c r="K314" s="27"/>
      <c r="L314" s="6"/>
      <c r="M314" s="6"/>
      <c r="N314" s="1"/>
      <c r="O314" s="2"/>
      <c r="P314" s="2"/>
      <c r="Q314" s="2"/>
      <c r="R314" s="2"/>
      <c r="S314" s="2"/>
      <c r="T314" s="2"/>
      <c r="U314" s="2"/>
      <c r="V314" s="1"/>
      <c r="W314" s="1"/>
    </row>
    <row r="315" spans="5:23">
      <c r="E315" s="1"/>
      <c r="F315" s="1"/>
      <c r="G315" s="1"/>
      <c r="H315" s="27"/>
      <c r="I315" s="27"/>
      <c r="J315" s="6"/>
      <c r="K315" s="27"/>
      <c r="L315" s="6"/>
      <c r="M315" s="6"/>
      <c r="N315" s="1"/>
      <c r="O315" s="2"/>
      <c r="P315" s="2"/>
      <c r="Q315" s="2"/>
      <c r="R315" s="2"/>
      <c r="S315" s="2"/>
      <c r="T315" s="2"/>
      <c r="U315" s="2"/>
      <c r="V315" s="1"/>
      <c r="W315" s="1"/>
    </row>
    <row r="316" spans="5:23">
      <c r="E316" s="1"/>
      <c r="F316" s="1"/>
      <c r="G316" s="1"/>
      <c r="H316" s="27"/>
      <c r="I316" s="27"/>
      <c r="J316" s="6"/>
      <c r="K316" s="27"/>
      <c r="L316" s="6"/>
      <c r="M316" s="6"/>
      <c r="N316" s="1"/>
      <c r="O316" s="2"/>
      <c r="P316" s="2"/>
      <c r="Q316" s="2"/>
      <c r="R316" s="2"/>
      <c r="S316" s="2"/>
      <c r="T316" s="2"/>
      <c r="U316" s="2"/>
      <c r="V316" s="1"/>
      <c r="W316" s="1"/>
    </row>
    <row r="317" spans="5:23">
      <c r="E317" s="1"/>
      <c r="F317" s="1"/>
      <c r="G317" s="1"/>
      <c r="H317" s="27"/>
      <c r="I317" s="27"/>
      <c r="J317" s="6"/>
      <c r="K317" s="27"/>
      <c r="L317" s="6"/>
      <c r="M317" s="6"/>
      <c r="N317" s="1"/>
      <c r="O317" s="2"/>
      <c r="P317" s="2"/>
      <c r="Q317" s="2"/>
      <c r="R317" s="2"/>
      <c r="S317" s="2"/>
      <c r="T317" s="2"/>
      <c r="U317" s="2"/>
      <c r="V317" s="1"/>
      <c r="W317" s="1"/>
    </row>
    <row r="318" spans="5:23">
      <c r="E318" s="1"/>
      <c r="F318" s="1"/>
      <c r="G318" s="1"/>
      <c r="H318" s="27"/>
      <c r="I318" s="27"/>
      <c r="J318" s="6"/>
      <c r="K318" s="27"/>
      <c r="L318" s="6"/>
      <c r="M318" s="6"/>
      <c r="N318" s="1"/>
      <c r="O318" s="2"/>
      <c r="P318" s="2"/>
      <c r="Q318" s="2"/>
      <c r="R318" s="2"/>
      <c r="S318" s="2"/>
      <c r="T318" s="2"/>
      <c r="U318" s="2"/>
      <c r="V318" s="1"/>
      <c r="W318" s="1"/>
    </row>
    <row r="319" spans="5:23">
      <c r="E319" s="1"/>
      <c r="F319" s="1"/>
      <c r="G319" s="1"/>
      <c r="H319" s="27"/>
      <c r="I319" s="27"/>
      <c r="J319" s="6"/>
      <c r="K319" s="27"/>
      <c r="L319" s="6"/>
      <c r="M319" s="6"/>
      <c r="N319" s="1"/>
      <c r="O319" s="2"/>
      <c r="P319" s="2"/>
      <c r="Q319" s="2"/>
      <c r="R319" s="2"/>
      <c r="S319" s="2"/>
      <c r="T319" s="2"/>
      <c r="U319" s="2"/>
      <c r="V319" s="1"/>
      <c r="W319" s="1"/>
    </row>
    <row r="320" spans="5:23">
      <c r="E320" s="1"/>
      <c r="F320" s="1"/>
      <c r="G320" s="1"/>
      <c r="H320" s="27"/>
      <c r="I320" s="27"/>
      <c r="J320" s="6"/>
      <c r="K320" s="27"/>
      <c r="L320" s="6"/>
      <c r="M320" s="6"/>
      <c r="N320" s="1"/>
      <c r="O320" s="2"/>
      <c r="P320" s="2"/>
      <c r="Q320" s="2"/>
      <c r="R320" s="2"/>
      <c r="S320" s="2"/>
      <c r="T320" s="2"/>
      <c r="U320" s="2"/>
      <c r="V320" s="1"/>
      <c r="W320" s="1"/>
    </row>
    <row r="321" spans="5:23">
      <c r="E321" s="1"/>
      <c r="F321" s="1"/>
      <c r="G321" s="1"/>
      <c r="H321" s="27"/>
      <c r="I321" s="27"/>
      <c r="J321" s="6"/>
      <c r="K321" s="27"/>
      <c r="L321" s="6"/>
      <c r="M321" s="6"/>
      <c r="N321" s="1"/>
      <c r="O321" s="2"/>
      <c r="P321" s="2"/>
      <c r="Q321" s="2"/>
      <c r="R321" s="2"/>
      <c r="S321" s="2"/>
      <c r="T321" s="2"/>
      <c r="U321" s="2"/>
      <c r="V321" s="1"/>
      <c r="W321" s="1"/>
    </row>
    <row r="322" spans="5:23">
      <c r="E322" s="1"/>
      <c r="F322" s="1"/>
      <c r="G322" s="1"/>
      <c r="H322" s="27"/>
      <c r="I322" s="27"/>
      <c r="J322" s="6"/>
      <c r="K322" s="27"/>
      <c r="L322" s="6"/>
      <c r="M322" s="6"/>
      <c r="N322" s="1"/>
      <c r="O322" s="2"/>
      <c r="P322" s="2"/>
      <c r="Q322" s="2"/>
      <c r="R322" s="2"/>
      <c r="S322" s="2"/>
      <c r="T322" s="2"/>
      <c r="U322" s="2"/>
      <c r="V322" s="1"/>
      <c r="W322" s="1"/>
    </row>
    <row r="323" spans="5:23">
      <c r="E323" s="1"/>
      <c r="F323" s="1"/>
      <c r="G323" s="1"/>
      <c r="H323" s="27"/>
      <c r="I323" s="27"/>
      <c r="J323" s="6"/>
      <c r="K323" s="27"/>
      <c r="L323" s="6"/>
      <c r="M323" s="6"/>
      <c r="N323" s="1"/>
      <c r="O323" s="2"/>
      <c r="P323" s="2"/>
      <c r="Q323" s="2"/>
      <c r="R323" s="2"/>
      <c r="S323" s="2"/>
      <c r="T323" s="2"/>
      <c r="U323" s="2"/>
      <c r="V323" s="1"/>
      <c r="W323" s="1"/>
    </row>
    <row r="324" spans="5:23">
      <c r="E324" s="1"/>
      <c r="F324" s="1"/>
      <c r="G324" s="1"/>
      <c r="H324" s="27"/>
      <c r="I324" s="27"/>
      <c r="J324" s="6"/>
      <c r="K324" s="27"/>
      <c r="L324" s="6"/>
      <c r="M324" s="6"/>
      <c r="N324" s="1"/>
      <c r="O324" s="2"/>
      <c r="P324" s="2"/>
      <c r="Q324" s="2"/>
      <c r="R324" s="2"/>
      <c r="S324" s="2"/>
      <c r="T324" s="2"/>
      <c r="U324" s="2"/>
      <c r="V324" s="1"/>
      <c r="W324" s="1"/>
    </row>
    <row r="325" spans="5:23">
      <c r="E325" s="1"/>
      <c r="F325" s="1"/>
      <c r="G325" s="1"/>
      <c r="H325" s="27"/>
      <c r="I325" s="27"/>
      <c r="J325" s="6"/>
      <c r="K325" s="27"/>
      <c r="L325" s="6"/>
      <c r="M325" s="6"/>
      <c r="N325" s="1"/>
      <c r="O325" s="2"/>
      <c r="P325" s="2"/>
      <c r="Q325" s="2"/>
      <c r="R325" s="2"/>
      <c r="S325" s="2"/>
      <c r="T325" s="2"/>
      <c r="U325" s="2"/>
      <c r="V325" s="1"/>
      <c r="W325" s="1"/>
    </row>
    <row r="326" spans="5:23">
      <c r="E326" s="1"/>
      <c r="F326" s="1"/>
      <c r="G326" s="1"/>
      <c r="H326" s="27"/>
      <c r="I326" s="27"/>
      <c r="J326" s="6"/>
      <c r="K326" s="27"/>
      <c r="L326" s="6"/>
      <c r="M326" s="6"/>
      <c r="N326" s="1"/>
      <c r="O326" s="2"/>
      <c r="P326" s="2"/>
      <c r="Q326" s="2"/>
      <c r="R326" s="2"/>
      <c r="S326" s="2"/>
      <c r="T326" s="2"/>
      <c r="U326" s="2"/>
      <c r="V326" s="1"/>
      <c r="W326" s="1"/>
    </row>
    <row r="327" spans="5:23">
      <c r="E327" s="1"/>
      <c r="F327" s="1"/>
      <c r="G327" s="1"/>
      <c r="H327" s="27"/>
      <c r="I327" s="27"/>
      <c r="J327" s="6"/>
      <c r="K327" s="27"/>
      <c r="L327" s="6"/>
      <c r="M327" s="6"/>
      <c r="N327" s="1"/>
      <c r="O327" s="2"/>
      <c r="P327" s="2"/>
      <c r="Q327" s="2"/>
      <c r="R327" s="2"/>
      <c r="S327" s="2"/>
      <c r="T327" s="2"/>
      <c r="U327" s="2"/>
      <c r="V327" s="1"/>
      <c r="W327" s="1"/>
    </row>
    <row r="328" spans="5:23">
      <c r="E328" s="1"/>
      <c r="F328" s="1"/>
      <c r="G328" s="1"/>
      <c r="H328" s="27"/>
      <c r="I328" s="27"/>
      <c r="J328" s="6"/>
      <c r="K328" s="27"/>
      <c r="L328" s="6"/>
      <c r="M328" s="6"/>
      <c r="N328" s="1"/>
      <c r="O328" s="2"/>
      <c r="P328" s="2"/>
      <c r="Q328" s="2"/>
      <c r="R328" s="2"/>
      <c r="S328" s="2"/>
      <c r="T328" s="2"/>
      <c r="U328" s="2"/>
      <c r="V328" s="1"/>
      <c r="W328" s="1"/>
    </row>
    <row r="329" spans="5:23">
      <c r="E329" s="1"/>
      <c r="F329" s="1"/>
      <c r="G329" s="1"/>
      <c r="H329" s="27"/>
      <c r="I329" s="27"/>
      <c r="J329" s="6"/>
      <c r="K329" s="27"/>
      <c r="L329" s="6"/>
      <c r="M329" s="6"/>
      <c r="N329" s="1"/>
      <c r="O329" s="2"/>
      <c r="P329" s="2"/>
      <c r="Q329" s="2"/>
      <c r="R329" s="2"/>
      <c r="S329" s="2"/>
      <c r="T329" s="2"/>
      <c r="U329" s="2"/>
      <c r="V329" s="1"/>
      <c r="W329" s="1"/>
    </row>
    <row r="330" spans="5:23">
      <c r="E330" s="1"/>
      <c r="F330" s="1"/>
      <c r="G330" s="1"/>
      <c r="H330" s="27"/>
      <c r="I330" s="27"/>
      <c r="J330" s="6"/>
      <c r="K330" s="27"/>
      <c r="L330" s="6"/>
      <c r="M330" s="6"/>
      <c r="N330" s="1"/>
      <c r="O330" s="2"/>
      <c r="P330" s="2"/>
      <c r="Q330" s="2"/>
      <c r="R330" s="2"/>
      <c r="S330" s="2"/>
      <c r="T330" s="2"/>
      <c r="U330" s="2"/>
      <c r="V330" s="1"/>
      <c r="W330" s="1"/>
    </row>
    <row r="331" spans="5:23">
      <c r="E331" s="1"/>
      <c r="F331" s="1"/>
      <c r="G331" s="1"/>
      <c r="H331" s="27"/>
      <c r="I331" s="27"/>
      <c r="J331" s="6"/>
      <c r="K331" s="27"/>
      <c r="L331" s="6"/>
      <c r="M331" s="6"/>
      <c r="N331" s="1"/>
      <c r="O331" s="2"/>
      <c r="P331" s="2"/>
      <c r="Q331" s="2"/>
      <c r="R331" s="2"/>
      <c r="S331" s="2"/>
      <c r="T331" s="2"/>
      <c r="U331" s="2"/>
      <c r="V331" s="1"/>
      <c r="W331" s="1"/>
    </row>
    <row r="332" spans="5:23">
      <c r="E332" s="1"/>
      <c r="F332" s="1"/>
      <c r="G332" s="1"/>
      <c r="H332" s="27"/>
      <c r="I332" s="27"/>
      <c r="J332" s="6"/>
      <c r="K332" s="27"/>
      <c r="L332" s="6"/>
      <c r="M332" s="6"/>
      <c r="N332" s="1"/>
      <c r="O332" s="2"/>
      <c r="P332" s="2"/>
      <c r="Q332" s="2"/>
      <c r="R332" s="2"/>
      <c r="S332" s="2"/>
      <c r="T332" s="2"/>
      <c r="U332" s="2"/>
      <c r="V332" s="1"/>
      <c r="W332" s="1"/>
    </row>
    <row r="333" spans="5:23">
      <c r="E333" s="1"/>
      <c r="F333" s="1"/>
      <c r="G333" s="1"/>
      <c r="H333" s="27"/>
      <c r="I333" s="27"/>
      <c r="J333" s="6"/>
      <c r="K333" s="27"/>
      <c r="L333" s="6"/>
      <c r="M333" s="6"/>
      <c r="N333" s="1"/>
      <c r="O333" s="2"/>
      <c r="P333" s="2"/>
      <c r="Q333" s="2"/>
      <c r="R333" s="2"/>
      <c r="S333" s="2"/>
      <c r="T333" s="2"/>
      <c r="U333" s="2"/>
      <c r="V333" s="1"/>
      <c r="W333" s="1"/>
    </row>
    <row r="334" spans="5:23">
      <c r="E334" s="1"/>
      <c r="F334" s="1"/>
      <c r="G334" s="1"/>
      <c r="H334" s="27"/>
      <c r="I334" s="27"/>
      <c r="J334" s="6"/>
      <c r="K334" s="27"/>
      <c r="L334" s="6"/>
      <c r="M334" s="6"/>
      <c r="N334" s="1"/>
      <c r="O334" s="2"/>
      <c r="P334" s="2"/>
      <c r="Q334" s="2"/>
      <c r="R334" s="2"/>
      <c r="S334" s="2"/>
      <c r="T334" s="2"/>
      <c r="U334" s="2"/>
      <c r="V334" s="1"/>
      <c r="W334" s="1"/>
    </row>
    <row r="335" spans="5:23">
      <c r="E335" s="1"/>
      <c r="F335" s="1"/>
      <c r="G335" s="1"/>
      <c r="H335" s="27"/>
      <c r="I335" s="27"/>
      <c r="J335" s="6"/>
      <c r="K335" s="27"/>
      <c r="L335" s="6"/>
      <c r="M335" s="6"/>
      <c r="N335" s="1"/>
      <c r="O335" s="2"/>
      <c r="P335" s="2"/>
      <c r="Q335" s="2"/>
      <c r="R335" s="2"/>
      <c r="S335" s="2"/>
      <c r="T335" s="2"/>
      <c r="U335" s="2"/>
      <c r="V335" s="1"/>
      <c r="W335" s="1"/>
    </row>
    <row r="336" spans="5:23">
      <c r="E336" s="1"/>
      <c r="F336" s="1"/>
      <c r="G336" s="1"/>
      <c r="H336" s="27"/>
      <c r="I336" s="27"/>
      <c r="J336" s="6"/>
      <c r="K336" s="27"/>
      <c r="L336" s="6"/>
      <c r="M336" s="6"/>
      <c r="N336" s="1"/>
      <c r="O336" s="2"/>
      <c r="P336" s="2"/>
      <c r="Q336" s="2"/>
      <c r="R336" s="2"/>
      <c r="S336" s="2"/>
      <c r="T336" s="2"/>
      <c r="U336" s="2"/>
      <c r="V336" s="1"/>
      <c r="W336" s="1"/>
    </row>
    <row r="337" spans="5:23">
      <c r="E337" s="1"/>
      <c r="F337" s="1"/>
      <c r="G337" s="1"/>
      <c r="H337" s="27"/>
      <c r="I337" s="27"/>
      <c r="J337" s="6"/>
      <c r="K337" s="27"/>
      <c r="L337" s="6"/>
      <c r="M337" s="6"/>
      <c r="N337" s="1"/>
      <c r="O337" s="2"/>
      <c r="P337" s="2"/>
      <c r="Q337" s="2"/>
      <c r="R337" s="2"/>
      <c r="S337" s="2"/>
      <c r="T337" s="2"/>
      <c r="U337" s="2"/>
      <c r="V337" s="1"/>
      <c r="W337" s="1"/>
    </row>
    <row r="338" spans="5:23">
      <c r="E338" s="1"/>
      <c r="F338" s="1"/>
      <c r="G338" s="1"/>
      <c r="H338" s="27"/>
      <c r="I338" s="27"/>
      <c r="J338" s="6"/>
      <c r="K338" s="27"/>
      <c r="L338" s="6"/>
      <c r="M338" s="6"/>
      <c r="N338" s="1"/>
      <c r="O338" s="2"/>
      <c r="P338" s="2"/>
      <c r="Q338" s="2"/>
      <c r="R338" s="2"/>
      <c r="S338" s="2"/>
      <c r="T338" s="2"/>
      <c r="U338" s="2"/>
      <c r="V338" s="1"/>
      <c r="W338" s="1"/>
    </row>
    <row r="339" spans="5:23">
      <c r="E339" s="1"/>
      <c r="F339" s="1"/>
      <c r="G339" s="1"/>
      <c r="H339" s="27"/>
      <c r="I339" s="27"/>
      <c r="J339" s="6"/>
      <c r="K339" s="27"/>
      <c r="L339" s="6"/>
      <c r="M339" s="6"/>
      <c r="N339" s="1"/>
      <c r="O339" s="2"/>
      <c r="P339" s="2"/>
      <c r="Q339" s="2"/>
      <c r="R339" s="2"/>
      <c r="S339" s="2"/>
      <c r="T339" s="2"/>
      <c r="U339" s="2"/>
      <c r="V339" s="1"/>
      <c r="W339" s="1"/>
    </row>
    <row r="340" spans="5:23">
      <c r="E340" s="1"/>
      <c r="F340" s="1"/>
      <c r="G340" s="1"/>
      <c r="H340" s="27"/>
      <c r="I340" s="27"/>
      <c r="J340" s="6"/>
      <c r="K340" s="27"/>
      <c r="L340" s="6"/>
      <c r="M340" s="6"/>
      <c r="N340" s="1"/>
      <c r="O340" s="2"/>
      <c r="P340" s="2"/>
      <c r="Q340" s="2"/>
      <c r="R340" s="2"/>
      <c r="S340" s="2"/>
      <c r="T340" s="2"/>
      <c r="U340" s="2"/>
      <c r="V340" s="1"/>
      <c r="W340" s="1"/>
    </row>
    <row r="341" spans="5:23">
      <c r="E341" s="1"/>
      <c r="F341" s="1"/>
      <c r="G341" s="1"/>
      <c r="H341" s="27"/>
      <c r="I341" s="27"/>
      <c r="J341" s="6"/>
      <c r="K341" s="27"/>
      <c r="L341" s="6"/>
      <c r="M341" s="6"/>
      <c r="N341" s="1"/>
      <c r="O341" s="2"/>
      <c r="P341" s="2"/>
      <c r="Q341" s="2"/>
      <c r="R341" s="2"/>
      <c r="S341" s="2"/>
      <c r="T341" s="2"/>
      <c r="U341" s="2"/>
      <c r="V341" s="1"/>
      <c r="W341" s="1"/>
    </row>
    <row r="342" spans="5:23">
      <c r="E342" s="1"/>
      <c r="F342" s="1"/>
      <c r="G342" s="1"/>
      <c r="H342" s="27"/>
      <c r="I342" s="27"/>
      <c r="J342" s="6"/>
      <c r="K342" s="27"/>
      <c r="L342" s="6"/>
      <c r="M342" s="6"/>
      <c r="N342" s="1"/>
      <c r="O342" s="2"/>
      <c r="P342" s="2"/>
      <c r="Q342" s="2"/>
      <c r="R342" s="2"/>
      <c r="S342" s="2"/>
      <c r="T342" s="2"/>
      <c r="U342" s="2"/>
      <c r="V342" s="1"/>
      <c r="W342" s="1"/>
    </row>
    <row r="343" spans="5:23">
      <c r="E343" s="1"/>
      <c r="F343" s="1"/>
      <c r="G343" s="1"/>
      <c r="H343" s="27"/>
      <c r="I343" s="27"/>
      <c r="J343" s="6"/>
      <c r="K343" s="27"/>
      <c r="L343" s="6"/>
      <c r="M343" s="6"/>
      <c r="N343" s="1"/>
      <c r="O343" s="2"/>
      <c r="P343" s="2"/>
      <c r="Q343" s="2"/>
      <c r="R343" s="2"/>
      <c r="S343" s="2"/>
      <c r="T343" s="2"/>
      <c r="U343" s="2"/>
      <c r="V343" s="1"/>
      <c r="W343" s="1"/>
    </row>
    <row r="344" spans="5:23">
      <c r="E344" s="1"/>
      <c r="F344" s="1"/>
      <c r="G344" s="1"/>
      <c r="H344" s="27"/>
      <c r="I344" s="27"/>
      <c r="J344" s="6"/>
      <c r="K344" s="27"/>
      <c r="L344" s="6"/>
      <c r="M344" s="6"/>
      <c r="N344" s="1"/>
      <c r="O344" s="2"/>
      <c r="P344" s="2"/>
      <c r="Q344" s="2"/>
      <c r="R344" s="2"/>
      <c r="S344" s="2"/>
      <c r="T344" s="2"/>
      <c r="U344" s="2"/>
      <c r="V344" s="1"/>
      <c r="W344" s="1"/>
    </row>
    <row r="345" spans="5:23">
      <c r="E345" s="1"/>
      <c r="F345" s="1"/>
      <c r="G345" s="1"/>
      <c r="H345" s="27"/>
      <c r="I345" s="27"/>
      <c r="J345" s="6"/>
      <c r="K345" s="27"/>
      <c r="L345" s="6"/>
      <c r="M345" s="6"/>
      <c r="N345" s="1"/>
      <c r="O345" s="2"/>
      <c r="P345" s="2"/>
      <c r="Q345" s="2"/>
      <c r="R345" s="2"/>
      <c r="S345" s="2"/>
      <c r="T345" s="2"/>
      <c r="U345" s="2"/>
      <c r="V345" s="1"/>
      <c r="W345" s="1"/>
    </row>
    <row r="346" spans="5:23">
      <c r="E346" s="1"/>
      <c r="F346" s="1"/>
      <c r="G346" s="1"/>
      <c r="H346" s="27"/>
      <c r="I346" s="27"/>
      <c r="J346" s="6"/>
      <c r="K346" s="27"/>
      <c r="L346" s="6"/>
      <c r="M346" s="6"/>
      <c r="N346" s="1"/>
      <c r="O346" s="2"/>
      <c r="P346" s="2"/>
      <c r="Q346" s="2"/>
      <c r="R346" s="2"/>
      <c r="S346" s="2"/>
      <c r="T346" s="2"/>
      <c r="U346" s="2"/>
      <c r="V346" s="1"/>
      <c r="W346" s="1"/>
    </row>
    <row r="347" spans="5:23">
      <c r="E347" s="1"/>
      <c r="F347" s="1"/>
      <c r="G347" s="1"/>
      <c r="H347" s="27"/>
      <c r="I347" s="27"/>
      <c r="J347" s="6"/>
      <c r="K347" s="27"/>
      <c r="L347" s="6"/>
      <c r="M347" s="6"/>
      <c r="N347" s="1"/>
      <c r="O347" s="2"/>
      <c r="P347" s="2"/>
      <c r="Q347" s="2"/>
      <c r="R347" s="2"/>
      <c r="S347" s="2"/>
      <c r="T347" s="2"/>
      <c r="U347" s="2"/>
      <c r="V347" s="1"/>
      <c r="W347" s="1"/>
    </row>
    <row r="348" spans="5:23">
      <c r="E348" s="1"/>
      <c r="F348" s="1"/>
      <c r="G348" s="1"/>
      <c r="H348" s="27"/>
      <c r="I348" s="27"/>
      <c r="J348" s="6"/>
      <c r="K348" s="27"/>
      <c r="L348" s="6"/>
      <c r="M348" s="6"/>
      <c r="N348" s="1"/>
      <c r="O348" s="2"/>
      <c r="P348" s="2"/>
      <c r="Q348" s="2"/>
      <c r="R348" s="2"/>
      <c r="S348" s="2"/>
      <c r="T348" s="2"/>
      <c r="U348" s="2"/>
      <c r="V348" s="1"/>
      <c r="W348" s="1"/>
    </row>
    <row r="349" spans="5:23">
      <c r="E349" s="1"/>
      <c r="F349" s="1"/>
      <c r="G349" s="1"/>
      <c r="H349" s="27"/>
      <c r="I349" s="27"/>
      <c r="J349" s="6"/>
      <c r="K349" s="27"/>
      <c r="L349" s="6"/>
      <c r="M349" s="6"/>
      <c r="N349" s="1"/>
      <c r="O349" s="2"/>
      <c r="P349" s="2"/>
      <c r="Q349" s="2"/>
      <c r="R349" s="2"/>
      <c r="S349" s="2"/>
      <c r="T349" s="2"/>
      <c r="U349" s="2"/>
      <c r="V349" s="1"/>
      <c r="W349" s="1"/>
    </row>
    <row r="350" spans="5:23">
      <c r="E350" s="1"/>
      <c r="F350" s="1"/>
      <c r="G350" s="1"/>
      <c r="H350" s="27"/>
      <c r="I350" s="27"/>
      <c r="J350" s="6"/>
      <c r="K350" s="27"/>
      <c r="L350" s="6"/>
      <c r="M350" s="6"/>
      <c r="N350" s="1"/>
      <c r="O350" s="2"/>
      <c r="P350" s="2"/>
      <c r="Q350" s="2"/>
      <c r="R350" s="2"/>
      <c r="S350" s="2"/>
      <c r="T350" s="2"/>
      <c r="U350" s="2"/>
      <c r="V350" s="1"/>
      <c r="W350" s="1"/>
    </row>
    <row r="351" spans="5:23">
      <c r="E351" s="1"/>
      <c r="F351" s="1"/>
      <c r="G351" s="1"/>
      <c r="H351" s="27"/>
      <c r="I351" s="27"/>
      <c r="J351" s="6"/>
      <c r="K351" s="27"/>
      <c r="L351" s="6"/>
      <c r="M351" s="6"/>
      <c r="N351" s="1"/>
      <c r="O351" s="2"/>
      <c r="P351" s="2"/>
      <c r="Q351" s="2"/>
      <c r="R351" s="2"/>
      <c r="S351" s="2"/>
      <c r="T351" s="2"/>
      <c r="U351" s="2"/>
      <c r="V351" s="1"/>
      <c r="W351" s="1"/>
    </row>
    <row r="352" spans="5:23">
      <c r="E352" s="1"/>
      <c r="F352" s="1"/>
      <c r="G352" s="1"/>
      <c r="H352" s="27"/>
      <c r="I352" s="27"/>
      <c r="J352" s="6"/>
      <c r="K352" s="27"/>
      <c r="L352" s="6"/>
      <c r="M352" s="6"/>
      <c r="N352" s="1"/>
      <c r="O352" s="2"/>
      <c r="P352" s="2"/>
      <c r="Q352" s="2"/>
      <c r="R352" s="2"/>
      <c r="S352" s="2"/>
      <c r="T352" s="2"/>
      <c r="U352" s="2"/>
      <c r="V352" s="1"/>
      <c r="W352" s="1"/>
    </row>
    <row r="353" spans="5:23">
      <c r="E353" s="1"/>
      <c r="F353" s="1"/>
      <c r="G353" s="1"/>
      <c r="H353" s="27"/>
      <c r="I353" s="27"/>
      <c r="J353" s="6"/>
      <c r="K353" s="27"/>
      <c r="L353" s="6"/>
      <c r="M353" s="6"/>
      <c r="N353" s="1"/>
      <c r="O353" s="2"/>
      <c r="P353" s="2"/>
      <c r="Q353" s="2"/>
      <c r="R353" s="2"/>
      <c r="S353" s="2"/>
      <c r="T353" s="2"/>
      <c r="U353" s="2"/>
      <c r="V353" s="1"/>
      <c r="W353" s="1"/>
    </row>
    <row r="354" spans="5:23">
      <c r="E354" s="1"/>
      <c r="F354" s="1"/>
      <c r="G354" s="1"/>
      <c r="H354" s="27"/>
      <c r="I354" s="27"/>
      <c r="J354" s="6"/>
      <c r="K354" s="27"/>
      <c r="L354" s="6"/>
      <c r="M354" s="6"/>
      <c r="N354" s="1"/>
      <c r="O354" s="2"/>
      <c r="P354" s="2"/>
      <c r="Q354" s="2"/>
      <c r="R354" s="2"/>
      <c r="S354" s="2"/>
      <c r="T354" s="2"/>
      <c r="U354" s="2"/>
      <c r="V354" s="1"/>
      <c r="W354" s="1"/>
    </row>
    <row r="355" spans="5:23">
      <c r="E355" s="1"/>
      <c r="F355" s="1"/>
      <c r="G355" s="1"/>
      <c r="H355" s="27"/>
      <c r="I355" s="27"/>
      <c r="J355" s="6"/>
      <c r="K355" s="27"/>
      <c r="L355" s="6"/>
      <c r="M355" s="6"/>
      <c r="N355" s="1"/>
      <c r="O355" s="2"/>
      <c r="P355" s="2"/>
      <c r="Q355" s="2"/>
      <c r="R355" s="2"/>
      <c r="S355" s="2"/>
      <c r="T355" s="2"/>
      <c r="U355" s="2"/>
      <c r="V355" s="1"/>
      <c r="W355" s="1"/>
    </row>
    <row r="356" spans="5:23">
      <c r="E356" s="1"/>
      <c r="F356" s="1"/>
      <c r="G356" s="1"/>
      <c r="H356" s="27"/>
      <c r="I356" s="27"/>
      <c r="J356" s="6"/>
      <c r="K356" s="27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5:23">
      <c r="E357" s="1"/>
      <c r="F357" s="1"/>
      <c r="G357" s="1"/>
      <c r="H357" s="27"/>
      <c r="I357" s="27"/>
      <c r="J357" s="6"/>
      <c r="K357" s="27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5:23">
      <c r="E358" s="1"/>
      <c r="F358" s="1"/>
      <c r="G358" s="1"/>
      <c r="H358" s="27"/>
      <c r="I358" s="27"/>
      <c r="J358" s="6"/>
      <c r="K358" s="27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5:23">
      <c r="E359" s="1"/>
      <c r="F359" s="1"/>
      <c r="G359" s="1"/>
      <c r="H359" s="27"/>
      <c r="I359" s="27"/>
      <c r="J359" s="6"/>
      <c r="K359" s="27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5:23">
      <c r="E360" s="1"/>
      <c r="F360" s="1"/>
      <c r="G360" s="1"/>
      <c r="H360" s="27"/>
      <c r="I360" s="27"/>
      <c r="J360" s="6"/>
      <c r="K360" s="27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5:23">
      <c r="E361" s="1"/>
      <c r="F361" s="1"/>
      <c r="G361" s="1"/>
      <c r="H361" s="27"/>
      <c r="I361" s="27"/>
      <c r="J361" s="6"/>
      <c r="K361" s="27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5:23">
      <c r="E362" s="1"/>
      <c r="F362" s="1"/>
      <c r="G362" s="1"/>
      <c r="H362" s="27"/>
      <c r="I362" s="27"/>
      <c r="J362" s="6"/>
      <c r="K362" s="27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5:23">
      <c r="E363" s="1"/>
      <c r="F363" s="1"/>
      <c r="G363" s="1"/>
      <c r="H363" s="27"/>
      <c r="I363" s="27"/>
      <c r="J363" s="6"/>
      <c r="K363" s="27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5:23">
      <c r="E364" s="1"/>
      <c r="F364" s="1"/>
      <c r="G364" s="1"/>
      <c r="H364" s="27"/>
      <c r="I364" s="27"/>
      <c r="J364" s="6"/>
      <c r="K364" s="27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5:23">
      <c r="E365" s="1"/>
      <c r="F365" s="1"/>
      <c r="G365" s="1"/>
      <c r="H365" s="27"/>
      <c r="I365" s="27"/>
      <c r="J365" s="6"/>
      <c r="K365" s="27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5:23">
      <c r="E366" s="1"/>
      <c r="F366" s="1"/>
      <c r="G366" s="1"/>
      <c r="H366" s="27"/>
      <c r="I366" s="27"/>
      <c r="J366" s="6"/>
      <c r="K366" s="27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5:23">
      <c r="E367" s="1"/>
      <c r="F367" s="1"/>
      <c r="G367" s="1"/>
      <c r="H367" s="27"/>
      <c r="I367" s="27"/>
      <c r="J367" s="6"/>
      <c r="K367" s="27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5:23">
      <c r="E368" s="1"/>
      <c r="F368" s="1"/>
      <c r="G368" s="1"/>
      <c r="H368" s="27"/>
      <c r="I368" s="27"/>
      <c r="J368" s="6"/>
      <c r="K368" s="27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7"/>
      <c r="I369" s="27"/>
      <c r="J369" s="6"/>
      <c r="K369" s="27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7"/>
      <c r="I370" s="27"/>
      <c r="J370" s="6"/>
      <c r="K370" s="27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7"/>
      <c r="I371" s="27"/>
      <c r="J371" s="6"/>
      <c r="K371" s="27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7"/>
      <c r="I372" s="27"/>
      <c r="J372" s="6"/>
      <c r="K372" s="27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7"/>
      <c r="I373" s="27"/>
      <c r="J373" s="6"/>
      <c r="K373" s="27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7"/>
      <c r="I374" s="27"/>
      <c r="J374" s="6"/>
      <c r="K374" s="27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7"/>
      <c r="I375" s="27"/>
      <c r="J375" s="6"/>
      <c r="K375" s="27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7"/>
      <c r="I376" s="27"/>
      <c r="J376" s="6"/>
      <c r="K376" s="27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7"/>
      <c r="I377" s="27"/>
      <c r="J377" s="6"/>
      <c r="K377" s="27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7"/>
      <c r="I378" s="27"/>
      <c r="J378" s="6"/>
      <c r="K378" s="27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7"/>
      <c r="I379" s="27"/>
      <c r="J379" s="6"/>
      <c r="K379" s="27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7"/>
      <c r="I380" s="27"/>
      <c r="J380" s="6"/>
      <c r="K380" s="27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7"/>
      <c r="I381" s="27"/>
      <c r="J381" s="6"/>
      <c r="K381" s="27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7"/>
      <c r="I382" s="27"/>
      <c r="J382" s="6"/>
      <c r="K382" s="27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7"/>
      <c r="I383" s="27"/>
      <c r="J383" s="6"/>
      <c r="K383" s="27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7"/>
      <c r="I384" s="27"/>
      <c r="J384" s="6"/>
      <c r="K384" s="27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7"/>
      <c r="I385" s="27"/>
      <c r="J385" s="6"/>
      <c r="K385" s="27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7"/>
      <c r="I386" s="27"/>
      <c r="J386" s="6"/>
      <c r="K386" s="27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7"/>
      <c r="I387" s="27"/>
      <c r="J387" s="6"/>
      <c r="K387" s="27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7"/>
      <c r="I388" s="27"/>
      <c r="J388" s="6"/>
      <c r="K388" s="27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7"/>
      <c r="I389" s="27"/>
      <c r="J389" s="6"/>
      <c r="K389" s="27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7"/>
      <c r="I390" s="27"/>
      <c r="J390" s="6"/>
      <c r="K390" s="27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7"/>
      <c r="I391" s="27"/>
      <c r="J391" s="6"/>
      <c r="K391" s="27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7"/>
      <c r="I392" s="27"/>
      <c r="J392" s="6"/>
      <c r="K392" s="27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7"/>
      <c r="I393" s="27"/>
      <c r="J393" s="6"/>
      <c r="K393" s="27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7"/>
      <c r="I394" s="27"/>
      <c r="J394" s="6"/>
      <c r="K394" s="27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7"/>
      <c r="I395" s="27"/>
      <c r="J395" s="6"/>
      <c r="K395" s="27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7"/>
      <c r="I396" s="27"/>
      <c r="J396" s="6"/>
      <c r="K396" s="27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7"/>
      <c r="I397" s="27"/>
      <c r="J397" s="6"/>
      <c r="K397" s="27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7"/>
      <c r="I398" s="27"/>
      <c r="J398" s="6"/>
      <c r="K398" s="27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7"/>
      <c r="I399" s="27"/>
      <c r="J399" s="6"/>
      <c r="K399" s="27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7"/>
      <c r="I400" s="27"/>
      <c r="J400" s="6"/>
      <c r="K400" s="27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7"/>
      <c r="I401" s="27"/>
      <c r="J401" s="6"/>
      <c r="K401" s="27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7"/>
      <c r="I402" s="27"/>
      <c r="J402" s="6"/>
      <c r="K402" s="27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7"/>
      <c r="I403" s="27"/>
      <c r="J403" s="6"/>
      <c r="K403" s="27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7"/>
      <c r="I404" s="27"/>
      <c r="J404" s="6"/>
      <c r="K404" s="27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7"/>
      <c r="I405" s="27"/>
      <c r="J405" s="6"/>
      <c r="K405" s="27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7"/>
      <c r="I406" s="27"/>
      <c r="J406" s="6"/>
      <c r="K406" s="27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7"/>
      <c r="I407" s="27"/>
      <c r="J407" s="6"/>
      <c r="K407" s="27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7"/>
      <c r="I408" s="27"/>
      <c r="J408" s="6"/>
      <c r="K408" s="27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7"/>
      <c r="I409" s="27"/>
      <c r="J409" s="6"/>
      <c r="K409" s="27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7"/>
      <c r="I410" s="27"/>
      <c r="J410" s="6"/>
      <c r="K410" s="27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7"/>
      <c r="I411" s="27"/>
      <c r="J411" s="6"/>
      <c r="K411" s="27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7"/>
      <c r="I412" s="27"/>
      <c r="J412" s="6"/>
      <c r="K412" s="27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7"/>
      <c r="I413" s="27"/>
      <c r="J413" s="6"/>
      <c r="K413" s="27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7"/>
      <c r="I414" s="27"/>
      <c r="J414" s="6"/>
      <c r="K414" s="27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7"/>
      <c r="I415" s="27"/>
      <c r="J415" s="6"/>
      <c r="K415" s="27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7"/>
      <c r="I416" s="27"/>
      <c r="J416" s="6"/>
      <c r="K416" s="27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7"/>
      <c r="I417" s="27"/>
      <c r="J417" s="6"/>
      <c r="K417" s="27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7"/>
      <c r="I418" s="27"/>
      <c r="J418" s="6"/>
      <c r="K418" s="27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7"/>
      <c r="I419" s="27"/>
      <c r="J419" s="6"/>
      <c r="K419" s="27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7"/>
      <c r="I420" s="27"/>
      <c r="J420" s="6"/>
      <c r="K420" s="27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7"/>
      <c r="I421" s="27"/>
      <c r="J421" s="6"/>
      <c r="K421" s="27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7"/>
      <c r="I422" s="27"/>
      <c r="J422" s="6"/>
      <c r="K422" s="27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7"/>
      <c r="I423" s="27"/>
      <c r="J423" s="6"/>
      <c r="K423" s="27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7"/>
      <c r="I424" s="27"/>
      <c r="J424" s="6"/>
      <c r="K424" s="27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7"/>
      <c r="I425" s="27"/>
      <c r="J425" s="6"/>
      <c r="K425" s="27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7"/>
      <c r="I426" s="27"/>
      <c r="J426" s="6"/>
      <c r="K426" s="27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7"/>
      <c r="I427" s="27"/>
      <c r="J427" s="6"/>
      <c r="K427" s="27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7"/>
      <c r="I428" s="27"/>
      <c r="J428" s="6"/>
      <c r="K428" s="27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7"/>
      <c r="I429" s="27"/>
      <c r="J429" s="6"/>
      <c r="K429" s="27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7"/>
      <c r="I430" s="27"/>
      <c r="J430" s="6"/>
      <c r="K430" s="27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7"/>
      <c r="I431" s="27"/>
      <c r="J431" s="6"/>
      <c r="K431" s="27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7"/>
      <c r="I432" s="27"/>
      <c r="J432" s="6"/>
      <c r="K432" s="27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7"/>
      <c r="I433" s="27"/>
      <c r="J433" s="6"/>
      <c r="K433" s="27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7"/>
      <c r="I434" s="27"/>
      <c r="J434" s="6"/>
      <c r="K434" s="27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7"/>
      <c r="I435" s="27"/>
      <c r="J435" s="6"/>
      <c r="K435" s="27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7"/>
      <c r="I436" s="27"/>
      <c r="J436" s="6"/>
      <c r="K436" s="27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7"/>
      <c r="I437" s="27"/>
      <c r="J437" s="6"/>
      <c r="K437" s="27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7"/>
      <c r="I438" s="27"/>
      <c r="J438" s="6"/>
      <c r="K438" s="27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7"/>
      <c r="I439" s="27"/>
      <c r="J439" s="6"/>
      <c r="K439" s="27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7"/>
      <c r="I440" s="27"/>
      <c r="J440" s="6"/>
      <c r="K440" s="27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7"/>
      <c r="I441" s="27"/>
      <c r="J441" s="6"/>
      <c r="K441" s="27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7"/>
      <c r="I442" s="27"/>
      <c r="J442" s="6"/>
      <c r="K442" s="27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7"/>
      <c r="I443" s="27"/>
      <c r="J443" s="6"/>
      <c r="K443" s="27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7"/>
      <c r="I444" s="27"/>
      <c r="J444" s="6"/>
      <c r="K444" s="27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7"/>
      <c r="I445" s="27"/>
      <c r="J445" s="6"/>
      <c r="K445" s="27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7"/>
      <c r="I446" s="27"/>
      <c r="J446" s="6"/>
      <c r="K446" s="27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7"/>
      <c r="I447" s="27"/>
      <c r="J447" s="6"/>
      <c r="K447" s="27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7"/>
      <c r="I448" s="27"/>
      <c r="J448" s="6"/>
      <c r="K448" s="27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7"/>
      <c r="I449" s="27"/>
      <c r="J449" s="6"/>
      <c r="K449" s="27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7"/>
      <c r="I450" s="27"/>
      <c r="J450" s="6"/>
      <c r="K450" s="27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7"/>
      <c r="I451" s="27"/>
      <c r="J451" s="6"/>
      <c r="K451" s="27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7"/>
      <c r="I452" s="27"/>
      <c r="J452" s="6"/>
      <c r="K452" s="27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7"/>
      <c r="I453" s="27"/>
      <c r="J453" s="6"/>
      <c r="K453" s="27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7"/>
      <c r="I454" s="27"/>
      <c r="J454" s="6"/>
      <c r="K454" s="27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7"/>
      <c r="I455" s="27"/>
      <c r="J455" s="6"/>
      <c r="K455" s="27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7"/>
      <c r="I456" s="27"/>
      <c r="J456" s="6"/>
      <c r="K456" s="27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7"/>
      <c r="I457" s="27"/>
      <c r="J457" s="6"/>
      <c r="K457" s="27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7"/>
      <c r="I458" s="27"/>
      <c r="J458" s="6"/>
      <c r="K458" s="27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7"/>
      <c r="I459" s="27"/>
      <c r="J459" s="6"/>
      <c r="K459" s="27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7"/>
      <c r="I460" s="27"/>
      <c r="J460" s="6"/>
      <c r="K460" s="27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7"/>
      <c r="I461" s="27"/>
      <c r="J461" s="6"/>
      <c r="K461" s="27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7"/>
      <c r="I462" s="27"/>
      <c r="J462" s="6"/>
      <c r="K462" s="27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7"/>
      <c r="I463" s="27"/>
      <c r="J463" s="6"/>
      <c r="K463" s="27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7"/>
      <c r="I464" s="27"/>
      <c r="J464" s="6"/>
      <c r="K464" s="27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7"/>
      <c r="I465" s="27"/>
      <c r="J465" s="6"/>
      <c r="K465" s="27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7"/>
      <c r="I466" s="27"/>
      <c r="J466" s="6"/>
      <c r="K466" s="27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7"/>
      <c r="I467" s="27"/>
      <c r="J467" s="6"/>
      <c r="K467" s="27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7"/>
      <c r="I468" s="27"/>
      <c r="J468" s="6"/>
      <c r="K468" s="27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7"/>
      <c r="I469" s="27"/>
      <c r="J469" s="6"/>
      <c r="K469" s="27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7"/>
      <c r="I470" s="27"/>
      <c r="J470" s="6"/>
      <c r="K470" s="27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7"/>
      <c r="I471" s="27"/>
      <c r="J471" s="6"/>
      <c r="K471" s="27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7"/>
      <c r="I472" s="27"/>
      <c r="J472" s="6"/>
      <c r="K472" s="27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7"/>
      <c r="I473" s="27"/>
      <c r="J473" s="6"/>
      <c r="K473" s="27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7"/>
      <c r="I474" s="27"/>
      <c r="J474" s="6"/>
      <c r="K474" s="27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7"/>
      <c r="I475" s="27"/>
      <c r="J475" s="6"/>
      <c r="K475" s="27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7"/>
      <c r="I476" s="27"/>
      <c r="J476" s="6"/>
      <c r="K476" s="27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7"/>
      <c r="I477" s="27"/>
      <c r="J477" s="6"/>
      <c r="K477" s="27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7"/>
      <c r="I478" s="27"/>
      <c r="J478" s="6"/>
      <c r="K478" s="27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7"/>
      <c r="I479" s="27"/>
      <c r="J479" s="6"/>
      <c r="K479" s="27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7"/>
      <c r="I480" s="27"/>
      <c r="J480" s="6"/>
      <c r="K480" s="27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7"/>
      <c r="I481" s="27"/>
      <c r="J481" s="6"/>
      <c r="K481" s="27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7"/>
      <c r="I482" s="27"/>
      <c r="J482" s="6"/>
      <c r="K482" s="27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7"/>
      <c r="I483" s="27"/>
      <c r="J483" s="6"/>
      <c r="K483" s="27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7"/>
      <c r="I484" s="27"/>
      <c r="J484" s="6"/>
      <c r="K484" s="27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7"/>
      <c r="I485" s="27"/>
      <c r="J485" s="6"/>
      <c r="K485" s="27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7"/>
      <c r="I486" s="27"/>
      <c r="J486" s="6"/>
      <c r="K486" s="27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7"/>
      <c r="I487" s="27"/>
      <c r="J487" s="6"/>
      <c r="K487" s="27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7"/>
      <c r="I488" s="27"/>
      <c r="J488" s="6"/>
      <c r="K488" s="27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7"/>
      <c r="I489" s="27"/>
      <c r="J489" s="6"/>
      <c r="K489" s="27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7"/>
      <c r="I490" s="27"/>
      <c r="J490" s="6"/>
      <c r="K490" s="27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7"/>
      <c r="I491" s="27"/>
      <c r="J491" s="6"/>
      <c r="K491" s="27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7"/>
      <c r="I492" s="27"/>
      <c r="J492" s="6"/>
      <c r="K492" s="27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7"/>
      <c r="I493" s="27"/>
      <c r="J493" s="6"/>
      <c r="K493" s="27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7"/>
      <c r="I494" s="27"/>
      <c r="J494" s="6"/>
      <c r="K494" s="27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7"/>
      <c r="I495" s="27"/>
      <c r="J495" s="6"/>
      <c r="K495" s="27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7"/>
      <c r="I496" s="27"/>
      <c r="J496" s="6"/>
      <c r="K496" s="27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7"/>
      <c r="I497" s="27"/>
      <c r="J497" s="6"/>
      <c r="K497" s="27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7"/>
      <c r="I498" s="27"/>
      <c r="J498" s="6"/>
      <c r="K498" s="27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7"/>
      <c r="I499" s="27"/>
      <c r="J499" s="6"/>
      <c r="K499" s="27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7"/>
      <c r="I500" s="27"/>
      <c r="J500" s="6"/>
      <c r="K500" s="27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7"/>
      <c r="I501" s="27"/>
      <c r="J501" s="6"/>
      <c r="K501" s="27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7"/>
      <c r="I502" s="27"/>
      <c r="J502" s="6"/>
      <c r="K502" s="27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7"/>
      <c r="I503" s="27"/>
      <c r="J503" s="6"/>
      <c r="K503" s="27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7"/>
      <c r="I504" s="27"/>
      <c r="J504" s="6"/>
      <c r="K504" s="27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7"/>
      <c r="I505" s="27"/>
      <c r="J505" s="6"/>
      <c r="K505" s="27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7"/>
      <c r="I506" s="27"/>
      <c r="J506" s="6"/>
      <c r="K506" s="27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7"/>
      <c r="I507" s="27"/>
      <c r="J507" s="6"/>
      <c r="K507" s="27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7"/>
      <c r="I508" s="27"/>
      <c r="J508" s="6"/>
      <c r="K508" s="27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7"/>
      <c r="I509" s="27"/>
      <c r="J509" s="6"/>
      <c r="K509" s="27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7"/>
      <c r="I510" s="27"/>
      <c r="J510" s="6"/>
      <c r="K510" s="27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7"/>
      <c r="I511" s="27"/>
      <c r="J511" s="6"/>
      <c r="K511" s="27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7"/>
      <c r="I512" s="27"/>
      <c r="J512" s="6"/>
      <c r="K512" s="27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7"/>
      <c r="I513" s="27"/>
      <c r="J513" s="6"/>
      <c r="K513" s="27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7"/>
      <c r="I514" s="27"/>
      <c r="J514" s="6"/>
      <c r="K514" s="27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7"/>
      <c r="I515" s="27"/>
      <c r="J515" s="6"/>
      <c r="K515" s="27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7"/>
      <c r="I516" s="27"/>
      <c r="J516" s="6"/>
      <c r="K516" s="27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7"/>
      <c r="I517" s="27"/>
      <c r="J517" s="6"/>
      <c r="K517" s="27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7"/>
      <c r="I518" s="27"/>
      <c r="J518" s="6"/>
      <c r="K518" s="27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7"/>
      <c r="I519" s="27"/>
      <c r="J519" s="6"/>
      <c r="K519" s="27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7"/>
      <c r="I520" s="27"/>
      <c r="J520" s="6"/>
      <c r="K520" s="27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7"/>
      <c r="I521" s="27"/>
      <c r="J521" s="6"/>
      <c r="K521" s="27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7"/>
      <c r="I522" s="27"/>
      <c r="J522" s="6"/>
      <c r="K522" s="27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7"/>
      <c r="I523" s="27"/>
      <c r="J523" s="6"/>
      <c r="K523" s="27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7"/>
      <c r="I524" s="27"/>
      <c r="J524" s="6"/>
      <c r="K524" s="27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7"/>
      <c r="I525" s="27"/>
      <c r="J525" s="6"/>
      <c r="K525" s="27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7"/>
      <c r="I526" s="27"/>
      <c r="J526" s="6"/>
      <c r="K526" s="27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7"/>
      <c r="I527" s="27"/>
      <c r="J527" s="6"/>
      <c r="K527" s="27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7"/>
      <c r="I528" s="27"/>
      <c r="J528" s="6"/>
      <c r="K528" s="27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7"/>
      <c r="I529" s="27"/>
      <c r="J529" s="6"/>
      <c r="K529" s="27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7"/>
      <c r="I530" s="27"/>
      <c r="J530" s="6"/>
      <c r="K530" s="27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7"/>
      <c r="I531" s="27"/>
      <c r="J531" s="6"/>
      <c r="K531" s="27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7"/>
      <c r="I532" s="27"/>
      <c r="J532" s="6"/>
      <c r="K532" s="27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7"/>
      <c r="I533" s="27"/>
      <c r="J533" s="6"/>
      <c r="K533" s="27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7"/>
      <c r="I534" s="27"/>
      <c r="J534" s="6"/>
      <c r="K534" s="27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7"/>
      <c r="I535" s="27"/>
      <c r="J535" s="6"/>
      <c r="K535" s="27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7"/>
      <c r="I536" s="27"/>
      <c r="J536" s="6"/>
      <c r="K536" s="27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7"/>
      <c r="I537" s="27"/>
      <c r="J537" s="6"/>
      <c r="K537" s="27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7"/>
      <c r="I538" s="27"/>
      <c r="J538" s="6"/>
      <c r="K538" s="27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7"/>
      <c r="I539" s="27"/>
      <c r="J539" s="6"/>
      <c r="K539" s="27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7"/>
      <c r="I540" s="27"/>
      <c r="J540" s="6"/>
      <c r="K540" s="27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7"/>
      <c r="I541" s="27"/>
      <c r="J541" s="6"/>
      <c r="K541" s="27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7"/>
      <c r="I542" s="27"/>
      <c r="J542" s="6"/>
      <c r="K542" s="27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7"/>
      <c r="I543" s="27"/>
      <c r="J543" s="6"/>
      <c r="K543" s="27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7"/>
      <c r="I544" s="27"/>
      <c r="J544" s="6"/>
      <c r="K544" s="27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7"/>
      <c r="I545" s="27"/>
      <c r="J545" s="6"/>
      <c r="K545" s="27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7"/>
      <c r="I546" s="27"/>
      <c r="J546" s="6"/>
      <c r="K546" s="27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7"/>
      <c r="I547" s="27"/>
      <c r="J547" s="6"/>
      <c r="K547" s="27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7"/>
      <c r="I548" s="27"/>
      <c r="J548" s="6"/>
      <c r="K548" s="27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7"/>
      <c r="I549" s="27"/>
      <c r="J549" s="6"/>
      <c r="K549" s="27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7"/>
      <c r="I550" s="27"/>
      <c r="J550" s="6"/>
      <c r="K550" s="27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7"/>
      <c r="I551" s="27"/>
      <c r="J551" s="6"/>
      <c r="K551" s="27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7"/>
      <c r="I552" s="27"/>
      <c r="J552" s="6"/>
      <c r="K552" s="27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7"/>
      <c r="I553" s="27"/>
      <c r="J553" s="6"/>
      <c r="K553" s="27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7"/>
      <c r="I554" s="27"/>
      <c r="J554" s="6"/>
      <c r="K554" s="27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7"/>
      <c r="I555" s="27"/>
      <c r="J555" s="6"/>
      <c r="K555" s="27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7"/>
      <c r="I556" s="27"/>
      <c r="J556" s="6"/>
      <c r="K556" s="27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7"/>
      <c r="I557" s="27"/>
      <c r="J557" s="6"/>
      <c r="K557" s="27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7"/>
      <c r="I558" s="27"/>
      <c r="J558" s="6"/>
      <c r="K558" s="27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7"/>
      <c r="I559" s="27"/>
      <c r="J559" s="6"/>
      <c r="K559" s="27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7"/>
      <c r="I560" s="27"/>
      <c r="J560" s="6"/>
      <c r="K560" s="27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7"/>
      <c r="I561" s="27"/>
      <c r="J561" s="6"/>
      <c r="K561" s="27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7"/>
      <c r="I562" s="27"/>
      <c r="J562" s="6"/>
      <c r="K562" s="27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7"/>
      <c r="I563" s="27"/>
      <c r="J563" s="6"/>
      <c r="K563" s="27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7"/>
      <c r="I564" s="27"/>
      <c r="J564" s="6"/>
      <c r="K564" s="27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7"/>
      <c r="I565" s="27"/>
      <c r="J565" s="6"/>
      <c r="K565" s="27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7"/>
      <c r="I566" s="27"/>
      <c r="J566" s="6"/>
      <c r="K566" s="27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7"/>
      <c r="I567" s="27"/>
      <c r="J567" s="6"/>
      <c r="K567" s="27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7"/>
      <c r="I568" s="27"/>
      <c r="J568" s="6"/>
      <c r="K568" s="27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7"/>
      <c r="I569" s="27"/>
      <c r="J569" s="6"/>
      <c r="K569" s="27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7"/>
      <c r="I570" s="27"/>
      <c r="J570" s="6"/>
      <c r="K570" s="27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7"/>
      <c r="I571" s="27"/>
      <c r="J571" s="6"/>
      <c r="K571" s="27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7"/>
      <c r="I572" s="27"/>
      <c r="J572" s="6"/>
      <c r="K572" s="27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7"/>
      <c r="I573" s="27"/>
      <c r="J573" s="6"/>
      <c r="K573" s="27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7"/>
      <c r="I574" s="27"/>
      <c r="J574" s="6"/>
      <c r="K574" s="27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7"/>
      <c r="I575" s="27"/>
      <c r="J575" s="6"/>
      <c r="K575" s="27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7"/>
      <c r="I576" s="27"/>
      <c r="J576" s="6"/>
      <c r="K576" s="27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7"/>
      <c r="I577" s="27"/>
      <c r="J577" s="6"/>
      <c r="K577" s="27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7"/>
      <c r="I578" s="27"/>
      <c r="J578" s="6"/>
      <c r="K578" s="27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7"/>
      <c r="I579" s="27"/>
      <c r="J579" s="6"/>
      <c r="K579" s="27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7"/>
      <c r="I580" s="27"/>
      <c r="J580" s="6"/>
      <c r="K580" s="27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7"/>
      <c r="I581" s="27"/>
      <c r="J581" s="6"/>
      <c r="K581" s="27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7"/>
      <c r="I582" s="27"/>
      <c r="J582" s="6"/>
      <c r="K582" s="27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7"/>
      <c r="I583" s="27"/>
      <c r="J583" s="6"/>
      <c r="K583" s="27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7"/>
      <c r="I584" s="27"/>
      <c r="J584" s="6"/>
      <c r="K584" s="27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7"/>
      <c r="I585" s="27"/>
      <c r="J585" s="6"/>
      <c r="K585" s="27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7"/>
      <c r="I586" s="27"/>
      <c r="J586" s="6"/>
      <c r="K586" s="27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7"/>
      <c r="I587" s="27"/>
      <c r="J587" s="6"/>
      <c r="K587" s="27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7"/>
      <c r="I588" s="27"/>
      <c r="J588" s="6"/>
      <c r="K588" s="27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7"/>
      <c r="I589" s="27"/>
      <c r="J589" s="6"/>
      <c r="K589" s="27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7"/>
      <c r="I590" s="27"/>
      <c r="J590" s="6"/>
      <c r="K590" s="27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7"/>
      <c r="I591" s="27"/>
      <c r="J591" s="6"/>
      <c r="K591" s="27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7"/>
      <c r="I592" s="27"/>
      <c r="J592" s="6"/>
      <c r="K592" s="27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7"/>
      <c r="I593" s="27"/>
      <c r="J593" s="6"/>
      <c r="K593" s="27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7"/>
      <c r="I594" s="27"/>
      <c r="J594" s="6"/>
      <c r="K594" s="27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7"/>
      <c r="I595" s="27"/>
      <c r="J595" s="6"/>
      <c r="K595" s="27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7"/>
      <c r="I596" s="27"/>
      <c r="J596" s="6"/>
      <c r="K596" s="27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7"/>
      <c r="I597" s="27"/>
      <c r="J597" s="6"/>
      <c r="K597" s="27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7"/>
      <c r="I598" s="27"/>
      <c r="J598" s="6"/>
      <c r="K598" s="27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7"/>
      <c r="I599" s="27"/>
      <c r="J599" s="6"/>
      <c r="K599" s="27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7"/>
      <c r="I600" s="27"/>
      <c r="J600" s="6"/>
      <c r="K600" s="27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7"/>
      <c r="I601" s="27"/>
      <c r="J601" s="6"/>
      <c r="K601" s="27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7"/>
      <c r="I602" s="27"/>
      <c r="J602" s="6"/>
      <c r="K602" s="27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7"/>
      <c r="I603" s="27"/>
      <c r="J603" s="6"/>
      <c r="K603" s="27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7"/>
      <c r="I604" s="27"/>
      <c r="J604" s="6"/>
      <c r="K604" s="27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7"/>
      <c r="I605" s="27"/>
      <c r="J605" s="6"/>
      <c r="K605" s="27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7"/>
      <c r="I606" s="27"/>
      <c r="J606" s="6"/>
      <c r="K606" s="27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7"/>
      <c r="I607" s="27"/>
      <c r="J607" s="6"/>
      <c r="K607" s="27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7"/>
      <c r="I608" s="27"/>
      <c r="J608" s="6"/>
      <c r="K608" s="27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7"/>
      <c r="I609" s="27"/>
      <c r="J609" s="6"/>
      <c r="K609" s="27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7"/>
      <c r="I610" s="27"/>
      <c r="J610" s="6"/>
      <c r="K610" s="27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7"/>
      <c r="I611" s="27"/>
      <c r="J611" s="6"/>
      <c r="K611" s="27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7"/>
      <c r="I612" s="27"/>
      <c r="J612" s="6"/>
      <c r="K612" s="27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7"/>
      <c r="I613" s="27"/>
      <c r="J613" s="6"/>
      <c r="K613" s="27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7"/>
      <c r="I614" s="27"/>
      <c r="J614" s="6"/>
      <c r="K614" s="27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7"/>
      <c r="I615" s="27"/>
      <c r="J615" s="6"/>
      <c r="K615" s="27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7"/>
      <c r="I616" s="27"/>
      <c r="J616" s="6"/>
      <c r="K616" s="27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7"/>
      <c r="I617" s="27"/>
      <c r="J617" s="6"/>
      <c r="K617" s="27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7"/>
      <c r="I618" s="27"/>
      <c r="J618" s="6"/>
      <c r="K618" s="27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7"/>
      <c r="I619" s="27"/>
      <c r="J619" s="6"/>
      <c r="K619" s="27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7"/>
      <c r="I620" s="27"/>
      <c r="J620" s="6"/>
      <c r="K620" s="27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7"/>
      <c r="I621" s="27"/>
      <c r="J621" s="6"/>
      <c r="K621" s="27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7"/>
      <c r="I622" s="27"/>
      <c r="J622" s="6"/>
      <c r="K622" s="27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7"/>
      <c r="I623" s="27"/>
      <c r="J623" s="6"/>
      <c r="K623" s="27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7"/>
      <c r="I624" s="27"/>
      <c r="J624" s="6"/>
      <c r="K624" s="27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7"/>
      <c r="I625" s="27"/>
      <c r="J625" s="6"/>
      <c r="K625" s="27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7"/>
      <c r="I626" s="27"/>
      <c r="J626" s="6"/>
      <c r="K626" s="27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7"/>
      <c r="I627" s="27"/>
      <c r="J627" s="6"/>
      <c r="K627" s="27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7"/>
      <c r="I628" s="27"/>
      <c r="J628" s="6"/>
      <c r="K628" s="27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7"/>
      <c r="I629" s="27"/>
      <c r="J629" s="6"/>
      <c r="K629" s="27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7"/>
      <c r="I630" s="27"/>
      <c r="J630" s="6"/>
      <c r="K630" s="27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7"/>
      <c r="I631" s="27"/>
      <c r="J631" s="6"/>
      <c r="K631" s="27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7"/>
      <c r="I632" s="27"/>
      <c r="J632" s="6"/>
      <c r="K632" s="27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7"/>
      <c r="I633" s="27"/>
      <c r="J633" s="6"/>
      <c r="K633" s="27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7"/>
      <c r="I634" s="27"/>
      <c r="J634" s="6"/>
      <c r="K634" s="27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7"/>
      <c r="I635" s="27"/>
      <c r="J635" s="6"/>
      <c r="K635" s="27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7"/>
      <c r="I636" s="27"/>
      <c r="J636" s="6"/>
      <c r="K636" s="27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7"/>
      <c r="I637" s="27"/>
      <c r="J637" s="6"/>
      <c r="K637" s="27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7"/>
      <c r="I638" s="27"/>
      <c r="J638" s="6"/>
      <c r="K638" s="27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7"/>
      <c r="I639" s="27"/>
      <c r="J639" s="6"/>
      <c r="K639" s="27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7"/>
      <c r="I640" s="27"/>
      <c r="J640" s="6"/>
      <c r="K640" s="27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7"/>
      <c r="I641" s="27"/>
      <c r="J641" s="6"/>
      <c r="K641" s="27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7"/>
      <c r="I642" s="27"/>
      <c r="J642" s="6"/>
      <c r="K642" s="27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7"/>
      <c r="I643" s="27"/>
      <c r="J643" s="6"/>
      <c r="K643" s="27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7"/>
      <c r="I644" s="27"/>
      <c r="J644" s="6"/>
      <c r="K644" s="27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7"/>
      <c r="I645" s="27"/>
      <c r="J645" s="6"/>
      <c r="K645" s="27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7"/>
      <c r="I646" s="27"/>
      <c r="J646" s="6"/>
      <c r="K646" s="27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7"/>
      <c r="I647" s="27"/>
      <c r="J647" s="6"/>
      <c r="K647" s="27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7"/>
      <c r="I648" s="27"/>
      <c r="J648" s="6"/>
      <c r="K648" s="27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7"/>
      <c r="I649" s="27"/>
      <c r="J649" s="6"/>
      <c r="K649" s="27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7"/>
      <c r="I650" s="27"/>
      <c r="J650" s="6"/>
      <c r="K650" s="27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7"/>
      <c r="I651" s="27"/>
      <c r="J651" s="6"/>
      <c r="K651" s="27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7"/>
      <c r="I652" s="27"/>
      <c r="J652" s="6"/>
      <c r="K652" s="27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7"/>
      <c r="I653" s="27"/>
      <c r="J653" s="6"/>
      <c r="K653" s="27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7"/>
      <c r="I654" s="27"/>
      <c r="J654" s="6"/>
      <c r="K654" s="27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7"/>
      <c r="I655" s="27"/>
      <c r="J655" s="6"/>
      <c r="K655" s="27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7"/>
      <c r="I656" s="27"/>
      <c r="J656" s="6"/>
      <c r="K656" s="27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7"/>
      <c r="I657" s="27"/>
      <c r="J657" s="6"/>
      <c r="K657" s="27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7"/>
      <c r="I658" s="27"/>
      <c r="J658" s="6"/>
      <c r="K658" s="27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7"/>
      <c r="I659" s="27"/>
      <c r="J659" s="6"/>
      <c r="K659" s="27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7"/>
      <c r="I660" s="27"/>
      <c r="J660" s="6"/>
      <c r="K660" s="27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7"/>
      <c r="I661" s="27"/>
      <c r="J661" s="6"/>
      <c r="K661" s="27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7"/>
      <c r="I662" s="27"/>
      <c r="J662" s="6"/>
      <c r="K662" s="27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7"/>
      <c r="I663" s="27"/>
      <c r="J663" s="6"/>
      <c r="K663" s="27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7"/>
      <c r="I664" s="27"/>
      <c r="J664" s="6"/>
      <c r="K664" s="27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7"/>
      <c r="I665" s="27"/>
      <c r="J665" s="6"/>
      <c r="K665" s="27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7"/>
      <c r="I666" s="27"/>
      <c r="J666" s="6"/>
      <c r="K666" s="27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7"/>
      <c r="I667" s="27"/>
      <c r="J667" s="6"/>
      <c r="K667" s="27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7"/>
      <c r="I668" s="27"/>
      <c r="J668" s="6"/>
      <c r="K668" s="27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7"/>
      <c r="I669" s="27"/>
      <c r="J669" s="6"/>
      <c r="K669" s="27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7"/>
      <c r="I670" s="27"/>
      <c r="J670" s="6"/>
      <c r="K670" s="27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7"/>
      <c r="I671" s="27"/>
      <c r="J671" s="6"/>
      <c r="K671" s="27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7"/>
      <c r="I672" s="27"/>
      <c r="J672" s="6"/>
      <c r="K672" s="27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7"/>
      <c r="I673" s="27"/>
      <c r="J673" s="6"/>
      <c r="K673" s="27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7"/>
      <c r="I674" s="27"/>
      <c r="J674" s="6"/>
      <c r="K674" s="27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7"/>
      <c r="I675" s="27"/>
      <c r="J675" s="6"/>
      <c r="K675" s="27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7"/>
      <c r="I676" s="27"/>
      <c r="J676" s="6"/>
      <c r="K676" s="27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7"/>
      <c r="I677" s="27"/>
      <c r="J677" s="6"/>
      <c r="K677" s="27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7"/>
      <c r="I678" s="27"/>
      <c r="J678" s="6"/>
      <c r="K678" s="27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7"/>
      <c r="I679" s="27"/>
      <c r="J679" s="6"/>
      <c r="K679" s="27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7"/>
      <c r="I680" s="27"/>
      <c r="J680" s="6"/>
      <c r="K680" s="27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7"/>
      <c r="I681" s="27"/>
      <c r="J681" s="6"/>
      <c r="K681" s="27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7"/>
      <c r="I682" s="27"/>
      <c r="J682" s="6"/>
      <c r="K682" s="27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7"/>
      <c r="I683" s="27"/>
      <c r="J683" s="6"/>
      <c r="K683" s="27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7"/>
      <c r="I684" s="27"/>
      <c r="J684" s="6"/>
      <c r="K684" s="27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7"/>
      <c r="I685" s="27"/>
      <c r="J685" s="6"/>
      <c r="K685" s="27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7"/>
      <c r="I686" s="27"/>
      <c r="J686" s="6"/>
      <c r="K686" s="27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7"/>
      <c r="I687" s="27"/>
      <c r="J687" s="6"/>
      <c r="K687" s="27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7"/>
      <c r="I688" s="27"/>
      <c r="J688" s="6"/>
      <c r="K688" s="27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7"/>
      <c r="I689" s="27"/>
      <c r="J689" s="6"/>
      <c r="K689" s="27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7"/>
      <c r="I690" s="27"/>
      <c r="J690" s="6"/>
      <c r="K690" s="27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7"/>
      <c r="I691" s="27"/>
      <c r="J691" s="6"/>
      <c r="K691" s="27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7"/>
      <c r="I692" s="27"/>
      <c r="J692" s="6"/>
      <c r="K692" s="27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7"/>
      <c r="I693" s="27"/>
      <c r="J693" s="6"/>
      <c r="K693" s="27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7"/>
      <c r="I694" s="27"/>
      <c r="J694" s="6"/>
      <c r="K694" s="27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7"/>
      <c r="I695" s="27"/>
      <c r="J695" s="6"/>
      <c r="K695" s="27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7"/>
      <c r="I696" s="27"/>
      <c r="J696" s="6"/>
      <c r="K696" s="27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7"/>
      <c r="I697" s="27"/>
      <c r="J697" s="6"/>
      <c r="K697" s="27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7"/>
      <c r="I698" s="27"/>
      <c r="J698" s="6"/>
      <c r="K698" s="27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7"/>
      <c r="I699" s="27"/>
      <c r="J699" s="6"/>
      <c r="K699" s="27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7"/>
      <c r="I700" s="27"/>
      <c r="J700" s="6"/>
      <c r="K700" s="27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7"/>
      <c r="I701" s="27"/>
      <c r="J701" s="6"/>
      <c r="K701" s="27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7"/>
      <c r="I702" s="27"/>
      <c r="J702" s="6"/>
      <c r="K702" s="27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7"/>
      <c r="I703" s="27"/>
      <c r="J703" s="6"/>
      <c r="K703" s="27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7"/>
      <c r="I704" s="27"/>
      <c r="J704" s="6"/>
      <c r="K704" s="27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7"/>
      <c r="I705" s="27"/>
      <c r="J705" s="6"/>
      <c r="K705" s="27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7"/>
      <c r="I706" s="27"/>
      <c r="J706" s="6"/>
      <c r="K706" s="27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7"/>
      <c r="I707" s="27"/>
      <c r="J707" s="6"/>
      <c r="K707" s="27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7"/>
      <c r="I708" s="27"/>
      <c r="J708" s="6"/>
      <c r="K708" s="27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7"/>
      <c r="I709" s="27"/>
      <c r="J709" s="6"/>
      <c r="K709" s="27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7"/>
      <c r="I710" s="27"/>
      <c r="J710" s="6"/>
      <c r="K710" s="27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7"/>
      <c r="I711" s="27"/>
      <c r="J711" s="6"/>
      <c r="K711" s="27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7"/>
      <c r="I712" s="27"/>
      <c r="J712" s="6"/>
      <c r="K712" s="27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7"/>
      <c r="I713" s="27"/>
      <c r="J713" s="6"/>
      <c r="K713" s="27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7"/>
      <c r="I714" s="27"/>
      <c r="J714" s="6"/>
      <c r="K714" s="27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7"/>
      <c r="I715" s="27"/>
      <c r="J715" s="6"/>
      <c r="K715" s="27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7"/>
      <c r="I716" s="27"/>
      <c r="J716" s="6"/>
      <c r="K716" s="27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7"/>
      <c r="I717" s="27"/>
      <c r="J717" s="6"/>
      <c r="K717" s="27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7"/>
      <c r="I718" s="27"/>
      <c r="J718" s="6"/>
      <c r="K718" s="27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7"/>
      <c r="I719" s="27"/>
      <c r="J719" s="6"/>
      <c r="K719" s="27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7"/>
      <c r="I720" s="27"/>
      <c r="J720" s="6"/>
      <c r="K720" s="27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7"/>
      <c r="I721" s="27"/>
      <c r="J721" s="6"/>
      <c r="K721" s="27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7"/>
      <c r="I722" s="27"/>
      <c r="J722" s="6"/>
      <c r="K722" s="27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7"/>
      <c r="I723" s="27"/>
      <c r="J723" s="6"/>
      <c r="K723" s="27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7"/>
      <c r="I724" s="27"/>
      <c r="J724" s="6"/>
      <c r="K724" s="27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7"/>
      <c r="I725" s="27"/>
      <c r="J725" s="6"/>
      <c r="K725" s="27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7"/>
      <c r="I726" s="27"/>
      <c r="J726" s="6"/>
      <c r="K726" s="27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7"/>
      <c r="I727" s="27"/>
      <c r="J727" s="6"/>
      <c r="K727" s="27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7"/>
      <c r="I728" s="27"/>
      <c r="J728" s="6"/>
      <c r="K728" s="27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7"/>
      <c r="I729" s="27"/>
      <c r="J729" s="6"/>
      <c r="K729" s="27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7"/>
      <c r="I730" s="27"/>
      <c r="J730" s="6"/>
      <c r="K730" s="27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7"/>
      <c r="I731" s="27"/>
      <c r="J731" s="6"/>
      <c r="K731" s="27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7"/>
      <c r="I732" s="27"/>
      <c r="J732" s="6"/>
      <c r="K732" s="27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7"/>
      <c r="I733" s="27"/>
      <c r="J733" s="6"/>
      <c r="K733" s="27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7"/>
      <c r="I734" s="27"/>
      <c r="J734" s="6"/>
      <c r="K734" s="27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7"/>
      <c r="I735" s="27"/>
      <c r="J735" s="6"/>
      <c r="K735" s="27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7"/>
      <c r="I736" s="27"/>
      <c r="J736" s="6"/>
      <c r="K736" s="27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7"/>
      <c r="I737" s="27"/>
      <c r="J737" s="6"/>
      <c r="K737" s="27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7"/>
      <c r="I738" s="27"/>
      <c r="J738" s="6"/>
      <c r="K738" s="27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7"/>
      <c r="I739" s="27"/>
      <c r="J739" s="6"/>
      <c r="K739" s="27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7"/>
      <c r="I740" s="27"/>
      <c r="J740" s="6"/>
      <c r="K740" s="27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7"/>
      <c r="I741" s="27"/>
      <c r="J741" s="6"/>
      <c r="K741" s="27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7"/>
      <c r="I742" s="27"/>
      <c r="J742" s="6"/>
      <c r="K742" s="27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7"/>
      <c r="I743" s="27"/>
      <c r="J743" s="6"/>
      <c r="K743" s="27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7"/>
      <c r="I744" s="27"/>
      <c r="J744" s="6"/>
      <c r="K744" s="27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7"/>
      <c r="I745" s="27"/>
      <c r="J745" s="6"/>
      <c r="K745" s="27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7"/>
      <c r="I746" s="27"/>
      <c r="J746" s="6"/>
      <c r="K746" s="27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7"/>
      <c r="I747" s="27"/>
      <c r="J747" s="6"/>
      <c r="K747" s="27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7"/>
      <c r="I748" s="27"/>
      <c r="J748" s="6"/>
      <c r="K748" s="27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7"/>
      <c r="I749" s="27"/>
      <c r="J749" s="6"/>
      <c r="K749" s="27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7"/>
      <c r="I750" s="27"/>
      <c r="J750" s="6"/>
      <c r="K750" s="27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7"/>
      <c r="I751" s="27"/>
      <c r="J751" s="6"/>
      <c r="K751" s="27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7"/>
      <c r="I752" s="27"/>
      <c r="J752" s="6"/>
      <c r="K752" s="27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7"/>
      <c r="I753" s="27"/>
      <c r="J753" s="6"/>
      <c r="K753" s="27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7"/>
      <c r="I754" s="27"/>
      <c r="J754" s="6"/>
      <c r="K754" s="27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7"/>
      <c r="I755" s="27"/>
      <c r="J755" s="6"/>
      <c r="K755" s="27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7"/>
      <c r="I756" s="27"/>
      <c r="J756" s="6"/>
      <c r="K756" s="27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7"/>
      <c r="I757" s="27"/>
      <c r="J757" s="6"/>
      <c r="K757" s="27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7"/>
      <c r="I758" s="27"/>
      <c r="J758" s="6"/>
      <c r="K758" s="27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7"/>
      <c r="I759" s="27"/>
      <c r="J759" s="6"/>
      <c r="K759" s="27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7"/>
      <c r="I760" s="27"/>
      <c r="J760" s="6"/>
      <c r="K760" s="27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7"/>
      <c r="I761" s="27"/>
      <c r="J761" s="6"/>
      <c r="K761" s="27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7"/>
      <c r="I762" s="27"/>
      <c r="J762" s="6"/>
      <c r="K762" s="27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7"/>
      <c r="I763" s="27"/>
      <c r="J763" s="6"/>
      <c r="K763" s="27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7"/>
      <c r="I764" s="27"/>
      <c r="J764" s="6"/>
      <c r="K764" s="27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7"/>
      <c r="I765" s="27"/>
      <c r="J765" s="6"/>
      <c r="K765" s="27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7"/>
      <c r="I766" s="27"/>
      <c r="J766" s="6"/>
      <c r="K766" s="27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7"/>
      <c r="I767" s="27"/>
      <c r="J767" s="6"/>
      <c r="K767" s="27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7"/>
      <c r="I768" s="27"/>
      <c r="J768" s="6"/>
      <c r="K768" s="27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7"/>
      <c r="I769" s="27"/>
      <c r="J769" s="6"/>
      <c r="K769" s="27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7"/>
      <c r="I770" s="27"/>
      <c r="J770" s="6"/>
      <c r="K770" s="27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7"/>
      <c r="I771" s="27"/>
      <c r="J771" s="6"/>
      <c r="K771" s="27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7"/>
      <c r="I772" s="27"/>
      <c r="J772" s="6"/>
      <c r="K772" s="27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7"/>
      <c r="I773" s="27"/>
      <c r="J773" s="6"/>
      <c r="K773" s="27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7"/>
      <c r="I774" s="27"/>
      <c r="J774" s="6"/>
      <c r="K774" s="27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7"/>
      <c r="I775" s="27"/>
      <c r="J775" s="6"/>
      <c r="K775" s="27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7"/>
      <c r="I776" s="27"/>
      <c r="J776" s="6"/>
      <c r="K776" s="27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7"/>
      <c r="I777" s="27"/>
      <c r="J777" s="6"/>
      <c r="K777" s="27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7"/>
      <c r="I778" s="27"/>
      <c r="J778" s="6"/>
      <c r="K778" s="27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7"/>
      <c r="I779" s="27"/>
      <c r="J779" s="6"/>
      <c r="K779" s="27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7"/>
      <c r="I780" s="27"/>
      <c r="J780" s="6"/>
      <c r="K780" s="27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7"/>
      <c r="I781" s="27"/>
      <c r="J781" s="6"/>
      <c r="K781" s="27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7"/>
      <c r="I782" s="27"/>
      <c r="J782" s="6"/>
      <c r="K782" s="27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7"/>
      <c r="I783" s="27"/>
      <c r="J783" s="6"/>
      <c r="K783" s="27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7"/>
      <c r="I784" s="27"/>
      <c r="J784" s="6"/>
      <c r="K784" s="27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7"/>
      <c r="I785" s="27"/>
      <c r="J785" s="6"/>
      <c r="K785" s="27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7"/>
      <c r="I786" s="27"/>
      <c r="J786" s="6"/>
      <c r="K786" s="27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7"/>
      <c r="I787" s="27"/>
      <c r="J787" s="6"/>
      <c r="K787" s="27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7"/>
      <c r="I788" s="27"/>
      <c r="J788" s="6"/>
      <c r="K788" s="27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7"/>
      <c r="I789" s="27"/>
      <c r="J789" s="6"/>
      <c r="K789" s="27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7"/>
      <c r="I790" s="27"/>
      <c r="J790" s="6"/>
      <c r="K790" s="27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7"/>
      <c r="I791" s="27"/>
      <c r="J791" s="6"/>
      <c r="K791" s="27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7"/>
      <c r="I792" s="27"/>
      <c r="J792" s="6"/>
      <c r="K792" s="27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7"/>
      <c r="I793" s="27"/>
      <c r="J793" s="6"/>
      <c r="K793" s="27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7"/>
      <c r="I794" s="27"/>
      <c r="J794" s="6"/>
      <c r="K794" s="27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7"/>
      <c r="I795" s="27"/>
      <c r="J795" s="6"/>
      <c r="K795" s="27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7"/>
      <c r="I796" s="27"/>
      <c r="J796" s="6"/>
      <c r="K796" s="27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7"/>
      <c r="I797" s="27"/>
      <c r="J797" s="6"/>
      <c r="K797" s="27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7"/>
      <c r="I798" s="27"/>
      <c r="J798" s="6"/>
      <c r="K798" s="27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7"/>
      <c r="I799" s="27"/>
      <c r="J799" s="6"/>
      <c r="K799" s="27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7"/>
      <c r="I800" s="27"/>
      <c r="J800" s="6"/>
      <c r="K800" s="27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7"/>
      <c r="I801" s="27"/>
      <c r="J801" s="6"/>
      <c r="K801" s="27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7"/>
      <c r="I802" s="27"/>
      <c r="J802" s="6"/>
      <c r="K802" s="27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7"/>
      <c r="I803" s="27"/>
      <c r="J803" s="6"/>
      <c r="K803" s="27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7"/>
      <c r="I804" s="27"/>
      <c r="J804" s="6"/>
      <c r="K804" s="27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7"/>
      <c r="I805" s="27"/>
      <c r="J805" s="6"/>
      <c r="K805" s="27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7"/>
      <c r="I806" s="27"/>
      <c r="J806" s="6"/>
      <c r="K806" s="27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7"/>
      <c r="I807" s="27"/>
      <c r="J807" s="6"/>
      <c r="K807" s="27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7"/>
      <c r="I808" s="27"/>
      <c r="J808" s="6"/>
      <c r="K808" s="27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7"/>
      <c r="I809" s="27"/>
      <c r="J809" s="6"/>
      <c r="K809" s="27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7"/>
      <c r="I810" s="27"/>
      <c r="J810" s="6"/>
      <c r="K810" s="27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7"/>
      <c r="I811" s="27"/>
      <c r="J811" s="6"/>
      <c r="K811" s="27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7"/>
      <c r="I812" s="27"/>
      <c r="J812" s="6"/>
      <c r="K812" s="27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7"/>
      <c r="I813" s="27"/>
      <c r="J813" s="6"/>
      <c r="K813" s="27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7"/>
      <c r="I814" s="27"/>
      <c r="J814" s="6"/>
      <c r="K814" s="27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7"/>
      <c r="I815" s="27"/>
      <c r="J815" s="6"/>
      <c r="K815" s="27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7"/>
      <c r="I816" s="27"/>
      <c r="J816" s="6"/>
      <c r="K816" s="27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7"/>
      <c r="I817" s="27"/>
      <c r="J817" s="6"/>
      <c r="K817" s="27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7"/>
      <c r="I818" s="27"/>
      <c r="J818" s="6"/>
      <c r="K818" s="27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7"/>
      <c r="I819" s="27"/>
      <c r="J819" s="6"/>
      <c r="K819" s="27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7"/>
      <c r="I820" s="27"/>
      <c r="J820" s="6"/>
      <c r="K820" s="27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7"/>
      <c r="I821" s="27"/>
      <c r="J821" s="6"/>
      <c r="K821" s="27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7"/>
      <c r="I822" s="27"/>
      <c r="J822" s="6"/>
      <c r="K822" s="27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7"/>
      <c r="I823" s="27"/>
      <c r="J823" s="6"/>
      <c r="K823" s="27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7"/>
      <c r="I824" s="27"/>
      <c r="J824" s="6"/>
      <c r="K824" s="27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7"/>
      <c r="I825" s="27"/>
      <c r="J825" s="6"/>
      <c r="K825" s="27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7"/>
      <c r="I826" s="27"/>
      <c r="J826" s="6"/>
      <c r="K826" s="27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7"/>
      <c r="I827" s="27"/>
      <c r="J827" s="6"/>
      <c r="K827" s="27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7"/>
      <c r="I828" s="27"/>
      <c r="J828" s="6"/>
      <c r="K828" s="27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7"/>
      <c r="I829" s="27"/>
      <c r="J829" s="6"/>
      <c r="K829" s="27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7"/>
      <c r="I830" s="27"/>
      <c r="J830" s="6"/>
      <c r="K830" s="27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7"/>
      <c r="I831" s="27"/>
      <c r="J831" s="6"/>
      <c r="K831" s="27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7"/>
      <c r="I832" s="27"/>
      <c r="J832" s="6"/>
      <c r="K832" s="27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7"/>
      <c r="I833" s="27"/>
      <c r="J833" s="6"/>
      <c r="K833" s="27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7"/>
      <c r="I834" s="27"/>
      <c r="J834" s="6"/>
      <c r="K834" s="27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7"/>
      <c r="I835" s="27"/>
      <c r="J835" s="6"/>
      <c r="K835" s="27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7"/>
      <c r="I836" s="27"/>
      <c r="J836" s="6"/>
      <c r="K836" s="27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7"/>
      <c r="I837" s="27"/>
      <c r="J837" s="6"/>
      <c r="K837" s="27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7"/>
      <c r="I838" s="27"/>
      <c r="J838" s="6"/>
      <c r="K838" s="27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7"/>
      <c r="I839" s="27"/>
      <c r="J839" s="6"/>
      <c r="K839" s="27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7"/>
      <c r="I840" s="27"/>
      <c r="J840" s="6"/>
      <c r="K840" s="27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7"/>
      <c r="I841" s="27"/>
      <c r="J841" s="6"/>
      <c r="K841" s="27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7"/>
      <c r="I842" s="27"/>
      <c r="J842" s="6"/>
      <c r="K842" s="27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7"/>
      <c r="I843" s="27"/>
      <c r="J843" s="6"/>
      <c r="K843" s="27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7"/>
      <c r="I844" s="27"/>
      <c r="J844" s="6"/>
      <c r="K844" s="27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7"/>
      <c r="I845" s="27"/>
      <c r="J845" s="6"/>
      <c r="K845" s="27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7"/>
      <c r="I846" s="27"/>
      <c r="J846" s="6"/>
      <c r="K846" s="27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7"/>
      <c r="I847" s="27"/>
      <c r="J847" s="6"/>
      <c r="K847" s="27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7"/>
      <c r="I848" s="27"/>
      <c r="J848" s="6"/>
      <c r="K848" s="27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7"/>
      <c r="I849" s="27"/>
      <c r="J849" s="6"/>
      <c r="K849" s="27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7"/>
      <c r="I850" s="27"/>
      <c r="J850" s="6"/>
      <c r="K850" s="27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7"/>
      <c r="I851" s="27"/>
      <c r="J851" s="6"/>
      <c r="K851" s="27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7"/>
      <c r="I852" s="27"/>
      <c r="J852" s="6"/>
      <c r="K852" s="27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7"/>
      <c r="I853" s="27"/>
      <c r="J853" s="6"/>
      <c r="K853" s="27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7"/>
      <c r="I854" s="27"/>
      <c r="J854" s="6"/>
      <c r="K854" s="27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7"/>
      <c r="I855" s="27"/>
      <c r="J855" s="6"/>
      <c r="K855" s="27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7"/>
      <c r="I856" s="27"/>
      <c r="J856" s="6"/>
      <c r="K856" s="27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7"/>
      <c r="I857" s="27"/>
      <c r="J857" s="6"/>
      <c r="K857" s="27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7"/>
      <c r="I858" s="27"/>
      <c r="J858" s="6"/>
      <c r="K858" s="27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7"/>
      <c r="I859" s="27"/>
      <c r="J859" s="6"/>
      <c r="K859" s="27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7"/>
      <c r="I860" s="27"/>
      <c r="J860" s="6"/>
      <c r="K860" s="27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7"/>
      <c r="I861" s="27"/>
      <c r="J861" s="6"/>
      <c r="K861" s="27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7"/>
      <c r="I862" s="27"/>
      <c r="J862" s="6"/>
      <c r="K862" s="27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7"/>
      <c r="I863" s="27"/>
      <c r="J863" s="6"/>
      <c r="K863" s="27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7"/>
      <c r="I864" s="27"/>
      <c r="J864" s="6"/>
      <c r="K864" s="27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7"/>
      <c r="I865" s="27"/>
      <c r="J865" s="6"/>
      <c r="K865" s="27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7"/>
      <c r="I866" s="27"/>
      <c r="J866" s="6"/>
      <c r="K866" s="27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7"/>
      <c r="I867" s="27"/>
      <c r="J867" s="6"/>
      <c r="K867" s="27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7"/>
      <c r="I868" s="27"/>
      <c r="J868" s="6"/>
      <c r="K868" s="27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7"/>
      <c r="I869" s="27"/>
      <c r="J869" s="6"/>
      <c r="K869" s="27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7"/>
      <c r="I870" s="27"/>
      <c r="J870" s="6"/>
      <c r="K870" s="27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7"/>
      <c r="I871" s="27"/>
      <c r="J871" s="6"/>
      <c r="K871" s="27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7"/>
      <c r="I872" s="27"/>
      <c r="J872" s="6"/>
      <c r="K872" s="27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7"/>
      <c r="I873" s="27"/>
      <c r="J873" s="6"/>
      <c r="K873" s="27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7"/>
      <c r="I874" s="27"/>
      <c r="J874" s="6"/>
      <c r="K874" s="27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7"/>
      <c r="I875" s="27"/>
      <c r="J875" s="6"/>
      <c r="K875" s="27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7"/>
      <c r="I876" s="27"/>
      <c r="J876" s="6"/>
      <c r="K876" s="27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7"/>
      <c r="I877" s="27"/>
      <c r="J877" s="6"/>
      <c r="K877" s="27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7"/>
      <c r="I878" s="27"/>
      <c r="J878" s="6"/>
      <c r="K878" s="27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7"/>
      <c r="I879" s="27"/>
      <c r="J879" s="6"/>
      <c r="K879" s="27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7"/>
      <c r="I880" s="27"/>
      <c r="J880" s="6"/>
      <c r="K880" s="27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7"/>
      <c r="I881" s="27"/>
      <c r="J881" s="6"/>
      <c r="K881" s="27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7"/>
      <c r="I882" s="27"/>
      <c r="J882" s="6"/>
      <c r="K882" s="27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7"/>
      <c r="I883" s="27"/>
      <c r="J883" s="6"/>
      <c r="K883" s="27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7"/>
      <c r="I884" s="27"/>
      <c r="J884" s="6"/>
      <c r="K884" s="27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7"/>
      <c r="I885" s="27"/>
      <c r="J885" s="6"/>
      <c r="K885" s="27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7"/>
      <c r="I886" s="27"/>
      <c r="J886" s="6"/>
      <c r="K886" s="27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7"/>
      <c r="I887" s="27"/>
      <c r="J887" s="6"/>
      <c r="K887" s="27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7"/>
      <c r="I888" s="27"/>
      <c r="J888" s="6"/>
      <c r="K888" s="27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7"/>
      <c r="I889" s="27"/>
      <c r="J889" s="6"/>
      <c r="K889" s="27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7"/>
      <c r="I890" s="27"/>
      <c r="J890" s="6"/>
      <c r="K890" s="27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7"/>
      <c r="I891" s="27"/>
      <c r="J891" s="6"/>
      <c r="K891" s="27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7"/>
      <c r="I892" s="27"/>
      <c r="J892" s="6"/>
      <c r="K892" s="27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7"/>
      <c r="I893" s="27"/>
      <c r="J893" s="6"/>
      <c r="K893" s="27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7"/>
      <c r="I894" s="27"/>
      <c r="J894" s="6"/>
      <c r="K894" s="27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7"/>
      <c r="I895" s="27"/>
      <c r="J895" s="6"/>
      <c r="K895" s="27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7"/>
      <c r="I896" s="27"/>
      <c r="J896" s="6"/>
      <c r="K896" s="27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7"/>
      <c r="I897" s="27"/>
      <c r="J897" s="6"/>
      <c r="K897" s="27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7"/>
      <c r="I898" s="27"/>
      <c r="J898" s="6"/>
      <c r="K898" s="27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7"/>
      <c r="I899" s="27"/>
      <c r="J899" s="6"/>
      <c r="K899" s="27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7"/>
      <c r="I900" s="27"/>
      <c r="J900" s="6"/>
      <c r="K900" s="27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7"/>
      <c r="I901" s="27"/>
      <c r="J901" s="6"/>
      <c r="K901" s="27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7"/>
      <c r="I902" s="27"/>
      <c r="J902" s="6"/>
      <c r="K902" s="27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7"/>
      <c r="I903" s="27"/>
      <c r="J903" s="6"/>
      <c r="K903" s="27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7"/>
      <c r="I904" s="27"/>
      <c r="J904" s="6"/>
      <c r="K904" s="27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7"/>
      <c r="I905" s="27"/>
      <c r="J905" s="6"/>
      <c r="K905" s="27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7"/>
      <c r="I906" s="27"/>
      <c r="J906" s="6"/>
      <c r="K906" s="27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7"/>
      <c r="I907" s="27"/>
      <c r="J907" s="6"/>
      <c r="K907" s="27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7"/>
      <c r="I908" s="27"/>
      <c r="J908" s="6"/>
      <c r="K908" s="27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7"/>
      <c r="I909" s="27"/>
      <c r="J909" s="6"/>
      <c r="K909" s="27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7"/>
      <c r="I910" s="27"/>
      <c r="J910" s="6"/>
      <c r="K910" s="27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7"/>
      <c r="I911" s="27"/>
      <c r="J911" s="6"/>
      <c r="K911" s="27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7"/>
      <c r="I912" s="27"/>
      <c r="J912" s="6"/>
      <c r="K912" s="27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7"/>
      <c r="I913" s="27"/>
      <c r="J913" s="6"/>
      <c r="K913" s="27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7"/>
      <c r="I914" s="27"/>
      <c r="J914" s="6"/>
      <c r="K914" s="27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7"/>
      <c r="I915" s="27"/>
      <c r="J915" s="6"/>
      <c r="K915" s="27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7"/>
      <c r="I916" s="27"/>
      <c r="J916" s="6"/>
      <c r="K916" s="27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7"/>
      <c r="I917" s="27"/>
      <c r="J917" s="6"/>
      <c r="K917" s="27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7"/>
      <c r="I918" s="27"/>
      <c r="J918" s="6"/>
      <c r="K918" s="27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7"/>
      <c r="I919" s="27"/>
      <c r="J919" s="6"/>
      <c r="K919" s="27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7"/>
      <c r="I920" s="27"/>
      <c r="J920" s="6"/>
      <c r="K920" s="27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7"/>
      <c r="I921" s="27"/>
      <c r="J921" s="6"/>
      <c r="K921" s="27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7"/>
      <c r="I922" s="27"/>
      <c r="J922" s="6"/>
      <c r="K922" s="27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7"/>
      <c r="I923" s="27"/>
      <c r="J923" s="6"/>
      <c r="K923" s="27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7"/>
      <c r="I924" s="27"/>
      <c r="J924" s="6"/>
      <c r="K924" s="27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7"/>
      <c r="I925" s="27"/>
      <c r="J925" s="6"/>
      <c r="K925" s="27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7"/>
      <c r="I926" s="27"/>
      <c r="J926" s="6"/>
      <c r="K926" s="27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7"/>
      <c r="I927" s="27"/>
      <c r="J927" s="6"/>
      <c r="K927" s="27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7"/>
      <c r="I928" s="27"/>
      <c r="J928" s="6"/>
      <c r="K928" s="27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7"/>
      <c r="I929" s="27"/>
      <c r="J929" s="6"/>
      <c r="K929" s="27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7"/>
      <c r="I930" s="27"/>
      <c r="J930" s="6"/>
      <c r="K930" s="27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7"/>
      <c r="I931" s="27"/>
      <c r="J931" s="6"/>
      <c r="K931" s="27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7"/>
      <c r="I932" s="27"/>
      <c r="J932" s="6"/>
      <c r="K932" s="27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7"/>
      <c r="I933" s="27"/>
      <c r="J933" s="6"/>
      <c r="K933" s="27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7"/>
      <c r="I934" s="27"/>
      <c r="J934" s="6"/>
      <c r="K934" s="27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7"/>
      <c r="I935" s="27"/>
      <c r="J935" s="6"/>
      <c r="K935" s="27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7"/>
      <c r="I936" s="27"/>
      <c r="J936" s="6"/>
      <c r="K936" s="27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7"/>
      <c r="I937" s="27"/>
      <c r="J937" s="6"/>
      <c r="K937" s="27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7"/>
      <c r="I938" s="27"/>
      <c r="J938" s="6"/>
      <c r="K938" s="27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7"/>
      <c r="I939" s="27"/>
      <c r="J939" s="6"/>
      <c r="K939" s="27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7"/>
      <c r="I940" s="27"/>
      <c r="J940" s="6"/>
      <c r="K940" s="27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7"/>
      <c r="I941" s="27"/>
      <c r="J941" s="6"/>
      <c r="K941" s="27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7"/>
      <c r="I942" s="27"/>
      <c r="J942" s="6"/>
      <c r="K942" s="27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7"/>
      <c r="I943" s="27"/>
      <c r="J943" s="6"/>
      <c r="K943" s="27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7"/>
      <c r="I944" s="27"/>
      <c r="J944" s="6"/>
      <c r="K944" s="27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7"/>
      <c r="I945" s="27"/>
      <c r="J945" s="6"/>
      <c r="K945" s="27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7"/>
      <c r="I946" s="27"/>
      <c r="J946" s="6"/>
      <c r="K946" s="27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7"/>
      <c r="I947" s="27"/>
      <c r="J947" s="6"/>
      <c r="K947" s="27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7"/>
      <c r="I948" s="27"/>
      <c r="J948" s="6"/>
      <c r="K948" s="27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7"/>
      <c r="I949" s="27"/>
      <c r="J949" s="6"/>
      <c r="K949" s="27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7"/>
      <c r="I950" s="27"/>
      <c r="J950" s="6"/>
      <c r="K950" s="27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7"/>
      <c r="I951" s="27"/>
      <c r="J951" s="6"/>
      <c r="K951" s="27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7"/>
      <c r="I952" s="27"/>
      <c r="J952" s="6"/>
      <c r="K952" s="27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7"/>
      <c r="I953" s="27"/>
      <c r="J953" s="6"/>
      <c r="K953" s="27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7"/>
      <c r="I954" s="27"/>
      <c r="J954" s="6"/>
      <c r="K954" s="27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7"/>
      <c r="I955" s="27"/>
      <c r="J955" s="6"/>
      <c r="K955" s="27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7"/>
      <c r="I956" s="27"/>
      <c r="J956" s="6"/>
      <c r="K956" s="27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7"/>
      <c r="I957" s="27"/>
      <c r="J957" s="6"/>
      <c r="K957" s="27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7"/>
      <c r="I958" s="27"/>
      <c r="J958" s="6"/>
      <c r="K958" s="27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7"/>
      <c r="I959" s="27"/>
      <c r="J959" s="6"/>
      <c r="K959" s="27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7"/>
      <c r="I960" s="27"/>
      <c r="J960" s="6"/>
      <c r="K960" s="27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7"/>
      <c r="I961" s="27"/>
      <c r="J961" s="6"/>
      <c r="K961" s="27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7"/>
      <c r="I962" s="27"/>
      <c r="J962" s="6"/>
      <c r="K962" s="27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7"/>
      <c r="I963" s="27"/>
      <c r="J963" s="6"/>
      <c r="K963" s="27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7"/>
      <c r="I964" s="27"/>
      <c r="J964" s="6"/>
      <c r="K964" s="27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7"/>
      <c r="I965" s="27"/>
      <c r="J965" s="6"/>
      <c r="K965" s="27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7"/>
      <c r="I966" s="27"/>
      <c r="J966" s="6"/>
      <c r="K966" s="27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7"/>
      <c r="I967" s="27"/>
      <c r="J967" s="6"/>
      <c r="K967" s="27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7"/>
      <c r="I968" s="27"/>
      <c r="J968" s="6"/>
      <c r="K968" s="27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7"/>
      <c r="I969" s="27"/>
      <c r="J969" s="6"/>
      <c r="K969" s="27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7"/>
      <c r="I970" s="27"/>
      <c r="J970" s="6"/>
      <c r="K970" s="27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7"/>
      <c r="I971" s="27"/>
      <c r="J971" s="6"/>
      <c r="K971" s="27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7"/>
      <c r="I972" s="27"/>
      <c r="J972" s="6"/>
      <c r="K972" s="27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7"/>
      <c r="I973" s="27"/>
      <c r="J973" s="6"/>
      <c r="K973" s="27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7"/>
      <c r="I974" s="27"/>
      <c r="J974" s="6"/>
      <c r="K974" s="27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7"/>
      <c r="I975" s="27"/>
      <c r="J975" s="6"/>
      <c r="K975" s="27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7"/>
      <c r="I976" s="27"/>
      <c r="J976" s="6"/>
      <c r="K976" s="27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7"/>
      <c r="I977" s="27"/>
      <c r="J977" s="6"/>
      <c r="K977" s="27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7"/>
      <c r="I978" s="27"/>
      <c r="J978" s="6"/>
      <c r="K978" s="27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7"/>
      <c r="I979" s="27"/>
      <c r="J979" s="6"/>
      <c r="K979" s="27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7"/>
      <c r="I980" s="27"/>
      <c r="J980" s="6"/>
      <c r="K980" s="27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7"/>
      <c r="I981" s="27"/>
      <c r="J981" s="6"/>
      <c r="K981" s="27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7"/>
      <c r="I982" s="27"/>
      <c r="J982" s="6"/>
      <c r="K982" s="27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7"/>
      <c r="I983" s="27"/>
      <c r="J983" s="6"/>
      <c r="K983" s="27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7"/>
      <c r="I984" s="27"/>
      <c r="J984" s="6"/>
      <c r="K984" s="27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7"/>
      <c r="I985" s="27"/>
      <c r="J985" s="6"/>
      <c r="K985" s="27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7"/>
      <c r="I986" s="27"/>
      <c r="J986" s="6"/>
      <c r="K986" s="27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7"/>
      <c r="I987" s="27"/>
      <c r="J987" s="6"/>
      <c r="K987" s="27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7"/>
      <c r="I988" s="27"/>
      <c r="J988" s="6"/>
      <c r="K988" s="27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7"/>
      <c r="I989" s="27"/>
      <c r="J989" s="6"/>
      <c r="K989" s="27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7"/>
      <c r="I990" s="27"/>
      <c r="J990" s="6"/>
      <c r="K990" s="27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7"/>
      <c r="I991" s="27"/>
      <c r="J991" s="6"/>
      <c r="K991" s="27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7"/>
      <c r="I992" s="27"/>
      <c r="J992" s="6"/>
      <c r="K992" s="27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7"/>
      <c r="I993" s="27"/>
      <c r="J993" s="6"/>
      <c r="K993" s="27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7"/>
      <c r="I994" s="27"/>
      <c r="J994" s="6"/>
      <c r="K994" s="27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7"/>
      <c r="I995" s="27"/>
      <c r="J995" s="6"/>
      <c r="K995" s="27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7"/>
      <c r="I996" s="27"/>
      <c r="J996" s="6"/>
      <c r="K996" s="27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7"/>
      <c r="I997" s="27"/>
      <c r="J997" s="6"/>
      <c r="K997" s="27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7"/>
      <c r="I998" s="27"/>
      <c r="J998" s="6"/>
      <c r="K998" s="27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7"/>
      <c r="I999" s="27"/>
      <c r="J999" s="6"/>
      <c r="K999" s="27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7"/>
      <c r="I1000" s="27"/>
      <c r="J1000" s="6"/>
      <c r="K1000" s="27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7"/>
      <c r="I1001" s="27"/>
      <c r="J1001" s="6"/>
      <c r="K1001" s="27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7"/>
      <c r="I1002" s="27"/>
      <c r="J1002" s="6"/>
      <c r="K1002" s="27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7"/>
      <c r="I1003" s="27"/>
      <c r="J1003" s="6"/>
      <c r="K1003" s="27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7"/>
      <c r="I1004" s="27"/>
      <c r="J1004" s="6"/>
      <c r="K1004" s="27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7"/>
      <c r="I1005" s="27"/>
      <c r="J1005" s="6"/>
      <c r="K1005" s="27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7"/>
      <c r="I1006" s="27"/>
      <c r="J1006" s="6"/>
      <c r="K1006" s="27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7"/>
      <c r="I1007" s="27"/>
      <c r="J1007" s="6"/>
      <c r="K1007" s="27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7"/>
      <c r="I1008" s="27"/>
      <c r="J1008" s="6"/>
      <c r="K1008" s="27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7"/>
      <c r="I1009" s="27"/>
      <c r="J1009" s="6"/>
      <c r="K1009" s="27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7"/>
      <c r="I1010" s="27"/>
      <c r="J1010" s="6"/>
      <c r="K1010" s="27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7"/>
      <c r="I1011" s="27"/>
      <c r="J1011" s="6"/>
      <c r="K1011" s="27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7"/>
      <c r="I1012" s="27"/>
      <c r="J1012" s="6"/>
      <c r="K1012" s="27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7"/>
      <c r="I1013" s="27"/>
      <c r="J1013" s="6"/>
      <c r="K1013" s="27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7"/>
      <c r="I1014" s="27"/>
      <c r="J1014" s="6"/>
      <c r="K1014" s="27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7"/>
      <c r="I1015" s="27"/>
      <c r="J1015" s="6"/>
      <c r="K1015" s="27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7"/>
      <c r="I1016" s="27"/>
      <c r="J1016" s="6"/>
      <c r="K1016" s="27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7"/>
      <c r="I1017" s="27"/>
      <c r="J1017" s="6"/>
      <c r="K1017" s="27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7"/>
      <c r="I1018" s="27"/>
      <c r="J1018" s="6"/>
      <c r="K1018" s="27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7"/>
      <c r="I1019" s="27"/>
      <c r="J1019" s="6"/>
      <c r="K1019" s="27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7"/>
      <c r="I1020" s="27"/>
      <c r="J1020" s="6"/>
      <c r="K1020" s="27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7"/>
      <c r="I1021" s="27"/>
      <c r="J1021" s="6"/>
      <c r="K1021" s="27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7"/>
      <c r="I1022" s="27"/>
      <c r="J1022" s="6"/>
      <c r="K1022" s="27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7"/>
      <c r="I1023" s="27"/>
      <c r="J1023" s="6"/>
      <c r="K1023" s="27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7"/>
      <c r="I1024" s="27"/>
      <c r="J1024" s="6"/>
      <c r="K1024" s="27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7"/>
      <c r="I1025" s="27"/>
      <c r="J1025" s="6"/>
      <c r="K1025" s="27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7"/>
      <c r="I1026" s="27"/>
      <c r="J1026" s="6"/>
      <c r="K1026" s="27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7"/>
      <c r="I1027" s="27"/>
      <c r="J1027" s="6"/>
      <c r="K1027" s="27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7"/>
      <c r="I1028" s="27"/>
      <c r="J1028" s="6"/>
      <c r="K1028" s="27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7"/>
      <c r="I1029" s="27"/>
      <c r="J1029" s="6"/>
      <c r="K1029" s="27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7"/>
      <c r="I1030" s="27"/>
      <c r="J1030" s="6"/>
      <c r="K1030" s="27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7"/>
      <c r="I1031" s="27"/>
      <c r="J1031" s="6"/>
      <c r="K1031" s="27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7"/>
      <c r="I1032" s="27"/>
      <c r="J1032" s="6"/>
      <c r="K1032" s="27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7"/>
      <c r="I1033" s="27"/>
      <c r="J1033" s="6"/>
      <c r="K1033" s="27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7"/>
      <c r="I1034" s="27"/>
      <c r="J1034" s="6"/>
      <c r="K1034" s="27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7"/>
      <c r="I1035" s="27"/>
      <c r="J1035" s="6"/>
      <c r="K1035" s="27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7"/>
      <c r="I1036" s="27"/>
      <c r="J1036" s="6"/>
      <c r="K1036" s="27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7"/>
      <c r="I1037" s="27"/>
      <c r="J1037" s="6"/>
      <c r="K1037" s="27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7"/>
      <c r="I1038" s="27"/>
      <c r="J1038" s="6"/>
      <c r="K1038" s="27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7"/>
      <c r="I1039" s="27"/>
      <c r="J1039" s="6"/>
      <c r="K1039" s="27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7"/>
      <c r="I1040" s="27"/>
      <c r="J1040" s="6"/>
      <c r="K1040" s="27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7"/>
      <c r="I1041" s="27"/>
      <c r="J1041" s="6"/>
      <c r="K1041" s="27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7"/>
      <c r="I1042" s="27"/>
      <c r="J1042" s="6"/>
      <c r="K1042" s="27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7"/>
      <c r="I1043" s="27"/>
      <c r="J1043" s="6"/>
      <c r="K1043" s="27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7"/>
      <c r="I1044" s="27"/>
      <c r="J1044" s="6"/>
      <c r="K1044" s="27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7"/>
      <c r="I1045" s="27"/>
      <c r="J1045" s="6"/>
      <c r="K1045" s="27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7"/>
      <c r="I1046" s="27"/>
      <c r="J1046" s="6"/>
      <c r="K1046" s="27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7"/>
      <c r="I1047" s="27"/>
      <c r="J1047" s="6"/>
      <c r="K1047" s="27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7"/>
      <c r="I1048" s="27"/>
      <c r="J1048" s="6"/>
      <c r="K1048" s="27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7"/>
      <c r="I1049" s="27"/>
      <c r="J1049" s="6"/>
      <c r="K1049" s="27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7"/>
      <c r="I1050" s="27"/>
      <c r="J1050" s="6"/>
      <c r="K1050" s="27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7"/>
      <c r="I1051" s="27"/>
      <c r="J1051" s="6"/>
      <c r="K1051" s="27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7"/>
      <c r="I1052" s="27"/>
      <c r="J1052" s="6"/>
      <c r="K1052" s="27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7"/>
      <c r="I1053" s="27"/>
      <c r="J1053" s="6"/>
      <c r="K1053" s="27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7"/>
      <c r="I1054" s="27"/>
      <c r="J1054" s="6"/>
      <c r="K1054" s="27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7"/>
      <c r="I1055" s="27"/>
      <c r="J1055" s="6"/>
      <c r="K1055" s="27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7"/>
      <c r="I1056" s="27"/>
      <c r="J1056" s="6"/>
      <c r="K1056" s="27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7"/>
      <c r="I1057" s="27"/>
      <c r="J1057" s="6"/>
      <c r="K1057" s="27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7"/>
      <c r="I1058" s="27"/>
      <c r="J1058" s="6"/>
      <c r="K1058" s="27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7"/>
      <c r="I1059" s="27"/>
      <c r="J1059" s="6"/>
      <c r="K1059" s="27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7"/>
      <c r="I1060" s="27"/>
      <c r="J1060" s="6"/>
      <c r="K1060" s="27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7"/>
      <c r="I1061" s="27"/>
      <c r="J1061" s="6"/>
      <c r="K1061" s="27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7"/>
      <c r="I1062" s="27"/>
      <c r="J1062" s="6"/>
      <c r="K1062" s="27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7"/>
      <c r="I1063" s="27"/>
      <c r="J1063" s="6"/>
      <c r="K1063" s="27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7"/>
      <c r="I1064" s="27"/>
      <c r="J1064" s="6"/>
      <c r="K1064" s="27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7"/>
      <c r="I1065" s="27"/>
      <c r="J1065" s="6"/>
      <c r="K1065" s="27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7"/>
      <c r="I1066" s="27"/>
      <c r="J1066" s="6"/>
      <c r="K1066" s="27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7"/>
      <c r="I1067" s="27"/>
      <c r="J1067" s="6"/>
      <c r="K1067" s="27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7"/>
      <c r="I1068" s="27"/>
      <c r="J1068" s="6"/>
      <c r="K1068" s="27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7"/>
      <c r="I1069" s="27"/>
      <c r="J1069" s="6"/>
      <c r="K1069" s="27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7"/>
      <c r="I1070" s="27"/>
      <c r="J1070" s="6"/>
      <c r="K1070" s="27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7"/>
      <c r="I1071" s="27"/>
      <c r="J1071" s="6"/>
      <c r="K1071" s="27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7"/>
      <c r="I1072" s="27"/>
      <c r="J1072" s="6"/>
      <c r="K1072" s="27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7"/>
      <c r="I1073" s="27"/>
      <c r="J1073" s="6"/>
      <c r="K1073" s="27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7"/>
      <c r="I1074" s="27"/>
      <c r="J1074" s="6"/>
      <c r="K1074" s="27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7"/>
      <c r="I1075" s="27"/>
      <c r="J1075" s="6"/>
      <c r="K1075" s="27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7"/>
      <c r="I1076" s="27"/>
      <c r="J1076" s="6"/>
      <c r="K1076" s="27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7"/>
      <c r="I1077" s="27"/>
      <c r="J1077" s="6"/>
      <c r="K1077" s="27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7"/>
      <c r="I1078" s="27"/>
      <c r="J1078" s="6"/>
      <c r="K1078" s="27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7"/>
      <c r="I1079" s="27"/>
      <c r="J1079" s="6"/>
      <c r="K1079" s="27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7"/>
      <c r="I1080" s="27"/>
      <c r="J1080" s="6"/>
      <c r="K1080" s="27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7"/>
      <c r="I1081" s="27"/>
      <c r="J1081" s="6"/>
      <c r="K1081" s="27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7"/>
      <c r="I1082" s="27"/>
      <c r="J1082" s="6"/>
      <c r="K1082" s="27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7"/>
      <c r="I1083" s="27"/>
      <c r="J1083" s="6"/>
      <c r="K1083" s="27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7"/>
      <c r="I1084" s="27"/>
      <c r="J1084" s="6"/>
      <c r="K1084" s="27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7"/>
      <c r="I1085" s="27"/>
      <c r="J1085" s="6"/>
      <c r="K1085" s="27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7"/>
      <c r="I1086" s="27"/>
      <c r="J1086" s="6"/>
      <c r="K1086" s="27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7"/>
      <c r="I1087" s="27"/>
      <c r="J1087" s="6"/>
      <c r="K1087" s="27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7"/>
      <c r="I1088" s="27"/>
      <c r="J1088" s="6"/>
      <c r="K1088" s="27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7"/>
      <c r="I1089" s="27"/>
      <c r="J1089" s="6"/>
      <c r="K1089" s="27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7"/>
      <c r="I1090" s="27"/>
      <c r="J1090" s="6"/>
      <c r="K1090" s="27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7"/>
      <c r="I1091" s="27"/>
      <c r="J1091" s="6"/>
      <c r="K1091" s="27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7"/>
      <c r="I1092" s="27"/>
      <c r="J1092" s="6"/>
      <c r="K1092" s="27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7"/>
      <c r="I1093" s="27"/>
      <c r="J1093" s="6"/>
      <c r="K1093" s="27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7"/>
      <c r="I1094" s="27"/>
      <c r="J1094" s="6"/>
      <c r="K1094" s="27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7"/>
      <c r="I1095" s="27"/>
      <c r="J1095" s="6"/>
      <c r="K1095" s="27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7"/>
      <c r="I1096" s="27"/>
      <c r="J1096" s="6"/>
      <c r="K1096" s="27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7"/>
      <c r="I1097" s="27"/>
      <c r="J1097" s="6"/>
      <c r="K1097" s="27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7"/>
      <c r="I1098" s="27"/>
      <c r="J1098" s="6"/>
      <c r="K1098" s="27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7"/>
      <c r="I1099" s="27"/>
      <c r="J1099" s="6"/>
      <c r="K1099" s="27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7"/>
      <c r="I1100" s="27"/>
      <c r="J1100" s="6"/>
      <c r="K1100" s="27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7"/>
      <c r="I1101" s="27"/>
      <c r="J1101" s="6"/>
      <c r="K1101" s="27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7"/>
      <c r="I1102" s="27"/>
      <c r="J1102" s="6"/>
      <c r="K1102" s="27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7"/>
      <c r="I1103" s="27"/>
      <c r="J1103" s="6"/>
      <c r="K1103" s="27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7"/>
      <c r="I1104" s="27"/>
      <c r="J1104" s="6"/>
      <c r="K1104" s="27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7"/>
      <c r="I1105" s="27"/>
      <c r="J1105" s="6"/>
      <c r="K1105" s="27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7"/>
      <c r="I1106" s="27"/>
      <c r="J1106" s="6"/>
      <c r="K1106" s="27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7"/>
      <c r="I1107" s="27"/>
      <c r="J1107" s="6"/>
      <c r="K1107" s="27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7"/>
      <c r="I1108" s="27"/>
      <c r="J1108" s="6"/>
      <c r="K1108" s="27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7"/>
      <c r="I1109" s="27"/>
      <c r="J1109" s="6"/>
      <c r="K1109" s="27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7"/>
      <c r="I1110" s="27"/>
      <c r="J1110" s="6"/>
      <c r="K1110" s="27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7"/>
      <c r="I1111" s="27"/>
      <c r="J1111" s="6"/>
      <c r="K1111" s="27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7"/>
      <c r="I1112" s="27"/>
      <c r="J1112" s="6"/>
      <c r="K1112" s="27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7"/>
      <c r="I1113" s="27"/>
      <c r="J1113" s="6"/>
      <c r="K1113" s="27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7"/>
      <c r="I1114" s="27"/>
      <c r="J1114" s="6"/>
      <c r="K1114" s="27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7"/>
      <c r="I1115" s="27"/>
      <c r="J1115" s="6"/>
      <c r="K1115" s="27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7"/>
      <c r="I1116" s="27"/>
      <c r="J1116" s="6"/>
      <c r="K1116" s="27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7"/>
      <c r="I1117" s="27"/>
      <c r="J1117" s="6"/>
      <c r="K1117" s="27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7"/>
      <c r="I1118" s="27"/>
      <c r="J1118" s="6"/>
      <c r="K1118" s="27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7"/>
      <c r="I1119" s="27"/>
      <c r="J1119" s="6"/>
      <c r="K1119" s="27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7"/>
      <c r="I1120" s="27"/>
      <c r="J1120" s="6"/>
      <c r="K1120" s="27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7"/>
      <c r="I1121" s="27"/>
      <c r="J1121" s="6"/>
      <c r="K1121" s="27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7"/>
      <c r="I1122" s="27"/>
      <c r="J1122" s="6"/>
      <c r="K1122" s="27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7"/>
      <c r="I1123" s="27"/>
      <c r="J1123" s="6"/>
      <c r="K1123" s="27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7"/>
      <c r="I1124" s="27"/>
      <c r="J1124" s="6"/>
      <c r="K1124" s="27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7"/>
      <c r="I1125" s="27"/>
      <c r="J1125" s="6"/>
      <c r="K1125" s="27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7"/>
      <c r="I1126" s="27"/>
      <c r="J1126" s="6"/>
      <c r="K1126" s="27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7"/>
      <c r="I1127" s="27"/>
      <c r="J1127" s="6"/>
      <c r="K1127" s="27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7"/>
      <c r="I1128" s="27"/>
      <c r="J1128" s="6"/>
      <c r="K1128" s="27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7"/>
      <c r="I1129" s="27"/>
      <c r="J1129" s="6"/>
      <c r="K1129" s="27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7"/>
      <c r="I1130" s="27"/>
      <c r="J1130" s="6"/>
      <c r="K1130" s="27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7"/>
      <c r="I1131" s="27"/>
      <c r="J1131" s="6"/>
      <c r="K1131" s="27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7"/>
      <c r="I1132" s="27"/>
      <c r="J1132" s="6"/>
      <c r="K1132" s="27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7"/>
      <c r="I1133" s="27"/>
      <c r="J1133" s="6"/>
      <c r="K1133" s="27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7"/>
      <c r="I1134" s="27"/>
      <c r="J1134" s="6"/>
      <c r="K1134" s="27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7"/>
      <c r="I1135" s="27"/>
      <c r="J1135" s="6"/>
      <c r="K1135" s="27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7"/>
      <c r="I1136" s="27"/>
      <c r="J1136" s="6"/>
      <c r="K1136" s="27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7"/>
      <c r="I1137" s="27"/>
      <c r="J1137" s="6"/>
      <c r="K1137" s="27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7"/>
      <c r="I1138" s="27"/>
      <c r="J1138" s="6"/>
      <c r="K1138" s="27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7"/>
      <c r="I1139" s="27"/>
      <c r="J1139" s="6"/>
      <c r="K1139" s="27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7"/>
      <c r="I1140" s="27"/>
      <c r="J1140" s="6"/>
      <c r="K1140" s="27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7"/>
      <c r="I1141" s="27"/>
      <c r="J1141" s="6"/>
      <c r="K1141" s="27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7"/>
      <c r="I1142" s="27"/>
      <c r="J1142" s="6"/>
      <c r="K1142" s="27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7"/>
      <c r="I1143" s="27"/>
      <c r="J1143" s="6"/>
      <c r="K1143" s="27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7"/>
      <c r="I1144" s="27"/>
      <c r="J1144" s="6"/>
      <c r="K1144" s="27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7"/>
      <c r="I1145" s="27"/>
      <c r="J1145" s="6"/>
      <c r="K1145" s="27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7"/>
      <c r="I1146" s="27"/>
      <c r="J1146" s="6"/>
      <c r="K1146" s="27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7"/>
      <c r="I1147" s="27"/>
      <c r="J1147" s="6"/>
      <c r="K1147" s="27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7"/>
      <c r="I1148" s="27"/>
      <c r="J1148" s="6"/>
      <c r="K1148" s="27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7"/>
      <c r="I1149" s="27"/>
      <c r="J1149" s="6"/>
      <c r="K1149" s="27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7"/>
      <c r="I1150" s="27"/>
      <c r="J1150" s="6"/>
      <c r="K1150" s="27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7"/>
      <c r="I1151" s="27"/>
      <c r="J1151" s="6"/>
      <c r="K1151" s="27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7"/>
      <c r="I1152" s="27"/>
      <c r="J1152" s="6"/>
      <c r="K1152" s="27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7"/>
      <c r="I1153" s="27"/>
      <c r="J1153" s="6"/>
      <c r="K1153" s="27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7"/>
      <c r="I1154" s="27"/>
      <c r="J1154" s="6"/>
      <c r="K1154" s="27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7"/>
      <c r="I1155" s="27"/>
      <c r="J1155" s="6"/>
      <c r="K1155" s="27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7"/>
      <c r="I1156" s="27"/>
      <c r="J1156" s="6"/>
      <c r="K1156" s="27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7"/>
      <c r="I1157" s="27"/>
      <c r="J1157" s="6"/>
      <c r="K1157" s="27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7"/>
      <c r="I1158" s="27"/>
      <c r="J1158" s="6"/>
      <c r="K1158" s="27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7"/>
      <c r="I1159" s="27"/>
      <c r="J1159" s="6"/>
      <c r="K1159" s="27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7"/>
      <c r="I1160" s="27"/>
      <c r="J1160" s="6"/>
      <c r="K1160" s="27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7"/>
      <c r="I1161" s="27"/>
      <c r="J1161" s="6"/>
      <c r="K1161" s="27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7"/>
      <c r="I1162" s="27"/>
      <c r="J1162" s="6"/>
      <c r="K1162" s="27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7"/>
      <c r="I1163" s="27"/>
      <c r="J1163" s="6"/>
      <c r="K1163" s="27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7"/>
      <c r="I1164" s="27"/>
      <c r="J1164" s="6"/>
      <c r="K1164" s="27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7"/>
      <c r="I1165" s="27"/>
      <c r="J1165" s="6"/>
      <c r="K1165" s="27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7"/>
      <c r="I1166" s="27"/>
      <c r="J1166" s="6"/>
      <c r="K1166" s="27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7"/>
      <c r="I1167" s="27"/>
      <c r="J1167" s="6"/>
      <c r="K1167" s="27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7"/>
      <c r="I1168" s="27"/>
      <c r="J1168" s="6"/>
      <c r="K1168" s="27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7"/>
      <c r="I1169" s="27"/>
      <c r="J1169" s="6"/>
      <c r="K1169" s="27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7"/>
      <c r="I1170" s="27"/>
      <c r="J1170" s="6"/>
      <c r="K1170" s="27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7"/>
      <c r="I1171" s="27"/>
      <c r="J1171" s="6"/>
      <c r="K1171" s="27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7"/>
      <c r="I1172" s="27"/>
      <c r="J1172" s="6"/>
      <c r="K1172" s="27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7"/>
      <c r="I1173" s="27"/>
      <c r="J1173" s="6"/>
      <c r="K1173" s="27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7"/>
      <c r="I1174" s="27"/>
      <c r="J1174" s="6"/>
      <c r="K1174" s="27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7"/>
      <c r="I1175" s="27"/>
      <c r="J1175" s="6"/>
      <c r="K1175" s="27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7"/>
      <c r="I1176" s="27"/>
      <c r="J1176" s="6"/>
      <c r="K1176" s="27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7"/>
      <c r="I1177" s="27"/>
      <c r="J1177" s="6"/>
      <c r="K1177" s="27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7"/>
      <c r="I1178" s="27"/>
      <c r="J1178" s="6"/>
      <c r="K1178" s="27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7"/>
      <c r="I1179" s="27"/>
      <c r="J1179" s="6"/>
      <c r="K1179" s="27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7"/>
      <c r="I1180" s="27"/>
      <c r="J1180" s="6"/>
      <c r="K1180" s="27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7"/>
      <c r="I1181" s="27"/>
      <c r="J1181" s="6"/>
      <c r="K1181" s="27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7"/>
      <c r="I1182" s="27"/>
      <c r="J1182" s="6"/>
      <c r="K1182" s="27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7"/>
      <c r="I1183" s="27"/>
      <c r="J1183" s="6"/>
      <c r="K1183" s="27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7"/>
      <c r="I1184" s="27"/>
      <c r="J1184" s="6"/>
      <c r="K1184" s="27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7"/>
      <c r="I1185" s="27"/>
      <c r="J1185" s="6"/>
      <c r="K1185" s="27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7"/>
      <c r="I1186" s="27"/>
      <c r="J1186" s="6"/>
      <c r="K1186" s="27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7"/>
      <c r="I1187" s="27"/>
      <c r="J1187" s="6"/>
      <c r="K1187" s="27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7"/>
      <c r="I1188" s="27"/>
      <c r="J1188" s="6"/>
      <c r="K1188" s="27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7"/>
      <c r="I1189" s="27"/>
      <c r="J1189" s="6"/>
      <c r="K1189" s="27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7"/>
      <c r="I1190" s="27"/>
      <c r="J1190" s="6"/>
      <c r="K1190" s="27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7"/>
      <c r="I1191" s="27"/>
      <c r="J1191" s="6"/>
      <c r="K1191" s="27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7"/>
      <c r="I1192" s="27"/>
      <c r="J1192" s="6"/>
      <c r="K1192" s="27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7"/>
      <c r="I1193" s="27"/>
      <c r="J1193" s="6"/>
      <c r="K1193" s="27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7"/>
      <c r="I1194" s="27"/>
      <c r="J1194" s="6"/>
      <c r="K1194" s="27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7"/>
      <c r="I1195" s="27"/>
      <c r="J1195" s="6"/>
      <c r="K1195" s="27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7"/>
      <c r="I1196" s="27"/>
      <c r="J1196" s="6"/>
      <c r="K1196" s="27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7"/>
      <c r="I1197" s="27"/>
      <c r="J1197" s="6"/>
      <c r="K1197" s="27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7"/>
      <c r="I1198" s="27"/>
      <c r="J1198" s="6"/>
      <c r="K1198" s="27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7"/>
      <c r="I1199" s="27"/>
      <c r="J1199" s="6"/>
      <c r="K1199" s="27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7"/>
      <c r="I1200" s="27"/>
      <c r="J1200" s="6"/>
      <c r="K1200" s="27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7"/>
      <c r="I1201" s="27"/>
      <c r="J1201" s="6"/>
      <c r="K1201" s="27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7"/>
      <c r="I1202" s="27"/>
      <c r="J1202" s="6"/>
      <c r="K1202" s="27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7"/>
      <c r="I1203" s="27"/>
      <c r="J1203" s="6"/>
      <c r="K1203" s="27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7"/>
      <c r="I1204" s="27"/>
      <c r="J1204" s="6"/>
      <c r="K1204" s="27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7"/>
      <c r="I1205" s="27"/>
      <c r="J1205" s="6"/>
      <c r="K1205" s="27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7"/>
      <c r="I1206" s="27"/>
      <c r="J1206" s="6"/>
      <c r="K1206" s="27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7"/>
      <c r="I1207" s="27"/>
      <c r="J1207" s="6"/>
      <c r="K1207" s="27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7"/>
      <c r="I1208" s="27"/>
      <c r="J1208" s="6"/>
      <c r="K1208" s="27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7"/>
      <c r="I1209" s="27"/>
      <c r="J1209" s="6"/>
      <c r="K1209" s="27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7"/>
      <c r="I1210" s="27"/>
      <c r="J1210" s="6"/>
      <c r="K1210" s="27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7"/>
      <c r="I1211" s="27"/>
      <c r="J1211" s="6"/>
      <c r="K1211" s="27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7"/>
      <c r="I1212" s="27"/>
      <c r="J1212" s="6"/>
      <c r="K1212" s="27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7"/>
      <c r="I1213" s="27"/>
      <c r="J1213" s="6"/>
      <c r="K1213" s="27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7"/>
      <c r="I1214" s="27"/>
      <c r="J1214" s="6"/>
      <c r="K1214" s="27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7"/>
      <c r="I1215" s="27"/>
      <c r="J1215" s="6"/>
      <c r="K1215" s="27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7"/>
      <c r="I1216" s="27"/>
      <c r="J1216" s="6"/>
      <c r="K1216" s="27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7"/>
      <c r="I1217" s="27"/>
      <c r="J1217" s="6"/>
      <c r="K1217" s="27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7"/>
      <c r="I1218" s="27"/>
      <c r="J1218" s="6"/>
      <c r="K1218" s="27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7"/>
      <c r="I1219" s="27"/>
      <c r="J1219" s="6"/>
      <c r="K1219" s="27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7"/>
      <c r="I1220" s="27"/>
      <c r="J1220" s="6"/>
      <c r="K1220" s="27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7"/>
      <c r="I1221" s="27"/>
      <c r="J1221" s="6"/>
      <c r="K1221" s="27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7"/>
      <c r="I1222" s="27"/>
      <c r="J1222" s="6"/>
      <c r="K1222" s="27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7"/>
      <c r="I1223" s="27"/>
      <c r="J1223" s="6"/>
      <c r="K1223" s="27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7"/>
      <c r="I1224" s="27"/>
      <c r="J1224" s="6"/>
      <c r="K1224" s="27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7"/>
      <c r="I1225" s="27"/>
      <c r="J1225" s="6"/>
      <c r="K1225" s="27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7"/>
      <c r="I1226" s="27"/>
      <c r="J1226" s="6"/>
      <c r="K1226" s="27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7"/>
      <c r="I1227" s="27"/>
      <c r="J1227" s="6"/>
      <c r="K1227" s="27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7"/>
      <c r="I1228" s="27"/>
      <c r="J1228" s="6"/>
      <c r="K1228" s="27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7"/>
      <c r="I1229" s="27"/>
      <c r="J1229" s="6"/>
      <c r="K1229" s="27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7"/>
      <c r="I1230" s="27"/>
      <c r="J1230" s="6"/>
      <c r="K1230" s="27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7"/>
      <c r="I1231" s="27"/>
      <c r="J1231" s="6"/>
      <c r="K1231" s="27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7"/>
      <c r="I1232" s="27"/>
      <c r="J1232" s="6"/>
      <c r="K1232" s="27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7"/>
      <c r="I1233" s="27"/>
      <c r="J1233" s="6"/>
      <c r="K1233" s="27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7"/>
      <c r="I1234" s="27"/>
      <c r="J1234" s="6"/>
      <c r="K1234" s="27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7"/>
      <c r="I1235" s="27"/>
      <c r="J1235" s="6"/>
      <c r="K1235" s="27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7"/>
      <c r="I1236" s="27"/>
      <c r="J1236" s="6"/>
      <c r="K1236" s="27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7"/>
      <c r="I1237" s="27"/>
      <c r="J1237" s="6"/>
      <c r="K1237" s="27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7"/>
      <c r="I1238" s="27"/>
      <c r="J1238" s="6"/>
      <c r="K1238" s="27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7"/>
      <c r="I1239" s="27"/>
      <c r="J1239" s="6"/>
      <c r="K1239" s="27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7"/>
      <c r="I1240" s="27"/>
      <c r="J1240" s="6"/>
      <c r="K1240" s="27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7"/>
      <c r="I1241" s="27"/>
      <c r="J1241" s="6"/>
      <c r="K1241" s="27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7"/>
      <c r="I1242" s="27"/>
      <c r="J1242" s="6"/>
      <c r="K1242" s="27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7"/>
      <c r="I1243" s="27"/>
      <c r="J1243" s="6"/>
      <c r="K1243" s="27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7"/>
      <c r="I1244" s="27"/>
      <c r="J1244" s="6"/>
      <c r="K1244" s="27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7"/>
      <c r="I1245" s="27"/>
      <c r="J1245" s="6"/>
      <c r="K1245" s="27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7"/>
      <c r="I1246" s="27"/>
      <c r="J1246" s="6"/>
      <c r="K1246" s="27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7"/>
      <c r="I1247" s="27"/>
      <c r="J1247" s="6"/>
      <c r="K1247" s="27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7"/>
      <c r="I1248" s="27"/>
      <c r="J1248" s="6"/>
      <c r="K1248" s="27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7"/>
      <c r="I1249" s="27"/>
      <c r="J1249" s="6"/>
      <c r="K1249" s="27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7"/>
      <c r="I1250" s="27"/>
      <c r="J1250" s="6"/>
      <c r="K1250" s="27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7"/>
      <c r="I1251" s="27"/>
      <c r="J1251" s="6"/>
      <c r="K1251" s="27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7"/>
      <c r="I1252" s="27"/>
      <c r="J1252" s="6"/>
      <c r="K1252" s="27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7"/>
      <c r="I1253" s="27"/>
      <c r="J1253" s="6"/>
      <c r="K1253" s="27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7"/>
      <c r="I1254" s="27"/>
      <c r="J1254" s="6"/>
      <c r="K1254" s="27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7"/>
      <c r="I1255" s="27"/>
      <c r="J1255" s="6"/>
      <c r="K1255" s="27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7"/>
      <c r="I1256" s="27"/>
      <c r="J1256" s="6"/>
      <c r="K1256" s="27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7"/>
      <c r="I1257" s="27"/>
      <c r="J1257" s="6"/>
      <c r="K1257" s="27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7"/>
      <c r="I1258" s="27"/>
      <c r="J1258" s="6"/>
      <c r="K1258" s="27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7"/>
      <c r="I1259" s="27"/>
      <c r="J1259" s="6"/>
      <c r="K1259" s="27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7"/>
      <c r="I1260" s="27"/>
      <c r="J1260" s="6"/>
      <c r="K1260" s="27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7"/>
      <c r="I1261" s="27"/>
      <c r="J1261" s="6"/>
      <c r="K1261" s="27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7"/>
      <c r="I1262" s="27"/>
      <c r="J1262" s="6"/>
      <c r="K1262" s="27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7"/>
      <c r="I1263" s="27"/>
      <c r="J1263" s="6"/>
      <c r="K1263" s="27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7"/>
      <c r="I1264" s="27"/>
      <c r="J1264" s="6"/>
      <c r="K1264" s="27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7"/>
      <c r="I1265" s="27"/>
      <c r="J1265" s="6"/>
      <c r="K1265" s="27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7"/>
      <c r="I1266" s="27"/>
      <c r="J1266" s="6"/>
      <c r="K1266" s="27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7"/>
      <c r="I1267" s="27"/>
      <c r="J1267" s="6"/>
      <c r="K1267" s="27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7"/>
      <c r="I1268" s="27"/>
      <c r="J1268" s="6"/>
      <c r="K1268" s="27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7"/>
      <c r="I1269" s="27"/>
      <c r="J1269" s="6"/>
      <c r="K1269" s="27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7"/>
      <c r="I1270" s="27"/>
      <c r="J1270" s="6"/>
      <c r="K1270" s="27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7"/>
      <c r="I1271" s="27"/>
      <c r="J1271" s="6"/>
      <c r="K1271" s="27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7"/>
      <c r="I1272" s="27"/>
      <c r="J1272" s="6"/>
      <c r="K1272" s="27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7"/>
      <c r="I1273" s="27"/>
      <c r="J1273" s="6"/>
      <c r="K1273" s="27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7"/>
      <c r="I1274" s="27"/>
      <c r="J1274" s="6"/>
      <c r="K1274" s="27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7"/>
      <c r="I1275" s="27"/>
      <c r="J1275" s="6"/>
      <c r="K1275" s="27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7"/>
      <c r="I1276" s="27"/>
      <c r="J1276" s="6"/>
      <c r="K1276" s="27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7"/>
      <c r="I1277" s="27"/>
      <c r="J1277" s="6"/>
      <c r="K1277" s="27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7"/>
      <c r="I1278" s="27"/>
      <c r="J1278" s="6"/>
      <c r="K1278" s="27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7"/>
      <c r="I1279" s="27"/>
      <c r="J1279" s="6"/>
      <c r="K1279" s="27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7"/>
      <c r="I1280" s="27"/>
      <c r="J1280" s="6"/>
      <c r="K1280" s="27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7"/>
      <c r="I1281" s="27"/>
      <c r="J1281" s="6"/>
      <c r="K1281" s="27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7"/>
      <c r="I1282" s="27"/>
      <c r="J1282" s="6"/>
      <c r="K1282" s="27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7"/>
      <c r="I1283" s="27"/>
      <c r="J1283" s="6"/>
      <c r="K1283" s="27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7"/>
      <c r="I1284" s="27"/>
      <c r="J1284" s="6"/>
      <c r="K1284" s="27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7"/>
      <c r="I1285" s="27"/>
      <c r="J1285" s="6"/>
      <c r="K1285" s="27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7"/>
      <c r="I1286" s="27"/>
      <c r="J1286" s="6"/>
      <c r="K1286" s="27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7"/>
      <c r="I1287" s="27"/>
      <c r="J1287" s="6"/>
      <c r="K1287" s="27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7"/>
      <c r="I1288" s="27"/>
      <c r="J1288" s="6"/>
      <c r="K1288" s="27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7"/>
      <c r="I1289" s="27"/>
      <c r="J1289" s="6"/>
      <c r="K1289" s="27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7"/>
      <c r="I1290" s="27"/>
      <c r="J1290" s="6"/>
      <c r="K1290" s="27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7"/>
      <c r="I1291" s="27"/>
      <c r="J1291" s="6"/>
      <c r="K1291" s="27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7"/>
      <c r="I1292" s="27"/>
      <c r="J1292" s="6"/>
      <c r="K1292" s="27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7"/>
      <c r="I1293" s="27"/>
      <c r="J1293" s="6"/>
      <c r="K1293" s="27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7"/>
      <c r="I1294" s="27"/>
      <c r="J1294" s="6"/>
      <c r="K1294" s="27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7"/>
      <c r="I1295" s="27"/>
      <c r="J1295" s="6"/>
      <c r="K1295" s="27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7"/>
      <c r="I1296" s="27"/>
      <c r="J1296" s="6"/>
      <c r="K1296" s="27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7"/>
      <c r="I1297" s="27"/>
      <c r="J1297" s="6"/>
      <c r="K1297" s="27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7"/>
      <c r="I1298" s="27"/>
      <c r="J1298" s="6"/>
      <c r="K1298" s="27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7"/>
      <c r="I1299" s="27"/>
      <c r="J1299" s="6"/>
      <c r="K1299" s="27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7"/>
      <c r="I1300" s="27"/>
      <c r="J1300" s="6"/>
      <c r="K1300" s="27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7"/>
      <c r="I1301" s="27"/>
      <c r="J1301" s="6"/>
      <c r="K1301" s="27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7"/>
      <c r="I1302" s="27"/>
      <c r="J1302" s="6"/>
      <c r="K1302" s="27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7"/>
      <c r="I1303" s="27"/>
      <c r="J1303" s="6"/>
      <c r="K1303" s="27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7"/>
      <c r="I1304" s="27"/>
      <c r="J1304" s="6"/>
      <c r="K1304" s="27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7"/>
      <c r="I1305" s="27"/>
      <c r="J1305" s="6"/>
      <c r="K1305" s="27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7"/>
      <c r="I1306" s="27"/>
      <c r="J1306" s="6"/>
      <c r="K1306" s="27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7"/>
      <c r="I1307" s="27"/>
      <c r="J1307" s="6"/>
      <c r="K1307" s="27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7"/>
      <c r="I1308" s="27"/>
      <c r="J1308" s="6"/>
      <c r="K1308" s="27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7"/>
      <c r="I1309" s="27"/>
      <c r="J1309" s="6"/>
      <c r="K1309" s="27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7"/>
      <c r="I1310" s="27"/>
      <c r="J1310" s="6"/>
      <c r="K1310" s="27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7"/>
      <c r="I1311" s="27"/>
      <c r="J1311" s="6"/>
      <c r="K1311" s="27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7"/>
      <c r="I1312" s="27"/>
      <c r="J1312" s="6"/>
      <c r="K1312" s="27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7"/>
      <c r="I1313" s="27"/>
      <c r="J1313" s="6"/>
      <c r="K1313" s="27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7"/>
      <c r="I1314" s="27"/>
      <c r="J1314" s="6"/>
      <c r="K1314" s="27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7"/>
      <c r="I1315" s="27"/>
      <c r="J1315" s="6"/>
      <c r="K1315" s="27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7"/>
      <c r="I1316" s="27"/>
      <c r="J1316" s="6"/>
      <c r="K1316" s="27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7"/>
      <c r="I1317" s="27"/>
      <c r="J1317" s="6"/>
      <c r="K1317" s="27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7"/>
      <c r="I1318" s="27"/>
      <c r="J1318" s="6"/>
      <c r="K1318" s="27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7"/>
      <c r="I1319" s="27"/>
      <c r="J1319" s="6"/>
      <c r="K1319" s="27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7"/>
      <c r="I1320" s="27"/>
      <c r="J1320" s="6"/>
      <c r="K1320" s="27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7"/>
      <c r="I1321" s="27"/>
      <c r="J1321" s="6"/>
      <c r="K1321" s="27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7"/>
      <c r="I1322" s="27"/>
      <c r="J1322" s="6"/>
      <c r="K1322" s="27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7"/>
      <c r="I1323" s="27"/>
      <c r="J1323" s="6"/>
      <c r="K1323" s="27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7"/>
      <c r="I1324" s="27"/>
      <c r="J1324" s="6"/>
      <c r="K1324" s="27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7"/>
      <c r="I1325" s="27"/>
      <c r="J1325" s="6"/>
      <c r="K1325" s="27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7"/>
      <c r="I1326" s="27"/>
      <c r="J1326" s="6"/>
      <c r="K1326" s="27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7"/>
      <c r="I1327" s="27"/>
      <c r="J1327" s="6"/>
      <c r="K1327" s="27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7"/>
      <c r="I1328" s="27"/>
      <c r="J1328" s="6"/>
      <c r="K1328" s="27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7"/>
      <c r="I1329" s="27"/>
      <c r="J1329" s="6"/>
      <c r="K1329" s="27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7"/>
      <c r="I1330" s="27"/>
      <c r="J1330" s="6"/>
      <c r="K1330" s="27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7"/>
      <c r="I1331" s="27"/>
      <c r="J1331" s="6"/>
      <c r="K1331" s="27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7"/>
      <c r="I1332" s="27"/>
      <c r="J1332" s="6"/>
      <c r="K1332" s="27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7"/>
      <c r="I1333" s="27"/>
      <c r="J1333" s="6"/>
      <c r="K1333" s="27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7"/>
      <c r="I1334" s="27"/>
      <c r="J1334" s="6"/>
      <c r="K1334" s="27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7"/>
      <c r="I1335" s="27"/>
      <c r="J1335" s="6"/>
      <c r="K1335" s="27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7"/>
      <c r="I1336" s="27"/>
      <c r="J1336" s="6"/>
      <c r="K1336" s="27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7"/>
      <c r="I1337" s="27"/>
      <c r="J1337" s="6"/>
      <c r="K1337" s="27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7"/>
      <c r="I1338" s="27"/>
      <c r="J1338" s="6"/>
      <c r="K1338" s="27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7"/>
      <c r="I1339" s="27"/>
      <c r="J1339" s="6"/>
      <c r="K1339" s="27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7"/>
      <c r="I1340" s="27"/>
      <c r="J1340" s="6"/>
      <c r="K1340" s="27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7"/>
      <c r="I1341" s="27"/>
      <c r="J1341" s="6"/>
      <c r="K1341" s="27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7"/>
      <c r="I1342" s="27"/>
      <c r="J1342" s="6"/>
      <c r="K1342" s="27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7"/>
      <c r="I1343" s="27"/>
      <c r="J1343" s="6"/>
      <c r="K1343" s="27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7"/>
      <c r="I1344" s="27"/>
      <c r="J1344" s="6"/>
      <c r="K1344" s="27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7"/>
      <c r="I1345" s="27"/>
      <c r="J1345" s="6"/>
      <c r="K1345" s="27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7"/>
      <c r="I1346" s="27"/>
      <c r="J1346" s="6"/>
      <c r="K1346" s="27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7"/>
      <c r="I1347" s="27"/>
      <c r="J1347" s="6"/>
      <c r="K1347" s="27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7"/>
      <c r="I1348" s="27"/>
      <c r="J1348" s="6"/>
      <c r="K1348" s="27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7"/>
      <c r="I1349" s="27"/>
      <c r="J1349" s="6"/>
      <c r="K1349" s="27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7"/>
      <c r="I1350" s="27"/>
      <c r="J1350" s="6"/>
      <c r="K1350" s="27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7"/>
      <c r="I1351" s="27"/>
      <c r="J1351" s="6"/>
      <c r="K1351" s="27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7"/>
      <c r="I1352" s="27"/>
      <c r="J1352" s="6"/>
      <c r="K1352" s="27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7"/>
      <c r="I1353" s="27"/>
      <c r="J1353" s="6"/>
      <c r="K1353" s="27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7"/>
      <c r="I1354" s="27"/>
      <c r="J1354" s="6"/>
      <c r="K1354" s="27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7"/>
      <c r="I1355" s="27"/>
      <c r="J1355" s="6"/>
      <c r="K1355" s="27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7"/>
      <c r="I1356" s="27"/>
      <c r="J1356" s="6"/>
      <c r="K1356" s="27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7"/>
      <c r="I1357" s="27"/>
      <c r="J1357" s="6"/>
      <c r="K1357" s="27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7"/>
      <c r="I1358" s="27"/>
      <c r="J1358" s="6"/>
      <c r="K1358" s="27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7"/>
      <c r="I1359" s="27"/>
      <c r="J1359" s="6"/>
      <c r="K1359" s="27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7"/>
      <c r="I1360" s="27"/>
      <c r="J1360" s="6"/>
      <c r="K1360" s="27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7"/>
      <c r="I1361" s="27"/>
      <c r="J1361" s="6"/>
      <c r="K1361" s="27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7"/>
      <c r="I1362" s="27"/>
      <c r="J1362" s="6"/>
      <c r="K1362" s="27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7"/>
      <c r="I1363" s="27"/>
      <c r="J1363" s="6"/>
      <c r="K1363" s="27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7"/>
      <c r="I1364" s="27"/>
      <c r="J1364" s="6"/>
      <c r="K1364" s="27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7"/>
      <c r="I1365" s="27"/>
      <c r="J1365" s="6"/>
      <c r="K1365" s="27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7"/>
      <c r="I1366" s="27"/>
      <c r="J1366" s="6"/>
      <c r="K1366" s="27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7"/>
      <c r="I1367" s="27"/>
      <c r="J1367" s="6"/>
      <c r="K1367" s="27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7"/>
      <c r="I1368" s="27"/>
      <c r="J1368" s="6"/>
      <c r="K1368" s="27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7"/>
      <c r="I1369" s="27"/>
      <c r="J1369" s="6"/>
      <c r="K1369" s="27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7"/>
      <c r="I1370" s="27"/>
      <c r="J1370" s="6"/>
      <c r="K1370" s="27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7"/>
      <c r="I1371" s="27"/>
      <c r="J1371" s="6"/>
      <c r="K1371" s="27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7"/>
      <c r="I1372" s="27"/>
      <c r="J1372" s="6"/>
      <c r="K1372" s="27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7"/>
      <c r="I1373" s="27"/>
      <c r="J1373" s="6"/>
      <c r="K1373" s="27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7"/>
      <c r="I1374" s="27"/>
      <c r="J1374" s="6"/>
      <c r="K1374" s="27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7"/>
      <c r="I1375" s="27"/>
      <c r="J1375" s="6"/>
      <c r="K1375" s="27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7"/>
      <c r="I1376" s="27"/>
      <c r="J1376" s="6"/>
      <c r="K1376" s="27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7"/>
      <c r="I1377" s="27"/>
      <c r="J1377" s="6"/>
      <c r="K1377" s="27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7"/>
      <c r="I1378" s="27"/>
      <c r="J1378" s="6"/>
      <c r="K1378" s="27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7"/>
      <c r="I1379" s="27"/>
      <c r="J1379" s="6"/>
      <c r="K1379" s="27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7"/>
      <c r="I1380" s="27"/>
      <c r="J1380" s="6"/>
      <c r="K1380" s="27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7"/>
      <c r="I1381" s="27"/>
      <c r="J1381" s="6"/>
      <c r="K1381" s="27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7"/>
      <c r="I1382" s="27"/>
      <c r="J1382" s="6"/>
      <c r="K1382" s="27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7"/>
      <c r="I1383" s="27"/>
      <c r="J1383" s="6"/>
      <c r="K1383" s="27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7"/>
      <c r="I1384" s="27"/>
      <c r="J1384" s="6"/>
      <c r="K1384" s="27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7"/>
      <c r="I1385" s="27"/>
      <c r="J1385" s="6"/>
      <c r="K1385" s="27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7"/>
      <c r="I1386" s="27"/>
      <c r="J1386" s="6"/>
      <c r="K1386" s="27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7"/>
      <c r="I1387" s="27"/>
      <c r="J1387" s="6"/>
      <c r="K1387" s="27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7"/>
      <c r="I1388" s="27"/>
      <c r="J1388" s="6"/>
      <c r="K1388" s="27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7"/>
      <c r="I1389" s="27"/>
      <c r="J1389" s="6"/>
      <c r="K1389" s="27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7"/>
      <c r="I1390" s="27"/>
      <c r="J1390" s="6"/>
      <c r="K1390" s="27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7"/>
      <c r="I1391" s="27"/>
      <c r="J1391" s="6"/>
      <c r="K1391" s="27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7"/>
      <c r="I1392" s="27"/>
      <c r="J1392" s="6"/>
      <c r="K1392" s="27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7"/>
      <c r="I1393" s="27"/>
      <c r="J1393" s="6"/>
      <c r="K1393" s="27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7"/>
      <c r="I1394" s="27"/>
      <c r="J1394" s="6"/>
      <c r="K1394" s="27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7"/>
      <c r="I1395" s="27"/>
      <c r="J1395" s="6"/>
      <c r="K1395" s="27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7"/>
      <c r="I1396" s="27"/>
      <c r="J1396" s="6"/>
      <c r="K1396" s="27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7"/>
      <c r="I1397" s="27"/>
      <c r="J1397" s="6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7"/>
      <c r="I1398" s="27"/>
      <c r="J1398" s="6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7"/>
      <c r="I1399" s="27"/>
      <c r="J1399" s="6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7"/>
      <c r="I1400" s="27"/>
      <c r="J1400" s="6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7"/>
      <c r="I1401" s="27"/>
      <c r="J1401" s="6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7"/>
      <c r="I1402" s="27"/>
      <c r="J1402" s="6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7"/>
      <c r="I1403" s="27"/>
      <c r="J1403" s="6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7"/>
      <c r="I1404" s="27"/>
      <c r="J1404" s="6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7"/>
      <c r="I1405" s="27"/>
      <c r="J1405" s="6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7"/>
      <c r="I1406" s="27"/>
      <c r="J1406" s="6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7"/>
      <c r="I1407" s="27"/>
      <c r="J1407" s="6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7"/>
      <c r="I1408" s="27"/>
      <c r="J1408" s="6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7"/>
      <c r="I1409" s="27"/>
      <c r="J1409" s="6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7"/>
      <c r="I1410" s="27"/>
      <c r="J1410" s="6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7"/>
      <c r="I1411" s="27"/>
      <c r="J1411" s="6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7"/>
      <c r="I1412" s="27"/>
      <c r="J1412" s="6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7"/>
      <c r="I1413" s="27"/>
      <c r="J1413" s="6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7"/>
      <c r="I1414" s="27"/>
      <c r="J1414" s="6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7"/>
      <c r="I1415" s="27"/>
      <c r="J1415" s="6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7"/>
      <c r="I1416" s="27"/>
      <c r="J1416" s="6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7"/>
      <c r="I1417" s="27"/>
      <c r="J1417" s="6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7"/>
      <c r="I1418" s="27"/>
      <c r="J1418" s="6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7"/>
      <c r="I1419" s="27"/>
      <c r="J1419" s="6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7"/>
      <c r="I1420" s="27"/>
      <c r="J1420" s="6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7"/>
      <c r="I1421" s="27"/>
      <c r="J1421" s="6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7"/>
      <c r="I1422" s="27"/>
      <c r="J1422" s="6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7"/>
      <c r="I1423" s="27"/>
      <c r="J1423" s="6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7"/>
      <c r="I1424" s="27"/>
      <c r="J1424" s="6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7"/>
      <c r="I1425" s="27"/>
      <c r="J1425" s="6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7"/>
      <c r="I1426" s="27"/>
      <c r="J1426" s="6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7"/>
      <c r="I1427" s="27"/>
      <c r="J1427" s="6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7"/>
      <c r="I1428" s="27"/>
      <c r="J1428" s="6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7"/>
      <c r="I1429" s="27"/>
      <c r="J1429" s="6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7"/>
      <c r="I1430" s="27"/>
      <c r="J1430" s="6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7"/>
      <c r="I1431" s="27"/>
      <c r="J1431" s="6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7"/>
      <c r="I1432" s="27"/>
      <c r="J1432" s="6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7"/>
      <c r="I1433" s="27"/>
      <c r="J1433" s="6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7"/>
      <c r="I1434" s="27"/>
      <c r="J1434" s="6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7"/>
      <c r="I1435" s="27"/>
      <c r="J1435" s="6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7"/>
      <c r="I1436" s="27"/>
      <c r="J1436" s="6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7"/>
      <c r="I1437" s="27"/>
      <c r="J1437" s="6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7"/>
      <c r="I1438" s="27"/>
      <c r="J1438" s="6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7"/>
      <c r="I1439" s="27"/>
      <c r="J1439" s="6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7"/>
      <c r="I1440" s="27"/>
      <c r="J1440" s="6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7"/>
      <c r="I1441" s="27"/>
      <c r="J1441" s="6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7"/>
      <c r="I1442" s="27"/>
      <c r="J1442" s="6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7"/>
      <c r="I1443" s="27"/>
      <c r="J1443" s="6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7"/>
      <c r="I1444" s="27"/>
      <c r="J1444" s="6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7"/>
      <c r="I1445" s="27"/>
      <c r="J1445" s="6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7"/>
      <c r="I1446" s="27"/>
      <c r="J1446" s="6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7"/>
      <c r="I1447" s="27"/>
      <c r="J1447" s="6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7"/>
      <c r="I1448" s="27"/>
      <c r="J1448" s="6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7"/>
      <c r="I1449" s="27"/>
      <c r="J1449" s="6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7"/>
      <c r="I1450" s="27"/>
      <c r="J1450" s="6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7"/>
      <c r="I1451" s="27"/>
      <c r="J1451" s="6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7"/>
      <c r="I1452" s="27"/>
      <c r="J1452" s="6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7"/>
      <c r="I1453" s="27"/>
      <c r="J1453" s="6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7"/>
      <c r="I1454" s="27"/>
      <c r="J1454" s="6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7"/>
      <c r="I1455" s="27"/>
      <c r="J1455" s="6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7"/>
      <c r="I1456" s="27"/>
      <c r="J1456" s="6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7"/>
      <c r="I1457" s="27"/>
      <c r="J1457" s="6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7"/>
      <c r="I1458" s="27"/>
      <c r="J1458" s="6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7"/>
      <c r="I1459" s="27"/>
      <c r="J1459" s="6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7"/>
      <c r="I1460" s="27"/>
      <c r="J1460" s="6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7"/>
      <c r="I1461" s="27"/>
      <c r="J1461" s="6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7"/>
      <c r="I1462" s="27"/>
      <c r="J1462" s="6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7"/>
      <c r="I1463" s="27"/>
      <c r="J1463" s="6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7"/>
      <c r="I1464" s="27"/>
      <c r="J1464" s="6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7"/>
      <c r="I1465" s="27"/>
      <c r="J1465" s="6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7"/>
      <c r="I1466" s="27"/>
      <c r="J1466" s="6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7"/>
      <c r="I1467" s="27"/>
      <c r="J1467" s="6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7"/>
      <c r="I1468" s="27"/>
      <c r="J1468" s="6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7"/>
      <c r="I1469" s="27"/>
      <c r="J1469" s="6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7"/>
      <c r="I1470" s="27"/>
      <c r="J1470" s="6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7"/>
      <c r="I1471" s="27"/>
      <c r="J1471" s="6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7"/>
      <c r="I1472" s="27"/>
      <c r="J1472" s="6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7"/>
      <c r="I1473" s="27"/>
      <c r="J1473" s="6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7"/>
      <c r="I1474" s="27"/>
      <c r="J1474" s="6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7"/>
      <c r="I1475" s="27"/>
      <c r="J1475" s="6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7"/>
      <c r="I1476" s="27"/>
      <c r="J1476" s="6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7"/>
      <c r="I1477" s="27"/>
      <c r="J1477" s="6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7"/>
      <c r="I1478" s="27"/>
      <c r="J1478" s="6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7"/>
      <c r="I1479" s="27"/>
      <c r="J1479" s="6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7"/>
      <c r="I1480" s="27"/>
      <c r="J1480" s="6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7"/>
      <c r="I1481" s="27"/>
      <c r="J1481" s="6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7"/>
      <c r="I1482" s="27"/>
      <c r="J1482" s="6"/>
      <c r="K1482" s="27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7"/>
      <c r="I1483" s="27"/>
      <c r="J1483" s="6"/>
      <c r="K1483" s="27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7"/>
      <c r="I1484" s="27"/>
      <c r="J1484" s="6"/>
      <c r="K1484" s="27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7"/>
      <c r="I1485" s="27"/>
      <c r="J1485" s="6"/>
      <c r="K1485" s="27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7"/>
      <c r="I1486" s="27"/>
      <c r="J1486" s="6"/>
      <c r="K1486" s="27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7"/>
      <c r="I1487" s="27"/>
      <c r="J1487" s="6"/>
      <c r="K1487" s="27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7"/>
      <c r="I1488" s="27"/>
      <c r="J1488" s="6"/>
      <c r="K1488" s="27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7"/>
      <c r="I1489" s="27"/>
      <c r="J1489" s="6"/>
      <c r="K1489" s="27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7"/>
      <c r="I1490" s="27"/>
      <c r="J1490" s="6"/>
      <c r="K1490" s="27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7"/>
      <c r="I1491" s="27"/>
      <c r="J1491" s="6"/>
      <c r="K1491" s="27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7"/>
      <c r="I1492" s="27"/>
      <c r="J1492" s="6"/>
      <c r="K1492" s="27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G1493" s="1"/>
    </row>
  </sheetData>
  <protectedRanges>
    <protectedRange sqref="H5:I15 K7:K15" name="Rango1_1"/>
    <protectedRange sqref="K5:K6" name="Rango1_1_2"/>
  </protectedRanges>
  <autoFilter ref="A4:DI4" xr:uid="{00000000-0001-0000-0200-000000000000}"/>
  <mergeCells count="18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O1:W1"/>
    <mergeCell ref="N2:O2"/>
    <mergeCell ref="V2:W2"/>
    <mergeCell ref="V3:W3"/>
    <mergeCell ref="N3:O3"/>
    <mergeCell ref="P3:Q3"/>
    <mergeCell ref="R3:S3"/>
    <mergeCell ref="T3:U3"/>
    <mergeCell ref="P2:U2"/>
  </mergeCells>
  <phoneticPr fontId="0" type="noConversion"/>
  <conditionalFormatting sqref="E5:F15">
    <cfRule type="expression" dxfId="22" priority="97" stopIfTrue="1">
      <formula>"SEVERSTAL"</formula>
    </cfRule>
  </conditionalFormatting>
  <conditionalFormatting sqref="H5:I15 K7:K15">
    <cfRule type="cellIs" dxfId="21" priority="98" stopIfTrue="1" operator="equal">
      <formula>"APROBADO"</formula>
    </cfRule>
    <cfRule type="cellIs" dxfId="20" priority="99" stopIfTrue="1" operator="equal">
      <formula>"ESPERA"</formula>
    </cfRule>
    <cfRule type="cellIs" dxfId="19" priority="100" stopIfTrue="1" operator="equal">
      <formula>"RECHAZADO"</formula>
    </cfRule>
  </conditionalFormatting>
  <conditionalFormatting sqref="K5:K6">
    <cfRule type="cellIs" dxfId="18" priority="1" stopIfTrue="1" operator="equal">
      <formula>"APROBADO"</formula>
    </cfRule>
    <cfRule type="cellIs" dxfId="17" priority="2" stopIfTrue="1" operator="equal">
      <formula>"ESPERA"</formula>
    </cfRule>
    <cfRule type="cellIs" dxfId="16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4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D3" sqref="D3"/>
    </sheetView>
  </sheetViews>
  <sheetFormatPr baseColWidth="10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51" customWidth="1"/>
    <col min="6" max="6" width="8" style="33" customWidth="1"/>
    <col min="7" max="7" width="10.375" style="33" customWidth="1"/>
    <col min="8" max="8" width="12.875" style="144" customWidth="1"/>
    <col min="9" max="9" width="5.75" style="33" customWidth="1"/>
    <col min="10" max="10" width="6.625" style="33" customWidth="1"/>
    <col min="11" max="11" width="8.125" style="33" customWidth="1"/>
    <col min="12" max="12" width="5.75" style="33" customWidth="1"/>
    <col min="13" max="13" width="5.875" style="33" customWidth="1"/>
    <col min="14" max="14" width="5.75" style="33" customWidth="1"/>
    <col min="15" max="15" width="7.875" style="33" customWidth="1"/>
    <col min="16" max="16" width="6.625" style="33" customWidth="1"/>
    <col min="17" max="17" width="5.75" style="33" customWidth="1"/>
    <col min="18" max="19" width="5.625" style="33" customWidth="1"/>
    <col min="20" max="20" width="5.75" style="33" customWidth="1"/>
    <col min="21" max="21" width="6.625" style="33" customWidth="1"/>
    <col min="22" max="22" width="6.75" style="33" customWidth="1"/>
    <col min="23" max="23" width="10.25" style="33" customWidth="1"/>
    <col min="24" max="29" width="11.75" style="33" customWidth="1"/>
    <col min="30" max="30" width="14" style="33" customWidth="1"/>
    <col min="31" max="31" width="8.5" style="33" customWidth="1"/>
    <col min="33" max="33" width="8.25" style="51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57</v>
      </c>
      <c r="H1" s="141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42"/>
      <c r="I2" s="36"/>
      <c r="J2" s="37" t="s">
        <v>97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32"/>
      <c r="AB2" s="32"/>
      <c r="AC2" s="32"/>
      <c r="AD2" s="32"/>
      <c r="AE2" s="32"/>
      <c r="AF2" s="33"/>
      <c r="AG2" s="32"/>
    </row>
    <row r="3" spans="1:33" ht="16.5" customHeight="1">
      <c r="A3" s="38"/>
      <c r="B3" s="38"/>
      <c r="C3" s="38"/>
      <c r="D3" s="38"/>
      <c r="E3" s="53"/>
      <c r="F3" s="208"/>
      <c r="G3" s="208"/>
      <c r="H3" s="143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2"/>
      <c r="X3" s="39"/>
      <c r="Y3" s="39"/>
      <c r="Z3" s="39">
        <f>3600/140</f>
        <v>25.714285714285715</v>
      </c>
      <c r="AA3" s="39"/>
      <c r="AB3" s="39"/>
      <c r="AC3" s="39"/>
      <c r="AD3" s="39"/>
      <c r="AE3" s="40" t="s">
        <v>23</v>
      </c>
      <c r="AF3" s="33" t="s">
        <v>95</v>
      </c>
      <c r="AG3" s="41"/>
    </row>
    <row r="4" spans="1:33" ht="26.25" customHeight="1">
      <c r="E4" s="33"/>
      <c r="F4" s="42"/>
      <c r="I4" s="210" t="s">
        <v>58</v>
      </c>
      <c r="J4" s="210"/>
      <c r="K4" s="210"/>
      <c r="L4" s="210"/>
      <c r="M4" s="210"/>
      <c r="N4" s="210"/>
      <c r="O4" s="210"/>
      <c r="P4" s="209" t="s">
        <v>59</v>
      </c>
      <c r="Q4" s="209"/>
      <c r="R4" s="209"/>
      <c r="S4" s="209"/>
      <c r="T4" s="209"/>
      <c r="U4" s="209"/>
      <c r="V4" s="148"/>
      <c r="W4" s="32"/>
      <c r="X4" s="43"/>
      <c r="Y4" s="43"/>
      <c r="Z4" s="43"/>
      <c r="AA4" s="43"/>
      <c r="AB4" s="43"/>
      <c r="AC4" s="43"/>
      <c r="AD4" s="44" t="s">
        <v>54</v>
      </c>
      <c r="AE4" s="45"/>
      <c r="AF4" s="33"/>
      <c r="AG4" s="45"/>
    </row>
    <row r="5" spans="1:33" ht="21" customHeight="1">
      <c r="A5" s="46"/>
      <c r="E5" s="33"/>
      <c r="F5" s="47"/>
      <c r="G5" s="48"/>
      <c r="H5" s="143"/>
      <c r="I5" s="212" t="s">
        <v>8</v>
      </c>
      <c r="J5" s="213"/>
      <c r="K5" s="211" t="s">
        <v>9</v>
      </c>
      <c r="L5" s="212"/>
      <c r="M5" s="212"/>
      <c r="N5" s="212"/>
      <c r="O5" s="213"/>
      <c r="P5" s="211" t="s">
        <v>13</v>
      </c>
      <c r="Q5" s="213"/>
      <c r="R5" s="211" t="s">
        <v>9</v>
      </c>
      <c r="S5" s="212"/>
      <c r="T5" s="212"/>
      <c r="U5" s="212"/>
      <c r="V5" s="149"/>
      <c r="W5" s="49"/>
      <c r="X5" s="43"/>
      <c r="Y5" s="43"/>
      <c r="Z5" s="43"/>
      <c r="AA5" s="43"/>
      <c r="AB5" s="43"/>
      <c r="AC5" s="43"/>
      <c r="AD5" s="44" t="s">
        <v>55</v>
      </c>
      <c r="AE5" s="45"/>
      <c r="AF5" s="33"/>
      <c r="AG5" s="45"/>
    </row>
    <row r="6" spans="1:33" s="139" customFormat="1" ht="56.25" customHeight="1">
      <c r="A6" s="150" t="s">
        <v>1</v>
      </c>
      <c r="B6" s="150" t="s">
        <v>4</v>
      </c>
      <c r="C6" s="150" t="s">
        <v>60</v>
      </c>
      <c r="D6" s="150" t="s">
        <v>109</v>
      </c>
      <c r="E6" s="150" t="s">
        <v>3</v>
      </c>
      <c r="F6" s="150" t="s">
        <v>5</v>
      </c>
      <c r="G6" s="150" t="s">
        <v>12</v>
      </c>
      <c r="H6" s="151" t="s">
        <v>72</v>
      </c>
      <c r="I6" s="150" t="s">
        <v>7</v>
      </c>
      <c r="J6" s="150" t="s">
        <v>65</v>
      </c>
      <c r="K6" s="150" t="s">
        <v>64</v>
      </c>
      <c r="L6" s="150" t="s">
        <v>10</v>
      </c>
      <c r="M6" s="150" t="s">
        <v>11</v>
      </c>
      <c r="N6" s="150" t="s">
        <v>15</v>
      </c>
      <c r="O6" s="150" t="s">
        <v>66</v>
      </c>
      <c r="P6" s="150" t="s">
        <v>67</v>
      </c>
      <c r="Q6" s="150" t="s">
        <v>7</v>
      </c>
      <c r="R6" s="150" t="s">
        <v>10</v>
      </c>
      <c r="S6" s="150" t="s">
        <v>11</v>
      </c>
      <c r="T6" s="150" t="s">
        <v>15</v>
      </c>
      <c r="U6" s="150" t="s">
        <v>68</v>
      </c>
      <c r="V6" s="150" t="s">
        <v>64</v>
      </c>
      <c r="W6" s="150" t="s">
        <v>0</v>
      </c>
      <c r="X6" s="150" t="s">
        <v>6</v>
      </c>
      <c r="Y6" s="150" t="s">
        <v>53</v>
      </c>
      <c r="Z6" s="150" t="s">
        <v>63</v>
      </c>
      <c r="AA6" s="150" t="s">
        <v>89</v>
      </c>
      <c r="AB6" s="150" t="s">
        <v>71</v>
      </c>
      <c r="AC6" s="150" t="s">
        <v>62</v>
      </c>
      <c r="AD6" s="150" t="s">
        <v>61</v>
      </c>
      <c r="AE6" s="150" t="s">
        <v>52</v>
      </c>
      <c r="AF6" s="152" t="s">
        <v>73</v>
      </c>
      <c r="AG6" s="150" t="s">
        <v>56</v>
      </c>
    </row>
    <row r="7" spans="1:33" s="51" customFormat="1">
      <c r="A7" s="140">
        <v>43285</v>
      </c>
      <c r="B7" s="52">
        <v>2</v>
      </c>
      <c r="C7" s="52">
        <v>2640285</v>
      </c>
      <c r="D7" s="168" t="s">
        <v>90</v>
      </c>
      <c r="E7" s="129">
        <v>90875</v>
      </c>
      <c r="F7" s="52">
        <v>6004</v>
      </c>
      <c r="G7" s="130">
        <v>20</v>
      </c>
      <c r="H7" s="145" t="s">
        <v>98</v>
      </c>
      <c r="I7" s="131">
        <v>0</v>
      </c>
      <c r="J7" s="132">
        <v>0</v>
      </c>
      <c r="K7" s="138">
        <v>0</v>
      </c>
      <c r="L7" s="133">
        <v>0</v>
      </c>
      <c r="M7" s="131">
        <v>0</v>
      </c>
      <c r="N7" s="134">
        <v>0</v>
      </c>
      <c r="O7" s="130">
        <v>0</v>
      </c>
      <c r="P7" s="133">
        <v>0</v>
      </c>
      <c r="Q7" s="130">
        <v>0</v>
      </c>
      <c r="R7" s="133">
        <v>0</v>
      </c>
      <c r="S7" s="131">
        <v>0</v>
      </c>
      <c r="T7" s="134">
        <v>0</v>
      </c>
      <c r="U7" s="133">
        <v>0</v>
      </c>
      <c r="V7" s="133">
        <v>0</v>
      </c>
      <c r="W7" s="50">
        <f t="shared" ref="W7:W20" si="0">+G7-(SUM(I7:N7,P7,Q7,R7,S7,T7,V7))</f>
        <v>20</v>
      </c>
      <c r="X7" s="135"/>
      <c r="Y7" s="135"/>
      <c r="Z7" s="135">
        <v>1</v>
      </c>
      <c r="AA7" s="135"/>
      <c r="AB7" s="135"/>
      <c r="AC7" s="135"/>
      <c r="AD7" s="147">
        <f>W7-SUM(Y7:AC7)</f>
        <v>19</v>
      </c>
      <c r="AE7" s="136"/>
      <c r="AF7" s="137"/>
      <c r="AG7" s="129"/>
    </row>
    <row r="8" spans="1:33" s="51" customFormat="1">
      <c r="A8" s="140"/>
      <c r="B8" s="52"/>
      <c r="C8" s="52"/>
      <c r="D8" s="52"/>
      <c r="E8" s="129"/>
      <c r="F8" s="52"/>
      <c r="G8" s="130"/>
      <c r="H8" s="145"/>
      <c r="I8" s="131">
        <v>0</v>
      </c>
      <c r="J8" s="132">
        <v>0</v>
      </c>
      <c r="K8" s="138">
        <v>0</v>
      </c>
      <c r="L8" s="133">
        <v>0</v>
      </c>
      <c r="M8" s="131">
        <v>0</v>
      </c>
      <c r="N8" s="134">
        <v>0</v>
      </c>
      <c r="O8" s="130">
        <v>0</v>
      </c>
      <c r="P8" s="133">
        <v>0</v>
      </c>
      <c r="Q8" s="130">
        <v>0</v>
      </c>
      <c r="R8" s="133">
        <v>0</v>
      </c>
      <c r="S8" s="131">
        <v>0</v>
      </c>
      <c r="T8" s="134">
        <v>0</v>
      </c>
      <c r="U8" s="133">
        <v>0</v>
      </c>
      <c r="V8" s="133">
        <v>0</v>
      </c>
      <c r="W8" s="50">
        <f t="shared" si="0"/>
        <v>0</v>
      </c>
      <c r="X8" s="135"/>
      <c r="Y8" s="135"/>
      <c r="Z8" s="135"/>
      <c r="AA8" s="135"/>
      <c r="AB8" s="135"/>
      <c r="AC8" s="135"/>
      <c r="AD8" s="147">
        <f t="shared" ref="AD8:AD22" si="1">W8-SUM(Y8:AC8)</f>
        <v>0</v>
      </c>
      <c r="AE8" s="136"/>
      <c r="AF8" s="137"/>
      <c r="AG8" s="129"/>
    </row>
    <row r="9" spans="1:33" s="51" customFormat="1">
      <c r="A9" s="140"/>
      <c r="B9" s="52"/>
      <c r="C9" s="52"/>
      <c r="D9" s="52"/>
      <c r="E9" s="129"/>
      <c r="F9" s="52"/>
      <c r="G9" s="130"/>
      <c r="H9" s="145"/>
      <c r="I9" s="131">
        <v>0</v>
      </c>
      <c r="J9" s="132">
        <v>0</v>
      </c>
      <c r="K9" s="138">
        <v>0</v>
      </c>
      <c r="L9" s="133">
        <v>0</v>
      </c>
      <c r="M9" s="131">
        <v>0</v>
      </c>
      <c r="N9" s="134">
        <v>0</v>
      </c>
      <c r="O9" s="130">
        <v>0</v>
      </c>
      <c r="P9" s="133">
        <v>0</v>
      </c>
      <c r="Q9" s="130">
        <v>0</v>
      </c>
      <c r="R9" s="133">
        <v>0</v>
      </c>
      <c r="S9" s="131">
        <v>0</v>
      </c>
      <c r="T9" s="134">
        <v>0</v>
      </c>
      <c r="U9" s="133">
        <v>0</v>
      </c>
      <c r="V9" s="133">
        <v>0</v>
      </c>
      <c r="W9" s="50">
        <f t="shared" si="0"/>
        <v>0</v>
      </c>
      <c r="X9" s="135"/>
      <c r="Y9" s="135"/>
      <c r="Z9" s="135"/>
      <c r="AA9" s="135"/>
      <c r="AB9" s="135"/>
      <c r="AC9" s="135"/>
      <c r="AD9" s="147">
        <f t="shared" si="1"/>
        <v>0</v>
      </c>
      <c r="AE9" s="136"/>
      <c r="AF9" s="137"/>
      <c r="AG9" s="129"/>
    </row>
    <row r="10" spans="1:33" s="51" customFormat="1">
      <c r="A10" s="140"/>
      <c r="B10" s="52"/>
      <c r="C10" s="52"/>
      <c r="D10" s="52"/>
      <c r="E10" s="129"/>
      <c r="F10" s="52"/>
      <c r="G10" s="130"/>
      <c r="H10" s="145"/>
      <c r="I10" s="131">
        <v>0</v>
      </c>
      <c r="J10" s="132">
        <v>0</v>
      </c>
      <c r="K10" s="138">
        <v>0</v>
      </c>
      <c r="L10" s="133">
        <v>0</v>
      </c>
      <c r="M10" s="131">
        <v>0</v>
      </c>
      <c r="N10" s="134">
        <v>0</v>
      </c>
      <c r="O10" s="130">
        <v>0</v>
      </c>
      <c r="P10" s="133">
        <v>0</v>
      </c>
      <c r="Q10" s="130">
        <v>0</v>
      </c>
      <c r="R10" s="133">
        <v>0</v>
      </c>
      <c r="S10" s="131">
        <v>0</v>
      </c>
      <c r="T10" s="134">
        <v>0</v>
      </c>
      <c r="U10" s="133">
        <v>0</v>
      </c>
      <c r="V10" s="133">
        <v>0</v>
      </c>
      <c r="W10" s="50">
        <f t="shared" si="0"/>
        <v>0</v>
      </c>
      <c r="X10" s="135"/>
      <c r="Y10" s="135"/>
      <c r="Z10" s="135"/>
      <c r="AA10" s="135"/>
      <c r="AB10" s="135"/>
      <c r="AC10" s="135"/>
      <c r="AD10" s="147">
        <f t="shared" si="1"/>
        <v>0</v>
      </c>
      <c r="AE10" s="136"/>
      <c r="AF10" s="137"/>
      <c r="AG10" s="129"/>
    </row>
    <row r="11" spans="1:33" s="51" customFormat="1">
      <c r="A11" s="140"/>
      <c r="B11" s="52"/>
      <c r="C11" s="52"/>
      <c r="D11" s="52"/>
      <c r="E11" s="129"/>
      <c r="F11" s="52"/>
      <c r="H11" s="145"/>
      <c r="I11" s="131">
        <v>0</v>
      </c>
      <c r="J11" s="132">
        <v>0</v>
      </c>
      <c r="K11" s="138">
        <v>0</v>
      </c>
      <c r="L11" s="133">
        <v>0</v>
      </c>
      <c r="M11" s="131">
        <v>0</v>
      </c>
      <c r="N11" s="134">
        <v>0</v>
      </c>
      <c r="O11" s="130">
        <v>0</v>
      </c>
      <c r="P11" s="133">
        <v>0</v>
      </c>
      <c r="Q11" s="130">
        <v>0</v>
      </c>
      <c r="R11" s="133">
        <v>0</v>
      </c>
      <c r="S11" s="131">
        <v>0</v>
      </c>
      <c r="T11" s="134">
        <v>0</v>
      </c>
      <c r="U11" s="133">
        <v>0</v>
      </c>
      <c r="V11" s="133">
        <v>0</v>
      </c>
      <c r="W11" s="50" t="e">
        <f>+D7-(SUM(I11:N11,P11,Q11,R11,S11,T11,V11))</f>
        <v>#VALUE!</v>
      </c>
      <c r="X11" s="135"/>
      <c r="Y11" s="135"/>
      <c r="Z11" s="135"/>
      <c r="AA11" s="135"/>
      <c r="AB11" s="135"/>
      <c r="AC11" s="135"/>
      <c r="AD11" s="147" t="e">
        <f t="shared" si="1"/>
        <v>#VALUE!</v>
      </c>
      <c r="AE11" s="136"/>
      <c r="AF11" s="137"/>
      <c r="AG11" s="129"/>
    </row>
    <row r="12" spans="1:33" s="51" customFormat="1">
      <c r="A12" s="140"/>
      <c r="B12" s="52"/>
      <c r="C12" s="52"/>
      <c r="D12" s="52"/>
      <c r="E12" s="129"/>
      <c r="F12" s="52"/>
      <c r="G12" s="130"/>
      <c r="H12" s="145"/>
      <c r="I12" s="131">
        <v>0</v>
      </c>
      <c r="J12" s="132">
        <v>0</v>
      </c>
      <c r="K12" s="138">
        <v>0</v>
      </c>
      <c r="L12" s="133">
        <v>0</v>
      </c>
      <c r="M12" s="131">
        <v>0</v>
      </c>
      <c r="N12" s="134">
        <v>0</v>
      </c>
      <c r="O12" s="130">
        <v>0</v>
      </c>
      <c r="P12" s="133">
        <v>0</v>
      </c>
      <c r="Q12" s="130">
        <v>0</v>
      </c>
      <c r="R12" s="133">
        <v>0</v>
      </c>
      <c r="S12" s="131">
        <v>0</v>
      </c>
      <c r="T12" s="134">
        <v>0</v>
      </c>
      <c r="U12" s="133">
        <v>0</v>
      </c>
      <c r="V12" s="133">
        <v>0</v>
      </c>
      <c r="W12" s="50">
        <f t="shared" si="0"/>
        <v>0</v>
      </c>
      <c r="X12" s="135"/>
      <c r="Y12" s="135"/>
      <c r="Z12" s="135"/>
      <c r="AA12" s="135"/>
      <c r="AB12" s="135"/>
      <c r="AC12" s="135"/>
      <c r="AD12" s="147">
        <f t="shared" si="1"/>
        <v>0</v>
      </c>
      <c r="AE12" s="136"/>
      <c r="AF12" s="137"/>
      <c r="AG12" s="129"/>
    </row>
    <row r="13" spans="1:33" s="51" customFormat="1">
      <c r="A13" s="140"/>
      <c r="B13" s="52"/>
      <c r="C13" s="52"/>
      <c r="D13" s="52"/>
      <c r="E13" s="129"/>
      <c r="F13" s="52"/>
      <c r="G13" s="130"/>
      <c r="H13" s="145"/>
      <c r="I13" s="131">
        <v>0</v>
      </c>
      <c r="J13" s="132">
        <v>0</v>
      </c>
      <c r="K13" s="138">
        <v>0</v>
      </c>
      <c r="L13" s="133">
        <v>0</v>
      </c>
      <c r="M13" s="131">
        <v>0</v>
      </c>
      <c r="N13" s="134">
        <v>0</v>
      </c>
      <c r="O13" s="130">
        <v>0</v>
      </c>
      <c r="P13" s="133">
        <v>0</v>
      </c>
      <c r="Q13" s="130">
        <v>0</v>
      </c>
      <c r="R13" s="133">
        <v>0</v>
      </c>
      <c r="S13" s="131">
        <v>0</v>
      </c>
      <c r="T13" s="134">
        <v>0</v>
      </c>
      <c r="U13" s="133">
        <v>0</v>
      </c>
      <c r="V13" s="133">
        <v>0</v>
      </c>
      <c r="W13" s="50">
        <f t="shared" si="0"/>
        <v>0</v>
      </c>
      <c r="X13" s="135"/>
      <c r="Y13" s="135"/>
      <c r="Z13" s="135"/>
      <c r="AA13" s="135"/>
      <c r="AB13" s="135"/>
      <c r="AC13" s="135"/>
      <c r="AD13" s="147">
        <f t="shared" si="1"/>
        <v>0</v>
      </c>
      <c r="AE13" s="136"/>
      <c r="AF13" s="137"/>
      <c r="AG13" s="129"/>
    </row>
    <row r="14" spans="1:33" s="51" customFormat="1">
      <c r="A14" s="140"/>
      <c r="B14" s="52"/>
      <c r="C14" s="52"/>
      <c r="D14" s="52"/>
      <c r="E14" s="129"/>
      <c r="F14" s="52"/>
      <c r="G14" s="130"/>
      <c r="H14" s="145"/>
      <c r="I14" s="131">
        <v>0</v>
      </c>
      <c r="J14" s="132">
        <v>0</v>
      </c>
      <c r="K14" s="138">
        <v>0</v>
      </c>
      <c r="L14" s="133">
        <v>0</v>
      </c>
      <c r="M14" s="131">
        <v>0</v>
      </c>
      <c r="N14" s="134">
        <v>0</v>
      </c>
      <c r="O14" s="130">
        <v>0</v>
      </c>
      <c r="P14" s="133">
        <v>0</v>
      </c>
      <c r="Q14" s="130">
        <v>0</v>
      </c>
      <c r="R14" s="133">
        <v>0</v>
      </c>
      <c r="S14" s="131">
        <v>0</v>
      </c>
      <c r="T14" s="134">
        <v>0</v>
      </c>
      <c r="U14" s="133">
        <v>0</v>
      </c>
      <c r="V14" s="133">
        <v>0</v>
      </c>
      <c r="W14" s="50">
        <f t="shared" si="0"/>
        <v>0</v>
      </c>
      <c r="X14" s="135"/>
      <c r="Y14" s="135"/>
      <c r="Z14" s="135"/>
      <c r="AA14" s="135"/>
      <c r="AB14" s="135"/>
      <c r="AC14" s="135"/>
      <c r="AD14" s="147">
        <f t="shared" si="1"/>
        <v>0</v>
      </c>
      <c r="AE14" s="136"/>
      <c r="AF14" s="137"/>
      <c r="AG14" s="129"/>
    </row>
    <row r="15" spans="1:33" s="51" customFormat="1">
      <c r="A15" s="140"/>
      <c r="B15" s="52"/>
      <c r="C15" s="52"/>
      <c r="D15" s="52"/>
      <c r="E15" s="129"/>
      <c r="F15" s="52"/>
      <c r="G15" s="130"/>
      <c r="H15" s="145"/>
      <c r="I15" s="131">
        <v>0</v>
      </c>
      <c r="J15" s="132">
        <v>0</v>
      </c>
      <c r="K15" s="138">
        <v>0</v>
      </c>
      <c r="L15" s="133">
        <v>0</v>
      </c>
      <c r="M15" s="131">
        <v>0</v>
      </c>
      <c r="N15" s="134">
        <v>0</v>
      </c>
      <c r="O15" s="130">
        <v>0</v>
      </c>
      <c r="P15" s="133">
        <v>0</v>
      </c>
      <c r="Q15" s="130">
        <v>0</v>
      </c>
      <c r="R15" s="133">
        <v>0</v>
      </c>
      <c r="S15" s="131">
        <v>0</v>
      </c>
      <c r="T15" s="134">
        <v>0</v>
      </c>
      <c r="U15" s="133">
        <v>0</v>
      </c>
      <c r="V15" s="133">
        <v>0</v>
      </c>
      <c r="W15" s="50">
        <f t="shared" si="0"/>
        <v>0</v>
      </c>
      <c r="X15" s="135"/>
      <c r="Y15" s="135"/>
      <c r="Z15" s="135"/>
      <c r="AA15" s="135"/>
      <c r="AB15" s="135"/>
      <c r="AC15" s="135"/>
      <c r="AD15" s="147">
        <f t="shared" si="1"/>
        <v>0</v>
      </c>
      <c r="AE15" s="136"/>
      <c r="AF15" s="137"/>
      <c r="AG15" s="129"/>
    </row>
    <row r="16" spans="1:33" s="51" customFormat="1">
      <c r="A16" s="140"/>
      <c r="B16" s="52"/>
      <c r="C16" s="52"/>
      <c r="D16" s="52"/>
      <c r="E16" s="129"/>
      <c r="F16" s="52"/>
      <c r="G16" s="130"/>
      <c r="H16" s="145"/>
      <c r="I16" s="131">
        <v>0</v>
      </c>
      <c r="J16" s="132">
        <v>0</v>
      </c>
      <c r="K16" s="138">
        <v>0</v>
      </c>
      <c r="L16" s="133">
        <v>0</v>
      </c>
      <c r="M16" s="131">
        <v>0</v>
      </c>
      <c r="N16" s="134">
        <v>0</v>
      </c>
      <c r="O16" s="130">
        <v>0</v>
      </c>
      <c r="P16" s="133">
        <v>0</v>
      </c>
      <c r="Q16" s="130">
        <v>0</v>
      </c>
      <c r="R16" s="133">
        <v>0</v>
      </c>
      <c r="S16" s="131">
        <v>0</v>
      </c>
      <c r="T16" s="134">
        <v>0</v>
      </c>
      <c r="U16" s="133">
        <v>0</v>
      </c>
      <c r="V16" s="133">
        <v>0</v>
      </c>
      <c r="W16" s="50">
        <f t="shared" si="0"/>
        <v>0</v>
      </c>
      <c r="X16" s="135"/>
      <c r="Y16" s="135"/>
      <c r="Z16" s="135"/>
      <c r="AA16" s="135"/>
      <c r="AB16" s="135"/>
      <c r="AC16" s="135"/>
      <c r="AD16" s="147">
        <f t="shared" si="1"/>
        <v>0</v>
      </c>
      <c r="AE16" s="136"/>
      <c r="AF16" s="137"/>
      <c r="AG16" s="129"/>
    </row>
    <row r="17" spans="1:33" s="51" customFormat="1">
      <c r="A17" s="140"/>
      <c r="B17" s="52"/>
      <c r="C17" s="52"/>
      <c r="D17" s="52"/>
      <c r="E17" s="129"/>
      <c r="F17" s="52"/>
      <c r="G17" s="130"/>
      <c r="H17" s="145"/>
      <c r="I17" s="131">
        <v>0</v>
      </c>
      <c r="J17" s="132">
        <v>0</v>
      </c>
      <c r="K17" s="138">
        <v>0</v>
      </c>
      <c r="L17" s="133">
        <v>0</v>
      </c>
      <c r="M17" s="131">
        <v>0</v>
      </c>
      <c r="N17" s="134">
        <v>0</v>
      </c>
      <c r="O17" s="130">
        <v>0</v>
      </c>
      <c r="P17" s="133">
        <v>0</v>
      </c>
      <c r="Q17" s="130">
        <v>0</v>
      </c>
      <c r="R17" s="133">
        <v>0</v>
      </c>
      <c r="S17" s="131">
        <v>0</v>
      </c>
      <c r="T17" s="134">
        <v>0</v>
      </c>
      <c r="U17" s="133">
        <v>0</v>
      </c>
      <c r="V17" s="133">
        <v>0</v>
      </c>
      <c r="W17" s="50">
        <f t="shared" si="0"/>
        <v>0</v>
      </c>
      <c r="X17" s="135"/>
      <c r="Y17" s="135"/>
      <c r="Z17" s="135"/>
      <c r="AA17" s="135"/>
      <c r="AB17" s="135"/>
      <c r="AC17" s="135"/>
      <c r="AD17" s="147">
        <f t="shared" si="1"/>
        <v>0</v>
      </c>
      <c r="AE17" s="136"/>
      <c r="AF17" s="137"/>
      <c r="AG17" s="129"/>
    </row>
    <row r="18" spans="1:33" s="51" customFormat="1">
      <c r="A18" s="140"/>
      <c r="B18" s="52"/>
      <c r="C18" s="52"/>
      <c r="D18" s="52"/>
      <c r="E18" s="129"/>
      <c r="F18" s="52"/>
      <c r="G18" s="130"/>
      <c r="H18" s="145"/>
      <c r="I18" s="131">
        <v>0</v>
      </c>
      <c r="J18" s="132">
        <v>0</v>
      </c>
      <c r="K18" s="138">
        <v>0</v>
      </c>
      <c r="L18" s="133">
        <v>0</v>
      </c>
      <c r="M18" s="131">
        <v>0</v>
      </c>
      <c r="N18" s="134">
        <v>0</v>
      </c>
      <c r="O18" s="130">
        <v>0</v>
      </c>
      <c r="P18" s="133">
        <v>0</v>
      </c>
      <c r="Q18" s="130">
        <v>0</v>
      </c>
      <c r="R18" s="133">
        <v>0</v>
      </c>
      <c r="S18" s="131">
        <v>0</v>
      </c>
      <c r="T18" s="134">
        <v>0</v>
      </c>
      <c r="U18" s="133">
        <v>0</v>
      </c>
      <c r="V18" s="133">
        <v>0</v>
      </c>
      <c r="W18" s="50">
        <f t="shared" si="0"/>
        <v>0</v>
      </c>
      <c r="X18" s="135"/>
      <c r="Y18" s="135"/>
      <c r="Z18" s="135"/>
      <c r="AA18" s="135"/>
      <c r="AB18" s="135"/>
      <c r="AC18" s="135"/>
      <c r="AD18" s="147">
        <f t="shared" si="1"/>
        <v>0</v>
      </c>
      <c r="AE18" s="136"/>
      <c r="AF18" s="137"/>
      <c r="AG18" s="129"/>
    </row>
    <row r="19" spans="1:33" s="51" customFormat="1">
      <c r="A19" s="128"/>
      <c r="B19" s="52"/>
      <c r="C19" s="52"/>
      <c r="D19" s="52"/>
      <c r="E19" s="129"/>
      <c r="F19" s="52"/>
      <c r="G19" s="130"/>
      <c r="H19" s="145"/>
      <c r="I19" s="131">
        <v>0</v>
      </c>
      <c r="J19" s="132">
        <v>0</v>
      </c>
      <c r="K19" s="138">
        <v>0</v>
      </c>
      <c r="L19" s="133">
        <v>0</v>
      </c>
      <c r="M19" s="131">
        <v>0</v>
      </c>
      <c r="N19" s="134">
        <v>0</v>
      </c>
      <c r="O19" s="130">
        <v>0</v>
      </c>
      <c r="P19" s="133">
        <v>0</v>
      </c>
      <c r="Q19" s="130">
        <v>0</v>
      </c>
      <c r="R19" s="133">
        <v>0</v>
      </c>
      <c r="S19" s="131">
        <v>0</v>
      </c>
      <c r="T19" s="134">
        <v>0</v>
      </c>
      <c r="U19" s="133">
        <v>0</v>
      </c>
      <c r="V19" s="133">
        <v>0</v>
      </c>
      <c r="W19" s="50">
        <f t="shared" si="0"/>
        <v>0</v>
      </c>
      <c r="X19" s="135"/>
      <c r="Y19" s="135"/>
      <c r="Z19" s="135"/>
      <c r="AA19" s="135"/>
      <c r="AB19" s="135"/>
      <c r="AC19" s="135"/>
      <c r="AD19" s="147">
        <f t="shared" si="1"/>
        <v>0</v>
      </c>
      <c r="AE19" s="136"/>
      <c r="AF19" s="137"/>
      <c r="AG19" s="129"/>
    </row>
    <row r="20" spans="1:33" s="51" customFormat="1">
      <c r="A20" s="128"/>
      <c r="B20" s="52"/>
      <c r="C20" s="52"/>
      <c r="D20" s="52"/>
      <c r="E20" s="129"/>
      <c r="F20" s="52"/>
      <c r="G20" s="130"/>
      <c r="H20" s="145"/>
      <c r="I20" s="131">
        <v>0</v>
      </c>
      <c r="J20" s="132">
        <v>0</v>
      </c>
      <c r="K20" s="138">
        <v>0</v>
      </c>
      <c r="L20" s="133">
        <v>0</v>
      </c>
      <c r="M20" s="131">
        <v>0</v>
      </c>
      <c r="N20" s="134">
        <v>0</v>
      </c>
      <c r="O20" s="130">
        <v>0</v>
      </c>
      <c r="P20" s="133">
        <v>0</v>
      </c>
      <c r="Q20" s="130">
        <v>0</v>
      </c>
      <c r="R20" s="133">
        <v>0</v>
      </c>
      <c r="S20" s="131">
        <v>0</v>
      </c>
      <c r="T20" s="134">
        <v>0</v>
      </c>
      <c r="U20" s="133">
        <v>0</v>
      </c>
      <c r="V20" s="133">
        <v>0</v>
      </c>
      <c r="W20" s="50">
        <f t="shared" si="0"/>
        <v>0</v>
      </c>
      <c r="X20" s="135"/>
      <c r="Y20" s="135"/>
      <c r="Z20" s="135"/>
      <c r="AA20" s="135"/>
      <c r="AB20" s="135"/>
      <c r="AC20" s="135"/>
      <c r="AD20" s="147">
        <f t="shared" si="1"/>
        <v>0</v>
      </c>
      <c r="AE20" s="136"/>
      <c r="AF20" s="137"/>
      <c r="AG20" s="129"/>
    </row>
    <row r="21" spans="1:33" s="51" customFormat="1">
      <c r="A21" s="128"/>
      <c r="B21" s="52"/>
      <c r="C21" s="52"/>
      <c r="D21" s="52"/>
      <c r="E21" s="129"/>
      <c r="F21" s="52"/>
      <c r="G21" s="130"/>
      <c r="H21" s="145"/>
      <c r="I21" s="131">
        <v>0</v>
      </c>
      <c r="J21" s="132">
        <v>0</v>
      </c>
      <c r="K21" s="138">
        <v>0</v>
      </c>
      <c r="L21" s="133">
        <v>0</v>
      </c>
      <c r="M21" s="131">
        <v>0</v>
      </c>
      <c r="N21" s="134">
        <v>0</v>
      </c>
      <c r="O21" s="130">
        <v>0</v>
      </c>
      <c r="P21" s="133">
        <v>0</v>
      </c>
      <c r="Q21" s="130">
        <v>0</v>
      </c>
      <c r="R21" s="133">
        <v>0</v>
      </c>
      <c r="S21" s="131">
        <v>0</v>
      </c>
      <c r="T21" s="134">
        <v>0</v>
      </c>
      <c r="U21" s="133">
        <v>0</v>
      </c>
      <c r="V21" s="133">
        <v>0</v>
      </c>
      <c r="W21" s="50">
        <f t="shared" ref="W21:W27" si="2">+G21-(SUM(I21:N21,P21,Q21,R21,S21,T21,V21))</f>
        <v>0</v>
      </c>
      <c r="X21" s="135"/>
      <c r="Y21" s="135"/>
      <c r="Z21" s="135"/>
      <c r="AA21" s="135"/>
      <c r="AB21" s="135"/>
      <c r="AC21" s="135"/>
      <c r="AD21" s="147">
        <f t="shared" si="1"/>
        <v>0</v>
      </c>
      <c r="AE21" s="136"/>
      <c r="AF21" s="137"/>
      <c r="AG21" s="129"/>
    </row>
    <row r="22" spans="1:33" s="51" customFormat="1">
      <c r="A22" s="128"/>
      <c r="B22" s="52"/>
      <c r="C22" s="52"/>
      <c r="D22" s="52"/>
      <c r="E22" s="129"/>
      <c r="F22" s="52"/>
      <c r="G22" s="130"/>
      <c r="H22" s="145"/>
      <c r="I22" s="131">
        <v>0</v>
      </c>
      <c r="J22" s="132">
        <v>0</v>
      </c>
      <c r="K22" s="138">
        <v>0</v>
      </c>
      <c r="L22" s="133">
        <v>0</v>
      </c>
      <c r="M22" s="131">
        <v>0</v>
      </c>
      <c r="N22" s="134">
        <v>0</v>
      </c>
      <c r="O22" s="130">
        <v>0</v>
      </c>
      <c r="P22" s="133">
        <v>0</v>
      </c>
      <c r="Q22" s="130">
        <v>0</v>
      </c>
      <c r="R22" s="133">
        <v>0</v>
      </c>
      <c r="S22" s="131">
        <v>0</v>
      </c>
      <c r="T22" s="134">
        <v>0</v>
      </c>
      <c r="U22" s="133">
        <v>0</v>
      </c>
      <c r="V22" s="133">
        <v>0</v>
      </c>
      <c r="W22" s="50">
        <f t="shared" si="2"/>
        <v>0</v>
      </c>
      <c r="X22" s="135"/>
      <c r="Y22" s="135"/>
      <c r="Z22" s="135"/>
      <c r="AA22" s="135"/>
      <c r="AB22" s="135"/>
      <c r="AC22" s="135"/>
      <c r="AD22" s="147">
        <f t="shared" si="1"/>
        <v>0</v>
      </c>
      <c r="AE22" s="136"/>
      <c r="AF22" s="137"/>
      <c r="AG22" s="129"/>
    </row>
    <row r="23" spans="1:33" s="51" customFormat="1">
      <c r="A23" s="128"/>
      <c r="B23" s="52"/>
      <c r="C23" s="52"/>
      <c r="D23" s="52"/>
      <c r="E23" s="129"/>
      <c r="F23" s="52"/>
      <c r="G23" s="130"/>
      <c r="H23" s="145"/>
      <c r="I23" s="131">
        <v>0</v>
      </c>
      <c r="J23" s="132">
        <v>0</v>
      </c>
      <c r="K23" s="138">
        <v>0</v>
      </c>
      <c r="L23" s="133">
        <v>0</v>
      </c>
      <c r="M23" s="131">
        <v>0</v>
      </c>
      <c r="N23" s="134">
        <v>0</v>
      </c>
      <c r="O23" s="130">
        <v>0</v>
      </c>
      <c r="P23" s="133">
        <v>0</v>
      </c>
      <c r="Q23" s="130">
        <v>0</v>
      </c>
      <c r="R23" s="133">
        <v>0</v>
      </c>
      <c r="S23" s="131">
        <v>0</v>
      </c>
      <c r="T23" s="134">
        <v>0</v>
      </c>
      <c r="U23" s="133">
        <v>0</v>
      </c>
      <c r="V23" s="133">
        <v>0</v>
      </c>
      <c r="W23" s="50">
        <f t="shared" si="2"/>
        <v>0</v>
      </c>
      <c r="X23" s="135"/>
      <c r="Y23" s="135"/>
      <c r="Z23" s="135"/>
      <c r="AA23" s="135"/>
      <c r="AB23" s="135"/>
      <c r="AC23" s="135"/>
      <c r="AD23" s="147">
        <f t="shared" ref="AD23:AD46" si="3">W23-SUM(Y23:AC23)</f>
        <v>0</v>
      </c>
      <c r="AE23" s="136"/>
      <c r="AF23" s="137"/>
      <c r="AG23" s="129"/>
    </row>
    <row r="24" spans="1:33" s="51" customFormat="1">
      <c r="A24" s="128"/>
      <c r="B24" s="52"/>
      <c r="C24" s="52"/>
      <c r="D24" s="52"/>
      <c r="E24" s="129"/>
      <c r="F24" s="52"/>
      <c r="G24" s="130"/>
      <c r="H24" s="145"/>
      <c r="I24" s="131">
        <v>0</v>
      </c>
      <c r="J24" s="132">
        <v>0</v>
      </c>
      <c r="K24" s="138">
        <v>0</v>
      </c>
      <c r="L24" s="133">
        <v>0</v>
      </c>
      <c r="M24" s="131">
        <v>0</v>
      </c>
      <c r="N24" s="134">
        <v>0</v>
      </c>
      <c r="O24" s="130">
        <v>0</v>
      </c>
      <c r="P24" s="133">
        <v>0</v>
      </c>
      <c r="Q24" s="130">
        <v>0</v>
      </c>
      <c r="R24" s="133">
        <v>0</v>
      </c>
      <c r="S24" s="131">
        <v>0</v>
      </c>
      <c r="T24" s="134">
        <v>0</v>
      </c>
      <c r="U24" s="133">
        <v>0</v>
      </c>
      <c r="V24" s="133">
        <v>0</v>
      </c>
      <c r="W24" s="50">
        <f t="shared" si="2"/>
        <v>0</v>
      </c>
      <c r="X24" s="135"/>
      <c r="Y24" s="135"/>
      <c r="Z24" s="135"/>
      <c r="AA24" s="135"/>
      <c r="AB24" s="135"/>
      <c r="AC24" s="135"/>
      <c r="AD24" s="147">
        <f t="shared" si="3"/>
        <v>0</v>
      </c>
      <c r="AE24" s="136"/>
      <c r="AF24" s="137"/>
      <c r="AG24" s="129"/>
    </row>
    <row r="25" spans="1:33" s="51" customFormat="1">
      <c r="A25" s="128"/>
      <c r="B25" s="52"/>
      <c r="C25" s="52"/>
      <c r="D25" s="52"/>
      <c r="E25" s="129"/>
      <c r="F25" s="52"/>
      <c r="G25" s="130"/>
      <c r="H25" s="145"/>
      <c r="I25" s="131">
        <v>0</v>
      </c>
      <c r="J25" s="132">
        <v>0</v>
      </c>
      <c r="K25" s="138">
        <v>0</v>
      </c>
      <c r="L25" s="133">
        <v>0</v>
      </c>
      <c r="M25" s="131">
        <v>0</v>
      </c>
      <c r="N25" s="134">
        <v>0</v>
      </c>
      <c r="O25" s="130">
        <v>0</v>
      </c>
      <c r="P25" s="133">
        <v>0</v>
      </c>
      <c r="Q25" s="130">
        <v>0</v>
      </c>
      <c r="R25" s="133">
        <v>0</v>
      </c>
      <c r="S25" s="131">
        <v>0</v>
      </c>
      <c r="T25" s="134">
        <v>0</v>
      </c>
      <c r="U25" s="133">
        <v>0</v>
      </c>
      <c r="V25" s="133">
        <v>0</v>
      </c>
      <c r="W25" s="50">
        <f t="shared" si="2"/>
        <v>0</v>
      </c>
      <c r="X25" s="135"/>
      <c r="Y25" s="135"/>
      <c r="Z25" s="135"/>
      <c r="AA25" s="135"/>
      <c r="AB25" s="135"/>
      <c r="AC25" s="135"/>
      <c r="AD25" s="147">
        <f t="shared" si="3"/>
        <v>0</v>
      </c>
      <c r="AE25" s="136"/>
      <c r="AF25" s="137"/>
      <c r="AG25" s="129"/>
    </row>
    <row r="26" spans="1:33" s="51" customFormat="1">
      <c r="A26" s="128"/>
      <c r="B26" s="52"/>
      <c r="C26" s="52"/>
      <c r="D26" s="52"/>
      <c r="E26" s="129"/>
      <c r="F26" s="52"/>
      <c r="G26" s="130"/>
      <c r="H26" s="145"/>
      <c r="I26" s="131">
        <v>0</v>
      </c>
      <c r="J26" s="132">
        <v>0</v>
      </c>
      <c r="K26" s="138">
        <v>0</v>
      </c>
      <c r="L26" s="133">
        <v>0</v>
      </c>
      <c r="M26" s="131">
        <v>0</v>
      </c>
      <c r="N26" s="134">
        <v>0</v>
      </c>
      <c r="O26" s="130">
        <v>0</v>
      </c>
      <c r="P26" s="133">
        <v>0</v>
      </c>
      <c r="Q26" s="130">
        <v>0</v>
      </c>
      <c r="R26" s="133">
        <v>0</v>
      </c>
      <c r="S26" s="131">
        <v>0</v>
      </c>
      <c r="T26" s="134">
        <v>0</v>
      </c>
      <c r="U26" s="133">
        <v>0</v>
      </c>
      <c r="V26" s="133">
        <v>0</v>
      </c>
      <c r="W26" s="50">
        <f t="shared" si="2"/>
        <v>0</v>
      </c>
      <c r="X26" s="135"/>
      <c r="Y26" s="135"/>
      <c r="Z26" s="135"/>
      <c r="AA26" s="135"/>
      <c r="AB26" s="135"/>
      <c r="AC26" s="135"/>
      <c r="AD26" s="147">
        <f t="shared" si="3"/>
        <v>0</v>
      </c>
      <c r="AE26" s="136"/>
      <c r="AF26" s="137"/>
      <c r="AG26" s="129"/>
    </row>
    <row r="27" spans="1:33" s="51" customFormat="1">
      <c r="A27" s="128"/>
      <c r="B27" s="52"/>
      <c r="C27" s="52"/>
      <c r="D27" s="52"/>
      <c r="E27" s="129"/>
      <c r="F27" s="52"/>
      <c r="G27" s="130"/>
      <c r="H27" s="145"/>
      <c r="I27" s="131">
        <v>0</v>
      </c>
      <c r="J27" s="132">
        <v>0</v>
      </c>
      <c r="K27" s="138">
        <v>0</v>
      </c>
      <c r="L27" s="133">
        <v>0</v>
      </c>
      <c r="M27" s="131">
        <v>0</v>
      </c>
      <c r="N27" s="134">
        <v>0</v>
      </c>
      <c r="O27" s="130">
        <v>0</v>
      </c>
      <c r="P27" s="133">
        <v>0</v>
      </c>
      <c r="Q27" s="130">
        <v>0</v>
      </c>
      <c r="R27" s="133">
        <v>0</v>
      </c>
      <c r="S27" s="131">
        <v>0</v>
      </c>
      <c r="T27" s="134">
        <v>0</v>
      </c>
      <c r="U27" s="133">
        <v>0</v>
      </c>
      <c r="V27" s="133">
        <v>0</v>
      </c>
      <c r="W27" s="50">
        <f t="shared" si="2"/>
        <v>0</v>
      </c>
      <c r="X27" s="135"/>
      <c r="Y27" s="135"/>
      <c r="Z27" s="135"/>
      <c r="AA27" s="135"/>
      <c r="AB27" s="135"/>
      <c r="AC27" s="135"/>
      <c r="AD27" s="147">
        <f t="shared" si="3"/>
        <v>0</v>
      </c>
      <c r="AE27" s="136"/>
      <c r="AF27" s="137"/>
      <c r="AG27" s="129"/>
    </row>
    <row r="28" spans="1:33" s="51" customFormat="1">
      <c r="A28" s="128"/>
      <c r="B28" s="52"/>
      <c r="C28" s="52"/>
      <c r="D28" s="52"/>
      <c r="E28" s="129"/>
      <c r="F28" s="52"/>
      <c r="G28" s="130"/>
      <c r="H28" s="145"/>
      <c r="I28" s="131"/>
      <c r="J28" s="132"/>
      <c r="K28" s="138"/>
      <c r="L28" s="133"/>
      <c r="M28" s="131"/>
      <c r="N28" s="134"/>
      <c r="O28" s="130"/>
      <c r="P28" s="133"/>
      <c r="Q28" s="130"/>
      <c r="R28" s="133"/>
      <c r="S28" s="131"/>
      <c r="T28" s="134"/>
      <c r="U28" s="133"/>
      <c r="V28" s="133"/>
      <c r="W28" s="50"/>
      <c r="X28" s="135"/>
      <c r="Y28" s="135"/>
      <c r="Z28" s="135"/>
      <c r="AA28" s="135"/>
      <c r="AB28" s="135"/>
      <c r="AC28" s="135"/>
      <c r="AD28" s="147">
        <f t="shared" si="3"/>
        <v>0</v>
      </c>
      <c r="AE28" s="136"/>
      <c r="AF28" s="137"/>
      <c r="AG28" s="129"/>
    </row>
    <row r="29" spans="1:33" s="51" customFormat="1">
      <c r="A29" s="128"/>
      <c r="B29" s="52"/>
      <c r="C29" s="52"/>
      <c r="D29" s="52"/>
      <c r="E29" s="129"/>
      <c r="F29" s="52"/>
      <c r="G29" s="130"/>
      <c r="H29" s="145"/>
      <c r="I29" s="131"/>
      <c r="J29" s="132"/>
      <c r="K29" s="138"/>
      <c r="L29" s="133"/>
      <c r="M29" s="131"/>
      <c r="N29" s="134"/>
      <c r="O29" s="130"/>
      <c r="P29" s="133"/>
      <c r="Q29" s="130"/>
      <c r="R29" s="133"/>
      <c r="S29" s="131"/>
      <c r="T29" s="134"/>
      <c r="U29" s="133"/>
      <c r="V29" s="133"/>
      <c r="W29" s="50"/>
      <c r="X29" s="135"/>
      <c r="Y29" s="135"/>
      <c r="Z29" s="135"/>
      <c r="AA29" s="135"/>
      <c r="AB29" s="135"/>
      <c r="AC29" s="135"/>
      <c r="AD29" s="147">
        <f t="shared" si="3"/>
        <v>0</v>
      </c>
      <c r="AE29" s="136"/>
      <c r="AF29" s="137"/>
      <c r="AG29" s="129"/>
    </row>
    <row r="30" spans="1:33" s="51" customFormat="1">
      <c r="A30" s="128"/>
      <c r="B30" s="52"/>
      <c r="C30" s="52"/>
      <c r="D30" s="52"/>
      <c r="E30" s="129"/>
      <c r="F30" s="52"/>
      <c r="G30" s="130"/>
      <c r="H30" s="145"/>
      <c r="I30" s="131"/>
      <c r="J30" s="132"/>
      <c r="K30" s="138"/>
      <c r="L30" s="133"/>
      <c r="M30" s="131"/>
      <c r="N30" s="134"/>
      <c r="O30" s="130"/>
      <c r="P30" s="133"/>
      <c r="Q30" s="130"/>
      <c r="R30" s="133"/>
      <c r="S30" s="131"/>
      <c r="T30" s="134"/>
      <c r="U30" s="133"/>
      <c r="V30" s="133"/>
      <c r="W30" s="50"/>
      <c r="X30" s="135"/>
      <c r="Y30" s="135"/>
      <c r="Z30" s="135"/>
      <c r="AA30" s="135"/>
      <c r="AB30" s="135"/>
      <c r="AC30" s="135"/>
      <c r="AD30" s="147">
        <f t="shared" si="3"/>
        <v>0</v>
      </c>
      <c r="AE30" s="136"/>
      <c r="AF30" s="137"/>
      <c r="AG30" s="129"/>
    </row>
    <row r="31" spans="1:33" s="51" customFormat="1">
      <c r="A31" s="128"/>
      <c r="B31" s="52"/>
      <c r="C31" s="52"/>
      <c r="D31" s="52"/>
      <c r="E31" s="129"/>
      <c r="F31" s="52"/>
      <c r="G31" s="130"/>
      <c r="H31" s="145"/>
      <c r="I31" s="131"/>
      <c r="J31" s="132"/>
      <c r="K31" s="138"/>
      <c r="L31" s="133"/>
      <c r="M31" s="131"/>
      <c r="N31" s="134"/>
      <c r="O31" s="130"/>
      <c r="P31" s="133"/>
      <c r="Q31" s="130"/>
      <c r="R31" s="133"/>
      <c r="S31" s="131"/>
      <c r="T31" s="134"/>
      <c r="U31" s="133"/>
      <c r="V31" s="133"/>
      <c r="W31" s="50"/>
      <c r="X31" s="135"/>
      <c r="Y31" s="135"/>
      <c r="Z31" s="135"/>
      <c r="AA31" s="135"/>
      <c r="AB31" s="135"/>
      <c r="AC31" s="135"/>
      <c r="AD31" s="147">
        <f t="shared" si="3"/>
        <v>0</v>
      </c>
      <c r="AE31" s="136"/>
      <c r="AF31" s="137"/>
      <c r="AG31" s="129"/>
    </row>
    <row r="32" spans="1:33" s="51" customFormat="1">
      <c r="A32" s="128"/>
      <c r="B32" s="52"/>
      <c r="C32" s="52"/>
      <c r="D32" s="52"/>
      <c r="E32" s="129"/>
      <c r="F32" s="52"/>
      <c r="G32" s="130"/>
      <c r="H32" s="145"/>
      <c r="I32" s="131"/>
      <c r="J32" s="132"/>
      <c r="K32" s="138"/>
      <c r="L32" s="133"/>
      <c r="M32" s="131"/>
      <c r="N32" s="134"/>
      <c r="O32" s="130"/>
      <c r="P32" s="133"/>
      <c r="Q32" s="130"/>
      <c r="R32" s="133"/>
      <c r="S32" s="131"/>
      <c r="T32" s="134"/>
      <c r="U32" s="133"/>
      <c r="V32" s="133"/>
      <c r="W32" s="50"/>
      <c r="X32" s="135"/>
      <c r="Y32" s="135"/>
      <c r="Z32" s="135"/>
      <c r="AA32" s="135"/>
      <c r="AB32" s="135"/>
      <c r="AC32" s="135"/>
      <c r="AD32" s="147">
        <f t="shared" si="3"/>
        <v>0</v>
      </c>
      <c r="AE32" s="136"/>
      <c r="AF32" s="137"/>
      <c r="AG32" s="129"/>
    </row>
    <row r="33" spans="1:33" s="51" customFormat="1">
      <c r="A33" s="128"/>
      <c r="B33" s="52"/>
      <c r="C33" s="52"/>
      <c r="D33" s="52"/>
      <c r="E33" s="129"/>
      <c r="F33" s="52"/>
      <c r="G33" s="130"/>
      <c r="H33" s="145"/>
      <c r="I33" s="131"/>
      <c r="J33" s="132"/>
      <c r="K33" s="138"/>
      <c r="L33" s="133"/>
      <c r="M33" s="131"/>
      <c r="N33" s="134"/>
      <c r="O33" s="130"/>
      <c r="P33" s="133"/>
      <c r="Q33" s="130"/>
      <c r="R33" s="133"/>
      <c r="S33" s="131"/>
      <c r="T33" s="134"/>
      <c r="U33" s="133"/>
      <c r="V33" s="133"/>
      <c r="W33" s="50"/>
      <c r="X33" s="135"/>
      <c r="Y33" s="135"/>
      <c r="Z33" s="135"/>
      <c r="AA33" s="135"/>
      <c r="AB33" s="135"/>
      <c r="AC33" s="135"/>
      <c r="AD33" s="147">
        <f t="shared" si="3"/>
        <v>0</v>
      </c>
      <c r="AE33" s="136"/>
      <c r="AF33" s="137"/>
      <c r="AG33" s="129"/>
    </row>
    <row r="34" spans="1:33" s="51" customFormat="1">
      <c r="A34" s="128"/>
      <c r="B34" s="52"/>
      <c r="C34" s="52"/>
      <c r="D34" s="52"/>
      <c r="E34" s="129"/>
      <c r="F34" s="52"/>
      <c r="G34" s="130"/>
      <c r="H34" s="145"/>
      <c r="I34" s="131"/>
      <c r="J34" s="132"/>
      <c r="K34" s="138"/>
      <c r="L34" s="133"/>
      <c r="M34" s="131"/>
      <c r="N34" s="134"/>
      <c r="O34" s="130"/>
      <c r="P34" s="133"/>
      <c r="Q34" s="130"/>
      <c r="R34" s="133"/>
      <c r="S34" s="131"/>
      <c r="T34" s="134"/>
      <c r="U34" s="133"/>
      <c r="V34" s="133"/>
      <c r="W34" s="50"/>
      <c r="X34" s="135"/>
      <c r="Y34" s="135"/>
      <c r="Z34" s="135"/>
      <c r="AA34" s="135"/>
      <c r="AB34" s="135"/>
      <c r="AC34" s="135"/>
      <c r="AD34" s="147">
        <f t="shared" si="3"/>
        <v>0</v>
      </c>
      <c r="AE34" s="136"/>
      <c r="AF34" s="137"/>
      <c r="AG34" s="129"/>
    </row>
    <row r="35" spans="1:33" s="51" customFormat="1">
      <c r="A35" s="128"/>
      <c r="B35" s="52"/>
      <c r="C35" s="52"/>
      <c r="D35" s="52"/>
      <c r="E35" s="129"/>
      <c r="F35" s="52"/>
      <c r="G35" s="130"/>
      <c r="H35" s="145"/>
      <c r="I35" s="131"/>
      <c r="J35" s="132"/>
      <c r="K35" s="138"/>
      <c r="L35" s="133"/>
      <c r="M35" s="131"/>
      <c r="N35" s="134"/>
      <c r="O35" s="130"/>
      <c r="P35" s="133"/>
      <c r="Q35" s="130"/>
      <c r="R35" s="133"/>
      <c r="S35" s="131"/>
      <c r="T35" s="134"/>
      <c r="U35" s="133"/>
      <c r="V35" s="133"/>
      <c r="W35" s="50"/>
      <c r="X35" s="135"/>
      <c r="Y35" s="135"/>
      <c r="Z35" s="135"/>
      <c r="AA35" s="135"/>
      <c r="AB35" s="135"/>
      <c r="AC35" s="135"/>
      <c r="AD35" s="147">
        <f t="shared" si="3"/>
        <v>0</v>
      </c>
      <c r="AE35" s="136"/>
      <c r="AF35" s="137"/>
      <c r="AG35" s="129"/>
    </row>
    <row r="36" spans="1:33" s="51" customFormat="1">
      <c r="A36" s="128"/>
      <c r="B36" s="52"/>
      <c r="C36" s="52"/>
      <c r="D36" s="52"/>
      <c r="E36" s="129"/>
      <c r="F36" s="52"/>
      <c r="G36" s="130"/>
      <c r="H36" s="145"/>
      <c r="I36" s="131"/>
      <c r="J36" s="132"/>
      <c r="K36" s="138"/>
      <c r="L36" s="133"/>
      <c r="M36" s="131"/>
      <c r="N36" s="134"/>
      <c r="O36" s="130"/>
      <c r="P36" s="133"/>
      <c r="Q36" s="130"/>
      <c r="R36" s="133"/>
      <c r="S36" s="131"/>
      <c r="T36" s="134"/>
      <c r="U36" s="133"/>
      <c r="V36" s="133"/>
      <c r="W36" s="50"/>
      <c r="X36" s="135"/>
      <c r="Y36" s="135"/>
      <c r="Z36" s="135"/>
      <c r="AA36" s="135"/>
      <c r="AB36" s="135"/>
      <c r="AC36" s="135"/>
      <c r="AD36" s="147">
        <f t="shared" si="3"/>
        <v>0</v>
      </c>
      <c r="AE36" s="136"/>
      <c r="AF36" s="137"/>
      <c r="AG36" s="129"/>
    </row>
    <row r="37" spans="1:33" s="51" customFormat="1">
      <c r="A37" s="128"/>
      <c r="B37" s="52"/>
      <c r="C37" s="52"/>
      <c r="D37" s="52"/>
      <c r="E37" s="129"/>
      <c r="F37" s="52"/>
      <c r="G37" s="130"/>
      <c r="H37" s="145"/>
      <c r="I37" s="131"/>
      <c r="J37" s="132"/>
      <c r="K37" s="138"/>
      <c r="L37" s="133"/>
      <c r="M37" s="131"/>
      <c r="N37" s="134"/>
      <c r="O37" s="130"/>
      <c r="P37" s="133"/>
      <c r="Q37" s="130"/>
      <c r="R37" s="133"/>
      <c r="S37" s="131"/>
      <c r="T37" s="134"/>
      <c r="U37" s="133"/>
      <c r="V37" s="133"/>
      <c r="W37" s="50"/>
      <c r="X37" s="135"/>
      <c r="Y37" s="135"/>
      <c r="Z37" s="135"/>
      <c r="AA37" s="135"/>
      <c r="AB37" s="135"/>
      <c r="AC37" s="135"/>
      <c r="AD37" s="147">
        <f t="shared" si="3"/>
        <v>0</v>
      </c>
      <c r="AE37" s="136"/>
      <c r="AF37" s="137"/>
      <c r="AG37" s="129"/>
    </row>
    <row r="38" spans="1:33" s="51" customFormat="1">
      <c r="A38" s="128"/>
      <c r="B38" s="52"/>
      <c r="C38" s="52"/>
      <c r="D38" s="52"/>
      <c r="E38" s="129"/>
      <c r="F38" s="52"/>
      <c r="G38" s="130"/>
      <c r="H38" s="145"/>
      <c r="I38" s="131"/>
      <c r="J38" s="132"/>
      <c r="K38" s="138"/>
      <c r="L38" s="133"/>
      <c r="M38" s="131"/>
      <c r="N38" s="134"/>
      <c r="O38" s="130"/>
      <c r="P38" s="133"/>
      <c r="Q38" s="130"/>
      <c r="R38" s="133"/>
      <c r="S38" s="131"/>
      <c r="T38" s="134"/>
      <c r="U38" s="133"/>
      <c r="V38" s="133"/>
      <c r="W38" s="50"/>
      <c r="X38" s="135"/>
      <c r="Y38" s="135"/>
      <c r="Z38" s="135"/>
      <c r="AA38" s="135"/>
      <c r="AB38" s="135"/>
      <c r="AC38" s="135"/>
      <c r="AD38" s="147">
        <f t="shared" si="3"/>
        <v>0</v>
      </c>
      <c r="AE38" s="136"/>
      <c r="AF38" s="137"/>
      <c r="AG38" s="129"/>
    </row>
    <row r="39" spans="1:33" s="51" customFormat="1">
      <c r="A39" s="128"/>
      <c r="B39" s="52"/>
      <c r="C39" s="52"/>
      <c r="D39" s="52"/>
      <c r="E39" s="129"/>
      <c r="F39" s="52"/>
      <c r="G39" s="130"/>
      <c r="H39" s="145"/>
      <c r="I39" s="131"/>
      <c r="J39" s="132"/>
      <c r="K39" s="138"/>
      <c r="L39" s="133"/>
      <c r="M39" s="131"/>
      <c r="N39" s="134"/>
      <c r="O39" s="130"/>
      <c r="P39" s="133"/>
      <c r="Q39" s="130"/>
      <c r="R39" s="133"/>
      <c r="S39" s="131"/>
      <c r="T39" s="134"/>
      <c r="U39" s="133"/>
      <c r="V39" s="133"/>
      <c r="W39" s="50"/>
      <c r="X39" s="135"/>
      <c r="Y39" s="135"/>
      <c r="Z39" s="135"/>
      <c r="AA39" s="135"/>
      <c r="AB39" s="135"/>
      <c r="AC39" s="135"/>
      <c r="AD39" s="147">
        <f t="shared" si="3"/>
        <v>0</v>
      </c>
      <c r="AE39" s="136"/>
      <c r="AF39" s="137"/>
      <c r="AG39" s="129"/>
    </row>
    <row r="40" spans="1:33" s="51" customFormat="1">
      <c r="A40" s="128"/>
      <c r="B40" s="52"/>
      <c r="C40" s="52"/>
      <c r="D40" s="52"/>
      <c r="E40" s="129"/>
      <c r="F40" s="52"/>
      <c r="G40" s="130"/>
      <c r="H40" s="145"/>
      <c r="I40" s="131"/>
      <c r="J40" s="132"/>
      <c r="K40" s="138"/>
      <c r="L40" s="133"/>
      <c r="M40" s="131"/>
      <c r="N40" s="134"/>
      <c r="O40" s="130"/>
      <c r="P40" s="133"/>
      <c r="Q40" s="130"/>
      <c r="R40" s="133"/>
      <c r="S40" s="131"/>
      <c r="T40" s="134"/>
      <c r="U40" s="133"/>
      <c r="V40" s="133"/>
      <c r="W40" s="50"/>
      <c r="X40" s="135"/>
      <c r="Y40" s="135"/>
      <c r="Z40" s="135"/>
      <c r="AA40" s="135"/>
      <c r="AB40" s="135"/>
      <c r="AC40" s="135"/>
      <c r="AD40" s="147">
        <f t="shared" si="3"/>
        <v>0</v>
      </c>
      <c r="AE40" s="136"/>
      <c r="AF40" s="137"/>
      <c r="AG40" s="129"/>
    </row>
    <row r="41" spans="1:33" s="51" customFormat="1">
      <c r="A41" s="128"/>
      <c r="B41" s="52"/>
      <c r="C41" s="52"/>
      <c r="D41" s="52"/>
      <c r="E41" s="129"/>
      <c r="F41" s="52"/>
      <c r="G41" s="130"/>
      <c r="H41" s="145"/>
      <c r="I41" s="131"/>
      <c r="J41" s="132"/>
      <c r="K41" s="138"/>
      <c r="L41" s="133"/>
      <c r="M41" s="131"/>
      <c r="N41" s="134"/>
      <c r="O41" s="130"/>
      <c r="P41" s="133"/>
      <c r="Q41" s="130"/>
      <c r="R41" s="133"/>
      <c r="S41" s="131"/>
      <c r="T41" s="134"/>
      <c r="U41" s="133"/>
      <c r="V41" s="133"/>
      <c r="W41" s="50"/>
      <c r="X41" s="135"/>
      <c r="Y41" s="135"/>
      <c r="Z41" s="135"/>
      <c r="AA41" s="135"/>
      <c r="AB41" s="135"/>
      <c r="AC41" s="135"/>
      <c r="AD41" s="147">
        <f t="shared" si="3"/>
        <v>0</v>
      </c>
      <c r="AE41" s="136"/>
      <c r="AF41" s="137"/>
      <c r="AG41" s="129"/>
    </row>
    <row r="42" spans="1:33" s="51" customFormat="1">
      <c r="A42" s="128"/>
      <c r="B42" s="52"/>
      <c r="C42" s="52"/>
      <c r="D42" s="52"/>
      <c r="E42" s="129"/>
      <c r="F42" s="52"/>
      <c r="G42" s="130"/>
      <c r="H42" s="145"/>
      <c r="I42" s="131"/>
      <c r="J42" s="132"/>
      <c r="K42" s="138"/>
      <c r="L42" s="133"/>
      <c r="M42" s="131"/>
      <c r="N42" s="134"/>
      <c r="O42" s="130"/>
      <c r="P42" s="133"/>
      <c r="Q42" s="130"/>
      <c r="R42" s="133"/>
      <c r="S42" s="131"/>
      <c r="T42" s="134"/>
      <c r="U42" s="133"/>
      <c r="V42" s="133"/>
      <c r="W42" s="50"/>
      <c r="X42" s="135"/>
      <c r="Y42" s="135"/>
      <c r="Z42" s="135"/>
      <c r="AA42" s="135"/>
      <c r="AB42" s="135"/>
      <c r="AC42" s="135"/>
      <c r="AD42" s="147">
        <f t="shared" si="3"/>
        <v>0</v>
      </c>
      <c r="AE42" s="136"/>
      <c r="AF42" s="137"/>
      <c r="AG42" s="129"/>
    </row>
    <row r="43" spans="1:33" s="51" customFormat="1">
      <c r="A43" s="128"/>
      <c r="B43" s="52"/>
      <c r="C43" s="52"/>
      <c r="D43" s="52"/>
      <c r="E43" s="129"/>
      <c r="F43" s="52"/>
      <c r="G43" s="130"/>
      <c r="H43" s="145"/>
      <c r="I43" s="131"/>
      <c r="J43" s="132"/>
      <c r="K43" s="138"/>
      <c r="L43" s="133"/>
      <c r="M43" s="131"/>
      <c r="N43" s="134"/>
      <c r="O43" s="130"/>
      <c r="P43" s="133"/>
      <c r="Q43" s="130"/>
      <c r="R43" s="133"/>
      <c r="S43" s="131"/>
      <c r="T43" s="134"/>
      <c r="U43" s="133"/>
      <c r="V43" s="133"/>
      <c r="W43" s="50"/>
      <c r="X43" s="135"/>
      <c r="Y43" s="135"/>
      <c r="Z43" s="135"/>
      <c r="AA43" s="135"/>
      <c r="AB43" s="135"/>
      <c r="AC43" s="135"/>
      <c r="AD43" s="147">
        <f t="shared" si="3"/>
        <v>0</v>
      </c>
      <c r="AE43" s="136"/>
      <c r="AF43" s="137"/>
      <c r="AG43" s="129"/>
    </row>
    <row r="44" spans="1:33" s="51" customFormat="1">
      <c r="A44" s="128"/>
      <c r="B44" s="52"/>
      <c r="C44" s="52"/>
      <c r="D44" s="52"/>
      <c r="E44" s="129"/>
      <c r="F44" s="52"/>
      <c r="G44" s="130"/>
      <c r="H44" s="145"/>
      <c r="I44" s="131"/>
      <c r="J44" s="132"/>
      <c r="K44" s="138"/>
      <c r="L44" s="133"/>
      <c r="M44" s="131"/>
      <c r="N44" s="134"/>
      <c r="O44" s="130"/>
      <c r="P44" s="133"/>
      <c r="Q44" s="130"/>
      <c r="R44" s="133"/>
      <c r="S44" s="131"/>
      <c r="T44" s="134"/>
      <c r="U44" s="133"/>
      <c r="V44" s="133"/>
      <c r="W44" s="50"/>
      <c r="X44" s="135"/>
      <c r="Y44" s="135"/>
      <c r="Z44" s="135"/>
      <c r="AA44" s="135"/>
      <c r="AB44" s="135"/>
      <c r="AC44" s="135"/>
      <c r="AD44" s="147">
        <f t="shared" si="3"/>
        <v>0</v>
      </c>
      <c r="AE44" s="136"/>
      <c r="AF44" s="137"/>
      <c r="AG44" s="129"/>
    </row>
    <row r="45" spans="1:33" s="51" customFormat="1">
      <c r="A45" s="128"/>
      <c r="B45" s="52"/>
      <c r="C45" s="52"/>
      <c r="D45" s="52"/>
      <c r="E45" s="129"/>
      <c r="F45" s="52"/>
      <c r="G45" s="130"/>
      <c r="H45" s="145"/>
      <c r="I45" s="131"/>
      <c r="J45" s="132"/>
      <c r="K45" s="138"/>
      <c r="L45" s="133"/>
      <c r="M45" s="131"/>
      <c r="N45" s="134"/>
      <c r="O45" s="130"/>
      <c r="P45" s="133"/>
      <c r="Q45" s="130"/>
      <c r="R45" s="133"/>
      <c r="S45" s="131"/>
      <c r="T45" s="134"/>
      <c r="U45" s="133"/>
      <c r="V45" s="133"/>
      <c r="W45" s="50"/>
      <c r="X45" s="135"/>
      <c r="Y45" s="135"/>
      <c r="Z45" s="135"/>
      <c r="AA45" s="135"/>
      <c r="AB45" s="135"/>
      <c r="AC45" s="135"/>
      <c r="AD45" s="147">
        <f t="shared" si="3"/>
        <v>0</v>
      </c>
      <c r="AE45" s="136"/>
      <c r="AF45" s="137"/>
      <c r="AG45" s="129"/>
    </row>
    <row r="46" spans="1:33" s="51" customFormat="1">
      <c r="A46" s="128"/>
      <c r="B46" s="52"/>
      <c r="C46" s="52"/>
      <c r="D46" s="52"/>
      <c r="E46" s="129"/>
      <c r="F46" s="52"/>
      <c r="G46" s="130"/>
      <c r="H46" s="145"/>
      <c r="I46" s="131"/>
      <c r="J46" s="132"/>
      <c r="K46" s="138"/>
      <c r="L46" s="133"/>
      <c r="M46" s="131"/>
      <c r="N46" s="134"/>
      <c r="O46" s="130"/>
      <c r="P46" s="133"/>
      <c r="Q46" s="130"/>
      <c r="R46" s="133"/>
      <c r="S46" s="131"/>
      <c r="T46" s="134"/>
      <c r="U46" s="133"/>
      <c r="V46" s="133"/>
      <c r="W46" s="50"/>
      <c r="X46" s="135"/>
      <c r="Y46" s="135"/>
      <c r="Z46" s="135"/>
      <c r="AA46" s="135"/>
      <c r="AB46" s="135"/>
      <c r="AC46" s="135"/>
      <c r="AD46" s="147">
        <f t="shared" si="3"/>
        <v>0</v>
      </c>
      <c r="AE46" s="136"/>
      <c r="AF46" s="137"/>
      <c r="AG46" s="129"/>
    </row>
    <row r="47" spans="1:33">
      <c r="AF47" s="33"/>
    </row>
    <row r="48" spans="1:33">
      <c r="AF48" s="33"/>
    </row>
    <row r="49" spans="32:32">
      <c r="AF49" s="33"/>
    </row>
    <row r="50" spans="32:32">
      <c r="AF50" s="33"/>
    </row>
    <row r="51" spans="32:32">
      <c r="AF51" s="33"/>
    </row>
    <row r="52" spans="32:32">
      <c r="AF52" s="33"/>
    </row>
    <row r="53" spans="32:32">
      <c r="AF53" s="33"/>
    </row>
    <row r="54" spans="32:32">
      <c r="AF54" s="33"/>
    </row>
    <row r="55" spans="32:32">
      <c r="AF55" s="33"/>
    </row>
    <row r="56" spans="32:32">
      <c r="AF56" s="33"/>
    </row>
    <row r="57" spans="32:32">
      <c r="AF57" s="33"/>
    </row>
    <row r="58" spans="32:32">
      <c r="AF58" s="33"/>
    </row>
    <row r="59" spans="32:32">
      <c r="AF59" s="33"/>
    </row>
    <row r="60" spans="32:32">
      <c r="AF60" s="33"/>
    </row>
    <row r="61" spans="32:32">
      <c r="AF61" s="33"/>
    </row>
    <row r="62" spans="32:32">
      <c r="AF62" s="33"/>
    </row>
    <row r="63" spans="32:32">
      <c r="AF63" s="33"/>
    </row>
    <row r="64" spans="32:32">
      <c r="AF64" s="33"/>
    </row>
    <row r="65" spans="32:32">
      <c r="AF65" s="33"/>
    </row>
    <row r="66" spans="32:32">
      <c r="AF66" s="33"/>
    </row>
    <row r="67" spans="32:32">
      <c r="AF67" s="33"/>
    </row>
    <row r="68" spans="32:32">
      <c r="AF68" s="33"/>
    </row>
    <row r="69" spans="32:32">
      <c r="AF69" s="33"/>
    </row>
    <row r="70" spans="32:32">
      <c r="AF70" s="33"/>
    </row>
    <row r="71" spans="32:32">
      <c r="AF71" s="33"/>
    </row>
    <row r="72" spans="32:32">
      <c r="AF72" s="33"/>
    </row>
    <row r="73" spans="32:32">
      <c r="AF73" s="33"/>
    </row>
    <row r="74" spans="32:32">
      <c r="AF74" s="33"/>
    </row>
    <row r="75" spans="32:32">
      <c r="AF75" s="33"/>
    </row>
    <row r="76" spans="32:32">
      <c r="AF76" s="33"/>
    </row>
    <row r="77" spans="32:32">
      <c r="AF77" s="33"/>
    </row>
    <row r="78" spans="32:32">
      <c r="AF78" s="33"/>
    </row>
    <row r="79" spans="32:32">
      <c r="AF79" s="33"/>
    </row>
    <row r="80" spans="32:32">
      <c r="AF80" s="33"/>
    </row>
    <row r="81" spans="32:32">
      <c r="AF81" s="33"/>
    </row>
    <row r="82" spans="32:32">
      <c r="AF82" s="33"/>
    </row>
    <row r="83" spans="32:32">
      <c r="AF83" s="33"/>
    </row>
    <row r="84" spans="32:32">
      <c r="AF84" s="33"/>
    </row>
  </sheetData>
  <sheetProtection selectLockedCells="1"/>
  <protectedRanges>
    <protectedRange sqref="AG7:AG46 H11:V11 G7:V10 G12:V46 B7:C46 E7:E46 D8:D46" name="Rango1"/>
    <protectedRange sqref="AE7:AE46" name="Rango1_2"/>
    <protectedRange sqref="F7:F46 A7:A46" name="Rango1_1"/>
    <protectedRange sqref="AD7:AD46" name="Rango1_2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8 G16 F9:G10 X7:AC46 L7:V46 F23:I46 A8:D46 A7:B7 F17:G22 H9:I22 F12:G15 F11">
    <cfRule type="expression" dxfId="15" priority="249" stopIfTrue="1">
      <formula>"SEVERSTAL"</formula>
    </cfRule>
  </conditionalFormatting>
  <conditionalFormatting sqref="E8:E15 AG7:AG46 AE7:AE46 E18:E46">
    <cfRule type="cellIs" dxfId="14" priority="250" stopIfTrue="1" operator="equal">
      <formula>"APROBADO"</formula>
    </cfRule>
    <cfRule type="cellIs" dxfId="13" priority="251" stopIfTrue="1" operator="equal">
      <formula>"ESPERA"</formula>
    </cfRule>
    <cfRule type="cellIs" dxfId="12" priority="252" stopIfTrue="1" operator="equal">
      <formula>"RECHAZADO"</formula>
    </cfRule>
  </conditionalFormatting>
  <conditionalFormatting sqref="F16">
    <cfRule type="expression" dxfId="11" priority="9" stopIfTrue="1">
      <formula>"SEVERSTAL"</formula>
    </cfRule>
  </conditionalFormatting>
  <conditionalFormatting sqref="E16:E17">
    <cfRule type="cellIs" dxfId="10" priority="10" stopIfTrue="1" operator="equal">
      <formula>"APROBADO"</formula>
    </cfRule>
    <cfRule type="cellIs" dxfId="9" priority="11" stopIfTrue="1" operator="equal">
      <formula>"ESPERA"</formula>
    </cfRule>
    <cfRule type="cellIs" dxfId="8" priority="12" stopIfTrue="1" operator="equal">
      <formula>"RECHAZADO"</formula>
    </cfRule>
  </conditionalFormatting>
  <conditionalFormatting sqref="AD7:AD46">
    <cfRule type="cellIs" dxfId="7" priority="6" stopIfTrue="1" operator="equal">
      <formula>"APROBADO"</formula>
    </cfRule>
    <cfRule type="cellIs" dxfId="6" priority="7" stopIfTrue="1" operator="equal">
      <formula>"ESPERA"</formula>
    </cfRule>
    <cfRule type="cellIs" dxfId="5" priority="8" stopIfTrue="1" operator="equal">
      <formula>"RECHAZADO"</formula>
    </cfRule>
  </conditionalFormatting>
  <conditionalFormatting sqref="C7">
    <cfRule type="expression" dxfId="4" priority="2" stopIfTrue="1">
      <formula>"SEVERSTAL"</formula>
    </cfRule>
  </conditionalFormatting>
  <conditionalFormatting sqref="E7">
    <cfRule type="cellIs" dxfId="3" priority="3" stopIfTrue="1" operator="equal">
      <formula>"APROBADO"</formula>
    </cfRule>
    <cfRule type="cellIs" dxfId="2" priority="4" stopIfTrue="1" operator="equal">
      <formula>"ESPERA"</formula>
    </cfRule>
    <cfRule type="cellIs" dxfId="1" priority="5" stopIfTrue="1" operator="equal">
      <formula>"RECHAZADO"</formula>
    </cfRule>
  </conditionalFormatting>
  <conditionalFormatting sqref="D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2022-05-17T22:23:11Z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