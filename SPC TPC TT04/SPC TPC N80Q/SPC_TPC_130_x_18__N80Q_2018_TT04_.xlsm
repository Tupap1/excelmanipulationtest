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N80Q\"/>
    </mc:Choice>
  </mc:AlternateContent>
  <xr:revisionPtr revIDLastSave="0" documentId="13_ncr:1_{D5E9B882-11D1-46E8-875D-2C18795103B6}" xr6:coauthVersionLast="47" xr6:coauthVersionMax="47" xr10:uidLastSave="{00000000-0000-0000-0000-000000000000}"/>
  <bookViews>
    <workbookView showSheetTabs="0" xWindow="20370" yWindow="-120" windowWidth="29040" windowHeight="1584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Produccion!$A$6:$AG$6</definedName>
    <definedName name="_xlnm._FilterDatabase" localSheetId="1" hidden="1">Resultados!$A$4:$DI$4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Produccion!$4:$6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9" i="5" l="1"/>
  <c r="AD9" i="5" s="1"/>
  <c r="W8" i="5" l="1"/>
  <c r="AD8" i="5" s="1"/>
  <c r="W10" i="5" l="1"/>
  <c r="AD10" i="5" s="1"/>
  <c r="W11" i="5"/>
  <c r="W12" i="5"/>
  <c r="AD12" i="5" s="1"/>
  <c r="W13" i="5"/>
  <c r="AD13" i="5" s="1"/>
  <c r="W14" i="5"/>
  <c r="AD14" i="5" s="1"/>
  <c r="W15" i="5"/>
  <c r="AD15" i="5" s="1"/>
  <c r="W16" i="5"/>
  <c r="AD16" i="5" s="1"/>
  <c r="W17" i="5"/>
  <c r="AD17" i="5" s="1"/>
  <c r="W18" i="5"/>
  <c r="AD18" i="5" s="1"/>
  <c r="W19" i="5"/>
  <c r="W20" i="5"/>
  <c r="W21" i="5"/>
  <c r="AD11" i="5"/>
  <c r="AH1" i="40516" l="1"/>
  <c r="W32" i="5" l="1"/>
  <c r="AD32" i="5" s="1"/>
  <c r="W34" i="5" l="1"/>
  <c r="AD34" i="5" s="1"/>
  <c r="W31" i="5" l="1"/>
  <c r="W33" i="5"/>
  <c r="W30" i="5" l="1"/>
  <c r="AD30" i="5" s="1"/>
  <c r="W29" i="5"/>
  <c r="AD29" i="5" s="1"/>
  <c r="W28" i="5" l="1"/>
  <c r="W23" i="5" l="1"/>
  <c r="W24" i="5"/>
  <c r="W25" i="5"/>
  <c r="W26" i="5"/>
  <c r="W27" i="5"/>
  <c r="W22" i="5" l="1"/>
  <c r="AD24" i="5" l="1"/>
  <c r="AD25" i="5"/>
  <c r="AD26" i="5"/>
  <c r="AD27" i="5"/>
  <c r="AD28" i="5"/>
  <c r="AD31" i="5"/>
  <c r="AD33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19" i="5" l="1"/>
  <c r="AD20" i="5"/>
  <c r="AD21" i="5"/>
  <c r="AD22" i="5"/>
  <c r="AD23" i="5"/>
  <c r="W7" i="5" l="1"/>
  <c r="AD7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CAMPO B. Carlos I.      TENARIS</author>
    <author>ARRIETA C. Carlos G. TENARIS</author>
  </authors>
  <commentList>
    <comment ref="F7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4 cabezales de temple</t>
        </r>
      </text>
    </comment>
    <comment ref="Z7" authorId="1" shapeId="0" xr:uid="{00000000-0006-0000-0500-000002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Rechazado por baja temperatura de Pirometria Horno Revenido.
QUEDA PENDIENTE POR REPROCESAR (cambio de producto )</t>
        </r>
      </text>
    </comment>
    <comment ref="Z9" authorId="1" shapeId="0" xr:uid="{00000000-0006-0000-0500-000003000000}">
      <text>
        <r>
          <rPr>
            <b/>
            <sz val="9"/>
            <color indexed="81"/>
            <rFont val="Tahoma"/>
            <family val="2"/>
          </rPr>
          <t>ccampo</t>
        </r>
        <r>
          <rPr>
            <sz val="9"/>
            <color indexed="81"/>
            <rFont val="Tahoma"/>
            <family val="2"/>
          </rPr>
          <t xml:space="preserve">
Rechazado por baja temperatura de Pirometria Horno Revenido.
QUEDA PENDIENTE POR REPROCESAR (cambio de producto )</t>
        </r>
      </text>
    </comment>
  </commentList>
</comments>
</file>

<file path=xl/sharedStrings.xml><?xml version="1.0" encoding="utf-8"?>
<sst xmlns="http://schemas.openxmlformats.org/spreadsheetml/2006/main" count="155" uniqueCount="113">
  <si>
    <t xml:space="preserve"> </t>
  </si>
  <si>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</si>
  <si>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</si>
  <si>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</si>
  <si>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</si>
  <si>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</si>
  <si>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</si>
  <si>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</si>
  <si>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</si>
  <si>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</si>
  <si>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</si>
  <si>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</si>
  <si>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</si>
  <si>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</si>
  <si>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</si>
  <si>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</si>
  <si>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</si>
  <si>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</si>
  <si>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</si>
  <si>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</si>
  <si>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</si>
  <si>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</si>
  <si>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</si>
  <si>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</si>
  <si>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</si>
  <si>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CICLO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</si>
  <si>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</si>
  <si>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</si>
  <si>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</si>
  <si>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</si>
  <si>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</si>
  <si>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</si>
  <si>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</si>
  <si>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</si>
  <si>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</si>
  <si>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</si>
  <si>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</si>
  <si>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</si>
  <si>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</si>
  <si>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</si>
  <si>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</si>
  <si>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</si>
  <si>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</si>
  <si>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</si>
  <si>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</si>
  <si>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</si>
  <si>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</si>
  <si>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</si>
  <si>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</si>
  <si>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</si>
  <si>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</si>
  <si>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</si>
  <si>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</si>
  <si>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</si>
  <si>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</si>
  <si>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ESTADO</t>
  </si>
  <si>
    <t>T/Hr H. Temple</t>
  </si>
  <si>
    <t>T/Hr H. Revenido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</si>
  <si>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</si>
  <si>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</si>
  <si>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</si>
  <si>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</si>
  <si>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</si>
  <si>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</si>
  <si>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</si>
  <si>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</si>
  <si>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</si>
  <si>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</si>
  <si>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</si>
  <si>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</si>
  <si>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</si>
  <si>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</si>
  <si>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</si>
  <si>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</si>
  <si>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</si>
  <si>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</si>
  <si>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</si>
  <si>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</si>
  <si>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</si>
  <si>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</si>
  <si>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</si>
  <si>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</si>
  <si>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</si>
  <si>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</si>
  <si>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</si>
  <si>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</si>
  <si>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</si>
  <si>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</si>
  <si>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</si>
  <si>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</si>
  <si>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</si>
  <si>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</si>
  <si>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 xml:space="preserve">SUR </t>
  </si>
  <si>
    <t>P1</t>
  </si>
  <si>
    <t>Centro</t>
  </si>
  <si>
    <t>150 Seg</t>
  </si>
  <si>
    <t>Clave</t>
  </si>
  <si>
    <t>1 al 70</t>
  </si>
  <si>
    <t xml:space="preserve">N80 130 x 18 mm TPC </t>
  </si>
  <si>
    <t>TAMSA</t>
  </si>
  <si>
    <t>92 al 102</t>
  </si>
  <si>
    <t>N80 130 x 18 mm TPC  ( Cabezal 5 1/8 )</t>
  </si>
  <si>
    <t>Cuerpo</t>
  </si>
  <si>
    <t>Cuerpo Centro</t>
  </si>
  <si>
    <t xml:space="preserve">NORTE </t>
  </si>
  <si>
    <t>OD (mm)</t>
  </si>
  <si>
    <t>WT (mm)</t>
  </si>
  <si>
    <t>Proveedor</t>
  </si>
  <si>
    <t>Colada</t>
  </si>
  <si>
    <t>No. Tubo</t>
  </si>
  <si>
    <t>TPC</t>
  </si>
  <si>
    <t>N80Q</t>
  </si>
  <si>
    <t xml:space="preserve">PROVEDOR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</si>
</sst>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 * #,##0.00_ ;_ * \-#,##0.00_ ;_ * &quot;-&quot;??_ ;_ @_ "/>
    <numFmt numFmtId="165" formatCode="0.0"/>
    <numFmt numFmtId="168" formatCode="_-[$€-2]* #,##0.00_-;\-[$€-2]* #,##0.00_-;_-[$€-2]* &quot;-&quot;??_-"/>
  </numFmts>
  <fonts count="77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b/>
      <sz val="9"/>
      <color indexed="81"/>
      <name val="Tahoma"/>
      <family val="2"/>
    </font>
    <font>
      <b/>
      <sz val="12"/>
      <name val="Copperplate Gothic Light"/>
      <family val="2"/>
    </font>
    <font>
      <sz val="9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name val="Arial"/>
      <family val="2"/>
    </font>
    <font>
      <u/>
      <sz val="22"/>
      <color indexed="63"/>
      <name val="LibertyD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3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8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0" borderId="0"/>
    <xf numFmtId="0" fontId="1" fillId="0" borderId="0"/>
  </cellStyleXfs>
  <cellXfs count="19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3" borderId="0" xfId="0" applyFill="1"/>
    <xf numFmtId="0" fontId="11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Border="1" applyAlignment="1">
      <alignment vertical="center"/>
    </xf>
    <xf numFmtId="0" fontId="29" fillId="0" borderId="0" xfId="0" applyFont="1" applyFill="1" applyBorder="1" applyAlignment="1">
      <alignment vertical="center"/>
    </xf>
    <xf numFmtId="0" fontId="0" fillId="4" borderId="7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20" fillId="0" borderId="2" xfId="3" applyFont="1" applyBorder="1" applyAlignment="1">
      <alignment horizontal="center"/>
    </xf>
    <xf numFmtId="0" fontId="37" fillId="0" borderId="2" xfId="0" applyFont="1" applyFill="1" applyBorder="1" applyAlignment="1">
      <alignment horizontal="center"/>
    </xf>
    <xf numFmtId="165" fontId="37" fillId="0" borderId="2" xfId="2" applyNumberFormat="1" applyFont="1" applyFill="1" applyBorder="1" applyAlignment="1">
      <alignment horizontal="center"/>
    </xf>
    <xf numFmtId="0" fontId="42" fillId="5" borderId="0" xfId="0" applyFont="1" applyFill="1" applyAlignment="1">
      <alignment horizontal="center"/>
    </xf>
    <xf numFmtId="0" fontId="42" fillId="5" borderId="0" xfId="0" applyFont="1" applyFill="1" applyAlignment="1">
      <alignment horizontal="center" vertical="center" wrapText="1"/>
    </xf>
    <xf numFmtId="0" fontId="43" fillId="0" borderId="0" xfId="0" applyFont="1" applyFill="1" applyBorder="1" applyAlignment="1"/>
    <xf numFmtId="0" fontId="44" fillId="0" borderId="0" xfId="0" applyFont="1" applyAlignment="1">
      <alignment horizontal="center"/>
    </xf>
    <xf numFmtId="0" fontId="45" fillId="0" borderId="0" xfId="0" applyFont="1" applyFill="1" applyBorder="1" applyAlignment="1"/>
    <xf numFmtId="0" fontId="46" fillId="0" borderId="0" xfId="0" applyFont="1" applyFill="1" applyBorder="1" applyAlignment="1"/>
    <xf numFmtId="14" fontId="47" fillId="0" borderId="0" xfId="0" quotePrefix="1" applyNumberFormat="1" applyFont="1" applyFill="1" applyBorder="1" applyAlignment="1"/>
    <xf numFmtId="14" fontId="47" fillId="0" borderId="0" xfId="0" applyNumberFormat="1" applyFont="1" applyFill="1" applyBorder="1" applyAlignment="1"/>
    <xf numFmtId="0" fontId="49" fillId="0" borderId="0" xfId="0" applyFont="1" applyFill="1" applyBorder="1" applyAlignment="1">
      <alignment horizontal="center"/>
    </xf>
    <xf numFmtId="0" fontId="48" fillId="2" borderId="0" xfId="0" applyFont="1" applyFill="1" applyAlignment="1">
      <alignment horizontal="center"/>
    </xf>
    <xf numFmtId="0" fontId="50" fillId="2" borderId="0" xfId="0" applyFont="1" applyFill="1" applyAlignment="1">
      <alignment horizontal="center"/>
    </xf>
    <xf numFmtId="0" fontId="51" fillId="2" borderId="0" xfId="0" applyFont="1" applyFill="1" applyBorder="1" applyAlignment="1">
      <alignment horizontal="center"/>
    </xf>
    <xf numFmtId="165" fontId="44" fillId="0" borderId="0" xfId="0" applyNumberFormat="1" applyFont="1" applyAlignment="1">
      <alignment horizontal="center"/>
    </xf>
    <xf numFmtId="0" fontId="52" fillId="2" borderId="0" xfId="0" applyFont="1" applyFill="1" applyAlignment="1">
      <alignment horizontal="center"/>
    </xf>
    <xf numFmtId="0" fontId="53" fillId="2" borderId="0" xfId="0" applyFont="1" applyFill="1" applyBorder="1" applyAlignment="1">
      <alignment horizontal="right"/>
    </xf>
    <xf numFmtId="165" fontId="51" fillId="2" borderId="0" xfId="0" applyNumberFormat="1" applyFont="1" applyFill="1" applyBorder="1" applyAlignment="1">
      <alignment horizontal="center"/>
    </xf>
    <xf numFmtId="0" fontId="49" fillId="0" borderId="22" xfId="0" applyFont="1" applyFill="1" applyBorder="1" applyAlignment="1"/>
    <xf numFmtId="165" fontId="49" fillId="0" borderId="22" xfId="0" applyNumberFormat="1" applyFont="1" applyFill="1" applyBorder="1" applyAlignment="1">
      <alignment horizontal="center"/>
    </xf>
    <xf numFmtId="0" fontId="49" fillId="0" borderId="20" xfId="0" applyFont="1" applyFill="1" applyBorder="1" applyAlignment="1">
      <alignment horizontal="center"/>
    </xf>
    <xf numFmtId="0" fontId="54" fillId="0" borderId="0" xfId="0" applyFont="1" applyFill="1" applyBorder="1" applyAlignment="1">
      <alignment horizontal="center"/>
    </xf>
    <xf numFmtId="3" fontId="56" fillId="0" borderId="5" xfId="0" applyNumberFormat="1" applyFont="1" applyFill="1" applyBorder="1" applyAlignment="1">
      <alignment horizontal="center"/>
    </xf>
    <xf numFmtId="0" fontId="56" fillId="0" borderId="2" xfId="0" applyFont="1" applyFill="1" applyBorder="1" applyAlignment="1" applyProtection="1">
      <alignment horizontal="center"/>
      <protection locked="0"/>
    </xf>
    <xf numFmtId="0" fontId="51" fillId="0" borderId="0" xfId="0" applyFont="1" applyFill="1" applyBorder="1" applyAlignment="1">
      <alignment horizontal="center"/>
    </xf>
    <xf numFmtId="0" fontId="1" fillId="8" borderId="0" xfId="0" applyFont="1" applyFill="1" applyAlignment="1" applyProtection="1">
      <alignment vertical="center"/>
      <protection hidden="1"/>
    </xf>
    <xf numFmtId="0" fontId="0" fillId="8" borderId="0" xfId="0" applyFill="1" applyAlignment="1" applyProtection="1">
      <alignment vertical="center"/>
      <protection hidden="1"/>
    </xf>
    <xf numFmtId="0" fontId="1" fillId="8" borderId="0" xfId="0" applyFont="1" applyFill="1" applyBorder="1" applyAlignment="1" applyProtection="1">
      <alignment vertical="center"/>
      <protection hidden="1"/>
    </xf>
    <xf numFmtId="0" fontId="1" fillId="8" borderId="0" xfId="0" applyFont="1" applyFill="1" applyBorder="1" applyAlignment="1">
      <alignment vertical="center"/>
    </xf>
    <xf numFmtId="0" fontId="2" fillId="8" borderId="0" xfId="0" applyFont="1" applyFill="1" applyAlignment="1" applyProtection="1">
      <alignment vertical="center"/>
      <protection hidden="1"/>
    </xf>
    <xf numFmtId="0" fontId="0" fillId="8" borderId="0" xfId="0" applyFill="1" applyBorder="1" applyAlignment="1" applyProtection="1">
      <alignment vertical="center"/>
      <protection hidden="1"/>
    </xf>
    <xf numFmtId="0" fontId="25" fillId="8" borderId="0" xfId="0" applyFont="1" applyFill="1" applyBorder="1" applyAlignment="1" applyProtection="1">
      <alignment vertical="center"/>
      <protection hidden="1"/>
    </xf>
    <xf numFmtId="0" fontId="40" fillId="8" borderId="0" xfId="0" applyFont="1" applyFill="1" applyBorder="1" applyAlignment="1" applyProtection="1">
      <alignment vertical="center"/>
      <protection hidden="1"/>
    </xf>
    <xf numFmtId="0" fontId="11" fillId="8" borderId="0" xfId="0" applyFont="1" applyFill="1" applyAlignment="1" applyProtection="1">
      <alignment vertical="center"/>
      <protection hidden="1"/>
    </xf>
    <xf numFmtId="0" fontId="41" fillId="8" borderId="0" xfId="0" applyFont="1" applyFill="1" applyBorder="1" applyAlignment="1" applyProtection="1">
      <alignment vertical="center"/>
      <protection hidden="1"/>
    </xf>
    <xf numFmtId="21" fontId="31" fillId="8" borderId="0" xfId="0" applyNumberFormat="1" applyFont="1" applyFill="1" applyBorder="1" applyAlignment="1" applyProtection="1">
      <alignment horizontal="center" vertical="center"/>
      <protection hidden="1"/>
    </xf>
    <xf numFmtId="21" fontId="28" fillId="8" borderId="0" xfId="0" applyNumberFormat="1" applyFont="1" applyFill="1" applyBorder="1" applyAlignment="1" applyProtection="1">
      <alignment horizontal="center" vertical="center"/>
      <protection hidden="1"/>
    </xf>
    <xf numFmtId="21" fontId="40" fillId="8" borderId="0" xfId="0" applyNumberFormat="1" applyFont="1" applyFill="1" applyBorder="1" applyAlignment="1" applyProtection="1">
      <alignment horizontal="center" vertical="center"/>
      <protection hidden="1"/>
    </xf>
    <xf numFmtId="0" fontId="16" fillId="8" borderId="0" xfId="0" applyFont="1" applyFill="1" applyBorder="1" applyAlignment="1" applyProtection="1">
      <alignment horizontal="center" vertical="center"/>
      <protection hidden="1"/>
    </xf>
    <xf numFmtId="0" fontId="17" fillId="8" borderId="0" xfId="0" applyFont="1" applyFill="1" applyBorder="1" applyAlignment="1" applyProtection="1">
      <alignment horizontal="center" vertical="center"/>
      <protection hidden="1"/>
    </xf>
    <xf numFmtId="0" fontId="35" fillId="8" borderId="0" xfId="0" applyFont="1" applyFill="1" applyBorder="1" applyAlignment="1" applyProtection="1">
      <alignment horizontal="center" vertical="center"/>
      <protection hidden="1"/>
    </xf>
    <xf numFmtId="0" fontId="11" fillId="8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0" fillId="8" borderId="0" xfId="0" applyFill="1" applyBorder="1" applyAlignment="1">
      <alignment vertical="center"/>
    </xf>
    <xf numFmtId="0" fontId="0" fillId="8" borderId="0" xfId="0" applyFill="1"/>
    <xf numFmtId="0" fontId="1" fillId="7" borderId="0" xfId="0" applyFont="1" applyFill="1" applyBorder="1" applyAlignment="1" applyProtection="1">
      <alignment vertical="center"/>
      <protection hidden="1"/>
    </xf>
    <xf numFmtId="0" fontId="0" fillId="7" borderId="0" xfId="0" applyFill="1" applyBorder="1" applyAlignment="1" applyProtection="1">
      <alignment vertical="center"/>
      <protection hidden="1"/>
    </xf>
    <xf numFmtId="0" fontId="3" fillId="7" borderId="0" xfId="0" applyFont="1" applyFill="1" applyBorder="1" applyAlignment="1" applyProtection="1">
      <alignment horizontal="left" vertical="center"/>
      <protection hidden="1"/>
    </xf>
    <xf numFmtId="0" fontId="18" fillId="7" borderId="0" xfId="0" applyFont="1" applyFill="1" applyBorder="1" applyAlignment="1" applyProtection="1">
      <alignment horizontal="left" vertical="center"/>
      <protection hidden="1"/>
    </xf>
    <xf numFmtId="0" fontId="21" fillId="7" borderId="0" xfId="0" applyFont="1" applyFill="1" applyBorder="1" applyAlignment="1" applyProtection="1">
      <alignment horizontal="left" vertical="center"/>
      <protection hidden="1"/>
    </xf>
    <xf numFmtId="15" fontId="4" fillId="7" borderId="0" xfId="0" applyNumberFormat="1" applyFont="1" applyFill="1" applyBorder="1" applyAlignment="1" applyProtection="1">
      <alignment horizontal="center" vertical="center"/>
      <protection hidden="1"/>
    </xf>
    <xf numFmtId="0" fontId="5" fillId="7" borderId="0" xfId="0" applyFont="1" applyFill="1" applyBorder="1" applyAlignment="1" applyProtection="1">
      <alignment horizontal="center" vertical="center"/>
      <protection hidden="1"/>
    </xf>
    <xf numFmtId="21" fontId="6" fillId="7" borderId="0" xfId="0" applyNumberFormat="1" applyFont="1" applyFill="1" applyBorder="1" applyAlignment="1" applyProtection="1">
      <alignment horizontal="center" vertical="center"/>
      <protection hidden="1"/>
    </xf>
    <xf numFmtId="0" fontId="7" fillId="7" borderId="0" xfId="0" applyFont="1" applyFill="1" applyBorder="1" applyAlignment="1" applyProtection="1">
      <alignment horizontal="center" vertical="center"/>
      <protection hidden="1"/>
    </xf>
    <xf numFmtId="0" fontId="22" fillId="7" borderId="0" xfId="0" applyFont="1" applyFill="1" applyBorder="1" applyAlignment="1" applyProtection="1">
      <alignment horizontal="right" vertical="center"/>
      <protection hidden="1"/>
    </xf>
    <xf numFmtId="0" fontId="22" fillId="7" borderId="0" xfId="0" applyFont="1" applyFill="1" applyBorder="1" applyAlignment="1" applyProtection="1">
      <alignment horizontal="center" vertical="center"/>
      <protection hidden="1"/>
    </xf>
    <xf numFmtId="0" fontId="6" fillId="7" borderId="0" xfId="0" applyFont="1" applyFill="1" applyBorder="1" applyAlignment="1" applyProtection="1">
      <alignment horizontal="center" vertical="center"/>
      <protection hidden="1"/>
    </xf>
    <xf numFmtId="21" fontId="23" fillId="7" borderId="0" xfId="0" applyNumberFormat="1" applyFont="1" applyFill="1" applyBorder="1" applyAlignment="1" applyProtection="1">
      <alignment horizontal="center" vertical="center"/>
      <protection hidden="1"/>
    </xf>
    <xf numFmtId="0" fontId="8" fillId="7" borderId="0" xfId="0" applyFont="1" applyFill="1" applyBorder="1" applyAlignment="1" applyProtection="1">
      <alignment horizontal="center" vertical="center"/>
      <protection hidden="1"/>
    </xf>
    <xf numFmtId="0" fontId="24" fillId="7" borderId="0" xfId="0" applyFont="1" applyFill="1" applyBorder="1" applyAlignment="1" applyProtection="1">
      <alignment horizontal="center" vertical="center"/>
      <protection hidden="1"/>
    </xf>
    <xf numFmtId="0" fontId="9" fillId="7" borderId="0" xfId="0" applyFont="1" applyFill="1" applyBorder="1" applyAlignment="1" applyProtection="1">
      <alignment vertical="center"/>
      <protection hidden="1"/>
    </xf>
    <xf numFmtId="0" fontId="15" fillId="7" borderId="0" xfId="0" applyFont="1" applyFill="1" applyBorder="1" applyAlignment="1" applyProtection="1">
      <alignment vertical="center"/>
      <protection hidden="1"/>
    </xf>
    <xf numFmtId="0" fontId="39" fillId="7" borderId="0" xfId="0" applyFont="1" applyFill="1" applyBorder="1" applyAlignment="1" applyProtection="1">
      <alignment vertical="center"/>
      <protection hidden="1"/>
    </xf>
    <xf numFmtId="0" fontId="25" fillId="7" borderId="0" xfId="0" applyFont="1" applyFill="1" applyBorder="1" applyAlignment="1" applyProtection="1">
      <alignment vertical="center"/>
      <protection hidden="1"/>
    </xf>
    <xf numFmtId="0" fontId="26" fillId="7" borderId="0" xfId="0" applyFont="1" applyFill="1" applyBorder="1" applyAlignment="1" applyProtection="1">
      <alignment vertical="center"/>
      <protection hidden="1"/>
    </xf>
    <xf numFmtId="0" fontId="10" fillId="7" borderId="0" xfId="0" applyFont="1" applyFill="1" applyBorder="1" applyAlignment="1" applyProtection="1">
      <alignment vertical="center"/>
      <protection hidden="1"/>
    </xf>
    <xf numFmtId="0" fontId="19" fillId="7" borderId="0" xfId="0" applyFont="1" applyFill="1" applyBorder="1" applyAlignment="1" applyProtection="1">
      <alignment vertical="center"/>
      <protection hidden="1"/>
    </xf>
    <xf numFmtId="0" fontId="27" fillId="7" borderId="0" xfId="0" applyFont="1" applyFill="1" applyBorder="1" applyAlignment="1" applyProtection="1">
      <alignment horizontal="center" vertical="center"/>
      <protection hidden="1"/>
    </xf>
    <xf numFmtId="0" fontId="9" fillId="7" borderId="0" xfId="0" quotePrefix="1" applyFont="1" applyFill="1" applyBorder="1" applyAlignment="1" applyProtection="1">
      <alignment vertical="center"/>
      <protection hidden="1"/>
    </xf>
    <xf numFmtId="0" fontId="12" fillId="7" borderId="0" xfId="0" applyFont="1" applyFill="1" applyBorder="1" applyAlignment="1" applyProtection="1">
      <alignment vertical="center"/>
      <protection hidden="1"/>
    </xf>
    <xf numFmtId="21" fontId="30" fillId="7" borderId="0" xfId="0" applyNumberFormat="1" applyFont="1" applyFill="1" applyBorder="1" applyAlignment="1" applyProtection="1">
      <alignment horizontal="center" vertical="center"/>
      <protection hidden="1"/>
    </xf>
    <xf numFmtId="0" fontId="40" fillId="7" borderId="0" xfId="0" applyFont="1" applyFill="1" applyBorder="1" applyAlignment="1" applyProtection="1">
      <alignment vertical="center"/>
      <protection hidden="1"/>
    </xf>
    <xf numFmtId="0" fontId="31" fillId="7" borderId="0" xfId="0" applyFont="1" applyFill="1" applyBorder="1" applyAlignment="1" applyProtection="1">
      <alignment vertical="center"/>
      <protection hidden="1"/>
    </xf>
    <xf numFmtId="0" fontId="33" fillId="7" borderId="0" xfId="0" applyFont="1" applyFill="1" applyBorder="1" applyAlignment="1" applyProtection="1">
      <alignment vertical="center"/>
      <protection hidden="1"/>
    </xf>
    <xf numFmtId="0" fontId="14" fillId="7" borderId="0" xfId="0" applyFont="1" applyFill="1" applyBorder="1" applyAlignment="1" applyProtection="1">
      <alignment vertical="center"/>
      <protection hidden="1"/>
    </xf>
    <xf numFmtId="0" fontId="32" fillId="7" borderId="0" xfId="0" applyFont="1" applyFill="1" applyBorder="1" applyAlignment="1" applyProtection="1">
      <alignment vertical="center"/>
      <protection hidden="1"/>
    </xf>
    <xf numFmtId="0" fontId="34" fillId="7" borderId="0" xfId="0" applyFont="1" applyFill="1" applyBorder="1" applyAlignment="1" applyProtection="1">
      <alignment vertical="center"/>
      <protection hidden="1"/>
    </xf>
    <xf numFmtId="0" fontId="41" fillId="7" borderId="0" xfId="0" applyFont="1" applyFill="1" applyBorder="1" applyAlignment="1" applyProtection="1">
      <alignment vertical="center"/>
      <protection hidden="1"/>
    </xf>
    <xf numFmtId="21" fontId="31" fillId="7" borderId="0" xfId="0" applyNumberFormat="1" applyFont="1" applyFill="1" applyBorder="1" applyAlignment="1" applyProtection="1">
      <alignment horizontal="center" vertical="center"/>
      <protection hidden="1"/>
    </xf>
    <xf numFmtId="0" fontId="0" fillId="7" borderId="8" xfId="0" applyFill="1" applyBorder="1" applyAlignment="1" applyProtection="1">
      <alignment vertical="center"/>
      <protection hidden="1"/>
    </xf>
    <xf numFmtId="0" fontId="0" fillId="7" borderId="17" xfId="0" applyFill="1" applyBorder="1" applyAlignment="1" applyProtection="1">
      <alignment vertical="center"/>
      <protection hidden="1"/>
    </xf>
    <xf numFmtId="0" fontId="1" fillId="7" borderId="17" xfId="0" applyFont="1" applyFill="1" applyBorder="1" applyAlignment="1" applyProtection="1">
      <alignment vertical="center"/>
      <protection hidden="1"/>
    </xf>
    <xf numFmtId="0" fontId="1" fillId="7" borderId="19" xfId="0" applyFont="1" applyFill="1" applyBorder="1" applyAlignment="1" applyProtection="1">
      <alignment vertical="center"/>
      <protection hidden="1"/>
    </xf>
    <xf numFmtId="0" fontId="0" fillId="7" borderId="21" xfId="0" applyFill="1" applyBorder="1" applyAlignment="1" applyProtection="1">
      <alignment vertical="center"/>
      <protection hidden="1"/>
    </xf>
    <xf numFmtId="0" fontId="1" fillId="7" borderId="23" xfId="0" applyFont="1" applyFill="1" applyBorder="1" applyAlignment="1" applyProtection="1">
      <alignment vertical="center"/>
      <protection hidden="1"/>
    </xf>
    <xf numFmtId="21" fontId="23" fillId="7" borderId="23" xfId="0" applyNumberFormat="1" applyFont="1" applyFill="1" applyBorder="1" applyAlignment="1" applyProtection="1">
      <alignment horizontal="center" vertical="center"/>
      <protection hidden="1"/>
    </xf>
    <xf numFmtId="0" fontId="8" fillId="7" borderId="21" xfId="0" applyFont="1" applyFill="1" applyBorder="1" applyAlignment="1" applyProtection="1">
      <alignment horizontal="center" vertical="center"/>
      <protection hidden="1"/>
    </xf>
    <xf numFmtId="0" fontId="9" fillId="7" borderId="21" xfId="0" applyFont="1" applyFill="1" applyBorder="1" applyAlignment="1" applyProtection="1">
      <alignment vertical="center"/>
      <protection hidden="1"/>
    </xf>
    <xf numFmtId="0" fontId="10" fillId="7" borderId="21" xfId="0" applyFont="1" applyFill="1" applyBorder="1" applyAlignment="1" applyProtection="1">
      <alignment vertical="center"/>
      <protection hidden="1"/>
    </xf>
    <xf numFmtId="0" fontId="25" fillId="7" borderId="23" xfId="0" applyFont="1" applyFill="1" applyBorder="1" applyAlignment="1" applyProtection="1">
      <alignment vertical="center"/>
      <protection hidden="1"/>
    </xf>
    <xf numFmtId="21" fontId="28" fillId="7" borderId="23" xfId="0" applyNumberFormat="1" applyFont="1" applyFill="1" applyBorder="1" applyAlignment="1" applyProtection="1">
      <alignment horizontal="center" vertical="center"/>
      <protection hidden="1"/>
    </xf>
    <xf numFmtId="0" fontId="9" fillId="7" borderId="24" xfId="0" applyFont="1" applyFill="1" applyBorder="1" applyAlignment="1" applyProtection="1">
      <alignment vertical="center"/>
      <protection hidden="1"/>
    </xf>
    <xf numFmtId="0" fontId="9" fillId="7" borderId="22" xfId="0" applyFont="1" applyFill="1" applyBorder="1" applyAlignment="1" applyProtection="1">
      <alignment vertical="center"/>
      <protection hidden="1"/>
    </xf>
    <xf numFmtId="0" fontId="25" fillId="7" borderId="22" xfId="0" applyFont="1" applyFill="1" applyBorder="1" applyAlignment="1" applyProtection="1">
      <alignment vertical="center"/>
      <protection hidden="1"/>
    </xf>
    <xf numFmtId="0" fontId="41" fillId="7" borderId="22" xfId="0" applyFont="1" applyFill="1" applyBorder="1" applyAlignment="1" applyProtection="1">
      <alignment vertical="center"/>
      <protection hidden="1"/>
    </xf>
    <xf numFmtId="0" fontId="40" fillId="7" borderId="22" xfId="0" applyFont="1" applyFill="1" applyBorder="1" applyAlignment="1" applyProtection="1">
      <alignment vertical="center"/>
      <protection hidden="1"/>
    </xf>
    <xf numFmtId="21" fontId="40" fillId="7" borderId="22" xfId="0" applyNumberFormat="1" applyFont="1" applyFill="1" applyBorder="1" applyAlignment="1" applyProtection="1">
      <alignment horizontal="center" vertical="center"/>
      <protection hidden="1"/>
    </xf>
    <xf numFmtId="21" fontId="31" fillId="7" borderId="22" xfId="0" applyNumberFormat="1" applyFont="1" applyFill="1" applyBorder="1" applyAlignment="1" applyProtection="1">
      <alignment horizontal="center" vertical="center"/>
      <protection hidden="1"/>
    </xf>
    <xf numFmtId="21" fontId="28" fillId="7" borderId="20" xfId="0" applyNumberFormat="1" applyFont="1" applyFill="1" applyBorder="1" applyAlignment="1" applyProtection="1">
      <alignment horizontal="center" vertical="center"/>
      <protection hidden="1"/>
    </xf>
    <xf numFmtId="0" fontId="58" fillId="6" borderId="0" xfId="0" applyFont="1" applyFill="1" applyBorder="1" applyAlignment="1">
      <alignment horizontal="center"/>
    </xf>
    <xf numFmtId="0" fontId="42" fillId="6" borderId="0" xfId="0" applyFont="1" applyFill="1" applyBorder="1" applyAlignment="1">
      <alignment horizontal="center" vertical="center" wrapText="1"/>
    </xf>
    <xf numFmtId="15" fontId="55" fillId="0" borderId="5" xfId="0" applyNumberFormat="1" applyFont="1" applyFill="1" applyBorder="1" applyAlignment="1">
      <alignment horizontal="center"/>
    </xf>
    <xf numFmtId="0" fontId="56" fillId="0" borderId="2" xfId="3" applyFont="1" applyBorder="1" applyAlignment="1">
      <alignment horizontal="center"/>
    </xf>
    <xf numFmtId="3" fontId="56" fillId="0" borderId="3" xfId="2" applyNumberFormat="1" applyFont="1" applyFill="1" applyBorder="1" applyAlignment="1" applyProtection="1">
      <alignment horizontal="center"/>
      <protection locked="0"/>
    </xf>
    <xf numFmtId="3" fontId="56" fillId="0" borderId="2" xfId="2" applyNumberFormat="1" applyFont="1" applyFill="1" applyBorder="1" applyAlignment="1" applyProtection="1">
      <alignment horizontal="center"/>
      <protection locked="0"/>
    </xf>
    <xf numFmtId="0" fontId="56" fillId="0" borderId="3" xfId="0" applyFont="1" applyFill="1" applyBorder="1" applyAlignment="1">
      <alignment horizontal="center"/>
    </xf>
    <xf numFmtId="3" fontId="56" fillId="0" borderId="5" xfId="2" applyNumberFormat="1" applyFont="1" applyFill="1" applyBorder="1" applyAlignment="1" applyProtection="1">
      <alignment horizontal="center"/>
      <protection locked="0"/>
    </xf>
    <xf numFmtId="3" fontId="56" fillId="0" borderId="25" xfId="2" applyNumberFormat="1" applyFont="1" applyFill="1" applyBorder="1" applyAlignment="1" applyProtection="1">
      <alignment horizontal="center"/>
      <protection locked="0"/>
    </xf>
    <xf numFmtId="3" fontId="57" fillId="0" borderId="2" xfId="0" applyNumberFormat="1" applyFont="1" applyFill="1" applyBorder="1" applyAlignment="1" applyProtection="1">
      <alignment horizontal="center"/>
    </xf>
    <xf numFmtId="0" fontId="59" fillId="0" borderId="2" xfId="0" applyFont="1" applyFill="1" applyBorder="1" applyAlignment="1" applyProtection="1">
      <alignment horizontal="center"/>
      <protection locked="0"/>
    </xf>
    <xf numFmtId="0" fontId="56" fillId="0" borderId="26" xfId="0" applyFont="1" applyBorder="1" applyAlignment="1">
      <alignment horizontal="center"/>
    </xf>
    <xf numFmtId="0" fontId="56" fillId="0" borderId="26" xfId="0" applyFont="1" applyFill="1" applyBorder="1" applyAlignment="1">
      <alignment horizontal="center"/>
    </xf>
    <xf numFmtId="15" fontId="55" fillId="0" borderId="4" xfId="0" applyNumberFormat="1" applyFont="1" applyFill="1" applyBorder="1" applyAlignment="1">
      <alignment horizontal="center"/>
    </xf>
    <xf numFmtId="0" fontId="61" fillId="0" borderId="0" xfId="0" applyFont="1" applyFill="1" applyBorder="1" applyAlignment="1"/>
    <xf numFmtId="0" fontId="62" fillId="0" borderId="0" xfId="0" applyFont="1" applyFill="1" applyBorder="1" applyAlignment="1"/>
    <xf numFmtId="0" fontId="62" fillId="0" borderId="0" xfId="0" applyFont="1" applyFill="1" applyBorder="1" applyAlignment="1">
      <alignment horizontal="center"/>
    </xf>
    <xf numFmtId="0" fontId="63" fillId="0" borderId="0" xfId="0" applyFont="1" applyAlignment="1">
      <alignment horizontal="center"/>
    </xf>
    <xf numFmtId="0" fontId="64" fillId="5" borderId="0" xfId="0" applyFont="1" applyFill="1" applyAlignment="1">
      <alignment horizontal="center" vertical="center" wrapText="1"/>
    </xf>
    <xf numFmtId="3" fontId="63" fillId="0" borderId="25" xfId="2" applyNumberFormat="1" applyFont="1" applyFill="1" applyBorder="1" applyAlignment="1" applyProtection="1">
      <alignment horizontal="center"/>
      <protection locked="0"/>
    </xf>
    <xf numFmtId="3" fontId="59" fillId="0" borderId="1" xfId="0" applyNumberFormat="1" applyFont="1" applyFill="1" applyBorder="1" applyAlignment="1" applyProtection="1">
      <alignment horizontal="center"/>
      <protection locked="0"/>
    </xf>
    <xf numFmtId="0" fontId="66" fillId="0" borderId="0" xfId="0" applyFont="1" applyAlignment="1">
      <alignment horizontal="center" wrapText="1"/>
    </xf>
    <xf numFmtId="0" fontId="38" fillId="0" borderId="0" xfId="4" applyFont="1"/>
    <xf numFmtId="0" fontId="38" fillId="0" borderId="0" xfId="4" applyFont="1" applyBorder="1" applyAlignment="1">
      <alignment horizontal="center" vertical="center"/>
    </xf>
    <xf numFmtId="0" fontId="72" fillId="9" borderId="31" xfId="4" applyFont="1" applyFill="1" applyBorder="1" applyAlignment="1">
      <alignment horizontal="center"/>
    </xf>
    <xf numFmtId="0" fontId="72" fillId="11" borderId="31" xfId="4" applyFont="1" applyFill="1" applyBorder="1" applyAlignment="1">
      <alignment horizontal="center"/>
    </xf>
    <xf numFmtId="0" fontId="72" fillId="12" borderId="32" xfId="4" applyFont="1" applyFill="1" applyBorder="1" applyAlignment="1">
      <alignment horizontal="center"/>
    </xf>
    <xf numFmtId="0" fontId="73" fillId="14" borderId="2" xfId="4" applyFont="1" applyFill="1" applyBorder="1" applyAlignment="1">
      <alignment horizontal="center" vertical="center" wrapText="1"/>
    </xf>
    <xf numFmtId="0" fontId="73" fillId="10" borderId="2" xfId="4" applyFont="1" applyFill="1" applyBorder="1" applyAlignment="1">
      <alignment horizontal="center" vertical="center" wrapText="1"/>
    </xf>
    <xf numFmtId="0" fontId="72" fillId="9" borderId="2" xfId="4" applyFont="1" applyFill="1" applyBorder="1" applyAlignment="1">
      <alignment horizontal="center" vertical="center" wrapText="1"/>
    </xf>
    <xf numFmtId="0" fontId="72" fillId="11" borderId="2" xfId="4" applyFont="1" applyFill="1" applyBorder="1" applyAlignment="1">
      <alignment horizontal="center" vertical="center" wrapText="1"/>
    </xf>
    <xf numFmtId="0" fontId="72" fillId="12" borderId="2" xfId="4" applyFont="1" applyFill="1" applyBorder="1" applyAlignment="1">
      <alignment horizontal="center" vertical="center" wrapText="1"/>
    </xf>
    <xf numFmtId="0" fontId="0" fillId="0" borderId="2" xfId="0" applyFill="1" applyBorder="1"/>
    <xf numFmtId="15" fontId="20" fillId="8" borderId="2" xfId="0" applyNumberFormat="1" applyFont="1" applyFill="1" applyBorder="1" applyAlignment="1">
      <alignment horizontal="center"/>
    </xf>
    <xf numFmtId="15" fontId="20" fillId="3" borderId="2" xfId="0" applyNumberFormat="1" applyFont="1" applyFill="1" applyBorder="1" applyAlignment="1">
      <alignment horizontal="center"/>
    </xf>
    <xf numFmtId="1" fontId="37" fillId="0" borderId="2" xfId="0" applyNumberFormat="1" applyFont="1" applyFill="1" applyBorder="1" applyAlignment="1">
      <alignment horizontal="center"/>
    </xf>
    <xf numFmtId="2" fontId="37" fillId="0" borderId="2" xfId="0" applyNumberFormat="1" applyFont="1" applyFill="1" applyBorder="1" applyAlignment="1">
      <alignment horizontal="center"/>
    </xf>
    <xf numFmtId="165" fontId="37" fillId="0" borderId="2" xfId="0" applyNumberFormat="1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2" fontId="0" fillId="8" borderId="2" xfId="0" applyNumberForma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60" fillId="7" borderId="0" xfId="0" applyFont="1" applyFill="1" applyBorder="1" applyAlignment="1" applyProtection="1">
      <alignment horizontal="center" vertical="center"/>
      <protection hidden="1"/>
    </xf>
    <xf numFmtId="0" fontId="74" fillId="0" borderId="22" xfId="0" applyFont="1" applyFill="1" applyBorder="1" applyAlignment="1">
      <alignment horizontal="center" vertical="center"/>
    </xf>
    <xf numFmtId="0" fontId="75" fillId="0" borderId="17" xfId="0" applyFont="1" applyBorder="1" applyAlignment="1">
      <alignment horizontal="center" vertical="top"/>
    </xf>
    <xf numFmtId="0" fontId="75" fillId="0" borderId="19" xfId="0" applyFont="1" applyBorder="1" applyAlignment="1">
      <alignment horizontal="center" vertical="top"/>
    </xf>
    <xf numFmtId="0" fontId="72" fillId="12" borderId="31" xfId="4" applyFont="1" applyFill="1" applyBorder="1" applyAlignment="1">
      <alignment horizontal="center"/>
    </xf>
    <xf numFmtId="0" fontId="70" fillId="11" borderId="28" xfId="4" applyFont="1" applyFill="1" applyBorder="1" applyAlignment="1">
      <alignment horizontal="center"/>
    </xf>
    <xf numFmtId="0" fontId="69" fillId="9" borderId="27" xfId="4" applyFont="1" applyFill="1" applyBorder="1" applyAlignment="1">
      <alignment horizontal="center"/>
    </xf>
    <xf numFmtId="0" fontId="69" fillId="9" borderId="28" xfId="4" applyFont="1" applyFill="1" applyBorder="1" applyAlignment="1">
      <alignment horizontal="center"/>
    </xf>
    <xf numFmtId="0" fontId="70" fillId="12" borderId="28" xfId="4" applyFont="1" applyFill="1" applyBorder="1" applyAlignment="1">
      <alignment horizontal="center"/>
    </xf>
    <xf numFmtId="0" fontId="70" fillId="12" borderId="29" xfId="4" applyFont="1" applyFill="1" applyBorder="1" applyAlignment="1">
      <alignment horizontal="center"/>
    </xf>
    <xf numFmtId="0" fontId="72" fillId="9" borderId="30" xfId="4" applyFont="1" applyFill="1" applyBorder="1" applyAlignment="1">
      <alignment horizontal="center"/>
    </xf>
    <xf numFmtId="0" fontId="72" fillId="9" borderId="31" xfId="4" applyFont="1" applyFill="1" applyBorder="1" applyAlignment="1">
      <alignment horizontal="center"/>
    </xf>
    <xf numFmtId="0" fontId="13" fillId="0" borderId="22" xfId="0" applyFont="1" applyFill="1" applyBorder="1" applyAlignment="1">
      <alignment horizontal="center" vertical="center"/>
    </xf>
    <xf numFmtId="0" fontId="68" fillId="10" borderId="8" xfId="4" applyFont="1" applyFill="1" applyBorder="1" applyAlignment="1">
      <alignment horizontal="center" vertical="center"/>
    </xf>
    <xf numFmtId="0" fontId="68" fillId="10" borderId="17" xfId="4" applyFont="1" applyFill="1" applyBorder="1" applyAlignment="1">
      <alignment horizontal="center" vertical="center"/>
    </xf>
    <xf numFmtId="0" fontId="68" fillId="10" borderId="6" xfId="4" applyFont="1" applyFill="1" applyBorder="1" applyAlignment="1">
      <alignment horizontal="center" vertical="center"/>
    </xf>
    <xf numFmtId="0" fontId="68" fillId="10" borderId="18" xfId="4" applyFont="1" applyFill="1" applyBorder="1" applyAlignment="1">
      <alignment horizontal="center" vertical="center"/>
    </xf>
    <xf numFmtId="0" fontId="71" fillId="10" borderId="8" xfId="4" applyFont="1" applyFill="1" applyBorder="1" applyAlignment="1">
      <alignment horizontal="center" vertical="center" shrinkToFit="1"/>
    </xf>
    <xf numFmtId="0" fontId="71" fillId="10" borderId="17" xfId="4" applyFont="1" applyFill="1" applyBorder="1" applyAlignment="1">
      <alignment horizontal="center" vertical="center" shrinkToFit="1"/>
    </xf>
    <xf numFmtId="0" fontId="71" fillId="13" borderId="11" xfId="4" applyFont="1" applyFill="1" applyBorder="1" applyAlignment="1">
      <alignment horizontal="center" vertical="center" shrinkToFit="1"/>
    </xf>
    <xf numFmtId="0" fontId="71" fillId="13" borderId="10" xfId="4" applyFont="1" applyFill="1" applyBorder="1" applyAlignment="1">
      <alignment horizontal="center" vertical="center" shrinkToFit="1"/>
    </xf>
    <xf numFmtId="0" fontId="71" fillId="13" borderId="12" xfId="4" applyFont="1" applyFill="1" applyBorder="1" applyAlignment="1">
      <alignment horizontal="center" vertical="center" shrinkToFit="1"/>
    </xf>
    <xf numFmtId="0" fontId="71" fillId="13" borderId="13" xfId="4" applyFont="1" applyFill="1" applyBorder="1" applyAlignment="1">
      <alignment horizontal="center" vertical="center" shrinkToFit="1"/>
    </xf>
    <xf numFmtId="0" fontId="71" fillId="13" borderId="17" xfId="4" applyFont="1" applyFill="1" applyBorder="1" applyAlignment="1">
      <alignment horizontal="center" vertical="center" shrinkToFit="1"/>
    </xf>
    <xf numFmtId="0" fontId="71" fillId="13" borderId="19" xfId="4" applyFont="1" applyFill="1" applyBorder="1" applyAlignment="1">
      <alignment horizontal="center" vertical="center" shrinkToFit="1"/>
    </xf>
    <xf numFmtId="0" fontId="68" fillId="10" borderId="9" xfId="4" applyFont="1" applyFill="1" applyBorder="1" applyAlignment="1">
      <alignment horizontal="center" vertical="center"/>
    </xf>
    <xf numFmtId="0" fontId="46" fillId="0" borderId="0" xfId="0" applyFont="1" applyFill="1" applyBorder="1" applyAlignment="1">
      <alignment horizontal="center"/>
    </xf>
    <xf numFmtId="0" fontId="58" fillId="6" borderId="22" xfId="0" applyFont="1" applyFill="1" applyBorder="1" applyAlignment="1">
      <alignment horizontal="center"/>
    </xf>
    <xf numFmtId="0" fontId="58" fillId="6" borderId="0" xfId="0" applyFont="1" applyFill="1" applyAlignment="1">
      <alignment horizontal="center"/>
    </xf>
    <xf numFmtId="0" fontId="42" fillId="6" borderId="8" xfId="0" applyFont="1" applyFill="1" applyBorder="1" applyAlignment="1">
      <alignment horizontal="center" vertical="center" wrapText="1"/>
    </xf>
    <xf numFmtId="0" fontId="42" fillId="6" borderId="17" xfId="0" applyFont="1" applyFill="1" applyBorder="1" applyAlignment="1">
      <alignment horizontal="center" vertical="center" wrapText="1"/>
    </xf>
    <xf numFmtId="0" fontId="42" fillId="6" borderId="19" xfId="0" applyFont="1" applyFill="1" applyBorder="1" applyAlignment="1">
      <alignment horizontal="center" vertical="center" wrapText="1"/>
    </xf>
    <xf numFmtId="0" fontId="76" fillId="0" borderId="22" xfId="0" applyFont="1" applyFill="1" applyBorder="1" applyAlignment="1">
      <alignment horizontal="center" vertical="center"/>
    </xf>
  </cellXfs>
  <cellStyles count="5">
    <cellStyle name="Euro" xfId="1" xr:uid="{00000000-0005-0000-0000-000000000000}"/>
    <cellStyle name="Millares" xfId="2" builtinId="3"/>
    <cellStyle name="Normal" xfId="0" builtinId="0"/>
    <cellStyle name="Normal 3" xfId="4" xr:uid="{00000000-0005-0000-0000-000004000000}"/>
    <cellStyle name="Normal_CONDICIONES TEMPLE Y REVENIDO NAVE 9 POR LOTE" xfId="3" xr:uid="{00000000-0005-0000-0000-000006000000}"/>
  </cellStyles>
  <dxfs count="15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5A8A-4A54-AE82-4D7CBA235CB2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5A8A-4A54-AE82-4D7CBA235CB2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5A8A-4A54-AE82-4D7CBA235CB2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5A8A-4A54-AE82-4D7CBA235CB2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5A8A-4A54-AE82-4D7CBA235CB2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5A8A-4A54-AE82-4D7CBA235C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6878728"/>
        <c:axId val="376879120"/>
      </c:barChart>
      <c:catAx>
        <c:axId val="376878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76879120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768791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7687872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419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3349-43EF-8776-37A706448285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3349-43EF-8776-37A706448285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3349-43EF-8776-37A706448285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3349-43EF-8776-37A706448285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3349-43EF-8776-37A706448285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3349-43EF-8776-37A706448285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3349-43EF-8776-37A706448285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3349-43EF-8776-37A706448285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3349-43EF-8776-37A706448285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3349-43EF-8776-37A706448285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3349-43EF-8776-37A706448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6879904"/>
        <c:axId val="376880296"/>
      </c:lineChart>
      <c:catAx>
        <c:axId val="376879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76880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68802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76879904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419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DD6-4212-A5D4-B2BBA9775D2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DD6-4212-A5D4-B2BBA9775D2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DD6-4212-A5D4-B2BBA9775D2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DD6-4212-A5D4-B2BBA9775D2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DD6-4212-A5D4-B2BBA9775D2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DD6-4212-A5D4-B2BBA9775D2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DD6-4212-A5D4-B2BBA9775D2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DD6-4212-A5D4-B2BBA9775D2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DD6-4212-A5D4-B2BBA9775D2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DD6-4212-A5D4-B2BBA9775D2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DD6-4212-A5D4-B2BBA9775D2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DD6-4212-A5D4-B2BBA9775D2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DD6-4212-A5D4-B2BBA9775D2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DD6-4212-A5D4-B2BBA9775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6883824"/>
        <c:axId val="376884216"/>
      </c:barChart>
      <c:catAx>
        <c:axId val="376883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76884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768842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3768838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971-4ADF-811A-FD56C88F53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971-4ADF-811A-FD56C88F53D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971-4ADF-811A-FD56C88F53D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71-4ADF-811A-FD56C88F53D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971-4ADF-811A-FD56C88F53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971-4ADF-811A-FD56C88F53D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971-4ADF-811A-FD56C88F53D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971-4ADF-811A-FD56C88F53D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971-4ADF-811A-FD56C88F53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971-4ADF-811A-FD56C88F53D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971-4ADF-811A-FD56C88F53D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971-4ADF-811A-FD56C88F53D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971-4ADF-811A-FD56C88F53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971-4ADF-811A-FD56C88F5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5264864"/>
        <c:axId val="433614680"/>
      </c:barChart>
      <c:catAx>
        <c:axId val="435264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36146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36146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52648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6C9-4731-A125-CAABA78C2EA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6C9-4731-A125-CAABA78C2EA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6C9-4731-A125-CAABA78C2EA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6C9-4731-A125-CAABA78C2EA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6C9-4731-A125-CAABA78C2EA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6C9-4731-A125-CAABA78C2EA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6C9-4731-A125-CAABA78C2EA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6C9-4731-A125-CAABA78C2EA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6C9-4731-A125-CAABA78C2EA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6C9-4731-A125-CAABA78C2EA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6C9-4731-A125-CAABA78C2EA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6C9-4731-A125-CAABA78C2EA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6C9-4731-A125-CAABA78C2EA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6C9-4731-A125-CAABA78C2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3615464"/>
        <c:axId val="433615856"/>
      </c:barChart>
      <c:catAx>
        <c:axId val="433615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3615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3615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36154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175-477D-9FCA-82A96CA059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175-477D-9FCA-82A96CA0595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175-477D-9FCA-82A96CA059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175-477D-9FCA-82A96CA059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175-477D-9FCA-82A96CA059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175-477D-9FCA-82A96CA0595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175-477D-9FCA-82A96CA059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175-477D-9FCA-82A96CA059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175-477D-9FCA-82A96CA059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175-477D-9FCA-82A96CA0595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175-477D-9FCA-82A96CA059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175-477D-9FCA-82A96CA059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175-477D-9FCA-82A96CA059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175-477D-9FCA-82A96CA05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3616640"/>
        <c:axId val="433617032"/>
      </c:barChart>
      <c:catAx>
        <c:axId val="433616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3617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36170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36166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A11-4D02-BB25-8760CE8BA2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A11-4D02-BB25-8760CE8BA20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A11-4D02-BB25-8760CE8BA2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A11-4D02-BB25-8760CE8BA2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A11-4D02-BB25-8760CE8BA2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A11-4D02-BB25-8760CE8BA20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A11-4D02-BB25-8760CE8BA2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A11-4D02-BB25-8760CE8BA2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A11-4D02-BB25-8760CE8BA2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A11-4D02-BB25-8760CE8BA20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A11-4D02-BB25-8760CE8BA20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A11-4D02-BB25-8760CE8BA20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A11-4D02-BB25-8760CE8BA20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A11-4D02-BB25-8760CE8BA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3617816"/>
        <c:axId val="433618208"/>
      </c:barChart>
      <c:catAx>
        <c:axId val="433617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3618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36182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36178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0B-42D3-823F-B510A6CB78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70B-42D3-823F-B510A6CB78E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70B-42D3-823F-B510A6CB78E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70B-42D3-823F-B510A6CB78E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70B-42D3-823F-B510A6CB78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70B-42D3-823F-B510A6CB78E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70B-42D3-823F-B510A6CB78E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70B-42D3-823F-B510A6CB78E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70B-42D3-823F-B510A6CB78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70B-42D3-823F-B510A6CB78E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70B-42D3-823F-B510A6CB78E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70B-42D3-823F-B510A6CB78E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70B-42D3-823F-B510A6CB78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70B-42D3-823F-B510A6CB7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3618992"/>
        <c:axId val="433619384"/>
      </c:barChart>
      <c:catAx>
        <c:axId val="433618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3619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36193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36189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D82-4116-916E-F041854838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D82-4116-916E-F041854838D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D82-4116-916E-F041854838D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D82-4116-916E-F041854838D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D82-4116-916E-F041854838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D82-4116-916E-F041854838D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D82-4116-916E-F041854838D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D82-4116-916E-F041854838D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D82-4116-916E-F041854838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D82-4116-916E-F041854838D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D82-4116-916E-F041854838D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D82-4116-916E-F041854838D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D82-4116-916E-F041854838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D82-4116-916E-F041854838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3620168"/>
        <c:axId val="433620560"/>
      </c:barChart>
      <c:catAx>
        <c:axId val="433620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3620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3620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3620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7FA-47CB-91CA-53BA2061D0C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7FA-47CB-91CA-53BA2061D0C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7FA-47CB-91CA-53BA2061D0C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7FA-47CB-91CA-53BA2061D0C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7FA-47CB-91CA-53BA2061D0C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7FA-47CB-91CA-53BA2061D0C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7FA-47CB-91CA-53BA2061D0C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7FA-47CB-91CA-53BA2061D0C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7FA-47CB-91CA-53BA2061D0C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7FA-47CB-91CA-53BA2061D0C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7FA-47CB-91CA-53BA2061D0C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7FA-47CB-91CA-53BA2061D0C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7FA-47CB-91CA-53BA2061D0C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7FA-47CB-91CA-53BA2061D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3621344"/>
        <c:axId val="433621736"/>
      </c:barChart>
      <c:catAx>
        <c:axId val="433621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3621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3621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36213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3A-43A3-B1DE-91522AE13C9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83A-43A3-B1DE-91522AE13C9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3A-43A3-B1DE-91522AE13C9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3A-43A3-B1DE-91522AE13C9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83A-43A3-B1DE-91522AE13C9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83A-43A3-B1DE-91522AE13C9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83A-43A3-B1DE-91522AE13C9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83A-43A3-B1DE-91522AE13C9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83A-43A3-B1DE-91522AE13C9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83A-43A3-B1DE-91522AE13C9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83A-43A3-B1DE-91522AE13C9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83A-43A3-B1DE-91522AE13C9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83A-43A3-B1DE-91522AE13C9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83A-43A3-B1DE-91522AE13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3622520"/>
        <c:axId val="433622912"/>
      </c:barChart>
      <c:catAx>
        <c:axId val="433622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3622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3622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3622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575-4D77-82AC-0236DA3A9C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575-4D77-82AC-0236DA3A9C1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575-4D77-82AC-0236DA3A9C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575-4D77-82AC-0236DA3A9C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575-4D77-82AC-0236DA3A9C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575-4D77-82AC-0236DA3A9C1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575-4D77-82AC-0236DA3A9C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575-4D77-82AC-0236DA3A9C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575-4D77-82AC-0236DA3A9C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575-4D77-82AC-0236DA3A9C1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575-4D77-82AC-0236DA3A9C1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575-4D77-82AC-0236DA3A9C1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575-4D77-82AC-0236DA3A9C1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575-4D77-82AC-0236DA3A9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3623696"/>
        <c:axId val="433624088"/>
      </c:barChart>
      <c:catAx>
        <c:axId val="433623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3624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3624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3623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BA1-4DF8-9D3E-ADF89194F6D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BA1-4DF8-9D3E-ADF89194F6D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BA1-4DF8-9D3E-ADF89194F6D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A1-4DF8-9D3E-ADF89194F6D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BA1-4DF8-9D3E-ADF89194F6D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BA1-4DF8-9D3E-ADF89194F6D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BA1-4DF8-9D3E-ADF89194F6D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BA1-4DF8-9D3E-ADF89194F6D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BA1-4DF8-9D3E-ADF89194F6D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BA1-4DF8-9D3E-ADF89194F6D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BA1-4DF8-9D3E-ADF89194F6D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BA1-4DF8-9D3E-ADF89194F6D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BA1-4DF8-9D3E-ADF89194F6D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BA1-4DF8-9D3E-ADF89194F6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3624872"/>
        <c:axId val="433625264"/>
      </c:barChart>
      <c:catAx>
        <c:axId val="433624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3625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36252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36248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B08-424D-8E03-CB4F7DB77FD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B08-424D-8E03-CB4F7DB77FD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B08-424D-8E03-CB4F7DB77FD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B08-424D-8E03-CB4F7DB77FD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B08-424D-8E03-CB4F7DB77FD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B08-424D-8E03-CB4F7DB77FD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B08-424D-8E03-CB4F7DB77FD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B08-424D-8E03-CB4F7DB77FD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B08-424D-8E03-CB4F7DB77FD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B08-424D-8E03-CB4F7DB77FD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B08-424D-8E03-CB4F7DB77FD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B08-424D-8E03-CB4F7DB77FD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B08-424D-8E03-CB4F7DB77FD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B08-424D-8E03-CB4F7DB77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3626048"/>
        <c:axId val="433626440"/>
      </c:barChart>
      <c:catAx>
        <c:axId val="433626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36264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36264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36260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34A-414C-8466-27E737103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34A-414C-8466-27E7371031D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34A-414C-8466-27E7371031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34A-414C-8466-27E7371031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34A-414C-8466-27E737103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34A-414C-8466-27E7371031D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34A-414C-8466-27E7371031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34A-414C-8466-27E7371031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34A-414C-8466-27E737103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34A-414C-8466-27E7371031D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34A-414C-8466-27E7371031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34A-414C-8466-27E7371031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34A-414C-8466-27E7371031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34A-414C-8466-27E737103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3627224"/>
        <c:axId val="433627616"/>
      </c:barChart>
      <c:catAx>
        <c:axId val="433627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3627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36276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36272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5F3-40E2-9F42-3E5C69236E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5F3-40E2-9F42-3E5C69236EE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5F3-40E2-9F42-3E5C69236E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5F3-40E2-9F42-3E5C69236E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5F3-40E2-9F42-3E5C69236E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5F3-40E2-9F42-3E5C69236EE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5F3-40E2-9F42-3E5C69236E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5F3-40E2-9F42-3E5C69236E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5F3-40E2-9F42-3E5C69236E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5F3-40E2-9F42-3E5C69236EE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5F3-40E2-9F42-3E5C69236E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5F3-40E2-9F42-3E5C69236E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5F3-40E2-9F42-3E5C69236E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5F3-40E2-9F42-3E5C69236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3628400"/>
        <c:axId val="433628792"/>
      </c:barChart>
      <c:catAx>
        <c:axId val="433628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3628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36287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36284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7E6-434B-979D-8465802219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7E6-434B-979D-84658022190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7E6-434B-979D-8465802219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7E6-434B-979D-8465802219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7E6-434B-979D-8465802219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7E6-434B-979D-84658022190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7E6-434B-979D-8465802219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7E6-434B-979D-8465802219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7E6-434B-979D-8465802219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7E6-434B-979D-84658022190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7E6-434B-979D-8465802219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7E6-434B-979D-8465802219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7E6-434B-979D-8465802219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7E6-434B-979D-8465802219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33629576"/>
        <c:axId val="433629968"/>
      </c:barChart>
      <c:catAx>
        <c:axId val="433629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36299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336299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336295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0A3-4EAD-8883-E2E85192BF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0A3-4EAD-8883-E2E85192BFF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0A3-4EAD-8883-E2E85192BFF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0A3-4EAD-8883-E2E85192BFF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0A3-4EAD-8883-E2E85192BF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0A3-4EAD-8883-E2E85192BFF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0A3-4EAD-8883-E2E85192BFF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0A3-4EAD-8883-E2E85192BFF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0A3-4EAD-8883-E2E85192BF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0A3-4EAD-8883-E2E85192BFF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0A3-4EAD-8883-E2E85192BFF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0A3-4EAD-8883-E2E85192BFF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0A3-4EAD-8883-E2E85192BFF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0A3-4EAD-8883-E2E85192B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4775968"/>
        <c:axId val="484776360"/>
      </c:barChart>
      <c:catAx>
        <c:axId val="484775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4776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47763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47759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E5E-423D-8247-42E9AE12E1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E5E-423D-8247-42E9AE12E19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E5E-423D-8247-42E9AE12E1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E5E-423D-8247-42E9AE12E1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E5E-423D-8247-42E9AE12E1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E5E-423D-8247-42E9AE12E19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E5E-423D-8247-42E9AE12E1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E5E-423D-8247-42E9AE12E1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E5E-423D-8247-42E9AE12E1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E5E-423D-8247-42E9AE12E19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E5E-423D-8247-42E9AE12E19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E5E-423D-8247-42E9AE12E19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E5E-423D-8247-42E9AE12E19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E5E-423D-8247-42E9AE12E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4777144"/>
        <c:axId val="484777536"/>
      </c:barChart>
      <c:catAx>
        <c:axId val="484777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4777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47775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47771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AFD-4565-8C60-74AE2A0B5C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AFD-4565-8C60-74AE2A0B5C8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AFD-4565-8C60-74AE2A0B5C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AFD-4565-8C60-74AE2A0B5C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AFD-4565-8C60-74AE2A0B5C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AFD-4565-8C60-74AE2A0B5C8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FD-4565-8C60-74AE2A0B5C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FD-4565-8C60-74AE2A0B5C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AFD-4565-8C60-74AE2A0B5C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AFD-4565-8C60-74AE2A0B5C8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AFD-4565-8C60-74AE2A0B5C8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AFD-4565-8C60-74AE2A0B5C8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AFD-4565-8C60-74AE2A0B5C8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AFD-4565-8C60-74AE2A0B5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4778320"/>
        <c:axId val="484778712"/>
      </c:barChart>
      <c:catAx>
        <c:axId val="484778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47787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47787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47783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722-4EF8-B17B-702CEC4DED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722-4EF8-B17B-702CEC4DEDD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722-4EF8-B17B-702CEC4DED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722-4EF8-B17B-702CEC4DED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722-4EF8-B17B-702CEC4DED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722-4EF8-B17B-702CEC4DEDD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722-4EF8-B17B-702CEC4DED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722-4EF8-B17B-702CEC4DED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722-4EF8-B17B-702CEC4DED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722-4EF8-B17B-702CEC4DEDD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722-4EF8-B17B-702CEC4DED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722-4EF8-B17B-702CEC4DED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722-4EF8-B17B-702CEC4DED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722-4EF8-B17B-702CEC4DED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4779496"/>
        <c:axId val="484779888"/>
      </c:barChart>
      <c:catAx>
        <c:axId val="484779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47798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47798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47794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2EB-4C6C-A56E-99621C4C37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2EB-4C6C-A56E-99621C4C37B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EB-4C6C-A56E-99621C4C37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2EB-4C6C-A56E-99621C4C37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2EB-4C6C-A56E-99621C4C37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2EB-4C6C-A56E-99621C4C37B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2EB-4C6C-A56E-99621C4C37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2EB-4C6C-A56E-99621C4C37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2EB-4C6C-A56E-99621C4C37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2EB-4C6C-A56E-99621C4C37B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2EB-4C6C-A56E-99621C4C37B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2EB-4C6C-A56E-99621C4C37B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2EB-4C6C-A56E-99621C4C37B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2EB-4C6C-A56E-99621C4C3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4780672"/>
        <c:axId val="484781064"/>
      </c:barChart>
      <c:catAx>
        <c:axId val="484780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47810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47810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47806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8DD-415B-A27E-C8C47D3FD3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8DD-415B-A27E-C8C47D3FD3E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8DD-415B-A27E-C8C47D3FD3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8DD-415B-A27E-C8C47D3FD3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8DD-415B-A27E-C8C47D3FD3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8DD-415B-A27E-C8C47D3FD3E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8DD-415B-A27E-C8C47D3FD3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8DD-415B-A27E-C8C47D3FD3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8DD-415B-A27E-C8C47D3FD3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8DD-415B-A27E-C8C47D3FD3E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8DD-415B-A27E-C8C47D3FD3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8DD-415B-A27E-C8C47D3FD3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8DD-415B-A27E-C8C47D3FD3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8DD-415B-A27E-C8C47D3FD3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4781848"/>
        <c:axId val="484782240"/>
      </c:barChart>
      <c:catAx>
        <c:axId val="484781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47822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47822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47818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576-4E21-9AC8-F46E379A95D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576-4E21-9AC8-F46E379A95D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576-4E21-9AC8-F46E379A95D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576-4E21-9AC8-F46E379A95D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576-4E21-9AC8-F46E379A95D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576-4E21-9AC8-F46E379A95D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576-4E21-9AC8-F46E379A95D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576-4E21-9AC8-F46E379A95D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576-4E21-9AC8-F46E379A95D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576-4E21-9AC8-F46E379A95D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576-4E21-9AC8-F46E379A95D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576-4E21-9AC8-F46E379A95D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576-4E21-9AC8-F46E379A95D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576-4E21-9AC8-F46E379A9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4783024"/>
        <c:axId val="484783416"/>
      </c:barChart>
      <c:catAx>
        <c:axId val="484783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47834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47834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47830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261-407B-9DA0-FF4226DD59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261-407B-9DA0-FF4226DD59F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261-407B-9DA0-FF4226DD59F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261-407B-9DA0-FF4226DD59F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261-407B-9DA0-FF4226DD59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261-407B-9DA0-FF4226DD59F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261-407B-9DA0-FF4226DD59F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261-407B-9DA0-FF4226DD59F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261-407B-9DA0-FF4226DD59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261-407B-9DA0-FF4226DD59F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261-407B-9DA0-FF4226DD59F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261-407B-9DA0-FF4226DD59F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261-407B-9DA0-FF4226DD59F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261-407B-9DA0-FF4226DD59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4784200"/>
        <c:axId val="484784592"/>
      </c:barChart>
      <c:catAx>
        <c:axId val="484784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47845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47845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47842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2AD-4E2F-B10B-DAAE60A3A4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2AD-4E2F-B10B-DAAE60A3A44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AD-4E2F-B10B-DAAE60A3A4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2AD-4E2F-B10B-DAAE60A3A4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2AD-4E2F-B10B-DAAE60A3A4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2AD-4E2F-B10B-DAAE60A3A44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2AD-4E2F-B10B-DAAE60A3A4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2AD-4E2F-B10B-DAAE60A3A4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2AD-4E2F-B10B-DAAE60A3A4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2AD-4E2F-B10B-DAAE60A3A44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2AD-4E2F-B10B-DAAE60A3A44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2AD-4E2F-B10B-DAAE60A3A44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2AD-4E2F-B10B-DAAE60A3A44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2AD-4E2F-B10B-DAAE60A3A4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4785376"/>
        <c:axId val="484785768"/>
      </c:barChart>
      <c:catAx>
        <c:axId val="484785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47857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847857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4847853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358468</xdr:colOff>
      <xdr:row>0</xdr:row>
      <xdr:rowOff>79068</xdr:rowOff>
    </xdr:from>
    <xdr:to>
      <xdr:col>3</xdr:col>
      <xdr:colOff>140008</xdr:colOff>
      <xdr:row>2</xdr:row>
      <xdr:rowOff>272436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8468" y="79068"/>
          <a:ext cx="979846" cy="9205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430161</xdr:colOff>
      <xdr:row>12</xdr:row>
      <xdr:rowOff>112661</xdr:rowOff>
    </xdr:from>
    <xdr:to>
      <xdr:col>17</xdr:col>
      <xdr:colOff>530331</xdr:colOff>
      <xdr:row>15</xdr:row>
      <xdr:rowOff>90776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9113" y="3502742"/>
          <a:ext cx="9809524" cy="561905"/>
        </a:xfrm>
        <a:prstGeom prst="rect">
          <a:avLst/>
        </a:prstGeom>
      </xdr:spPr>
    </xdr:pic>
    <xdr:clientData/>
  </xdr:twoCellAnchor>
  <xdr:twoCellAnchor>
    <xdr:from>
      <xdr:col>3</xdr:col>
      <xdr:colOff>235564</xdr:colOff>
      <xdr:row>0</xdr:row>
      <xdr:rowOff>143387</xdr:rowOff>
    </xdr:from>
    <xdr:to>
      <xdr:col>4</xdr:col>
      <xdr:colOff>513263</xdr:colOff>
      <xdr:row>2</xdr:row>
      <xdr:rowOff>223295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433870" y="143387"/>
          <a:ext cx="728345" cy="80708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317499</xdr:rowOff>
    </xdr:from>
    <xdr:to>
      <xdr:col>0</xdr:col>
      <xdr:colOff>897467</xdr:colOff>
      <xdr:row>4</xdr:row>
      <xdr:rowOff>200025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56166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W277"/>
  <sheetViews>
    <sheetView showGridLines="0" zoomScale="85" zoomScaleNormal="100" workbookViewId="0">
      <selection activeCell="D30" sqref="D30"/>
    </sheetView>
  </sheetViews>
  <sheetFormatPr baseColWidth="10" defaultRowHeight="14.25" customHeight="1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45"/>
      <c r="B1" s="46" t="s">
        <v>15</v>
      </c>
      <c r="C1" s="46"/>
      <c r="D1" s="46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8"/>
      <c r="V1" s="2"/>
      <c r="W1" s="2"/>
    </row>
    <row r="2" spans="1:23" ht="17.45" customHeight="1">
      <c r="A2" s="49"/>
      <c r="B2" s="99"/>
      <c r="C2" s="100"/>
      <c r="D2" s="100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2"/>
      <c r="R2" s="47"/>
      <c r="S2" s="47"/>
      <c r="T2" s="47"/>
      <c r="U2" s="48"/>
      <c r="V2" s="2"/>
      <c r="W2" s="2"/>
    </row>
    <row r="3" spans="1:23" ht="17.45" customHeight="1">
      <c r="A3" s="49"/>
      <c r="B3" s="103"/>
      <c r="C3" s="66"/>
      <c r="D3" s="66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104"/>
      <c r="R3" s="47"/>
      <c r="S3" s="47"/>
      <c r="T3" s="47"/>
      <c r="U3" s="48"/>
      <c r="V3" s="2"/>
      <c r="W3" s="2"/>
    </row>
    <row r="4" spans="1:23" ht="10.5" customHeight="1">
      <c r="A4" s="49"/>
      <c r="B4" s="103"/>
      <c r="C4" s="67"/>
      <c r="D4" s="68"/>
      <c r="E4" s="69"/>
      <c r="F4" s="69"/>
      <c r="G4" s="69"/>
      <c r="H4" s="69"/>
      <c r="I4" s="69"/>
      <c r="J4" s="69"/>
      <c r="K4" s="69"/>
      <c r="L4" s="69"/>
      <c r="M4" s="69"/>
      <c r="N4" s="70"/>
      <c r="O4" s="65"/>
      <c r="P4" s="65"/>
      <c r="Q4" s="104"/>
      <c r="R4" s="47"/>
      <c r="S4" s="47"/>
      <c r="T4" s="47"/>
      <c r="U4" s="48"/>
      <c r="V4" s="2"/>
      <c r="W4" s="2"/>
    </row>
    <row r="5" spans="1:23" ht="32.25" customHeight="1">
      <c r="A5" s="50"/>
      <c r="B5" s="103"/>
      <c r="C5" s="71"/>
      <c r="D5" s="71"/>
      <c r="E5" s="161" t="s">
        <v>72</v>
      </c>
      <c r="F5" s="161"/>
      <c r="G5" s="161"/>
      <c r="H5" s="161"/>
      <c r="I5" s="161"/>
      <c r="J5" s="161"/>
      <c r="K5" s="161"/>
      <c r="L5" s="161"/>
      <c r="M5" s="161"/>
      <c r="N5" s="72"/>
      <c r="O5" s="65"/>
      <c r="P5" s="65"/>
      <c r="Q5" s="104"/>
      <c r="R5" s="47"/>
      <c r="S5" s="47"/>
      <c r="T5" s="47"/>
      <c r="U5" s="48"/>
      <c r="V5" s="2"/>
      <c r="W5" s="2"/>
    </row>
    <row r="6" spans="1:23" ht="17.45" customHeight="1">
      <c r="A6" s="49"/>
      <c r="B6" s="103"/>
      <c r="C6" s="73"/>
      <c r="D6" s="73"/>
      <c r="E6" s="74"/>
      <c r="F6" s="75"/>
      <c r="G6" s="75"/>
      <c r="H6" s="75"/>
      <c r="I6" s="75"/>
      <c r="J6" s="75"/>
      <c r="K6" s="75"/>
      <c r="L6" s="75"/>
      <c r="M6" s="75"/>
      <c r="N6" s="76"/>
      <c r="O6" s="77"/>
      <c r="P6" s="77"/>
      <c r="Q6" s="105"/>
      <c r="R6" s="47"/>
      <c r="S6" s="47"/>
      <c r="T6" s="47"/>
      <c r="U6" s="48"/>
      <c r="V6" s="2"/>
      <c r="W6" s="2"/>
    </row>
    <row r="7" spans="1:23" ht="17.45" customHeight="1">
      <c r="A7" s="49"/>
      <c r="B7" s="106"/>
      <c r="C7" s="78"/>
      <c r="D7" s="78"/>
      <c r="E7" s="79"/>
      <c r="F7" s="79"/>
      <c r="G7" s="79"/>
      <c r="H7" s="79"/>
      <c r="I7" s="79"/>
      <c r="J7" s="79"/>
      <c r="K7" s="79"/>
      <c r="L7" s="79"/>
      <c r="M7" s="65"/>
      <c r="N7" s="77"/>
      <c r="O7" s="77"/>
      <c r="P7" s="77"/>
      <c r="Q7" s="105"/>
      <c r="R7" s="47"/>
      <c r="S7" s="47"/>
      <c r="T7" s="47"/>
      <c r="U7" s="48"/>
      <c r="V7" s="2"/>
      <c r="W7" s="2"/>
    </row>
    <row r="8" spans="1:23" ht="17.45" customHeight="1">
      <c r="A8" s="49"/>
      <c r="B8" s="107"/>
      <c r="C8" s="80"/>
      <c r="D8" s="80"/>
      <c r="E8" s="81"/>
      <c r="F8" s="82"/>
      <c r="G8" s="82"/>
      <c r="H8" s="82"/>
      <c r="I8" s="83"/>
      <c r="J8" s="83"/>
      <c r="K8" s="83"/>
      <c r="L8" s="84"/>
      <c r="M8" s="65"/>
      <c r="N8" s="65"/>
      <c r="O8" s="77"/>
      <c r="P8" s="77"/>
      <c r="Q8" s="105"/>
      <c r="R8" s="47"/>
      <c r="S8" s="47"/>
      <c r="T8" s="47"/>
      <c r="U8" s="48"/>
      <c r="V8" s="2"/>
      <c r="W8" s="2"/>
    </row>
    <row r="9" spans="1:23" ht="17.45" customHeight="1">
      <c r="A9" s="49"/>
      <c r="B9" s="107"/>
      <c r="C9" s="80"/>
      <c r="D9" s="85"/>
      <c r="E9" s="83"/>
      <c r="F9" s="83"/>
      <c r="G9" s="83"/>
      <c r="H9" s="83"/>
      <c r="I9" s="83"/>
      <c r="J9" s="83"/>
      <c r="K9" s="83"/>
      <c r="L9" s="84"/>
      <c r="M9" s="65"/>
      <c r="N9" s="65"/>
      <c r="O9" s="77"/>
      <c r="P9" s="65"/>
      <c r="Q9" s="104"/>
      <c r="R9" s="47"/>
      <c r="S9" s="47"/>
      <c r="T9" s="47"/>
      <c r="U9" s="48"/>
      <c r="V9" s="2"/>
      <c r="W9" s="2"/>
    </row>
    <row r="10" spans="1:23" ht="17.45" customHeight="1">
      <c r="A10" s="49"/>
      <c r="B10" s="107"/>
      <c r="C10" s="80"/>
      <c r="D10" s="86"/>
      <c r="E10" s="87"/>
      <c r="F10" s="83"/>
      <c r="G10" s="83"/>
      <c r="H10" s="83"/>
      <c r="I10" s="83"/>
      <c r="J10" s="83"/>
      <c r="K10" s="83"/>
      <c r="L10" s="84"/>
      <c r="M10" s="65"/>
      <c r="N10" s="65"/>
      <c r="O10" s="77"/>
      <c r="P10" s="65"/>
      <c r="Q10" s="104"/>
      <c r="R10" s="47"/>
      <c r="S10" s="47"/>
      <c r="T10" s="47"/>
      <c r="U10" s="48"/>
      <c r="V10" s="2"/>
      <c r="W10" s="2"/>
    </row>
    <row r="11" spans="1:23" ht="12" customHeight="1">
      <c r="A11" s="49"/>
      <c r="B11" s="107"/>
      <c r="C11" s="80"/>
      <c r="D11" s="88"/>
      <c r="E11" s="83"/>
      <c r="F11" s="83"/>
      <c r="G11" s="83"/>
      <c r="H11" s="83"/>
      <c r="I11" s="83"/>
      <c r="J11" s="83"/>
      <c r="K11" s="83"/>
      <c r="L11" s="89"/>
      <c r="M11" s="89"/>
      <c r="N11" s="89"/>
      <c r="O11" s="90"/>
      <c r="P11" s="65"/>
      <c r="Q11" s="104"/>
      <c r="R11" s="47"/>
      <c r="S11" s="47"/>
      <c r="T11" s="47"/>
      <c r="U11" s="48"/>
      <c r="V11" s="2"/>
      <c r="W11" s="2"/>
    </row>
    <row r="12" spans="1:23" ht="17.45" customHeight="1">
      <c r="A12" s="49"/>
      <c r="B12" s="107"/>
      <c r="C12" s="80"/>
      <c r="D12" s="80"/>
      <c r="E12" s="83"/>
      <c r="F12" s="83"/>
      <c r="G12" s="83"/>
      <c r="H12" s="83"/>
      <c r="I12" s="83"/>
      <c r="J12" s="83"/>
      <c r="K12" s="83"/>
      <c r="L12" s="91"/>
      <c r="M12" s="89"/>
      <c r="N12" s="89"/>
      <c r="O12" s="90"/>
      <c r="P12" s="92"/>
      <c r="Q12" s="104"/>
      <c r="R12" s="47"/>
      <c r="S12" s="47"/>
      <c r="T12" s="47"/>
      <c r="U12" s="48"/>
      <c r="V12" s="2"/>
      <c r="W12" s="2"/>
    </row>
    <row r="13" spans="1:23" ht="17.25" customHeight="1">
      <c r="A13" s="49"/>
      <c r="B13" s="108"/>
      <c r="C13" s="80"/>
      <c r="D13" s="80"/>
      <c r="E13" s="93"/>
      <c r="F13" s="83"/>
      <c r="G13" s="83"/>
      <c r="H13" s="83"/>
      <c r="I13" s="83"/>
      <c r="J13" s="83"/>
      <c r="K13" s="83"/>
      <c r="L13" s="91"/>
      <c r="M13" s="89"/>
      <c r="N13" s="89"/>
      <c r="O13" s="90"/>
      <c r="P13" s="92"/>
      <c r="Q13" s="104"/>
      <c r="R13" s="47"/>
      <c r="S13" s="47"/>
      <c r="T13" s="47"/>
      <c r="U13" s="48"/>
      <c r="V13" s="2"/>
      <c r="W13" s="2"/>
    </row>
    <row r="14" spans="1:23" ht="17.25" customHeight="1">
      <c r="A14" s="49"/>
      <c r="B14" s="108"/>
      <c r="C14" s="94"/>
      <c r="D14" s="80"/>
      <c r="E14" s="83"/>
      <c r="F14" s="83"/>
      <c r="G14" s="83"/>
      <c r="H14" s="83"/>
      <c r="I14" s="83"/>
      <c r="J14" s="83"/>
      <c r="K14" s="83"/>
      <c r="L14" s="91"/>
      <c r="M14" s="89"/>
      <c r="N14" s="89"/>
      <c r="O14" s="90"/>
      <c r="P14" s="92"/>
      <c r="Q14" s="104"/>
      <c r="R14" s="47"/>
      <c r="S14" s="47"/>
      <c r="T14" s="47"/>
      <c r="U14" s="48"/>
      <c r="V14" s="2"/>
      <c r="W14" s="2"/>
    </row>
    <row r="15" spans="1:23" ht="17.45" customHeight="1">
      <c r="A15" s="53"/>
      <c r="B15" s="108"/>
      <c r="C15" s="80"/>
      <c r="D15" s="80"/>
      <c r="E15" s="83"/>
      <c r="F15" s="83"/>
      <c r="G15" s="83"/>
      <c r="H15" s="83"/>
      <c r="I15" s="83"/>
      <c r="J15" s="83"/>
      <c r="K15" s="83"/>
      <c r="L15" s="91"/>
      <c r="M15" s="89"/>
      <c r="N15" s="89"/>
      <c r="O15" s="90"/>
      <c r="P15" s="95"/>
      <c r="Q15" s="109"/>
      <c r="R15" s="47"/>
      <c r="S15" s="47"/>
      <c r="T15" s="47"/>
      <c r="U15" s="48"/>
      <c r="V15" s="2"/>
      <c r="W15" s="2"/>
    </row>
    <row r="16" spans="1:23" ht="17.45" customHeight="1">
      <c r="A16" s="53"/>
      <c r="B16" s="107"/>
      <c r="C16" s="80"/>
      <c r="D16" s="80"/>
      <c r="E16" s="96"/>
      <c r="F16" s="83"/>
      <c r="G16" s="83"/>
      <c r="H16" s="83"/>
      <c r="I16" s="83"/>
      <c r="J16" s="83"/>
      <c r="K16" s="83"/>
      <c r="L16" s="91"/>
      <c r="M16" s="89"/>
      <c r="N16" s="89"/>
      <c r="O16" s="90"/>
      <c r="P16" s="95"/>
      <c r="Q16" s="109"/>
      <c r="R16" s="47"/>
      <c r="S16" s="47"/>
      <c r="T16" s="47"/>
      <c r="U16" s="48"/>
      <c r="V16" s="2"/>
      <c r="W16" s="2"/>
    </row>
    <row r="17" spans="1:23" ht="17.45" customHeight="1">
      <c r="A17" s="53"/>
      <c r="B17" s="108"/>
      <c r="C17" s="80"/>
      <c r="D17" s="80"/>
      <c r="E17" s="83"/>
      <c r="F17" s="83"/>
      <c r="G17" s="83"/>
      <c r="H17" s="83"/>
      <c r="I17" s="83"/>
      <c r="J17" s="83"/>
      <c r="K17" s="83"/>
      <c r="L17" s="91"/>
      <c r="M17" s="89"/>
      <c r="N17" s="89"/>
      <c r="O17" s="90"/>
      <c r="P17" s="95"/>
      <c r="Q17" s="104"/>
      <c r="R17" s="47"/>
      <c r="S17" s="47"/>
      <c r="T17" s="47"/>
      <c r="U17" s="48"/>
      <c r="V17" s="2"/>
      <c r="W17" s="2"/>
    </row>
    <row r="18" spans="1:23" ht="17.25" customHeight="1">
      <c r="A18" s="53"/>
      <c r="B18" s="108"/>
      <c r="C18" s="80"/>
      <c r="D18" s="80"/>
      <c r="E18" s="83"/>
      <c r="F18" s="83"/>
      <c r="G18" s="83"/>
      <c r="H18" s="83"/>
      <c r="I18" s="83"/>
      <c r="J18" s="83"/>
      <c r="K18" s="83"/>
      <c r="L18" s="91"/>
      <c r="M18" s="89"/>
      <c r="N18" s="89"/>
      <c r="O18" s="90"/>
      <c r="P18" s="95"/>
      <c r="Q18" s="104"/>
      <c r="R18" s="47"/>
      <c r="S18" s="47"/>
      <c r="T18" s="47"/>
      <c r="U18" s="48"/>
      <c r="V18" s="2"/>
      <c r="W18" s="2"/>
    </row>
    <row r="19" spans="1:23" ht="17.45" customHeight="1">
      <c r="A19" s="53"/>
      <c r="B19" s="107"/>
      <c r="C19" s="80"/>
      <c r="D19" s="80"/>
      <c r="E19" s="83"/>
      <c r="F19" s="83"/>
      <c r="G19" s="83"/>
      <c r="H19" s="83"/>
      <c r="I19" s="83"/>
      <c r="J19" s="83"/>
      <c r="K19" s="83"/>
      <c r="L19" s="97"/>
      <c r="M19" s="89"/>
      <c r="N19" s="89"/>
      <c r="O19" s="90"/>
      <c r="P19" s="95"/>
      <c r="Q19" s="109"/>
      <c r="R19" s="47"/>
      <c r="S19" s="47"/>
      <c r="T19" s="47"/>
      <c r="U19" s="48"/>
      <c r="V19" s="2"/>
      <c r="W19" s="2"/>
    </row>
    <row r="20" spans="1:23" ht="17.45" customHeight="1">
      <c r="A20" s="53"/>
      <c r="B20" s="107"/>
      <c r="C20" s="80"/>
      <c r="D20" s="80"/>
      <c r="E20" s="83"/>
      <c r="F20" s="83"/>
      <c r="G20" s="83"/>
      <c r="H20" s="83"/>
      <c r="I20" s="83"/>
      <c r="J20" s="83"/>
      <c r="K20" s="83"/>
      <c r="L20" s="97"/>
      <c r="M20" s="89"/>
      <c r="N20" s="89"/>
      <c r="O20" s="90"/>
      <c r="P20" s="98"/>
      <c r="Q20" s="110"/>
      <c r="R20" s="47"/>
      <c r="S20" s="47"/>
      <c r="T20" s="47"/>
      <c r="U20" s="48"/>
      <c r="V20" s="2"/>
      <c r="W20" s="2"/>
    </row>
    <row r="21" spans="1:23" ht="17.45" customHeight="1">
      <c r="A21" s="53"/>
      <c r="B21" s="111"/>
      <c r="C21" s="112"/>
      <c r="D21" s="112"/>
      <c r="E21" s="113"/>
      <c r="F21" s="113"/>
      <c r="G21" s="113"/>
      <c r="H21" s="113"/>
      <c r="I21" s="113"/>
      <c r="J21" s="113"/>
      <c r="K21" s="113"/>
      <c r="L21" s="114"/>
      <c r="M21" s="115"/>
      <c r="N21" s="115"/>
      <c r="O21" s="116"/>
      <c r="P21" s="117"/>
      <c r="Q21" s="118"/>
      <c r="R21" s="47"/>
      <c r="S21" s="47"/>
      <c r="T21" s="47"/>
      <c r="U21" s="48"/>
      <c r="V21" s="2"/>
      <c r="W21" s="2"/>
    </row>
    <row r="22" spans="1:23" ht="17.45" customHeight="1">
      <c r="A22" s="53"/>
      <c r="B22" s="58"/>
      <c r="C22" s="59"/>
      <c r="D22" s="59"/>
      <c r="E22" s="60"/>
      <c r="F22" s="51"/>
      <c r="G22" s="51"/>
      <c r="H22" s="51"/>
      <c r="I22" s="51"/>
      <c r="J22" s="51"/>
      <c r="K22" s="51"/>
      <c r="L22" s="54"/>
      <c r="M22" s="52"/>
      <c r="N22" s="52"/>
      <c r="O22" s="57"/>
      <c r="P22" s="55"/>
      <c r="Q22" s="56"/>
      <c r="R22" s="47"/>
      <c r="S22" s="47"/>
      <c r="T22" s="47"/>
      <c r="U22" s="48"/>
      <c r="V22" s="2"/>
      <c r="W22" s="2"/>
    </row>
    <row r="23" spans="1:23" ht="15" customHeight="1">
      <c r="A23" s="61"/>
      <c r="B23" s="62"/>
      <c r="C23" s="63"/>
      <c r="D23" s="63"/>
      <c r="E23" s="63"/>
      <c r="F23" s="63"/>
      <c r="G23" s="63"/>
      <c r="H23" s="63"/>
      <c r="I23" s="63"/>
      <c r="J23" s="63"/>
      <c r="K23" s="63"/>
      <c r="L23" s="63"/>
      <c r="M23" s="63"/>
      <c r="N23" s="63"/>
      <c r="O23" s="63"/>
      <c r="P23" s="63"/>
      <c r="Q23" s="62"/>
      <c r="R23" s="61"/>
      <c r="S23" s="62"/>
      <c r="T23" s="63"/>
      <c r="U23" s="62"/>
      <c r="V23" s="2"/>
      <c r="W23" s="2"/>
    </row>
    <row r="24" spans="1:23" ht="15" customHeight="1">
      <c r="A24" s="61"/>
      <c r="B24" s="62"/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3"/>
      <c r="Q24" s="62"/>
      <c r="R24" s="61"/>
      <c r="S24" s="62"/>
      <c r="T24" s="63"/>
      <c r="U24" s="62"/>
      <c r="V24" s="2"/>
      <c r="W24" s="2"/>
    </row>
    <row r="25" spans="1:23" ht="15" customHeight="1">
      <c r="A25" s="61"/>
      <c r="B25" s="62"/>
      <c r="C25" s="63"/>
      <c r="D25" s="63"/>
      <c r="E25" s="63"/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2"/>
      <c r="R25" s="61"/>
      <c r="S25" s="62"/>
      <c r="T25" s="63"/>
      <c r="U25" s="62"/>
      <c r="V25" s="2"/>
      <c r="W25" s="2"/>
    </row>
    <row r="26" spans="1:23">
      <c r="A26" s="61"/>
      <c r="B26" s="62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3"/>
      <c r="P26" s="63"/>
      <c r="Q26" s="62"/>
      <c r="R26" s="61"/>
      <c r="S26" s="62"/>
      <c r="T26" s="63"/>
      <c r="U26" s="64"/>
    </row>
    <row r="27" spans="1:23">
      <c r="A27" s="61"/>
      <c r="B27" s="62"/>
      <c r="C27" s="63"/>
      <c r="D27" s="63"/>
      <c r="E27" s="63"/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2"/>
      <c r="R27" s="61"/>
      <c r="S27" s="62"/>
      <c r="T27" s="63"/>
      <c r="U27" s="64"/>
    </row>
    <row r="28" spans="1:23">
      <c r="A28" s="4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5"/>
      <c r="R28" s="4"/>
      <c r="S28" s="5"/>
      <c r="T28" s="6"/>
    </row>
    <row r="71" spans="2:2">
      <c r="B71" s="8" t="s">
        <v>26</v>
      </c>
    </row>
    <row r="72" spans="2:2">
      <c r="B72" s="9" t="s">
        <v>28</v>
      </c>
    </row>
    <row r="73" spans="2:2">
      <c r="B73" s="10" t="s">
        <v>32</v>
      </c>
    </row>
    <row r="74" spans="2:2">
      <c r="B74" s="11"/>
    </row>
    <row r="76" spans="2:2">
      <c r="B76" s="8" t="s">
        <v>26</v>
      </c>
    </row>
    <row r="77" spans="2:2">
      <c r="B77" s="9" t="s">
        <v>29</v>
      </c>
    </row>
    <row r="78" spans="2:2">
      <c r="B78" s="10" t="s">
        <v>33</v>
      </c>
    </row>
    <row r="79" spans="2:2">
      <c r="B79" s="11"/>
    </row>
    <row r="81" spans="2:2">
      <c r="B81" s="8" t="s">
        <v>34</v>
      </c>
    </row>
    <row r="82" spans="2:2">
      <c r="B82" s="9" t="s">
        <v>22</v>
      </c>
    </row>
    <row r="83" spans="2:2">
      <c r="B83" s="10" t="s">
        <v>30</v>
      </c>
    </row>
    <row r="84" spans="2:2">
      <c r="B84" s="10" t="s">
        <v>35</v>
      </c>
    </row>
    <row r="85" spans="2:2">
      <c r="B85" s="10" t="s">
        <v>36</v>
      </c>
    </row>
    <row r="86" spans="2:2">
      <c r="B86" s="10" t="s">
        <v>37</v>
      </c>
    </row>
    <row r="87" spans="2:2">
      <c r="B87" s="11" t="s">
        <v>38</v>
      </c>
    </row>
    <row r="88" spans="2:2">
      <c r="B88" s="1"/>
    </row>
    <row r="89" spans="2:2">
      <c r="B89" s="8" t="s">
        <v>39</v>
      </c>
    </row>
    <row r="90" spans="2:2">
      <c r="B90" s="12">
        <v>23</v>
      </c>
    </row>
    <row r="91" spans="2:2">
      <c r="B91" s="13">
        <v>27</v>
      </c>
    </row>
    <row r="92" spans="2:2">
      <c r="B92" s="13">
        <v>31</v>
      </c>
    </row>
    <row r="93" spans="2:2">
      <c r="B93" s="13">
        <v>41</v>
      </c>
    </row>
    <row r="94" spans="2:2">
      <c r="B94" s="14" t="s">
        <v>40</v>
      </c>
    </row>
    <row r="95" spans="2:2">
      <c r="B95" s="14" t="s">
        <v>41</v>
      </c>
    </row>
    <row r="96" spans="2:2">
      <c r="B96" s="14" t="s">
        <v>31</v>
      </c>
    </row>
    <row r="97" spans="2:2">
      <c r="B97" s="15" t="s">
        <v>42</v>
      </c>
    </row>
    <row r="98" spans="2:2">
      <c r="B98" s="1"/>
    </row>
    <row r="99" spans="2:2">
      <c r="B99" s="8" t="s">
        <v>27</v>
      </c>
    </row>
    <row r="100" spans="2:2">
      <c r="B100" s="16">
        <v>190</v>
      </c>
    </row>
    <row r="101" spans="2:2">
      <c r="B101" s="17">
        <v>217</v>
      </c>
    </row>
    <row r="102" spans="2:2">
      <c r="B102" s="17">
        <v>250</v>
      </c>
    </row>
    <row r="103" spans="2:2">
      <c r="B103" s="17">
        <v>254</v>
      </c>
    </row>
    <row r="104" spans="2:2">
      <c r="B104" s="17">
        <v>271</v>
      </c>
    </row>
    <row r="105" spans="2:2">
      <c r="B105" s="17">
        <v>304</v>
      </c>
    </row>
    <row r="106" spans="2:2">
      <c r="B106" s="17">
        <v>317</v>
      </c>
    </row>
    <row r="107" spans="2:2">
      <c r="B107" s="17">
        <v>362</v>
      </c>
    </row>
    <row r="108" spans="2:2">
      <c r="B108" s="18"/>
    </row>
    <row r="109" spans="2:2">
      <c r="B109" s="1"/>
    </row>
    <row r="110" spans="2:2">
      <c r="B110" s="8" t="s">
        <v>43</v>
      </c>
    </row>
    <row r="111" spans="2:2">
      <c r="B111" s="9" t="s">
        <v>44</v>
      </c>
    </row>
    <row r="112" spans="2:2">
      <c r="B112" s="10" t="s">
        <v>45</v>
      </c>
    </row>
    <row r="113" spans="2:2">
      <c r="B113" s="10" t="s">
        <v>46</v>
      </c>
    </row>
    <row r="114" spans="2:2">
      <c r="B114" s="11" t="s">
        <v>16</v>
      </c>
    </row>
    <row r="250" spans="6:7">
      <c r="G250" t="s">
        <v>47</v>
      </c>
    </row>
    <row r="252" spans="6:7">
      <c r="F252">
        <v>0</v>
      </c>
      <c r="G252" t="s">
        <v>48</v>
      </c>
    </row>
    <row r="256" spans="6:7">
      <c r="F256">
        <v>0</v>
      </c>
    </row>
    <row r="262" spans="5:6">
      <c r="F262">
        <v>0</v>
      </c>
    </row>
    <row r="270" spans="5:6">
      <c r="E270" t="s">
        <v>49</v>
      </c>
    </row>
    <row r="271" spans="5:6">
      <c r="E271" t="s">
        <v>50</v>
      </c>
    </row>
    <row r="272" spans="5:6">
      <c r="E272" t="s">
        <v>50</v>
      </c>
    </row>
    <row r="274" spans="5:5">
      <c r="E274" t="s">
        <v>51</v>
      </c>
    </row>
    <row r="275" spans="5:5">
      <c r="E275" t="s">
        <v>52</v>
      </c>
    </row>
    <row r="276" spans="5:5">
      <c r="E276" t="s">
        <v>53</v>
      </c>
    </row>
    <row r="277" spans="5:5">
      <c r="E277" t="s">
        <v>50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AH16"/>
  <sheetViews>
    <sheetView showGridLines="0" tabSelected="1" zoomScale="93" zoomScaleNormal="100" workbookViewId="0">
      <pane xSplit="13" ySplit="4" topLeftCell="U5" activePane="bottomRight" state="frozen"/>
      <selection pane="topRight" activeCell="G1" sqref="G1"/>
      <selection pane="bottomLeft" activeCell="A6" sqref="A6"/>
      <selection pane="bottomRight" activeCell="A4" sqref="A4:AH8"/>
    </sheetView>
  </sheetViews>
  <sheetFormatPr baseColWidth="10" defaultRowHeight="14.25" customHeight="1"/>
  <cols>
    <col min="1" max="1" width="5.375" customWidth="1"/>
    <col min="2" max="2" width="6.25" customWidth="1"/>
    <col min="3" max="3" width="4" customWidth="1"/>
    <col min="4" max="4" width="5.875" customWidth="1"/>
    <col min="5" max="5" width="10.5" customWidth="1"/>
    <col min="6" max="6" width="13.375" customWidth="1"/>
    <col min="7" max="7" width="10.5" bestFit="1" customWidth="1"/>
    <col min="8" max="9" width="9.75" customWidth="1"/>
    <col min="10" max="10" width="8.875" customWidth="1"/>
    <col min="11" max="11" width="9.625" customWidth="1"/>
    <col min="12" max="12" width="8.875" customWidth="1"/>
    <col min="13" max="13" width="10.375" customWidth="1"/>
    <col min="14" max="14" width="9.5" customWidth="1"/>
    <col min="15" max="15" width="10.25" customWidth="1"/>
    <col min="16" max="17" width="7.875" customWidth="1"/>
    <col min="18" max="18" width="8.875" customWidth="1"/>
    <col min="19" max="19" width="8.75" customWidth="1"/>
    <col min="20" max="20" width="7.625" customWidth="1"/>
    <col min="21" max="21" width="7.5" customWidth="1"/>
    <col min="22" max="22" width="7.25" customWidth="1"/>
    <col min="23" max="23" width="8.25" customWidth="1"/>
    <col min="28" max="28" width="15.125" customWidth="1"/>
  </cols>
  <sheetData>
    <row r="1" spans="1:34" ht="30" customHeight="1" thickBot="1">
      <c r="E1" s="140" t="s">
        <v>0</v>
      </c>
      <c r="F1" s="162" t="s">
        <v>19</v>
      </c>
      <c r="G1" s="162"/>
      <c r="H1" s="162"/>
      <c r="I1" s="162"/>
      <c r="J1" s="162"/>
      <c r="K1" s="162"/>
      <c r="L1" s="162"/>
      <c r="M1" s="162"/>
      <c r="N1" s="7"/>
      <c r="O1" s="173"/>
      <c r="P1" s="173"/>
      <c r="Q1" s="173"/>
      <c r="R1" s="173"/>
      <c r="S1" s="173"/>
      <c r="T1" s="173"/>
      <c r="U1" s="173"/>
      <c r="V1" s="173"/>
      <c r="W1" s="173"/>
      <c r="X1" s="3"/>
      <c r="Y1" s="3"/>
      <c r="Z1" s="3"/>
      <c r="AA1" s="3"/>
      <c r="AB1" s="3"/>
      <c r="AC1" s="3"/>
      <c r="AD1" s="3"/>
      <c r="AE1" s="3"/>
      <c r="AF1" s="3"/>
      <c r="AG1" s="3"/>
      <c r="AH1" s="3">
        <f>34*155/60</f>
        <v>87.833333333333329</v>
      </c>
    </row>
    <row r="2" spans="1:34" ht="27.75" thickBot="1">
      <c r="E2" s="141"/>
      <c r="F2" s="193" t="s">
        <v>20</v>
      </c>
      <c r="G2" s="193"/>
      <c r="H2" s="193"/>
      <c r="I2" s="193"/>
      <c r="J2" s="193"/>
      <c r="K2" s="193"/>
      <c r="L2" s="193"/>
      <c r="M2" s="193"/>
      <c r="N2" s="174" t="s">
        <v>102</v>
      </c>
      <c r="O2" s="175"/>
      <c r="P2" s="177" t="s">
        <v>103</v>
      </c>
      <c r="Q2" s="177"/>
      <c r="R2" s="177"/>
      <c r="S2" s="177"/>
      <c r="T2" s="177"/>
      <c r="U2" s="186"/>
      <c r="V2" s="176" t="s">
        <v>102</v>
      </c>
      <c r="W2" s="177"/>
      <c r="X2" s="167" t="s">
        <v>85</v>
      </c>
      <c r="Y2" s="168"/>
      <c r="Z2" s="168"/>
      <c r="AA2" s="168"/>
      <c r="AB2" s="166" t="s">
        <v>84</v>
      </c>
      <c r="AC2" s="166"/>
      <c r="AD2" s="169" t="s">
        <v>86</v>
      </c>
      <c r="AE2" s="169"/>
      <c r="AF2" s="169"/>
      <c r="AG2" s="169"/>
      <c r="AH2" s="170"/>
    </row>
    <row r="3" spans="1:34" ht="26.25">
      <c r="E3" s="142"/>
      <c r="F3" s="163" t="s">
        <v>101</v>
      </c>
      <c r="G3" s="163"/>
      <c r="H3" s="163"/>
      <c r="I3" s="163"/>
      <c r="J3" s="163"/>
      <c r="K3" s="163"/>
      <c r="L3" s="163"/>
      <c r="M3" s="164"/>
      <c r="N3" s="180" t="s">
        <v>104</v>
      </c>
      <c r="O3" s="181"/>
      <c r="P3" s="182" t="s">
        <v>71</v>
      </c>
      <c r="Q3" s="183"/>
      <c r="R3" s="182" t="s">
        <v>94</v>
      </c>
      <c r="S3" s="183"/>
      <c r="T3" s="184" t="s">
        <v>93</v>
      </c>
      <c r="U3" s="185"/>
      <c r="V3" s="178" t="s">
        <v>92</v>
      </c>
      <c r="W3" s="179"/>
      <c r="X3" s="171" t="s">
        <v>81</v>
      </c>
      <c r="Y3" s="172"/>
      <c r="Z3" s="143" t="s">
        <v>82</v>
      </c>
      <c r="AA3" s="143" t="s">
        <v>76</v>
      </c>
      <c r="AB3" s="144" t="s">
        <v>78</v>
      </c>
      <c r="AC3" s="144" t="s">
        <v>80</v>
      </c>
      <c r="AD3" s="165" t="s">
        <v>83</v>
      </c>
      <c r="AE3" s="165"/>
      <c r="AF3" s="165" t="s">
        <v>82</v>
      </c>
      <c r="AG3" s="165"/>
      <c r="AH3" s="145" t="s">
        <v>76</v>
      </c>
    </row>
    <row r="4" spans="1:34" ht="60">
      <c r="A4" s="146" t="s">
        <v>26</v>
      </c>
      <c r="B4" s="146" t="s">
        <v>105</v>
      </c>
      <c r="C4" s="146" t="s">
        <v>106</v>
      </c>
      <c r="D4" s="146" t="s">
        <v>21</v>
      </c>
      <c r="E4" s="146" t="s">
        <v>2</v>
      </c>
      <c r="F4" s="146" t="s">
        <v>107</v>
      </c>
      <c r="G4" s="146" t="s">
        <v>6</v>
      </c>
      <c r="H4" s="146" t="s">
        <v>108</v>
      </c>
      <c r="I4" s="146" t="s">
        <v>62</v>
      </c>
      <c r="J4" s="146" t="s">
        <v>96</v>
      </c>
      <c r="K4" s="146" t="s">
        <v>23</v>
      </c>
      <c r="L4" s="146" t="s">
        <v>24</v>
      </c>
      <c r="M4" s="146" t="s">
        <v>109</v>
      </c>
      <c r="N4" s="147" t="s">
        <v>18</v>
      </c>
      <c r="O4" s="147" t="s">
        <v>3</v>
      </c>
      <c r="P4" s="147" t="s">
        <v>18</v>
      </c>
      <c r="Q4" s="147" t="s">
        <v>3</v>
      </c>
      <c r="R4" s="147" t="s">
        <v>18</v>
      </c>
      <c r="S4" s="147" t="s">
        <v>3</v>
      </c>
      <c r="T4" s="147" t="s">
        <v>18</v>
      </c>
      <c r="U4" s="147" t="s">
        <v>3</v>
      </c>
      <c r="V4" s="147" t="s">
        <v>18</v>
      </c>
      <c r="W4" s="147" t="s">
        <v>3</v>
      </c>
      <c r="X4" s="148" t="s">
        <v>87</v>
      </c>
      <c r="Y4" s="148" t="s">
        <v>88</v>
      </c>
      <c r="Z4" s="148" t="s">
        <v>87</v>
      </c>
      <c r="AA4" s="148" t="s">
        <v>77</v>
      </c>
      <c r="AB4" s="149" t="s">
        <v>79</v>
      </c>
      <c r="AC4" s="149" t="s">
        <v>89</v>
      </c>
      <c r="AD4" s="150" t="s">
        <v>87</v>
      </c>
      <c r="AE4" s="150" t="s">
        <v>88</v>
      </c>
      <c r="AF4" s="150" t="s">
        <v>87</v>
      </c>
      <c r="AG4" s="150" t="s">
        <v>90</v>
      </c>
      <c r="AH4" s="150" t="s">
        <v>77</v>
      </c>
    </row>
    <row r="5" spans="1:34" ht="15">
      <c r="A5" s="151" t="s">
        <v>110</v>
      </c>
      <c r="B5" s="151">
        <v>130</v>
      </c>
      <c r="C5" s="151">
        <v>18</v>
      </c>
      <c r="D5" s="151" t="s">
        <v>111</v>
      </c>
      <c r="E5" s="152">
        <v>43103</v>
      </c>
      <c r="F5" s="153" t="s">
        <v>99</v>
      </c>
      <c r="G5" s="20">
        <v>4450</v>
      </c>
      <c r="H5" s="19">
        <v>90299</v>
      </c>
      <c r="I5" s="19">
        <v>2412048</v>
      </c>
      <c r="J5" s="154">
        <v>310</v>
      </c>
      <c r="K5" s="19">
        <v>61</v>
      </c>
      <c r="L5" s="155">
        <v>3.17</v>
      </c>
      <c r="M5" s="20">
        <v>5</v>
      </c>
      <c r="N5" s="156">
        <v>101.1</v>
      </c>
      <c r="O5" s="21">
        <v>114.4</v>
      </c>
      <c r="P5" s="21">
        <v>105.1</v>
      </c>
      <c r="Q5" s="21">
        <v>117.5</v>
      </c>
      <c r="R5" s="21">
        <v>105.4</v>
      </c>
      <c r="S5" s="21">
        <v>116.5</v>
      </c>
      <c r="T5" s="21">
        <v>104.7</v>
      </c>
      <c r="U5" s="21">
        <v>116.6</v>
      </c>
      <c r="V5" s="20">
        <v>103.9</v>
      </c>
      <c r="W5" s="156">
        <v>115.9</v>
      </c>
      <c r="X5" s="157">
        <v>870</v>
      </c>
      <c r="Y5" s="157">
        <v>800</v>
      </c>
      <c r="Z5" s="158">
        <v>920</v>
      </c>
      <c r="AA5" s="158">
        <v>135</v>
      </c>
      <c r="AB5" s="159">
        <v>0.1</v>
      </c>
      <c r="AC5" s="158">
        <v>1600</v>
      </c>
      <c r="AD5" s="160">
        <v>725</v>
      </c>
      <c r="AE5" s="160">
        <v>660</v>
      </c>
      <c r="AF5" s="160">
        <v>725</v>
      </c>
      <c r="AG5" s="160">
        <v>725</v>
      </c>
      <c r="AH5" s="158">
        <v>135</v>
      </c>
    </row>
    <row r="6" spans="1:34" ht="15">
      <c r="A6" s="151" t="s">
        <v>110</v>
      </c>
      <c r="B6" s="151">
        <v>130</v>
      </c>
      <c r="C6" s="151">
        <v>18</v>
      </c>
      <c r="D6" s="151" t="s">
        <v>111</v>
      </c>
      <c r="E6" s="152">
        <v>43103</v>
      </c>
      <c r="F6" s="153" t="s">
        <v>99</v>
      </c>
      <c r="G6" s="20">
        <v>4450</v>
      </c>
      <c r="H6" s="19">
        <v>90299</v>
      </c>
      <c r="I6" s="19">
        <v>2412048</v>
      </c>
      <c r="J6" s="154">
        <v>310</v>
      </c>
      <c r="K6" s="19">
        <v>61</v>
      </c>
      <c r="L6" s="155">
        <v>3.17</v>
      </c>
      <c r="M6" s="20">
        <v>50</v>
      </c>
      <c r="N6" s="156">
        <v>103</v>
      </c>
      <c r="O6" s="21">
        <v>114.8</v>
      </c>
      <c r="P6" s="21">
        <v>103.8</v>
      </c>
      <c r="Q6" s="21">
        <v>116.2</v>
      </c>
      <c r="R6" s="21">
        <v>107.3</v>
      </c>
      <c r="S6" s="21">
        <v>118.2</v>
      </c>
      <c r="T6" s="21">
        <v>107.1</v>
      </c>
      <c r="U6" s="21">
        <v>117.4</v>
      </c>
      <c r="V6" s="20">
        <v>105.3</v>
      </c>
      <c r="W6" s="156">
        <v>116.8</v>
      </c>
      <c r="X6" s="157">
        <v>870</v>
      </c>
      <c r="Y6" s="157">
        <v>800</v>
      </c>
      <c r="Z6" s="158">
        <v>920</v>
      </c>
      <c r="AA6" s="158">
        <v>135</v>
      </c>
      <c r="AB6" s="159">
        <v>0.1</v>
      </c>
      <c r="AC6" s="158">
        <v>1600</v>
      </c>
      <c r="AD6" s="160">
        <v>725</v>
      </c>
      <c r="AE6" s="160">
        <v>660</v>
      </c>
      <c r="AF6" s="160">
        <v>725</v>
      </c>
      <c r="AG6" s="160">
        <v>725</v>
      </c>
      <c r="AH6" s="158">
        <v>135</v>
      </c>
    </row>
    <row r="7" spans="1:34" ht="15">
      <c r="A7" s="151" t="s">
        <v>110</v>
      </c>
      <c r="B7" s="151">
        <v>130</v>
      </c>
      <c r="C7" s="151">
        <v>18</v>
      </c>
      <c r="D7" s="151" t="s">
        <v>111</v>
      </c>
      <c r="E7" s="153">
        <v>43122</v>
      </c>
      <c r="F7" s="153" t="s">
        <v>99</v>
      </c>
      <c r="G7" s="20">
        <v>4678</v>
      </c>
      <c r="H7" s="19">
        <v>90299</v>
      </c>
      <c r="I7" s="19">
        <v>2412048</v>
      </c>
      <c r="J7" s="154">
        <v>310</v>
      </c>
      <c r="K7" s="19">
        <v>61</v>
      </c>
      <c r="L7" s="20">
        <v>3.17</v>
      </c>
      <c r="M7" s="20"/>
      <c r="N7" s="156">
        <v>95.7</v>
      </c>
      <c r="O7" s="21">
        <v>109.4</v>
      </c>
      <c r="P7" s="21"/>
      <c r="Q7" s="21"/>
      <c r="R7" s="21"/>
      <c r="S7" s="21"/>
      <c r="T7" s="21"/>
      <c r="U7" s="21"/>
      <c r="V7" s="20">
        <v>98.6</v>
      </c>
      <c r="W7" s="156">
        <v>112.2</v>
      </c>
      <c r="X7" s="157">
        <v>870</v>
      </c>
      <c r="Y7" s="157">
        <v>800</v>
      </c>
      <c r="Z7" s="158">
        <v>920</v>
      </c>
      <c r="AA7" s="158">
        <v>135</v>
      </c>
      <c r="AB7" s="159">
        <v>0.1</v>
      </c>
      <c r="AC7" s="158">
        <v>1600</v>
      </c>
      <c r="AD7" s="160">
        <v>735</v>
      </c>
      <c r="AE7" s="160">
        <v>670</v>
      </c>
      <c r="AF7" s="160">
        <v>735</v>
      </c>
      <c r="AG7" s="160">
        <v>735</v>
      </c>
      <c r="AH7" s="158">
        <v>135</v>
      </c>
    </row>
    <row r="8" spans="1:34" ht="15">
      <c r="A8" s="151" t="s">
        <v>110</v>
      </c>
      <c r="B8" s="151">
        <v>130</v>
      </c>
      <c r="C8" s="151">
        <v>18</v>
      </c>
      <c r="D8" s="151" t="s">
        <v>111</v>
      </c>
      <c r="E8" s="153">
        <v>43138</v>
      </c>
      <c r="F8" s="153" t="s">
        <v>99</v>
      </c>
      <c r="G8" s="20">
        <v>4795</v>
      </c>
      <c r="H8" s="19">
        <v>90299</v>
      </c>
      <c r="I8" s="19">
        <v>2412048</v>
      </c>
      <c r="J8" s="154">
        <v>310</v>
      </c>
      <c r="K8" s="19">
        <v>61</v>
      </c>
      <c r="L8" s="20">
        <v>3.17</v>
      </c>
      <c r="M8" s="20">
        <v>100</v>
      </c>
      <c r="N8" s="156">
        <v>90.9</v>
      </c>
      <c r="O8" s="21">
        <v>106.8</v>
      </c>
      <c r="P8" s="21"/>
      <c r="Q8" s="21"/>
      <c r="R8" s="21"/>
      <c r="S8" s="21"/>
      <c r="T8" s="21"/>
      <c r="U8" s="21"/>
      <c r="V8" s="20">
        <v>97.6</v>
      </c>
      <c r="W8" s="156">
        <v>110.9</v>
      </c>
      <c r="X8" s="160">
        <v>890</v>
      </c>
      <c r="Y8" s="160">
        <v>800</v>
      </c>
      <c r="Z8" s="160">
        <v>940</v>
      </c>
      <c r="AA8" s="160">
        <v>135</v>
      </c>
      <c r="AB8" s="159">
        <v>0.1</v>
      </c>
      <c r="AC8" s="158">
        <v>1600</v>
      </c>
      <c r="AD8" s="160">
        <v>735</v>
      </c>
      <c r="AE8" s="160">
        <v>670</v>
      </c>
      <c r="AF8" s="160">
        <v>735</v>
      </c>
      <c r="AG8" s="160">
        <v>735</v>
      </c>
      <c r="AH8" s="158">
        <v>135</v>
      </c>
    </row>
    <row r="9" spans="1:34" ht="15">
      <c r="A9" s="151"/>
      <c r="B9" s="151"/>
      <c r="C9" s="151"/>
      <c r="D9" s="151"/>
      <c r="E9" s="153"/>
      <c r="F9" s="153"/>
      <c r="G9" s="20"/>
      <c r="H9" s="19"/>
      <c r="I9" s="19"/>
      <c r="J9" s="20"/>
      <c r="K9" s="19"/>
      <c r="L9" s="20"/>
      <c r="M9" s="20"/>
      <c r="N9" s="156"/>
      <c r="O9" s="21"/>
      <c r="P9" s="21"/>
      <c r="Q9" s="21"/>
      <c r="R9" s="21"/>
      <c r="S9" s="21"/>
      <c r="T9" s="21"/>
      <c r="U9" s="21"/>
      <c r="V9" s="20"/>
      <c r="W9" s="156"/>
      <c r="X9" s="151"/>
      <c r="Y9" s="151"/>
      <c r="Z9" s="151"/>
      <c r="AA9" s="151"/>
      <c r="AB9" s="151"/>
      <c r="AC9" s="151"/>
      <c r="AD9" s="151"/>
      <c r="AE9" s="151"/>
      <c r="AF9" s="151"/>
      <c r="AG9" s="151"/>
      <c r="AH9" s="151"/>
    </row>
    <row r="10" spans="1:34" ht="15">
      <c r="A10" s="151"/>
      <c r="B10" s="151"/>
      <c r="C10" s="151"/>
      <c r="D10" s="151"/>
      <c r="E10" s="153"/>
      <c r="F10" s="153"/>
      <c r="G10" s="20"/>
      <c r="H10" s="19"/>
      <c r="I10" s="19"/>
      <c r="J10" s="20"/>
      <c r="K10" s="19"/>
      <c r="L10" s="20"/>
      <c r="M10" s="20"/>
      <c r="N10" s="156"/>
      <c r="O10" s="21"/>
      <c r="P10" s="21"/>
      <c r="Q10" s="21"/>
      <c r="R10" s="21"/>
      <c r="S10" s="21"/>
      <c r="T10" s="21"/>
      <c r="U10" s="21"/>
      <c r="V10" s="20"/>
      <c r="W10" s="156"/>
      <c r="X10" s="151"/>
      <c r="Y10" s="151"/>
      <c r="Z10" s="151"/>
      <c r="AA10" s="151"/>
      <c r="AB10" s="151"/>
      <c r="AC10" s="151"/>
      <c r="AD10" s="151"/>
      <c r="AE10" s="151"/>
      <c r="AF10" s="151"/>
      <c r="AG10" s="151"/>
      <c r="AH10" s="151"/>
    </row>
    <row r="11" spans="1:34" ht="15">
      <c r="A11" s="151"/>
      <c r="B11" s="151"/>
      <c r="C11" s="151"/>
      <c r="D11" s="151"/>
      <c r="E11" s="153"/>
      <c r="F11" s="153"/>
      <c r="G11" s="20"/>
      <c r="H11" s="19"/>
      <c r="I11" s="19"/>
      <c r="J11" s="20"/>
      <c r="K11" s="19"/>
      <c r="L11" s="20"/>
      <c r="M11" s="20"/>
      <c r="N11" s="156"/>
      <c r="O11" s="21"/>
      <c r="P11" s="21"/>
      <c r="Q11" s="21"/>
      <c r="R11" s="21"/>
      <c r="S11" s="21"/>
      <c r="T11" s="21"/>
      <c r="U11" s="21"/>
      <c r="V11" s="20"/>
      <c r="W11" s="156"/>
      <c r="X11" s="151"/>
      <c r="Y11" s="151"/>
      <c r="Z11" s="151"/>
      <c r="AA11" s="151"/>
      <c r="AB11" s="151"/>
      <c r="AC11" s="151"/>
      <c r="AD11" s="151"/>
      <c r="AE11" s="151"/>
      <c r="AF11" s="151"/>
      <c r="AG11" s="151"/>
      <c r="AH11" s="151"/>
    </row>
    <row r="12" spans="1:34" ht="15">
      <c r="A12" s="151"/>
      <c r="B12" s="151"/>
      <c r="C12" s="151"/>
      <c r="D12" s="151"/>
      <c r="E12" s="153"/>
      <c r="F12" s="153"/>
      <c r="G12" s="20"/>
      <c r="H12" s="19"/>
      <c r="I12" s="19"/>
      <c r="J12" s="20"/>
      <c r="K12" s="19"/>
      <c r="L12" s="20"/>
      <c r="M12" s="20"/>
      <c r="N12" s="156"/>
      <c r="O12" s="21"/>
      <c r="P12" s="21"/>
      <c r="Q12" s="21"/>
      <c r="R12" s="21"/>
      <c r="S12" s="21"/>
      <c r="T12" s="21"/>
      <c r="U12" s="21"/>
      <c r="V12" s="20"/>
      <c r="W12" s="156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</row>
    <row r="13" spans="1:34" ht="15">
      <c r="A13" s="151"/>
      <c r="B13" s="151"/>
      <c r="C13" s="151"/>
      <c r="D13" s="151"/>
      <c r="E13" s="153"/>
      <c r="F13" s="153"/>
      <c r="G13" s="20"/>
      <c r="H13" s="19"/>
      <c r="I13" s="19"/>
      <c r="J13" s="20"/>
      <c r="K13" s="19"/>
      <c r="L13" s="20"/>
      <c r="M13" s="20"/>
      <c r="N13" s="156"/>
      <c r="O13" s="21"/>
      <c r="P13" s="21"/>
      <c r="Q13" s="21"/>
      <c r="R13" s="21"/>
      <c r="S13" s="21"/>
      <c r="T13" s="21"/>
      <c r="U13" s="21"/>
      <c r="V13" s="20"/>
      <c r="W13" s="156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</row>
    <row r="14" spans="1:34" ht="15">
      <c r="A14" s="151"/>
      <c r="B14" s="151"/>
      <c r="C14" s="151"/>
      <c r="D14" s="151"/>
      <c r="E14" s="153"/>
      <c r="F14" s="153"/>
      <c r="G14" s="20"/>
      <c r="H14" s="19"/>
      <c r="I14" s="19"/>
      <c r="J14" s="20"/>
      <c r="K14" s="19"/>
      <c r="L14" s="20"/>
      <c r="M14" s="20"/>
      <c r="N14" s="156"/>
      <c r="O14" s="21"/>
      <c r="P14" s="21"/>
      <c r="Q14" s="21"/>
      <c r="R14" s="21"/>
      <c r="S14" s="21"/>
      <c r="T14" s="21"/>
      <c r="U14" s="21"/>
      <c r="V14" s="20"/>
      <c r="W14" s="156"/>
      <c r="X14" s="151"/>
      <c r="Y14" s="151"/>
      <c r="Z14" s="151"/>
      <c r="AA14" s="151"/>
      <c r="AB14" s="151"/>
      <c r="AC14" s="151"/>
      <c r="AD14" s="151"/>
      <c r="AE14" s="151"/>
      <c r="AF14" s="151"/>
      <c r="AG14" s="151"/>
      <c r="AH14" s="151"/>
    </row>
    <row r="15" spans="1:34" ht="15">
      <c r="A15" s="151"/>
      <c r="B15" s="151"/>
      <c r="C15" s="151"/>
      <c r="D15" s="151"/>
      <c r="E15" s="153"/>
      <c r="F15" s="153"/>
      <c r="G15" s="20"/>
      <c r="H15" s="19"/>
      <c r="I15" s="19"/>
      <c r="J15" s="20"/>
      <c r="K15" s="19"/>
      <c r="L15" s="20"/>
      <c r="M15" s="20"/>
      <c r="N15" s="156"/>
      <c r="O15" s="21"/>
      <c r="P15" s="21"/>
      <c r="Q15" s="21"/>
      <c r="R15" s="21"/>
      <c r="S15" s="21"/>
      <c r="T15" s="21"/>
      <c r="U15" s="21"/>
      <c r="V15" s="20"/>
      <c r="W15" s="156"/>
      <c r="X15" s="151"/>
      <c r="Y15" s="151"/>
      <c r="Z15" s="151"/>
      <c r="AA15" s="151"/>
      <c r="AB15" s="151"/>
      <c r="AC15" s="151"/>
      <c r="AD15" s="151"/>
      <c r="AE15" s="151"/>
      <c r="AF15" s="151"/>
      <c r="AG15" s="151"/>
      <c r="AH15" s="151"/>
    </row>
    <row r="16" spans="1:34" ht="15">
      <c r="A16" s="151"/>
      <c r="B16" s="151"/>
      <c r="C16" s="151"/>
      <c r="D16" s="151"/>
      <c r="E16" s="153"/>
      <c r="F16" s="153"/>
      <c r="G16" s="20"/>
      <c r="H16" s="19"/>
      <c r="I16" s="19"/>
      <c r="J16" s="20"/>
      <c r="K16" s="19"/>
      <c r="L16" s="20"/>
      <c r="M16" s="20"/>
      <c r="N16" s="156"/>
      <c r="O16" s="21"/>
      <c r="P16" s="21"/>
      <c r="Q16" s="21"/>
      <c r="R16" s="21"/>
      <c r="S16" s="21"/>
      <c r="T16" s="21"/>
      <c r="U16" s="21"/>
      <c r="V16" s="20"/>
      <c r="W16" s="156"/>
      <c r="X16" s="151"/>
      <c r="Y16" s="151"/>
      <c r="Z16" s="151"/>
      <c r="AA16" s="151"/>
      <c r="AB16" s="151"/>
      <c r="AC16" s="151"/>
      <c r="AD16" s="151"/>
      <c r="AE16" s="151"/>
      <c r="AF16" s="151"/>
      <c r="AG16" s="151"/>
      <c r="AH16" s="151"/>
    </row>
  </sheetData>
  <protectedRanges>
    <protectedRange sqref="H5:I31 K5:K31" name="Rango1_1"/>
  </protectedRanges>
  <autoFilter ref="A4:DI4" xr:uid="{00000000-0001-0000-0200-000000000000}"/>
  <mergeCells count="18">
    <mergeCell ref="T3:U3"/>
    <mergeCell ref="P2:U2"/>
    <mergeCell ref="F1:M1"/>
    <mergeCell ref="F2:M2"/>
    <mergeCell ref="F3:M3"/>
    <mergeCell ref="AF3:AG3"/>
    <mergeCell ref="AD3:AE3"/>
    <mergeCell ref="AB2:AC2"/>
    <mergeCell ref="X2:AA2"/>
    <mergeCell ref="AD2:AH2"/>
    <mergeCell ref="X3:Y3"/>
    <mergeCell ref="O1:W1"/>
    <mergeCell ref="N2:O2"/>
    <mergeCell ref="V2:W2"/>
    <mergeCell ref="V3:W3"/>
    <mergeCell ref="N3:O3"/>
    <mergeCell ref="P3:Q3"/>
    <mergeCell ref="R3:S3"/>
  </mergeCells>
  <phoneticPr fontId="0" type="noConversion"/>
  <conditionalFormatting sqref="E5:F16">
    <cfRule type="expression" dxfId="14" priority="101" stopIfTrue="1">
      <formula>"SEVERSTAL"</formula>
    </cfRule>
  </conditionalFormatting>
  <conditionalFormatting sqref="H5:I16 K5:K16">
    <cfRule type="cellIs" dxfId="13" priority="102" stopIfTrue="1" operator="equal">
      <formula>"APROBADO"</formula>
    </cfRule>
    <cfRule type="cellIs" dxfId="12" priority="103" stopIfTrue="1" operator="equal">
      <formula>"ESPERA"</formula>
    </cfRule>
    <cfRule type="cellIs" dxfId="11" priority="104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G48"/>
  <sheetViews>
    <sheetView showGridLines="0" zoomScale="90" zoomScaleNormal="90" workbookViewId="0">
      <pane xSplit="7" ySplit="6" topLeftCell="H7" activePane="bottomRight" state="frozen"/>
      <selection pane="topRight" activeCell="E1" sqref="E1"/>
      <selection pane="bottomLeft" activeCell="A7" sqref="A7"/>
      <selection pane="bottomRight" activeCell="D15" sqref="D15"/>
    </sheetView>
  </sheetViews>
  <sheetFormatPr baseColWidth="10" defaultRowHeight="14.25" customHeight="1"/>
  <cols>
    <col min="1" max="1" width="12.5" customWidth="1"/>
    <col min="2" max="2" width="7.125" customWidth="1"/>
    <col min="3" max="4" width="12.875" customWidth="1"/>
    <col min="5" max="5" width="9.875" customWidth="1"/>
    <col min="6" max="6" width="8" customWidth="1"/>
    <col min="7" max="7" width="8.75" customWidth="1"/>
    <col min="8" max="8" width="12.875" customWidth="1"/>
    <col min="9" max="22" width="6.625" customWidth="1"/>
    <col min="23" max="23" width="10.25" customWidth="1"/>
    <col min="24" max="33" width="6.625" customWidth="1"/>
  </cols>
  <sheetData>
    <row r="1" spans="1:33" ht="27" customHeight="1">
      <c r="A1" s="24"/>
      <c r="B1" s="24"/>
      <c r="C1" s="24"/>
      <c r="D1" s="24"/>
      <c r="E1" s="24"/>
      <c r="F1" s="24"/>
      <c r="G1" s="24" t="s">
        <v>59</v>
      </c>
      <c r="H1" s="133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5"/>
      <c r="AG1" s="24"/>
    </row>
    <row r="2" spans="1:33" ht="30.75">
      <c r="A2" s="25"/>
      <c r="B2" s="26"/>
      <c r="C2" s="26"/>
      <c r="D2" s="26"/>
      <c r="E2" s="24"/>
      <c r="F2" s="27"/>
      <c r="G2" s="27"/>
      <c r="H2" s="134"/>
      <c r="I2" s="28"/>
      <c r="J2" s="29" t="s">
        <v>98</v>
      </c>
      <c r="K2" s="29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4"/>
      <c r="X2" s="24"/>
      <c r="Y2" s="24"/>
      <c r="Z2" s="24"/>
      <c r="AA2" s="24"/>
      <c r="AB2" s="24"/>
      <c r="AC2" s="24"/>
      <c r="AD2" s="24"/>
      <c r="AE2" s="24"/>
      <c r="AF2" s="25"/>
      <c r="AG2" s="24"/>
    </row>
    <row r="3" spans="1:33" ht="16.5" customHeight="1">
      <c r="A3" s="30"/>
      <c r="B3" s="30"/>
      <c r="C3" s="30"/>
      <c r="D3" s="30"/>
      <c r="E3" s="44"/>
      <c r="F3" s="187"/>
      <c r="G3" s="187"/>
      <c r="H3" s="135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24"/>
      <c r="X3" s="31"/>
      <c r="Y3" s="31"/>
      <c r="Z3" s="31"/>
      <c r="AA3" s="31"/>
      <c r="AB3" s="31"/>
      <c r="AC3" s="31"/>
      <c r="AD3" s="31"/>
      <c r="AE3" s="32" t="s">
        <v>25</v>
      </c>
      <c r="AF3" s="25" t="s">
        <v>95</v>
      </c>
      <c r="AG3" s="33"/>
    </row>
    <row r="4" spans="1:33" ht="26.25" customHeight="1">
      <c r="A4" s="25"/>
      <c r="B4" s="25"/>
      <c r="C4" s="25"/>
      <c r="D4" s="25"/>
      <c r="E4" s="25"/>
      <c r="F4" s="34"/>
      <c r="G4" s="25"/>
      <c r="H4" s="136"/>
      <c r="I4" s="189" t="s">
        <v>60</v>
      </c>
      <c r="J4" s="189"/>
      <c r="K4" s="189"/>
      <c r="L4" s="189"/>
      <c r="M4" s="189"/>
      <c r="N4" s="189"/>
      <c r="O4" s="189"/>
      <c r="P4" s="188" t="s">
        <v>61</v>
      </c>
      <c r="Q4" s="188"/>
      <c r="R4" s="188"/>
      <c r="S4" s="188"/>
      <c r="T4" s="188"/>
      <c r="U4" s="188"/>
      <c r="V4" s="119"/>
      <c r="W4" s="24"/>
      <c r="X4" s="35"/>
      <c r="Y4" s="35"/>
      <c r="Z4" s="35"/>
      <c r="AA4" s="35"/>
      <c r="AB4" s="35"/>
      <c r="AC4" s="35"/>
      <c r="AD4" s="36" t="s">
        <v>56</v>
      </c>
      <c r="AE4" s="37"/>
      <c r="AF4" s="25"/>
      <c r="AG4" s="37"/>
    </row>
    <row r="5" spans="1:33" ht="21" customHeight="1">
      <c r="A5" s="38"/>
      <c r="B5" s="25"/>
      <c r="C5" s="25"/>
      <c r="D5" s="25"/>
      <c r="E5" s="25"/>
      <c r="F5" s="39"/>
      <c r="G5" s="40"/>
      <c r="H5" s="135"/>
      <c r="I5" s="191" t="s">
        <v>9</v>
      </c>
      <c r="J5" s="192"/>
      <c r="K5" s="190" t="s">
        <v>10</v>
      </c>
      <c r="L5" s="191"/>
      <c r="M5" s="191"/>
      <c r="N5" s="191"/>
      <c r="O5" s="192"/>
      <c r="P5" s="190" t="s">
        <v>14</v>
      </c>
      <c r="Q5" s="192"/>
      <c r="R5" s="190" t="s">
        <v>10</v>
      </c>
      <c r="S5" s="191"/>
      <c r="T5" s="191"/>
      <c r="U5" s="191"/>
      <c r="V5" s="120"/>
      <c r="W5" s="41"/>
      <c r="X5" s="35"/>
      <c r="Y5" s="35"/>
      <c r="Z5" s="35"/>
      <c r="AA5" s="35"/>
      <c r="AB5" s="35"/>
      <c r="AC5" s="35"/>
      <c r="AD5" s="36" t="s">
        <v>57</v>
      </c>
      <c r="AE5" s="37"/>
      <c r="AF5" s="25"/>
      <c r="AG5" s="37"/>
    </row>
    <row r="6" spans="1:33" ht="56.25" customHeight="1">
      <c r="A6" s="23" t="s">
        <v>2</v>
      </c>
      <c r="B6" s="23" t="s">
        <v>5</v>
      </c>
      <c r="C6" s="23" t="s">
        <v>62</v>
      </c>
      <c r="D6" s="23" t="s">
        <v>112</v>
      </c>
      <c r="E6" s="23" t="s">
        <v>4</v>
      </c>
      <c r="F6" s="23" t="s">
        <v>6</v>
      </c>
      <c r="G6" s="23" t="s">
        <v>13</v>
      </c>
      <c r="H6" s="137" t="s">
        <v>74</v>
      </c>
      <c r="I6" s="23" t="s">
        <v>8</v>
      </c>
      <c r="J6" s="23" t="s">
        <v>67</v>
      </c>
      <c r="K6" s="23" t="s">
        <v>66</v>
      </c>
      <c r="L6" s="23" t="s">
        <v>11</v>
      </c>
      <c r="M6" s="23" t="s">
        <v>12</v>
      </c>
      <c r="N6" s="23" t="s">
        <v>17</v>
      </c>
      <c r="O6" s="23" t="s">
        <v>68</v>
      </c>
      <c r="P6" s="23" t="s">
        <v>69</v>
      </c>
      <c r="Q6" s="23" t="s">
        <v>8</v>
      </c>
      <c r="R6" s="23" t="s">
        <v>11</v>
      </c>
      <c r="S6" s="23" t="s">
        <v>12</v>
      </c>
      <c r="T6" s="23" t="s">
        <v>17</v>
      </c>
      <c r="U6" s="23" t="s">
        <v>70</v>
      </c>
      <c r="V6" s="23" t="s">
        <v>66</v>
      </c>
      <c r="W6" s="23" t="s">
        <v>1</v>
      </c>
      <c r="X6" s="23" t="s">
        <v>7</v>
      </c>
      <c r="Y6" s="23" t="s">
        <v>55</v>
      </c>
      <c r="Z6" s="23" t="s">
        <v>65</v>
      </c>
      <c r="AA6" s="23" t="s">
        <v>91</v>
      </c>
      <c r="AB6" s="23" t="s">
        <v>73</v>
      </c>
      <c r="AC6" s="23" t="s">
        <v>64</v>
      </c>
      <c r="AD6" s="23" t="s">
        <v>63</v>
      </c>
      <c r="AE6" s="23" t="s">
        <v>54</v>
      </c>
      <c r="AF6" s="22" t="s">
        <v>75</v>
      </c>
      <c r="AG6" s="23" t="s">
        <v>58</v>
      </c>
    </row>
    <row r="7" spans="1:33" ht="15.75">
      <c r="A7" s="132">
        <v>43103</v>
      </c>
      <c r="B7" s="43">
        <v>3</v>
      </c>
      <c r="C7" s="43">
        <v>2412048</v>
      </c>
      <c r="D7" s="43" t="s">
        <v>99</v>
      </c>
      <c r="E7" s="122">
        <v>90299</v>
      </c>
      <c r="F7" s="43">
        <v>4450</v>
      </c>
      <c r="G7" s="123">
        <v>70</v>
      </c>
      <c r="H7" s="138" t="s">
        <v>97</v>
      </c>
      <c r="I7" s="124">
        <v>0</v>
      </c>
      <c r="J7" s="125">
        <v>2</v>
      </c>
      <c r="K7" s="131">
        <v>0</v>
      </c>
      <c r="L7" s="126">
        <v>0</v>
      </c>
      <c r="M7" s="124">
        <v>0</v>
      </c>
      <c r="N7" s="127">
        <v>0</v>
      </c>
      <c r="O7" s="123">
        <v>0</v>
      </c>
      <c r="P7" s="126">
        <v>2</v>
      </c>
      <c r="Q7" s="123">
        <v>0</v>
      </c>
      <c r="R7" s="126">
        <v>0</v>
      </c>
      <c r="S7" s="124">
        <v>0</v>
      </c>
      <c r="T7" s="127">
        <v>0</v>
      </c>
      <c r="U7" s="126">
        <v>0</v>
      </c>
      <c r="V7" s="126">
        <v>0</v>
      </c>
      <c r="W7" s="42">
        <f t="shared" ref="W7:W21" si="0">+G7-(SUM(I7:N7,P7,Q7,R7,S7,T7,V7))</f>
        <v>66</v>
      </c>
      <c r="X7" s="128"/>
      <c r="Y7" s="128"/>
      <c r="Z7" s="128">
        <v>1</v>
      </c>
      <c r="AA7" s="128"/>
      <c r="AB7" s="128"/>
      <c r="AC7" s="128"/>
      <c r="AD7" s="139">
        <f>W7-SUM(Y7:AC7)</f>
        <v>65</v>
      </c>
      <c r="AE7" s="129"/>
      <c r="AF7" s="130"/>
      <c r="AG7" s="122"/>
    </row>
    <row r="8" spans="1:33" ht="15.75">
      <c r="A8" s="132">
        <v>43122</v>
      </c>
      <c r="B8" s="43">
        <v>2</v>
      </c>
      <c r="C8" s="43">
        <v>2412048</v>
      </c>
      <c r="D8" s="43" t="s">
        <v>99</v>
      </c>
      <c r="E8" s="122">
        <v>90299</v>
      </c>
      <c r="F8" s="43">
        <v>4678</v>
      </c>
      <c r="G8" s="123">
        <v>21</v>
      </c>
      <c r="H8" s="138" t="s">
        <v>97</v>
      </c>
      <c r="I8" s="124">
        <v>0</v>
      </c>
      <c r="J8" s="125">
        <v>0</v>
      </c>
      <c r="K8" s="131">
        <v>0</v>
      </c>
      <c r="L8" s="126">
        <v>0</v>
      </c>
      <c r="M8" s="124">
        <v>0</v>
      </c>
      <c r="N8" s="127">
        <v>0</v>
      </c>
      <c r="O8" s="123">
        <v>1</v>
      </c>
      <c r="P8" s="126">
        <v>0</v>
      </c>
      <c r="Q8" s="123">
        <v>0</v>
      </c>
      <c r="R8" s="126">
        <v>0</v>
      </c>
      <c r="S8" s="124">
        <v>0</v>
      </c>
      <c r="T8" s="127">
        <v>0</v>
      </c>
      <c r="U8" s="126">
        <v>1</v>
      </c>
      <c r="V8" s="126">
        <v>0</v>
      </c>
      <c r="W8" s="42">
        <f t="shared" ref="W8" si="1">+G8-(SUM(I8:N8,P8,Q8,R8,S8,T8,V8))</f>
        <v>21</v>
      </c>
      <c r="X8" s="128"/>
      <c r="Y8" s="128"/>
      <c r="Z8" s="128"/>
      <c r="AA8" s="128"/>
      <c r="AB8" s="128"/>
      <c r="AC8" s="128"/>
      <c r="AD8" s="139">
        <f>W8-SUM(Y8:AC8)</f>
        <v>21</v>
      </c>
      <c r="AE8" s="129"/>
      <c r="AF8" s="130"/>
      <c r="AG8" s="122"/>
    </row>
    <row r="9" spans="1:33" ht="15.75">
      <c r="A9" s="132">
        <v>43138</v>
      </c>
      <c r="B9" s="43">
        <v>3</v>
      </c>
      <c r="C9" s="43">
        <v>2412048</v>
      </c>
      <c r="D9" s="43" t="s">
        <v>99</v>
      </c>
      <c r="E9" s="122">
        <v>90299</v>
      </c>
      <c r="F9" s="43">
        <v>4795</v>
      </c>
      <c r="G9" s="123">
        <v>11</v>
      </c>
      <c r="H9" s="138" t="s">
        <v>100</v>
      </c>
      <c r="I9" s="124">
        <v>0</v>
      </c>
      <c r="J9" s="125">
        <v>0</v>
      </c>
      <c r="K9" s="131">
        <v>0</v>
      </c>
      <c r="L9" s="126">
        <v>0</v>
      </c>
      <c r="M9" s="124">
        <v>0</v>
      </c>
      <c r="N9" s="127">
        <v>0</v>
      </c>
      <c r="O9" s="123">
        <v>1</v>
      </c>
      <c r="P9" s="126">
        <v>0</v>
      </c>
      <c r="Q9" s="123">
        <v>0</v>
      </c>
      <c r="R9" s="126">
        <v>0</v>
      </c>
      <c r="S9" s="124">
        <v>0</v>
      </c>
      <c r="T9" s="127">
        <v>0</v>
      </c>
      <c r="U9" s="126">
        <v>1</v>
      </c>
      <c r="V9" s="126">
        <v>0</v>
      </c>
      <c r="W9" s="42">
        <f t="shared" ref="W9" si="2">+G9-(SUM(I9:N9,P9,Q9,R9,S9,T9,V9))</f>
        <v>11</v>
      </c>
      <c r="X9" s="128"/>
      <c r="Y9" s="128"/>
      <c r="Z9" s="128">
        <v>3</v>
      </c>
      <c r="AA9" s="128"/>
      <c r="AB9" s="128"/>
      <c r="AC9" s="128"/>
      <c r="AD9" s="139">
        <f>W9-SUM(Y9:AC9)</f>
        <v>8</v>
      </c>
      <c r="AE9" s="129"/>
      <c r="AF9" s="130"/>
      <c r="AG9" s="122"/>
    </row>
    <row r="10" spans="1:33" ht="15.75">
      <c r="A10" s="132"/>
      <c r="B10" s="43"/>
      <c r="C10" s="43"/>
      <c r="D10" s="43"/>
      <c r="E10" s="122"/>
      <c r="F10" s="43"/>
      <c r="G10" s="123"/>
      <c r="H10" s="138"/>
      <c r="I10" s="124"/>
      <c r="J10" s="125"/>
      <c r="K10" s="131"/>
      <c r="L10" s="126"/>
      <c r="M10" s="124"/>
      <c r="N10" s="127"/>
      <c r="O10" s="123"/>
      <c r="P10" s="126"/>
      <c r="Q10" s="123"/>
      <c r="R10" s="126"/>
      <c r="S10" s="124"/>
      <c r="T10" s="127"/>
      <c r="U10" s="126"/>
      <c r="V10" s="126"/>
      <c r="W10" s="42">
        <f t="shared" si="0"/>
        <v>0</v>
      </c>
      <c r="X10" s="128"/>
      <c r="Y10" s="128"/>
      <c r="Z10" s="128"/>
      <c r="AA10" s="128"/>
      <c r="AB10" s="128"/>
      <c r="AC10" s="128"/>
      <c r="AD10" s="139">
        <f t="shared" ref="AD10:AD18" si="3">W10-SUM(Y10:AC10)</f>
        <v>0</v>
      </c>
      <c r="AE10" s="129"/>
      <c r="AF10" s="130"/>
      <c r="AG10" s="122"/>
    </row>
    <row r="11" spans="1:33" ht="15.75">
      <c r="A11" s="132"/>
      <c r="B11" s="43"/>
      <c r="C11" s="43"/>
      <c r="D11" s="43"/>
      <c r="E11" s="122"/>
      <c r="F11" s="43"/>
      <c r="G11" s="123"/>
      <c r="H11" s="138"/>
      <c r="I11" s="124"/>
      <c r="J11" s="125"/>
      <c r="K11" s="131"/>
      <c r="L11" s="126"/>
      <c r="M11" s="124"/>
      <c r="N11" s="127"/>
      <c r="O11" s="123"/>
      <c r="P11" s="126"/>
      <c r="Q11" s="123"/>
      <c r="R11" s="126"/>
      <c r="S11" s="124"/>
      <c r="T11" s="127"/>
      <c r="U11" s="126"/>
      <c r="V11" s="126"/>
      <c r="W11" s="42">
        <f t="shared" si="0"/>
        <v>0</v>
      </c>
      <c r="X11" s="128"/>
      <c r="Y11" s="128"/>
      <c r="Z11" s="128"/>
      <c r="AA11" s="128"/>
      <c r="AB11" s="128"/>
      <c r="AC11" s="128"/>
      <c r="AD11" s="139">
        <f t="shared" si="3"/>
        <v>0</v>
      </c>
      <c r="AE11" s="129"/>
      <c r="AF11" s="130"/>
      <c r="AG11" s="122"/>
    </row>
    <row r="12" spans="1:33" ht="15.75">
      <c r="A12" s="132"/>
      <c r="B12" s="43"/>
      <c r="C12" s="43"/>
      <c r="D12" s="43"/>
      <c r="E12" s="122"/>
      <c r="F12" s="43"/>
      <c r="G12" s="123"/>
      <c r="H12" s="138"/>
      <c r="I12" s="124"/>
      <c r="J12" s="125"/>
      <c r="K12" s="131"/>
      <c r="L12" s="126"/>
      <c r="M12" s="124"/>
      <c r="N12" s="127"/>
      <c r="O12" s="123"/>
      <c r="P12" s="126"/>
      <c r="Q12" s="123"/>
      <c r="R12" s="126"/>
      <c r="S12" s="124"/>
      <c r="T12" s="127"/>
      <c r="U12" s="126"/>
      <c r="V12" s="126"/>
      <c r="W12" s="42">
        <f t="shared" si="0"/>
        <v>0</v>
      </c>
      <c r="X12" s="128"/>
      <c r="Y12" s="128"/>
      <c r="Z12" s="128"/>
      <c r="AA12" s="128"/>
      <c r="AB12" s="128"/>
      <c r="AC12" s="128"/>
      <c r="AD12" s="139">
        <f t="shared" si="3"/>
        <v>0</v>
      </c>
      <c r="AE12" s="129"/>
      <c r="AF12" s="130"/>
      <c r="AG12" s="122"/>
    </row>
    <row r="13" spans="1:33" ht="15.75">
      <c r="A13" s="132"/>
      <c r="B13" s="43"/>
      <c r="C13" s="43"/>
      <c r="D13" s="43"/>
      <c r="E13" s="122"/>
      <c r="F13" s="43"/>
      <c r="G13" s="123"/>
      <c r="H13" s="138"/>
      <c r="I13" s="124"/>
      <c r="J13" s="125"/>
      <c r="K13" s="131"/>
      <c r="L13" s="126"/>
      <c r="M13" s="124"/>
      <c r="N13" s="127"/>
      <c r="O13" s="123"/>
      <c r="P13" s="126"/>
      <c r="Q13" s="123"/>
      <c r="R13" s="126"/>
      <c r="S13" s="124"/>
      <c r="T13" s="127"/>
      <c r="U13" s="126"/>
      <c r="V13" s="126"/>
      <c r="W13" s="42">
        <f t="shared" si="0"/>
        <v>0</v>
      </c>
      <c r="X13" s="128"/>
      <c r="Y13" s="128"/>
      <c r="Z13" s="128"/>
      <c r="AA13" s="128"/>
      <c r="AB13" s="128"/>
      <c r="AC13" s="128"/>
      <c r="AD13" s="139">
        <f t="shared" si="3"/>
        <v>0</v>
      </c>
      <c r="AE13" s="129"/>
      <c r="AF13" s="130"/>
      <c r="AG13" s="122"/>
    </row>
    <row r="14" spans="1:33" ht="15.75">
      <c r="A14" s="132"/>
      <c r="B14" s="43"/>
      <c r="C14" s="43"/>
      <c r="D14" s="43"/>
      <c r="E14" s="122"/>
      <c r="F14" s="43"/>
      <c r="G14" s="123"/>
      <c r="H14" s="138"/>
      <c r="I14" s="124"/>
      <c r="J14" s="125"/>
      <c r="K14" s="131"/>
      <c r="L14" s="126"/>
      <c r="M14" s="124"/>
      <c r="N14" s="127"/>
      <c r="O14" s="123"/>
      <c r="P14" s="126"/>
      <c r="Q14" s="123"/>
      <c r="R14" s="126"/>
      <c r="S14" s="124"/>
      <c r="T14" s="127"/>
      <c r="U14" s="126"/>
      <c r="V14" s="126"/>
      <c r="W14" s="42">
        <f t="shared" si="0"/>
        <v>0</v>
      </c>
      <c r="X14" s="128"/>
      <c r="Y14" s="128"/>
      <c r="Z14" s="128"/>
      <c r="AA14" s="128"/>
      <c r="AB14" s="128"/>
      <c r="AC14" s="128"/>
      <c r="AD14" s="139">
        <f t="shared" si="3"/>
        <v>0</v>
      </c>
      <c r="AE14" s="129"/>
      <c r="AF14" s="130"/>
      <c r="AG14" s="122"/>
    </row>
    <row r="15" spans="1:33" ht="15.75">
      <c r="A15" s="132"/>
      <c r="B15" s="43"/>
      <c r="C15" s="43"/>
      <c r="D15" s="43"/>
      <c r="E15" s="122"/>
      <c r="F15" s="43"/>
      <c r="G15" s="123"/>
      <c r="H15" s="138"/>
      <c r="I15" s="124"/>
      <c r="J15" s="125"/>
      <c r="K15" s="131"/>
      <c r="L15" s="126"/>
      <c r="M15" s="124"/>
      <c r="N15" s="127"/>
      <c r="O15" s="123"/>
      <c r="P15" s="126"/>
      <c r="Q15" s="123"/>
      <c r="R15" s="126"/>
      <c r="S15" s="124"/>
      <c r="T15" s="127"/>
      <c r="U15" s="126"/>
      <c r="V15" s="126"/>
      <c r="W15" s="42">
        <f t="shared" si="0"/>
        <v>0</v>
      </c>
      <c r="X15" s="128"/>
      <c r="Y15" s="128"/>
      <c r="Z15" s="128"/>
      <c r="AA15" s="128"/>
      <c r="AB15" s="128"/>
      <c r="AC15" s="128"/>
      <c r="AD15" s="139">
        <f t="shared" si="3"/>
        <v>0</v>
      </c>
      <c r="AE15" s="129"/>
      <c r="AF15" s="130"/>
      <c r="AG15" s="122"/>
    </row>
    <row r="16" spans="1:33" ht="15.75">
      <c r="A16" s="132"/>
      <c r="B16" s="43"/>
      <c r="C16" s="43"/>
      <c r="D16" s="43"/>
      <c r="E16" s="122"/>
      <c r="F16" s="43"/>
      <c r="G16" s="123"/>
      <c r="H16" s="138"/>
      <c r="I16" s="124"/>
      <c r="J16" s="125"/>
      <c r="K16" s="131"/>
      <c r="L16" s="126"/>
      <c r="M16" s="124"/>
      <c r="N16" s="127"/>
      <c r="O16" s="123"/>
      <c r="P16" s="126"/>
      <c r="Q16" s="123"/>
      <c r="R16" s="126"/>
      <c r="S16" s="124"/>
      <c r="T16" s="127"/>
      <c r="U16" s="126"/>
      <c r="V16" s="126"/>
      <c r="W16" s="42">
        <f t="shared" si="0"/>
        <v>0</v>
      </c>
      <c r="X16" s="128"/>
      <c r="Y16" s="128"/>
      <c r="Z16" s="128"/>
      <c r="AA16" s="128"/>
      <c r="AB16" s="128"/>
      <c r="AC16" s="128"/>
      <c r="AD16" s="139">
        <f t="shared" si="3"/>
        <v>0</v>
      </c>
      <c r="AE16" s="129"/>
      <c r="AF16" s="130"/>
      <c r="AG16" s="122"/>
    </row>
    <row r="17" spans="1:33" ht="15.75">
      <c r="A17" s="132"/>
      <c r="B17" s="43"/>
      <c r="C17" s="43"/>
      <c r="D17" s="43"/>
      <c r="E17" s="122"/>
      <c r="F17" s="43"/>
      <c r="G17" s="123"/>
      <c r="H17" s="138"/>
      <c r="I17" s="124"/>
      <c r="J17" s="125"/>
      <c r="K17" s="131"/>
      <c r="L17" s="126"/>
      <c r="M17" s="124"/>
      <c r="N17" s="127"/>
      <c r="O17" s="123"/>
      <c r="P17" s="126"/>
      <c r="Q17" s="123"/>
      <c r="R17" s="126"/>
      <c r="S17" s="124"/>
      <c r="T17" s="127"/>
      <c r="U17" s="126"/>
      <c r="V17" s="126"/>
      <c r="W17" s="42">
        <f t="shared" si="0"/>
        <v>0</v>
      </c>
      <c r="X17" s="128"/>
      <c r="Y17" s="128"/>
      <c r="Z17" s="128"/>
      <c r="AA17" s="128"/>
      <c r="AB17" s="128"/>
      <c r="AC17" s="128"/>
      <c r="AD17" s="139">
        <f t="shared" si="3"/>
        <v>0</v>
      </c>
      <c r="AE17" s="129"/>
      <c r="AF17" s="130"/>
      <c r="AG17" s="122"/>
    </row>
    <row r="18" spans="1:33" ht="15.75">
      <c r="A18" s="132"/>
      <c r="B18" s="43"/>
      <c r="C18" s="43"/>
      <c r="D18" s="43"/>
      <c r="E18" s="122"/>
      <c r="F18" s="43"/>
      <c r="G18" s="123"/>
      <c r="H18" s="138"/>
      <c r="I18" s="124"/>
      <c r="J18" s="125"/>
      <c r="K18" s="131"/>
      <c r="L18" s="126"/>
      <c r="M18" s="124"/>
      <c r="N18" s="127"/>
      <c r="O18" s="123"/>
      <c r="P18" s="126"/>
      <c r="Q18" s="123"/>
      <c r="R18" s="126"/>
      <c r="S18" s="124"/>
      <c r="T18" s="127"/>
      <c r="U18" s="126"/>
      <c r="V18" s="126"/>
      <c r="W18" s="42">
        <f t="shared" si="0"/>
        <v>0</v>
      </c>
      <c r="X18" s="128"/>
      <c r="Y18" s="128"/>
      <c r="Z18" s="128"/>
      <c r="AA18" s="128"/>
      <c r="AB18" s="128"/>
      <c r="AC18" s="128"/>
      <c r="AD18" s="139">
        <f t="shared" si="3"/>
        <v>0</v>
      </c>
      <c r="AE18" s="129"/>
      <c r="AF18" s="130"/>
      <c r="AG18" s="122"/>
    </row>
    <row r="19" spans="1:33" ht="15.75">
      <c r="A19" s="132"/>
      <c r="B19" s="43"/>
      <c r="C19" s="43"/>
      <c r="D19" s="43"/>
      <c r="E19" s="122"/>
      <c r="F19" s="43"/>
      <c r="G19" s="123"/>
      <c r="H19" s="138"/>
      <c r="I19" s="124"/>
      <c r="J19" s="125"/>
      <c r="K19" s="131"/>
      <c r="L19" s="126"/>
      <c r="M19" s="124"/>
      <c r="N19" s="127"/>
      <c r="O19" s="123"/>
      <c r="P19" s="126"/>
      <c r="Q19" s="123"/>
      <c r="R19" s="126"/>
      <c r="S19" s="124"/>
      <c r="T19" s="127"/>
      <c r="U19" s="126"/>
      <c r="V19" s="126"/>
      <c r="W19" s="42">
        <f t="shared" si="0"/>
        <v>0</v>
      </c>
      <c r="X19" s="128"/>
      <c r="Y19" s="128"/>
      <c r="Z19" s="128"/>
      <c r="AA19" s="128"/>
      <c r="AB19" s="128"/>
      <c r="AC19" s="128"/>
      <c r="AD19" s="139">
        <f t="shared" ref="AD19:AD23" si="4">W19-SUM(Y19:AC19)</f>
        <v>0</v>
      </c>
      <c r="AE19" s="129"/>
      <c r="AF19" s="130"/>
      <c r="AG19" s="122"/>
    </row>
    <row r="20" spans="1:33" ht="15.75">
      <c r="A20" s="121"/>
      <c r="B20" s="43"/>
      <c r="C20" s="43"/>
      <c r="D20" s="43"/>
      <c r="E20" s="122"/>
      <c r="F20" s="43"/>
      <c r="G20" s="123"/>
      <c r="H20" s="138"/>
      <c r="I20" s="124"/>
      <c r="J20" s="125"/>
      <c r="K20" s="131"/>
      <c r="L20" s="126"/>
      <c r="M20" s="124"/>
      <c r="N20" s="127"/>
      <c r="O20" s="123"/>
      <c r="P20" s="126"/>
      <c r="Q20" s="123"/>
      <c r="R20" s="126"/>
      <c r="S20" s="124"/>
      <c r="T20" s="127"/>
      <c r="U20" s="126"/>
      <c r="V20" s="126"/>
      <c r="W20" s="42">
        <f t="shared" si="0"/>
        <v>0</v>
      </c>
      <c r="X20" s="128"/>
      <c r="Y20" s="128"/>
      <c r="Z20" s="128"/>
      <c r="AA20" s="128"/>
      <c r="AB20" s="128"/>
      <c r="AC20" s="128"/>
      <c r="AD20" s="139">
        <f t="shared" si="4"/>
        <v>0</v>
      </c>
      <c r="AE20" s="129"/>
      <c r="AF20" s="130"/>
      <c r="AG20" s="122"/>
    </row>
    <row r="21" spans="1:33" ht="15.75">
      <c r="A21" s="121"/>
      <c r="B21" s="43"/>
      <c r="C21" s="43"/>
      <c r="D21" s="43"/>
      <c r="E21" s="122"/>
      <c r="F21" s="43"/>
      <c r="G21" s="123"/>
      <c r="H21" s="138"/>
      <c r="I21" s="124"/>
      <c r="J21" s="125"/>
      <c r="K21" s="131"/>
      <c r="L21" s="126"/>
      <c r="M21" s="124"/>
      <c r="N21" s="127"/>
      <c r="O21" s="123"/>
      <c r="P21" s="126"/>
      <c r="Q21" s="123"/>
      <c r="R21" s="126"/>
      <c r="S21" s="124"/>
      <c r="T21" s="127"/>
      <c r="U21" s="126"/>
      <c r="V21" s="126"/>
      <c r="W21" s="42">
        <f t="shared" si="0"/>
        <v>0</v>
      </c>
      <c r="X21" s="128"/>
      <c r="Y21" s="128"/>
      <c r="Z21" s="128"/>
      <c r="AA21" s="128"/>
      <c r="AB21" s="128"/>
      <c r="AC21" s="128"/>
      <c r="AD21" s="139">
        <f t="shared" si="4"/>
        <v>0</v>
      </c>
      <c r="AE21" s="129"/>
      <c r="AF21" s="130"/>
      <c r="AG21" s="122"/>
    </row>
    <row r="22" spans="1:33" ht="15.75">
      <c r="A22" s="121"/>
      <c r="B22" s="43"/>
      <c r="C22" s="43"/>
      <c r="D22" s="43"/>
      <c r="E22" s="122"/>
      <c r="F22" s="43"/>
      <c r="G22" s="123"/>
      <c r="H22" s="138"/>
      <c r="I22" s="124"/>
      <c r="J22" s="125"/>
      <c r="K22" s="131"/>
      <c r="L22" s="126"/>
      <c r="M22" s="124"/>
      <c r="N22" s="127"/>
      <c r="O22" s="123"/>
      <c r="P22" s="126"/>
      <c r="Q22" s="123"/>
      <c r="R22" s="126"/>
      <c r="S22" s="124"/>
      <c r="T22" s="127"/>
      <c r="U22" s="126"/>
      <c r="V22" s="126"/>
      <c r="W22" s="42">
        <f t="shared" ref="W22:W28" si="5">+G22-(SUM(I22:N22,P22,Q22,R22,S22,T22,V22))</f>
        <v>0</v>
      </c>
      <c r="X22" s="128"/>
      <c r="Y22" s="128"/>
      <c r="Z22" s="128"/>
      <c r="AA22" s="128"/>
      <c r="AB22" s="128"/>
      <c r="AC22" s="128"/>
      <c r="AD22" s="139">
        <f t="shared" si="4"/>
        <v>0</v>
      </c>
      <c r="AE22" s="129"/>
      <c r="AF22" s="130"/>
      <c r="AG22" s="122"/>
    </row>
    <row r="23" spans="1:33" ht="15.75">
      <c r="A23" s="121"/>
      <c r="B23" s="43"/>
      <c r="C23" s="43"/>
      <c r="D23" s="43"/>
      <c r="E23" s="122"/>
      <c r="F23" s="43"/>
      <c r="G23" s="123"/>
      <c r="H23" s="138"/>
      <c r="I23" s="124"/>
      <c r="J23" s="125"/>
      <c r="K23" s="131"/>
      <c r="L23" s="126"/>
      <c r="M23" s="124"/>
      <c r="N23" s="127"/>
      <c r="O23" s="123"/>
      <c r="P23" s="126"/>
      <c r="Q23" s="123"/>
      <c r="R23" s="126"/>
      <c r="S23" s="124"/>
      <c r="T23" s="127"/>
      <c r="U23" s="126"/>
      <c r="V23" s="126"/>
      <c r="W23" s="42">
        <f t="shared" si="5"/>
        <v>0</v>
      </c>
      <c r="X23" s="128"/>
      <c r="Y23" s="128"/>
      <c r="Z23" s="128"/>
      <c r="AA23" s="128"/>
      <c r="AB23" s="128"/>
      <c r="AC23" s="128"/>
      <c r="AD23" s="139">
        <f t="shared" si="4"/>
        <v>0</v>
      </c>
      <c r="AE23" s="129"/>
      <c r="AF23" s="130"/>
      <c r="AG23" s="122"/>
    </row>
    <row r="24" spans="1:33" ht="15.75">
      <c r="A24" s="121"/>
      <c r="B24" s="43"/>
      <c r="C24" s="43"/>
      <c r="D24" s="43"/>
      <c r="E24" s="122"/>
      <c r="F24" s="43"/>
      <c r="G24" s="123"/>
      <c r="H24" s="138"/>
      <c r="I24" s="124"/>
      <c r="J24" s="125"/>
      <c r="K24" s="131"/>
      <c r="L24" s="126"/>
      <c r="M24" s="124"/>
      <c r="N24" s="127"/>
      <c r="O24" s="123"/>
      <c r="P24" s="126"/>
      <c r="Q24" s="123"/>
      <c r="R24" s="126"/>
      <c r="S24" s="124"/>
      <c r="T24" s="127"/>
      <c r="U24" s="126"/>
      <c r="V24" s="126"/>
      <c r="W24" s="42">
        <f t="shared" si="5"/>
        <v>0</v>
      </c>
      <c r="X24" s="128"/>
      <c r="Y24" s="128"/>
      <c r="Z24" s="128"/>
      <c r="AA24" s="128"/>
      <c r="AB24" s="128"/>
      <c r="AC24" s="128"/>
      <c r="AD24" s="139">
        <f t="shared" ref="AD24:AD48" si="6">W24-SUM(Y24:AC24)</f>
        <v>0</v>
      </c>
      <c r="AE24" s="129"/>
      <c r="AF24" s="130"/>
      <c r="AG24" s="122"/>
    </row>
    <row r="25" spans="1:33" ht="15.75">
      <c r="A25" s="121"/>
      <c r="B25" s="43"/>
      <c r="C25" s="43"/>
      <c r="D25" s="43"/>
      <c r="E25" s="122"/>
      <c r="F25" s="43"/>
      <c r="G25" s="123"/>
      <c r="H25" s="138"/>
      <c r="I25" s="124"/>
      <c r="J25" s="125"/>
      <c r="K25" s="131"/>
      <c r="L25" s="126"/>
      <c r="M25" s="124"/>
      <c r="N25" s="127"/>
      <c r="O25" s="123"/>
      <c r="P25" s="126"/>
      <c r="Q25" s="123"/>
      <c r="R25" s="126"/>
      <c r="S25" s="124"/>
      <c r="T25" s="127"/>
      <c r="U25" s="126"/>
      <c r="V25" s="126"/>
      <c r="W25" s="42">
        <f t="shared" si="5"/>
        <v>0</v>
      </c>
      <c r="X25" s="128"/>
      <c r="Y25" s="128"/>
      <c r="Z25" s="128"/>
      <c r="AA25" s="128"/>
      <c r="AB25" s="128"/>
      <c r="AC25" s="128"/>
      <c r="AD25" s="139">
        <f t="shared" si="6"/>
        <v>0</v>
      </c>
      <c r="AE25" s="129"/>
      <c r="AF25" s="130"/>
      <c r="AG25" s="122"/>
    </row>
    <row r="26" spans="1:33" ht="15.75">
      <c r="A26" s="121"/>
      <c r="B26" s="43"/>
      <c r="C26" s="43"/>
      <c r="D26" s="43"/>
      <c r="E26" s="122"/>
      <c r="F26" s="43"/>
      <c r="G26" s="123"/>
      <c r="H26" s="138"/>
      <c r="I26" s="124"/>
      <c r="J26" s="125"/>
      <c r="K26" s="131"/>
      <c r="L26" s="126"/>
      <c r="M26" s="124"/>
      <c r="N26" s="127"/>
      <c r="O26" s="123"/>
      <c r="P26" s="126"/>
      <c r="Q26" s="123"/>
      <c r="R26" s="126"/>
      <c r="S26" s="124"/>
      <c r="T26" s="127"/>
      <c r="U26" s="126"/>
      <c r="V26" s="126"/>
      <c r="W26" s="42">
        <f t="shared" si="5"/>
        <v>0</v>
      </c>
      <c r="X26" s="128"/>
      <c r="Y26" s="128"/>
      <c r="Z26" s="128"/>
      <c r="AA26" s="128"/>
      <c r="AB26" s="128"/>
      <c r="AC26" s="128"/>
      <c r="AD26" s="139">
        <f t="shared" si="6"/>
        <v>0</v>
      </c>
      <c r="AE26" s="129"/>
      <c r="AF26" s="130"/>
      <c r="AG26" s="122"/>
    </row>
    <row r="27" spans="1:33" ht="15.75">
      <c r="A27" s="121"/>
      <c r="B27" s="43"/>
      <c r="C27" s="43"/>
      <c r="D27" s="43"/>
      <c r="E27" s="122"/>
      <c r="F27" s="43"/>
      <c r="G27" s="123"/>
      <c r="H27" s="138"/>
      <c r="I27" s="124"/>
      <c r="J27" s="125"/>
      <c r="K27" s="131"/>
      <c r="L27" s="126"/>
      <c r="M27" s="124"/>
      <c r="N27" s="127"/>
      <c r="O27" s="123"/>
      <c r="P27" s="126"/>
      <c r="Q27" s="123"/>
      <c r="R27" s="126"/>
      <c r="S27" s="124"/>
      <c r="T27" s="127"/>
      <c r="U27" s="126"/>
      <c r="V27" s="126"/>
      <c r="W27" s="42">
        <f t="shared" si="5"/>
        <v>0</v>
      </c>
      <c r="X27" s="128"/>
      <c r="Y27" s="128"/>
      <c r="Z27" s="128"/>
      <c r="AA27" s="128"/>
      <c r="AB27" s="128"/>
      <c r="AC27" s="128"/>
      <c r="AD27" s="139">
        <f t="shared" si="6"/>
        <v>0</v>
      </c>
      <c r="AE27" s="129"/>
      <c r="AF27" s="130"/>
      <c r="AG27" s="122"/>
    </row>
    <row r="28" spans="1:33" ht="15.75">
      <c r="A28" s="121"/>
      <c r="B28" s="43"/>
      <c r="C28" s="43"/>
      <c r="D28" s="43"/>
      <c r="E28" s="122"/>
      <c r="F28" s="43"/>
      <c r="G28" s="123"/>
      <c r="H28" s="138"/>
      <c r="I28" s="124"/>
      <c r="J28" s="125"/>
      <c r="K28" s="131"/>
      <c r="L28" s="126"/>
      <c r="M28" s="124"/>
      <c r="N28" s="127"/>
      <c r="O28" s="123"/>
      <c r="P28" s="126"/>
      <c r="Q28" s="123"/>
      <c r="R28" s="126"/>
      <c r="S28" s="124"/>
      <c r="T28" s="127"/>
      <c r="U28" s="126"/>
      <c r="V28" s="126"/>
      <c r="W28" s="42">
        <f t="shared" si="5"/>
        <v>0</v>
      </c>
      <c r="X28" s="128"/>
      <c r="Y28" s="128"/>
      <c r="Z28" s="128"/>
      <c r="AA28" s="128"/>
      <c r="AB28" s="128"/>
      <c r="AC28" s="128"/>
      <c r="AD28" s="139">
        <f t="shared" si="6"/>
        <v>0</v>
      </c>
      <c r="AE28" s="129"/>
      <c r="AF28" s="130"/>
      <c r="AG28" s="122"/>
    </row>
    <row r="29" spans="1:33" ht="15.75">
      <c r="A29" s="121"/>
      <c r="B29" s="43"/>
      <c r="C29" s="43"/>
      <c r="D29" s="43"/>
      <c r="E29" s="122"/>
      <c r="F29" s="43"/>
      <c r="G29" s="123"/>
      <c r="H29" s="138"/>
      <c r="I29" s="124"/>
      <c r="J29" s="125"/>
      <c r="K29" s="131"/>
      <c r="L29" s="126"/>
      <c r="M29" s="124"/>
      <c r="N29" s="127"/>
      <c r="O29" s="123"/>
      <c r="P29" s="126"/>
      <c r="Q29" s="123"/>
      <c r="R29" s="126"/>
      <c r="S29" s="124"/>
      <c r="T29" s="127"/>
      <c r="U29" s="126"/>
      <c r="V29" s="126"/>
      <c r="W29" s="42">
        <f t="shared" ref="W29" si="7">+G29-(SUM(I29:N29,P29,Q29,R29,S29,T29,V29))</f>
        <v>0</v>
      </c>
      <c r="X29" s="128"/>
      <c r="Y29" s="128"/>
      <c r="Z29" s="128"/>
      <c r="AA29" s="128"/>
      <c r="AB29" s="128"/>
      <c r="AC29" s="128"/>
      <c r="AD29" s="139">
        <f t="shared" ref="AD29" si="8">W29-SUM(Y29:AC29)</f>
        <v>0</v>
      </c>
      <c r="AE29" s="129"/>
      <c r="AF29" s="130"/>
      <c r="AG29" s="122"/>
    </row>
    <row r="30" spans="1:33" ht="15.75">
      <c r="A30" s="121"/>
      <c r="B30" s="43"/>
      <c r="C30" s="43"/>
      <c r="D30" s="43"/>
      <c r="E30" s="122"/>
      <c r="F30" s="43"/>
      <c r="G30" s="123"/>
      <c r="H30" s="138"/>
      <c r="I30" s="124"/>
      <c r="J30" s="125"/>
      <c r="K30" s="131"/>
      <c r="L30" s="126"/>
      <c r="M30" s="124"/>
      <c r="N30" s="127"/>
      <c r="O30" s="123"/>
      <c r="P30" s="126"/>
      <c r="Q30" s="123"/>
      <c r="R30" s="126"/>
      <c r="S30" s="124"/>
      <c r="T30" s="127"/>
      <c r="U30" s="126"/>
      <c r="V30" s="126"/>
      <c r="W30" s="42">
        <f t="shared" ref="W30" si="9">+G30-(SUM(I30:N30,P30,Q30,R30,S30,T30,V30))</f>
        <v>0</v>
      </c>
      <c r="X30" s="128"/>
      <c r="Y30" s="128"/>
      <c r="Z30" s="128"/>
      <c r="AA30" s="128"/>
      <c r="AB30" s="128"/>
      <c r="AC30" s="128"/>
      <c r="AD30" s="139">
        <f t="shared" ref="AD30" si="10">W30-SUM(Y30:AC30)</f>
        <v>0</v>
      </c>
      <c r="AE30" s="129"/>
      <c r="AF30" s="130"/>
      <c r="AG30" s="122"/>
    </row>
    <row r="31" spans="1:33" ht="15.75">
      <c r="A31" s="121"/>
      <c r="B31" s="43"/>
      <c r="C31" s="43"/>
      <c r="D31" s="43"/>
      <c r="E31" s="122"/>
      <c r="F31" s="43"/>
      <c r="G31" s="123"/>
      <c r="H31" s="138"/>
      <c r="I31" s="124"/>
      <c r="J31" s="125"/>
      <c r="K31" s="131"/>
      <c r="L31" s="126"/>
      <c r="M31" s="124"/>
      <c r="N31" s="127"/>
      <c r="O31" s="123"/>
      <c r="P31" s="126"/>
      <c r="Q31" s="123"/>
      <c r="R31" s="126"/>
      <c r="S31" s="124"/>
      <c r="T31" s="127"/>
      <c r="U31" s="126"/>
      <c r="V31" s="126"/>
      <c r="W31" s="42">
        <f t="shared" ref="W31:W33" si="11">+G31-(SUM(I31:N31,P31,Q31,R31,S31,T31,V31))</f>
        <v>0</v>
      </c>
      <c r="X31" s="128"/>
      <c r="Y31" s="128"/>
      <c r="Z31" s="128"/>
      <c r="AA31" s="128"/>
      <c r="AB31" s="128"/>
      <c r="AC31" s="128"/>
      <c r="AD31" s="139">
        <f t="shared" si="6"/>
        <v>0</v>
      </c>
      <c r="AE31" s="129"/>
      <c r="AF31" s="130"/>
      <c r="AG31" s="122"/>
    </row>
    <row r="32" spans="1:33" ht="15.75">
      <c r="A32" s="121"/>
      <c r="B32" s="43"/>
      <c r="C32" s="43"/>
      <c r="D32" s="43"/>
      <c r="E32" s="122"/>
      <c r="F32" s="43"/>
      <c r="G32" s="123"/>
      <c r="H32" s="138"/>
      <c r="I32" s="124"/>
      <c r="J32" s="125"/>
      <c r="K32" s="131"/>
      <c r="L32" s="126"/>
      <c r="M32" s="124"/>
      <c r="N32" s="127"/>
      <c r="O32" s="123"/>
      <c r="P32" s="126"/>
      <c r="Q32" s="123"/>
      <c r="R32" s="126"/>
      <c r="S32" s="124"/>
      <c r="T32" s="127"/>
      <c r="U32" s="126"/>
      <c r="V32" s="126"/>
      <c r="W32" s="42">
        <f t="shared" ref="W32" si="12">+G32-(SUM(I32:N32,P32,Q32,R32,S32,T32,V32))</f>
        <v>0</v>
      </c>
      <c r="X32" s="128"/>
      <c r="Y32" s="128"/>
      <c r="Z32" s="128"/>
      <c r="AA32" s="128"/>
      <c r="AB32" s="128"/>
      <c r="AC32" s="128"/>
      <c r="AD32" s="139">
        <f t="shared" ref="AD32" si="13">W32-SUM(Y32:AC32)</f>
        <v>0</v>
      </c>
      <c r="AE32" s="129"/>
      <c r="AF32" s="130"/>
      <c r="AG32" s="122"/>
    </row>
    <row r="33" spans="1:33" ht="15.75">
      <c r="A33" s="121"/>
      <c r="B33" s="43"/>
      <c r="C33" s="43"/>
      <c r="D33" s="43"/>
      <c r="E33" s="122"/>
      <c r="F33" s="43"/>
      <c r="G33" s="123"/>
      <c r="H33" s="138"/>
      <c r="I33" s="124"/>
      <c r="J33" s="125"/>
      <c r="K33" s="131"/>
      <c r="L33" s="126"/>
      <c r="M33" s="124"/>
      <c r="N33" s="127"/>
      <c r="O33" s="123"/>
      <c r="P33" s="126"/>
      <c r="Q33" s="123"/>
      <c r="R33" s="126"/>
      <c r="S33" s="124"/>
      <c r="T33" s="127"/>
      <c r="U33" s="126"/>
      <c r="V33" s="126"/>
      <c r="W33" s="42">
        <f t="shared" si="11"/>
        <v>0</v>
      </c>
      <c r="X33" s="128"/>
      <c r="Y33" s="128"/>
      <c r="Z33" s="128"/>
      <c r="AA33" s="128"/>
      <c r="AB33" s="128"/>
      <c r="AC33" s="128"/>
      <c r="AD33" s="139">
        <f t="shared" si="6"/>
        <v>0</v>
      </c>
      <c r="AE33" s="129"/>
      <c r="AF33" s="130"/>
      <c r="AG33" s="122"/>
    </row>
    <row r="34" spans="1:33" ht="15.75">
      <c r="A34" s="121"/>
      <c r="B34" s="43"/>
      <c r="C34" s="43"/>
      <c r="D34" s="43"/>
      <c r="E34" s="122"/>
      <c r="F34" s="43"/>
      <c r="G34" s="123"/>
      <c r="H34" s="138"/>
      <c r="I34" s="124"/>
      <c r="J34" s="125"/>
      <c r="K34" s="131"/>
      <c r="L34" s="126"/>
      <c r="M34" s="124"/>
      <c r="N34" s="127"/>
      <c r="O34" s="123"/>
      <c r="P34" s="126"/>
      <c r="Q34" s="123"/>
      <c r="R34" s="126"/>
      <c r="S34" s="124"/>
      <c r="T34" s="127"/>
      <c r="U34" s="126"/>
      <c r="V34" s="126"/>
      <c r="W34" s="42">
        <f t="shared" ref="W34" si="14">+G34-(SUM(I34:N34,P34,Q34,R34,S34,T34,V34))</f>
        <v>0</v>
      </c>
      <c r="X34" s="128"/>
      <c r="Y34" s="128"/>
      <c r="Z34" s="128"/>
      <c r="AA34" s="128"/>
      <c r="AB34" s="128"/>
      <c r="AC34" s="128"/>
      <c r="AD34" s="139">
        <f t="shared" ref="AD34" si="15">W34-SUM(Y34:AC34)</f>
        <v>0</v>
      </c>
      <c r="AE34" s="129"/>
      <c r="AF34" s="130"/>
      <c r="AG34" s="122"/>
    </row>
    <row r="35" spans="1:33" ht="15.75">
      <c r="A35" s="121"/>
      <c r="B35" s="43"/>
      <c r="C35" s="43"/>
      <c r="D35" s="43"/>
      <c r="E35" s="122"/>
      <c r="F35" s="43"/>
      <c r="G35" s="123"/>
      <c r="H35" s="138"/>
      <c r="I35" s="124"/>
      <c r="J35" s="125"/>
      <c r="K35" s="131"/>
      <c r="L35" s="126"/>
      <c r="M35" s="124"/>
      <c r="N35" s="127"/>
      <c r="O35" s="123"/>
      <c r="P35" s="126"/>
      <c r="Q35" s="123"/>
      <c r="R35" s="126"/>
      <c r="S35" s="124"/>
      <c r="T35" s="127"/>
      <c r="U35" s="126"/>
      <c r="V35" s="126"/>
      <c r="W35" s="42"/>
      <c r="X35" s="128"/>
      <c r="Y35" s="128"/>
      <c r="Z35" s="128"/>
      <c r="AA35" s="128"/>
      <c r="AB35" s="128"/>
      <c r="AC35" s="128"/>
      <c r="AD35" s="139">
        <f t="shared" si="6"/>
        <v>0</v>
      </c>
      <c r="AE35" s="129"/>
      <c r="AF35" s="130"/>
      <c r="AG35" s="122"/>
    </row>
    <row r="36" spans="1:33" ht="15.75">
      <c r="A36" s="121"/>
      <c r="B36" s="43"/>
      <c r="C36" s="43"/>
      <c r="D36" s="43"/>
      <c r="E36" s="122"/>
      <c r="F36" s="43"/>
      <c r="G36" s="123"/>
      <c r="H36" s="138"/>
      <c r="I36" s="124"/>
      <c r="J36" s="125"/>
      <c r="K36" s="131"/>
      <c r="L36" s="126"/>
      <c r="M36" s="124"/>
      <c r="N36" s="127"/>
      <c r="O36" s="123"/>
      <c r="P36" s="126"/>
      <c r="Q36" s="123"/>
      <c r="R36" s="126"/>
      <c r="S36" s="124"/>
      <c r="T36" s="127"/>
      <c r="U36" s="126"/>
      <c r="V36" s="126"/>
      <c r="W36" s="42"/>
      <c r="X36" s="128"/>
      <c r="Y36" s="128"/>
      <c r="Z36" s="128"/>
      <c r="AA36" s="128"/>
      <c r="AB36" s="128"/>
      <c r="AC36" s="128"/>
      <c r="AD36" s="139">
        <f t="shared" si="6"/>
        <v>0</v>
      </c>
      <c r="AE36" s="129"/>
      <c r="AF36" s="130"/>
      <c r="AG36" s="122"/>
    </row>
    <row r="37" spans="1:33" ht="15.75">
      <c r="A37" s="121"/>
      <c r="B37" s="43"/>
      <c r="C37" s="43"/>
      <c r="D37" s="43"/>
      <c r="E37" s="122"/>
      <c r="F37" s="43"/>
      <c r="G37" s="123"/>
      <c r="H37" s="138"/>
      <c r="I37" s="124"/>
      <c r="J37" s="125"/>
      <c r="K37" s="131"/>
      <c r="L37" s="126"/>
      <c r="M37" s="124"/>
      <c r="N37" s="127"/>
      <c r="O37" s="123"/>
      <c r="P37" s="126"/>
      <c r="Q37" s="123"/>
      <c r="R37" s="126"/>
      <c r="S37" s="124"/>
      <c r="T37" s="127"/>
      <c r="U37" s="126"/>
      <c r="V37" s="126"/>
      <c r="W37" s="42"/>
      <c r="X37" s="128"/>
      <c r="Y37" s="128"/>
      <c r="Z37" s="128"/>
      <c r="AA37" s="128"/>
      <c r="AB37" s="128"/>
      <c r="AC37" s="128"/>
      <c r="AD37" s="139">
        <f t="shared" si="6"/>
        <v>0</v>
      </c>
      <c r="AE37" s="129"/>
      <c r="AF37" s="130"/>
      <c r="AG37" s="122"/>
    </row>
    <row r="38" spans="1:33" ht="15.75">
      <c r="A38" s="121"/>
      <c r="B38" s="43"/>
      <c r="C38" s="43"/>
      <c r="D38" s="43"/>
      <c r="E38" s="122"/>
      <c r="F38" s="43"/>
      <c r="G38" s="123"/>
      <c r="H38" s="138"/>
      <c r="I38" s="124"/>
      <c r="J38" s="125"/>
      <c r="K38" s="131"/>
      <c r="L38" s="126"/>
      <c r="M38" s="124"/>
      <c r="N38" s="127"/>
      <c r="O38" s="123"/>
      <c r="P38" s="126"/>
      <c r="Q38" s="123"/>
      <c r="R38" s="126"/>
      <c r="S38" s="124"/>
      <c r="T38" s="127"/>
      <c r="U38" s="126"/>
      <c r="V38" s="126"/>
      <c r="W38" s="42"/>
      <c r="X38" s="128"/>
      <c r="Y38" s="128"/>
      <c r="Z38" s="128"/>
      <c r="AA38" s="128"/>
      <c r="AB38" s="128"/>
      <c r="AC38" s="128"/>
      <c r="AD38" s="139">
        <f t="shared" si="6"/>
        <v>0</v>
      </c>
      <c r="AE38" s="129"/>
      <c r="AF38" s="130"/>
      <c r="AG38" s="122"/>
    </row>
    <row r="39" spans="1:33" ht="15.75">
      <c r="A39" s="121"/>
      <c r="B39" s="43"/>
      <c r="C39" s="43"/>
      <c r="D39" s="43"/>
      <c r="E39" s="122"/>
      <c r="F39" s="43"/>
      <c r="G39" s="123"/>
      <c r="H39" s="138"/>
      <c r="I39" s="124"/>
      <c r="J39" s="125"/>
      <c r="K39" s="131"/>
      <c r="L39" s="126"/>
      <c r="M39" s="124"/>
      <c r="N39" s="127"/>
      <c r="O39" s="123"/>
      <c r="P39" s="126"/>
      <c r="Q39" s="123"/>
      <c r="R39" s="126"/>
      <c r="S39" s="124"/>
      <c r="T39" s="127"/>
      <c r="U39" s="126"/>
      <c r="V39" s="126"/>
      <c r="W39" s="42"/>
      <c r="X39" s="128"/>
      <c r="Y39" s="128"/>
      <c r="Z39" s="128"/>
      <c r="AA39" s="128"/>
      <c r="AB39" s="128"/>
      <c r="AC39" s="128"/>
      <c r="AD39" s="139">
        <f t="shared" si="6"/>
        <v>0</v>
      </c>
      <c r="AE39" s="129"/>
      <c r="AF39" s="130"/>
      <c r="AG39" s="122"/>
    </row>
    <row r="40" spans="1:33" ht="15.75">
      <c r="A40" s="121"/>
      <c r="B40" s="43"/>
      <c r="C40" s="43"/>
      <c r="D40" s="43"/>
      <c r="E40" s="122"/>
      <c r="F40" s="43"/>
      <c r="G40" s="123"/>
      <c r="H40" s="138"/>
      <c r="I40" s="124"/>
      <c r="J40" s="125"/>
      <c r="K40" s="131"/>
      <c r="L40" s="126"/>
      <c r="M40" s="124"/>
      <c r="N40" s="127"/>
      <c r="O40" s="123"/>
      <c r="P40" s="126"/>
      <c r="Q40" s="123"/>
      <c r="R40" s="126"/>
      <c r="S40" s="124"/>
      <c r="T40" s="127"/>
      <c r="U40" s="126"/>
      <c r="V40" s="126"/>
      <c r="W40" s="42"/>
      <c r="X40" s="128"/>
      <c r="Y40" s="128"/>
      <c r="Z40" s="128"/>
      <c r="AA40" s="128"/>
      <c r="AB40" s="128"/>
      <c r="AC40" s="128"/>
      <c r="AD40" s="139">
        <f t="shared" si="6"/>
        <v>0</v>
      </c>
      <c r="AE40" s="129"/>
      <c r="AF40" s="130"/>
      <c r="AG40" s="122"/>
    </row>
    <row r="41" spans="1:33" ht="15.75">
      <c r="A41" s="121"/>
      <c r="B41" s="43"/>
      <c r="C41" s="43"/>
      <c r="D41" s="43"/>
      <c r="E41" s="122"/>
      <c r="F41" s="43"/>
      <c r="G41" s="123"/>
      <c r="H41" s="138"/>
      <c r="I41" s="124"/>
      <c r="J41" s="125"/>
      <c r="K41" s="131"/>
      <c r="L41" s="126"/>
      <c r="M41" s="124"/>
      <c r="N41" s="127"/>
      <c r="O41" s="123"/>
      <c r="P41" s="126"/>
      <c r="Q41" s="123"/>
      <c r="R41" s="126"/>
      <c r="S41" s="124"/>
      <c r="T41" s="127"/>
      <c r="U41" s="126"/>
      <c r="V41" s="126"/>
      <c r="W41" s="42"/>
      <c r="X41" s="128"/>
      <c r="Y41" s="128"/>
      <c r="Z41" s="128"/>
      <c r="AA41" s="128"/>
      <c r="AB41" s="128"/>
      <c r="AC41" s="128"/>
      <c r="AD41" s="139">
        <f t="shared" si="6"/>
        <v>0</v>
      </c>
      <c r="AE41" s="129"/>
      <c r="AF41" s="130"/>
      <c r="AG41" s="122"/>
    </row>
    <row r="42" spans="1:33" ht="15.75">
      <c r="A42" s="121"/>
      <c r="B42" s="43"/>
      <c r="C42" s="43"/>
      <c r="D42" s="43"/>
      <c r="E42" s="122"/>
      <c r="F42" s="43"/>
      <c r="G42" s="123"/>
      <c r="H42" s="138"/>
      <c r="I42" s="124"/>
      <c r="J42" s="125"/>
      <c r="K42" s="131"/>
      <c r="L42" s="126"/>
      <c r="M42" s="124"/>
      <c r="N42" s="127"/>
      <c r="O42" s="123"/>
      <c r="P42" s="126"/>
      <c r="Q42" s="123"/>
      <c r="R42" s="126"/>
      <c r="S42" s="124"/>
      <c r="T42" s="127"/>
      <c r="U42" s="126"/>
      <c r="V42" s="126"/>
      <c r="W42" s="42"/>
      <c r="X42" s="128"/>
      <c r="Y42" s="128"/>
      <c r="Z42" s="128"/>
      <c r="AA42" s="128"/>
      <c r="AB42" s="128"/>
      <c r="AC42" s="128"/>
      <c r="AD42" s="139">
        <f t="shared" si="6"/>
        <v>0</v>
      </c>
      <c r="AE42" s="129"/>
      <c r="AF42" s="130"/>
      <c r="AG42" s="122"/>
    </row>
    <row r="43" spans="1:33" ht="15.75">
      <c r="A43" s="121"/>
      <c r="B43" s="43"/>
      <c r="C43" s="43"/>
      <c r="D43" s="43"/>
      <c r="E43" s="122"/>
      <c r="F43" s="43"/>
      <c r="G43" s="123"/>
      <c r="H43" s="138"/>
      <c r="I43" s="124"/>
      <c r="J43" s="125"/>
      <c r="K43" s="131"/>
      <c r="L43" s="126"/>
      <c r="M43" s="124"/>
      <c r="N43" s="127"/>
      <c r="O43" s="123"/>
      <c r="P43" s="126"/>
      <c r="Q43" s="123"/>
      <c r="R43" s="126"/>
      <c r="S43" s="124"/>
      <c r="T43" s="127"/>
      <c r="U43" s="126"/>
      <c r="V43" s="126"/>
      <c r="W43" s="42"/>
      <c r="X43" s="128"/>
      <c r="Y43" s="128"/>
      <c r="Z43" s="128"/>
      <c r="AA43" s="128"/>
      <c r="AB43" s="128"/>
      <c r="AC43" s="128"/>
      <c r="AD43" s="139">
        <f t="shared" si="6"/>
        <v>0</v>
      </c>
      <c r="AE43" s="129"/>
      <c r="AF43" s="130"/>
      <c r="AG43" s="122"/>
    </row>
    <row r="44" spans="1:33" ht="15.75">
      <c r="A44" s="121"/>
      <c r="B44" s="43"/>
      <c r="C44" s="43"/>
      <c r="D44" s="43"/>
      <c r="E44" s="122"/>
      <c r="F44" s="43"/>
      <c r="G44" s="123"/>
      <c r="H44" s="138"/>
      <c r="I44" s="124"/>
      <c r="J44" s="125"/>
      <c r="K44" s="131"/>
      <c r="L44" s="126"/>
      <c r="M44" s="124"/>
      <c r="N44" s="127"/>
      <c r="O44" s="123"/>
      <c r="P44" s="126"/>
      <c r="Q44" s="123"/>
      <c r="R44" s="126"/>
      <c r="S44" s="124"/>
      <c r="T44" s="127"/>
      <c r="U44" s="126"/>
      <c r="V44" s="126"/>
      <c r="W44" s="42"/>
      <c r="X44" s="128"/>
      <c r="Y44" s="128"/>
      <c r="Z44" s="128"/>
      <c r="AA44" s="128"/>
      <c r="AB44" s="128"/>
      <c r="AC44" s="128"/>
      <c r="AD44" s="139">
        <f t="shared" si="6"/>
        <v>0</v>
      </c>
      <c r="AE44" s="129"/>
      <c r="AF44" s="130"/>
      <c r="AG44" s="122"/>
    </row>
    <row r="45" spans="1:33" ht="15.75">
      <c r="A45" s="121"/>
      <c r="B45" s="43"/>
      <c r="C45" s="43"/>
      <c r="D45" s="43"/>
      <c r="E45" s="122"/>
      <c r="F45" s="43"/>
      <c r="G45" s="123"/>
      <c r="H45" s="138"/>
      <c r="I45" s="124"/>
      <c r="J45" s="125"/>
      <c r="K45" s="131"/>
      <c r="L45" s="126"/>
      <c r="M45" s="124"/>
      <c r="N45" s="127"/>
      <c r="O45" s="123"/>
      <c r="P45" s="126"/>
      <c r="Q45" s="123"/>
      <c r="R45" s="126"/>
      <c r="S45" s="124"/>
      <c r="T45" s="127"/>
      <c r="U45" s="126"/>
      <c r="V45" s="126"/>
      <c r="W45" s="42"/>
      <c r="X45" s="128"/>
      <c r="Y45" s="128"/>
      <c r="Z45" s="128"/>
      <c r="AA45" s="128"/>
      <c r="AB45" s="128"/>
      <c r="AC45" s="128"/>
      <c r="AD45" s="139">
        <f t="shared" si="6"/>
        <v>0</v>
      </c>
      <c r="AE45" s="129"/>
      <c r="AF45" s="130"/>
      <c r="AG45" s="122"/>
    </row>
    <row r="46" spans="1:33" ht="15.75">
      <c r="A46" s="121"/>
      <c r="B46" s="43"/>
      <c r="C46" s="43"/>
      <c r="D46" s="43"/>
      <c r="E46" s="122"/>
      <c r="F46" s="43"/>
      <c r="G46" s="123"/>
      <c r="H46" s="138"/>
      <c r="I46" s="124"/>
      <c r="J46" s="125"/>
      <c r="K46" s="131"/>
      <c r="L46" s="126"/>
      <c r="M46" s="124"/>
      <c r="N46" s="127"/>
      <c r="O46" s="123"/>
      <c r="P46" s="126"/>
      <c r="Q46" s="123"/>
      <c r="R46" s="126"/>
      <c r="S46" s="124"/>
      <c r="T46" s="127"/>
      <c r="U46" s="126"/>
      <c r="V46" s="126"/>
      <c r="W46" s="42"/>
      <c r="X46" s="128"/>
      <c r="Y46" s="128"/>
      <c r="Z46" s="128"/>
      <c r="AA46" s="128"/>
      <c r="AB46" s="128"/>
      <c r="AC46" s="128"/>
      <c r="AD46" s="139">
        <f t="shared" si="6"/>
        <v>0</v>
      </c>
      <c r="AE46" s="129"/>
      <c r="AF46" s="130"/>
      <c r="AG46" s="122"/>
    </row>
    <row r="47" spans="1:33" ht="15.75">
      <c r="A47" s="121"/>
      <c r="B47" s="43"/>
      <c r="C47" s="43"/>
      <c r="D47" s="43"/>
      <c r="E47" s="122"/>
      <c r="F47" s="43"/>
      <c r="G47" s="123"/>
      <c r="H47" s="138"/>
      <c r="I47" s="124"/>
      <c r="J47" s="125"/>
      <c r="K47" s="131"/>
      <c r="L47" s="126"/>
      <c r="M47" s="124"/>
      <c r="N47" s="127"/>
      <c r="O47" s="123"/>
      <c r="P47" s="126"/>
      <c r="Q47" s="123"/>
      <c r="R47" s="126"/>
      <c r="S47" s="124"/>
      <c r="T47" s="127"/>
      <c r="U47" s="126"/>
      <c r="V47" s="126"/>
      <c r="W47" s="42"/>
      <c r="X47" s="128"/>
      <c r="Y47" s="128"/>
      <c r="Z47" s="128"/>
      <c r="AA47" s="128"/>
      <c r="AB47" s="128"/>
      <c r="AC47" s="128"/>
      <c r="AD47" s="139">
        <f t="shared" si="6"/>
        <v>0</v>
      </c>
      <c r="AE47" s="129"/>
      <c r="AF47" s="130"/>
      <c r="AG47" s="122"/>
    </row>
    <row r="48" spans="1:33" ht="15.75">
      <c r="A48" s="121"/>
      <c r="B48" s="43"/>
      <c r="C48" s="43"/>
      <c r="D48" s="43"/>
      <c r="E48" s="122"/>
      <c r="F48" s="43"/>
      <c r="G48" s="123"/>
      <c r="H48" s="138"/>
      <c r="I48" s="124"/>
      <c r="J48" s="125"/>
      <c r="K48" s="131"/>
      <c r="L48" s="126"/>
      <c r="M48" s="124"/>
      <c r="N48" s="127"/>
      <c r="O48" s="123"/>
      <c r="P48" s="126"/>
      <c r="Q48" s="123"/>
      <c r="R48" s="126"/>
      <c r="S48" s="124"/>
      <c r="T48" s="127"/>
      <c r="U48" s="126"/>
      <c r="V48" s="126"/>
      <c r="W48" s="42"/>
      <c r="X48" s="128"/>
      <c r="Y48" s="128"/>
      <c r="Z48" s="128"/>
      <c r="AA48" s="128"/>
      <c r="AB48" s="128"/>
      <c r="AC48" s="128"/>
      <c r="AD48" s="139">
        <f t="shared" si="6"/>
        <v>0</v>
      </c>
      <c r="AE48" s="129"/>
      <c r="AF48" s="130"/>
      <c r="AG48" s="122"/>
    </row>
  </sheetData>
  <sheetProtection selectLockedCells="1"/>
  <protectedRanges>
    <protectedRange sqref="AG7:AG48 G7:V48 B7:E48" name="Rango1"/>
    <protectedRange sqref="AE7:AE48" name="Rango1_2"/>
    <protectedRange sqref="F7:F48 A7:A48" name="Rango1_1"/>
    <protectedRange sqref="AD7:AD48" name="Rango1_2_1"/>
  </protectedRanges>
  <mergeCells count="7">
    <mergeCell ref="F3:G3"/>
    <mergeCell ref="P4:U4"/>
    <mergeCell ref="I4:O4"/>
    <mergeCell ref="K5:O5"/>
    <mergeCell ref="I5:J5"/>
    <mergeCell ref="R5:U5"/>
    <mergeCell ref="P5:Q5"/>
  </mergeCells>
  <phoneticPr fontId="0" type="noConversion"/>
  <conditionalFormatting sqref="G17 F46:I48 F18:G45 F10:G16 H10:I45 F7:I9 L7:V48 X7:AC48 A7:D48">
    <cfRule type="expression" dxfId="10" priority="244" stopIfTrue="1">
      <formula>"SEVERSTAL"</formula>
    </cfRule>
  </conditionalFormatting>
  <conditionalFormatting sqref="E19:E48 AG7:AG48 AE7:AE48 E7:E16">
    <cfRule type="cellIs" dxfId="9" priority="245" stopIfTrue="1" operator="equal">
      <formula>"APROBADO"</formula>
    </cfRule>
    <cfRule type="cellIs" dxfId="8" priority="246" stopIfTrue="1" operator="equal">
      <formula>"ESPERA"</formula>
    </cfRule>
    <cfRule type="cellIs" dxfId="7" priority="247" stopIfTrue="1" operator="equal">
      <formula>"RECHAZADO"</formula>
    </cfRule>
  </conditionalFormatting>
  <conditionalFormatting sqref="F17">
    <cfRule type="expression" dxfId="6" priority="4" stopIfTrue="1">
      <formula>"SEVERSTAL"</formula>
    </cfRule>
  </conditionalFormatting>
  <conditionalFormatting sqref="E17:E18">
    <cfRule type="cellIs" dxfId="5" priority="5" stopIfTrue="1" operator="equal">
      <formula>"APROBADO"</formula>
    </cfRule>
    <cfRule type="cellIs" dxfId="4" priority="6" stopIfTrue="1" operator="equal">
      <formula>"ESPERA"</formula>
    </cfRule>
    <cfRule type="cellIs" dxfId="3" priority="7" stopIfTrue="1" operator="equal">
      <formula>"RECHAZADO"</formula>
    </cfRule>
  </conditionalFormatting>
  <conditionalFormatting sqref="AD7:AD48">
    <cfRule type="cellIs" dxfId="2" priority="1" stopIfTrue="1" operator="equal">
      <formula>"APROBADO"</formula>
    </cfRule>
    <cfRule type="cellIs" dxfId="1" priority="2" stopIfTrue="1" operator="equal">
      <formula>"ESPERA"</formula>
    </cfRule>
    <cfRule type="cellIs" dxfId="0" priority="3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2022-05-17T22:19:59Z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